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aluation" sheetId="2" state="visible" r:id="rId2"/>
    <sheet xmlns:r="http://schemas.openxmlformats.org/officeDocument/2006/relationships" name="BS_Segments" sheetId="3" state="visible" r:id="rId3"/>
    <sheet xmlns:r="http://schemas.openxmlformats.org/officeDocument/2006/relationships" name="Operating_Drivers" sheetId="4" state="visible" r:id="rId4"/>
    <sheet xmlns:r="http://schemas.openxmlformats.org/officeDocument/2006/relationships" name="{ticker}_Investment_Case" sheetId="5" state="visible" r:id="rId5"/>
    <sheet xmlns:r="http://schemas.openxmlformats.org/officeDocument/2006/relationships" name="Quarter_Notes_UI" sheetId="6" state="visible" r:id="rId6"/>
    <sheet xmlns:r="http://schemas.openxmlformats.org/officeDocument/2006/relationships" name="Promise_Progress_UI" sheetId="7" state="visible" r:id="rId7"/>
    <sheet xmlns:r="http://schemas.openxmlformats.org/officeDocument/2006/relationships" name="Hidden_Value_Flags" sheetId="8" state="hidden" r:id="rId8"/>
    <sheet xmlns:r="http://schemas.openxmlformats.org/officeDocument/2006/relationships" name="Revolver_History" sheetId="9" state="hidden" r:id="rId9"/>
    <sheet xmlns:r="http://schemas.openxmlformats.org/officeDocument/2006/relationships" name="Debt_Tranches_Latest" sheetId="10" state="hidden" r:id="rId10"/>
    <sheet xmlns:r="http://schemas.openxmlformats.org/officeDocument/2006/relationships" name="Debt_Profile" sheetId="11" state="hidden" r:id="rId11"/>
    <sheet xmlns:r="http://schemas.openxmlformats.org/officeDocument/2006/relationships" name="Quarter_Notes" sheetId="12" state="hidden" r:id="rId12"/>
    <sheet xmlns:r="http://schemas.openxmlformats.org/officeDocument/2006/relationships" name="Promise_Progress" sheetId="13" state="hidden" r:id="rId13"/>
    <sheet xmlns:r="http://schemas.openxmlformats.org/officeDocument/2006/relationships" name="Guidance_Normalized" sheetId="14" state="hidden" r:id="rId14"/>
    <sheet xmlns:r="http://schemas.openxmlformats.org/officeDocument/2006/relationships" name="History_Q" sheetId="15" state="hidden" r:id="rId15"/>
    <sheet xmlns:r="http://schemas.openxmlformats.org/officeDocument/2006/relationships" name="QA_Log" sheetId="16" state="visible" r:id="rId16"/>
    <sheet xmlns:r="http://schemas.openxmlformats.org/officeDocument/2006/relationships" name="Needs_Review" sheetId="17" state="visible" r:id="rId17"/>
    <sheet xmlns:r="http://schemas.openxmlformats.org/officeDocument/2006/relationships" name="QA_Checks" sheetId="18" state="visible" r:id="rId18"/>
  </sheets>
  <definedNames>
    <definedName name="Price">'Valuation'!$D$194</definedName>
    <definedName name="AsOfQuarter">'Valuation'!$D$195</definedName>
    <definedName name="Shares">'Valuation'!$D$196</definedName>
    <definedName name="SharesDiluted">'Valuation'!$D$197</definedName>
    <definedName name="NetDebt">'Valuation'!$D$198</definedName>
    <definedName name="Base_EBITDA">'Valuation'!$D$199</definedName>
    <definedName name="Adj_EBITDA">'Valuation'!$D$200</definedName>
    <definedName name="FCF_TTM">'Valuation'!$D$201</definedName>
    <definedName name="Adj_FCF_TTM">'Valuation'!$D$202</definedName>
    <definedName name="Revenue_TTM">'Valuation'!$D$203</definedName>
    <definedName name="EPS_TTM">'Valuation'!$D$204</definedName>
    <definedName name="Adj_EPS_TTM">'Valuation'!$D$205</definedName>
    <definedName name="BV_PerShare">'Valuation'!$D$206</definedName>
    <definedName name="TBV_PerShare">'Valuation'!$D$207</definedName>
    <definedName name="Target_EV_AdjEBITDA">'Valuation'!$D$208</definedName>
    <definedName name="Target_EV_EBITDA">'Valuation'!$D$209</definedName>
    <definedName name="Target_EV_Yield">'Valuation'!$D$210</definedName>
    <definedName name="Capex_TTM">'Valuation'!$D$211</definedName>
    <definedName name="InterestPaid_TTM">'Valuation'!$D$212</definedName>
    <definedName name="MaintCapexRatio">'Valuation'!$D$213</definedName>
    <definedName name="RecurringCashCosts">'Valuation'!$D$214</definedName>
    <definedName name="WCNormalization">'Valuation'!$D$215</definedName>
    <definedName name="PerShareMode">'Valuation'!$D$216</definedName>
    <definedName name="CompanyOperatingMargin_Latest">'Valuation'!$M$14</definedName>
    <definedName name="OperatingMargin_Latest">'Valuation'!$M$14</definedName>
    <definedName name="CompanyOperatingMargin_TTM">'Valuation'!$M$15</definedName>
    <definedName name="MarketCap">'Valuation'!$N$194</definedName>
    <definedName name="EV">'Valuation'!$N$195</definedName>
    <definedName name="Implied_EV_AdjEBITDA">'Valuation'!$N$196</definedName>
    <definedName name="Implied_EV_EBITDA">'Valuation'!$N$197</definedName>
    <definedName name="FCFF_Proxy_TTM">'Valuation'!$N$198</definedName>
    <definedName name="Implied_FCFF_Yield">'Valuation'!$N$199</definedName>
    <definedName name="Equity_FCF_Yield">'Valuation'!$N$200</definedName>
    <definedName name="OwnerEarnings_TTM">'Valuation'!$N$201</definedName>
    <definedName name="OwnerEarnings_Yield">'Valuation'!$N$202</definedName>
    <definedName name="EqShare_Target_Adj">'Valuation'!$N$203</definedName>
    <definedName name="EqShare_Target_EV">'Valuation'!$N$204</definedName>
    <definedName name="EqShare_Target_Yield">'Valuation'!$N$205</definedName>
    <definedName name="AutoImpliedGT">'Valuation'!$R$234</definedName>
    <definedName name="ImpliedGT_WACC">'Valuation'!$P$223:$P$230</definedName>
    <definedName name="ImpliedGT_Output">'Valuation'!$Q$223:$Q$230</definedName>
    <definedName name="ImpliedGT_Status">'Valuation'!$S$223:$S$230</definedName>
    <definedName name="ScenarioProfile">'Valuation'!$E$236</definedName>
    <definedName name="ScenarioGrowth">'Valuation'!$E$237</definedName>
    <definedName name="ScenarioMargin">'Valuation'!$E$238</definedName>
    <definedName name="ScenarioRefiNorm">'Valuation'!$E$239</definedName>
    <definedName name="ScenarioBuyback">'Valuation'!$E$240</definedName>
    <definedName name="ScenarioAdjEBITDA">'Valuation'!$E$241</definedName>
    <definedName name="ScenarioOwnerEarnings">'Valuation'!$E$242</definedName>
    <definedName name="ScenarioEqShare_EVAdj">'Valuation'!$E$243</definedName>
    <definedName name="ScenarioEqShare_Yield">'Valuation'!$E$244</definedName>
    <definedName name="summary_company_description">'SUMMARY'!$A$3</definedName>
    <definedName name="summary_key_advantage">'SUMMARY'!$A$7</definedName>
    <definedName name="summary_strategic_context">'SUMMARY'!$A$5</definedName>
    <definedName name="summary_revenue_stream_rows">'SUMMARY'!$A$9</definedName>
    <definedName name="summary_as_of_quarter">'SUMMARY'!$B$26</definedName>
    <definedName name="summary_latest_net_income">'SUMMARY'!$B$30</definedName>
    <definedName name="summary_net_leverage">'SUMMARY'!$B$41</definedName>
    <definedName name="summary_liquidity">'SUMMARY'!$B$45</definedName>
    <definedName name="valuation_revenue_series">'Valuation'!$B$9</definedName>
    <definedName name="valuation_guidance_rows">'Valuation'!$O$9</definedName>
    <definedName name="valuation_output_rows">'Valuation'!$O$64</definedName>
    <definedName name="valuation_guidance_status_rows">'Valuation'!$AA$9</definedName>
    <definedName name="valuation_ebitda_series">'Valuation'!$B$24</definedName>
    <definedName name="bs_segment_quarterly_rows">'BS_Segments'!$A$61</definedName>
    <definedName name="bs_segment_annual_rows">'BS_Segments'!$A$72</definedName>
    <definedName name="od_watchlist_rows">'Operating_Drivers'!$A$6</definedName>
    <definedName name="ic_investment_summary">'{ticker}_Investment_Case'!$B$5</definedName>
    <definedName name="ic_key_debate">'{ticker}_Investment_Case'!$B$7</definedName>
    <definedName name="qn_quarter_note_rows">'Quarter_Notes_UI'!$A$10</definedName>
    <definedName name="qn_quarter_summary_rows">'Quarter_Notes_UI'!$B$3</definedName>
    <definedName name="pp_guidance_timeline_rows">'Promise_Progress_UI'!$A$61</definedName>
    <definedName name="qa_log_validation_rows">'QA_Log'!$A$2</definedName>
    <definedName name="needs_review_validation_rows">'Needs_Review'!$A$2</definedName>
    <definedName name="qa_checks_mapping_gap_rows">'QA_Checks'!$A$2</definedName>
    <definedName name="summary_latest_revenue">'SUMMARY'!$B$28</definedName>
    <definedName name="valuation_period_headers">'Valuation'!$B$6</definedName>
    <definedName name="valuation_net_income_series">'Valuation'!$B$36</definedName>
    <definedName name="valuation_operating_cash_flow_series">'Valuation'!$B$43</definedName>
    <definedName name="bs_quarterly_period_headers">'BS_Segments'!$B$7</definedName>
    <definedName name="bs_annual_period_headers">'BS_Segments'!$B$70</definedName>
    <definedName name="bs_annual_revenue_series">'BS_Segments'!$B$71</definedName>
    <definedName name="valuation_input_as_of">'Valuation'!$D$195</definedName>
    <definedName name="valuation_input_shares_outstanding">'Valuation'!$D$196</definedName>
    <definedName name="valuation_input_diluted_shares">'Valuation'!$D$197</definedName>
    <definedName name="valuation_input_net_debt">'Valuation'!$D$198</definedName>
    <definedName name="valuation_input_base_ebitda_ttm">'Valuation'!$D$199</definedName>
    <definedName name="valuation_input_adjusted_ebitda_ttm">'Valuation'!$D$200</definedName>
    <definedName name="valuation_input_fcf_ttm">'Valuation'!$D$201</definedName>
    <definedName name="valuation_input_revenue_ttm">'Valuation'!$D$203</definedName>
    <definedName name="valuation_input_capex_ttm">'Valuation'!$D$211</definedName>
    <definedName name="summary_company_overview_anchor">'SUMMARY'!$A$3</definedName>
    <definedName name="summary_key_financials_anchor">'SUMMARY'!$A$26</definedName>
    <definedName name="summary_leverage_liquidity_anchor">'SUMMARY'!$A$41</definedName>
    <definedName name="valuation_actuals_anchor">'Valuation'!$A$6</definedName>
    <definedName name="valuation_share_count_anchor">'Valuation'!$A$102</definedName>
    <definedName name="valuation_debt_anchor">'Valuation'!$A$124</definedName>
    <definedName name="bs_liquidity_anchor">'BS_Segments'!$A$7</definedName>
    <definedName name="operating_drivers_watchlist_anchor">'Operating_Drivers'!$A$6</definedName>
    <definedName name="investment_snapshot_anchor">'{ticker}_Investment_Case'!$A$5</definedName>
    <definedName name="investment_key_debate_anchor">'{ticker}_Investment_Case'!$A$7</definedName>
    <definedName name="quarter_notes_blocks_anchor">'Quarter_Notes_UI'!$A$10</definedName>
    <definedName name="promise_open_guidance_anchor">'Promise_Progress_UI'!$A$39</definedName>
    <definedName name="promise_primary_revision_anchor">'Promise_Progress_UI'!$A$61</definedName>
    <definedName name="qa_log_rows_anchor">'QA_Log'!$A$1</definedName>
    <definedName name="needs_review_rows_anchor">'Needs_Review'!$A$1</definedName>
    <definedName name="qa_checks_rows_anchor">'QA_Checks'!$A$1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3">
    <numFmt numFmtId="164" formatCode="yyyy-mm-dd"/>
    <numFmt numFmtId="165" formatCode="#,##0.000"/>
    <numFmt numFmtId="166" formatCode="0.0%"/>
    <numFmt numFmtId="167" formatCode="0.000"/>
    <numFmt numFmtId="168" formatCode="$#,##0.00"/>
    <numFmt numFmtId="169" formatCode="#,##0.0"/>
    <numFmt numFmtId="170" formatCode="$0.00"/>
    <numFmt numFmtId="171" formatCode="0.0x"/>
    <numFmt numFmtId="172" formatCode="0 &quot;bps&quot;"/>
    <numFmt numFmtId="173" formatCode="$0"/>
    <numFmt numFmtId="174" formatCode="0.00x"/>
    <numFmt numFmtId="175" formatCode="0.0"/>
    <numFmt numFmtId="176" formatCode="yyyy-mm-dd h:mm:ss"/>
  </numFmts>
  <fonts count="4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3"/>
    </font>
    <font>
      <sz val="12"/>
    </font>
    <font>
      <b val="1"/>
      <sz val="12"/>
    </font>
    <font>
      <b val="1"/>
      <color rgb="00FFFFFF"/>
      <sz val="13"/>
    </font>
    <font>
      <b val="1"/>
      <sz val="11"/>
    </font>
    <font>
      <b val="1"/>
      <color rgb="001F1F1F"/>
      <sz val="13"/>
    </font>
    <font>
      <b val="1"/>
      <color rgb="001F1F1F"/>
      <sz val="11"/>
    </font>
    <font>
      <b val="1"/>
      <color rgb="000070C0"/>
      <sz val="12"/>
    </font>
    <font>
      <sz val="11"/>
    </font>
    <font>
      <i val="1"/>
      <color rgb="004B5563"/>
      <sz val="11"/>
    </font>
    <font>
      <b val="1"/>
      <color rgb="00FFFFFF"/>
      <sz val="12"/>
    </font>
    <font>
      <b val="1"/>
      <color rgb="001F2933"/>
      <sz val="12"/>
    </font>
    <font>
      <color rgb="001F2933"/>
      <sz val="12"/>
    </font>
    <font>
      <color rgb="000000FF"/>
      <sz val="12"/>
    </font>
    <font>
      <color rgb="00000000"/>
      <sz val="12"/>
    </font>
    <font>
      <name val="Calibri"/>
      <family val="2"/>
      <color theme="1"/>
      <sz val="12"/>
      <scheme val="minor"/>
    </font>
    <font>
      <b val="1"/>
      <color rgb="001F1F1F"/>
      <sz val="12"/>
    </font>
    <font>
      <i val="1"/>
      <color rgb="004B5563"/>
      <sz val="12"/>
    </font>
    <font>
      <name val="Calibri"/>
      <family val="2"/>
      <b val="1"/>
      <color theme="1"/>
      <sz val="13"/>
      <scheme val="minor"/>
    </font>
    <font>
      <i val="1"/>
      <color rgb="00666666"/>
      <sz val="10"/>
    </font>
    <font>
      <name val="Calibri"/>
      <color theme="1"/>
      <sz val="12"/>
    </font>
    <font>
      <color rgb="001F1F1F"/>
      <sz val="12"/>
    </font>
    <font>
      <b val="1"/>
      <color rgb="00274B78"/>
      <sz val="13"/>
    </font>
    <font>
      <b val="1"/>
      <color rgb="00274B78"/>
      <sz val="12"/>
    </font>
    <font>
      <i val="1"/>
      <color rgb="005E6F82"/>
      <sz val="10"/>
    </font>
    <font>
      <b val="1"/>
      <color rgb="00FFFFFF"/>
      <sz val="16"/>
    </font>
    <font>
      <i val="1"/>
      <color rgb="0052616B"/>
      <sz val="9"/>
    </font>
    <font>
      <b val="1"/>
      <color rgb="001F2933"/>
      <sz val="11"/>
    </font>
    <font>
      <color rgb="001F2933"/>
      <sz val="10"/>
    </font>
    <font>
      <b val="1"/>
      <color rgb="001F2933"/>
    </font>
    <font>
      <color rgb="00000000"/>
      <sz val="13"/>
    </font>
    <font>
      <color rgb="00000000"/>
      <sz val="11"/>
    </font>
    <font>
      <i val="1"/>
      <color rgb="00666666"/>
      <sz val="11"/>
    </font>
    <font>
      <color rgb="001F1F1F"/>
      <sz val="11"/>
    </font>
    <font>
      <i val="1"/>
      <color rgb="005E6F82"/>
      <sz val="9"/>
    </font>
    <font>
      <b val="1"/>
      <color rgb="00FFFFFF"/>
      <sz val="14"/>
    </font>
    <font>
      <b val="1"/>
      <color rgb="001F4E78"/>
      <sz val="13"/>
    </font>
    <font>
      <color rgb="001F1F1F"/>
      <sz val="14"/>
    </font>
    <font>
      <b val="1"/>
      <color rgb="001F4E78"/>
      <sz val="14"/>
    </font>
    <font>
      <b val="1"/>
      <color rgb="00000000"/>
      <sz val="13"/>
    </font>
    <font>
      <b val="1"/>
      <color rgb="00FFFFFF"/>
    </font>
    <font>
      <b val="1"/>
      <color rgb="00FFFFFF"/>
      <sz val="18"/>
    </font>
    <font>
      <b val="1"/>
      <color rgb="00000000"/>
      <sz val="11"/>
    </font>
    <font>
      <b val="1"/>
      <color rgb="00000000"/>
      <sz val="12"/>
    </font>
  </fonts>
  <fills count="33">
    <fill>
      <patternFill/>
    </fill>
    <fill>
      <patternFill patternType="gray125"/>
    </fill>
    <fill>
      <patternFill patternType="solid">
        <fgColor rgb="005B9BD5"/>
      </patternFill>
    </fill>
    <fill>
      <patternFill patternType="solid">
        <fgColor rgb="00D9EAF7"/>
      </patternFill>
    </fill>
    <fill>
      <patternFill patternType="solid">
        <fgColor rgb="00EDF4FB"/>
      </patternFill>
    </fill>
    <fill>
      <patternFill patternType="solid">
        <fgColor rgb="006FA8DC"/>
      </patternFill>
    </fill>
    <fill>
      <patternFill patternType="solid">
        <fgColor rgb="00A63A00"/>
      </patternFill>
    </fill>
    <fill>
      <patternFill patternType="solid">
        <fgColor rgb="00D55E00"/>
      </patternFill>
    </fill>
    <fill>
      <patternFill patternType="solid">
        <fgColor rgb="00DDDDDD"/>
      </patternFill>
    </fill>
    <fill>
      <patternFill patternType="solid">
        <fgColor rgb="009BD3F5"/>
      </patternFill>
    </fill>
    <fill>
      <patternFill patternType="solid">
        <fgColor rgb="002F80ED"/>
      </patternFill>
    </fill>
    <fill>
      <patternFill patternType="solid">
        <fgColor rgb="00EAF3FB"/>
      </patternFill>
    </fill>
    <fill>
      <patternFill patternType="solid">
        <fgColor rgb="00D9E7F3"/>
      </patternFill>
    </fill>
    <fill>
      <patternFill patternType="solid">
        <fgColor rgb="00EDF4FA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7FAFC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4472C4"/>
      </patternFill>
    </fill>
    <fill>
      <patternFill patternType="solid">
        <fgColor rgb="00F2F6FA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66C2A5"/>
      </patternFill>
    </fill>
    <fill>
      <patternFill patternType="solid">
        <fgColor rgb="00E69F00"/>
      </patternFill>
    </fill>
    <fill>
      <patternFill patternType="solid">
        <fgColor rgb="00CC79A7"/>
      </patternFill>
    </fill>
    <fill>
      <patternFill patternType="solid">
        <fgColor rgb="00A6CEE3"/>
      </patternFill>
    </fill>
    <fill>
      <patternFill patternType="solid">
        <fgColor rgb="0056B4E9"/>
      </patternFill>
    </fill>
    <fill>
      <patternFill patternType="solid">
        <fgColor rgb="00009E73"/>
      </patternFill>
    </fill>
    <fill>
      <patternFill patternType="solid">
        <fgColor rgb="00F7FBFF"/>
      </patternFill>
    </fill>
    <fill>
      <patternFill patternType="solid">
        <fgColor rgb="00F6F9FC"/>
      </patternFill>
    </fill>
  </fills>
  <borders count="55">
    <border>
      <left/>
      <right/>
      <top/>
      <bottom/>
      <diagonal/>
    </border>
    <border>
      <left style="thin">
        <color rgb="00AAB7C4"/>
      </left>
      <right style="thin">
        <color rgb="00AAB7C4"/>
      </right>
      <top style="thick">
        <color rgb="005E6F82"/>
      </top>
      <bottom style="thin">
        <color rgb="00AAB7C4"/>
      </bottom>
    </border>
    <border>
      <left style="thin">
        <color rgb="00AAB7C4"/>
      </left>
      <right style="thin">
        <color rgb="00AAB7C4"/>
      </right>
      <top style="thin">
        <color rgb="00AAB7C4"/>
      </top>
      <bottom style="thin">
        <color rgb="00AAB7C4"/>
      </bottom>
    </border>
    <border>
      <left/>
      <right/>
      <top style="thin">
        <color rgb="00AAB7C4"/>
      </top>
      <bottom/>
      <diagonal/>
    </border>
    <border>
      <left/>
      <right style="thin">
        <color rgb="00AAB7C4"/>
      </right>
      <top style="thin">
        <color rgb="00AAB7C4"/>
      </top>
      <bottom/>
      <diagonal/>
    </border>
    <border>
      <left/>
      <right/>
      <top style="thin">
        <color rgb="00AAB7C4"/>
      </top>
      <bottom style="thin">
        <color rgb="00AAB7C4"/>
      </bottom>
      <diagonal/>
    </border>
    <border>
      <left/>
      <right style="thin">
        <color rgb="00AAB7C4"/>
      </right>
      <top style="thin">
        <color rgb="00AAB7C4"/>
      </top>
      <bottom style="thin">
        <color rgb="00AAB7C4"/>
      </bottom>
      <diagonal/>
    </border>
    <border>
      <left/>
      <right/>
      <top style="thick">
        <color rgb="00000000"/>
      </top>
      <bottom/>
    </border>
    <border>
      <left/>
      <right/>
      <top style="thick">
        <color rgb="00000000"/>
      </top>
      <bottom/>
      <diagonal/>
    </border>
    <border/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left/>
      <right/>
      <top style="thin">
        <color rgb="00D9E2EA"/>
      </top>
      <bottom/>
      <diagonal/>
    </border>
    <border>
      <left/>
      <right style="thin">
        <color rgb="00D9E2EA"/>
      </right>
      <top style="thin">
        <color rgb="00D9E2EA"/>
      </top>
      <bottom/>
      <diagonal/>
    </border>
    <border>
      <left/>
      <right/>
      <top style="thin">
        <color rgb="00D9E2EA"/>
      </top>
      <bottom style="thin">
        <color rgb="00D9E2EA"/>
      </bottom>
      <diagonal/>
    </border>
    <border>
      <left/>
      <right style="thin">
        <color rgb="00D9E2EA"/>
      </right>
      <top style="thin">
        <color rgb="00D9E2EA"/>
      </top>
      <bottom style="thin">
        <color rgb="00D9E2EA"/>
      </bottom>
      <diagonal/>
    </border>
    <border>
      <top style="thin">
        <color rgb="00D9E2EA"/>
      </top>
      <bottom style="thin">
        <color rgb="00D9E2EA"/>
      </bottom>
    </border>
    <border>
      <right style="thick"/>
    </border>
    <border>
      <left/>
      <right style="thick">
        <color rgb="00000000"/>
      </right>
      <top/>
      <bottom/>
    </border>
    <border>
      <left/>
      <right/>
      <top/>
      <bottom style="thick">
        <color rgb="00000000"/>
      </bottom>
    </border>
    <border>
      <left/>
      <right style="thick">
        <color rgb="00000000"/>
      </right>
      <top/>
      <bottom style="thick">
        <color rgb="00000000"/>
      </bottom>
    </border>
    <border>
      <left/>
      <right style="thick">
        <color rgb="00000000"/>
      </right>
      <top style="thick">
        <color rgb="00000000"/>
      </top>
      <bottom/>
    </border>
    <border>
      <top style="thin">
        <color rgb="00B8CCE4"/>
      </top>
    </border>
    <border>
      <bottom style="thin">
        <color rgb="00AAB7C4"/>
      </bottom>
    </border>
    <border>
      <left/>
      <right/>
      <top/>
      <bottom style="thin">
        <color rgb="00AAB7C4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D9E2EF"/>
      </bottom>
    </border>
    <border>
      <left/>
      <right/>
      <top/>
      <bottom style="thin">
        <color rgb="00D9E2EF"/>
      </bottom>
      <diagonal/>
    </border>
    <border>
      <right/>
      <bottom style="thin">
        <color rgb="00D9E2EF"/>
      </bottom>
    </border>
    <border>
      <left/>
      <right/>
      <top style="thick">
        <color rgb="005E6F82"/>
      </top>
      <bottom/>
      <diagonal/>
    </border>
    <border>
      <left/>
      <right style="thin">
        <color rgb="00AAB7C4"/>
      </right>
      <top style="thick">
        <color rgb="005E6F82"/>
      </top>
      <bottom/>
      <diagonal/>
    </border>
    <border>
      <left/>
      <right/>
      <top style="thick">
        <color rgb="005E6F82"/>
      </top>
      <bottom style="thin">
        <color rgb="00AAB7C4"/>
      </bottom>
      <diagonal/>
    </border>
    <border>
      <left/>
      <right style="thin">
        <color rgb="00AAB7C4"/>
      </right>
      <top style="thick">
        <color rgb="005E6F82"/>
      </top>
      <bottom style="thin">
        <color rgb="00AAB7C4"/>
      </bottom>
      <diagonal/>
    </border>
    <border>
      <right/>
      <bottom/>
    </border>
    <border>
      <left/>
      <right style="thick">
        <color rgb="00000000"/>
      </right>
      <top/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/>
      <bottom style="thick">
        <color rgb="00000000"/>
      </bottom>
      <diagonal/>
    </border>
    <border>
      <left/>
      <right style="thick">
        <color rgb="00000000"/>
      </right>
      <top/>
      <bottom style="thick">
        <color rgb="00000000"/>
      </bottom>
      <diagonal/>
    </border>
    <border>
      <left/>
      <right/>
      <top/>
      <bottom style="thin">
        <color rgb="00AAB7C4"/>
      </bottom>
      <diagonal/>
    </border>
    <border>
      <left/>
      <right/>
      <top style="thin">
        <color rgb="00B8CCE4"/>
      </top>
      <bottom/>
      <diagonal/>
    </border>
    <border>
      <right/>
      <bottom style="thin">
        <color rgb="00AAB7C4"/>
      </bottom>
    </border>
    <border>
      <right/>
      <top style="thin">
        <color rgb="00B8CCE4"/>
      </top>
      <bottom/>
    </border>
  </borders>
  <cellStyleXfs count="1">
    <xf numFmtId="0" fontId="0" fillId="0" borderId="0"/>
  </cellStyleXfs>
  <cellXfs count="46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wrapText="1"/>
    </xf>
    <xf numFmtId="165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0" fontId="0" fillId="4" borderId="0" pivotButton="0" quotePrefix="0" xfId="0"/>
    <xf numFmtId="165" fontId="0" fillId="3" borderId="0" applyAlignment="1" pivotButton="0" quotePrefix="0" xfId="0">
      <alignment horizontal="center" vertical="center"/>
    </xf>
    <xf numFmtId="166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167" fontId="0" fillId="4" borderId="0" applyAlignment="1" pivotButton="0" quotePrefix="0" xfId="0">
      <alignment horizontal="center" vertical="center"/>
    </xf>
    <xf numFmtId="0" fontId="17" fillId="0" borderId="0" pivotButton="0" quotePrefix="0" xfId="0"/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17" fillId="0" borderId="9" pivotButton="0" quotePrefix="0" xfId="0"/>
    <xf numFmtId="0" fontId="17" fillId="0" borderId="9" applyAlignment="1" pivotButton="0" quotePrefix="0" xfId="0">
      <alignment horizontal="left" vertical="center"/>
    </xf>
    <xf numFmtId="0" fontId="43" fillId="5" borderId="0" applyAlignment="1" pivotButton="0" quotePrefix="0" xfId="0">
      <alignment horizontal="center" vertical="center"/>
    </xf>
    <xf numFmtId="0" fontId="17" fillId="5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7" fillId="11" borderId="2" applyAlignment="1" pivotButton="0" quotePrefix="0" xfId="0">
      <alignment horizontal="center"/>
    </xf>
    <xf numFmtId="0" fontId="20" fillId="11" borderId="2" pivotButton="0" quotePrefix="0" xfId="0"/>
    <xf numFmtId="0" fontId="7" fillId="11" borderId="2" applyAlignment="1" pivotButton="0" quotePrefix="0" xfId="0">
      <alignment horizontal="left"/>
    </xf>
    <xf numFmtId="0" fontId="7" fillId="11" borderId="25" applyAlignment="1" pivotButton="0" quotePrefix="0" xfId="0">
      <alignment horizontal="center"/>
    </xf>
    <xf numFmtId="0" fontId="18" fillId="12" borderId="0" pivotButton="0" quotePrefix="0" xfId="0"/>
    <xf numFmtId="0" fontId="17" fillId="12" borderId="0" pivotButton="0" quotePrefix="0" xfId="0"/>
    <xf numFmtId="0" fontId="12" fillId="5" borderId="19" applyAlignment="1" pivotButton="0" quotePrefix="0" xfId="0">
      <alignment horizontal="left" vertical="center"/>
    </xf>
    <xf numFmtId="0" fontId="0" fillId="5" borderId="19" pivotButton="0" quotePrefix="0" xfId="0"/>
    <xf numFmtId="0" fontId="18" fillId="11" borderId="2" applyAlignment="1" pivotButton="0" quotePrefix="0" xfId="0">
      <alignment horizontal="left" vertical="center"/>
    </xf>
    <xf numFmtId="0" fontId="17" fillId="0" borderId="5" pivotButton="0" quotePrefix="0" xfId="0"/>
    <xf numFmtId="0" fontId="17" fillId="0" borderId="6" pivotButton="0" quotePrefix="0" xfId="0"/>
    <xf numFmtId="0" fontId="13" fillId="11" borderId="19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22" pivotButton="0" quotePrefix="0" xfId="0"/>
    <xf numFmtId="0" fontId="3" fillId="0" borderId="0" pivotButton="0" quotePrefix="0" xfId="0"/>
    <xf numFmtId="165" fontId="17" fillId="10" borderId="0" pivotButton="0" quotePrefix="0" xfId="0"/>
    <xf numFmtId="165" fontId="17" fillId="9" borderId="0" pivotButton="0" quotePrefix="0" xfId="0"/>
    <xf numFmtId="165" fontId="17" fillId="8" borderId="0" pivotButton="0" quotePrefix="0" xfId="0"/>
    <xf numFmtId="0" fontId="14" fillId="16" borderId="19" applyAlignment="1" pivotButton="0" quotePrefix="0" xfId="0">
      <alignment horizontal="left" vertical="center"/>
    </xf>
    <xf numFmtId="0" fontId="14" fillId="19" borderId="19" applyAlignment="1" pivotButton="0" quotePrefix="0" xfId="0">
      <alignment horizontal="left" vertical="center"/>
    </xf>
    <xf numFmtId="166" fontId="17" fillId="10" borderId="0" pivotButton="0" quotePrefix="0" xfId="0"/>
    <xf numFmtId="166" fontId="17" fillId="9" borderId="0" pivotButton="0" quotePrefix="0" xfId="0"/>
    <xf numFmtId="166" fontId="17" fillId="8" borderId="0" pivotButton="0" quotePrefix="0" xfId="0"/>
    <xf numFmtId="166" fontId="17" fillId="7" borderId="0" pivotButton="0" quotePrefix="0" xfId="0"/>
    <xf numFmtId="166" fontId="17" fillId="6" borderId="0" pivotButton="0" quotePrefix="0" xfId="0"/>
    <xf numFmtId="166" fontId="17" fillId="0" borderId="0" pivotButton="0" quotePrefix="0" xfId="0"/>
    <xf numFmtId="165" fontId="17" fillId="6" borderId="0" pivotButton="0" quotePrefix="0" xfId="0"/>
    <xf numFmtId="165" fontId="17" fillId="7" borderId="0" pivotButton="0" quotePrefix="0" xfId="0"/>
    <xf numFmtId="165" fontId="17" fillId="0" borderId="0" pivotButton="0" quotePrefix="0" xfId="0"/>
    <xf numFmtId="0" fontId="14" fillId="0" borderId="9" pivotButton="0" quotePrefix="0" xfId="0"/>
    <xf numFmtId="0" fontId="0" fillId="0" borderId="9" pivotButton="0" quotePrefix="0" xfId="0"/>
    <xf numFmtId="165" fontId="15" fillId="0" borderId="9" pivotButton="0" quotePrefix="0" xfId="0"/>
    <xf numFmtId="165" fontId="13" fillId="11" borderId="19" applyAlignment="1" pivotButton="0" quotePrefix="0" xfId="0">
      <alignment horizontal="left" vertical="center"/>
    </xf>
    <xf numFmtId="0" fontId="14" fillId="16" borderId="19" applyAlignment="1" pivotButton="0" quotePrefix="0" xfId="0">
      <alignment horizontal="left" vertical="center" wrapText="1"/>
    </xf>
    <xf numFmtId="0" fontId="14" fillId="19" borderId="19" applyAlignment="1" pivotButton="0" quotePrefix="0" xfId="0">
      <alignment horizontal="left" vertical="center" wrapText="1"/>
    </xf>
    <xf numFmtId="165" fontId="14" fillId="19" borderId="19" applyAlignment="1" pivotButton="0" quotePrefix="0" xfId="0">
      <alignment horizontal="left" vertical="center"/>
    </xf>
    <xf numFmtId="165" fontId="14" fillId="16" borderId="19" applyAlignment="1" pivotButton="0" quotePrefix="0" xfId="0">
      <alignment horizontal="left" vertical="center"/>
    </xf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66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0" fontId="17" fillId="19" borderId="24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" fontId="17" fillId="10" borderId="0" pivotButton="0" quotePrefix="0" xfId="0"/>
    <xf numFmtId="4" fontId="17" fillId="9" borderId="0" pivotButton="0" quotePrefix="0" xfId="0"/>
    <xf numFmtId="4" fontId="17" fillId="8" borderId="0" pivotButton="0" quotePrefix="0" xfId="0"/>
    <xf numFmtId="4" fontId="17" fillId="6" borderId="0" pivotButton="0" quotePrefix="0" xfId="0"/>
    <xf numFmtId="4" fontId="17" fillId="7" borderId="0" pivotButton="0" quotePrefix="0" xfId="0"/>
    <xf numFmtId="4" fontId="17" fillId="0" borderId="0" pivotButton="0" quotePrefix="0" xfId="0"/>
    <xf numFmtId="174" fontId="17" fillId="0" borderId="0" pivotButton="0" quotePrefix="0" xfId="0"/>
    <xf numFmtId="0" fontId="12" fillId="5" borderId="0" pivotButton="0" quotePrefix="0" xfId="0"/>
    <xf numFmtId="0" fontId="18" fillId="11" borderId="0" pivotButton="0" quotePrefix="0" xfId="0"/>
    <xf numFmtId="0" fontId="18" fillId="0" borderId="9" pivotButton="0" quotePrefix="0" xfId="0"/>
    <xf numFmtId="0" fontId="12" fillId="5" borderId="0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right" vertical="center"/>
    </xf>
    <xf numFmtId="0" fontId="18" fillId="16" borderId="2" applyAlignment="1" pivotButton="0" quotePrefix="0" xfId="0">
      <alignment horizontal="left" vertical="center"/>
    </xf>
    <xf numFmtId="0" fontId="17" fillId="16" borderId="2" applyAlignment="1" pivotButton="0" quotePrefix="0" xfId="0">
      <alignment horizontal="left" vertical="center"/>
    </xf>
    <xf numFmtId="1" fontId="17" fillId="16" borderId="2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2" fillId="5" borderId="9" pivotButton="0" quotePrefix="0" xfId="0"/>
    <xf numFmtId="0" fontId="17" fillId="5" borderId="9" pivotButton="0" quotePrefix="0" xfId="0"/>
    <xf numFmtId="0" fontId="18" fillId="11" borderId="9" applyAlignment="1" pivotButton="0" quotePrefix="0" xfId="0">
      <alignment horizontal="center" vertical="center"/>
    </xf>
    <xf numFmtId="0" fontId="17" fillId="3" borderId="9" pivotButton="0" quotePrefix="0" xfId="0"/>
    <xf numFmtId="0" fontId="17" fillId="0" borderId="9" applyAlignment="1" pivotButton="0" quotePrefix="0" xfId="0">
      <alignment vertical="top" wrapText="1"/>
    </xf>
    <xf numFmtId="0" fontId="17" fillId="17" borderId="9" pivotButton="0" quotePrefix="0" xfId="0"/>
    <xf numFmtId="0" fontId="17" fillId="14" borderId="9" pivotButton="0" quotePrefix="0" xfId="0"/>
    <xf numFmtId="0" fontId="17" fillId="18" borderId="9" pivotButton="0" quotePrefix="0" xfId="0"/>
    <xf numFmtId="0" fontId="43" fillId="5" borderId="0" pivotButton="0" quotePrefix="0" xfId="0"/>
    <xf numFmtId="0" fontId="0" fillId="5" borderId="0" pivotButton="0" quotePrefix="0" xfId="0"/>
    <xf numFmtId="0" fontId="0" fillId="5" borderId="26" pivotButton="0" quotePrefix="0" xfId="0"/>
    <xf numFmtId="0" fontId="7" fillId="11" borderId="0" applyAlignment="1" pivotButton="0" quotePrefix="0" xfId="0">
      <alignment horizontal="center" vertical="center"/>
    </xf>
    <xf numFmtId="0" fontId="18" fillId="11" borderId="0" applyAlignment="1" pivotButton="0" quotePrefix="0" xfId="0">
      <alignment horizontal="left" vertical="top" wrapText="1"/>
    </xf>
    <xf numFmtId="0" fontId="0" fillId="0" borderId="26" pivotButton="0" quotePrefix="0" xfId="0"/>
    <xf numFmtId="168" fontId="9" fillId="14" borderId="0" pivotButton="0" quotePrefix="0" xfId="0"/>
    <xf numFmtId="0" fontId="1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top" wrapText="1"/>
    </xf>
    <xf numFmtId="164" fontId="17" fillId="0" borderId="0" applyAlignment="1" pivotButton="0" quotePrefix="0" xfId="0">
      <alignment horizontal="left" vertical="center" shrinkToFit="1"/>
    </xf>
    <xf numFmtId="168" fontId="17" fillId="0" borderId="0" pivotButton="0" quotePrefix="0" xfId="0"/>
    <xf numFmtId="171" fontId="17" fillId="14" borderId="0" pivotButton="0" quotePrefix="0" xfId="0"/>
    <xf numFmtId="166" fontId="17" fillId="14" borderId="0" pivotButton="0" quotePrefix="0" xfId="0"/>
    <xf numFmtId="0" fontId="17" fillId="0" borderId="26" pivotButton="0" quotePrefix="0" xfId="0"/>
    <xf numFmtId="165" fontId="17" fillId="14" borderId="0" pivotButton="0" quotePrefix="0" xfId="0"/>
    <xf numFmtId="0" fontId="3" fillId="0" borderId="27" pivotButton="0" quotePrefix="0" xfId="0"/>
    <xf numFmtId="0" fontId="17" fillId="0" borderId="27" pivotButton="0" quotePrefix="0" xfId="0"/>
    <xf numFmtId="0" fontId="17" fillId="14" borderId="27" pivotButton="0" quotePrefix="0" xfId="0"/>
    <xf numFmtId="0" fontId="17" fillId="0" borderId="27" applyAlignment="1" pivotButton="0" quotePrefix="0" xfId="0">
      <alignment horizontal="left" vertical="center"/>
    </xf>
    <xf numFmtId="0" fontId="3" fillId="0" borderId="27" applyAlignment="1" pivotButton="0" quotePrefix="0" xfId="0">
      <alignment horizontal="left" vertical="top" wrapText="1"/>
    </xf>
    <xf numFmtId="0" fontId="0" fillId="0" borderId="27" pivotButton="0" quotePrefix="0" xfId="0"/>
    <xf numFmtId="0" fontId="0" fillId="0" borderId="28" pivotButton="0" quotePrefix="0" xfId="0"/>
    <xf numFmtId="0" fontId="17" fillId="0" borderId="28" pivotButton="0" quotePrefix="0" xfId="0"/>
    <xf numFmtId="0" fontId="18" fillId="13" borderId="0" pivotButton="0" quotePrefix="0" xfId="0"/>
    <xf numFmtId="0" fontId="18" fillId="11" borderId="26" pivotButton="0" quotePrefix="0" xfId="0"/>
    <xf numFmtId="0" fontId="3" fillId="13" borderId="0" applyAlignment="1" pivotButton="0" quotePrefix="0" xfId="0">
      <alignment horizontal="left" vertical="top" wrapText="1"/>
    </xf>
    <xf numFmtId="0" fontId="17" fillId="0" borderId="26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bottom"/>
    </xf>
    <xf numFmtId="166" fontId="18" fillId="15" borderId="0" applyAlignment="1" pivotButton="0" quotePrefix="0" xfId="0">
      <alignment horizontal="center" vertical="bottom"/>
    </xf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6" fontId="18" fillId="0" borderId="27" applyAlignment="1" pivotButton="0" quotePrefix="0" xfId="0">
      <alignment horizontal="center" vertical="bottom"/>
    </xf>
    <xf numFmtId="168" fontId="17" fillId="0" borderId="27" applyAlignment="1" pivotButton="0" quotePrefix="0" xfId="0">
      <alignment horizontal="right" vertical="bottom"/>
    </xf>
    <xf numFmtId="0" fontId="17" fillId="14" borderId="27" applyAlignment="1" pivotButton="0" quotePrefix="0" xfId="0">
      <alignment horizontal="center" vertical="center"/>
    </xf>
    <xf numFmtId="0" fontId="18" fillId="13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8" fillId="13" borderId="7" pivotButton="0" quotePrefix="0" xfId="0"/>
    <xf numFmtId="0" fontId="0" fillId="0" borderId="8" pivotButton="0" quotePrefix="0" xfId="0"/>
    <xf numFmtId="0" fontId="0" fillId="0" borderId="29" pivotButton="0" quotePrefix="0" xfId="0"/>
    <xf numFmtId="0" fontId="12" fillId="5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top" wrapText="1"/>
    </xf>
    <xf numFmtId="0" fontId="17" fillId="0" borderId="2" pivotButton="0" quotePrefix="0" xfId="0"/>
    <xf numFmtId="166" fontId="17" fillId="0" borderId="27" pivotButton="0" quotePrefix="0" xfId="0"/>
    <xf numFmtId="0" fontId="6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11" borderId="2" pivotButton="0" quotePrefix="0" xfId="0"/>
    <xf numFmtId="0" fontId="7" fillId="11" borderId="2" pivotButton="0" quotePrefix="0" xfId="0"/>
    <xf numFmtId="0" fontId="7" fillId="13" borderId="2" pivotButton="0" quotePrefix="0" xfId="0"/>
    <xf numFmtId="0" fontId="0" fillId="13" borderId="2" pivotButton="0" quotePrefix="0" xfId="0"/>
    <xf numFmtId="0" fontId="3" fillId="0" borderId="2" pivotButton="0" quotePrefix="0" xfId="0"/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66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175" fontId="22" fillId="0" borderId="2" applyAlignment="1" pivotButton="0" quotePrefix="0" xfId="0">
      <alignment horizontal="right"/>
    </xf>
    <xf numFmtId="175" fontId="22" fillId="8" borderId="2" applyAlignment="1" pivotButton="0" quotePrefix="0" xfId="0">
      <alignment horizontal="right"/>
    </xf>
    <xf numFmtId="175" fontId="22" fillId="9" borderId="2" applyAlignment="1" pivotButton="0" quotePrefix="0" xfId="0">
      <alignment horizontal="right"/>
    </xf>
    <xf numFmtId="166" fontId="22" fillId="8" borderId="2" applyAlignment="1" pivotButton="0" quotePrefix="0" xfId="0">
      <alignment horizontal="right"/>
    </xf>
    <xf numFmtId="166" fontId="22" fillId="10" borderId="2" applyAlignment="1" pivotButton="0" quotePrefix="0" xfId="0">
      <alignment horizontal="right"/>
    </xf>
    <xf numFmtId="166" fontId="22" fillId="9" borderId="2" applyAlignment="1" pivotButton="0" quotePrefix="0" xfId="0">
      <alignment horizontal="right"/>
    </xf>
    <xf numFmtId="166" fontId="22" fillId="7" borderId="2" applyAlignment="1" pivotButton="0" quotePrefix="0" xfId="0">
      <alignment horizontal="right"/>
    </xf>
    <xf numFmtId="0" fontId="5" fillId="5" borderId="2" pivotButton="0" quotePrefix="0" xfId="0"/>
    <xf numFmtId="0" fontId="0" fillId="5" borderId="2" pivotButton="0" quotePrefix="0" xfId="0"/>
    <xf numFmtId="0" fontId="21" fillId="13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/>
    </xf>
    <xf numFmtId="0" fontId="23" fillId="20" borderId="31" applyAlignment="1" pivotButton="0" quotePrefix="0" xfId="0">
      <alignment horizontal="left" vertical="center" wrapText="1"/>
    </xf>
    <xf numFmtId="0" fontId="23" fillId="20" borderId="31" applyAlignment="1" pivotButton="0" quotePrefix="0" xfId="0">
      <alignment horizontal="left" vertical="center"/>
    </xf>
    <xf numFmtId="0" fontId="24" fillId="13" borderId="31" applyAlignment="1" pivotButton="0" quotePrefix="0" xfId="0">
      <alignment horizontal="left" vertical="center"/>
    </xf>
    <xf numFmtId="0" fontId="0" fillId="13" borderId="31" pivotButton="0" quotePrefix="0" xfId="0"/>
    <xf numFmtId="0" fontId="25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/>
    </xf>
    <xf numFmtId="0" fontId="25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/>
    </xf>
    <xf numFmtId="0" fontId="0" fillId="0" borderId="9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26" fillId="20" borderId="31" applyAlignment="1" pivotButton="0" quotePrefix="0" xfId="0">
      <alignment horizontal="left" vertical="center" wrapText="1"/>
    </xf>
    <xf numFmtId="0" fontId="0" fillId="20" borderId="31" pivotButton="0" quotePrefix="0" xfId="0"/>
    <xf numFmtId="0" fontId="7" fillId="11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left" vertical="center"/>
    </xf>
    <xf numFmtId="0" fontId="23" fillId="19" borderId="2" applyAlignment="1" pivotButton="0" quotePrefix="0" xfId="0">
      <alignment horizontal="left" vertical="center" wrapText="1"/>
    </xf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0" fontId="23" fillId="19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/>
    </xf>
    <xf numFmtId="0" fontId="7" fillId="11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top" wrapText="1"/>
    </xf>
    <xf numFmtId="169" fontId="23" fillId="10" borderId="2" applyAlignment="1" pivotButton="0" quotePrefix="0" xfId="0">
      <alignment horizontal="center" vertical="center"/>
    </xf>
    <xf numFmtId="175" fontId="23" fillId="10" borderId="2" applyAlignment="1" pivotButton="0" quotePrefix="0" xfId="0">
      <alignment horizontal="center" vertical="center"/>
    </xf>
    <xf numFmtId="175" fontId="23" fillId="9" borderId="2" applyAlignment="1" pivotButton="0" quotePrefix="0" xfId="0">
      <alignment horizontal="center" vertical="center"/>
    </xf>
    <xf numFmtId="175" fontId="23" fillId="8" borderId="2" applyAlignment="1" pivotButton="0" quotePrefix="0" xfId="0">
      <alignment horizontal="center" vertical="center"/>
    </xf>
    <xf numFmtId="175" fontId="23" fillId="7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75" fontId="23" fillId="6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75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3" fontId="23" fillId="0" borderId="2" applyAlignment="1" pivotButton="0" quotePrefix="0" xfId="0">
      <alignment horizontal="center" vertical="center"/>
    </xf>
    <xf numFmtId="0" fontId="27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28" fillId="0" borderId="0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0" fillId="2" borderId="19" pivotButton="0" quotePrefix="0" xfId="0"/>
    <xf numFmtId="0" fontId="14" fillId="22" borderId="19" applyAlignment="1" pivotButton="0" quotePrefix="0" xfId="0">
      <alignment horizontal="left" vertical="center"/>
    </xf>
    <xf numFmtId="0" fontId="14" fillId="22" borderId="19" applyAlignment="1" pivotButton="0" quotePrefix="0" xfId="0">
      <alignment horizontal="left" vertical="center" wrapText="1"/>
    </xf>
    <xf numFmtId="0" fontId="13" fillId="23" borderId="19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 wrapText="1"/>
    </xf>
    <xf numFmtId="170" fontId="14" fillId="16" borderId="19" applyAlignment="1" pivotButton="0" quotePrefix="0" xfId="0">
      <alignment horizontal="left" vertical="center"/>
    </xf>
    <xf numFmtId="170" fontId="14" fillId="14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69" fontId="14" fillId="16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6" fontId="14" fillId="16" borderId="19" applyAlignment="1" pivotButton="0" quotePrefix="0" xfId="0">
      <alignment horizontal="left" vertical="center"/>
    </xf>
    <xf numFmtId="166" fontId="14" fillId="14" borderId="19" applyAlignment="1" pivotButton="0" quotePrefix="0" xfId="0">
      <alignment horizontal="left" vertical="center"/>
    </xf>
    <xf numFmtId="166" fontId="14" fillId="19" borderId="19" applyAlignment="1" pivotButton="0" quotePrefix="0" xfId="0">
      <alignment horizontal="left" vertical="center"/>
    </xf>
    <xf numFmtId="1" fontId="14" fillId="19" borderId="19" applyAlignment="1" pivotButton="0" quotePrefix="0" xfId="0">
      <alignment horizontal="left" vertical="center"/>
    </xf>
    <xf numFmtId="1" fontId="14" fillId="14" borderId="19" applyAlignment="1" pivotButton="0" quotePrefix="0" xfId="0">
      <alignment horizontal="left" vertical="center"/>
    </xf>
    <xf numFmtId="1" fontId="14" fillId="16" borderId="19" applyAlignment="1" pivotButton="0" quotePrefix="0" xfId="0">
      <alignment horizontal="left" vertical="center"/>
    </xf>
    <xf numFmtId="0" fontId="14" fillId="14" borderId="19" applyAlignment="1" pivotButton="0" quotePrefix="0" xfId="0">
      <alignment horizontal="left" vertical="center"/>
    </xf>
    <xf numFmtId="0" fontId="13" fillId="24" borderId="19" applyAlignment="1" pivotButton="0" quotePrefix="0" xfId="0">
      <alignment horizontal="left" vertical="center" wrapText="1"/>
    </xf>
    <xf numFmtId="166" fontId="14" fillId="14" borderId="19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9" fontId="14" fillId="16" borderId="19" applyAlignment="1" pivotButton="0" quotePrefix="0" xfId="0">
      <alignment horizontal="left" vertical="center" wrapText="1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166" fontId="14" fillId="19" borderId="19" applyAlignment="1" pivotButton="0" quotePrefix="0" xfId="0">
      <alignment horizontal="left" vertical="center" wrapText="1"/>
    </xf>
    <xf numFmtId="0" fontId="13" fillId="22" borderId="19" applyAlignment="1" pivotButton="0" quotePrefix="0" xfId="0">
      <alignment horizontal="left" vertical="center" wrapText="1"/>
    </xf>
    <xf numFmtId="0" fontId="13" fillId="24" borderId="19" applyAlignment="1" pivotButton="0" quotePrefix="0" xfId="0">
      <alignment horizontal="left" vertical="top" wrapText="1"/>
    </xf>
    <xf numFmtId="0" fontId="13" fillId="0" borderId="22" applyAlignment="1" pivotButton="0" quotePrefix="0" xfId="0">
      <alignment horizontal="left" vertical="top" wrapText="1"/>
    </xf>
    <xf numFmtId="0" fontId="13" fillId="0" borderId="23" applyAlignment="1" pivotButton="0" quotePrefix="0" xfId="0">
      <alignment horizontal="left" vertical="top" wrapText="1"/>
    </xf>
    <xf numFmtId="0" fontId="13" fillId="16" borderId="19" applyAlignment="1" pivotButton="0" quotePrefix="0" xfId="0">
      <alignment horizontal="left" vertical="top" wrapText="1"/>
    </xf>
    <xf numFmtId="0" fontId="14" fillId="16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left" vertical="top" wrapText="1"/>
    </xf>
    <xf numFmtId="0" fontId="13" fillId="19" borderId="19" applyAlignment="1" pivotButton="0" quotePrefix="0" xfId="0">
      <alignment horizontal="left" vertical="top" wrapText="1"/>
    </xf>
    <xf numFmtId="0" fontId="14" fillId="19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/>
    </xf>
    <xf numFmtId="0" fontId="37" fillId="2" borderId="33" applyAlignment="1" pivotButton="0" quotePrefix="0" xfId="0">
      <alignment horizontal="left" vertical="top" wrapText="1"/>
    </xf>
    <xf numFmtId="0" fontId="0" fillId="0" borderId="36" pivotButton="0" quotePrefix="0" xfId="0"/>
    <xf numFmtId="0" fontId="0" fillId="0" borderId="37" pivotButton="0" quotePrefix="0" xfId="0"/>
    <xf numFmtId="0" fontId="38" fillId="24" borderId="33" applyAlignment="1" pivotButton="0" quotePrefix="0" xfId="0">
      <alignment horizontal="left" vertical="top" wrapText="1"/>
    </xf>
    <xf numFmtId="0" fontId="40" fillId="31" borderId="33" applyAlignment="1" pivotButton="0" quotePrefix="0" xfId="0">
      <alignment horizontal="left" vertical="top" wrapText="1"/>
    </xf>
    <xf numFmtId="0" fontId="39" fillId="31" borderId="33" applyAlignment="1" pivotButton="0" quotePrefix="0" xfId="0">
      <alignment horizontal="left" vertical="top" wrapText="1"/>
    </xf>
    <xf numFmtId="0" fontId="40" fillId="4" borderId="33" applyAlignment="1" pivotButton="0" quotePrefix="0" xfId="0">
      <alignment horizontal="left" vertical="top" wrapText="1"/>
    </xf>
    <xf numFmtId="0" fontId="39" fillId="4" borderId="33" applyAlignment="1" pivotButton="0" quotePrefix="0" xfId="0">
      <alignment horizontal="left" vertical="top" wrapText="1"/>
    </xf>
    <xf numFmtId="0" fontId="0" fillId="19" borderId="9" applyAlignment="1" pivotButton="0" quotePrefix="0" xfId="0">
      <alignment horizontal="left" vertical="center"/>
    </xf>
    <xf numFmtId="0" fontId="41" fillId="23" borderId="33" applyAlignment="1" pivotButton="0" quotePrefix="0" xfId="0">
      <alignment horizontal="left" vertical="top" wrapText="1"/>
    </xf>
    <xf numFmtId="0" fontId="12" fillId="2" borderId="39" applyAlignment="1" pivotButton="0" quotePrefix="0" xfId="0">
      <alignment horizontal="left" vertical="center"/>
    </xf>
    <xf numFmtId="0" fontId="0" fillId="0" borderId="40" pivotButton="0" quotePrefix="0" xfId="0"/>
    <xf numFmtId="0" fontId="33" fillId="3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 wrapText="1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 wrapText="1"/>
    </xf>
    <xf numFmtId="0" fontId="0" fillId="19" borderId="9" pivotButton="0" quotePrefix="0" xfId="0"/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64" fontId="17" fillId="0" borderId="0" pivotButton="0" quotePrefix="0" xfId="0"/>
    <xf numFmtId="164" fontId="2" fillId="0" borderId="0" applyAlignment="1" pivotButton="0" quotePrefix="0" xfId="0">
      <alignment vertical="center"/>
    </xf>
    <xf numFmtId="0" fontId="42" fillId="2" borderId="33" applyAlignment="1" pivotButton="0" quotePrefix="0" xfId="0">
      <alignment horizontal="left" vertical="center" wrapText="1"/>
    </xf>
    <xf numFmtId="0" fontId="0" fillId="4" borderId="33" applyAlignment="1" pivotButton="0" quotePrefix="0" xfId="0">
      <alignment horizontal="left" vertical="top"/>
    </xf>
    <xf numFmtId="0" fontId="0" fillId="4" borderId="33" applyAlignment="1" pivotButton="0" quotePrefix="0" xfId="0">
      <alignment horizontal="left" vertical="top" wrapText="1"/>
    </xf>
    <xf numFmtId="0" fontId="0" fillId="31" borderId="33" applyAlignment="1" pivotButton="0" quotePrefix="0" xfId="0">
      <alignment horizontal="left" vertical="top"/>
    </xf>
    <xf numFmtId="0" fontId="0" fillId="31" borderId="33" applyAlignment="1" pivotButton="0" quotePrefix="0" xfId="0">
      <alignment horizontal="left" vertical="top" wrapText="1"/>
    </xf>
    <xf numFmtId="176" fontId="17" fillId="0" borderId="0" pivotButton="0" quotePrefix="0" xfId="0"/>
    <xf numFmtId="0" fontId="2" fillId="17" borderId="38" applyAlignment="1" pivotButton="0" quotePrefix="0" xfId="0">
      <alignment horizontal="left" vertical="center" wrapText="1"/>
    </xf>
    <xf numFmtId="164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top" wrapText="1"/>
    </xf>
    <xf numFmtId="169" fontId="0" fillId="0" borderId="38" applyAlignment="1" pivotButton="0" quotePrefix="0" xfId="0">
      <alignment horizontal="left" vertical="center"/>
    </xf>
    <xf numFmtId="175" fontId="0" fillId="0" borderId="38" applyAlignment="1" pivotButton="0" quotePrefix="0" xfId="0">
      <alignment horizontal="left" vertical="center"/>
    </xf>
    <xf numFmtId="165" fontId="0" fillId="0" borderId="38" applyAlignment="1" pivotButton="0" quotePrefix="0" xfId="0">
      <alignment horizontal="left" vertical="center"/>
    </xf>
    <xf numFmtId="0" fontId="31" fillId="3" borderId="19" pivotButton="0" quotePrefix="0" xfId="0"/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169" fontId="0" fillId="0" borderId="19" applyAlignment="1" pivotButton="0" quotePrefix="0" xfId="0">
      <alignment horizontal="left" vertical="center"/>
    </xf>
    <xf numFmtId="0" fontId="29" fillId="23" borderId="19" applyAlignment="1" pivotButton="0" quotePrefix="0" xfId="0">
      <alignment horizontal="left" vertical="center" wrapText="1"/>
    </xf>
    <xf numFmtId="0" fontId="30" fillId="0" borderId="19" applyAlignment="1" pivotButton="0" quotePrefix="0" xfId="0">
      <alignment horizontal="left" vertical="top" wrapText="1"/>
    </xf>
    <xf numFmtId="169" fontId="30" fillId="0" borderId="19" applyAlignment="1" pivotButton="0" quotePrefix="0" xfId="0">
      <alignment horizontal="left" vertical="top" wrapText="1"/>
    </xf>
    <xf numFmtId="166" fontId="30" fillId="0" borderId="19" applyAlignment="1" pivotButton="0" quotePrefix="0" xfId="0">
      <alignment horizontal="left" vertical="top" wrapText="1"/>
    </xf>
    <xf numFmtId="0" fontId="0" fillId="0" borderId="44" pivotButton="0" quotePrefix="0" xfId="0"/>
    <xf numFmtId="0" fontId="0" fillId="0" borderId="45" pivotButton="0" quotePrefix="0" xfId="0"/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174" fontId="17" fillId="0" borderId="0" pivotButton="0" quotePrefix="0" xfId="0"/>
    <xf numFmtId="0" fontId="12" fillId="5" borderId="46" pivotButton="0" quotePrefix="0" xfId="0"/>
    <xf numFmtId="0" fontId="18" fillId="11" borderId="46" applyAlignment="1" pivotButton="0" quotePrefix="0" xfId="0">
      <alignment horizontal="center" vertical="center"/>
    </xf>
    <xf numFmtId="0" fontId="17" fillId="0" borderId="46" applyAlignment="1" pivotButton="0" quotePrefix="0" xfId="0">
      <alignment vertical="top" wrapText="1"/>
    </xf>
    <xf numFmtId="0" fontId="43" fillId="5" borderId="47" pivotButton="0" quotePrefix="0" xfId="0"/>
    <xf numFmtId="0" fontId="0" fillId="0" borderId="47" pivotButton="0" quotePrefix="0" xfId="0"/>
    <xf numFmtId="0" fontId="18" fillId="11" borderId="47" applyAlignment="1" pivotButton="0" quotePrefix="0" xfId="0">
      <alignment horizontal="left" vertical="top" wrapText="1"/>
    </xf>
    <xf numFmtId="0" fontId="18" fillId="11" borderId="47" pivotButton="0" quotePrefix="0" xfId="0"/>
    <xf numFmtId="168" fontId="9" fillId="14" borderId="0" pivotButton="0" quotePrefix="0" xfId="0"/>
    <xf numFmtId="0" fontId="3" fillId="0" borderId="47" applyAlignment="1" pivotButton="0" quotePrefix="0" xfId="0">
      <alignment horizontal="left" vertical="top" wrapText="1"/>
    </xf>
    <xf numFmtId="168" fontId="17" fillId="0" borderId="0" pivotButton="0" quotePrefix="0" xfId="0"/>
    <xf numFmtId="171" fontId="17" fillId="14" borderId="0" pivotButton="0" quotePrefix="0" xfId="0"/>
    <xf numFmtId="0" fontId="0" fillId="0" borderId="49" pivotButton="0" quotePrefix="0" xfId="0"/>
    <xf numFmtId="0" fontId="3" fillId="0" borderId="28" applyAlignment="1" pivotButton="0" quotePrefix="0" xfId="0">
      <alignment horizontal="left" vertical="top" wrapText="1"/>
    </xf>
    <xf numFmtId="0" fontId="0" fillId="0" borderId="50" pivotButton="0" quotePrefix="0" xfId="0"/>
    <xf numFmtId="0" fontId="18" fillId="13" borderId="47" pivotButton="0" quotePrefix="0" xfId="0"/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8" fontId="17" fillId="0" borderId="27" applyAlignment="1" pivotButton="0" quotePrefix="0" xfId="0">
      <alignment horizontal="right" vertical="bottom"/>
    </xf>
    <xf numFmtId="0" fontId="18" fillId="13" borderId="47" applyAlignment="1" pivotButton="0" quotePrefix="0" xfId="0">
      <alignment horizontal="left" vertical="top" wrapText="1"/>
    </xf>
    <xf numFmtId="0" fontId="18" fillId="13" borderId="29" pivotButton="0" quotePrefix="0" xfId="0"/>
    <xf numFmtId="0" fontId="0" fillId="0" borderId="48" pivotButton="0" quotePrefix="0" xfId="0"/>
    <xf numFmtId="0" fontId="17" fillId="0" borderId="47" applyAlignment="1" pivotButton="0" quotePrefix="0" xfId="0">
      <alignment horizontal="left" vertical="top" wrapText="1"/>
    </xf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0" fontId="0" fillId="0" borderId="51" pivotButton="0" quotePrefix="0" xfId="0"/>
    <xf numFmtId="0" fontId="0" fillId="0" borderId="52" pivotButton="0" quotePrefix="0" xfId="0"/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170" fontId="14" fillId="14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0" fontId="12" fillId="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169" fontId="0" fillId="0" borderId="38" applyAlignment="1" pivotButton="0" quotePrefix="0" xfId="0">
      <alignment horizontal="left" vertical="center"/>
    </xf>
    <xf numFmtId="169" fontId="0" fillId="0" borderId="19" applyAlignment="1" pivotButton="0" quotePrefix="0" xfId="0">
      <alignment horizontal="left" vertical="center"/>
    </xf>
    <xf numFmtId="169" fontId="30" fillId="0" borderId="19" applyAlignment="1" pivotButton="0" quotePrefix="0" xfId="0">
      <alignment horizontal="left" vertical="top" wrapText="1"/>
    </xf>
    <xf numFmtId="0" fontId="23" fillId="19" borderId="53" applyAlignment="1" pivotButton="0" quotePrefix="0" xfId="0">
      <alignment horizontal="left" vertical="center"/>
    </xf>
    <xf numFmtId="0" fontId="23" fillId="19" borderId="53" applyAlignment="1" pivotButton="0" quotePrefix="0" xfId="0">
      <alignment horizontal="left" vertical="center" wrapText="1"/>
    </xf>
    <xf numFmtId="0" fontId="23" fillId="20" borderId="53" applyAlignment="1" pivotButton="0" quotePrefix="0" xfId="0">
      <alignment horizontal="left" vertical="center"/>
    </xf>
    <xf numFmtId="0" fontId="23" fillId="20" borderId="53" applyAlignment="1" pivotButton="0" quotePrefix="0" xfId="0">
      <alignment horizontal="left" vertical="center" wrapText="1"/>
    </xf>
    <xf numFmtId="0" fontId="24" fillId="13" borderId="53" applyAlignment="1" pivotButton="0" quotePrefix="0" xfId="0">
      <alignment horizontal="left" vertical="center"/>
    </xf>
    <xf numFmtId="0" fontId="23" fillId="19" borderId="54" applyAlignment="1" pivotButton="0" quotePrefix="0" xfId="0">
      <alignment horizontal="left" vertical="top" wrapText="1"/>
    </xf>
    <xf numFmtId="0" fontId="26" fillId="20" borderId="53" applyAlignment="1" pivotButton="0" quotePrefix="0" xfId="0">
      <alignment horizontal="left" vertical="center" wrapText="1"/>
    </xf>
    <xf numFmtId="0" fontId="12" fillId="2" borderId="41" applyAlignment="1" pivotButton="0" quotePrefix="0" xfId="0">
      <alignment horizontal="left" vertical="center"/>
    </xf>
    <xf numFmtId="0" fontId="44" fillId="11" borderId="41" applyAlignment="1" pivotButton="0" quotePrefix="0" xfId="0">
      <alignment horizontal="left" vertical="center"/>
    </xf>
    <xf numFmtId="0" fontId="12" fillId="5" borderId="19" applyAlignment="1" pivotButton="0" quotePrefix="0" xfId="0">
      <alignment horizontal="left" vertical="center" wrapText="1"/>
    </xf>
    <xf numFmtId="0" fontId="12" fillId="0" borderId="19" applyAlignment="1" pivotButton="0" quotePrefix="0" xfId="0">
      <alignment horizontal="left" vertical="center"/>
    </xf>
    <xf numFmtId="0" fontId="45" fillId="11" borderId="19" applyAlignment="1" pivotButton="0" quotePrefix="0" xfId="0">
      <alignment horizontal="left" vertical="center" wrapText="1"/>
    </xf>
    <xf numFmtId="165" fontId="45" fillId="11" borderId="19" applyAlignment="1" pivotButton="0" quotePrefix="0" xfId="0">
      <alignment horizontal="left" vertical="center" wrapText="1"/>
    </xf>
    <xf numFmtId="169" fontId="14" fillId="0" borderId="19" applyAlignment="1" pivotButton="0" quotePrefix="0" xfId="0">
      <alignment horizontal="left" vertical="center"/>
    </xf>
    <xf numFmtId="170" fontId="14" fillId="0" borderId="19" applyAlignment="1" pivotButton="0" quotePrefix="0" xfId="0">
      <alignment horizontal="left" vertical="center"/>
    </xf>
    <xf numFmtId="171" fontId="15" fillId="0" borderId="19" applyAlignment="1" pivotButton="0" quotePrefix="0" xfId="0">
      <alignment horizontal="left" vertical="center"/>
    </xf>
    <xf numFmtId="166" fontId="15" fillId="0" borderId="19" applyAlignment="1" pivotButton="0" quotePrefix="0" xfId="0">
      <alignment horizontal="left" vertical="center"/>
    </xf>
    <xf numFmtId="172" fontId="15" fillId="0" borderId="19" applyAlignment="1" pivotButton="0" quotePrefix="0" xfId="0">
      <alignment horizontal="left" vertical="center"/>
    </xf>
    <xf numFmtId="169" fontId="15" fillId="0" borderId="19" applyAlignment="1" pivotButton="0" quotePrefix="0" xfId="0">
      <alignment horizontal="left" vertical="center"/>
    </xf>
    <xf numFmtId="0" fontId="12" fillId="5" borderId="0" applyAlignment="1" pivotButton="0" quotePrefix="0" xfId="0">
      <alignment horizontal="left" vertical="center" wrapText="1"/>
    </xf>
    <xf numFmtId="0" fontId="45" fillId="11" borderId="0" applyAlignment="1" pivotButton="0" quotePrefix="0" xfId="0">
      <alignment horizontal="left" vertical="center" wrapText="1"/>
    </xf>
    <xf numFmtId="0" fontId="12" fillId="5" borderId="2" applyAlignment="1" pivotButton="0" quotePrefix="0" xfId="0">
      <alignment horizontal="left" vertical="center" wrapText="1"/>
    </xf>
    <xf numFmtId="0" fontId="45" fillId="11" borderId="2" applyAlignment="1" pivotButton="0" quotePrefix="0" xfId="0">
      <alignment horizontal="left" vertical="center" wrapText="1"/>
    </xf>
    <xf numFmtId="0" fontId="12" fillId="5" borderId="9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left" vertical="center" wrapText="1"/>
    </xf>
    <xf numFmtId="0" fontId="12" fillId="5" borderId="46" applyAlignment="1" pivotButton="0" quotePrefix="0" xfId="0">
      <alignment horizontal="left" vertical="center" wrapText="1"/>
    </xf>
    <xf numFmtId="0" fontId="45" fillId="11" borderId="9" applyAlignment="1" pivotButton="0" quotePrefix="0" xfId="0">
      <alignment horizontal="center" vertical="center"/>
    </xf>
    <xf numFmtId="0" fontId="45" fillId="11" borderId="46" applyAlignment="1" pivotButton="0" quotePrefix="0" xfId="0">
      <alignment horizontal="center" vertical="center"/>
    </xf>
    <xf numFmtId="0" fontId="43" fillId="5" borderId="47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0" fontId="33" fillId="32" borderId="41" applyAlignment="1" pivotButton="0" quotePrefix="0" xfId="0">
      <alignment horizontal="left" vertical="center"/>
    </xf>
    <xf numFmtId="0" fontId="33" fillId="19" borderId="41" applyAlignment="1" pivotButton="0" quotePrefix="0" xfId="0">
      <alignment horizontal="left" vertical="center"/>
    </xf>
    <xf numFmtId="0" fontId="33" fillId="0" borderId="39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6">
    <dxf>
      <fill>
        <patternFill patternType="solid">
          <fgColor rgb="00F4B183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8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4" customHeight="1">
      <c r="A1" s="1" t="inlineStr">
        <is>
          <t>SUMMARY</t>
        </is>
      </c>
      <c r="B1" s="347" t="n"/>
      <c r="C1" s="347" t="n"/>
      <c r="D1" s="347" t="n"/>
      <c r="E1" s="347" t="n"/>
      <c r="F1" s="348" t="n"/>
    </row>
    <row r="2" ht="22" customHeight="1">
      <c r="A2" s="3" t="inlineStr">
        <is>
          <t>What the company does</t>
        </is>
      </c>
      <c r="B2" s="347" t="n"/>
      <c r="C2" s="347" t="n"/>
      <c r="D2" s="347" t="n"/>
      <c r="E2" s="347" t="n"/>
      <c r="F2" s="348" t="n"/>
    </row>
    <row r="3" ht="34" customHeight="1">
      <c r="A3" s="4" t="n"/>
    </row>
    <row r="4" ht="22" customHeight="1">
      <c r="A4" s="3" t="inlineStr">
        <is>
          <t>Current strategic context</t>
        </is>
      </c>
      <c r="B4" s="347" t="n"/>
      <c r="C4" s="347" t="n"/>
      <c r="D4" s="347" t="n"/>
      <c r="E4" s="347" t="n"/>
      <c r="F4" s="348" t="n"/>
    </row>
    <row r="5" ht="68" customHeight="1">
      <c r="A5" s="5" t="n"/>
    </row>
    <row r="6" ht="22" customHeight="1">
      <c r="A6" s="3" t="inlineStr">
        <is>
          <t>Key competitive advantage</t>
        </is>
      </c>
      <c r="B6" s="347" t="n"/>
      <c r="C6" s="347" t="n"/>
      <c r="D6" s="347" t="n"/>
      <c r="E6" s="347" t="n"/>
      <c r="F6" s="348" t="n"/>
    </row>
    <row r="7" ht="52" customHeight="1">
      <c r="A7" s="4" t="n"/>
    </row>
    <row r="8" ht="22" customHeight="1">
      <c r="A8" s="3" t="inlineStr">
        <is>
          <t>Business model / revenue streams (% of total revenue)</t>
        </is>
      </c>
      <c r="B8" s="347" t="n"/>
      <c r="C8" s="347" t="n"/>
      <c r="D8" s="347" t="n"/>
      <c r="E8" s="347" t="n"/>
      <c r="F8" s="348" t="n"/>
    </row>
    <row r="9" ht="24" customHeight="1">
      <c r="A9" s="6" t="n"/>
      <c r="B9" s="5" t="n"/>
    </row>
    <row r="10" ht="24" customHeight="1">
      <c r="A10" s="7" t="n"/>
      <c r="B10" s="4" t="n"/>
    </row>
    <row r="11" ht="24" customHeight="1">
      <c r="A11" s="6" t="n"/>
      <c r="B11" s="5" t="n"/>
    </row>
    <row r="12" ht="22" customHeight="1">
      <c r="A12" s="3" t="inlineStr">
        <is>
          <t>Operating model per segment</t>
        </is>
      </c>
      <c r="B12" s="347" t="n"/>
      <c r="C12" s="347" t="n"/>
      <c r="D12" s="347" t="n"/>
      <c r="E12" s="347" t="n"/>
      <c r="F12" s="348" t="n"/>
    </row>
    <row r="13" ht="34" customHeight="1">
      <c r="A13" s="7" t="n"/>
      <c r="B13" s="4" t="n"/>
    </row>
    <row r="14" ht="34" customHeight="1">
      <c r="A14" s="6" t="n"/>
      <c r="B14" s="5" t="n"/>
    </row>
    <row r="15" ht="34" customHeight="1">
      <c r="A15" s="7" t="n"/>
      <c r="B15" s="4" t="n"/>
    </row>
    <row r="16" ht="22" customHeight="1">
      <c r="A16" s="3" t="inlineStr">
        <is>
          <t>Key dependencies (3-5)</t>
        </is>
      </c>
      <c r="B16" s="347" t="n"/>
      <c r="C16" s="347" t="n"/>
      <c r="D16" s="347" t="n"/>
      <c r="E16" s="347" t="n"/>
      <c r="F16" s="348" t="n"/>
    </row>
    <row r="17" ht="24" customHeight="1">
      <c r="A17" s="5" t="n"/>
    </row>
    <row r="18" ht="24" customHeight="1">
      <c r="A18" s="4" t="n"/>
    </row>
    <row r="19" ht="24" customHeight="1">
      <c r="A19" s="5" t="n"/>
    </row>
    <row r="20" ht="24" customHeight="1">
      <c r="A20" s="4" t="n"/>
    </row>
    <row r="21" ht="34" customHeight="1">
      <c r="A21" s="5" t="n"/>
    </row>
    <row r="22" ht="22" customHeight="1">
      <c r="A22" s="3" t="inlineStr">
        <is>
          <t>What would make me wrong</t>
        </is>
      </c>
      <c r="B22" s="347" t="n"/>
      <c r="C22" s="347" t="n"/>
      <c r="D22" s="347" t="n"/>
      <c r="E22" s="347" t="n"/>
      <c r="F22" s="348" t="n"/>
    </row>
    <row r="23" ht="24" customHeight="1">
      <c r="A23" s="4" t="n"/>
    </row>
    <row r="24" ht="24" customHeight="1">
      <c r="A24" s="5" t="n"/>
    </row>
    <row r="25" ht="24" customHeight="1">
      <c r="A25" s="8" t="inlineStr">
        <is>
          <t>Key Financials</t>
        </is>
      </c>
      <c r="B25" s="347" t="n"/>
      <c r="C25" s="347" t="n"/>
      <c r="D25" s="347" t="n"/>
      <c r="E25" s="347" t="n"/>
      <c r="F25" s="348" t="n"/>
    </row>
    <row r="26" ht="22" customHeight="1">
      <c r="A26" s="9" t="inlineStr">
        <is>
          <t>As of quarter</t>
        </is>
      </c>
      <c r="B26" s="10" t="n"/>
      <c r="C26" s="11" t="n"/>
      <c r="D26" s="12" t="n"/>
      <c r="E26" s="12" t="n"/>
      <c r="F26" s="12" t="n"/>
    </row>
    <row r="27" ht="22" customHeight="1">
      <c r="A27" s="13" t="inlineStr">
        <is>
          <t>Revenue (TTM)</t>
        </is>
      </c>
      <c r="B27" s="14" t="n"/>
      <c r="C27" s="15" t="inlineStr">
        <is>
          <t>$m</t>
        </is>
      </c>
      <c r="D27" s="16" t="n"/>
      <c r="E27" s="16" t="n"/>
      <c r="F27" s="16" t="n"/>
    </row>
    <row r="28" ht="22" customHeight="1">
      <c r="A28" s="9" t="inlineStr">
        <is>
          <t>Revenue (latest quarter)</t>
        </is>
      </c>
      <c r="B28" s="17" t="n"/>
      <c r="C28" s="11" t="inlineStr">
        <is>
          <t>$m</t>
        </is>
      </c>
      <c r="D28" s="12" t="n"/>
      <c r="E28" s="12" t="n"/>
      <c r="F28" s="12" t="n"/>
    </row>
    <row r="29" ht="22" customHeight="1">
      <c r="A29" s="13" t="inlineStr">
        <is>
          <t>Revenue YoY (latest vs LY quarter)</t>
        </is>
      </c>
      <c r="B29" s="18" t="n"/>
      <c r="C29" s="15" t="inlineStr">
        <is>
          <t>%</t>
        </is>
      </c>
      <c r="D29" s="16" t="n"/>
      <c r="E29" s="16" t="n"/>
      <c r="F29" s="16" t="n"/>
    </row>
    <row r="30" ht="22" customHeight="1">
      <c r="A30" s="9" t="inlineStr">
        <is>
          <t>Net income (latest quarter)</t>
        </is>
      </c>
      <c r="B30" s="17" t="n"/>
      <c r="C30" s="11" t="inlineStr">
        <is>
          <t>$m</t>
        </is>
      </c>
      <c r="D30" s="12" t="n"/>
      <c r="E30" s="12" t="n"/>
      <c r="F30" s="12" t="n"/>
    </row>
    <row r="31" ht="22" customHeight="1">
      <c r="A31" s="13" t="inlineStr">
        <is>
          <t>Net income YoY (latest vs LY quarter)</t>
        </is>
      </c>
      <c r="B31" s="18" t="n"/>
      <c r="C31" s="15" t="inlineStr">
        <is>
          <t>%</t>
        </is>
      </c>
      <c r="D31" s="16" t="n"/>
      <c r="E31" s="16" t="n"/>
      <c r="F31" s="16" t="n"/>
    </row>
    <row r="32" ht="22" customHeight="1">
      <c r="A32" s="9" t="inlineStr">
        <is>
          <t>EPS (latest quarter, GAAP diluted)</t>
        </is>
      </c>
      <c r="B32" s="17" t="n"/>
      <c r="C32" s="11" t="inlineStr">
        <is>
          <t>$/share</t>
        </is>
      </c>
      <c r="D32" s="12" t="n"/>
      <c r="E32" s="12" t="n"/>
      <c r="F32" s="12" t="n"/>
    </row>
    <row r="33" ht="22" customHeight="1">
      <c r="A33" s="13" t="inlineStr">
        <is>
          <t>EPS YoY Δ (latest vs LY quarter)</t>
        </is>
      </c>
      <c r="B33" s="14" t="n"/>
      <c r="C33" s="15" t="inlineStr">
        <is>
          <t>$/share</t>
        </is>
      </c>
      <c r="D33" s="16" t="n"/>
      <c r="E33" s="16" t="n"/>
      <c r="F33" s="16" t="n"/>
    </row>
    <row r="34" ht="22" customHeight="1">
      <c r="A34" s="9" t="inlineStr">
        <is>
          <t>Total debt (latest quarter)</t>
        </is>
      </c>
      <c r="B34" s="19" t="n"/>
      <c r="C34" s="11" t="inlineStr">
        <is>
          <t>$m</t>
        </is>
      </c>
      <c r="D34" s="12" t="n"/>
      <c r="E34" s="12" t="n"/>
      <c r="F34" s="12" t="n"/>
    </row>
    <row r="35" ht="22" customHeight="1">
      <c r="A35" s="13" t="inlineStr">
        <is>
          <t>Debt-to-equity (latest quarter)</t>
        </is>
      </c>
      <c r="B35" s="20" t="n"/>
      <c r="C35" s="15" t="n"/>
      <c r="D35" s="16" t="n"/>
      <c r="E35" s="16" t="n"/>
      <c r="F35" s="16" t="n"/>
    </row>
    <row r="36" ht="22" customHeight="1">
      <c r="A36" s="9" t="inlineStr">
        <is>
          <t>Free cash flow (TTM)</t>
        </is>
      </c>
      <c r="B36" s="17" t="n"/>
      <c r="C36" s="11" t="inlineStr">
        <is>
          <t>$m</t>
        </is>
      </c>
      <c r="D36" s="12" t="n"/>
      <c r="E36" s="12" t="n"/>
      <c r="F36" s="12" t="n"/>
    </row>
    <row r="37" ht="22" customHeight="1">
      <c r="A37" s="13" t="inlineStr">
        <is>
          <t>FCF YoY (latest quarter vs LY quarter)</t>
        </is>
      </c>
      <c r="B37" s="18" t="n"/>
      <c r="C37" s="15" t="inlineStr">
        <is>
          <t>%</t>
        </is>
      </c>
      <c r="D37" s="16" t="n"/>
      <c r="E37" s="16" t="n"/>
      <c r="F37" s="16" t="n"/>
    </row>
    <row r="38" ht="22" customHeight="1">
      <c r="A38" s="9" t="inlineStr">
        <is>
          <t>P/E (price-linked)</t>
        </is>
      </c>
      <c r="B38" s="19" t="n"/>
      <c r="C38" s="11" t="n"/>
      <c r="D38" s="12" t="n"/>
      <c r="E38" s="12" t="n"/>
      <c r="F38" s="12" t="n"/>
    </row>
    <row r="39" ht="22" customHeight="1">
      <c r="A39" s="13" t="inlineStr">
        <is>
          <t>P/S (price-linked)</t>
        </is>
      </c>
      <c r="B39" s="20" t="n"/>
      <c r="C39" s="15" t="n"/>
      <c r="D39" s="16" t="n"/>
      <c r="E39" s="16" t="n"/>
      <c r="F39" s="16" t="n"/>
    </row>
    <row r="40" ht="24" customHeight="1">
      <c r="A40" s="8" t="inlineStr">
        <is>
          <t>Leverage / Liquidity</t>
        </is>
      </c>
      <c r="B40" s="347" t="n"/>
      <c r="C40" s="347" t="n"/>
      <c r="D40" s="347" t="n"/>
      <c r="E40" s="347" t="n"/>
      <c r="F40" s="348" t="n"/>
    </row>
    <row r="41" ht="22" customHeight="1">
      <c r="A41" s="9" t="inlineStr">
        <is>
          <t>Net leverage</t>
        </is>
      </c>
      <c r="B41" s="19" t="n"/>
      <c r="C41" s="11" t="inlineStr">
        <is>
          <t>x</t>
        </is>
      </c>
      <c r="D41" s="12" t="n"/>
      <c r="E41" s="12" t="n"/>
      <c r="F41" s="12" t="n"/>
    </row>
    <row r="42" ht="22" customHeight="1">
      <c r="A42" s="13" t="inlineStr">
        <is>
          <t>Interest coverage (P&amp;L)</t>
        </is>
      </c>
      <c r="B42" s="21" t="n"/>
      <c r="C42" s="15" t="inlineStr">
        <is>
          <t>x</t>
        </is>
      </c>
      <c r="D42" s="16" t="n"/>
      <c r="E42" s="16" t="n"/>
      <c r="F42" s="16" t="n"/>
    </row>
    <row r="43" ht="22" customHeight="1">
      <c r="A43" s="9" t="inlineStr">
        <is>
          <t>Interest coverage (cash)</t>
        </is>
      </c>
      <c r="B43" s="19" t="n"/>
      <c r="C43" s="11" t="inlineStr">
        <is>
          <t>x</t>
        </is>
      </c>
      <c r="D43" s="12" t="n"/>
      <c r="E43" s="12" t="n"/>
      <c r="F43" s="12" t="n"/>
    </row>
    <row r="44" ht="22" customHeight="1">
      <c r="A44" s="13" t="inlineStr">
        <is>
          <t>Revolver availability</t>
        </is>
      </c>
      <c r="B44" s="20" t="n"/>
      <c r="C44" s="15" t="inlineStr">
        <is>
          <t>$m</t>
        </is>
      </c>
      <c r="D44" s="16" t="n"/>
      <c r="E44" s="16" t="n"/>
      <c r="F44" s="16" t="n"/>
    </row>
    <row r="45" ht="22" customHeight="1">
      <c r="A45" s="9" t="inlineStr">
        <is>
          <t>Liquidity (cash + revolver)</t>
        </is>
      </c>
      <c r="B45" s="17" t="n"/>
      <c r="C45" s="11" t="inlineStr">
        <is>
          <t>$m</t>
        </is>
      </c>
      <c r="D45" s="12" t="n"/>
      <c r="E45" s="12" t="n"/>
      <c r="F45" s="12" t="n"/>
    </row>
  </sheetData>
  <mergeCells count="26">
    <mergeCell ref="A16:F16"/>
    <mergeCell ref="A12:F12"/>
    <mergeCell ref="A18:F18"/>
    <mergeCell ref="A3:F3"/>
    <mergeCell ref="A21:F21"/>
    <mergeCell ref="A2:F2"/>
    <mergeCell ref="A5:F5"/>
    <mergeCell ref="B11:F11"/>
    <mergeCell ref="A23:F23"/>
    <mergeCell ref="A8:F8"/>
    <mergeCell ref="A22:F22"/>
    <mergeCell ref="A17:F17"/>
    <mergeCell ref="A4:F4"/>
    <mergeCell ref="B14:F14"/>
    <mergeCell ref="A20:F20"/>
    <mergeCell ref="B13:F13"/>
    <mergeCell ref="A19:F19"/>
    <mergeCell ref="B10:F10"/>
    <mergeCell ref="A40:F40"/>
    <mergeCell ref="B9:F9"/>
    <mergeCell ref="A24:F24"/>
    <mergeCell ref="B15:F15"/>
    <mergeCell ref="A1:F1"/>
    <mergeCell ref="A6:F6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61"/>
  <sheetViews>
    <sheetView zoomScale="11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0" customWidth="1" min="1" max="1"/>
    <col width="12.43" customWidth="1" min="2" max="2"/>
    <col width="12.4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2.29" customWidth="1" min="14" max="14"/>
    <col width="18" customWidth="1" min="15" max="15"/>
    <col width="16" customWidth="1" min="16" max="16"/>
    <col width="14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8" customWidth="1" min="27" max="27"/>
    <col width="18" customWidth="1" min="28" max="28"/>
    <col width="18" customWidth="1" min="29" max="29"/>
    <col width="12" customWidth="1" min="30" max="30"/>
    <col hidden="1" width="13" customWidth="1" min="35" max="35"/>
  </cols>
  <sheetData>
    <row r="1" ht="18.5" customHeight="1">
      <c r="A1" s="22" t="inlineStr">
        <is>
          <t>Scale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  <c r="H1" s="22" t="n"/>
      <c r="I1" s="22" t="n"/>
      <c r="J1" s="22" t="n"/>
      <c r="K1" s="22" t="n"/>
      <c r="L1" s="22" t="n"/>
      <c r="M1" s="22" t="n"/>
      <c r="N1" s="22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  <c r="AA1" s="28" t="n"/>
      <c r="AB1" s="28" t="n"/>
      <c r="AC1" s="28" t="n"/>
      <c r="AD1" s="29" t="n"/>
      <c r="AE1" s="22" t="n"/>
      <c r="AF1" s="22" t="n"/>
      <c r="AG1" s="22" t="n"/>
      <c r="AH1" s="22" t="n"/>
      <c r="AI1" s="22" t="n"/>
    </row>
    <row r="2" ht="18.5" customHeight="1">
      <c r="A2" s="22" t="inlineStr">
        <is>
          <t>Values scaled to $m unless %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  <c r="AA2" s="28" t="n"/>
      <c r="AB2" s="28" t="n"/>
      <c r="AC2" s="28" t="n"/>
      <c r="AD2" s="29" t="n"/>
      <c r="AE2" s="22" t="n"/>
      <c r="AF2" s="22" t="n"/>
      <c r="AG2" s="22" t="n"/>
      <c r="AH2" s="22" t="n"/>
      <c r="AI2" s="22" t="n"/>
    </row>
    <row r="3" ht="21" customHeight="1">
      <c r="A3" s="30" t="inlineStr">
        <is>
          <t>Valuation</t>
        </is>
      </c>
      <c r="N3" s="22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  <c r="AA3" s="28" t="n"/>
      <c r="AB3" s="28" t="n"/>
      <c r="AC3" s="28" t="n"/>
      <c r="AD3" s="29" t="n"/>
      <c r="AE3" s="22" t="n"/>
      <c r="AF3" s="22" t="n"/>
      <c r="AG3" s="22" t="n"/>
      <c r="AH3" s="22" t="n"/>
      <c r="AI3" s="22" t="n"/>
    </row>
    <row r="4" ht="18.5" customHeight="1">
      <c r="A4" s="32" t="inlineStr">
        <is>
          <t>QA: Revenue, EBITDA, CFO, Capex, Cash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  <c r="AA4" s="28" t="n"/>
      <c r="AB4" s="28" t="n"/>
      <c r="AC4" s="28" t="n"/>
      <c r="AD4" s="29" t="n"/>
      <c r="AE4" s="22" t="n"/>
      <c r="AF4" s="22" t="n"/>
      <c r="AG4" s="22" t="n"/>
      <c r="AH4" s="22" t="n"/>
      <c r="AI4" s="22" t="n"/>
    </row>
    <row r="5" ht="18.5" customHeight="1">
      <c r="A5" s="33" t="n"/>
      <c r="B5" s="34" t="inlineStr">
        <is>
          <t>Actuals</t>
        </is>
      </c>
      <c r="C5" s="104" t="n"/>
      <c r="D5" s="104" t="n"/>
      <c r="E5" s="104" t="n"/>
      <c r="F5" s="104" t="n"/>
      <c r="G5" s="104" t="n"/>
      <c r="H5" s="104" t="n"/>
      <c r="I5" s="104" t="n"/>
      <c r="J5" s="104" t="n"/>
      <c r="K5" s="104" t="n"/>
      <c r="L5" s="104" t="n"/>
      <c r="M5" s="105" t="n"/>
      <c r="N5" s="22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9" t="n"/>
      <c r="AE5" s="22" t="n"/>
      <c r="AF5" s="22" t="n"/>
      <c r="AG5" s="22" t="n"/>
      <c r="AH5" s="22" t="n"/>
      <c r="AI5" s="22" t="n"/>
    </row>
    <row r="6" ht="19.5" customHeight="1">
      <c r="A6" s="36" t="inlineStr">
        <is>
          <t>Quarter</t>
        </is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7" t="n"/>
      <c r="N6" s="22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  <c r="AA6" s="28" t="n"/>
      <c r="AB6" s="28" t="n"/>
      <c r="AC6" s="28" t="n"/>
      <c r="AD6" s="29" t="n"/>
      <c r="AE6" s="22" t="n"/>
      <c r="AF6" s="22" t="n"/>
      <c r="AG6" s="22" t="n"/>
      <c r="AH6" s="22" t="n"/>
      <c r="AI6" s="22" t="n"/>
    </row>
    <row r="7" ht="19.5" customHeight="1">
      <c r="A7" s="38" t="inlineStr">
        <is>
          <t>Operating</t>
        </is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22" t="n"/>
      <c r="O7" s="441" t="inlineStr">
        <is>
          <t>Guidance</t>
        </is>
      </c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6" t="n"/>
      <c r="AD7" s="22" t="n"/>
      <c r="AE7" s="22" t="n"/>
      <c r="AF7" s="22" t="n"/>
      <c r="AG7" s="22" t="n"/>
      <c r="AH7" s="22" t="n"/>
      <c r="AI7" s="22" t="n"/>
    </row>
    <row r="8" ht="19.5" customHeight="1">
      <c r="A8" s="96" t="inlineStr">
        <is>
          <t>Top line</t>
        </is>
      </c>
      <c r="B8" s="104" t="n"/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5" t="n"/>
      <c r="N8" s="22" t="n"/>
      <c r="O8" s="45" t="inlineStr">
        <is>
          <t>Metric</t>
        </is>
      </c>
      <c r="P8" s="46" t="n"/>
      <c r="Q8" s="45" t="inlineStr">
        <is>
          <t>Stated in</t>
        </is>
      </c>
      <c r="R8" s="45" t="inlineStr">
        <is>
          <t>Applies to</t>
        </is>
      </c>
      <c r="S8" s="45" t="inlineStr">
        <is>
          <t>Guidance</t>
        </is>
      </c>
      <c r="T8" s="47" t="n"/>
      <c r="U8" s="47" t="n"/>
      <c r="V8" s="47" t="n"/>
      <c r="W8" s="47" t="n"/>
      <c r="X8" s="47" t="n"/>
      <c r="Y8" s="47" t="n"/>
      <c r="Z8" s="46" t="n"/>
      <c r="AA8" s="45" t="inlineStr">
        <is>
          <t>Trend / realized</t>
        </is>
      </c>
      <c r="AB8" s="47" t="n"/>
      <c r="AC8" s="46" t="n"/>
      <c r="AD8" s="22" t="n"/>
      <c r="AE8" s="22" t="n"/>
      <c r="AF8" s="22" t="n"/>
      <c r="AG8" s="22" t="n"/>
      <c r="AH8" s="22" t="n"/>
      <c r="AI8" s="22" t="n"/>
    </row>
    <row r="9" ht="19.5" customHeight="1">
      <c r="A9" s="48" t="inlineStr">
        <is>
          <t>Revenue</t>
        </is>
      </c>
      <c r="B9" s="62" t="n"/>
      <c r="C9" s="62" t="n"/>
      <c r="D9" s="62" t="n"/>
      <c r="E9" s="62" t="n"/>
      <c r="F9" s="62" t="n"/>
      <c r="G9" s="62" t="n"/>
      <c r="H9" s="62" t="n"/>
      <c r="I9" s="62" t="n"/>
      <c r="J9" s="62" t="n"/>
      <c r="K9" s="62" t="n"/>
      <c r="L9" s="62" t="n"/>
      <c r="M9" s="62" t="n"/>
      <c r="N9" s="22" t="n"/>
      <c r="O9" s="52" t="n"/>
      <c r="P9" s="46" t="n"/>
      <c r="Q9" s="52" t="n"/>
      <c r="R9" s="52" t="n"/>
      <c r="S9" s="52" t="n"/>
      <c r="T9" s="47" t="n"/>
      <c r="U9" s="47" t="n"/>
      <c r="V9" s="47" t="n"/>
      <c r="W9" s="47" t="n"/>
      <c r="X9" s="47" t="n"/>
      <c r="Y9" s="47" t="n"/>
      <c r="Z9" s="46" t="n"/>
      <c r="AA9" s="52" t="n"/>
      <c r="AB9" s="47" t="n"/>
      <c r="AC9" s="46" t="n"/>
      <c r="AD9" s="22" t="n"/>
      <c r="AE9" s="22" t="n"/>
      <c r="AF9" s="22" t="n"/>
      <c r="AG9" s="22" t="n"/>
      <c r="AH9" s="22" t="n"/>
      <c r="AI9" s="22" t="n"/>
    </row>
    <row r="10" ht="19.5" customHeight="1">
      <c r="A10" s="48" t="inlineStr">
        <is>
          <t>Revenue (TTM)</t>
        </is>
      </c>
      <c r="B10" s="62" t="n"/>
      <c r="C10" s="62" t="n"/>
      <c r="D10" s="62" t="n"/>
      <c r="E10" s="62" t="n"/>
      <c r="F10" s="62" t="n"/>
      <c r="G10" s="62" t="n"/>
      <c r="H10" s="62" t="n"/>
      <c r="I10" s="62" t="n"/>
      <c r="J10" s="62" t="n"/>
      <c r="K10" s="62" t="n"/>
      <c r="L10" s="62" t="n"/>
      <c r="M10" s="62" t="n"/>
      <c r="N10" s="22" t="n"/>
      <c r="O10" s="53" t="n"/>
      <c r="P10" s="46" t="n"/>
      <c r="Q10" s="53" t="n"/>
      <c r="R10" s="53" t="n"/>
      <c r="S10" s="53" t="n"/>
      <c r="T10" s="47" t="n"/>
      <c r="U10" s="47" t="n"/>
      <c r="V10" s="47" t="n"/>
      <c r="W10" s="47" t="n"/>
      <c r="X10" s="47" t="n"/>
      <c r="Y10" s="47" t="n"/>
      <c r="Z10" s="46" t="n"/>
      <c r="AA10" s="53" t="n"/>
      <c r="AB10" s="47" t="n"/>
      <c r="AC10" s="46" t="n"/>
      <c r="AD10" s="22" t="n"/>
      <c r="AE10" s="22" t="n"/>
      <c r="AF10" s="22" t="n"/>
      <c r="AG10" s="22" t="n"/>
      <c r="AH10" s="22" t="n"/>
      <c r="AI10" s="22" t="n"/>
    </row>
    <row r="11" ht="19.5" customHeight="1">
      <c r="A11" s="48" t="inlineStr">
        <is>
          <t>Revenue YoY %</t>
        </is>
      </c>
      <c r="B11" s="59" t="n"/>
      <c r="C11" s="59" t="n"/>
      <c r="D11" s="59" t="n"/>
      <c r="E11" s="59" t="n"/>
      <c r="F11" s="59" t="n"/>
      <c r="G11" s="59" t="n"/>
      <c r="H11" s="59" t="n"/>
      <c r="I11" s="59" t="n"/>
      <c r="J11" s="59" t="n"/>
      <c r="K11" s="59" t="n"/>
      <c r="L11" s="59" t="n"/>
      <c r="M11" s="59" t="n"/>
      <c r="N11" s="22" t="n"/>
      <c r="O11" s="52" t="n"/>
      <c r="P11" s="46" t="n"/>
      <c r="Q11" s="52" t="n"/>
      <c r="R11" s="52" t="n"/>
      <c r="S11" s="52" t="n"/>
      <c r="T11" s="47" t="n"/>
      <c r="U11" s="47" t="n"/>
      <c r="V11" s="47" t="n"/>
      <c r="W11" s="47" t="n"/>
      <c r="X11" s="47" t="n"/>
      <c r="Y11" s="47" t="n"/>
      <c r="Z11" s="46" t="n"/>
      <c r="AA11" s="52" t="n"/>
      <c r="AB11" s="47" t="n"/>
      <c r="AC11" s="46" t="n"/>
      <c r="AD11" s="22" t="n"/>
      <c r="AE11" s="22" t="n"/>
      <c r="AF11" s="22" t="n"/>
      <c r="AG11" s="22" t="n"/>
      <c r="AH11" s="22" t="n"/>
      <c r="AI11" s="22" t="n"/>
    </row>
    <row r="12" ht="19.5" customHeight="1">
      <c r="A12" s="96" t="inlineStr">
        <is>
          <t>Margins</t>
        </is>
      </c>
      <c r="B12" s="104" t="n"/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5" t="n"/>
      <c r="N12" s="22" t="n"/>
      <c r="O12" s="53" t="n"/>
      <c r="P12" s="46" t="n"/>
      <c r="Q12" s="53" t="n"/>
      <c r="R12" s="53" t="n"/>
      <c r="S12" s="53" t="n"/>
      <c r="T12" s="47" t="n"/>
      <c r="U12" s="47" t="n"/>
      <c r="V12" s="47" t="n"/>
      <c r="W12" s="47" t="n"/>
      <c r="X12" s="47" t="n"/>
      <c r="Y12" s="47" t="n"/>
      <c r="Z12" s="46" t="n"/>
      <c r="AA12" s="53" t="n"/>
      <c r="AB12" s="47" t="n"/>
      <c r="AC12" s="46" t="n"/>
      <c r="AD12" s="22" t="n"/>
      <c r="AE12" s="22" t="n"/>
      <c r="AF12" s="22" t="n"/>
      <c r="AG12" s="22" t="n"/>
      <c r="AH12" s="22" t="n"/>
      <c r="AI12" s="22" t="n"/>
    </row>
    <row r="13" ht="19.5" customHeight="1">
      <c r="A13" s="48" t="inlineStr">
        <is>
          <t>Gross margin %</t>
        </is>
      </c>
      <c r="B13" s="59" t="n"/>
      <c r="C13" s="59" t="n"/>
      <c r="D13" s="59" t="n"/>
      <c r="E13" s="59" t="n"/>
      <c r="F13" s="59" t="n"/>
      <c r="G13" s="59" t="n"/>
      <c r="H13" s="59" t="n"/>
      <c r="I13" s="59" t="n"/>
      <c r="J13" s="59" t="n"/>
      <c r="K13" s="59" t="n"/>
      <c r="L13" s="59" t="n"/>
      <c r="M13" s="59" t="n"/>
      <c r="N13" s="22" t="n"/>
      <c r="O13" s="52" t="n"/>
      <c r="P13" s="46" t="n"/>
      <c r="Q13" s="52" t="n"/>
      <c r="R13" s="52" t="n"/>
      <c r="S13" s="52" t="n"/>
      <c r="T13" s="47" t="n"/>
      <c r="U13" s="47" t="n"/>
      <c r="V13" s="47" t="n"/>
      <c r="W13" s="47" t="n"/>
      <c r="X13" s="47" t="n"/>
      <c r="Y13" s="47" t="n"/>
      <c r="Z13" s="46" t="n"/>
      <c r="AA13" s="52" t="n"/>
      <c r="AB13" s="47" t="n"/>
      <c r="AC13" s="46" t="n"/>
      <c r="AD13" s="22" t="n"/>
      <c r="AE13" s="22" t="n"/>
      <c r="AF13" s="22" t="n"/>
      <c r="AG13" s="22" t="n"/>
      <c r="AH13" s="22" t="n"/>
      <c r="AI13" s="22" t="n"/>
    </row>
    <row r="14" ht="19.5" customHeight="1">
      <c r="A14" s="48" t="inlineStr">
        <is>
          <t>Operating margin %</t>
        </is>
      </c>
      <c r="B14" s="59" t="n"/>
      <c r="C14" s="59" t="n"/>
      <c r="D14" s="59" t="n"/>
      <c r="E14" s="59" t="n"/>
      <c r="F14" s="59" t="n"/>
      <c r="G14" s="59" t="n"/>
      <c r="H14" s="59" t="n"/>
      <c r="I14" s="59" t="n"/>
      <c r="J14" s="59" t="n"/>
      <c r="K14" s="59" t="n"/>
      <c r="L14" s="59" t="n"/>
      <c r="M14" s="59" t="n"/>
      <c r="N14" s="22" t="n"/>
      <c r="O14" s="53" t="n"/>
      <c r="P14" s="46" t="n"/>
      <c r="Q14" s="53" t="n"/>
      <c r="R14" s="53" t="n"/>
      <c r="S14" s="53" t="n"/>
      <c r="T14" s="47" t="n"/>
      <c r="U14" s="47" t="n"/>
      <c r="V14" s="47" t="n"/>
      <c r="W14" s="47" t="n"/>
      <c r="X14" s="47" t="n"/>
      <c r="Y14" s="47" t="n"/>
      <c r="Z14" s="46" t="n"/>
      <c r="AA14" s="53" t="n"/>
      <c r="AB14" s="47" t="n"/>
      <c r="AC14" s="46" t="n"/>
      <c r="AD14" s="22" t="n"/>
      <c r="AE14" s="22" t="n"/>
      <c r="AF14" s="22" t="n"/>
      <c r="AG14" s="22" t="n"/>
      <c r="AH14" s="22" t="n"/>
      <c r="AI14" s="22" t="n"/>
    </row>
    <row r="15" ht="19.5" customHeight="1">
      <c r="A15" s="48" t="inlineStr">
        <is>
          <t>Operating margin (TTM)</t>
        </is>
      </c>
      <c r="B15" s="59" t="n"/>
      <c r="C15" s="59" t="n"/>
      <c r="D15" s="59" t="n"/>
      <c r="E15" s="59" t="n"/>
      <c r="F15" s="59" t="n"/>
      <c r="G15" s="59" t="n"/>
      <c r="H15" s="59" t="n"/>
      <c r="I15" s="59" t="n"/>
      <c r="J15" s="59" t="n"/>
      <c r="K15" s="59" t="n"/>
      <c r="L15" s="59" t="n"/>
      <c r="M15" s="59" t="n"/>
      <c r="N15" s="22" t="n"/>
      <c r="O15" s="52" t="n"/>
      <c r="P15" s="46" t="n"/>
      <c r="Q15" s="52" t="n"/>
      <c r="R15" s="52" t="n"/>
      <c r="S15" s="52" t="n"/>
      <c r="T15" s="47" t="n"/>
      <c r="U15" s="47" t="n"/>
      <c r="V15" s="47" t="n"/>
      <c r="W15" s="47" t="n"/>
      <c r="X15" s="47" t="n"/>
      <c r="Y15" s="47" t="n"/>
      <c r="Z15" s="46" t="n"/>
      <c r="AA15" s="52" t="n"/>
      <c r="AB15" s="47" t="n"/>
      <c r="AC15" s="46" t="n"/>
      <c r="AD15" s="22" t="n"/>
      <c r="AE15" s="22" t="n"/>
      <c r="AF15" s="22" t="n"/>
      <c r="AG15" s="22" t="n"/>
      <c r="AH15" s="22" t="n"/>
      <c r="AI15" s="22" t="n"/>
    </row>
    <row r="16" ht="19.5" customHeight="1">
      <c r="A16" s="48" t="inlineStr">
        <is>
          <t>R&amp;D % of revenue</t>
        </is>
      </c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22" t="n"/>
      <c r="O16" s="53" t="n"/>
      <c r="P16" s="46" t="n"/>
      <c r="Q16" s="53" t="n"/>
      <c r="R16" s="53" t="n"/>
      <c r="S16" s="53" t="n"/>
      <c r="T16" s="47" t="n"/>
      <c r="U16" s="47" t="n"/>
      <c r="V16" s="47" t="n"/>
      <c r="W16" s="47" t="n"/>
      <c r="X16" s="47" t="n"/>
      <c r="Y16" s="47" t="n"/>
      <c r="Z16" s="46" t="n"/>
      <c r="AA16" s="53" t="n"/>
      <c r="AB16" s="47" t="n"/>
      <c r="AC16" s="46" t="n"/>
      <c r="AD16" s="22" t="n"/>
      <c r="AE16" s="22" t="n"/>
      <c r="AF16" s="22" t="n"/>
      <c r="AG16" s="22" t="n"/>
      <c r="AH16" s="22" t="n"/>
      <c r="AI16" s="22" t="n"/>
    </row>
    <row r="17" ht="19.5" customHeight="1">
      <c r="A17" s="96" t="inlineStr">
        <is>
          <t>Core operating</t>
        </is>
      </c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5" t="n"/>
      <c r="N17" s="22" t="n"/>
      <c r="O17" s="52" t="n"/>
      <c r="P17" s="46" t="n"/>
      <c r="Q17" s="52" t="n"/>
      <c r="R17" s="52" t="n"/>
      <c r="S17" s="52" t="n"/>
      <c r="T17" s="47" t="n"/>
      <c r="U17" s="47" t="n"/>
      <c r="V17" s="47" t="n"/>
      <c r="W17" s="47" t="n"/>
      <c r="X17" s="47" t="n"/>
      <c r="Y17" s="47" t="n"/>
      <c r="Z17" s="46" t="n"/>
      <c r="AA17" s="52" t="n"/>
      <c r="AB17" s="47" t="n"/>
      <c r="AC17" s="46" t="n"/>
      <c r="AD17" s="22" t="n"/>
      <c r="AE17" s="22" t="n"/>
      <c r="AF17" s="22" t="n"/>
      <c r="AG17" s="22" t="n"/>
      <c r="AH17" s="22" t="n"/>
      <c r="AI17" s="22" t="n"/>
    </row>
    <row r="18" ht="19.5" customHeight="1">
      <c r="A18" s="48" t="inlineStr">
        <is>
          <t>EBITDA</t>
        </is>
      </c>
      <c r="B18" s="62" t="n"/>
      <c r="C18" s="62" t="n"/>
      <c r="D18" s="62" t="n"/>
      <c r="E18" s="62" t="n"/>
      <c r="F18" s="62" t="n"/>
      <c r="G18" s="62" t="n"/>
      <c r="H18" s="62" t="n"/>
      <c r="I18" s="62" t="n"/>
      <c r="J18" s="62" t="n"/>
      <c r="K18" s="62" t="n"/>
      <c r="L18" s="62" t="n"/>
      <c r="M18" s="62" t="n"/>
      <c r="N18" s="22" t="n"/>
      <c r="O18" s="53" t="n"/>
      <c r="P18" s="46" t="n"/>
      <c r="Q18" s="53" t="n"/>
      <c r="R18" s="53" t="n"/>
      <c r="S18" s="53" t="n"/>
      <c r="T18" s="47" t="n"/>
      <c r="U18" s="47" t="n"/>
      <c r="V18" s="47" t="n"/>
      <c r="W18" s="47" t="n"/>
      <c r="X18" s="47" t="n"/>
      <c r="Y18" s="47" t="n"/>
      <c r="Z18" s="46" t="n"/>
      <c r="AA18" s="53" t="n"/>
      <c r="AB18" s="47" t="n"/>
      <c r="AC18" s="46" t="n"/>
      <c r="AD18" s="22" t="n"/>
      <c r="AE18" s="22" t="n"/>
      <c r="AF18" s="22" t="n"/>
      <c r="AG18" s="22" t="n"/>
      <c r="AH18" s="22" t="n"/>
      <c r="AI18" s="22" t="n"/>
    </row>
    <row r="19" ht="19.5" customHeight="1">
      <c r="A19" s="48" t="inlineStr">
        <is>
          <t>EBITDA margin %</t>
        </is>
      </c>
      <c r="B19" s="59" t="n"/>
      <c r="C19" s="59" t="n"/>
      <c r="D19" s="59" t="n"/>
      <c r="E19" s="59" t="n"/>
      <c r="F19" s="59" t="n"/>
      <c r="G19" s="59" t="n"/>
      <c r="H19" s="59" t="n"/>
      <c r="I19" s="59" t="n"/>
      <c r="J19" s="59" t="n"/>
      <c r="K19" s="59" t="n"/>
      <c r="L19" s="59" t="n"/>
      <c r="M19" s="59" t="n"/>
      <c r="N19" s="22" t="n"/>
      <c r="O19" s="52" t="n"/>
      <c r="P19" s="46" t="n"/>
      <c r="Q19" s="52" t="n"/>
      <c r="R19" s="52" t="n"/>
      <c r="S19" s="52" t="n"/>
      <c r="T19" s="47" t="n"/>
      <c r="U19" s="47" t="n"/>
      <c r="V19" s="47" t="n"/>
      <c r="W19" s="47" t="n"/>
      <c r="X19" s="47" t="n"/>
      <c r="Y19" s="47" t="n"/>
      <c r="Z19" s="46" t="n"/>
      <c r="AA19" s="52" t="n"/>
      <c r="AB19" s="47" t="n"/>
      <c r="AC19" s="46" t="n"/>
      <c r="AD19" s="22" t="n"/>
      <c r="AE19" s="22" t="n"/>
      <c r="AF19" s="22" t="n"/>
      <c r="AG19" s="22" t="n"/>
      <c r="AH19" s="22" t="n"/>
      <c r="AI19" s="22" t="n"/>
    </row>
    <row r="20" ht="19.5" customHeight="1">
      <c r="A20" s="48" t="inlineStr">
        <is>
          <t>EBITDA YoY %</t>
        </is>
      </c>
      <c r="B20" s="59" t="n"/>
      <c r="C20" s="59" t="n"/>
      <c r="D20" s="59" t="n"/>
      <c r="E20" s="59" t="n"/>
      <c r="F20" s="59" t="n"/>
      <c r="G20" s="59" t="n"/>
      <c r="H20" s="59" t="n"/>
      <c r="I20" s="59" t="n"/>
      <c r="J20" s="59" t="n"/>
      <c r="K20" s="59" t="n"/>
      <c r="L20" s="59" t="n"/>
      <c r="M20" s="59" t="n"/>
      <c r="N20" s="22" t="n"/>
      <c r="O20" s="53" t="n"/>
      <c r="P20" s="46" t="n"/>
      <c r="Q20" s="53" t="n"/>
      <c r="R20" s="53" t="n"/>
      <c r="S20" s="53" t="n"/>
      <c r="T20" s="47" t="n"/>
      <c r="U20" s="47" t="n"/>
      <c r="V20" s="47" t="n"/>
      <c r="W20" s="47" t="n"/>
      <c r="X20" s="47" t="n"/>
      <c r="Y20" s="47" t="n"/>
      <c r="Z20" s="46" t="n"/>
      <c r="AA20" s="53" t="n"/>
      <c r="AB20" s="47" t="n"/>
      <c r="AC20" s="46" t="n"/>
      <c r="AD20" s="22" t="n"/>
      <c r="AE20" s="22" t="n"/>
      <c r="AF20" s="22" t="n"/>
      <c r="AG20" s="22" t="n"/>
      <c r="AH20" s="22" t="n"/>
      <c r="AI20" s="22" t="n"/>
    </row>
    <row r="21" ht="19.5" customHeight="1">
      <c r="A21" s="48" t="inlineStr">
        <is>
          <t>EBITDA (TTM)</t>
        </is>
      </c>
      <c r="B21" s="62" t="n"/>
      <c r="C21" s="62" t="n"/>
      <c r="D21" s="62" t="n"/>
      <c r="E21" s="62" t="n"/>
      <c r="F21" s="62" t="n"/>
      <c r="G21" s="62" t="n"/>
      <c r="H21" s="62" t="n"/>
      <c r="I21" s="62" t="n"/>
      <c r="J21" s="62" t="n"/>
      <c r="K21" s="62" t="n"/>
      <c r="L21" s="62" t="n"/>
      <c r="M21" s="62" t="n"/>
      <c r="N21" s="22" t="n"/>
      <c r="O21" s="52" t="n"/>
      <c r="P21" s="46" t="n"/>
      <c r="Q21" s="52" t="n"/>
      <c r="R21" s="52" t="n"/>
      <c r="S21" s="52" t="n"/>
      <c r="T21" s="47" t="n"/>
      <c r="U21" s="47" t="n"/>
      <c r="V21" s="47" t="n"/>
      <c r="W21" s="47" t="n"/>
      <c r="X21" s="47" t="n"/>
      <c r="Y21" s="47" t="n"/>
      <c r="Z21" s="46" t="n"/>
      <c r="AA21" s="52" t="n"/>
      <c r="AB21" s="47" t="n"/>
      <c r="AC21" s="46" t="n"/>
      <c r="AD21" s="22" t="n"/>
      <c r="AE21" s="22" t="n"/>
      <c r="AF21" s="22" t="n"/>
      <c r="AG21" s="22" t="n"/>
      <c r="AH21" s="22" t="n"/>
      <c r="AI21" s="22" t="n"/>
    </row>
    <row r="22" ht="19.5" customHeight="1">
      <c r="A22" s="48" t="inlineStr">
        <is>
          <t>EBITDA margin (TTM)</t>
        </is>
      </c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22" t="n"/>
      <c r="O22" s="53" t="n"/>
      <c r="P22" s="46" t="n"/>
      <c r="Q22" s="53" t="n"/>
      <c r="R22" s="53" t="n"/>
      <c r="S22" s="53" t="n"/>
      <c r="T22" s="47" t="n"/>
      <c r="U22" s="47" t="n"/>
      <c r="V22" s="47" t="n"/>
      <c r="W22" s="47" t="n"/>
      <c r="X22" s="47" t="n"/>
      <c r="Y22" s="47" t="n"/>
      <c r="Z22" s="46" t="n"/>
      <c r="AA22" s="53" t="n"/>
      <c r="AB22" s="47" t="n"/>
      <c r="AC22" s="46" t="n"/>
      <c r="AD22" s="22" t="n"/>
      <c r="AE22" s="22" t="n"/>
      <c r="AF22" s="22" t="n"/>
      <c r="AG22" s="22" t="n"/>
      <c r="AH22" s="22" t="n"/>
      <c r="AI22" s="22" t="n"/>
    </row>
    <row r="23" ht="19.5" customHeight="1">
      <c r="A23" s="96" t="inlineStr">
        <is>
          <t>Adjusted operating</t>
        </is>
      </c>
      <c r="B23" s="104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5" t="n"/>
      <c r="N23" s="22" t="n"/>
      <c r="O23" s="52" t="n"/>
      <c r="P23" s="46" t="n"/>
      <c r="Q23" s="52" t="n"/>
      <c r="R23" s="52" t="n"/>
      <c r="S23" s="52" t="n"/>
      <c r="T23" s="47" t="n"/>
      <c r="U23" s="47" t="n"/>
      <c r="V23" s="47" t="n"/>
      <c r="W23" s="47" t="n"/>
      <c r="X23" s="47" t="n"/>
      <c r="Y23" s="47" t="n"/>
      <c r="Z23" s="46" t="n"/>
      <c r="AA23" s="52" t="n"/>
      <c r="AB23" s="47" t="n"/>
      <c r="AC23" s="46" t="n"/>
      <c r="AD23" s="22" t="n"/>
      <c r="AE23" s="22" t="n"/>
      <c r="AF23" s="22" t="n"/>
      <c r="AG23" s="22" t="n"/>
      <c r="AH23" s="22" t="n"/>
      <c r="AI23" s="22" t="n"/>
    </row>
    <row r="24" ht="19.5" customHeight="1">
      <c r="A24" s="48" t="inlineStr">
        <is>
          <t>Adj EBITDA</t>
        </is>
      </c>
      <c r="B24" s="62" t="n"/>
      <c r="C24" s="62" t="n"/>
      <c r="D24" s="62" t="n"/>
      <c r="E24" s="62" t="n"/>
      <c r="F24" s="62" t="n"/>
      <c r="G24" s="62" t="n"/>
      <c r="H24" s="62" t="n"/>
      <c r="I24" s="62" t="n"/>
      <c r="J24" s="62" t="n"/>
      <c r="K24" s="62" t="n"/>
      <c r="L24" s="62" t="n"/>
      <c r="M24" s="62" t="n"/>
      <c r="N24" s="22" t="n"/>
      <c r="O24" s="53" t="n"/>
      <c r="P24" s="46" t="n"/>
      <c r="Q24" s="53" t="n"/>
      <c r="R24" s="53" t="n"/>
      <c r="S24" s="53" t="n"/>
      <c r="T24" s="47" t="n"/>
      <c r="U24" s="47" t="n"/>
      <c r="V24" s="47" t="n"/>
      <c r="W24" s="47" t="n"/>
      <c r="X24" s="47" t="n"/>
      <c r="Y24" s="47" t="n"/>
      <c r="Z24" s="46" t="n"/>
      <c r="AA24" s="53" t="n"/>
      <c r="AB24" s="47" t="n"/>
      <c r="AC24" s="46" t="n"/>
      <c r="AD24" s="22" t="n"/>
      <c r="AE24" s="22" t="n"/>
      <c r="AF24" s="22" t="n"/>
      <c r="AG24" s="22" t="n"/>
      <c r="AH24" s="22" t="n"/>
      <c r="AI24" s="22" t="n"/>
    </row>
    <row r="25" ht="19.5" customHeight="1">
      <c r="A25" s="48" t="inlineStr">
        <is>
          <t>Adj EBITDA (TTM)</t>
        </is>
      </c>
      <c r="B25" s="62" t="n"/>
      <c r="C25" s="62" t="n"/>
      <c r="D25" s="62" t="n"/>
      <c r="E25" s="62" t="n"/>
      <c r="F25" s="62" t="n"/>
      <c r="G25" s="62" t="n"/>
      <c r="H25" s="62" t="n"/>
      <c r="I25" s="62" t="n"/>
      <c r="J25" s="62" t="n"/>
      <c r="K25" s="62" t="n"/>
      <c r="L25" s="62" t="n"/>
      <c r="M25" s="62" t="n"/>
      <c r="N25" s="22" t="n"/>
      <c r="O25" s="52" t="n"/>
      <c r="P25" s="46" t="n"/>
      <c r="Q25" s="52" t="n"/>
      <c r="R25" s="52" t="n"/>
      <c r="S25" s="52" t="n"/>
      <c r="T25" s="47" t="n"/>
      <c r="U25" s="47" t="n"/>
      <c r="V25" s="47" t="n"/>
      <c r="W25" s="47" t="n"/>
      <c r="X25" s="47" t="n"/>
      <c r="Y25" s="47" t="n"/>
      <c r="Z25" s="46" t="n"/>
      <c r="AA25" s="52" t="n"/>
      <c r="AB25" s="47" t="n"/>
      <c r="AC25" s="46" t="n"/>
      <c r="AD25" s="22" t="n"/>
      <c r="AE25" s="22" t="n"/>
      <c r="AF25" s="22" t="n"/>
      <c r="AG25" s="22" t="n"/>
      <c r="AH25" s="22" t="n"/>
      <c r="AI25" s="22" t="n"/>
    </row>
    <row r="26" ht="19.5" customHeight="1">
      <c r="A26" s="48" t="inlineStr">
        <is>
          <t>Adj EBITDA - EBITDA</t>
        </is>
      </c>
      <c r="B26" s="62" t="n"/>
      <c r="C26" s="62" t="n"/>
      <c r="D26" s="62" t="n"/>
      <c r="E26" s="62" t="n"/>
      <c r="F26" s="62" t="n"/>
      <c r="G26" s="62" t="n"/>
      <c r="H26" s="62" t="n"/>
      <c r="I26" s="62" t="n"/>
      <c r="J26" s="62" t="n"/>
      <c r="K26" s="62" t="n"/>
      <c r="L26" s="62" t="n"/>
      <c r="M26" s="62" t="n"/>
      <c r="N26" s="22" t="n"/>
      <c r="O26" s="63" t="n"/>
      <c r="P26" s="64" t="n"/>
      <c r="Q26" s="64" t="n"/>
      <c r="R26" s="63" t="n"/>
      <c r="S26" s="64" t="n"/>
      <c r="T26" s="64" t="n"/>
      <c r="U26" s="63" t="n"/>
      <c r="V26" s="64" t="n"/>
      <c r="W26" s="64" t="n"/>
      <c r="X26" s="64" t="n"/>
      <c r="Y26" s="64" t="n"/>
      <c r="Z26" s="64" t="n"/>
      <c r="AA26" s="63" t="n"/>
      <c r="AB26" s="64" t="n"/>
      <c r="AC26" s="64" t="n"/>
      <c r="AD26" s="22" t="n"/>
      <c r="AE26" s="22" t="n"/>
      <c r="AF26" s="22" t="n"/>
      <c r="AG26" s="22" t="n"/>
      <c r="AH26" s="22" t="n"/>
      <c r="AI26" s="22" t="n"/>
    </row>
    <row r="27" ht="19.5" customHeight="1">
      <c r="A27" s="48" t="inlineStr">
        <is>
          <t>Adj EBITDA margin %</t>
        </is>
      </c>
      <c r="B27" s="59" t="n"/>
      <c r="C27" s="59" t="n"/>
      <c r="D27" s="59" t="n"/>
      <c r="E27" s="59" t="n"/>
      <c r="F27" s="59" t="n"/>
      <c r="G27" s="59" t="n"/>
      <c r="H27" s="59" t="n"/>
      <c r="I27" s="59" t="n"/>
      <c r="J27" s="59" t="n"/>
      <c r="K27" s="59" t="n"/>
      <c r="L27" s="59" t="n"/>
      <c r="M27" s="59" t="n"/>
      <c r="N27" s="22" t="n"/>
      <c r="O27" s="442" t="n"/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  <c r="AA27" s="47" t="n"/>
      <c r="AB27" s="47" t="n"/>
      <c r="AC27" s="46" t="n"/>
      <c r="AD27" s="22" t="n"/>
      <c r="AE27" s="22" t="n"/>
      <c r="AF27" s="22" t="n"/>
      <c r="AG27" s="22" t="n"/>
      <c r="AH27" s="22" t="n"/>
      <c r="AI27" s="22" t="n"/>
    </row>
    <row r="28" ht="19.5" customHeight="1">
      <c r="A28" s="48" t="inlineStr">
        <is>
          <t>Adj EBITDA YoY %</t>
        </is>
      </c>
      <c r="B28" s="59" t="n"/>
      <c r="C28" s="59" t="n"/>
      <c r="D28" s="59" t="n"/>
      <c r="E28" s="59" t="n"/>
      <c r="F28" s="59" t="n"/>
      <c r="G28" s="59" t="n"/>
      <c r="H28" s="59" t="n"/>
      <c r="I28" s="59" t="n"/>
      <c r="J28" s="59" t="n"/>
      <c r="K28" s="59" t="n"/>
      <c r="L28" s="59" t="n"/>
      <c r="M28" s="59" t="n"/>
      <c r="N28" s="22" t="n"/>
      <c r="O28" s="443" t="inlineStr">
        <is>
          <t>Metric</t>
        </is>
      </c>
      <c r="P28" s="46" t="n"/>
      <c r="Q28" s="443" t="inlineStr">
        <is>
          <t>Stated in</t>
        </is>
      </c>
      <c r="R28" s="443" t="inlineStr">
        <is>
          <t>Applies to</t>
        </is>
      </c>
      <c r="S28" s="443" t="inlineStr">
        <is>
          <t>Guidance</t>
        </is>
      </c>
      <c r="T28" s="47" t="n"/>
      <c r="U28" s="47" t="n"/>
      <c r="V28" s="47" t="n"/>
      <c r="W28" s="47" t="n"/>
      <c r="X28" s="47" t="n"/>
      <c r="Y28" s="47" t="n"/>
      <c r="Z28" s="46" t="n"/>
      <c r="AA28" s="443" t="inlineStr">
        <is>
          <t>Trend / realized</t>
        </is>
      </c>
      <c r="AB28" s="47" t="n"/>
      <c r="AC28" s="46" t="n"/>
      <c r="AD28" s="22" t="n"/>
      <c r="AE28" s="22" t="n"/>
      <c r="AF28" s="22" t="n"/>
      <c r="AG28" s="22" t="n"/>
      <c r="AH28" s="22" t="n"/>
      <c r="AI28" s="22" t="n"/>
    </row>
    <row r="29" ht="19.5" customHeight="1">
      <c r="A29" s="48" t="inlineStr">
        <is>
          <t>Adj EBITDA margin (TTM)</t>
        </is>
      </c>
      <c r="B29" s="59" t="n"/>
      <c r="C29" s="59" t="n"/>
      <c r="D29" s="59" t="n"/>
      <c r="E29" s="59" t="n"/>
      <c r="F29" s="59" t="n"/>
      <c r="G29" s="59" t="n"/>
      <c r="H29" s="59" t="n"/>
      <c r="I29" s="59" t="n"/>
      <c r="J29" s="59" t="n"/>
      <c r="K29" s="59" t="n"/>
      <c r="L29" s="59" t="n"/>
      <c r="M29" s="59" t="n"/>
      <c r="N29" s="22" t="n"/>
      <c r="O29" s="52" t="n"/>
      <c r="P29" s="46" t="n"/>
      <c r="Q29" s="52" t="n"/>
      <c r="R29" s="52" t="n"/>
      <c r="S29" s="52" t="n"/>
      <c r="T29" s="47" t="n"/>
      <c r="U29" s="47" t="n"/>
      <c r="V29" s="47" t="n"/>
      <c r="W29" s="47" t="n"/>
      <c r="X29" s="47" t="n"/>
      <c r="Y29" s="47" t="n"/>
      <c r="Z29" s="46" t="n"/>
      <c r="AA29" s="52" t="n"/>
      <c r="AB29" s="47" t="n"/>
      <c r="AC29" s="46" t="n"/>
      <c r="AD29" s="22" t="n"/>
      <c r="AE29" s="22" t="n"/>
      <c r="AF29" s="22" t="n"/>
      <c r="AG29" s="22" t="n"/>
      <c r="AH29" s="22" t="n"/>
      <c r="AI29" s="22" t="n"/>
    </row>
    <row r="30" ht="19.5" customHeight="1">
      <c r="A30" s="48" t="inlineStr">
        <is>
          <t>Adj EBIT (TTM)</t>
        </is>
      </c>
      <c r="B30" s="62" t="n"/>
      <c r="C30" s="62" t="n"/>
      <c r="D30" s="62" t="n"/>
      <c r="E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22" t="n"/>
      <c r="O30" s="53" t="n"/>
      <c r="P30" s="46" t="n"/>
      <c r="Q30" s="53" t="n"/>
      <c r="R30" s="53" t="n"/>
      <c r="S30" s="53" t="n"/>
      <c r="T30" s="47" t="n"/>
      <c r="U30" s="47" t="n"/>
      <c r="V30" s="47" t="n"/>
      <c r="W30" s="47" t="n"/>
      <c r="X30" s="47" t="n"/>
      <c r="Y30" s="47" t="n"/>
      <c r="Z30" s="46" t="n"/>
      <c r="AA30" s="53" t="n"/>
      <c r="AB30" s="47" t="n"/>
      <c r="AC30" s="46" t="n"/>
      <c r="AD30" s="22" t="n"/>
      <c r="AE30" s="22" t="n"/>
      <c r="AF30" s="22" t="n"/>
      <c r="AG30" s="22" t="n"/>
      <c r="AH30" s="22" t="n"/>
      <c r="AI30" s="22" t="n"/>
    </row>
    <row r="31" ht="19.5" customHeight="1">
      <c r="A31" s="96" t="inlineStr">
        <is>
          <t>GAAP earnings</t>
        </is>
      </c>
      <c r="B31" s="104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5" t="n"/>
      <c r="N31" s="22" t="n"/>
      <c r="O31" s="52" t="n"/>
      <c r="P31" s="46" t="n"/>
      <c r="Q31" s="52" t="n"/>
      <c r="R31" s="52" t="n"/>
      <c r="S31" s="52" t="n"/>
      <c r="T31" s="47" t="n"/>
      <c r="U31" s="47" t="n"/>
      <c r="V31" s="47" t="n"/>
      <c r="W31" s="47" t="n"/>
      <c r="X31" s="47" t="n"/>
      <c r="Y31" s="47" t="n"/>
      <c r="Z31" s="46" t="n"/>
      <c r="AA31" s="52" t="n"/>
      <c r="AB31" s="47" t="n"/>
      <c r="AC31" s="46" t="n"/>
      <c r="AD31" s="22" t="n"/>
      <c r="AE31" s="22" t="n"/>
      <c r="AF31" s="22" t="n"/>
      <c r="AG31" s="22" t="n"/>
      <c r="AH31" s="22" t="n"/>
      <c r="AI31" s="22" t="n"/>
    </row>
    <row r="32" ht="19.5" customHeight="1">
      <c r="A32" s="48" t="inlineStr">
        <is>
          <t>EBIT</t>
        </is>
      </c>
      <c r="B32" s="62" t="n"/>
      <c r="C32" s="62" t="n"/>
      <c r="D32" s="62" t="n"/>
      <c r="E32" s="62" t="n"/>
      <c r="F32" s="62" t="n"/>
      <c r="G32" s="62" t="n"/>
      <c r="H32" s="62" t="n"/>
      <c r="I32" s="62" t="n"/>
      <c r="J32" s="62" t="n"/>
      <c r="K32" s="62" t="n"/>
      <c r="L32" s="62" t="n"/>
      <c r="M32" s="62" t="n"/>
      <c r="N32" s="22" t="n"/>
      <c r="O32" s="53" t="n"/>
      <c r="P32" s="46" t="n"/>
      <c r="Q32" s="53" t="n"/>
      <c r="R32" s="53" t="n"/>
      <c r="S32" s="53" t="n"/>
      <c r="T32" s="47" t="n"/>
      <c r="U32" s="47" t="n"/>
      <c r="V32" s="47" t="n"/>
      <c r="W32" s="47" t="n"/>
      <c r="X32" s="47" t="n"/>
      <c r="Y32" s="47" t="n"/>
      <c r="Z32" s="46" t="n"/>
      <c r="AA32" s="53" t="n"/>
      <c r="AB32" s="47" t="n"/>
      <c r="AC32" s="46" t="n"/>
      <c r="AD32" s="22" t="n"/>
      <c r="AE32" s="22" t="n"/>
      <c r="AF32" s="22" t="n"/>
      <c r="AG32" s="22" t="n"/>
      <c r="AH32" s="22" t="n"/>
      <c r="AI32" s="22" t="n"/>
    </row>
    <row r="33" ht="19.5" customHeight="1">
      <c r="A33" s="48" t="inlineStr">
        <is>
          <t>EBIT margin %</t>
        </is>
      </c>
      <c r="B33" s="59" t="n"/>
      <c r="C33" s="59" t="n"/>
      <c r="D33" s="59" t="n"/>
      <c r="E33" s="59" t="n"/>
      <c r="F33" s="59" t="n"/>
      <c r="G33" s="59" t="n"/>
      <c r="H33" s="59" t="n"/>
      <c r="I33" s="59" t="n"/>
      <c r="J33" s="59" t="n"/>
      <c r="K33" s="59" t="n"/>
      <c r="L33" s="59" t="n"/>
      <c r="M33" s="59" t="n"/>
      <c r="N33" s="22" t="n"/>
      <c r="O33" s="52" t="n"/>
      <c r="P33" s="46" t="n"/>
      <c r="Q33" s="52" t="n"/>
      <c r="R33" s="52" t="n"/>
      <c r="S33" s="52" t="n"/>
      <c r="T33" s="47" t="n"/>
      <c r="U33" s="47" t="n"/>
      <c r="V33" s="47" t="n"/>
      <c r="W33" s="47" t="n"/>
      <c r="X33" s="47" t="n"/>
      <c r="Y33" s="47" t="n"/>
      <c r="Z33" s="46" t="n"/>
      <c r="AA33" s="52" t="n"/>
      <c r="AB33" s="47" t="n"/>
      <c r="AC33" s="46" t="n"/>
      <c r="AD33" s="22" t="n"/>
      <c r="AE33" s="22" t="n"/>
      <c r="AF33" s="22" t="n"/>
      <c r="AG33" s="22" t="n"/>
      <c r="AH33" s="22" t="n"/>
      <c r="AI33" s="22" t="n"/>
    </row>
    <row r="34" ht="19.5" customHeight="1">
      <c r="A34" s="48" t="inlineStr">
        <is>
          <t>EBIT (TTM)</t>
        </is>
      </c>
      <c r="B34" s="62" t="n"/>
      <c r="C34" s="62" t="n"/>
      <c r="D34" s="62" t="n"/>
      <c r="E34" s="62" t="n"/>
      <c r="F34" s="62" t="n"/>
      <c r="G34" s="62" t="n"/>
      <c r="H34" s="62" t="n"/>
      <c r="I34" s="62" t="n"/>
      <c r="J34" s="62" t="n"/>
      <c r="K34" s="62" t="n"/>
      <c r="L34" s="62" t="n"/>
      <c r="M34" s="62" t="n"/>
      <c r="N34" s="22" t="n"/>
      <c r="O34" s="53" t="n"/>
      <c r="P34" s="46" t="n"/>
      <c r="Q34" s="53" t="n"/>
      <c r="R34" s="53" t="n"/>
      <c r="S34" s="53" t="n"/>
      <c r="T34" s="47" t="n"/>
      <c r="U34" s="47" t="n"/>
      <c r="V34" s="47" t="n"/>
      <c r="W34" s="47" t="n"/>
      <c r="X34" s="47" t="n"/>
      <c r="Y34" s="47" t="n"/>
      <c r="Z34" s="46" t="n"/>
      <c r="AA34" s="53" t="n"/>
      <c r="AB34" s="47" t="n"/>
      <c r="AC34" s="46" t="n"/>
      <c r="AD34" s="22" t="n"/>
      <c r="AE34" s="22" t="n"/>
      <c r="AF34" s="22" t="n"/>
      <c r="AG34" s="22" t="n"/>
      <c r="AH34" s="22" t="n"/>
      <c r="AI34" s="22" t="n"/>
    </row>
    <row r="35" ht="19.5" customHeight="1">
      <c r="A35" s="48" t="inlineStr">
        <is>
          <t>EBIT margin (TTM)</t>
        </is>
      </c>
      <c r="B35" s="59" t="n"/>
      <c r="C35" s="59" t="n"/>
      <c r="D35" s="59" t="n"/>
      <c r="E35" s="59" t="n"/>
      <c r="F35" s="59" t="n"/>
      <c r="G35" s="59" t="n"/>
      <c r="H35" s="59" t="n"/>
      <c r="I35" s="59" t="n"/>
      <c r="J35" s="59" t="n"/>
      <c r="K35" s="59" t="n"/>
      <c r="L35" s="59" t="n"/>
      <c r="M35" s="59" t="n"/>
      <c r="N35" s="22" t="n"/>
      <c r="O35" s="52" t="n"/>
      <c r="P35" s="46" t="n"/>
      <c r="Q35" s="52" t="n"/>
      <c r="R35" s="52" t="n"/>
      <c r="S35" s="52" t="n"/>
      <c r="T35" s="47" t="n"/>
      <c r="U35" s="47" t="n"/>
      <c r="V35" s="47" t="n"/>
      <c r="W35" s="47" t="n"/>
      <c r="X35" s="47" t="n"/>
      <c r="Y35" s="47" t="n"/>
      <c r="Z35" s="46" t="n"/>
      <c r="AA35" s="52" t="n"/>
      <c r="AB35" s="47" t="n"/>
      <c r="AC35" s="46" t="n"/>
      <c r="AD35" s="22" t="n"/>
      <c r="AE35" s="22" t="n"/>
      <c r="AF35" s="22" t="n"/>
      <c r="AG35" s="22" t="n"/>
      <c r="AH35" s="22" t="n"/>
      <c r="AI35" s="22" t="n"/>
    </row>
    <row r="36" ht="19.5" customHeight="1">
      <c r="A36" s="48" t="inlineStr">
        <is>
          <t>Net income attributable to common shareholders</t>
        </is>
      </c>
      <c r="B36" s="62" t="n"/>
      <c r="C36" s="62" t="n"/>
      <c r="D36" s="62" t="n"/>
      <c r="E36" s="62" t="n"/>
      <c r="F36" s="62" t="n"/>
      <c r="G36" s="62" t="n"/>
      <c r="H36" s="62" t="n"/>
      <c r="I36" s="62" t="n"/>
      <c r="J36" s="62" t="n"/>
      <c r="K36" s="62" t="n"/>
      <c r="L36" s="62" t="n"/>
      <c r="M36" s="62" t="n"/>
      <c r="N36" s="22" t="n"/>
      <c r="O36" s="63" t="n"/>
      <c r="P36" s="64" t="n"/>
      <c r="Q36" s="64" t="n"/>
      <c r="R36" s="64" t="n"/>
      <c r="S36" s="64" t="n"/>
      <c r="T36" s="64" t="n"/>
      <c r="U36" s="65" t="n"/>
      <c r="V36" s="64" t="n"/>
      <c r="W36" s="64" t="n"/>
      <c r="X36" s="63" t="n"/>
      <c r="Y36" s="64" t="n"/>
      <c r="Z36" s="64" t="n"/>
      <c r="AA36" s="64" t="n"/>
      <c r="AB36" s="64" t="n"/>
      <c r="AC36" s="64" t="n"/>
      <c r="AD36" s="22" t="n"/>
      <c r="AE36" s="22" t="n"/>
      <c r="AF36" s="22" t="n"/>
      <c r="AG36" s="22" t="n"/>
      <c r="AH36" s="22" t="n"/>
      <c r="AI36" s="22" t="n"/>
    </row>
    <row r="37" ht="19.5" customHeight="1">
      <c r="A37" s="48" t="inlineStr">
        <is>
          <t>Net income attributable to common shareholders margin %</t>
        </is>
      </c>
      <c r="B37" s="59" t="n"/>
      <c r="C37" s="59" t="n"/>
      <c r="D37" s="59" t="n"/>
      <c r="E37" s="59" t="n"/>
      <c r="F37" s="59" t="n"/>
      <c r="G37" s="59" t="n"/>
      <c r="H37" s="59" t="n"/>
      <c r="I37" s="59" t="n"/>
      <c r="J37" s="59" t="n"/>
      <c r="K37" s="59" t="n"/>
      <c r="L37" s="59" t="n"/>
      <c r="M37" s="59" t="n"/>
      <c r="N37" s="22" t="n"/>
      <c r="O37" s="441" t="inlineStr">
        <is>
          <t>Operating Drivers</t>
        </is>
      </c>
      <c r="P37" s="47" t="n"/>
      <c r="Q37" s="47" t="n"/>
      <c r="R37" s="47" t="n"/>
      <c r="S37" s="47" t="n"/>
      <c r="T37" s="47" t="n"/>
      <c r="U37" s="47" t="n"/>
      <c r="V37" s="47" t="n"/>
      <c r="W37" s="47" t="n"/>
      <c r="X37" s="47" t="n"/>
      <c r="Y37" s="47" t="n"/>
      <c r="Z37" s="47" t="n"/>
      <c r="AA37" s="47" t="n"/>
      <c r="AB37" s="47" t="n"/>
      <c r="AC37" s="46" t="n"/>
      <c r="AD37" s="22" t="n"/>
      <c r="AE37" s="22" t="n"/>
      <c r="AF37" s="22" t="n"/>
      <c r="AG37" s="22" t="n"/>
      <c r="AH37" s="22" t="n"/>
      <c r="AI37" s="22" t="n"/>
    </row>
    <row r="38" ht="19.5" customHeight="1">
      <c r="A38" s="48" t="inlineStr">
        <is>
          <t>Net income attributable to common shareholders YoY %</t>
        </is>
      </c>
      <c r="B38" s="59" t="n"/>
      <c r="C38" s="59" t="n"/>
      <c r="D38" s="59" t="n"/>
      <c r="E38" s="59" t="n"/>
      <c r="F38" s="59" t="n"/>
      <c r="G38" s="59" t="n"/>
      <c r="H38" s="59" t="n"/>
      <c r="I38" s="59" t="n"/>
      <c r="J38" s="59" t="n"/>
      <c r="K38" s="59" t="n"/>
      <c r="L38" s="59" t="n"/>
      <c r="M38" s="59" t="n"/>
      <c r="N38" s="22" t="n"/>
      <c r="O38" s="443" t="inlineStr">
        <is>
          <t>Driver group</t>
        </is>
      </c>
      <c r="P38" s="47" t="n"/>
      <c r="Q38" s="46" t="n"/>
      <c r="R38" s="443" t="inlineStr">
        <is>
          <t>Driver</t>
        </is>
      </c>
      <c r="S38" s="47" t="n"/>
      <c r="T38" s="46" t="n"/>
      <c r="U38" s="444" t="inlineStr">
        <is>
          <t>Why it matters</t>
        </is>
      </c>
      <c r="V38" s="47" t="n"/>
      <c r="W38" s="47" t="n"/>
      <c r="X38" s="47" t="n"/>
      <c r="Y38" s="47" t="n"/>
      <c r="Z38" s="46" t="n"/>
      <c r="AA38" s="443" t="inlineStr">
        <is>
          <t>Source/type</t>
        </is>
      </c>
      <c r="AB38" s="47" t="n"/>
      <c r="AC38" s="46" t="n"/>
      <c r="AD38" s="22" t="n"/>
      <c r="AE38" s="22" t="n"/>
      <c r="AF38" s="22" t="n"/>
      <c r="AG38" s="22" t="n"/>
      <c r="AH38" s="22" t="n"/>
      <c r="AI38" s="22" t="n"/>
    </row>
    <row r="39" ht="19.5" customHeight="1">
      <c r="A39" s="48" t="inlineStr">
        <is>
          <t>Net income attributable to common shareholders (TTM)</t>
        </is>
      </c>
      <c r="B39" s="62" t="n"/>
      <c r="C39" s="62" t="n"/>
      <c r="D39" s="62" t="n"/>
      <c r="E39" s="62" t="n"/>
      <c r="F39" s="62" t="n"/>
      <c r="G39" s="62" t="n"/>
      <c r="H39" s="62" t="n"/>
      <c r="I39" s="62" t="n"/>
      <c r="J39" s="62" t="n"/>
      <c r="K39" s="62" t="n"/>
      <c r="L39" s="62" t="n"/>
      <c r="M39" s="62" t="n"/>
      <c r="N39" s="22" t="n"/>
      <c r="O39" s="52" t="n"/>
      <c r="P39" s="47" t="n"/>
      <c r="Q39" s="46" t="n"/>
      <c r="R39" s="67" t="n"/>
      <c r="S39" s="47" t="n"/>
      <c r="T39" s="46" t="n"/>
      <c r="U39" s="52" t="n"/>
      <c r="V39" s="47" t="n"/>
      <c r="W39" s="47" t="n"/>
      <c r="X39" s="47" t="n"/>
      <c r="Y39" s="47" t="n"/>
      <c r="Z39" s="46" t="n"/>
      <c r="AA39" s="52" t="n"/>
      <c r="AB39" s="47" t="n"/>
      <c r="AC39" s="46" t="n"/>
      <c r="AD39" s="22" t="n"/>
      <c r="AE39" s="22" t="n"/>
      <c r="AF39" s="22" t="n"/>
      <c r="AG39" s="22" t="n"/>
      <c r="AH39" s="22" t="n"/>
      <c r="AI39" s="22" t="n"/>
    </row>
    <row r="40" ht="19.5" customHeight="1">
      <c r="A40" s="48" t="inlineStr">
        <is>
          <t>Net income attributable to common shareholders margin (TTM)</t>
        </is>
      </c>
      <c r="B40" s="59" t="n"/>
      <c r="C40" s="59" t="n"/>
      <c r="D40" s="59" t="n"/>
      <c r="E40" s="59" t="n"/>
      <c r="F40" s="59" t="n"/>
      <c r="G40" s="59" t="n"/>
      <c r="H40" s="59" t="n"/>
      <c r="I40" s="59" t="n"/>
      <c r="J40" s="59" t="n"/>
      <c r="K40" s="59" t="n"/>
      <c r="L40" s="59" t="n"/>
      <c r="M40" s="59" t="n"/>
      <c r="N40" s="22" t="n"/>
      <c r="O40" s="53" t="n"/>
      <c r="P40" s="47" t="n"/>
      <c r="Q40" s="46" t="n"/>
      <c r="R40" s="68" t="n"/>
      <c r="S40" s="47" t="n"/>
      <c r="T40" s="46" t="n"/>
      <c r="U40" s="69" t="n"/>
      <c r="V40" s="47" t="n"/>
      <c r="W40" s="47" t="n"/>
      <c r="X40" s="47" t="n"/>
      <c r="Y40" s="47" t="n"/>
      <c r="Z40" s="46" t="n"/>
      <c r="AA40" s="53" t="n"/>
      <c r="AB40" s="47" t="n"/>
      <c r="AC40" s="46" t="n"/>
      <c r="AD40" s="22" t="n"/>
      <c r="AE40" s="22" t="n"/>
      <c r="AF40" s="22" t="n"/>
      <c r="AG40" s="22" t="n"/>
      <c r="AH40" s="22" t="n"/>
      <c r="AI40" s="22" t="n"/>
    </row>
    <row r="41" ht="19.5" customHeight="1">
      <c r="A41" s="38" t="inlineStr">
        <is>
          <t>Cash Flow</t>
        </is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22" t="n"/>
      <c r="O41" s="52" t="n"/>
      <c r="P41" s="47" t="n"/>
      <c r="Q41" s="46" t="n"/>
      <c r="R41" s="67" t="n"/>
      <c r="S41" s="47" t="n"/>
      <c r="T41" s="46" t="n"/>
      <c r="U41" s="70" t="n"/>
      <c r="V41" s="47" t="n"/>
      <c r="W41" s="47" t="n"/>
      <c r="X41" s="47" t="n"/>
      <c r="Y41" s="47" t="n"/>
      <c r="Z41" s="46" t="n"/>
      <c r="AA41" s="52" t="n"/>
      <c r="AB41" s="47" t="n"/>
      <c r="AC41" s="46" t="n"/>
      <c r="AD41" s="22" t="n"/>
      <c r="AE41" s="22" t="n"/>
      <c r="AF41" s="22" t="n"/>
      <c r="AG41" s="22" t="n"/>
      <c r="AH41" s="22" t="n"/>
      <c r="AI41" s="22" t="n"/>
    </row>
    <row r="42" ht="19.5" customHeight="1">
      <c r="A42" s="96" t="inlineStr">
        <is>
          <t>Core cash flow</t>
        </is>
      </c>
      <c r="B42" s="104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5" t="n"/>
      <c r="N42" s="22" t="n"/>
      <c r="O42" s="53" t="n"/>
      <c r="P42" s="47" t="n"/>
      <c r="Q42" s="46" t="n"/>
      <c r="R42" s="68" t="n"/>
      <c r="S42" s="47" t="n"/>
      <c r="T42" s="46" t="n"/>
      <c r="U42" s="69" t="n"/>
      <c r="V42" s="47" t="n"/>
      <c r="W42" s="47" t="n"/>
      <c r="X42" s="47" t="n"/>
      <c r="Y42" s="47" t="n"/>
      <c r="Z42" s="46" t="n"/>
      <c r="AA42" s="53" t="n"/>
      <c r="AB42" s="47" t="n"/>
      <c r="AC42" s="46" t="n"/>
      <c r="AD42" s="22" t="n"/>
      <c r="AE42" s="22" t="n"/>
      <c r="AF42" s="22" t="n"/>
      <c r="AG42" s="22" t="n"/>
      <c r="AH42" s="22" t="n"/>
      <c r="AI42" s="22" t="n"/>
    </row>
    <row r="43" ht="19.5" customHeight="1">
      <c r="A43" s="48" t="inlineStr">
        <is>
          <t>CFO</t>
        </is>
      </c>
      <c r="B43" s="62" t="n"/>
      <c r="C43" s="62" t="n"/>
      <c r="D43" s="62" t="n"/>
      <c r="E43" s="62" t="n"/>
      <c r="F43" s="62" t="n"/>
      <c r="G43" s="62" t="n"/>
      <c r="H43" s="62" t="n"/>
      <c r="I43" s="62" t="n"/>
      <c r="J43" s="62" t="n"/>
      <c r="K43" s="62" t="n"/>
      <c r="L43" s="62" t="n"/>
      <c r="M43" s="62" t="n"/>
      <c r="N43" s="22" t="n"/>
      <c r="O43" s="52" t="n"/>
      <c r="P43" s="47" t="n"/>
      <c r="Q43" s="46" t="n"/>
      <c r="R43" s="67" t="n"/>
      <c r="S43" s="47" t="n"/>
      <c r="T43" s="46" t="n"/>
      <c r="U43" s="70" t="n"/>
      <c r="V43" s="47" t="n"/>
      <c r="W43" s="47" t="n"/>
      <c r="X43" s="47" t="n"/>
      <c r="Y43" s="47" t="n"/>
      <c r="Z43" s="46" t="n"/>
      <c r="AA43" s="52" t="n"/>
      <c r="AB43" s="47" t="n"/>
      <c r="AC43" s="46" t="n"/>
      <c r="AD43" s="22" t="n"/>
      <c r="AE43" s="22" t="n"/>
      <c r="AF43" s="22" t="n"/>
      <c r="AG43" s="22" t="n"/>
      <c r="AH43" s="22" t="n"/>
      <c r="AI43" s="22" t="n"/>
    </row>
    <row r="44" ht="19.5" customHeight="1">
      <c r="A44" s="48" t="inlineStr">
        <is>
          <t>Capex</t>
        </is>
      </c>
      <c r="B44" s="62" t="n"/>
      <c r="C44" s="62" t="n"/>
      <c r="D44" s="62" t="n"/>
      <c r="E44" s="62" t="n"/>
      <c r="F44" s="62" t="n"/>
      <c r="G44" s="62" t="n"/>
      <c r="H44" s="62" t="n"/>
      <c r="I44" s="62" t="n"/>
      <c r="J44" s="62" t="n"/>
      <c r="K44" s="62" t="n"/>
      <c r="L44" s="62" t="n"/>
      <c r="M44" s="62" t="n"/>
      <c r="N44" s="22" t="n"/>
      <c r="O44" s="53" t="n"/>
      <c r="P44" s="47" t="n"/>
      <c r="Q44" s="46" t="n"/>
      <c r="R44" s="68" t="n"/>
      <c r="S44" s="47" t="n"/>
      <c r="T44" s="46" t="n"/>
      <c r="U44" s="69" t="n"/>
      <c r="V44" s="47" t="n"/>
      <c r="W44" s="47" t="n"/>
      <c r="X44" s="47" t="n"/>
      <c r="Y44" s="47" t="n"/>
      <c r="Z44" s="46" t="n"/>
      <c r="AA44" s="53" t="n"/>
      <c r="AB44" s="47" t="n"/>
      <c r="AC44" s="46" t="n"/>
      <c r="AD44" s="22" t="n"/>
      <c r="AE44" s="22" t="n"/>
      <c r="AF44" s="22" t="n"/>
      <c r="AG44" s="22" t="n"/>
      <c r="AH44" s="22" t="n"/>
      <c r="AI44" s="22" t="n"/>
    </row>
    <row r="45" ht="19.5" customHeight="1">
      <c r="A45" s="48" t="inlineStr">
        <is>
          <t>Capex % of revenue</t>
        </is>
      </c>
      <c r="B45" s="59" t="n"/>
      <c r="C45" s="59" t="n"/>
      <c r="D45" s="59" t="n"/>
      <c r="E45" s="59" t="n"/>
      <c r="F45" s="59" t="n"/>
      <c r="G45" s="59" t="n"/>
      <c r="H45" s="59" t="n"/>
      <c r="I45" s="59" t="n"/>
      <c r="J45" s="59" t="n"/>
      <c r="K45" s="59" t="n"/>
      <c r="L45" s="59" t="n"/>
      <c r="M45" s="59" t="n"/>
      <c r="N45" s="22" t="n"/>
      <c r="O45" s="52" t="n"/>
      <c r="P45" s="47" t="n"/>
      <c r="Q45" s="46" t="n"/>
      <c r="R45" s="67" t="n"/>
      <c r="S45" s="47" t="n"/>
      <c r="T45" s="46" t="n"/>
      <c r="U45" s="52" t="n"/>
      <c r="V45" s="47" t="n"/>
      <c r="W45" s="47" t="n"/>
      <c r="X45" s="47" t="n"/>
      <c r="Y45" s="47" t="n"/>
      <c r="Z45" s="46" t="n"/>
      <c r="AA45" s="52" t="n"/>
      <c r="AB45" s="47" t="n"/>
      <c r="AC45" s="46" t="n"/>
      <c r="AD45" s="22" t="n"/>
      <c r="AE45" s="22" t="n"/>
      <c r="AF45" s="22" t="n"/>
      <c r="AG45" s="22" t="n"/>
      <c r="AH45" s="22" t="n"/>
      <c r="AI45" s="22" t="n"/>
    </row>
    <row r="46" ht="19.5" customHeight="1">
      <c r="A46" s="48" t="inlineStr">
        <is>
          <t>Capex % of revenue (TTM)</t>
        </is>
      </c>
      <c r="B46" s="59" t="n"/>
      <c r="C46" s="59" t="n"/>
      <c r="D46" s="59" t="n"/>
      <c r="E46" s="59" t="n"/>
      <c r="F46" s="59" t="n"/>
      <c r="G46" s="59" t="n"/>
      <c r="H46" s="59" t="n"/>
      <c r="I46" s="59" t="n"/>
      <c r="J46" s="59" t="n"/>
      <c r="K46" s="59" t="n"/>
      <c r="L46" s="59" t="n"/>
      <c r="M46" s="59" t="n"/>
      <c r="N46" s="22" t="n"/>
      <c r="O46" s="53" t="n"/>
      <c r="P46" s="47" t="n"/>
      <c r="Q46" s="46" t="n"/>
      <c r="R46" s="68" t="n"/>
      <c r="S46" s="47" t="n"/>
      <c r="T46" s="46" t="n"/>
      <c r="U46" s="349" t="n"/>
      <c r="V46" s="47" t="n"/>
      <c r="W46" s="47" t="n"/>
      <c r="X46" s="47" t="n"/>
      <c r="Y46" s="47" t="n"/>
      <c r="Z46" s="46" t="n"/>
      <c r="AA46" s="53" t="n"/>
      <c r="AB46" s="47" t="n"/>
      <c r="AC46" s="46" t="n"/>
      <c r="AD46" s="22" t="n"/>
      <c r="AE46" s="22" t="n"/>
      <c r="AF46" s="22" t="n"/>
      <c r="AG46" s="22" t="n"/>
      <c r="AH46" s="22" t="n"/>
      <c r="AI46" s="22" t="n"/>
    </row>
    <row r="47" ht="19.5" customHeight="1">
      <c r="A47" s="48" t="inlineStr">
        <is>
          <t>FCF (CFO-Capex)</t>
        </is>
      </c>
      <c r="B47" s="62" t="n"/>
      <c r="C47" s="62" t="n"/>
      <c r="D47" s="62" t="n"/>
      <c r="E47" s="62" t="n"/>
      <c r="F47" s="62" t="n"/>
      <c r="G47" s="62" t="n"/>
      <c r="H47" s="62" t="n"/>
      <c r="I47" s="62" t="n"/>
      <c r="J47" s="62" t="n"/>
      <c r="K47" s="62" t="n"/>
      <c r="L47" s="62" t="n"/>
      <c r="M47" s="62" t="n"/>
      <c r="N47" s="22" t="n"/>
      <c r="O47" s="63" t="n"/>
      <c r="P47" s="64" t="n"/>
      <c r="Q47" s="64" t="n"/>
      <c r="R47" s="64" t="n"/>
      <c r="S47" s="64" t="n"/>
      <c r="T47" s="64" t="n"/>
      <c r="U47" s="350" t="n"/>
      <c r="V47" s="64" t="n"/>
      <c r="W47" s="64" t="n"/>
      <c r="X47" s="63" t="n"/>
      <c r="Y47" s="64" t="n"/>
      <c r="Z47" s="64" t="n"/>
      <c r="AA47" s="64" t="n"/>
      <c r="AB47" s="64" t="n"/>
      <c r="AC47" s="64" t="n"/>
      <c r="AD47" s="22" t="n"/>
      <c r="AE47" s="22" t="n"/>
      <c r="AF47" s="22" t="n"/>
      <c r="AG47" s="22" t="n"/>
      <c r="AH47" s="22" t="n"/>
      <c r="AI47" s="22" t="n"/>
    </row>
    <row r="48" ht="19.5" customHeight="1">
      <c r="A48" s="48" t="inlineStr">
        <is>
          <t>FCF YoY Δ ($m)</t>
        </is>
      </c>
      <c r="B48" s="62" t="n"/>
      <c r="C48" s="62" t="n"/>
      <c r="D48" s="62" t="n"/>
      <c r="E48" s="62" t="n"/>
      <c r="F48" s="62" t="n"/>
      <c r="G48" s="62" t="n"/>
      <c r="H48" s="62" t="n"/>
      <c r="I48" s="62" t="n"/>
      <c r="J48" s="62" t="n"/>
      <c r="K48" s="62" t="n"/>
      <c r="L48" s="62" t="n"/>
      <c r="M48" s="62" t="n"/>
      <c r="N48" s="22" t="n"/>
      <c r="O48" s="441" t="inlineStr">
        <is>
          <t>Thesis Bridge</t>
        </is>
      </c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7" t="n"/>
      <c r="AB48" s="47" t="n"/>
      <c r="AC48" s="46" t="n"/>
      <c r="AD48" s="22" t="n"/>
      <c r="AE48" s="22" t="n"/>
      <c r="AF48" s="22" t="n"/>
      <c r="AG48" s="22" t="n"/>
      <c r="AH48" s="22" t="n"/>
      <c r="AI48" s="22" t="n"/>
    </row>
    <row r="49" ht="19.5" customHeight="1">
      <c r="A49" s="48" t="inlineStr">
        <is>
          <t>FCF (TTM)</t>
        </is>
      </c>
      <c r="B49" s="62" t="n"/>
      <c r="C49" s="62" t="n"/>
      <c r="D49" s="62" t="n"/>
      <c r="E49" s="62" t="n"/>
      <c r="F49" s="62" t="n"/>
      <c r="G49" s="62" t="n"/>
      <c r="H49" s="62" t="n"/>
      <c r="I49" s="62" t="n"/>
      <c r="J49" s="62" t="n"/>
      <c r="K49" s="62" t="n"/>
      <c r="L49" s="62" t="n"/>
      <c r="M49" s="62" t="n"/>
      <c r="N49" s="22" t="n"/>
      <c r="O49" s="443" t="inlineStr">
        <is>
          <t>Quick valuation bridge; no market price required.</t>
        </is>
      </c>
      <c r="P49" s="47" t="n"/>
      <c r="Q49" s="47" t="n"/>
      <c r="R49" s="47" t="n"/>
      <c r="S49" s="47" t="n"/>
      <c r="T49" s="46" t="n"/>
      <c r="U49" s="52" t="inlineStr"/>
      <c r="V49" s="47" t="n"/>
      <c r="W49" s="46" t="n"/>
      <c r="X49" s="52" t="inlineStr"/>
      <c r="Y49" s="47" t="n"/>
      <c r="Z49" s="47" t="n"/>
      <c r="AA49" s="47" t="n"/>
      <c r="AB49" s="47" t="n"/>
      <c r="AC49" s="46" t="n"/>
      <c r="AD49" s="22" t="n"/>
      <c r="AE49" s="22" t="n"/>
      <c r="AF49" s="22" t="n"/>
      <c r="AG49" s="22" t="n"/>
      <c r="AH49" s="22" t="n"/>
      <c r="AI49" s="22" t="n"/>
    </row>
    <row r="50" ht="19.5" customHeight="1">
      <c r="A50" s="48" t="inlineStr">
        <is>
          <t>FCF TTM YoY Δ ($m)</t>
        </is>
      </c>
      <c r="B50" s="62" t="n"/>
      <c r="C50" s="62" t="n"/>
      <c r="D50" s="62" t="n"/>
      <c r="E50" s="62" t="n"/>
      <c r="F50" s="62" t="n"/>
      <c r="G50" s="62" t="n"/>
      <c r="H50" s="62" t="n"/>
      <c r="I50" s="62" t="n"/>
      <c r="J50" s="62" t="n"/>
      <c r="K50" s="62" t="n"/>
      <c r="L50" s="62" t="n"/>
      <c r="M50" s="62" t="n"/>
      <c r="N50" s="22" t="n"/>
      <c r="O50" s="443" t="inlineStr">
        <is>
          <t>Bridge item</t>
        </is>
      </c>
      <c r="P50" s="47" t="n"/>
      <c r="Q50" s="47" t="n"/>
      <c r="R50" s="47" t="n"/>
      <c r="S50" s="47" t="n"/>
      <c r="T50" s="46" t="n"/>
      <c r="U50" s="443" t="inlineStr">
        <is>
          <t>Value</t>
        </is>
      </c>
      <c r="V50" s="47" t="n"/>
      <c r="W50" s="46" t="n"/>
      <c r="X50" s="443" t="inlineStr">
        <is>
          <t>Notes</t>
        </is>
      </c>
      <c r="Y50" s="47" t="n"/>
      <c r="Z50" s="47" t="n"/>
      <c r="AA50" s="47" t="n"/>
      <c r="AB50" s="47" t="n"/>
      <c r="AC50" s="46" t="n"/>
      <c r="AD50" s="22" t="n"/>
      <c r="AE50" s="22" t="n"/>
      <c r="AF50" s="22" t="n"/>
      <c r="AG50" s="22" t="n"/>
      <c r="AH50" s="22" t="n"/>
      <c r="AI50" s="22" t="n"/>
    </row>
    <row r="51" ht="19.5" customHeight="1">
      <c r="A51" s="96" t="inlineStr">
        <is>
          <t>Adjusted / derived</t>
        </is>
      </c>
      <c r="B51" s="104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5" t="n"/>
      <c r="N51" s="22" t="n"/>
      <c r="O51" s="52" t="n"/>
      <c r="P51" s="47" t="n"/>
      <c r="Q51" s="47" t="n"/>
      <c r="R51" s="47" t="n"/>
      <c r="S51" s="47" t="n"/>
      <c r="T51" s="46" t="n"/>
      <c r="U51" s="445" t="n"/>
      <c r="V51" s="47" t="n"/>
      <c r="W51" s="46" t="n"/>
      <c r="X51" s="52" t="n"/>
      <c r="Y51" s="47" t="n"/>
      <c r="Z51" s="47" t="n"/>
      <c r="AA51" s="47" t="n"/>
      <c r="AB51" s="47" t="n"/>
      <c r="AC51" s="46" t="n"/>
      <c r="AD51" s="22" t="n"/>
      <c r="AE51" s="22" t="n"/>
      <c r="AF51" s="22" t="n"/>
      <c r="AG51" s="22" t="n"/>
      <c r="AH51" s="22" t="n"/>
      <c r="AI51" s="22" t="n"/>
    </row>
    <row r="52" ht="19.5" customHeight="1">
      <c r="A52" s="48" t="inlineStr">
        <is>
          <t>Adj FCF</t>
        </is>
      </c>
      <c r="B52" s="62" t="n"/>
      <c r="C52" s="62" t="n"/>
      <c r="D52" s="62" t="n"/>
      <c r="E52" s="62" t="n"/>
      <c r="F52" s="62" t="n"/>
      <c r="G52" s="62" t="n"/>
      <c r="H52" s="62" t="n"/>
      <c r="I52" s="62" t="n"/>
      <c r="J52" s="62" t="n"/>
      <c r="K52" s="62" t="n"/>
      <c r="L52" s="62" t="n"/>
      <c r="M52" s="62" t="n"/>
      <c r="N52" s="22" t="n"/>
      <c r="O52" s="53" t="n"/>
      <c r="P52" s="47" t="n"/>
      <c r="Q52" s="47" t="n"/>
      <c r="R52" s="47" t="n"/>
      <c r="S52" s="47" t="n"/>
      <c r="T52" s="46" t="n"/>
      <c r="U52" s="352" t="n"/>
      <c r="V52" s="47" t="n"/>
      <c r="W52" s="46" t="n"/>
      <c r="X52" s="53" t="n"/>
      <c r="Y52" s="47" t="n"/>
      <c r="Z52" s="47" t="n"/>
      <c r="AA52" s="47" t="n"/>
      <c r="AB52" s="47" t="n"/>
      <c r="AC52" s="46" t="n"/>
      <c r="AD52" s="22" t="n"/>
      <c r="AE52" s="22" t="n"/>
      <c r="AF52" s="22" t="n"/>
      <c r="AG52" s="22" t="n"/>
      <c r="AH52" s="22" t="n"/>
      <c r="AI52" s="22" t="n"/>
    </row>
    <row r="53" ht="19.5" customHeight="1">
      <c r="A53" s="48" t="inlineStr">
        <is>
          <t>Adj FCF (TTM)</t>
        </is>
      </c>
      <c r="B53" s="62" t="n"/>
      <c r="C53" s="62" t="n"/>
      <c r="D53" s="62" t="n"/>
      <c r="E53" s="62" t="n"/>
      <c r="F53" s="62" t="n"/>
      <c r="G53" s="62" t="n"/>
      <c r="H53" s="62" t="n"/>
      <c r="I53" s="62" t="n"/>
      <c r="J53" s="62" t="n"/>
      <c r="K53" s="62" t="n"/>
      <c r="L53" s="62" t="n"/>
      <c r="M53" s="62" t="n"/>
      <c r="N53" s="22" t="n"/>
      <c r="O53" s="52" t="n"/>
      <c r="P53" s="47" t="n"/>
      <c r="Q53" s="47" t="n"/>
      <c r="R53" s="47" t="n"/>
      <c r="S53" s="47" t="n"/>
      <c r="T53" s="46" t="n"/>
      <c r="U53" s="445" t="n"/>
      <c r="V53" s="47" t="n"/>
      <c r="W53" s="46" t="n"/>
      <c r="X53" s="52" t="n"/>
      <c r="Y53" s="47" t="n"/>
      <c r="Z53" s="47" t="n"/>
      <c r="AA53" s="47" t="n"/>
      <c r="AB53" s="47" t="n"/>
      <c r="AC53" s="46" t="n"/>
      <c r="AD53" s="22" t="n"/>
      <c r="AE53" s="22" t="n"/>
      <c r="AF53" s="22" t="n"/>
      <c r="AG53" s="22" t="n"/>
      <c r="AH53" s="22" t="n"/>
      <c r="AI53" s="22" t="n"/>
    </row>
    <row r="54" ht="19.5" customHeight="1">
      <c r="A54" s="48" t="inlineStr">
        <is>
          <t>Adj FCF - FCF</t>
        </is>
      </c>
      <c r="B54" s="62" t="n"/>
      <c r="C54" s="62" t="n"/>
      <c r="D54" s="62" t="n"/>
      <c r="E54" s="62" t="n"/>
      <c r="F54" s="62" t="n"/>
      <c r="G54" s="62" t="n"/>
      <c r="H54" s="62" t="n"/>
      <c r="I54" s="62" t="n"/>
      <c r="J54" s="62" t="n"/>
      <c r="K54" s="62" t="n"/>
      <c r="L54" s="62" t="n"/>
      <c r="M54" s="62" t="n"/>
      <c r="N54" s="22" t="n"/>
      <c r="O54" s="53" t="n"/>
      <c r="P54" s="47" t="n"/>
      <c r="Q54" s="47" t="n"/>
      <c r="R54" s="47" t="n"/>
      <c r="S54" s="47" t="n"/>
      <c r="T54" s="46" t="n"/>
      <c r="U54" s="352" t="n"/>
      <c r="V54" s="47" t="n"/>
      <c r="W54" s="46" t="n"/>
      <c r="X54" s="53" t="n"/>
      <c r="Y54" s="47" t="n"/>
      <c r="Z54" s="47" t="n"/>
      <c r="AA54" s="47" t="n"/>
      <c r="AB54" s="47" t="n"/>
      <c r="AC54" s="46" t="n"/>
      <c r="AD54" s="22" t="n"/>
      <c r="AE54" s="22" t="n"/>
      <c r="AF54" s="22" t="n"/>
      <c r="AG54" s="22" t="n"/>
      <c r="AH54" s="22" t="n"/>
      <c r="AI54" s="22" t="n"/>
    </row>
    <row r="55" ht="19.5" customHeight="1">
      <c r="A55" s="48" t="inlineStr">
        <is>
          <t>Owner earnings (proxy)</t>
        </is>
      </c>
      <c r="B55" s="62" t="n"/>
      <c r="C55" s="62" t="n"/>
      <c r="D55" s="62" t="n"/>
      <c r="E55" s="62" t="n"/>
      <c r="F55" s="62" t="n"/>
      <c r="G55" s="62" t="n"/>
      <c r="H55" s="62" t="n"/>
      <c r="I55" s="62" t="n"/>
      <c r="J55" s="62" t="n"/>
      <c r="K55" s="62" t="n"/>
      <c r="L55" s="62" t="n"/>
      <c r="M55" s="62" t="n"/>
      <c r="N55" s="22" t="n"/>
      <c r="O55" s="52" t="n"/>
      <c r="P55" s="47" t="n"/>
      <c r="Q55" s="47" t="n"/>
      <c r="R55" s="47" t="n"/>
      <c r="S55" s="47" t="n"/>
      <c r="T55" s="46" t="n"/>
      <c r="U55" s="446" t="n"/>
      <c r="V55" s="47" t="n"/>
      <c r="W55" s="46" t="n"/>
      <c r="X55" s="52" t="n"/>
      <c r="Y55" s="47" t="n"/>
      <c r="Z55" s="47" t="n"/>
      <c r="AA55" s="47" t="n"/>
      <c r="AB55" s="47" t="n"/>
      <c r="AC55" s="46" t="n"/>
      <c r="AD55" s="22" t="n"/>
      <c r="AE55" s="22" t="n"/>
      <c r="AF55" s="22" t="n"/>
      <c r="AG55" s="22" t="n"/>
      <c r="AH55" s="22" t="n"/>
      <c r="AI55" s="22" t="n"/>
    </row>
    <row r="56" ht="19.5" customHeight="1">
      <c r="A56" s="96" t="inlineStr">
        <is>
          <t>Cash-flow quality</t>
        </is>
      </c>
      <c r="B56" s="10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5" t="n"/>
      <c r="N56" s="22" t="n"/>
      <c r="O56" s="53" t="n"/>
      <c r="P56" s="47" t="n"/>
      <c r="Q56" s="47" t="n"/>
      <c r="R56" s="47" t="n"/>
      <c r="S56" s="47" t="n"/>
      <c r="T56" s="46" t="n"/>
      <c r="U56" s="447" t="n"/>
      <c r="V56" s="47" t="n"/>
      <c r="W56" s="46" t="n"/>
      <c r="X56" s="53" t="n"/>
      <c r="Y56" s="47" t="n"/>
      <c r="Z56" s="47" t="n"/>
      <c r="AA56" s="47" t="n"/>
      <c r="AB56" s="47" t="n"/>
      <c r="AC56" s="46" t="n"/>
      <c r="AD56" s="22" t="n"/>
      <c r="AE56" s="22" t="n"/>
      <c r="AF56" s="22" t="n"/>
      <c r="AG56" s="22" t="n"/>
      <c r="AH56" s="22" t="n"/>
      <c r="AI56" s="22" t="n"/>
    </row>
    <row r="57" ht="19.5" customHeight="1">
      <c r="A57" s="48" t="inlineStr">
        <is>
          <t>FCF margin %</t>
        </is>
      </c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22" t="n"/>
      <c r="O57" s="52" t="n"/>
      <c r="P57" s="47" t="n"/>
      <c r="Q57" s="47" t="n"/>
      <c r="R57" s="47" t="n"/>
      <c r="S57" s="47" t="n"/>
      <c r="T57" s="46" t="n"/>
      <c r="U57" s="447" t="n"/>
      <c r="V57" s="47" t="n"/>
      <c r="W57" s="46" t="n"/>
      <c r="X57" s="52" t="n"/>
      <c r="Y57" s="47" t="n"/>
      <c r="Z57" s="47" t="n"/>
      <c r="AA57" s="47" t="n"/>
      <c r="AB57" s="47" t="n"/>
      <c r="AC57" s="46" t="n"/>
      <c r="AD57" s="22" t="n"/>
      <c r="AE57" s="22" t="n"/>
      <c r="AF57" s="22" t="n"/>
      <c r="AG57" s="22" t="n"/>
      <c r="AH57" s="22" t="n"/>
      <c r="AI57" s="22" t="n"/>
    </row>
    <row r="58" ht="19.5" customHeight="1">
      <c r="A58" s="48" t="inlineStr">
        <is>
          <t>FCF margin (TTM)</t>
        </is>
      </c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22" t="n"/>
      <c r="O58" s="53" t="n"/>
      <c r="P58" s="47" t="n"/>
      <c r="Q58" s="47" t="n"/>
      <c r="R58" s="47" t="n"/>
      <c r="S58" s="47" t="n"/>
      <c r="T58" s="46" t="n"/>
      <c r="U58" s="448" t="n"/>
      <c r="V58" s="47" t="n"/>
      <c r="W58" s="46" t="n"/>
      <c r="X58" s="53" t="n"/>
      <c r="Y58" s="47" t="n"/>
      <c r="Z58" s="47" t="n"/>
      <c r="AA58" s="47" t="n"/>
      <c r="AB58" s="47" t="n"/>
      <c r="AC58" s="46" t="n"/>
      <c r="AD58" s="22" t="n"/>
      <c r="AE58" s="22" t="n"/>
      <c r="AF58" s="22" t="n"/>
      <c r="AG58" s="22" t="n"/>
      <c r="AH58" s="22" t="n"/>
      <c r="AI58" s="22" t="n"/>
    </row>
    <row r="59" ht="19.5" customHeight="1">
      <c r="A59" s="48" t="inlineStr">
        <is>
          <t>Interest paid</t>
        </is>
      </c>
      <c r="B59" s="62" t="n"/>
      <c r="C59" s="62" t="n"/>
      <c r="D59" s="62" t="n"/>
      <c r="E59" s="62" t="n"/>
      <c r="F59" s="62" t="n"/>
      <c r="G59" s="62" t="n"/>
      <c r="H59" s="62" t="n"/>
      <c r="I59" s="62" t="n"/>
      <c r="J59" s="62" t="n"/>
      <c r="K59" s="62" t="n"/>
      <c r="L59" s="62" t="n"/>
      <c r="M59" s="62" t="n"/>
      <c r="N59" s="22" t="n"/>
      <c r="O59" s="52" t="n"/>
      <c r="P59" s="47" t="n"/>
      <c r="Q59" s="47" t="n"/>
      <c r="R59" s="47" t="n"/>
      <c r="S59" s="47" t="n"/>
      <c r="T59" s="46" t="n"/>
      <c r="U59" s="445" t="n"/>
      <c r="V59" s="47" t="n"/>
      <c r="W59" s="46" t="n"/>
      <c r="X59" s="52" t="n"/>
      <c r="Y59" s="47" t="n"/>
      <c r="Z59" s="47" t="n"/>
      <c r="AA59" s="47" t="n"/>
      <c r="AB59" s="47" t="n"/>
      <c r="AC59" s="46" t="n"/>
      <c r="AD59" s="22" t="n"/>
      <c r="AE59" s="22" t="n"/>
      <c r="AF59" s="22" t="n"/>
      <c r="AG59" s="22" t="n"/>
      <c r="AH59" s="22" t="n"/>
      <c r="AI59" s="22" t="n"/>
    </row>
    <row r="60" ht="19.5" customHeight="1">
      <c r="A60" s="48" t="inlineStr">
        <is>
          <t>Tax paid</t>
        </is>
      </c>
      <c r="B60" s="62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22" t="n"/>
      <c r="O60" s="53" t="n"/>
      <c r="P60" s="47" t="n"/>
      <c r="Q60" s="47" t="n"/>
      <c r="R60" s="47" t="n"/>
      <c r="S60" s="47" t="n"/>
      <c r="T60" s="46" t="n"/>
      <c r="U60" s="448" t="n"/>
      <c r="V60" s="47" t="n"/>
      <c r="W60" s="46" t="n"/>
      <c r="X60" s="53" t="n"/>
      <c r="Y60" s="47" t="n"/>
      <c r="Z60" s="47" t="n"/>
      <c r="AA60" s="47" t="n"/>
      <c r="AB60" s="47" t="n"/>
      <c r="AC60" s="46" t="n"/>
      <c r="AD60" s="22" t="n"/>
      <c r="AE60" s="22" t="n"/>
      <c r="AF60" s="22" t="n"/>
      <c r="AG60" s="22" t="n"/>
      <c r="AH60" s="22" t="n"/>
      <c r="AI60" s="22" t="n"/>
    </row>
    <row r="61" ht="19.5" customHeight="1">
      <c r="A61" s="96" t="inlineStr">
        <is>
          <t>Capital return / financing</t>
        </is>
      </c>
      <c r="B61" s="10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5" t="n"/>
      <c r="N61" s="22" t="n"/>
      <c r="O61" s="52" t="n"/>
      <c r="P61" s="47" t="n"/>
      <c r="Q61" s="47" t="n"/>
      <c r="R61" s="47" t="n"/>
      <c r="S61" s="47" t="n"/>
      <c r="T61" s="46" t="n"/>
      <c r="U61" s="449" t="n"/>
      <c r="V61" s="47" t="n"/>
      <c r="W61" s="46" t="n"/>
      <c r="X61" s="52" t="n"/>
      <c r="Y61" s="47" t="n"/>
      <c r="Z61" s="47" t="n"/>
      <c r="AA61" s="47" t="n"/>
      <c r="AB61" s="47" t="n"/>
      <c r="AC61" s="46" t="n"/>
      <c r="AD61" s="22" t="n"/>
      <c r="AE61" s="22" t="n"/>
      <c r="AF61" s="22" t="n"/>
      <c r="AG61" s="22" t="n"/>
      <c r="AH61" s="22" t="n"/>
      <c r="AI61" s="22" t="n"/>
    </row>
    <row r="62" ht="19.5" customHeight="1">
      <c r="A62" s="48" t="inlineStr">
        <is>
          <t>Buybacks (cash)</t>
        </is>
      </c>
      <c r="B62" s="62" t="n"/>
      <c r="C62" s="62" t="n"/>
      <c r="D62" s="62" t="n"/>
      <c r="E62" s="62" t="n"/>
      <c r="F62" s="62" t="n"/>
      <c r="G62" s="62" t="n"/>
      <c r="H62" s="62" t="n"/>
      <c r="I62" s="62" t="n"/>
      <c r="J62" s="62" t="n"/>
      <c r="K62" s="62" t="n"/>
      <c r="L62" s="62" t="n"/>
      <c r="M62" s="62" t="n"/>
      <c r="N62" s="22" t="n"/>
      <c r="O62" s="53" t="n"/>
      <c r="P62" s="47" t="n"/>
      <c r="Q62" s="47" t="n"/>
      <c r="R62" s="47" t="n"/>
      <c r="S62" s="47" t="n"/>
      <c r="T62" s="46" t="n"/>
      <c r="U62" s="450" t="n"/>
      <c r="V62" s="47" t="n"/>
      <c r="W62" s="46" t="n"/>
      <c r="X62" s="53" t="n"/>
      <c r="Y62" s="47" t="n"/>
      <c r="Z62" s="47" t="n"/>
      <c r="AA62" s="47" t="n"/>
      <c r="AB62" s="47" t="n"/>
      <c r="AC62" s="46" t="n"/>
      <c r="AD62" s="22" t="n"/>
      <c r="AE62" s="22" t="n"/>
      <c r="AF62" s="22" t="n"/>
      <c r="AG62" s="22" t="n"/>
      <c r="AH62" s="22" t="n"/>
      <c r="AI62" s="22" t="n"/>
    </row>
    <row r="63" ht="19.5" customHeight="1">
      <c r="A63" s="48" t="inlineStr">
        <is>
          <t>Buybacks (TTM, cash)</t>
        </is>
      </c>
      <c r="B63" s="62" t="n"/>
      <c r="C63" s="62" t="n"/>
      <c r="D63" s="62" t="n"/>
      <c r="E63" s="62" t="n"/>
      <c r="F63" s="62" t="n"/>
      <c r="G63" s="62" t="n"/>
      <c r="H63" s="62" t="n"/>
      <c r="I63" s="62" t="n"/>
      <c r="J63" s="62" t="n"/>
      <c r="K63" s="62" t="n"/>
      <c r="L63" s="62" t="n"/>
      <c r="M63" s="62" t="n"/>
      <c r="N63" s="22" t="n"/>
      <c r="O63" s="443" t="inlineStr">
        <is>
          <t>Output</t>
        </is>
      </c>
      <c r="P63" s="47" t="n"/>
      <c r="Q63" s="47" t="n"/>
      <c r="R63" s="47" t="n"/>
      <c r="S63" s="47" t="n"/>
      <c r="T63" s="46" t="n"/>
      <c r="U63" s="443" t="inlineStr">
        <is>
          <t>Value</t>
        </is>
      </c>
      <c r="V63" s="47" t="n"/>
      <c r="W63" s="46" t="n"/>
      <c r="X63" s="443" t="inlineStr">
        <is>
          <t>Interpretation</t>
        </is>
      </c>
      <c r="Y63" s="47" t="n"/>
      <c r="Z63" s="47" t="n"/>
      <c r="AA63" s="47" t="n"/>
      <c r="AB63" s="47" t="n"/>
      <c r="AC63" s="46" t="n"/>
      <c r="AD63" s="22" t="n"/>
      <c r="AE63" s="22" t="n"/>
      <c r="AF63" s="22" t="n"/>
      <c r="AG63" s="22" t="n"/>
      <c r="AH63" s="22" t="n"/>
      <c r="AI63" s="22" t="n"/>
    </row>
    <row r="64" ht="19.5" customHeight="1">
      <c r="A64" s="48" t="inlineStr">
        <is>
          <t>Dividends (TTM, cash)</t>
        </is>
      </c>
      <c r="B64" s="62" t="n"/>
      <c r="C64" s="62" t="n"/>
      <c r="D64" s="62" t="n"/>
      <c r="E64" s="62" t="n"/>
      <c r="F64" s="62" t="n"/>
      <c r="G64" s="62" t="n"/>
      <c r="H64" s="62" t="n"/>
      <c r="I64" s="62" t="n"/>
      <c r="J64" s="62" t="n"/>
      <c r="K64" s="62" t="n"/>
      <c r="L64" s="62" t="n"/>
      <c r="M64" s="62" t="n"/>
      <c r="N64" s="22" t="n"/>
      <c r="O64" s="52" t="n"/>
      <c r="P64" s="47" t="n"/>
      <c r="Q64" s="47" t="n"/>
      <c r="R64" s="47" t="n"/>
      <c r="S64" s="47" t="n"/>
      <c r="T64" s="46" t="n"/>
      <c r="U64" s="351" t="n"/>
      <c r="V64" s="47" t="n"/>
      <c r="W64" s="46" t="n"/>
      <c r="X64" s="52" t="n"/>
      <c r="Y64" s="47" t="n"/>
      <c r="Z64" s="47" t="n"/>
      <c r="AA64" s="47" t="n"/>
      <c r="AB64" s="47" t="n"/>
      <c r="AC64" s="46" t="n"/>
      <c r="AD64" s="22" t="n"/>
      <c r="AE64" s="22" t="n"/>
      <c r="AF64" s="22" t="n"/>
      <c r="AG64" s="22" t="n"/>
      <c r="AH64" s="22" t="n"/>
      <c r="AI64" s="22" t="n"/>
    </row>
    <row r="65" ht="19.5" customHeight="1">
      <c r="A65" s="48" t="inlineStr">
        <is>
          <t>Acquisitions (TTM, cash)</t>
        </is>
      </c>
      <c r="B65" s="62" t="n"/>
      <c r="C65" s="62" t="n"/>
      <c r="D65" s="62" t="n"/>
      <c r="E65" s="62" t="n"/>
      <c r="F65" s="62" t="n"/>
      <c r="G65" s="62" t="n"/>
      <c r="H65" s="62" t="n"/>
      <c r="I65" s="62" t="n"/>
      <c r="J65" s="62" t="n"/>
      <c r="K65" s="62" t="n"/>
      <c r="L65" s="62" t="n"/>
      <c r="M65" s="62" t="n"/>
      <c r="N65" s="22" t="n"/>
      <c r="O65" s="53" t="n"/>
      <c r="P65" s="47" t="n"/>
      <c r="Q65" s="47" t="n"/>
      <c r="R65" s="47" t="n"/>
      <c r="S65" s="47" t="n"/>
      <c r="T65" s="46" t="n"/>
      <c r="U65" s="352" t="n"/>
      <c r="V65" s="47" t="n"/>
      <c r="W65" s="46" t="n"/>
      <c r="X65" s="53" t="n"/>
      <c r="Y65" s="47" t="n"/>
      <c r="Z65" s="47" t="n"/>
      <c r="AA65" s="47" t="n"/>
      <c r="AB65" s="47" t="n"/>
      <c r="AC65" s="46" t="n"/>
      <c r="AD65" s="22" t="n"/>
      <c r="AE65" s="22" t="n"/>
      <c r="AF65" s="22" t="n"/>
      <c r="AG65" s="22" t="n"/>
      <c r="AH65" s="22" t="n"/>
      <c r="AI65" s="22" t="n"/>
    </row>
    <row r="66" ht="19.5" customHeight="1">
      <c r="A66" s="48" t="inlineStr">
        <is>
          <t>Debt repaid (gross, TTM)</t>
        </is>
      </c>
      <c r="B66" s="62" t="n"/>
      <c r="C66" s="62" t="n"/>
      <c r="D66" s="62" t="n"/>
      <c r="E66" s="62" t="n"/>
      <c r="F66" s="62" t="n"/>
      <c r="G66" s="62" t="n"/>
      <c r="H66" s="62" t="n"/>
      <c r="I66" s="62" t="n"/>
      <c r="J66" s="62" t="n"/>
      <c r="K66" s="62" t="n"/>
      <c r="L66" s="62" t="n"/>
      <c r="M66" s="62" t="n"/>
      <c r="N66" s="22" t="n"/>
      <c r="O66" s="52" t="n"/>
      <c r="P66" s="47" t="n"/>
      <c r="Q66" s="47" t="n"/>
      <c r="R66" s="47" t="n"/>
      <c r="S66" s="47" t="n"/>
      <c r="T66" s="46" t="n"/>
      <c r="U66" s="353" t="n"/>
      <c r="V66" s="47" t="n"/>
      <c r="W66" s="46" t="n"/>
      <c r="X66" s="52" t="n"/>
      <c r="Y66" s="47" t="n"/>
      <c r="Z66" s="47" t="n"/>
      <c r="AA66" s="47" t="n"/>
      <c r="AB66" s="47" t="n"/>
      <c r="AC66" s="46" t="n"/>
      <c r="AD66" s="22" t="n"/>
      <c r="AE66" s="22" t="n"/>
      <c r="AF66" s="22" t="n"/>
      <c r="AG66" s="22" t="n"/>
      <c r="AH66" s="22" t="n"/>
      <c r="AI66" s="22" t="n"/>
    </row>
    <row r="67" ht="19.5" customHeight="1">
      <c r="A67" s="48" t="inlineStr">
        <is>
          <t>Debt issued (gross, TTM)</t>
        </is>
      </c>
      <c r="B67" s="62" t="n"/>
      <c r="C67" s="62" t="n"/>
      <c r="D67" s="62" t="n"/>
      <c r="E67" s="62" t="n"/>
      <c r="F67" s="62" t="n"/>
      <c r="G67" s="62" t="n"/>
      <c r="H67" s="62" t="n"/>
      <c r="I67" s="62" t="n"/>
      <c r="J67" s="62" t="n"/>
      <c r="K67" s="62" t="n"/>
      <c r="L67" s="62" t="n"/>
      <c r="M67" s="62" t="n"/>
      <c r="N67" s="22" t="n"/>
      <c r="O67" s="53" t="n"/>
      <c r="P67" s="47" t="n"/>
      <c r="Q67" s="47" t="n"/>
      <c r="R67" s="47" t="n"/>
      <c r="S67" s="47" t="n"/>
      <c r="T67" s="46" t="n"/>
      <c r="U67" s="352" t="n"/>
      <c r="V67" s="47" t="n"/>
      <c r="W67" s="46" t="n"/>
      <c r="X67" s="53" t="n"/>
      <c r="Y67" s="47" t="n"/>
      <c r="Z67" s="47" t="n"/>
      <c r="AA67" s="47" t="n"/>
      <c r="AB67" s="47" t="n"/>
      <c r="AC67" s="46" t="n"/>
      <c r="AD67" s="22" t="n"/>
      <c r="AE67" s="22" t="n"/>
      <c r="AF67" s="22" t="n"/>
      <c r="AG67" s="22" t="n"/>
      <c r="AH67" s="22" t="n"/>
      <c r="AI67" s="22" t="n"/>
    </row>
    <row r="68" ht="19.5" customHeight="1">
      <c r="A68" s="38" t="inlineStr">
        <is>
          <t>Leverage &amp; Liquidity</t>
        </is>
      </c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22" t="n"/>
      <c r="O68" s="52" t="n"/>
      <c r="P68" s="47" t="n"/>
      <c r="Q68" s="47" t="n"/>
      <c r="R68" s="47" t="n"/>
      <c r="S68" s="47" t="n"/>
      <c r="T68" s="46" t="n"/>
      <c r="U68" s="351" t="n"/>
      <c r="V68" s="47" t="n"/>
      <c r="W68" s="46" t="n"/>
      <c r="X68" s="52" t="n"/>
      <c r="Y68" s="47" t="n"/>
      <c r="Z68" s="47" t="n"/>
      <c r="AA68" s="47" t="n"/>
      <c r="AB68" s="47" t="n"/>
      <c r="AC68" s="46" t="n"/>
      <c r="AD68" s="22" t="n"/>
      <c r="AE68" s="22" t="n"/>
      <c r="AF68" s="22" t="n"/>
      <c r="AG68" s="22" t="n"/>
      <c r="AH68" s="22" t="n"/>
      <c r="AI68" s="22" t="n"/>
    </row>
    <row r="69" ht="19.5" customHeight="1">
      <c r="A69" s="96" t="inlineStr">
        <is>
          <t>Net debt position</t>
        </is>
      </c>
      <c r="B69" s="10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5" t="n"/>
      <c r="N69" s="22" t="n"/>
      <c r="O69" s="53" t="n"/>
      <c r="P69" s="47" t="n"/>
      <c r="Q69" s="47" t="n"/>
      <c r="R69" s="47" t="n"/>
      <c r="S69" s="47" t="n"/>
      <c r="T69" s="46" t="n"/>
      <c r="U69" s="352" t="n"/>
      <c r="V69" s="47" t="n"/>
      <c r="W69" s="46" t="n"/>
      <c r="X69" s="53" t="n"/>
      <c r="Y69" s="47" t="n"/>
      <c r="Z69" s="47" t="n"/>
      <c r="AA69" s="47" t="n"/>
      <c r="AB69" s="47" t="n"/>
      <c r="AC69" s="46" t="n"/>
      <c r="AD69" s="22" t="n"/>
      <c r="AE69" s="22" t="n"/>
      <c r="AF69" s="22" t="n"/>
      <c r="AG69" s="22" t="n"/>
      <c r="AH69" s="22" t="n"/>
      <c r="AI69" s="22" t="n"/>
    </row>
    <row r="70" ht="19.5" customHeight="1">
      <c r="A70" s="48" t="inlineStr">
        <is>
          <t>Cash &amp; equivalents</t>
        </is>
      </c>
      <c r="B70" s="62" t="n"/>
      <c r="C70" s="62" t="n"/>
      <c r="D70" s="62" t="n"/>
      <c r="E70" s="62" t="n"/>
      <c r="F70" s="62" t="n"/>
      <c r="G70" s="62" t="n"/>
      <c r="H70" s="62" t="n"/>
      <c r="I70" s="62" t="n"/>
      <c r="J70" s="62" t="n"/>
      <c r="K70" s="62" t="n"/>
      <c r="L70" s="62" t="n"/>
      <c r="M70" s="62" t="n"/>
      <c r="N70" s="22" t="n"/>
      <c r="O70" s="52" t="n"/>
      <c r="P70" s="47" t="n"/>
      <c r="Q70" s="47" t="n"/>
      <c r="R70" s="47" t="n"/>
      <c r="S70" s="47" t="n"/>
      <c r="T70" s="46" t="n"/>
      <c r="U70" s="351" t="n"/>
      <c r="V70" s="47" t="n"/>
      <c r="W70" s="46" t="n"/>
      <c r="X70" s="52" t="n"/>
      <c r="Y70" s="47" t="n"/>
      <c r="Z70" s="47" t="n"/>
      <c r="AA70" s="47" t="n"/>
      <c r="AB70" s="47" t="n"/>
      <c r="AC70" s="46" t="n"/>
      <c r="AD70" s="22" t="n"/>
      <c r="AE70" s="22" t="n"/>
      <c r="AF70" s="22" t="n"/>
      <c r="AG70" s="22" t="n"/>
      <c r="AH70" s="22" t="n"/>
      <c r="AI70" s="22" t="n"/>
    </row>
    <row r="71" ht="19.5" customHeight="1">
      <c r="A71" s="48" t="inlineStr">
        <is>
          <t>Marketable securities</t>
        </is>
      </c>
      <c r="B71" s="62" t="n"/>
      <c r="C71" s="62" t="n"/>
      <c r="D71" s="62" t="n"/>
      <c r="E71" s="62" t="n"/>
      <c r="F71" s="62" t="n"/>
      <c r="G71" s="62" t="n"/>
      <c r="H71" s="62" t="n"/>
      <c r="I71" s="62" t="n"/>
      <c r="J71" s="62" t="n"/>
      <c r="K71" s="62" t="n"/>
      <c r="L71" s="62" t="n"/>
      <c r="M71" s="62" t="n"/>
      <c r="N71" s="22" t="n"/>
      <c r="O71" s="80" t="n"/>
      <c r="P71" s="80" t="n"/>
      <c r="Q71" s="80" t="n"/>
      <c r="R71" s="80" t="n"/>
      <c r="S71" s="80" t="n"/>
      <c r="T71" s="80" t="n"/>
      <c r="U71" s="80" t="n"/>
      <c r="V71" s="80" t="n"/>
      <c r="W71" s="80" t="n"/>
      <c r="X71" s="80" t="n"/>
      <c r="Y71" s="80" t="n"/>
      <c r="Z71" s="80" t="n"/>
      <c r="AA71" s="80" t="n"/>
      <c r="AB71" s="80" t="n"/>
      <c r="AC71" s="80" t="n"/>
      <c r="AD71" s="22" t="n"/>
      <c r="AE71" s="22" t="n"/>
      <c r="AF71" s="22" t="n"/>
      <c r="AG71" s="22" t="n"/>
      <c r="AH71" s="22" t="n"/>
      <c r="AI71" s="22" t="n"/>
    </row>
    <row r="72" ht="19.5" customHeight="1">
      <c r="A72" s="48" t="inlineStr">
        <is>
          <t>Debt (core borrowings)</t>
        </is>
      </c>
      <c r="B72" s="62" t="n"/>
      <c r="C72" s="62" t="n"/>
      <c r="D72" s="62" t="n"/>
      <c r="E72" s="62" t="n"/>
      <c r="F72" s="62" t="n"/>
      <c r="G72" s="62" t="n"/>
      <c r="H72" s="62" t="n"/>
      <c r="I72" s="62" t="n"/>
      <c r="J72" s="62" t="n"/>
      <c r="K72" s="62" t="n"/>
      <c r="L72" s="62" t="n"/>
      <c r="M72" s="62" t="n"/>
      <c r="N72" s="22" t="n"/>
      <c r="O72" s="52" t="n"/>
      <c r="P72" s="47" t="n"/>
      <c r="Q72" s="47" t="n"/>
      <c r="R72" s="47" t="n"/>
      <c r="S72" s="47" t="n"/>
      <c r="T72" s="46" t="n"/>
      <c r="U72" s="357" t="n"/>
      <c r="V72" s="47" t="n"/>
      <c r="W72" s="46" t="n"/>
      <c r="X72" s="52" t="n"/>
      <c r="Y72" s="47" t="n"/>
      <c r="Z72" s="47" t="n"/>
      <c r="AA72" s="47" t="n"/>
      <c r="AB72" s="47" t="n"/>
      <c r="AC72" s="46" t="n"/>
      <c r="AD72" s="22" t="n"/>
      <c r="AE72" s="22" t="n"/>
      <c r="AF72" s="22" t="n"/>
      <c r="AG72" s="22" t="n"/>
      <c r="AH72" s="22" t="n"/>
      <c r="AI72" s="22" t="n"/>
    </row>
    <row r="73" ht="19.5" customHeight="1">
      <c r="A73" s="48" t="inlineStr">
        <is>
          <t>Net debt (core borrowings)</t>
        </is>
      </c>
      <c r="B73" s="62" t="n"/>
      <c r="C73" s="62" t="n"/>
      <c r="D73" s="62" t="n"/>
      <c r="E73" s="62" t="n"/>
      <c r="F73" s="62" t="n"/>
      <c r="G73" s="62" t="n"/>
      <c r="H73" s="62" t="n"/>
      <c r="I73" s="62" t="n"/>
      <c r="J73" s="62" t="n"/>
      <c r="K73" s="62" t="n"/>
      <c r="L73" s="62" t="n"/>
      <c r="M73" s="62" t="n"/>
      <c r="N73" s="22" t="n"/>
      <c r="O73" s="53" t="n"/>
      <c r="P73" s="47" t="n"/>
      <c r="Q73" s="47" t="n"/>
      <c r="R73" s="47" t="n"/>
      <c r="S73" s="47" t="n"/>
      <c r="T73" s="46" t="n"/>
      <c r="U73" s="358" t="n"/>
      <c r="V73" s="47" t="n"/>
      <c r="W73" s="46" t="n"/>
      <c r="X73" s="53" t="n"/>
      <c r="Y73" s="47" t="n"/>
      <c r="Z73" s="47" t="n"/>
      <c r="AA73" s="47" t="n"/>
      <c r="AB73" s="47" t="n"/>
      <c r="AC73" s="46" t="n"/>
      <c r="AD73" s="22" t="n"/>
      <c r="AE73" s="22" t="n"/>
      <c r="AF73" s="22" t="n"/>
      <c r="AG73" s="22" t="n"/>
      <c r="AH73" s="22" t="n"/>
      <c r="AI73" s="22" t="n"/>
    </row>
    <row r="74" ht="19.5" customHeight="1">
      <c r="A74" s="48" t="inlineStr">
        <is>
          <t>Net debt QoQ Δ ($m)</t>
        </is>
      </c>
      <c r="B74" s="62" t="n"/>
      <c r="C74" s="62" t="n"/>
      <c r="D74" s="62" t="n"/>
      <c r="E74" s="62" t="n"/>
      <c r="F74" s="62" t="n"/>
      <c r="G74" s="62" t="n"/>
      <c r="H74" s="62" t="n"/>
      <c r="I74" s="62" t="n"/>
      <c r="J74" s="62" t="n"/>
      <c r="K74" s="62" t="n"/>
      <c r="L74" s="62" t="n"/>
      <c r="M74" s="62" t="n"/>
      <c r="N74" s="22" t="n"/>
      <c r="O74" s="52" t="n"/>
      <c r="P74" s="47" t="n"/>
      <c r="Q74" s="47" t="n"/>
      <c r="R74" s="47" t="n"/>
      <c r="S74" s="47" t="n"/>
      <c r="T74" s="46" t="n"/>
      <c r="U74" s="353" t="n"/>
      <c r="V74" s="47" t="n"/>
      <c r="W74" s="46" t="n"/>
      <c r="X74" s="52" t="n"/>
      <c r="Y74" s="47" t="n"/>
      <c r="Z74" s="47" t="n"/>
      <c r="AA74" s="47" t="n"/>
      <c r="AB74" s="47" t="n"/>
      <c r="AC74" s="46" t="n"/>
      <c r="AD74" s="22" t="n"/>
      <c r="AE74" s="22" t="n"/>
      <c r="AF74" s="22" t="n"/>
      <c r="AG74" s="22" t="n"/>
      <c r="AH74" s="22" t="n"/>
      <c r="AI74" s="22" t="n"/>
    </row>
    <row r="75" ht="19.5" customHeight="1">
      <c r="A75" s="48" t="inlineStr">
        <is>
          <t>Net debt YoY Δ ($m)</t>
        </is>
      </c>
      <c r="B75" s="62" t="n"/>
      <c r="C75" s="62" t="n"/>
      <c r="D75" s="62" t="n"/>
      <c r="E75" s="62" t="n"/>
      <c r="F75" s="62" t="n"/>
      <c r="G75" s="62" t="n"/>
      <c r="H75" s="62" t="n"/>
      <c r="I75" s="62" t="n"/>
      <c r="J75" s="62" t="n"/>
      <c r="K75" s="62" t="n"/>
      <c r="L75" s="62" t="n"/>
      <c r="M75" s="62" t="n"/>
      <c r="N75" s="22" t="n"/>
      <c r="O75" s="53" t="n"/>
      <c r="P75" s="47" t="n"/>
      <c r="Q75" s="47" t="n"/>
      <c r="R75" s="47" t="n"/>
      <c r="S75" s="47" t="n"/>
      <c r="T75" s="46" t="n"/>
      <c r="U75" s="358" t="n"/>
      <c r="V75" s="47" t="n"/>
      <c r="W75" s="46" t="n"/>
      <c r="X75" s="53" t="n"/>
      <c r="Y75" s="47" t="n"/>
      <c r="Z75" s="47" t="n"/>
      <c r="AA75" s="47" t="n"/>
      <c r="AB75" s="47" t="n"/>
      <c r="AC75" s="46" t="n"/>
      <c r="AD75" s="22" t="n"/>
      <c r="AE75" s="22" t="n"/>
      <c r="AF75" s="22" t="n"/>
      <c r="AG75" s="22" t="n"/>
      <c r="AH75" s="22" t="n"/>
      <c r="AI75" s="22" t="n"/>
    </row>
    <row r="76" ht="19.5" customHeight="1">
      <c r="A76" s="96" t="inlineStr">
        <is>
          <t>Supplemental net cash / lease-adjusted view</t>
        </is>
      </c>
      <c r="B76" s="10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5" t="n"/>
      <c r="N76" s="22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2" t="n"/>
      <c r="AE76" s="22" t="n"/>
      <c r="AF76" s="22" t="n"/>
      <c r="AG76" s="22" t="n"/>
      <c r="AH76" s="22" t="n"/>
      <c r="AI76" s="22" t="n"/>
    </row>
    <row r="77" ht="19.5" customHeight="1">
      <c r="A77" s="48" t="inlineStr">
        <is>
          <t>Core net cash</t>
        </is>
      </c>
      <c r="B77" s="62" t="n"/>
      <c r="C77" s="62" t="n"/>
      <c r="D77" s="62" t="n"/>
      <c r="E77" s="62" t="n"/>
      <c r="F77" s="62" t="n"/>
      <c r="G77" s="62" t="n"/>
      <c r="H77" s="62" t="n"/>
      <c r="I77" s="62" t="n"/>
      <c r="J77" s="62" t="n"/>
      <c r="K77" s="62" t="n"/>
      <c r="L77" s="62" t="n"/>
      <c r="M77" s="62" t="n"/>
      <c r="N77" s="22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2" t="n"/>
      <c r="AE77" s="22" t="n"/>
      <c r="AF77" s="22" t="n"/>
      <c r="AG77" s="22" t="n"/>
      <c r="AH77" s="22" t="n"/>
      <c r="AI77" s="22" t="n"/>
    </row>
    <row r="78" ht="19.5" customHeight="1">
      <c r="A78" s="48" t="inlineStr">
        <is>
          <t>Net cash incl. securities</t>
        </is>
      </c>
      <c r="B78" s="62" t="n"/>
      <c r="C78" s="62" t="n"/>
      <c r="D78" s="62" t="n"/>
      <c r="E78" s="62" t="n"/>
      <c r="F78" s="62" t="n"/>
      <c r="G78" s="62" t="n"/>
      <c r="H78" s="62" t="n"/>
      <c r="I78" s="62" t="n"/>
      <c r="J78" s="62" t="n"/>
      <c r="K78" s="62" t="n"/>
      <c r="L78" s="62" t="n"/>
      <c r="M78" s="62" t="n"/>
      <c r="N78" s="22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2" t="n"/>
      <c r="AE78" s="22" t="n"/>
      <c r="AF78" s="22" t="n"/>
      <c r="AG78" s="22" t="n"/>
      <c r="AH78" s="22" t="n"/>
      <c r="AI78" s="22" t="n"/>
    </row>
    <row r="79" ht="19.5" customHeight="1">
      <c r="A79" s="48" t="inlineStr">
        <is>
          <t>Lease liabilities</t>
        </is>
      </c>
      <c r="B79" s="62" t="n"/>
      <c r="C79" s="62" t="n"/>
      <c r="D79" s="62" t="n"/>
      <c r="E79" s="62" t="n"/>
      <c r="F79" s="62" t="n"/>
      <c r="G79" s="62" t="n"/>
      <c r="H79" s="62" t="n"/>
      <c r="I79" s="62" t="n"/>
      <c r="J79" s="62" t="n"/>
      <c r="K79" s="62" t="n"/>
      <c r="L79" s="62" t="n"/>
      <c r="M79" s="62" t="n"/>
      <c r="N79" s="22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2" t="n"/>
      <c r="AE79" s="22" t="n"/>
      <c r="AF79" s="22" t="n"/>
      <c r="AG79" s="22" t="n"/>
      <c r="AH79" s="22" t="n"/>
      <c r="AI79" s="22" t="n"/>
    </row>
    <row r="80" ht="19.5" customHeight="1">
      <c r="A80" s="48" t="inlineStr">
        <is>
          <t>Lease-adjusted net debt</t>
        </is>
      </c>
      <c r="B80" s="62" t="n"/>
      <c r="C80" s="62" t="n"/>
      <c r="D80" s="62" t="n"/>
      <c r="E80" s="62" t="n"/>
      <c r="F80" s="62" t="n"/>
      <c r="G80" s="62" t="n"/>
      <c r="H80" s="62" t="n"/>
      <c r="I80" s="62" t="n"/>
      <c r="J80" s="62" t="n"/>
      <c r="K80" s="62" t="n"/>
      <c r="L80" s="62" t="n"/>
      <c r="M80" s="62" t="n"/>
      <c r="N80" s="22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2" t="n"/>
      <c r="AE80" s="22" t="n"/>
      <c r="AF80" s="22" t="n"/>
      <c r="AG80" s="22" t="n"/>
      <c r="AH80" s="22" t="n"/>
      <c r="AI80" s="22" t="n"/>
    </row>
    <row r="81" ht="19.5" customHeight="1">
      <c r="A81" s="48" t="inlineStr">
        <is>
          <t>Lease-adjusted net debt incl. securities</t>
        </is>
      </c>
      <c r="B81" s="62" t="n"/>
      <c r="C81" s="62" t="n"/>
      <c r="D81" s="62" t="n"/>
      <c r="E81" s="62" t="n"/>
      <c r="F81" s="62" t="n"/>
      <c r="G81" s="62" t="n"/>
      <c r="H81" s="62" t="n"/>
      <c r="I81" s="62" t="n"/>
      <c r="J81" s="62" t="n"/>
      <c r="K81" s="62" t="n"/>
      <c r="L81" s="62" t="n"/>
      <c r="M81" s="62" t="n"/>
      <c r="N81" s="22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2" t="n"/>
      <c r="AE81" s="22" t="n"/>
      <c r="AF81" s="22" t="n"/>
      <c r="AG81" s="22" t="n"/>
      <c r="AH81" s="22" t="n"/>
      <c r="AI81" s="22" t="n"/>
    </row>
    <row r="82" ht="19.5" customHeight="1">
      <c r="A82" s="48" t="inlineStr">
        <is>
          <t>Net pension / OPEB</t>
        </is>
      </c>
      <c r="B82" s="62" t="n"/>
      <c r="C82" s="62" t="n"/>
      <c r="D82" s="62" t="n"/>
      <c r="E82" s="62" t="n"/>
      <c r="F82" s="62" t="n"/>
      <c r="G82" s="62" t="n"/>
      <c r="H82" s="62" t="n"/>
      <c r="I82" s="62" t="n"/>
      <c r="J82" s="62" t="n"/>
      <c r="K82" s="62" t="n"/>
      <c r="L82" s="62" t="n"/>
      <c r="M82" s="62" t="n"/>
      <c r="N82" s="22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2" t="n"/>
      <c r="AE82" s="22" t="n"/>
      <c r="AF82" s="22" t="n"/>
      <c r="AG82" s="22" t="n"/>
      <c r="AH82" s="22" t="n"/>
      <c r="AI82" s="22" t="n"/>
    </row>
    <row r="83" ht="19.5" customHeight="1">
      <c r="A83" s="96" t="inlineStr">
        <is>
          <t>Coverage / leverage</t>
        </is>
      </c>
      <c r="B83" s="10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5" t="n"/>
      <c r="N83" s="22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2" t="n"/>
      <c r="AE83" s="22" t="n"/>
      <c r="AF83" s="22" t="n"/>
      <c r="AG83" s="22" t="n"/>
      <c r="AH83" s="22" t="n"/>
      <c r="AI83" s="22" t="n"/>
    </row>
    <row r="84" ht="19.5" customHeight="1">
      <c r="A84" s="48" t="inlineStr">
        <is>
          <t>EBITDA TTM</t>
        </is>
      </c>
      <c r="B84" s="62" t="n"/>
      <c r="C84" s="62" t="n"/>
      <c r="D84" s="62" t="n"/>
      <c r="E84" s="62" t="n"/>
      <c r="F84" s="62" t="n"/>
      <c r="G84" s="62" t="n"/>
      <c r="H84" s="62" t="n"/>
      <c r="I84" s="62" t="n"/>
      <c r="J84" s="62" t="n"/>
      <c r="K84" s="62" t="n"/>
      <c r="L84" s="62" t="n"/>
      <c r="M84" s="62" t="n"/>
      <c r="N84" s="22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2" t="n"/>
      <c r="AE84" s="22" t="n"/>
      <c r="AF84" s="22" t="n"/>
      <c r="AG84" s="22" t="n"/>
      <c r="AH84" s="22" t="n"/>
      <c r="AI84" s="22" t="n"/>
    </row>
    <row r="85" ht="19.5" customHeight="1">
      <c r="A85" s="48" t="inlineStr">
        <is>
          <t>Adj EBITDA (TTM)</t>
        </is>
      </c>
      <c r="B85" s="62" t="n"/>
      <c r="C85" s="62" t="n"/>
      <c r="D85" s="62" t="n"/>
      <c r="E85" s="62" t="n"/>
      <c r="F85" s="62" t="n"/>
      <c r="G85" s="62" t="n"/>
      <c r="H85" s="62" t="n"/>
      <c r="I85" s="62" t="n"/>
      <c r="J85" s="62" t="n"/>
      <c r="K85" s="62" t="n"/>
      <c r="L85" s="62" t="n"/>
      <c r="M85" s="62" t="n"/>
      <c r="N85" s="22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2" t="n"/>
      <c r="AE85" s="22" t="n"/>
      <c r="AF85" s="22" t="n"/>
      <c r="AG85" s="22" t="n"/>
      <c r="AH85" s="22" t="n"/>
      <c r="AI85" s="22" t="n"/>
    </row>
    <row r="86" ht="19.5" customHeight="1">
      <c r="A86" s="48" t="inlineStr">
        <is>
          <t>Net leverage</t>
        </is>
      </c>
      <c r="B86" s="88" t="n"/>
      <c r="C86" s="88" t="n"/>
      <c r="D86" s="88" t="n"/>
      <c r="E86" s="88" t="n"/>
      <c r="F86" s="88" t="n"/>
      <c r="G86" s="88" t="n"/>
      <c r="H86" s="88" t="n"/>
      <c r="I86" s="88" t="n"/>
      <c r="J86" s="88" t="n"/>
      <c r="K86" s="88" t="n"/>
      <c r="L86" s="88" t="n"/>
      <c r="M86" s="88" t="n"/>
      <c r="N86" s="22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2" t="n"/>
      <c r="AE86" s="22" t="n"/>
      <c r="AF86" s="22" t="n"/>
      <c r="AG86" s="22" t="n"/>
      <c r="AH86" s="22" t="n"/>
      <c r="AI86" s="22" t="n"/>
    </row>
    <row r="87" ht="19.5" customHeight="1">
      <c r="A87" s="48" t="inlineStr">
        <is>
          <t>Net leverage (Adj)</t>
        </is>
      </c>
      <c r="B87" s="88" t="n"/>
      <c r="C87" s="88" t="n"/>
      <c r="D87" s="88" t="n"/>
      <c r="E87" s="88" t="n"/>
      <c r="F87" s="88" t="n"/>
      <c r="G87" s="88" t="n"/>
      <c r="H87" s="88" t="n"/>
      <c r="I87" s="88" t="n"/>
      <c r="J87" s="88" t="n"/>
      <c r="K87" s="88" t="n"/>
      <c r="L87" s="88" t="n"/>
      <c r="M87" s="88" t="n"/>
      <c r="N87" s="22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2" t="n"/>
      <c r="AE87" s="22" t="n"/>
      <c r="AF87" s="22" t="n"/>
      <c r="AG87" s="22" t="n"/>
      <c r="AH87" s="22" t="n"/>
      <c r="AI87" s="22" t="n"/>
    </row>
    <row r="88" ht="19.5" customHeight="1">
      <c r="A88" s="48" t="inlineStr">
        <is>
          <t>Interest coverage (P&amp;L TTM)</t>
        </is>
      </c>
      <c r="B88" s="88" t="n"/>
      <c r="C88" s="88" t="n"/>
      <c r="D88" s="88" t="n"/>
      <c r="E88" s="88" t="n"/>
      <c r="F88" s="88" t="n"/>
      <c r="G88" s="88" t="n"/>
      <c r="H88" s="88" t="n"/>
      <c r="I88" s="88" t="n"/>
      <c r="J88" s="88" t="n"/>
      <c r="K88" s="88" t="n"/>
      <c r="L88" s="88" t="n"/>
      <c r="M88" s="88" t="n"/>
      <c r="N88" s="22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2" t="n"/>
      <c r="AE88" s="22" t="n"/>
      <c r="AF88" s="22" t="n"/>
      <c r="AG88" s="22" t="n"/>
      <c r="AH88" s="22" t="n"/>
      <c r="AI88" s="22" t="n"/>
    </row>
    <row r="89" ht="19.5" customHeight="1">
      <c r="A89" s="48" t="inlineStr">
        <is>
          <t>Cash interest coverage (TTM)</t>
        </is>
      </c>
      <c r="B89" s="88" t="n"/>
      <c r="C89" s="88" t="n"/>
      <c r="D89" s="88" t="n"/>
      <c r="E89" s="88" t="n"/>
      <c r="F89" s="88" t="n"/>
      <c r="G89" s="88" t="n"/>
      <c r="H89" s="88" t="n"/>
      <c r="I89" s="88" t="n"/>
      <c r="J89" s="88" t="n"/>
      <c r="K89" s="88" t="n"/>
      <c r="L89" s="88" t="n"/>
      <c r="M89" s="88" t="n"/>
      <c r="N89" s="22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2" t="n"/>
      <c r="AE89" s="22" t="n"/>
      <c r="AF89" s="22" t="n"/>
      <c r="AG89" s="22" t="n"/>
      <c r="AH89" s="22" t="n"/>
      <c r="AI89" s="22" t="n"/>
    </row>
    <row r="90" ht="19.5" customHeight="1">
      <c r="A90" s="48" t="inlineStr">
        <is>
          <t>FCF conversion (TTM)</t>
        </is>
      </c>
      <c r="B90" s="59" t="n"/>
      <c r="C90" s="59" t="n"/>
      <c r="D90" s="59" t="n"/>
      <c r="E90" s="59" t="n"/>
      <c r="F90" s="59" t="n"/>
      <c r="G90" s="59" t="n"/>
      <c r="H90" s="59" t="n"/>
      <c r="I90" s="59" t="n"/>
      <c r="J90" s="59" t="n"/>
      <c r="K90" s="59" t="n"/>
      <c r="L90" s="59" t="n"/>
      <c r="M90" s="59" t="n"/>
      <c r="N90" s="22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2" t="n"/>
      <c r="AE90" s="22" t="n"/>
      <c r="AF90" s="22" t="n"/>
      <c r="AG90" s="22" t="n"/>
      <c r="AH90" s="22" t="n"/>
      <c r="AI90" s="22" t="n"/>
    </row>
    <row r="91" ht="19.5" customHeight="1">
      <c r="A91" s="96" t="inlineStr">
        <is>
          <t>Revolver / liquidity</t>
        </is>
      </c>
      <c r="B91" s="10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5" t="n"/>
      <c r="N91" s="22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2" t="n"/>
      <c r="AE91" s="22" t="n"/>
      <c r="AF91" s="22" t="n"/>
      <c r="AG91" s="22" t="n"/>
      <c r="AH91" s="22" t="n"/>
      <c r="AI91" s="22" t="n"/>
    </row>
    <row r="92" ht="19.5" customHeight="1">
      <c r="A92" s="48" t="inlineStr">
        <is>
          <t>Revolver facility size</t>
        </is>
      </c>
      <c r="B92" s="62" t="n"/>
      <c r="C92" s="62" t="n"/>
      <c r="D92" s="62" t="n"/>
      <c r="E92" s="62" t="n"/>
      <c r="F92" s="62" t="n"/>
      <c r="G92" s="62" t="n"/>
      <c r="H92" s="62" t="n"/>
      <c r="I92" s="62" t="n"/>
      <c r="J92" s="62" t="n"/>
      <c r="K92" s="62" t="n"/>
      <c r="L92" s="62" t="n"/>
      <c r="M92" s="62" t="n"/>
      <c r="N92" s="22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2" t="n"/>
      <c r="AE92" s="22" t="n"/>
      <c r="AF92" s="22" t="n"/>
      <c r="AG92" s="22" t="n"/>
      <c r="AH92" s="22" t="n"/>
      <c r="AI92" s="22" t="n"/>
    </row>
    <row r="93" ht="19.5" customHeight="1">
      <c r="A93" s="48" t="inlineStr">
        <is>
          <t>Revolver drawn</t>
        </is>
      </c>
      <c r="B93" s="62" t="n"/>
      <c r="C93" s="62" t="n"/>
      <c r="D93" s="62" t="n"/>
      <c r="E93" s="62" t="n"/>
      <c r="F93" s="62" t="n"/>
      <c r="G93" s="62" t="n"/>
      <c r="H93" s="62" t="n"/>
      <c r="I93" s="62" t="n"/>
      <c r="J93" s="62" t="n"/>
      <c r="K93" s="62" t="n"/>
      <c r="L93" s="62" t="n"/>
      <c r="M93" s="62" t="n"/>
      <c r="N93" s="22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2" t="n"/>
      <c r="AE93" s="22" t="n"/>
      <c r="AF93" s="22" t="n"/>
      <c r="AG93" s="22" t="n"/>
      <c r="AH93" s="22" t="n"/>
      <c r="AI93" s="22" t="n"/>
    </row>
    <row r="94" ht="19.5" customHeight="1">
      <c r="A94" s="48" t="inlineStr">
        <is>
          <t>Revolver letters of credit</t>
        </is>
      </c>
      <c r="B94" s="62" t="n"/>
      <c r="C94" s="62" t="n"/>
      <c r="D94" s="62" t="n"/>
      <c r="E94" s="62" t="n"/>
      <c r="F94" s="62" t="n"/>
      <c r="G94" s="62" t="n"/>
      <c r="H94" s="62" t="n"/>
      <c r="I94" s="62" t="n"/>
      <c r="J94" s="62" t="n"/>
      <c r="K94" s="62" t="n"/>
      <c r="L94" s="62" t="n"/>
      <c r="M94" s="62" t="n"/>
      <c r="N94" s="22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2" t="n"/>
      <c r="AE94" s="22" t="n"/>
      <c r="AF94" s="22" t="n"/>
      <c r="AG94" s="22" t="n"/>
      <c r="AH94" s="22" t="n"/>
      <c r="AI94" s="22" t="n"/>
    </row>
    <row r="95" ht="19.5" customHeight="1">
      <c r="A95" s="48" t="inlineStr">
        <is>
          <t>Revolver availability</t>
        </is>
      </c>
      <c r="B95" s="62" t="n"/>
      <c r="C95" s="62" t="n"/>
      <c r="D95" s="62" t="n"/>
      <c r="E95" s="62" t="n"/>
      <c r="F95" s="62" t="n"/>
      <c r="G95" s="62" t="n"/>
      <c r="H95" s="62" t="n"/>
      <c r="I95" s="62" t="n"/>
      <c r="J95" s="62" t="n"/>
      <c r="K95" s="62" t="n"/>
      <c r="L95" s="62" t="n"/>
      <c r="M95" s="62" t="n"/>
      <c r="N95" s="22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2" t="n"/>
      <c r="AE95" s="22" t="n"/>
      <c r="AF95" s="22" t="n"/>
      <c r="AG95" s="22" t="n"/>
      <c r="AH95" s="22" t="n"/>
      <c r="AI95" s="22" t="n"/>
    </row>
    <row r="96" ht="19.5" customHeight="1">
      <c r="A96" s="48" t="inlineStr">
        <is>
          <t>Liquidity (cash+availability)</t>
        </is>
      </c>
      <c r="B96" s="62" t="n"/>
      <c r="C96" s="62" t="n"/>
      <c r="D96" s="62" t="n"/>
      <c r="E96" s="62" t="n"/>
      <c r="F96" s="62" t="n"/>
      <c r="G96" s="62" t="n"/>
      <c r="H96" s="62" t="n"/>
      <c r="I96" s="62" t="n"/>
      <c r="J96" s="62" t="n"/>
      <c r="K96" s="62" t="n"/>
      <c r="L96" s="62" t="n"/>
      <c r="M96" s="62" t="n"/>
      <c r="N96" s="22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2" t="n"/>
      <c r="AE96" s="22" t="n"/>
      <c r="AF96" s="22" t="n"/>
      <c r="AG96" s="22" t="n"/>
      <c r="AH96" s="22" t="n"/>
      <c r="AI96" s="22" t="n"/>
    </row>
    <row r="97" ht="19.5" customHeight="1">
      <c r="A97" s="96" t="inlineStr">
        <is>
          <t>Short-term liquidity</t>
        </is>
      </c>
      <c r="B97" s="10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M97" s="105" t="n"/>
      <c r="N97" s="22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2" t="n"/>
      <c r="AE97" s="22" t="n"/>
      <c r="AF97" s="22" t="n"/>
      <c r="AG97" s="22" t="n"/>
      <c r="AH97" s="22" t="n"/>
      <c r="AI97" s="22" t="n"/>
    </row>
    <row r="98" ht="19.5" customHeight="1">
      <c r="A98" s="48" t="inlineStr">
        <is>
          <t>Current ratio</t>
        </is>
      </c>
      <c r="B98" s="88" t="n"/>
      <c r="C98" s="88" t="n"/>
      <c r="D98" s="88" t="n"/>
      <c r="E98" s="88" t="n"/>
      <c r="F98" s="88" t="n"/>
      <c r="G98" s="88" t="n"/>
      <c r="H98" s="88" t="n"/>
      <c r="I98" s="88" t="n"/>
      <c r="J98" s="88" t="n"/>
      <c r="K98" s="88" t="n"/>
      <c r="L98" s="88" t="n"/>
      <c r="M98" s="88" t="n"/>
      <c r="N98" s="22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2" t="n"/>
      <c r="AE98" s="22" t="n"/>
      <c r="AF98" s="22" t="n"/>
      <c r="AG98" s="22" t="n"/>
      <c r="AH98" s="22" t="n"/>
      <c r="AI98" s="22" t="n"/>
    </row>
    <row r="99" ht="19.5" customHeight="1">
      <c r="A99" s="48" t="inlineStr">
        <is>
          <t>Quick ratio</t>
        </is>
      </c>
      <c r="B99" s="88" t="n"/>
      <c r="C99" s="88" t="n"/>
      <c r="D99" s="88" t="n"/>
      <c r="E99" s="88" t="n"/>
      <c r="F99" s="88" t="n"/>
      <c r="G99" s="88" t="n"/>
      <c r="H99" s="88" t="n"/>
      <c r="I99" s="88" t="n"/>
      <c r="J99" s="88" t="n"/>
      <c r="K99" s="88" t="n"/>
      <c r="L99" s="88" t="n"/>
      <c r="M99" s="88" t="n"/>
      <c r="N99" s="22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2" t="n"/>
      <c r="AE99" s="22" t="n"/>
      <c r="AF99" s="22" t="n"/>
      <c r="AG99" s="22" t="n"/>
      <c r="AH99" s="22" t="n"/>
      <c r="AI99" s="22" t="n"/>
    </row>
    <row r="100" ht="19.5" customHeight="1">
      <c r="A100" s="38" t="inlineStr">
        <is>
          <t>Equity / Per-share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22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2" t="n"/>
      <c r="AE100" s="22" t="n"/>
      <c r="AF100" s="22" t="n"/>
      <c r="AG100" s="22" t="n"/>
      <c r="AH100" s="22" t="n"/>
      <c r="AI100" s="22" t="n"/>
    </row>
    <row r="101" ht="19.5" customHeight="1">
      <c r="A101" s="96" t="inlineStr">
        <is>
          <t>Share count</t>
        </is>
      </c>
      <c r="B101" s="10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M101" s="105" t="n"/>
      <c r="N101" s="22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2" t="n"/>
      <c r="AE101" s="22" t="n"/>
      <c r="AF101" s="22" t="n"/>
      <c r="AG101" s="22" t="n"/>
      <c r="AH101" s="22" t="n"/>
      <c r="AI101" s="22" t="n"/>
    </row>
    <row r="102" ht="19.5" customHeight="1">
      <c r="A102" s="48" t="inlineStr">
        <is>
          <t>Diluted shares (m)</t>
        </is>
      </c>
      <c r="B102" s="62" t="n"/>
      <c r="C102" s="62" t="n"/>
      <c r="D102" s="62" t="n"/>
      <c r="E102" s="62" t="n"/>
      <c r="F102" s="62" t="n"/>
      <c r="G102" s="62" t="n"/>
      <c r="H102" s="62" t="n"/>
      <c r="I102" s="62" t="n"/>
      <c r="J102" s="62" t="n"/>
      <c r="K102" s="62" t="n"/>
      <c r="L102" s="62" t="n"/>
      <c r="M102" s="62" t="n"/>
      <c r="N102" s="22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2" t="n"/>
      <c r="AE102" s="22" t="n"/>
      <c r="AF102" s="22" t="n"/>
      <c r="AG102" s="22" t="n"/>
      <c r="AH102" s="22" t="n"/>
      <c r="AI102" s="22" t="n"/>
    </row>
    <row r="103" ht="19.5" customHeight="1">
      <c r="A103" s="48" t="inlineStr">
        <is>
          <t>Shares outstanding (m)</t>
        </is>
      </c>
      <c r="B103" s="62" t="n"/>
      <c r="C103" s="62" t="n"/>
      <c r="D103" s="62" t="n"/>
      <c r="E103" s="62" t="n"/>
      <c r="F103" s="62" t="n"/>
      <c r="G103" s="62" t="n"/>
      <c r="H103" s="62" t="n"/>
      <c r="I103" s="62" t="n"/>
      <c r="J103" s="62" t="n"/>
      <c r="K103" s="62" t="n"/>
      <c r="L103" s="62" t="n"/>
      <c r="M103" s="62" t="n"/>
      <c r="N103" s="22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2" t="n"/>
      <c r="AE103" s="22" t="n"/>
      <c r="AF103" s="22" t="n"/>
      <c r="AG103" s="22" t="n"/>
      <c r="AH103" s="22" t="n"/>
      <c r="AI103" s="22" t="n"/>
    </row>
    <row r="104" ht="19.5" customHeight="1">
      <c r="A104" s="48" t="inlineStr">
        <is>
          <t>Shares QoQ Δ (m) [dil]</t>
        </is>
      </c>
      <c r="B104" s="62" t="n"/>
      <c r="C104" s="62" t="n"/>
      <c r="D104" s="62" t="n"/>
      <c r="E104" s="62" t="n"/>
      <c r="F104" s="62" t="n"/>
      <c r="G104" s="62" t="n"/>
      <c r="H104" s="62" t="n"/>
      <c r="I104" s="62" t="n"/>
      <c r="J104" s="62" t="n"/>
      <c r="K104" s="62" t="n"/>
      <c r="L104" s="62" t="n"/>
      <c r="M104" s="62" t="n"/>
      <c r="N104" s="22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2" t="n"/>
      <c r="AE104" s="22" t="n"/>
      <c r="AF104" s="22" t="n"/>
      <c r="AG104" s="22" t="n"/>
      <c r="AH104" s="22" t="n"/>
      <c r="AI104" s="22" t="n"/>
    </row>
    <row r="105" ht="19.5" customHeight="1">
      <c r="A105" s="48" t="inlineStr">
        <is>
          <t>Shares YoY Δ (m) [dil]</t>
        </is>
      </c>
      <c r="B105" s="62" t="n"/>
      <c r="C105" s="62" t="n"/>
      <c r="D105" s="62" t="n"/>
      <c r="E105" s="62" t="n"/>
      <c r="F105" s="62" t="n"/>
      <c r="G105" s="62" t="n"/>
      <c r="H105" s="62" t="n"/>
      <c r="I105" s="62" t="n"/>
      <c r="J105" s="62" t="n"/>
      <c r="K105" s="62" t="n"/>
      <c r="L105" s="62" t="n"/>
      <c r="M105" s="62" t="n"/>
      <c r="N105" s="22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2" t="n"/>
      <c r="AE105" s="22" t="n"/>
      <c r="AF105" s="22" t="n"/>
      <c r="AG105" s="22" t="n"/>
      <c r="AH105" s="22" t="n"/>
      <c r="AI105" s="22" t="n"/>
    </row>
    <row r="106" ht="19.5" customHeight="1">
      <c r="A106" s="96" t="inlineStr">
        <is>
          <t>Per-share earnings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5" t="n"/>
      <c r="N106" s="22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2" t="n"/>
      <c r="AE106" s="22" t="n"/>
      <c r="AF106" s="22" t="n"/>
      <c r="AG106" s="22" t="n"/>
      <c r="AH106" s="22" t="n"/>
      <c r="AI106" s="22" t="n"/>
    </row>
    <row r="107" ht="19.5" customHeight="1">
      <c r="A107" s="48" t="inlineStr">
        <is>
          <t>per-share earnings (GAAP)</t>
        </is>
      </c>
      <c r="B107" s="62" t="n"/>
      <c r="C107" s="62" t="n"/>
      <c r="D107" s="62" t="n"/>
      <c r="E107" s="62" t="n"/>
      <c r="F107" s="62" t="n"/>
      <c r="G107" s="62" t="n"/>
      <c r="H107" s="62" t="n"/>
      <c r="I107" s="62" t="n"/>
      <c r="J107" s="62" t="n"/>
      <c r="K107" s="62" t="n"/>
      <c r="L107" s="62" t="n"/>
      <c r="M107" s="62" t="n"/>
      <c r="N107" s="22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2" t="n"/>
      <c r="AE107" s="22" t="n"/>
      <c r="AF107" s="22" t="n"/>
      <c r="AG107" s="22" t="n"/>
      <c r="AH107" s="22" t="n"/>
      <c r="AI107" s="22" t="n"/>
    </row>
    <row r="108" ht="19.5" customHeight="1">
      <c r="A108" s="48" t="inlineStr">
        <is>
          <t>per-share earnings YoY Δ ($)</t>
        </is>
      </c>
      <c r="B108" s="62" t="n"/>
      <c r="C108" s="62" t="n"/>
      <c r="D108" s="62" t="n"/>
      <c r="E108" s="62" t="n"/>
      <c r="F108" s="62" t="n"/>
      <c r="G108" s="62" t="n"/>
      <c r="H108" s="62" t="n"/>
      <c r="I108" s="62" t="n"/>
      <c r="J108" s="62" t="n"/>
      <c r="K108" s="62" t="n"/>
      <c r="L108" s="62" t="n"/>
      <c r="M108" s="62" t="n"/>
      <c r="N108" s="22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2" t="n"/>
      <c r="AE108" s="22" t="n"/>
      <c r="AF108" s="22" t="n"/>
      <c r="AG108" s="22" t="n"/>
      <c r="AH108" s="22" t="n"/>
      <c r="AI108" s="22" t="n"/>
    </row>
    <row r="109" ht="19.5" customHeight="1">
      <c r="A109" s="48" t="inlineStr">
        <is>
          <t>per-share earnings (TTM)</t>
        </is>
      </c>
      <c r="B109" s="62" t="n"/>
      <c r="C109" s="62" t="n"/>
      <c r="D109" s="62" t="n"/>
      <c r="E109" s="62" t="n"/>
      <c r="F109" s="62" t="n"/>
      <c r="G109" s="62" t="n"/>
      <c r="H109" s="62" t="n"/>
      <c r="I109" s="62" t="n"/>
      <c r="J109" s="62" t="n"/>
      <c r="K109" s="62" t="n"/>
      <c r="L109" s="62" t="n"/>
      <c r="M109" s="62" t="n"/>
      <c r="N109" s="22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2" t="n"/>
      <c r="AE109" s="22" t="n"/>
      <c r="AF109" s="22" t="n"/>
      <c r="AG109" s="22" t="n"/>
      <c r="AH109" s="22" t="n"/>
      <c r="AI109" s="22" t="n"/>
    </row>
    <row r="110" ht="19.5" customHeight="1">
      <c r="A110" s="48" t="inlineStr">
        <is>
          <t>per-share earnings</t>
        </is>
      </c>
      <c r="B110" s="62" t="n"/>
      <c r="C110" s="62" t="n"/>
      <c r="D110" s="62" t="n"/>
      <c r="E110" s="62" t="n"/>
      <c r="F110" s="62" t="n"/>
      <c r="G110" s="62" t="n"/>
      <c r="H110" s="62" t="n"/>
      <c r="I110" s="62" t="n"/>
      <c r="J110" s="62" t="n"/>
      <c r="K110" s="62" t="n"/>
      <c r="L110" s="62" t="n"/>
      <c r="M110" s="62" t="n"/>
      <c r="N110" s="22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2" t="n"/>
      <c r="AE110" s="22" t="n"/>
      <c r="AF110" s="22" t="n"/>
      <c r="AG110" s="22" t="n"/>
      <c r="AH110" s="22" t="n"/>
      <c r="AI110" s="22" t="n"/>
    </row>
    <row r="111" ht="19.5" customHeight="1">
      <c r="A111" s="48" t="inlineStr">
        <is>
          <t>per-share earnings (TTM)</t>
        </is>
      </c>
      <c r="B111" s="62" t="n"/>
      <c r="C111" s="62" t="n"/>
      <c r="D111" s="62" t="n"/>
      <c r="E111" s="62" t="n"/>
      <c r="F111" s="62" t="n"/>
      <c r="G111" s="62" t="n"/>
      <c r="H111" s="62" t="n"/>
      <c r="I111" s="62" t="n"/>
      <c r="J111" s="62" t="n"/>
      <c r="K111" s="62" t="n"/>
      <c r="L111" s="62" t="n"/>
      <c r="M111" s="62" t="n"/>
      <c r="N111" s="22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2" t="n"/>
      <c r="AE111" s="22" t="n"/>
      <c r="AF111" s="22" t="n"/>
      <c r="AG111" s="22" t="n"/>
      <c r="AH111" s="22" t="n"/>
      <c r="AI111" s="22" t="n"/>
    </row>
    <row r="112" ht="19.5" customHeight="1">
      <c r="A112" s="96" t="inlineStr">
        <is>
          <t>Per-share value</t>
        </is>
      </c>
      <c r="B112" s="10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M112" s="105" t="n"/>
      <c r="N112" s="22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2" t="n"/>
      <c r="AE112" s="22" t="n"/>
      <c r="AF112" s="22" t="n"/>
      <c r="AG112" s="22" t="n"/>
      <c r="AH112" s="22" t="n"/>
      <c r="AI112" s="22" t="n"/>
    </row>
    <row r="113" ht="19.5" customHeight="1">
      <c r="A113" s="48" t="inlineStr">
        <is>
          <t>BV/share</t>
        </is>
      </c>
      <c r="B113" s="62" t="n"/>
      <c r="C113" s="62" t="n"/>
      <c r="D113" s="62" t="n"/>
      <c r="E113" s="62" t="n"/>
      <c r="F113" s="62" t="n"/>
      <c r="G113" s="62" t="n"/>
      <c r="H113" s="62" t="n"/>
      <c r="I113" s="62" t="n"/>
      <c r="J113" s="62" t="n"/>
      <c r="K113" s="62" t="n"/>
      <c r="L113" s="62" t="n"/>
      <c r="M113" s="62" t="n"/>
      <c r="N113" s="22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2" t="n"/>
      <c r="AE113" s="22" t="n"/>
      <c r="AF113" s="22" t="n"/>
      <c r="AG113" s="22" t="n"/>
      <c r="AH113" s="22" t="n"/>
      <c r="AI113" s="22" t="n"/>
    </row>
    <row r="114" ht="19.5" customHeight="1">
      <c r="A114" s="48" t="inlineStr">
        <is>
          <t>TBV/share</t>
        </is>
      </c>
      <c r="B114" s="62" t="n"/>
      <c r="C114" s="62" t="n"/>
      <c r="D114" s="62" t="n"/>
      <c r="E114" s="62" t="n"/>
      <c r="F114" s="62" t="n"/>
      <c r="G114" s="62" t="n"/>
      <c r="H114" s="62" t="n"/>
      <c r="I114" s="62" t="n"/>
      <c r="J114" s="62" t="n"/>
      <c r="K114" s="62" t="n"/>
      <c r="L114" s="62" t="n"/>
      <c r="M114" s="62" t="n"/>
      <c r="N114" s="22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2" t="n"/>
      <c r="AE114" s="22" t="n"/>
      <c r="AF114" s="22" t="n"/>
      <c r="AG114" s="22" t="n"/>
      <c r="AH114" s="22" t="n"/>
      <c r="AI114" s="22" t="n"/>
    </row>
    <row r="115" ht="19.5" customHeight="1">
      <c r="A115" s="48" t="inlineStr">
        <is>
          <t>FCF/share (TTM)</t>
        </is>
      </c>
      <c r="B115" s="62" t="n"/>
      <c r="C115" s="62" t="n"/>
      <c r="D115" s="62" t="n"/>
      <c r="E115" s="62" t="n"/>
      <c r="F115" s="62" t="n"/>
      <c r="G115" s="62" t="n"/>
      <c r="H115" s="62" t="n"/>
      <c r="I115" s="62" t="n"/>
      <c r="J115" s="62" t="n"/>
      <c r="K115" s="62" t="n"/>
      <c r="L115" s="62" t="n"/>
      <c r="M115" s="62" t="n"/>
      <c r="N115" s="22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2" t="n"/>
      <c r="AE115" s="22" t="n"/>
      <c r="AF115" s="22" t="n"/>
      <c r="AG115" s="22" t="n"/>
      <c r="AH115" s="22" t="n"/>
      <c r="AI115" s="22" t="n"/>
    </row>
    <row r="116" ht="19.5" customHeight="1">
      <c r="A116" s="96" t="inlineStr">
        <is>
          <t>Market-linked</t>
        </is>
      </c>
      <c r="B116" s="10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M116" s="105" t="n"/>
      <c r="N116" s="22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2" t="n"/>
      <c r="AE116" s="22" t="n"/>
      <c r="AF116" s="22" t="n"/>
      <c r="AG116" s="22" t="n"/>
      <c r="AH116" s="22" t="n"/>
      <c r="AI116" s="22" t="n"/>
    </row>
    <row r="117" ht="19.5" customHeight="1">
      <c r="A117" s="48" t="inlineStr">
        <is>
          <t>EV ($m)</t>
        </is>
      </c>
      <c r="B117" s="62" t="n"/>
      <c r="C117" s="62" t="n"/>
      <c r="D117" s="62" t="n"/>
      <c r="E117" s="62" t="n"/>
      <c r="F117" s="62" t="n"/>
      <c r="G117" s="62" t="n"/>
      <c r="H117" s="62" t="n"/>
      <c r="I117" s="62" t="n"/>
      <c r="J117" s="62" t="n"/>
      <c r="K117" s="62" t="n"/>
      <c r="L117" s="62" t="n"/>
      <c r="M117" s="62" t="n"/>
      <c r="N117" s="22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2" t="n"/>
      <c r="AE117" s="22" t="n"/>
      <c r="AF117" s="22" t="n"/>
      <c r="AG117" s="22" t="n"/>
      <c r="AH117" s="22" t="n"/>
      <c r="AI117" s="22" t="n"/>
    </row>
    <row r="118" ht="19.5" customHeight="1">
      <c r="A118" s="48" t="inlineStr">
        <is>
          <t>EV/EBITDA (TTM)</t>
        </is>
      </c>
      <c r="B118" s="359" t="n"/>
      <c r="C118" s="359" t="n"/>
      <c r="D118" s="359" t="n"/>
      <c r="E118" s="359" t="n"/>
      <c r="F118" s="359" t="n"/>
      <c r="G118" s="359" t="n"/>
      <c r="H118" s="359" t="n"/>
      <c r="I118" s="359" t="n"/>
      <c r="J118" s="359" t="n"/>
      <c r="K118" s="359" t="n"/>
      <c r="L118" s="359" t="n"/>
      <c r="M118" s="359" t="n"/>
      <c r="N118" s="22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2" t="n"/>
      <c r="AE118" s="22" t="n"/>
      <c r="AF118" s="22" t="n"/>
      <c r="AG118" s="22" t="n"/>
      <c r="AH118" s="22" t="n"/>
      <c r="AI118" s="22" t="n"/>
    </row>
    <row r="119" ht="19.5" customHeight="1">
      <c r="A119" s="48" t="inlineStr">
        <is>
          <t>EV/Adj EBITDA (TTM)</t>
        </is>
      </c>
      <c r="B119" s="359" t="n"/>
      <c r="C119" s="359" t="n"/>
      <c r="D119" s="359" t="n"/>
      <c r="E119" s="359" t="n"/>
      <c r="F119" s="359" t="n"/>
      <c r="G119" s="359" t="n"/>
      <c r="H119" s="359" t="n"/>
      <c r="I119" s="359" t="n"/>
      <c r="J119" s="359" t="n"/>
      <c r="K119" s="359" t="n"/>
      <c r="L119" s="359" t="n"/>
      <c r="M119" s="359" t="n"/>
      <c r="N119" s="22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2" t="n"/>
      <c r="AE119" s="22" t="n"/>
      <c r="AF119" s="22" t="n"/>
      <c r="AG119" s="22" t="n"/>
      <c r="AH119" s="22" t="n"/>
      <c r="AI119" s="22" t="n"/>
    </row>
    <row r="120" ht="19.5" customHeight="1">
      <c r="A120" s="48" t="inlineStr">
        <is>
          <t>FCF yield (TTM, equity)</t>
        </is>
      </c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22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2" t="n"/>
      <c r="AE120" s="22" t="n"/>
      <c r="AF120" s="22" t="n"/>
      <c r="AG120" s="22" t="n"/>
      <c r="AH120" s="22" t="n"/>
      <c r="AI120" s="22" t="n"/>
    </row>
    <row r="121" ht="19.5" customHeight="1">
      <c r="A121" s="48" t="inlineStr">
        <is>
          <t>FCF yield (TTM, EV)</t>
        </is>
      </c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22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2" t="n"/>
      <c r="AE121" s="22" t="n"/>
      <c r="AF121" s="22" t="n"/>
      <c r="AG121" s="22" t="n"/>
      <c r="AH121" s="22" t="n"/>
      <c r="AI121" s="22" t="n"/>
    </row>
    <row r="122" ht="19.5" customHeight="1">
      <c r="A122" s="451" t="inlineStr">
        <is>
          <t>Debt Detail (latest)</t>
        </is>
      </c>
      <c r="B122" s="31" t="n"/>
      <c r="C122" s="31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1" t="n"/>
      <c r="M122" s="31" t="n"/>
      <c r="N122" s="31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2" t="n"/>
      <c r="AE122" s="22" t="n"/>
      <c r="AF122" s="22" t="n"/>
      <c r="AG122" s="22" t="n"/>
      <c r="AH122" s="22" t="n"/>
      <c r="AI122" s="22" t="n"/>
    </row>
    <row r="123" ht="19.5" customHeight="1">
      <c r="A123" s="91" t="inlineStr">
        <is>
          <t>Year/Label</t>
        </is>
      </c>
      <c r="B123" s="452" t="inlineStr">
        <is>
          <t>Principal due ($m)</t>
        </is>
      </c>
      <c r="C123" s="452" t="inlineStr">
        <is>
          <t>Rate type</t>
        </is>
      </c>
      <c r="D123" s="452" t="inlineStr">
        <is>
          <t>Coupon/Spread %</t>
        </is>
      </c>
      <c r="F123" s="452" t="inlineStr">
        <is>
          <t>Maturity</t>
        </is>
      </c>
      <c r="G123" s="452" t="inlineStr">
        <is>
          <t>Conversion price</t>
        </is>
      </c>
      <c r="I123" s="452" t="inlineStr">
        <is>
          <t>Added shares on full conversion (m)</t>
        </is>
      </c>
      <c r="L123" s="452" t="inlineStr">
        <is>
          <t>Concurrent repurchased shares (m)</t>
        </is>
      </c>
      <c r="O123" s="92" t="n"/>
      <c r="P123" s="64" t="n"/>
      <c r="Q123" s="92" t="n"/>
      <c r="R123" s="64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2" t="n"/>
      <c r="AE123" s="22" t="n"/>
      <c r="AF123" s="22" t="n"/>
      <c r="AG123" s="22" t="n"/>
      <c r="AH123" s="22" t="n"/>
      <c r="AI123" s="22" t="n"/>
    </row>
    <row r="124" ht="19.5" customHeight="1">
      <c r="A124" s="22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2" t="n"/>
      <c r="AE124" s="22" t="n"/>
      <c r="AF124" s="22" t="n"/>
      <c r="AG124" s="22" t="n"/>
      <c r="AH124" s="22" t="n"/>
      <c r="AI124" s="22" t="n"/>
    </row>
    <row r="125" ht="19.5" customHeight="1">
      <c r="A125" s="22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2" t="n"/>
      <c r="AE125" s="22" t="n"/>
      <c r="AF125" s="22" t="n"/>
      <c r="AG125" s="22" t="n"/>
      <c r="AH125" s="22" t="n"/>
      <c r="AI125" s="22" t="n"/>
    </row>
    <row r="126" ht="19.5" customHeight="1">
      <c r="A126" s="22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</row>
    <row r="127" ht="19.5" customHeight="1">
      <c r="A127" s="22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</row>
    <row r="128" ht="19.5" customHeight="1">
      <c r="A128" s="22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</row>
    <row r="129" ht="19.5" customHeight="1">
      <c r="A129" s="22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</row>
    <row r="130" ht="19.5" customHeight="1">
      <c r="A130" s="22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</row>
    <row r="131" ht="19.5" customHeight="1">
      <c r="A131" s="22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</row>
    <row r="132" ht="19.5" customHeight="1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</row>
    <row r="133" ht="19.5" customHeight="1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</row>
    <row r="134" ht="19.5" customHeight="1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</row>
    <row r="135" ht="19.5" customHeight="1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</row>
    <row r="136" ht="19.5" customHeight="1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</row>
    <row r="137" ht="19.5" customHeight="1">
      <c r="A137" s="451" t="inlineStr">
        <is>
          <t>Hidden value flags</t>
        </is>
      </c>
      <c r="N137" s="453" t="inlineStr">
        <is>
          <t>Hidden Value Panel</t>
        </is>
      </c>
      <c r="O137" s="104" t="n"/>
      <c r="P137" s="104" t="n"/>
      <c r="Q137" s="104" t="n"/>
      <c r="R137" s="105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</row>
    <row r="138" ht="19.5" customHeight="1">
      <c r="A138" s="96" t="inlineStr">
        <is>
          <t>Flag</t>
        </is>
      </c>
      <c r="B138" s="454" t="inlineStr">
        <is>
          <t>Summary</t>
        </is>
      </c>
      <c r="C138" s="454" t="inlineStr"/>
      <c r="D138" s="454" t="inlineStr"/>
      <c r="E138" s="454" t="inlineStr"/>
      <c r="F138" s="454" t="inlineStr">
        <is>
          <t>Score</t>
        </is>
      </c>
      <c r="G138" s="454" t="inlineStr">
        <is>
          <t>Severity</t>
        </is>
      </c>
      <c r="H138" s="454" t="inlineStr">
        <is>
          <t>Result / support</t>
        </is>
      </c>
      <c r="I138" s="105" t="n"/>
      <c r="J138" s="96" t="inlineStr"/>
      <c r="K138" s="96" t="inlineStr"/>
      <c r="L138" s="96" t="inlineStr"/>
      <c r="M138" s="96" t="inlineStr"/>
      <c r="N138" s="98" t="inlineStr">
        <is>
          <t>Hidden value score (0-100)</t>
        </is>
      </c>
      <c r="O138" s="104" t="n"/>
      <c r="P138" s="104" t="n"/>
      <c r="Q138" s="105" t="n"/>
      <c r="R138" s="100" t="n"/>
      <c r="S138" s="101" t="n"/>
      <c r="T138" s="22" t="n"/>
      <c r="U138" s="22" t="n"/>
      <c r="V138" s="22" t="n"/>
      <c r="W138" s="22" t="n"/>
      <c r="X138" s="22" t="n"/>
      <c r="Y138" s="22" t="n"/>
      <c r="Z138" s="22" t="n"/>
      <c r="AA138" s="101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</row>
    <row r="139" ht="19.5" customHeight="1">
      <c r="A139" s="102" t="inlineStr">
        <is>
          <t>No triggered flags</t>
        </is>
      </c>
      <c r="B139" s="103" t="n"/>
      <c r="C139" s="104" t="n"/>
      <c r="D139" s="104" t="n"/>
      <c r="E139" s="105" t="n"/>
      <c r="F139" s="106" t="n"/>
      <c r="G139" s="103" t="n"/>
      <c r="H139" s="107" t="n"/>
      <c r="I139" s="104" t="n"/>
      <c r="J139" s="104" t="n"/>
      <c r="K139" s="104" t="n"/>
      <c r="L139" s="104" t="n"/>
      <c r="M139" s="105" t="n"/>
      <c r="N139" s="98" t="inlineStr">
        <is>
          <t>Profitability inflection</t>
        </is>
      </c>
      <c r="O139" s="104" t="n"/>
      <c r="P139" s="104" t="n"/>
      <c r="Q139" s="105" t="n"/>
      <c r="R139" s="100" t="n"/>
      <c r="S139" s="101" t="n"/>
      <c r="T139" s="22" t="n"/>
      <c r="U139" s="22" t="n"/>
      <c r="V139" s="22" t="n"/>
      <c r="W139" s="22" t="n"/>
      <c r="X139" s="22" t="n"/>
      <c r="Y139" s="22" t="n"/>
      <c r="Z139" s="22" t="n"/>
      <c r="AA139" s="101" t="n"/>
      <c r="AB139" s="22" t="n"/>
      <c r="AC139" s="22" t="n"/>
      <c r="AD139" s="22" t="n"/>
      <c r="AE139" s="22" t="n"/>
      <c r="AF139" s="22" t="n"/>
      <c r="AG139" s="22" t="n"/>
      <c r="AH139" s="22" t="n"/>
      <c r="AI139" s="22">
        <f>IFERROR(MATCH(1,'Hidden_Value_Flags'!$L$2:$L$100,0)+1,"")</f>
        <v/>
      </c>
    </row>
    <row r="140" ht="19.5" customHeight="1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98" t="inlineStr">
        <is>
          <t>Cash engine</t>
        </is>
      </c>
      <c r="O140" s="104" t="n"/>
      <c r="P140" s="104" t="n"/>
      <c r="Q140" s="105" t="n"/>
      <c r="R140" s="100" t="n"/>
      <c r="S140" s="101" t="n"/>
      <c r="T140" s="22" t="n"/>
      <c r="U140" s="22" t="n"/>
      <c r="V140" s="22" t="n"/>
      <c r="W140" s="22" t="n"/>
      <c r="X140" s="22" t="n"/>
      <c r="Y140" s="22" t="n"/>
      <c r="Z140" s="22" t="n"/>
      <c r="AA140" s="101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</row>
    <row r="141" ht="19.5" customHeight="1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98" t="inlineStr">
        <is>
          <t>Deleveraging/risk down</t>
        </is>
      </c>
      <c r="O141" s="104" t="n"/>
      <c r="P141" s="104" t="n"/>
      <c r="Q141" s="105" t="n"/>
      <c r="R141" s="100" t="n"/>
      <c r="S141" s="101" t="n"/>
      <c r="T141" s="22" t="n"/>
      <c r="U141" s="22" t="n"/>
      <c r="V141" s="22" t="n"/>
      <c r="W141" s="22" t="n"/>
      <c r="X141" s="22" t="n"/>
      <c r="Y141" s="22" t="n"/>
      <c r="Z141" s="22" t="n"/>
      <c r="AA141" s="101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</row>
    <row r="142" ht="19.5" customHeight="1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98" t="inlineStr">
        <is>
          <t>Quality of earnings</t>
        </is>
      </c>
      <c r="O142" s="104" t="n"/>
      <c r="P142" s="104" t="n"/>
      <c r="Q142" s="105" t="n"/>
      <c r="R142" s="100" t="n"/>
      <c r="S142" s="101" t="n"/>
      <c r="T142" s="22" t="n"/>
      <c r="U142" s="22" t="n"/>
      <c r="V142" s="22" t="n"/>
      <c r="W142" s="22" t="n"/>
      <c r="X142" s="22" t="n"/>
      <c r="Y142" s="22" t="n"/>
      <c r="Z142" s="22" t="n"/>
      <c r="AA142" s="101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</row>
    <row r="143" ht="19.5" customHeight="1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98" t="inlineStr">
        <is>
          <t>Narrative confirmation</t>
        </is>
      </c>
      <c r="O143" s="104" t="n"/>
      <c r="P143" s="104" t="n"/>
      <c r="Q143" s="105" t="n"/>
      <c r="R143" s="100" t="n"/>
      <c r="S143" s="101" t="n"/>
      <c r="T143" s="22" t="n"/>
      <c r="U143" s="22" t="n"/>
      <c r="V143" s="22" t="n"/>
      <c r="W143" s="22" t="n"/>
      <c r="X143" s="22" t="n"/>
      <c r="Y143" s="22" t="n"/>
      <c r="Z143" s="22" t="n"/>
      <c r="AA143" s="101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</row>
    <row r="144" ht="19.5" customHeight="1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</row>
    <row r="145" ht="19.5" customHeight="1">
      <c r="A145" s="451" t="inlineStr">
        <is>
          <t>Operating signals</t>
        </is>
      </c>
      <c r="B145" s="31" t="n"/>
      <c r="C145" s="31" t="n"/>
      <c r="D145" s="31" t="n"/>
      <c r="E145" s="31" t="n"/>
      <c r="F145" s="31" t="n"/>
      <c r="G145" s="31" t="n"/>
      <c r="H145" s="31" t="n"/>
      <c r="I145" s="31" t="n"/>
      <c r="J145" s="31" t="n"/>
      <c r="K145" s="31" t="n"/>
      <c r="L145" s="31" t="n"/>
      <c r="M145" s="31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</row>
    <row r="146" ht="19.5" customHeight="1">
      <c r="A146" s="108" t="inlineStr">
        <is>
          <t>Signal 1</t>
        </is>
      </c>
      <c r="B146" s="101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</row>
    <row r="147" ht="19.5" customHeight="1">
      <c r="A147" s="108" t="inlineStr">
        <is>
          <t>Signal 2</t>
        </is>
      </c>
      <c r="B147" s="101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</row>
    <row r="148" ht="19.5" customHeight="1">
      <c r="A148" s="108" t="inlineStr">
        <is>
          <t>Signal 3</t>
        </is>
      </c>
      <c r="B148" s="101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</row>
    <row r="149" ht="19.5" customHeight="1">
      <c r="A149" s="108" t="inlineStr">
        <is>
          <t>Signal 4</t>
        </is>
      </c>
      <c r="B149" s="101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</row>
    <row r="150" ht="19.5" customHeight="1">
      <c r="A150" s="22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</row>
    <row r="151" ht="19.5" customHeight="1">
      <c r="A151" s="451" t="inlineStr">
        <is>
          <t>Capital return</t>
        </is>
      </c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1" t="n"/>
      <c r="K151" s="31" t="n"/>
      <c r="L151" s="31" t="n"/>
      <c r="M151" s="31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</row>
    <row r="152" ht="19.5" customHeight="1">
      <c r="A152" s="108" t="inlineStr">
        <is>
          <t>Buybacks (shares)</t>
        </is>
      </c>
      <c r="B152" s="101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</row>
    <row r="153" ht="19.5" customHeight="1">
      <c r="A153" s="108" t="inlineStr">
        <is>
          <t>Buybacks note</t>
        </is>
      </c>
      <c r="B153" s="101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</row>
    <row r="154" ht="19.5" customHeight="1">
      <c r="A154" s="22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</row>
    <row r="155" ht="19.5" customHeight="1">
      <c r="A155" s="108" t="inlineStr">
        <is>
          <t>Dividends ($/share)</t>
        </is>
      </c>
      <c r="B155" s="101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</row>
    <row r="156" ht="19.5" customHeight="1">
      <c r="A156" s="108" t="inlineStr">
        <is>
          <t>Dividends note</t>
        </is>
      </c>
      <c r="B156" s="101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</row>
    <row r="157" ht="19.5" customHeight="1">
      <c r="A157" s="22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</row>
    <row r="158" ht="19.5" customHeight="1">
      <c r="A158" s="455" t="inlineStr">
        <is>
          <t>Trend/Δ (last 4Q)</t>
        </is>
      </c>
      <c r="B158" s="110" t="n"/>
      <c r="C158" s="110" t="n"/>
      <c r="D158" s="110" t="n"/>
      <c r="E158" s="28" t="n"/>
      <c r="F158" s="28" t="n"/>
      <c r="G158" s="28" t="n"/>
      <c r="H158" s="28" t="n"/>
      <c r="I158" s="28" t="n"/>
      <c r="J158" s="28" t="n"/>
      <c r="K158" s="28" t="n"/>
      <c r="L158" s="28" t="n"/>
      <c r="M158" s="28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</row>
    <row r="159" ht="19.5" customHeight="1">
      <c r="A159" s="111" t="inlineStr">
        <is>
          <t>Metric</t>
        </is>
      </c>
      <c r="B159" s="456" t="inlineStr">
        <is>
          <t>Δ</t>
        </is>
      </c>
      <c r="C159" s="456" t="inlineStr">
        <is>
          <t>Direction</t>
        </is>
      </c>
      <c r="D159" s="456" t="inlineStr">
        <is>
          <t>As-of</t>
        </is>
      </c>
      <c r="E159" s="28" t="n"/>
      <c r="F159" s="28" t="n"/>
      <c r="G159" s="28" t="n"/>
      <c r="H159" s="28" t="n"/>
      <c r="I159" s="28" t="n"/>
      <c r="J159" s="28" t="n"/>
      <c r="K159" s="28" t="n"/>
      <c r="L159" s="28" t="n"/>
      <c r="M159" s="28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</row>
    <row r="160" ht="19.5" customHeight="1">
      <c r="A160" s="28" t="inlineStr">
        <is>
          <t>Revenue</t>
        </is>
      </c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</row>
    <row r="161" ht="19.5" customHeight="1">
      <c r="A161" s="28" t="inlineStr">
        <is>
          <t>Gross margin</t>
        </is>
      </c>
      <c r="B161" s="28" t="n"/>
      <c r="C161" s="28" t="n"/>
      <c r="D161" s="28" t="n"/>
      <c r="E161" s="28" t="n"/>
      <c r="F161" s="28" t="n"/>
      <c r="G161" s="28" t="n"/>
      <c r="H161" s="28" t="n"/>
      <c r="I161" s="28" t="n"/>
      <c r="J161" s="28" t="n"/>
      <c r="K161" s="28" t="n"/>
      <c r="L161" s="28" t="n"/>
      <c r="M161" s="28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</row>
    <row r="162" ht="19.5" customHeight="1">
      <c r="A162" s="28" t="inlineStr">
        <is>
          <t>Operating margin</t>
        </is>
      </c>
      <c r="B162" s="28" t="n"/>
      <c r="C162" s="28" t="n"/>
      <c r="D162" s="28" t="n"/>
      <c r="E162" s="28" t="n"/>
      <c r="F162" s="28" t="n"/>
      <c r="G162" s="28" t="n"/>
      <c r="H162" s="28" t="n"/>
      <c r="I162" s="28" t="n"/>
      <c r="J162" s="28" t="n"/>
      <c r="K162" s="28" t="n"/>
      <c r="L162" s="28" t="n"/>
      <c r="M162" s="28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</row>
    <row r="163" ht="19.5" customHeight="1">
      <c r="A163" s="28" t="inlineStr">
        <is>
          <t>Net margin</t>
        </is>
      </c>
      <c r="B163" s="28" t="n"/>
      <c r="C163" s="28" t="n"/>
      <c r="D163" s="28" t="n"/>
      <c r="E163" s="28" t="n"/>
      <c r="F163" s="28" t="n"/>
      <c r="G163" s="28" t="n"/>
      <c r="H163" s="28" t="n"/>
      <c r="I163" s="28" t="n"/>
      <c r="J163" s="28" t="n"/>
      <c r="K163" s="28" t="n"/>
      <c r="L163" s="28" t="n"/>
      <c r="M163" s="28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</row>
    <row r="164" ht="19.5" customHeight="1">
      <c r="A164" s="28" t="inlineStr">
        <is>
          <t>FCF TTM (YoY)</t>
        </is>
      </c>
      <c r="B164" s="28" t="n"/>
      <c r="C164" s="28" t="n"/>
      <c r="D164" s="28" t="n"/>
      <c r="E164" s="28" t="n"/>
      <c r="F164" s="28" t="n"/>
      <c r="G164" s="28" t="n"/>
      <c r="H164" s="28" t="n"/>
      <c r="I164" s="28" t="n"/>
      <c r="J164" s="28" t="n"/>
      <c r="K164" s="28" t="n"/>
      <c r="L164" s="28" t="n"/>
      <c r="M164" s="28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</row>
    <row r="165" ht="19.5" customHeight="1">
      <c r="A165" s="28" t="inlineStr">
        <is>
          <t>Net debt (YoY Δ)</t>
        </is>
      </c>
      <c r="B165" s="28" t="n"/>
      <c r="C165" s="28" t="n"/>
      <c r="D165" s="28" t="n"/>
      <c r="E165" s="28" t="n"/>
      <c r="F165" s="28" t="n"/>
      <c r="G165" s="28" t="n"/>
      <c r="H165" s="28" t="n"/>
      <c r="I165" s="28" t="n"/>
      <c r="J165" s="28" t="n"/>
      <c r="K165" s="28" t="n"/>
      <c r="L165" s="28" t="n"/>
      <c r="M165" s="28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</row>
    <row r="166" ht="19.5" customHeight="1">
      <c r="A166" s="28" t="inlineStr">
        <is>
          <t>Shares out (YoY)</t>
        </is>
      </c>
      <c r="B166" s="28" t="n"/>
      <c r="C166" s="28" t="n"/>
      <c r="D166" s="28" t="n"/>
      <c r="E166" s="28" t="n"/>
      <c r="F166" s="28" t="n"/>
      <c r="G166" s="28" t="n"/>
      <c r="H166" s="28" t="n"/>
      <c r="I166" s="28" t="n"/>
      <c r="J166" s="28" t="n"/>
      <c r="K166" s="28" t="n"/>
      <c r="L166" s="28" t="n"/>
      <c r="M166" s="28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</row>
    <row r="167" ht="19.5" customHeight="1">
      <c r="A167" s="28" t="n"/>
      <c r="B167" s="28" t="n"/>
      <c r="C167" s="28" t="n"/>
      <c r="D167" s="28" t="n"/>
      <c r="E167" s="28" t="n"/>
      <c r="F167" s="28" t="n"/>
      <c r="G167" s="28" t="n"/>
      <c r="H167" s="28" t="n"/>
      <c r="I167" s="28" t="n"/>
      <c r="J167" s="28" t="n"/>
      <c r="K167" s="28" t="n"/>
      <c r="L167" s="28" t="n"/>
      <c r="M167" s="28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</row>
    <row r="168" ht="19.5" customHeight="1">
      <c r="A168" s="457" t="inlineStr">
        <is>
          <t>Red/Green Flags</t>
        </is>
      </c>
      <c r="J168" s="28" t="n"/>
      <c r="K168" s="28" t="n"/>
      <c r="L168" s="28" t="n"/>
      <c r="M168" s="28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</row>
    <row r="169" ht="19.5" customHeight="1">
      <c r="A169" s="458" t="inlineStr">
        <is>
          <t>Flag</t>
        </is>
      </c>
      <c r="B169" s="458" t="inlineStr">
        <is>
          <t>Status</t>
        </is>
      </c>
      <c r="C169" s="459" t="inlineStr">
        <is>
          <t>Evidence</t>
        </is>
      </c>
      <c r="I169" s="458" t="inlineStr">
        <is>
          <t>As-of</t>
        </is>
      </c>
      <c r="J169" s="28" t="n"/>
      <c r="K169" s="28" t="n"/>
      <c r="L169" s="28" t="n"/>
      <c r="M169" s="28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</row>
    <row r="170" ht="19.5" customHeight="1">
      <c r="A170" s="28" t="inlineStr">
        <is>
          <t>Red: Revenue up but CFO down (YoY)</t>
        </is>
      </c>
      <c r="B170" s="28" t="n"/>
      <c r="C170" s="362" t="n"/>
      <c r="I170" s="28" t="n"/>
      <c r="J170" s="28" t="n"/>
      <c r="K170" s="28" t="n"/>
      <c r="L170" s="28" t="n"/>
      <c r="M170" s="28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</row>
    <row r="171" ht="19.5" customHeight="1">
      <c r="A171" s="28" t="inlineStr">
        <is>
          <t>Red: Earnings quality CFO/NI (TTM)</t>
        </is>
      </c>
      <c r="B171" s="28" t="n"/>
      <c r="C171" s="362" t="n"/>
      <c r="I171" s="28" t="n"/>
      <c r="J171" s="28" t="n"/>
      <c r="K171" s="28" t="n"/>
      <c r="L171" s="28" t="n"/>
      <c r="M171" s="28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</row>
    <row r="172" ht="19.5" customHeight="1">
      <c r="A172" s="28" t="inlineStr">
        <is>
          <t>Red: AR growing faster than revenue (YoY)</t>
        </is>
      </c>
      <c r="B172" s="28" t="n"/>
      <c r="C172" s="362" t="n"/>
      <c r="I172" s="28" t="n"/>
      <c r="J172" s="28" t="n"/>
      <c r="K172" s="28" t="n"/>
      <c r="L172" s="28" t="n"/>
      <c r="M172" s="28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</row>
    <row r="173" ht="19.5" customHeight="1">
      <c r="A173" s="28" t="inlineStr">
        <is>
          <t>Red: Inventory build without revenue growth</t>
        </is>
      </c>
      <c r="B173" s="28" t="n"/>
      <c r="C173" s="362" t="n"/>
      <c r="I173" s="28" t="n"/>
      <c r="J173" s="28" t="n"/>
      <c r="K173" s="28" t="n"/>
      <c r="L173" s="28" t="n"/>
      <c r="M173" s="28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</row>
    <row r="174" ht="19.5" customHeight="1">
      <c r="A174" s="28" t="inlineStr">
        <is>
          <t>Red: Debt growing faster than revenue (YoY)</t>
        </is>
      </c>
      <c r="B174" s="28" t="n"/>
      <c r="C174" s="362" t="n"/>
      <c r="I174" s="28" t="n"/>
      <c r="J174" s="28" t="n"/>
      <c r="K174" s="28" t="n"/>
      <c r="L174" s="28" t="n"/>
      <c r="M174" s="28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</row>
    <row r="175" ht="19.5" customHeight="1">
      <c r="A175" s="28" t="inlineStr">
        <is>
          <t>Red: Leverage rising (YoY Δ)</t>
        </is>
      </c>
      <c r="B175" s="28" t="n"/>
      <c r="C175" s="362" t="n"/>
      <c r="I175" s="28" t="n"/>
      <c r="J175" s="28" t="n"/>
      <c r="K175" s="28" t="n"/>
      <c r="L175" s="28" t="n"/>
      <c r="M175" s="28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</row>
    <row r="176" ht="19.5" customHeight="1">
      <c r="A176" s="28" t="inlineStr">
        <is>
          <t>Red: Interest coverage low (cash)</t>
        </is>
      </c>
      <c r="B176" s="28" t="n"/>
      <c r="C176" s="362" t="n"/>
      <c r="I176" s="28" t="n"/>
      <c r="J176" s="28" t="n"/>
      <c r="K176" s="28" t="n"/>
      <c r="L176" s="28" t="n"/>
      <c r="M176" s="28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</row>
    <row r="177" ht="19.5" customHeight="1">
      <c r="A177" s="28" t="inlineStr">
        <is>
          <t>Red: FCF negative while EBITDA positive (TTM)</t>
        </is>
      </c>
      <c r="B177" s="28" t="n"/>
      <c r="C177" s="362" t="n"/>
      <c r="I177" s="28" t="n"/>
      <c r="J177" s="28" t="n"/>
      <c r="K177" s="28" t="n"/>
      <c r="L177" s="28" t="n"/>
      <c r="M177" s="28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</row>
    <row r="178" ht="19.5" customHeight="1">
      <c r="A178" s="28" t="inlineStr">
        <is>
          <t>Watch: Buybacks exceeded FCF</t>
        </is>
      </c>
      <c r="B178" s="28" t="n"/>
      <c r="C178" s="362" t="n"/>
      <c r="I178" s="28" t="n"/>
      <c r="J178" s="28" t="n"/>
      <c r="K178" s="28" t="n"/>
      <c r="L178" s="28" t="n"/>
      <c r="M178" s="28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</row>
    <row r="179" ht="19.5" customHeight="1">
      <c r="A179" s="28" t="inlineStr">
        <is>
          <t>Red: Goodwill heavy</t>
        </is>
      </c>
      <c r="B179" s="28" t="n"/>
      <c r="C179" s="362" t="n"/>
      <c r="I179" s="28" t="n"/>
      <c r="J179" s="28" t="n"/>
      <c r="K179" s="28" t="n"/>
      <c r="L179" s="28" t="n"/>
      <c r="M179" s="28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</row>
    <row r="180" ht="19.5" customHeight="1">
      <c r="A180" s="28" t="inlineStr">
        <is>
          <t>Red: Share dilution (YoY)</t>
        </is>
      </c>
      <c r="B180" s="28" t="n"/>
      <c r="C180" s="362" t="n"/>
      <c r="I180" s="28" t="n"/>
      <c r="J180" s="28" t="n"/>
      <c r="K180" s="28" t="n"/>
      <c r="L180" s="28" t="n"/>
      <c r="M180" s="28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</row>
    <row r="181" ht="19.5" customHeight="1">
      <c r="A181" s="28" t="inlineStr">
        <is>
          <t>Red: Pension obligations pressure</t>
        </is>
      </c>
      <c r="B181" s="28" t="n"/>
      <c r="C181" s="362" t="n"/>
      <c r="I181" s="28" t="n"/>
      <c r="J181" s="28" t="n"/>
      <c r="K181" s="28" t="n"/>
      <c r="L181" s="28" t="n"/>
      <c r="M181" s="28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</row>
    <row r="182" ht="19.5" customHeight="1">
      <c r="A182" s="28" t="n"/>
      <c r="B182" s="28" t="n"/>
      <c r="C182" s="28" t="n"/>
      <c r="D182" s="28" t="n"/>
      <c r="E182" s="28" t="n"/>
      <c r="F182" s="28" t="n"/>
      <c r="G182" s="28" t="n"/>
      <c r="H182" s="28" t="n"/>
      <c r="I182" s="28" t="n"/>
      <c r="J182" s="28" t="n"/>
      <c r="K182" s="28" t="n"/>
      <c r="L182" s="28" t="n"/>
      <c r="M182" s="28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</row>
    <row r="183" ht="19.5" customHeight="1">
      <c r="A183" s="28" t="inlineStr">
        <is>
          <t>Green: Operating margin trend QoQ</t>
        </is>
      </c>
      <c r="B183" s="28" t="n"/>
      <c r="C183" s="362" t="n"/>
      <c r="I183" s="28" t="n"/>
      <c r="J183" s="28" t="n"/>
      <c r="K183" s="28" t="n"/>
      <c r="L183" s="28" t="n"/>
      <c r="M183" s="28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</row>
    <row r="184" ht="19.5" customHeight="1">
      <c r="A184" s="28" t="inlineStr">
        <is>
          <t>Green: FCF TTM growth (YoY)</t>
        </is>
      </c>
      <c r="B184" s="28" t="n"/>
      <c r="C184" s="362" t="n"/>
      <c r="I184" s="28" t="n"/>
      <c r="J184" s="28" t="n"/>
      <c r="K184" s="28" t="n"/>
      <c r="L184" s="28" t="n"/>
      <c r="M184" s="28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</row>
    <row r="185" ht="19.5" customHeight="1">
      <c r="A185" s="28" t="inlineStr">
        <is>
          <t>Green: Net debt decreasing (YoY)</t>
        </is>
      </c>
      <c r="B185" s="28" t="n"/>
      <c r="C185" s="362" t="n"/>
      <c r="I185" s="28" t="n"/>
      <c r="J185" s="28" t="n"/>
      <c r="K185" s="28" t="n"/>
      <c r="L185" s="28" t="n"/>
      <c r="M185" s="28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</row>
    <row r="186" ht="19.5" customHeight="1">
      <c r="A186" s="28" t="inlineStr">
        <is>
          <t>Green: Interest coverage improving (YoY)</t>
        </is>
      </c>
      <c r="B186" s="28" t="n"/>
      <c r="C186" s="362" t="n"/>
      <c r="I186" s="28" t="n"/>
      <c r="J186" s="28" t="n"/>
      <c r="K186" s="28" t="n"/>
      <c r="L186" s="28" t="n"/>
      <c r="M186" s="28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</row>
    <row r="187" ht="19.5" customHeight="1">
      <c r="A187" s="28" t="inlineStr">
        <is>
          <t>Green: Shares outstanding decreasing (YoY)</t>
        </is>
      </c>
      <c r="B187" s="28" t="n"/>
      <c r="C187" s="362" t="n"/>
      <c r="I187" s="28" t="n"/>
      <c r="J187" s="28" t="n"/>
      <c r="K187" s="28" t="n"/>
      <c r="L187" s="28" t="n"/>
      <c r="M187" s="28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</row>
    <row r="188" ht="19.5" customHeight="1">
      <c r="A188" s="28" t="inlineStr">
        <is>
          <t>Green: Liquidity improving (YoY)</t>
        </is>
      </c>
      <c r="B188" s="28" t="n"/>
      <c r="C188" s="362" t="n"/>
      <c r="I188" s="28" t="n"/>
      <c r="J188" s="28" t="n"/>
      <c r="K188" s="28" t="n"/>
      <c r="L188" s="28" t="n"/>
      <c r="M188" s="28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</row>
    <row r="189" ht="19.5" customHeight="1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</row>
    <row r="190" ht="19.5" customHeight="1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</row>
    <row r="191" ht="19.5" customHeight="1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</row>
    <row r="192" ht="21" customHeight="1">
      <c r="A192" s="22" t="n"/>
      <c r="B192" s="460" t="inlineStr">
        <is>
          <t>Valuation</t>
        </is>
      </c>
      <c r="S192" s="364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</row>
    <row r="193" ht="19.5" customHeight="1">
      <c r="A193" s="22" t="n"/>
      <c r="B193" s="91" t="inlineStr">
        <is>
          <t>Inputs</t>
        </is>
      </c>
      <c r="D193" s="120" t="inlineStr">
        <is>
          <t>Value</t>
        </is>
      </c>
      <c r="E193" s="91" t="inlineStr">
        <is>
          <t>Basis</t>
        </is>
      </c>
      <c r="F193" s="365" t="inlineStr">
        <is>
          <t>Hint</t>
        </is>
      </c>
      <c r="J193" s="364" t="n"/>
      <c r="K193" s="91" t="inlineStr">
        <is>
          <t>Outputs</t>
        </is>
      </c>
      <c r="N193" s="120" t="inlineStr">
        <is>
          <t>Value</t>
        </is>
      </c>
      <c r="O193" s="366" t="inlineStr">
        <is>
          <t>Interpretation</t>
        </is>
      </c>
      <c r="S193" s="364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</row>
    <row r="194" ht="19.5" customHeight="1">
      <c r="A194" s="22" t="n"/>
      <c r="B194" s="48" t="inlineStr">
        <is>
          <t>Price</t>
        </is>
      </c>
      <c r="D194" s="367" t="n"/>
      <c r="E194" s="124" t="inlineStr">
        <is>
          <t>User</t>
        </is>
      </c>
      <c r="F194" s="368" t="inlineStr">
        <is>
          <t>Primary market input. Update when testing valuation scenarios.</t>
        </is>
      </c>
      <c r="J194" s="364" t="n"/>
      <c r="K194" s="125" t="inlineStr">
        <is>
          <t>Market cap ($m)</t>
        </is>
      </c>
      <c r="N194" s="62" t="n"/>
      <c r="O194" s="368" t="inlineStr">
        <is>
          <t>Price × shares; equity market value implied by current input price.</t>
        </is>
      </c>
      <c r="S194" s="364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</row>
    <row r="195" ht="19.5" customHeight="1">
      <c r="A195" s="22" t="n"/>
      <c r="B195" s="48" t="inlineStr">
        <is>
          <t>As of</t>
        </is>
      </c>
      <c r="D195" s="126" t="n"/>
      <c r="E195" s="124" t="inlineStr">
        <is>
          <t>Latest Q</t>
        </is>
      </c>
      <c r="F195" s="368" t="inlineStr">
        <is>
          <t>Reference quarter used for TTM and current balance-sheet metrics.</t>
        </is>
      </c>
      <c r="J195" s="364" t="n"/>
      <c r="K195" s="125" t="inlineStr">
        <is>
          <t>EV ($m)</t>
        </is>
      </c>
      <c r="N195" s="62" t="n"/>
      <c r="O195" s="368" t="inlineStr">
        <is>
          <t>Market cap plus net debt; enterprise value used across multiples/yields.</t>
        </is>
      </c>
      <c r="S195" s="364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</row>
    <row r="196" ht="19.5" customHeight="1">
      <c r="A196" s="22" t="n"/>
      <c r="B196" s="48" t="inlineStr">
        <is>
          <t>Shares outstanding (m)</t>
        </is>
      </c>
      <c r="D196" s="62" t="n"/>
      <c r="E196" s="124" t="inlineStr">
        <is>
          <t>Latest Q</t>
        </is>
      </c>
      <c r="F196" s="368" t="inlineStr">
        <is>
          <t>Used for per-share outputs when mode = Outstanding.</t>
        </is>
      </c>
      <c r="J196" s="364" t="n"/>
      <c r="K196" s="125" t="inlineStr">
        <is>
          <t>Implied EV/Adj EBITDA</t>
        </is>
      </c>
      <c r="N196" s="359" t="n"/>
      <c r="O196" s="368" t="inlineStr">
        <is>
          <t>Current price implies this EV/Adj EBITDA multiple; compare vs target multiple.</t>
        </is>
      </c>
      <c r="S196" s="364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</row>
    <row r="197" ht="19.5" customHeight="1">
      <c r="A197" s="22" t="n"/>
      <c r="B197" s="48" t="inlineStr">
        <is>
          <t>Shares diluted (m)</t>
        </is>
      </c>
      <c r="D197" s="62" t="n"/>
      <c r="E197" s="124" t="inlineStr">
        <is>
          <t>Latest Q</t>
        </is>
      </c>
      <c r="F197" s="368" t="inlineStr">
        <is>
          <t>Used for per-share outputs when mode = Diluted.</t>
        </is>
      </c>
      <c r="J197" s="364" t="n"/>
      <c r="K197" s="125" t="inlineStr">
        <is>
          <t>Implied EV/EBITDA</t>
        </is>
      </c>
      <c r="N197" s="359" t="n"/>
      <c r="O197" s="368" t="inlineStr">
        <is>
          <t>Current price implies this EV/EBITDA multiple; cross-check vs target EV/EBITDA.</t>
        </is>
      </c>
      <c r="S197" s="364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</row>
    <row r="198" ht="19.5" customHeight="1">
      <c r="A198" s="22" t="n"/>
      <c r="B198" s="48" t="inlineStr">
        <is>
          <t>Net debt (core, $m)</t>
        </is>
      </c>
      <c r="D198" s="62" t="n"/>
      <c r="E198" s="124" t="inlineStr">
        <is>
          <t>Latest Q</t>
        </is>
      </c>
      <c r="F198" s="368" t="inlineStr">
        <is>
          <t>Debt core minus cash at as-of quarter.</t>
        </is>
      </c>
      <c r="J198" s="364" t="n"/>
      <c r="K198" s="125" t="inlineStr">
        <is>
          <t>FCFF proxy TTM ($m)</t>
        </is>
      </c>
      <c r="N198" s="62">
        <f>IFERROR(IF(OR(IFERROR(FCF_TTM,"")="",IFERROR(InterestPaid_TTM,"")=""),"",N(FCF_TTM)+N(InterestPaid_TTM)),"")</f>
        <v/>
      </c>
      <c r="O198" s="368" t="inlineStr">
        <is>
          <t>FCF + cash interest paid; proxy FCFF base used for target-yield math.</t>
        </is>
      </c>
      <c r="S198" s="364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</row>
    <row r="199" ht="19.5" customHeight="1">
      <c r="A199" s="22" t="n"/>
      <c r="B199" s="48" t="inlineStr">
        <is>
          <t>EBITDA TTM ($m)</t>
        </is>
      </c>
      <c r="D199" s="62" t="n"/>
      <c r="E199" s="124" t="inlineStr">
        <is>
          <t>TTM</t>
        </is>
      </c>
      <c r="F199" s="368" t="inlineStr">
        <is>
          <t>Base GAAP-like EBITDA over trailing 4 quarters.</t>
        </is>
      </c>
      <c r="J199" s="364" t="n"/>
      <c r="K199" s="125" t="inlineStr">
        <is>
          <t>Implied FCFF yield (EV)</t>
        </is>
      </c>
      <c r="N199" s="59" t="n"/>
      <c r="O199" s="368" t="inlineStr">
        <is>
          <t>Current EV translated to FCFF yield proxy.</t>
        </is>
      </c>
      <c r="S199" s="364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</row>
    <row r="200" ht="19.5" customHeight="1">
      <c r="A200" s="22" t="n"/>
      <c r="B200" s="48" t="inlineStr">
        <is>
          <t>Adj EBITDA TTM ($m)</t>
        </is>
      </c>
      <c r="D200" s="62" t="n"/>
      <c r="E200" s="124" t="inlineStr">
        <is>
          <t>TTM</t>
        </is>
      </c>
      <c r="F200" s="368" t="inlineStr">
        <is>
          <t>Adjusted EBITDA over trailing 4 quarters.</t>
        </is>
      </c>
      <c r="J200" s="364" t="n"/>
      <c r="K200" s="125" t="inlineStr">
        <is>
          <t>Equity FCF yield</t>
        </is>
      </c>
      <c r="N200" s="59" t="n"/>
      <c r="O200" s="368" t="inlineStr">
        <is>
          <t>FCF relative to equity value only (market cap).</t>
        </is>
      </c>
      <c r="S200" s="364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</row>
    <row r="201" ht="19.5" customHeight="1">
      <c r="A201" s="22" t="n"/>
      <c r="B201" s="48" t="inlineStr">
        <is>
          <t>FCF TTM ($m)</t>
        </is>
      </c>
      <c r="D201" s="62" t="n"/>
      <c r="E201" s="124" t="inlineStr">
        <is>
          <t>TTM</t>
        </is>
      </c>
      <c r="F201" s="368" t="inlineStr">
        <is>
          <t>FCF proxy from CFO - Capex over trailing 4 quarters.</t>
        </is>
      </c>
      <c r="J201" s="364" t="n"/>
      <c r="K201" s="125" t="inlineStr">
        <is>
          <t>Owner earnings TTM ($m)</t>
        </is>
      </c>
      <c r="N201" s="62">
        <f>IF(OR(FCF_TTM="",Capex_TTM="",MaintCapexRatio=""),"",FCF_TTM+(1-MaintCapexRatio)*Capex_TTM-RecurringCashCosts+WCNormalization)</f>
        <v/>
      </c>
      <c r="O201" s="368" t="inlineStr">
        <is>
          <t>Owner earnings bridge after maintenance capex and recurring adjustments.</t>
        </is>
      </c>
      <c r="S201" s="364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</row>
    <row r="202" ht="19.5" customHeight="1">
      <c r="A202" s="22" t="n"/>
      <c r="B202" s="48" t="inlineStr">
        <is>
          <t>Adj FCF TTM ($m)</t>
        </is>
      </c>
      <c r="D202" s="62" t="n"/>
      <c r="E202" s="124" t="inlineStr">
        <is>
          <t>TTM</t>
        </is>
      </c>
      <c r="F202" s="368" t="inlineStr">
        <is>
          <t>Non-GAAP FCF when available; otherwise blank.</t>
        </is>
      </c>
      <c r="J202" s="364" t="n"/>
      <c r="K202" s="125" t="inlineStr">
        <is>
          <t>Owner earnings yield</t>
        </is>
      </c>
      <c r="N202" s="59" t="n"/>
      <c r="O202" s="368" t="inlineStr">
        <is>
          <t>Owner earnings relative to enterprise value.</t>
        </is>
      </c>
      <c r="S202" s="364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</row>
    <row r="203" ht="19.5" customHeight="1">
      <c r="A203" s="22" t="n"/>
      <c r="B203" s="48" t="inlineStr">
        <is>
          <t>Revenue TTM ($m)</t>
        </is>
      </c>
      <c r="D203" s="62" t="n"/>
      <c r="E203" s="124" t="inlineStr">
        <is>
          <t>TTM</t>
        </is>
      </c>
      <c r="F203" s="368" t="inlineStr">
        <is>
          <t>Revenue over trailing 4 quarters.</t>
        </is>
      </c>
      <c r="J203" s="364" t="n"/>
      <c r="K203" s="125" t="inlineStr">
        <is>
          <t>Eq/Share @ target EV/Adj EBITDA</t>
        </is>
      </c>
      <c r="N203" s="369">
        <f>IF(OR(IF(PerShareMode="Outstanding",Shares,SharesDiluted)="",Adj_EBITDA=""),"",(Target_EV_AdjEBITDA*Adj_EBITDA-NetDebt)/IF(PerShareMode="Outstanding",Shares,SharesDiluted))</f>
        <v/>
      </c>
      <c r="O203" s="368" t="inlineStr">
        <is>
          <t>Per-share value if target EV/Adj EBITDA holds today.</t>
        </is>
      </c>
      <c r="S203" s="364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</row>
    <row r="204" ht="19.5" customHeight="1">
      <c r="A204" s="22" t="n"/>
      <c r="B204" s="48" t="inlineStr">
        <is>
          <t>per-share earnings TTM ($)</t>
        </is>
      </c>
      <c r="D204" s="62" t="n"/>
      <c r="E204" s="124" t="inlineStr">
        <is>
          <t>TTM</t>
        </is>
      </c>
      <c r="F204" s="368" t="inlineStr">
        <is>
          <t>GAAP per-share earnings over trailing 4 quarters.</t>
        </is>
      </c>
      <c r="J204" s="364" t="n"/>
      <c r="K204" s="125" t="inlineStr">
        <is>
          <t>Eq/Share @ target EV/EBITDA</t>
        </is>
      </c>
      <c r="N204" s="369">
        <f>IF(OR(IF(PerShareMode="Outstanding",Shares,SharesDiluted)="",Base_EBITDA=""),"",(Target_EV_EBITDA*Base_EBITDA-NetDebt)/IF(PerShareMode="Outstanding",Shares,SharesDiluted))</f>
        <v/>
      </c>
      <c r="O204" s="368" t="inlineStr">
        <is>
          <t>Per-share value if target EV/EBITDA holds today.</t>
        </is>
      </c>
      <c r="S204" s="364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</row>
    <row r="205" ht="19.5" customHeight="1">
      <c r="A205" s="22" t="n"/>
      <c r="B205" s="48" t="inlineStr">
        <is>
          <t>per-share earnings TTM ($)</t>
        </is>
      </c>
      <c r="D205" s="62" t="n"/>
      <c r="E205" s="124" t="inlineStr">
        <is>
          <t>TTM</t>
        </is>
      </c>
      <c r="F205" s="368" t="inlineStr">
        <is>
          <t>per-share earnings over trailing 4 quarters.</t>
        </is>
      </c>
      <c r="J205" s="364" t="n"/>
      <c r="K205" s="125" t="inlineStr">
        <is>
          <t>Eq/Share @ target EV yield (FCFF)</t>
        </is>
      </c>
      <c r="N205" s="369">
        <f>IF(OR(IF(PerShareMode="Outstanding",Shares,SharesDiluted)="",FCFF_Proxy_TTM="",FCFF_Proxy_TTM&lt;=0,(IF(OR(Target_EV_Yield="",Target_EV_Yield&lt;=0),"",IF(Target_EV_Yield&gt;1,Target_EV_Yield/100,Target_EV_Yield)))="",(IF(OR(Target_EV_Yield="",Target_EV_Yield&lt;=0),"",IF(Target_EV_Yield&gt;1,Target_EV_Yield/100,Target_EV_Yield)))&lt;=0),"",((FCFF_Proxy_TTM/(IF(OR(Target_EV_Yield="",Target_EV_Yield&lt;=0),"",IF(Target_EV_Yield&gt;1,Target_EV_Yield/100,Target_EV_Yield))))-NetDebt)/IF(PerShareMode="Outstanding",Shares,SharesDiluted))</f>
        <v/>
      </c>
      <c r="O205" s="368" t="inlineStr">
        <is>
          <t>Per-share value using FCFF target yield framework.</t>
        </is>
      </c>
      <c r="S205" s="364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</row>
    <row r="206" ht="19.5" customHeight="1">
      <c r="A206" s="22" t="n"/>
      <c r="B206" s="48" t="inlineStr">
        <is>
          <t>BV/share</t>
        </is>
      </c>
      <c r="D206" s="62" t="n"/>
      <c r="E206" s="124" t="inlineStr">
        <is>
          <t>Latest Q</t>
        </is>
      </c>
      <c r="F206" s="368" t="inlineStr">
        <is>
          <t>Book value per share from latest quarter balance sheet.</t>
        </is>
      </c>
      <c r="J206" s="364" t="n"/>
      <c r="K206" s="125" t="inlineStr">
        <is>
          <t>P/E (TTM)</t>
        </is>
      </c>
      <c r="N206" s="359" t="n"/>
      <c r="O206" s="368" t="inlineStr">
        <is>
          <t>Price divided by GAAP per-share earnings TTM.</t>
        </is>
      </c>
      <c r="S206" s="364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</row>
    <row r="207" ht="19.5" customHeight="1">
      <c r="A207" s="22" t="n"/>
      <c r="B207" s="48" t="inlineStr">
        <is>
          <t>TBV/share</t>
        </is>
      </c>
      <c r="D207" s="62" t="n"/>
      <c r="E207" s="124" t="inlineStr">
        <is>
          <t>Latest Q</t>
        </is>
      </c>
      <c r="F207" s="368" t="inlineStr">
        <is>
          <t>Tangible book value per share from latest quarter.</t>
        </is>
      </c>
      <c r="J207" s="364" t="n"/>
      <c r="K207" s="125" t="inlineStr">
        <is>
          <t>P/E (Adj TTM)</t>
        </is>
      </c>
      <c r="N207" s="359" t="n"/>
      <c r="O207" s="368" t="inlineStr">
        <is>
          <t>Price divided by per-share earnings TTM.</t>
        </is>
      </c>
      <c r="S207" s="364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</row>
    <row r="208" ht="19.5" customHeight="1">
      <c r="A208" s="22" t="n"/>
      <c r="B208" s="48" t="inlineStr">
        <is>
          <t>Target EV/Adj EBITDA</t>
        </is>
      </c>
      <c r="D208" s="370" t="n"/>
      <c r="E208" s="124" t="inlineStr">
        <is>
          <t>User</t>
        </is>
      </c>
      <c r="F208" s="368" t="inlineStr">
        <is>
          <t>Target EV/Adj EBITDA multiple; adjust for business quality and cycle.</t>
        </is>
      </c>
      <c r="J208" s="364" t="n"/>
      <c r="K208" s="125" t="inlineStr">
        <is>
          <t>EV/Sales (TTM)</t>
        </is>
      </c>
      <c r="N208" s="359" t="n"/>
      <c r="O208" s="368" t="inlineStr">
        <is>
          <t>Enterprise value divided by revenue TTM.</t>
        </is>
      </c>
      <c r="S208" s="364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</row>
    <row r="209" ht="19.5" customHeight="1">
      <c r="A209" s="22" t="n"/>
      <c r="B209" s="48" t="inlineStr">
        <is>
          <t>Target EV/EBITDA</t>
        </is>
      </c>
      <c r="D209" s="370" t="n"/>
      <c r="E209" s="124" t="inlineStr">
        <is>
          <t>User</t>
        </is>
      </c>
      <c r="F209" s="368" t="inlineStr">
        <is>
          <t>Target EV/EBITDA multiple used as cross-check.</t>
        </is>
      </c>
      <c r="J209" s="364" t="n"/>
      <c r="K209" s="125" t="inlineStr">
        <is>
          <t>Price/BV</t>
        </is>
      </c>
      <c r="N209" s="22" t="n"/>
      <c r="O209" s="368" t="inlineStr">
        <is>
          <t>Price to book value per share; n/a when equity is negative.</t>
        </is>
      </c>
      <c r="S209" s="364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</row>
    <row r="210" ht="19.5" customHeight="1">
      <c r="A210" s="22" t="n"/>
      <c r="B210" s="48" t="inlineStr">
        <is>
          <t>Target EV yield</t>
        </is>
      </c>
      <c r="D210" s="129" t="n"/>
      <c r="E210" s="124" t="inlineStr">
        <is>
          <t>User</t>
        </is>
      </c>
      <c r="F210" s="368" t="inlineStr">
        <is>
          <t>Target EV yield accepts 0.10 or 10%.</t>
        </is>
      </c>
      <c r="J210" s="364" t="n"/>
      <c r="K210" s="125" t="inlineStr">
        <is>
          <t>Price/TBV</t>
        </is>
      </c>
      <c r="N210" s="22" t="n"/>
      <c r="O210" s="368" t="inlineStr">
        <is>
          <t>Price to tangible book value per share; n/a when TBV is negative.</t>
        </is>
      </c>
      <c r="S210" s="364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</row>
    <row r="211" ht="19.5" customHeight="1">
      <c r="A211" s="22" t="n"/>
      <c r="B211" s="48" t="inlineStr">
        <is>
          <t>Capex TTM ($m)</t>
        </is>
      </c>
      <c r="D211" s="62" t="n"/>
      <c r="E211" s="124" t="inlineStr">
        <is>
          <t>TTM</t>
        </is>
      </c>
      <c r="F211" s="368" t="inlineStr">
        <is>
          <t>Capex trailing 4 quarters.</t>
        </is>
      </c>
      <c r="J211" s="364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130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</row>
    <row r="212" ht="19.5" customHeight="1">
      <c r="A212" s="22" t="n"/>
      <c r="B212" s="48" t="inlineStr">
        <is>
          <t>Interest paid TTM ($m)</t>
        </is>
      </c>
      <c r="D212" s="62" t="n"/>
      <c r="E212" s="124" t="inlineStr">
        <is>
          <t>TTM</t>
        </is>
      </c>
      <c r="F212" s="368" t="inlineStr">
        <is>
          <t>Cash interest paid trailing 4 quarters.</t>
        </is>
      </c>
      <c r="J212" s="364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130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</row>
    <row r="213" ht="19.5" customHeight="1">
      <c r="A213" s="22" t="n"/>
      <c r="B213" s="48" t="inlineStr">
        <is>
          <t>Maint. capex % of capex</t>
        </is>
      </c>
      <c r="D213" s="129" t="n"/>
      <c r="E213" s="124" t="inlineStr">
        <is>
          <t>Assumption</t>
        </is>
      </c>
      <c r="F213" s="368" t="inlineStr">
        <is>
          <t>Maintenance share of capex used in owner-earnings bridge.</t>
        </is>
      </c>
      <c r="J213" s="364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130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</row>
    <row r="214" ht="19.5" customHeight="1">
      <c r="A214" s="22" t="n"/>
      <c r="B214" s="48" t="inlineStr">
        <is>
          <t>Recurring cash costs ($m)</t>
        </is>
      </c>
      <c r="D214" s="131" t="n"/>
      <c r="E214" s="124" t="inlineStr">
        <is>
          <t>Assumption</t>
        </is>
      </c>
      <c r="F214" s="368" t="inlineStr">
        <is>
          <t>Recurring cash costs to subtract from owner earnings.</t>
        </is>
      </c>
      <c r="J214" s="364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130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</row>
    <row r="215" ht="19.5" customHeight="1">
      <c r="A215" s="22" t="n"/>
      <c r="B215" s="48" t="inlineStr">
        <is>
          <t>WC normalization ($m)</t>
        </is>
      </c>
      <c r="D215" s="131" t="n"/>
      <c r="E215" s="124" t="inlineStr">
        <is>
          <t>Assumption</t>
        </is>
      </c>
      <c r="F215" s="368" t="inlineStr">
        <is>
          <t>Working-capital normalization adjustment.</t>
        </is>
      </c>
      <c r="J215" s="364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130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</row>
    <row r="216" ht="19.5" customHeight="1">
      <c r="A216" s="22" t="n"/>
      <c r="B216" s="132" t="inlineStr">
        <is>
          <t>Per-share denominator</t>
        </is>
      </c>
      <c r="C216" s="371" t="n"/>
      <c r="D216" s="134" t="n"/>
      <c r="E216" s="135" t="inlineStr">
        <is>
          <t>User</t>
        </is>
      </c>
      <c r="F216" s="372" t="inlineStr">
        <is>
          <t>Choose Outstanding or Diluted denominator for per-share values.</t>
        </is>
      </c>
      <c r="G216" s="371" t="n"/>
      <c r="H216" s="371" t="n"/>
      <c r="I216" s="371" t="n"/>
      <c r="J216" s="373" t="n"/>
      <c r="K216" s="133" t="n"/>
      <c r="L216" s="133" t="n"/>
      <c r="M216" s="133" t="n"/>
      <c r="N216" s="133" t="n"/>
      <c r="O216" s="133" t="n"/>
      <c r="P216" s="133" t="n"/>
      <c r="Q216" s="133" t="n"/>
      <c r="R216" s="133" t="n"/>
      <c r="S216" s="139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</row>
    <row r="217" ht="19.5" customHeight="1">
      <c r="A217" s="22" t="n"/>
      <c r="B217" s="22" t="n"/>
      <c r="F217" s="22" t="n"/>
      <c r="G217" s="140" t="inlineStr">
        <is>
          <t>DCF (optional module)</t>
        </is>
      </c>
      <c r="K217" s="365" t="inlineStr">
        <is>
          <t>Interpretation</t>
        </is>
      </c>
      <c r="O217" s="364" t="n"/>
      <c r="P217" s="374" t="inlineStr">
        <is>
          <t>Market-implied terminal g (solve gT so DCF EV = Market EV)</t>
        </is>
      </c>
      <c r="S217" s="364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</row>
    <row r="218" ht="19.5" customHeight="1">
      <c r="A218" s="22" t="n"/>
      <c r="B218" s="22" t="n"/>
      <c r="C218" s="22" t="n"/>
      <c r="D218" s="22" t="n"/>
      <c r="E218" s="22" t="n"/>
      <c r="F218" s="22" t="n"/>
      <c r="G218" s="48" t="inlineStr">
        <is>
          <t>Starting FCFF ($m) [ASSUMPTION]</t>
        </is>
      </c>
      <c r="J218" s="131">
        <f>IF(Adj_FCF_TTM&lt;&gt;"",Adj_FCF_TTM,IF(FCF_TTM&lt;&gt;"",FCF_TTM,""))</f>
        <v/>
      </c>
      <c r="K218" s="368" t="inlineStr">
        <is>
          <t>Default = Adj FCF TTM, fallback to FCF TTM.</t>
        </is>
      </c>
      <c r="O218" s="364" t="n"/>
      <c r="P218" s="22" t="inlineStr">
        <is>
          <t>Market EV ($m)</t>
        </is>
      </c>
      <c r="Q218" s="62" t="n"/>
      <c r="R218" s="22" t="n"/>
      <c r="S218" s="130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</row>
    <row r="219" ht="19.5" customHeight="1">
      <c r="A219" s="22" t="n"/>
      <c r="B219" s="22" t="n"/>
      <c r="C219" s="22" t="n"/>
      <c r="D219" s="22" t="n"/>
      <c r="E219" s="22" t="n"/>
      <c r="F219" s="22" t="n"/>
      <c r="G219" s="48" t="inlineStr">
        <is>
          <t>g (Years 1-5) [ASSUMPTION]</t>
        </is>
      </c>
      <c r="J219" s="129" t="n"/>
      <c r="K219" s="368" t="inlineStr">
        <is>
          <t>Short-horizon growth assumption for years 1-5.</t>
        </is>
      </c>
      <c r="O219" s="364" t="n"/>
      <c r="P219" s="22" t="inlineStr">
        <is>
          <t>DCF EV ($m)</t>
        </is>
      </c>
      <c r="Q219" s="62">
        <f>J222</f>
        <v/>
      </c>
      <c r="R219" s="22" t="n"/>
      <c r="S219" s="130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</row>
    <row r="220" ht="19.5" customHeight="1">
      <c r="A220" s="22" t="n"/>
      <c r="B220" s="22" t="n"/>
      <c r="C220" s="22" t="n"/>
      <c r="D220" s="22" t="n"/>
      <c r="E220" s="22" t="n"/>
      <c r="F220" s="22" t="n"/>
      <c r="G220" s="48" t="inlineStr">
        <is>
          <t>Terminal g [ASSUMPTION]</t>
        </is>
      </c>
      <c r="J220" s="129" t="n"/>
      <c r="K220" s="368" t="inlineStr">
        <is>
          <t>Perpetual growth assumption used in terminal value.</t>
        </is>
      </c>
      <c r="O220" s="364" t="n"/>
      <c r="P220" s="22" t="inlineStr">
        <is>
          <t>Current WACC (cell)</t>
        </is>
      </c>
      <c r="Q220" s="59">
        <f>J221</f>
        <v/>
      </c>
      <c r="R220" s="22" t="n"/>
      <c r="S220" s="130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</row>
    <row r="221" ht="19.5" customHeight="1">
      <c r="A221" s="22" t="n"/>
      <c r="B221" s="22" t="n"/>
      <c r="C221" s="22" t="n"/>
      <c r="D221" s="22" t="n"/>
      <c r="E221" s="22" t="n"/>
      <c r="F221" s="22" t="n"/>
      <c r="G221" s="48" t="inlineStr">
        <is>
          <t>WACC [ASSUMPTION]</t>
        </is>
      </c>
      <c r="J221" s="129" t="n"/>
      <c r="K221" s="368" t="inlineStr">
        <is>
          <t>Discount rate assumption; higher WACC lowers DCF value.</t>
        </is>
      </c>
      <c r="O221" s="364" t="n"/>
      <c r="P221" s="22" t="inlineStr">
        <is>
          <t>Current gT (cell)</t>
        </is>
      </c>
      <c r="Q221" s="59">
        <f>J220</f>
        <v/>
      </c>
      <c r="R221" s="22" t="n"/>
      <c r="S221" s="130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</row>
    <row r="222" ht="19.5" customHeight="1">
      <c r="A222" s="22" t="n"/>
      <c r="B222" s="22" t="n"/>
      <c r="C222" s="22" t="n"/>
      <c r="D222" s="22" t="n"/>
      <c r="E222" s="22" t="n"/>
      <c r="F222" s="22" t="n"/>
      <c r="G222" s="48" t="inlineStr">
        <is>
          <t>DCF EV ($m)</t>
        </is>
      </c>
      <c r="J222" s="62">
        <f>IF(OR(J218="",J218&lt;=0,J221&lt;=0,J221&lt;=J220),"",(J218*(1+J219)/(J221-J219)*(1-((1+J219)/(1+J221))^5)+(J218*(1+J219)^5*(1+J220)/(J221-J220)/((1+J221)^5))))</f>
        <v/>
      </c>
      <c r="K222" s="368" t="inlineStr">
        <is>
          <t>Enterprise value from 5-year growth + terminal value.</t>
        </is>
      </c>
      <c r="O222" s="364" t="n"/>
      <c r="P222" s="91" t="inlineStr">
        <is>
          <t>WACC</t>
        </is>
      </c>
      <c r="Q222" s="91" t="inlineStr">
        <is>
          <t>Implied terminal g</t>
        </is>
      </c>
      <c r="S222" s="141" t="inlineStr">
        <is>
          <t>Status</t>
        </is>
      </c>
      <c r="T222" s="142" t="inlineStr">
        <is>
          <t>Högre WACC = marknaden kräver mer betalt för risken =&gt; framtida cash flow värderas lägre idag.
gT (terminaltillväxt): antagen långsiktig FCF tillväxt (efter prognosperioden).
Market-implied gT (givet WACC) = vad priset kräver att du tror.
gT &lt; 0% =&gt; marknaden prisar krympning/erosion
gT ~1-3% =&gt; normal långsiktig nominell tillväxt
gT &gt;3-4% =&gt; marknaden kräver stark uthållig growth (eller WACC/FCF-antaganden är för snälla).</t>
        </is>
      </c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</row>
    <row r="223" ht="19.5" customHeight="1">
      <c r="A223" s="22" t="n"/>
      <c r="B223" s="22" t="n"/>
      <c r="C223" s="22" t="n"/>
      <c r="D223" s="22" t="n"/>
      <c r="E223" s="22" t="n"/>
      <c r="F223" s="22" t="n"/>
      <c r="G223" s="48" t="inlineStr">
        <is>
          <t>DCF Equity value/share</t>
        </is>
      </c>
      <c r="J223" s="369">
        <f>IF(OR(J222="",IF(PerShareMode="Outstanding",Shares,SharesDiluted)="",IF(PerShareMode="Outstanding",Shares,SharesDiluted)&lt;=0),"",(J222-NetDebt)/IF(PerShareMode="Outstanding",Shares,SharesDiluted))</f>
        <v/>
      </c>
      <c r="K223" s="368" t="inlineStr">
        <is>
          <t>DCF EV less net debt, divided by selected share denominator.</t>
        </is>
      </c>
      <c r="O223" s="364" t="n"/>
      <c r="P223" s="59" t="n"/>
      <c r="Q223" s="59" t="n"/>
      <c r="R223" s="22" t="n"/>
      <c r="S223" s="143" t="inlineStr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</row>
    <row r="224" ht="19.5" customHeight="1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130" t="n"/>
      <c r="P224" s="59" t="n"/>
      <c r="Q224" s="59" t="n"/>
      <c r="R224" s="22" t="n"/>
      <c r="S224" s="143" t="inlineStr"/>
      <c r="AA224" s="22" t="n"/>
      <c r="AB224" s="22" t="n"/>
      <c r="AC224" s="22" t="n"/>
      <c r="AD224" s="22" t="n"/>
      <c r="AE224" s="22" t="n"/>
      <c r="AF224" s="22" t="n"/>
      <c r="AG224" s="22" t="n"/>
      <c r="AH224" s="22" t="n"/>
      <c r="AI224" s="22" t="n"/>
    </row>
    <row r="225" ht="19.5" customHeight="1">
      <c r="A225" s="22" t="n"/>
      <c r="B225" s="22" t="n"/>
      <c r="C225" s="22" t="n"/>
      <c r="D225" s="22" t="n"/>
      <c r="E225" s="22" t="n"/>
      <c r="F225" s="22" t="n"/>
      <c r="G225" s="140" t="inlineStr">
        <is>
          <t>DCF Sensitivity ($/share)</t>
        </is>
      </c>
      <c r="M225" s="22" t="n"/>
      <c r="N225" s="22" t="n"/>
      <c r="O225" s="130" t="n"/>
      <c r="P225" s="59" t="n"/>
      <c r="Q225" s="59" t="n"/>
      <c r="R225" s="22" t="n"/>
      <c r="S225" s="143" t="inlineStr"/>
      <c r="AA225" s="22" t="n"/>
      <c r="AB225" s="22" t="n"/>
      <c r="AC225" s="22" t="n"/>
      <c r="AD225" s="22" t="n"/>
      <c r="AE225" s="22" t="n"/>
      <c r="AF225" s="22" t="n"/>
      <c r="AG225" s="22" t="n"/>
      <c r="AH225" s="22" t="n"/>
      <c r="AI225" s="22" t="n"/>
    </row>
    <row r="226" ht="19.5" customHeight="1">
      <c r="A226" s="22" t="n"/>
      <c r="B226" s="22" t="n"/>
      <c r="C226" s="22" t="n"/>
      <c r="D226" s="22" t="n"/>
      <c r="E226" s="22" t="n"/>
      <c r="F226" s="22" t="n"/>
      <c r="G226" s="32" t="inlineStr">
        <is>
          <t>WACC \ gT</t>
        </is>
      </c>
      <c r="H226" s="144" t="n"/>
      <c r="I226" s="145" t="n"/>
      <c r="J226" s="145" t="n"/>
      <c r="K226" s="145" t="n"/>
      <c r="L226" s="144" t="n"/>
      <c r="M226" s="22" t="n"/>
      <c r="N226" s="22" t="n"/>
      <c r="O226" s="130" t="n"/>
      <c r="P226" s="59" t="n"/>
      <c r="Q226" s="59" t="n"/>
      <c r="R226" s="22" t="n"/>
      <c r="S226" s="143" t="inlineStr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</row>
    <row r="227" ht="19.5" customHeight="1">
      <c r="A227" s="22" t="n"/>
      <c r="B227" s="22" t="n"/>
      <c r="C227" s="22" t="n"/>
      <c r="D227" s="22" t="n"/>
      <c r="E227" s="22" t="n"/>
      <c r="F227" s="22" t="n"/>
      <c r="G227" s="144" t="n"/>
      <c r="H227" s="375">
        <f>IF(OR(J218="",J218&lt;=0,$G$227&lt;=0,$G$227&lt;=$H$226,IF(PerShareMode="Outstanding",Shares,SharesDiluted)="",IF(PerShareMode="Outstanding",Shares,SharesDiluted)&lt;=0),"",((J218*(1+J219)/($G$227-J219)*(1-((1+J219)/(1+$G$227))^5)+(J218*(1+J219)^5*(1+$H$226)/($G$227-$H$226)/((1+$G$227)^5))-NetDebt)/IF(PerShareMode="Outstanding",Shares,SharesDiluted)))</f>
        <v/>
      </c>
      <c r="I227" s="375">
        <f>IF(OR(J218="",J218&lt;=0,$G$227&lt;=0,$G$227&lt;=$I$226,IF(PerShareMode="Outstanding",Shares,SharesDiluted)="",IF(PerShareMode="Outstanding",Shares,SharesDiluted)&lt;=0),"",((J218*(1+J219)/($G$227-J219)*(1-((1+J219)/(1+$G$227))^5)+(J218*(1+J219)^5*(1+$I$226)/($G$227-$I$226)/((1+$G$227)^5))-NetDebt)/IF(PerShareMode="Outstanding",Shares,SharesDiluted)))</f>
        <v/>
      </c>
      <c r="J227" s="375">
        <f>IF(OR(J218="",J218&lt;=0,$G$227&lt;=0,$G$227&lt;=$J$226,IF(PerShareMode="Outstanding",Shares,SharesDiluted)="",IF(PerShareMode="Outstanding",Shares,SharesDiluted)&lt;=0),"",((J218*(1+J219)/($G$227-J219)*(1-((1+J219)/(1+$G$227))^5)+(J218*(1+J219)^5*(1+$J$226)/($G$227-$J$226)/((1+$G$227)^5))-NetDebt)/IF(PerShareMode="Outstanding",Shares,SharesDiluted)))</f>
        <v/>
      </c>
      <c r="K227" s="375">
        <f>IF(OR(J218="",J218&lt;=0,$G$227&lt;=0,$G$227&lt;=$K$226,IF(PerShareMode="Outstanding",Shares,SharesDiluted)="",IF(PerShareMode="Outstanding",Shares,SharesDiluted)&lt;=0),"",((J218*(1+J219)/($G$227-J219)*(1-((1+J219)/(1+$G$227))^5)+(J218*(1+J219)^5*(1+$K$226)/($G$227-$K$226)/((1+$G$227)^5))-NetDebt)/IF(PerShareMode="Outstanding",Shares,SharesDiluted)))</f>
        <v/>
      </c>
      <c r="L227" s="375">
        <f>IF(OR(J218="",J218&lt;=0,$G$227&lt;=0,$G$227&lt;=$L$226,IF(PerShareMode="Outstanding",Shares,SharesDiluted)="",IF(PerShareMode="Outstanding",Shares,SharesDiluted)&lt;=0),"",((J218*(1+J219)/($G$227-J219)*(1-((1+J219)/(1+$G$227))^5)+(J218*(1+J219)^5*(1+$L$226)/($G$227-$L$226)/((1+$G$227)^5))-NetDebt)/IF(PerShareMode="Outstanding",Shares,SharesDiluted)))</f>
        <v/>
      </c>
      <c r="M227" s="22" t="n"/>
      <c r="N227" s="22" t="n"/>
      <c r="O227" s="130" t="n"/>
      <c r="P227" s="59" t="n"/>
      <c r="Q227" s="59" t="n"/>
      <c r="R227" s="22" t="n"/>
      <c r="S227" s="143" t="inlineStr"/>
      <c r="AA227" s="22" t="n"/>
      <c r="AB227" s="22" t="n"/>
      <c r="AC227" s="22" t="n"/>
      <c r="AD227" s="22" t="n"/>
      <c r="AE227" s="22" t="n"/>
      <c r="AF227" s="22" t="n"/>
      <c r="AG227" s="22" t="n"/>
      <c r="AH227" s="22" t="n"/>
      <c r="AI227" s="22" t="n"/>
    </row>
    <row r="228" ht="19.5" customHeight="1">
      <c r="A228" s="22" t="n"/>
      <c r="B228" s="22" t="n"/>
      <c r="C228" s="22" t="n"/>
      <c r="D228" s="22" t="n"/>
      <c r="E228" s="22" t="n"/>
      <c r="F228" s="22" t="n"/>
      <c r="G228" s="145" t="n"/>
      <c r="H228" s="375">
        <f>IF(OR(J218="",J218&lt;=0,$G$228&lt;=0,$G$228&lt;=$H$226,IF(PerShareMode="Outstanding",Shares,SharesDiluted)="",IF(PerShareMode="Outstanding",Shares,SharesDiluted)&lt;=0),"",((J218*(1+J219)/($G$228-J219)*(1-((1+J219)/(1+$G$228))^5)+(J218*(1+J219)^5*(1+$H$226)/($G$228-$H$226)/((1+$G$228)^5))-NetDebt)/IF(PerShareMode="Outstanding",Shares,SharesDiluted)))</f>
        <v/>
      </c>
      <c r="I228" s="376">
        <f>IF(OR(J218="",J218&lt;=0,$G$228&lt;=0,$G$228&lt;=$I$226,IF(PerShareMode="Outstanding",Shares,SharesDiluted)="",IF(PerShareMode="Outstanding",Shares,SharesDiluted)&lt;=0),"",((J218*(1+J219)/($G$228-J219)*(1-((1+J219)/(1+$G$228))^5)+(J218*(1+J219)^5*(1+$I$226)/($G$228-$I$226)/((1+$G$228)^5))-NetDebt)/IF(PerShareMode="Outstanding",Shares,SharesDiluted)))</f>
        <v/>
      </c>
      <c r="J228" s="377">
        <f>IF(OR(J218="",J218&lt;=0,$G$228&lt;=0,$G$228&lt;=$J$226,IF(PerShareMode="Outstanding",Shares,SharesDiluted)="",IF(PerShareMode="Outstanding",Shares,SharesDiluted)&lt;=0),"",((J218*(1+J219)/($G$228-J219)*(1-((1+J219)/(1+$G$228))^5)+(J218*(1+J219)^5*(1+$J$226)/($G$228-$J$226)/((1+$G$228)^5))-NetDebt)/IF(PerShareMode="Outstanding",Shares,SharesDiluted)))</f>
        <v/>
      </c>
      <c r="K228" s="378">
        <f>IF(OR(J218="",J218&lt;=0,$G$228&lt;=0,$G$228&lt;=$K$226,IF(PerShareMode="Outstanding",Shares,SharesDiluted)="",IF(PerShareMode="Outstanding",Shares,SharesDiluted)&lt;=0),"",((J218*(1+J219)/($G$228-J219)*(1-((1+J219)/(1+$G$228))^5)+(J218*(1+J219)^5*(1+$K$226)/($G$228-$K$226)/((1+$G$228)^5))-NetDebt)/IF(PerShareMode="Outstanding",Shares,SharesDiluted)))</f>
        <v/>
      </c>
      <c r="L228" s="375">
        <f>IF(OR(J218="",J218&lt;=0,$G$228&lt;=0,$G$228&lt;=$L$226,IF(PerShareMode="Outstanding",Shares,SharesDiluted)="",IF(PerShareMode="Outstanding",Shares,SharesDiluted)&lt;=0),"",((J218*(1+J219)/($G$228-J219)*(1-((1+J219)/(1+$G$228))^5)+(J218*(1+J219)^5*(1+$L$226)/($G$228-$L$226)/((1+$G$228)^5))-NetDebt)/IF(PerShareMode="Outstanding",Shares,SharesDiluted)))</f>
        <v/>
      </c>
      <c r="M228" s="22" t="n"/>
      <c r="N228" s="22" t="n"/>
      <c r="O228" s="130" t="n"/>
      <c r="P228" s="59" t="n"/>
      <c r="Q228" s="59" t="n"/>
      <c r="R228" s="22" t="n"/>
      <c r="S228" s="143" t="inlineStr"/>
      <c r="AA228" s="22" t="n"/>
      <c r="AB228" s="22" t="n"/>
      <c r="AC228" s="22" t="n"/>
      <c r="AD228" s="22" t="n"/>
      <c r="AE228" s="22" t="n"/>
      <c r="AF228" s="22" t="n"/>
      <c r="AG228" s="22" t="n"/>
      <c r="AH228" s="22" t="n"/>
      <c r="AI228" s="22" t="n"/>
    </row>
    <row r="229" ht="19.5" customHeight="1">
      <c r="A229" s="22" t="n"/>
      <c r="B229" s="22" t="n"/>
      <c r="C229" s="22" t="n"/>
      <c r="D229" s="22" t="n"/>
      <c r="E229" s="22" t="n"/>
      <c r="F229" s="22" t="n"/>
      <c r="G229" s="145" t="n"/>
      <c r="H229" s="375">
        <f>IF(OR(J218="",J218&lt;=0,$G$229&lt;=0,$G$229&lt;=$H$226,IF(PerShareMode="Outstanding",Shares,SharesDiluted)="",IF(PerShareMode="Outstanding",Shares,SharesDiluted)&lt;=0),"",((J218*(1+J219)/($G$229-J219)*(1-((1+J219)/(1+$G$229))^5)+(J218*(1+J219)^5*(1+$H$226)/($G$229-$H$226)/((1+$G$229)^5))-NetDebt)/IF(PerShareMode="Outstanding",Shares,SharesDiluted)))</f>
        <v/>
      </c>
      <c r="I229" s="379">
        <f>IF(OR(J218="",J218&lt;=0,$G$229&lt;=0,$G$229&lt;=$I$226,IF(PerShareMode="Outstanding",Shares,SharesDiluted)="",IF(PerShareMode="Outstanding",Shares,SharesDiluted)&lt;=0),"",((J218*(1+J219)/($G$229-J219)*(1-((1+J219)/(1+$G$229))^5)+(J218*(1+J219)^5*(1+$I$226)/($G$229-$I$226)/((1+$G$229)^5))-NetDebt)/IF(PerShareMode="Outstanding",Shares,SharesDiluted)))</f>
        <v/>
      </c>
      <c r="J229" s="380">
        <f>IF(OR(J218="",J218&lt;=0,$G$229&lt;=0,$G$229&lt;=$J$226,IF(PerShareMode="Outstanding",Shares,SharesDiluted)="",IF(PerShareMode="Outstanding",Shares,SharesDiluted)&lt;=0),"",((J218*(1+J219)/($G$229-J219)*(1-((1+J219)/(1+$G$229))^5)+(J218*(1+J219)^5*(1+$J$226)/($G$229-$J$226)/((1+$G$229)^5))-NetDebt)/IF(PerShareMode="Outstanding",Shares,SharesDiluted)))</f>
        <v/>
      </c>
      <c r="K229" s="381">
        <f>IF(OR(J218="",J218&lt;=0,$G$229&lt;=0,$G$229&lt;=$K$226,IF(PerShareMode="Outstanding",Shares,SharesDiluted)="",IF(PerShareMode="Outstanding",Shares,SharesDiluted)&lt;=0),"",((J218*(1+J219)/($G$229-J219)*(1-((1+J219)/(1+$G$229))^5)+(J218*(1+J219)^5*(1+$K$226)/($G$229-$K$226)/((1+$G$229)^5))-NetDebt)/IF(PerShareMode="Outstanding",Shares,SharesDiluted)))</f>
        <v/>
      </c>
      <c r="L229" s="375">
        <f>IF(OR(J218="",J218&lt;=0,$G$229&lt;=0,$G$229&lt;=$L$226,IF(PerShareMode="Outstanding",Shares,SharesDiluted)="",IF(PerShareMode="Outstanding",Shares,SharesDiluted)&lt;=0),"",((J218*(1+J219)/($G$229-J219)*(1-((1+J219)/(1+$G$229))^5)+(J218*(1+J219)^5*(1+$L$226)/($G$229-$L$226)/((1+$G$229)^5))-NetDebt)/IF(PerShareMode="Outstanding",Shares,SharesDiluted)))</f>
        <v/>
      </c>
      <c r="M229" s="22" t="n"/>
      <c r="N229" s="22" t="n"/>
      <c r="O229" s="130" t="n"/>
      <c r="P229" s="59" t="n"/>
      <c r="Q229" s="59" t="n"/>
      <c r="R229" s="22" t="n"/>
      <c r="S229" s="143" t="inlineStr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</row>
    <row r="230" ht="19.5" customHeight="1">
      <c r="A230" s="22" t="n"/>
      <c r="B230" s="22" t="n"/>
      <c r="C230" s="22" t="n"/>
      <c r="D230" s="22" t="n"/>
      <c r="E230" s="22" t="n"/>
      <c r="F230" s="22" t="n"/>
      <c r="G230" s="145" t="n"/>
      <c r="H230" s="375">
        <f>IF(OR(J218="",J218&lt;=0,$G$230&lt;=0,$G$230&lt;=$H$226,IF(PerShareMode="Outstanding",Shares,SharesDiluted)="",IF(PerShareMode="Outstanding",Shares,SharesDiluted)&lt;=0),"",((J218*(1+J219)/($G$230-J219)*(1-((1+J219)/(1+$G$230))^5)+(J218*(1+J219)^5*(1+$H$226)/($G$230-$H$226)/((1+$G$230)^5))-NetDebt)/IF(PerShareMode="Outstanding",Shares,SharesDiluted)))</f>
        <v/>
      </c>
      <c r="I230" s="379">
        <f>IF(OR(J218="",J218&lt;=0,$G$230&lt;=0,$G$230&lt;=$I$226,IF(PerShareMode="Outstanding",Shares,SharesDiluted)="",IF(PerShareMode="Outstanding",Shares,SharesDiluted)&lt;=0),"",((J218*(1+J219)/($G$230-J219)*(1-((1+J219)/(1+$G$230))^5)+(J218*(1+J219)^5*(1+$I$226)/($G$230-$I$226)/((1+$G$230)^5))-NetDebt)/IF(PerShareMode="Outstanding",Shares,SharesDiluted)))</f>
        <v/>
      </c>
      <c r="J230" s="380">
        <f>IF(OR(J218="",J218&lt;=0,$G$230&lt;=0,$G$230&lt;=$J$226,IF(PerShareMode="Outstanding",Shares,SharesDiluted)="",IF(PerShareMode="Outstanding",Shares,SharesDiluted)&lt;=0),"",((J218*(1+J219)/($G$230-J219)*(1-((1+J219)/(1+$G$230))^5)+(J218*(1+J219)^5*(1+$J$226)/($G$230-$J$226)/((1+$G$230)^5))-NetDebt)/IF(PerShareMode="Outstanding",Shares,SharesDiluted)))</f>
        <v/>
      </c>
      <c r="K230" s="381">
        <f>IF(OR(J218="",J218&lt;=0,$G$230&lt;=0,$G$230&lt;=$K$226,IF(PerShareMode="Outstanding",Shares,SharesDiluted)="",IF(PerShareMode="Outstanding",Shares,SharesDiluted)&lt;=0),"",((J218*(1+J219)/($G$230-J219)*(1-((1+J219)/(1+$G$230))^5)+(J218*(1+J219)^5*(1+$K$226)/($G$230-$K$226)/((1+$G$230)^5))-NetDebt)/IF(PerShareMode="Outstanding",Shares,SharesDiluted)))</f>
        <v/>
      </c>
      <c r="L230" s="375">
        <f>IF(OR(J218="",J218&lt;=0,$G$230&lt;=0,$G$230&lt;=$L$226,IF(PerShareMode="Outstanding",Shares,SharesDiluted)="",IF(PerShareMode="Outstanding",Shares,SharesDiluted)&lt;=0),"",((J218*(1+J219)/($G$230-J219)*(1-((1+J219)/(1+$G$230))^5)+(J218*(1+J219)^5*(1+$L$226)/($G$230-$L$226)/((1+$G$230)^5))-NetDebt)/IF(PerShareMode="Outstanding",Shares,SharesDiluted)))</f>
        <v/>
      </c>
      <c r="M230" s="22" t="n"/>
      <c r="N230" s="22" t="n"/>
      <c r="O230" s="130" t="n"/>
      <c r="P230" s="59" t="n"/>
      <c r="Q230" s="59" t="n"/>
      <c r="R230" s="22" t="n"/>
      <c r="S230" s="143" t="inlineStr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</row>
    <row r="231" ht="19.5" customHeight="1">
      <c r="A231" s="22" t="n"/>
      <c r="B231" s="22" t="n"/>
      <c r="C231" s="22" t="n"/>
      <c r="D231" s="22" t="n"/>
      <c r="E231" s="22" t="n"/>
      <c r="F231" s="22" t="n"/>
      <c r="G231" s="145" t="n"/>
      <c r="H231" s="375">
        <f>IF(OR(J218="",J218&lt;=0,$G$231&lt;=0,$G$231&lt;=$H$226,IF(PerShareMode="Outstanding",Shares,SharesDiluted)="",IF(PerShareMode="Outstanding",Shares,SharesDiluted)&lt;=0),"",((J218*(1+J219)/($G$231-J219)*(1-((1+J219)/(1+$G$231))^5)+(J218*(1+J219)^5*(1+$H$226)/($G$231-$H$226)/((1+$G$231)^5))-NetDebt)/IF(PerShareMode="Outstanding",Shares,SharesDiluted)))</f>
        <v/>
      </c>
      <c r="I231" s="379">
        <f>IF(OR(J218="",J218&lt;=0,$G$231&lt;=0,$G$231&lt;=$I$226,IF(PerShareMode="Outstanding",Shares,SharesDiluted)="",IF(PerShareMode="Outstanding",Shares,SharesDiluted)&lt;=0),"",((J218*(1+J219)/($G$231-J219)*(1-((1+J219)/(1+$G$231))^5)+(J218*(1+J219)^5*(1+$I$226)/($G$231-$I$226)/((1+$G$231)^5))-NetDebt)/IF(PerShareMode="Outstanding",Shares,SharesDiluted)))</f>
        <v/>
      </c>
      <c r="J231" s="380">
        <f>IF(OR(J218="",J218&lt;=0,$G$231&lt;=0,$G$231&lt;=$J$226,IF(PerShareMode="Outstanding",Shares,SharesDiluted)="",IF(PerShareMode="Outstanding",Shares,SharesDiluted)&lt;=0),"",((J218*(1+J219)/($G$231-J219)*(1-((1+J219)/(1+$G$231))^5)+(J218*(1+J219)^5*(1+$J$226)/($G$231-$J$226)/((1+$G$231)^5))-NetDebt)/IF(PerShareMode="Outstanding",Shares,SharesDiluted)))</f>
        <v/>
      </c>
      <c r="K231" s="381">
        <f>IF(OR(J218="",J218&lt;=0,$G$231&lt;=0,$G$231&lt;=$K$226,IF(PerShareMode="Outstanding",Shares,SharesDiluted)="",IF(PerShareMode="Outstanding",Shares,SharesDiluted)&lt;=0),"",((J218*(1+J219)/($G$231-J219)*(1-((1+J219)/(1+$G$231))^5)+(J218*(1+J219)^5*(1+$K$226)/($G$231-$K$226)/((1+$G$231)^5))-NetDebt)/IF(PerShareMode="Outstanding",Shares,SharesDiluted)))</f>
        <v/>
      </c>
      <c r="L231" s="375">
        <f>IF(OR(J218="",J218&lt;=0,$G$231&lt;=0,$G$231&lt;=$L$226,IF(PerShareMode="Outstanding",Shares,SharesDiluted)="",IF(PerShareMode="Outstanding",Shares,SharesDiluted)&lt;=0),"",((J218*(1+J219)/($G$231-J219)*(1-((1+J219)/(1+$G$231))^5)+(J218*(1+J219)^5*(1+$L$226)/($G$231-$L$226)/((1+$G$231)^5))-NetDebt)/IF(PerShareMode="Outstanding",Shares,SharesDiluted)))</f>
        <v/>
      </c>
      <c r="M231" s="22" t="n"/>
      <c r="N231" s="22" t="n"/>
      <c r="O231" s="130" t="n"/>
      <c r="P231" s="22" t="n"/>
      <c r="Q231" s="22" t="n"/>
      <c r="R231" s="22" t="n"/>
      <c r="S231" s="130" t="n"/>
      <c r="AA231" s="22" t="n"/>
      <c r="AB231" s="22" t="n"/>
      <c r="AC231" s="22" t="n"/>
      <c r="AD231" s="22" t="n"/>
      <c r="AE231" s="22" t="n"/>
      <c r="AF231" s="22" t="n"/>
      <c r="AG231" s="22" t="n"/>
      <c r="AH231" s="22" t="n"/>
      <c r="AI231" s="22" t="n"/>
    </row>
    <row r="232" ht="19.5" customHeight="1">
      <c r="A232" s="22" t="n"/>
      <c r="B232" s="22" t="n"/>
      <c r="C232" s="22" t="n"/>
      <c r="D232" s="22" t="n"/>
      <c r="E232" s="22" t="n"/>
      <c r="F232" s="22" t="n"/>
      <c r="G232" s="145" t="n"/>
      <c r="H232" s="375">
        <f>IF(OR(J218="",J218&lt;=0,$G$232&lt;=0,$G$232&lt;=$H$226,IF(PerShareMode="Outstanding",Shares,SharesDiluted)="",IF(PerShareMode="Outstanding",Shares,SharesDiluted)&lt;=0),"",((J218*(1+J219)/($G$232-J219)*(1-((1+J219)/(1+$G$232))^5)+(J218*(1+J219)^5*(1+$H$226)/($G$232-$H$226)/((1+$G$232)^5))-NetDebt)/IF(PerShareMode="Outstanding",Shares,SharesDiluted)))</f>
        <v/>
      </c>
      <c r="I232" s="382">
        <f>IF(OR(J218="",J218&lt;=0,$G$232&lt;=0,$G$232&lt;=$I$226,IF(PerShareMode="Outstanding",Shares,SharesDiluted)="",IF(PerShareMode="Outstanding",Shares,SharesDiluted)&lt;=0),"",((J218*(1+J219)/($G$232-J219)*(1-((1+J219)/(1+$G$232))^5)+(J218*(1+J219)^5*(1+$I$226)/($G$232-$I$226)/((1+$G$232)^5))-NetDebt)/IF(PerShareMode="Outstanding",Shares,SharesDiluted)))</f>
        <v/>
      </c>
      <c r="J232" s="383">
        <f>IF(OR(J218="",J218&lt;=0,$G$232&lt;=0,$G$232&lt;=$J$226,IF(PerShareMode="Outstanding",Shares,SharesDiluted)="",IF(PerShareMode="Outstanding",Shares,SharesDiluted)&lt;=0),"",((J218*(1+J219)/($G$232-J219)*(1-((1+J219)/(1+$G$232))^5)+(J218*(1+J219)^5*(1+$J$226)/($G$232-$J$226)/((1+$G$232)^5))-NetDebt)/IF(PerShareMode="Outstanding",Shares,SharesDiluted)))</f>
        <v/>
      </c>
      <c r="K232" s="384">
        <f>IF(OR(J218="",J218&lt;=0,$G$232&lt;=0,$G$232&lt;=$K$226,IF(PerShareMode="Outstanding",Shares,SharesDiluted)="",IF(PerShareMode="Outstanding",Shares,SharesDiluted)&lt;=0),"",((J218*(1+J219)/($G$232-J219)*(1-((1+J219)/(1+$G$232))^5)+(J218*(1+J219)^5*(1+$K$226)/($G$232-$K$226)/((1+$G$232)^5))-NetDebt)/IF(PerShareMode="Outstanding",Shares,SharesDiluted)))</f>
        <v/>
      </c>
      <c r="L232" s="375">
        <f>IF(OR(J218="",J218&lt;=0,$G$232&lt;=0,$G$232&lt;=$L$226,IF(PerShareMode="Outstanding",Shares,SharesDiluted)="",IF(PerShareMode="Outstanding",Shares,SharesDiluted)&lt;=0),"",((J218*(1+J219)/($G$232-J219)*(1-((1+J219)/(1+$G$232))^5)+(J218*(1+J219)^5*(1+$L$226)/($G$232-$L$226)/((1+$G$232)^5))-NetDebt)/IF(PerShareMode="Outstanding",Shares,SharesDiluted)))</f>
        <v/>
      </c>
      <c r="M232" s="22" t="n"/>
      <c r="N232" s="22" t="n"/>
      <c r="O232" s="130" t="n"/>
      <c r="P232" s="22" t="n"/>
      <c r="Q232" s="22" t="n"/>
      <c r="R232" s="22" t="n"/>
      <c r="S232" s="130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</row>
    <row r="233" ht="19.5" customHeight="1">
      <c r="A233" s="22" t="n"/>
      <c r="B233" s="22" t="n"/>
      <c r="C233" s="22" t="n"/>
      <c r="D233" s="22" t="n"/>
      <c r="E233" s="22" t="n"/>
      <c r="F233" s="22" t="n"/>
      <c r="G233" s="144" t="n"/>
      <c r="H233" s="375">
        <f>IF(OR(J218="",J218&lt;=0,$G$233&lt;=0,$G$233&lt;=$H$226,IF(PerShareMode="Outstanding",Shares,SharesDiluted)="",IF(PerShareMode="Outstanding",Shares,SharesDiluted)&lt;=0),"",((J218*(1+J219)/($G$233-J219)*(1-((1+J219)/(1+$G$233))^5)+(J218*(1+J219)^5*(1+$H$226)/($G$233-$H$226)/((1+$G$233)^5))-NetDebt)/IF(PerShareMode="Outstanding",Shares,SharesDiluted)))</f>
        <v/>
      </c>
      <c r="I233" s="375">
        <f>IF(OR(J218="",J218&lt;=0,$G$233&lt;=0,$G$233&lt;=$I$226,IF(PerShareMode="Outstanding",Shares,SharesDiluted)="",IF(PerShareMode="Outstanding",Shares,SharesDiluted)&lt;=0),"",((J218*(1+J219)/($G$233-J219)*(1-((1+J219)/(1+$G$233))^5)+(J218*(1+J219)^5*(1+$I$226)/($G$233-$I$226)/((1+$G$233)^5))-NetDebt)/IF(PerShareMode="Outstanding",Shares,SharesDiluted)))</f>
        <v/>
      </c>
      <c r="J233" s="375">
        <f>IF(OR(J218="",J218&lt;=0,$G$233&lt;=0,$G$233&lt;=$J$226,IF(PerShareMode="Outstanding",Shares,SharesDiluted)="",IF(PerShareMode="Outstanding",Shares,SharesDiluted)&lt;=0),"",((J218*(1+J219)/($G$233-J219)*(1-((1+J219)/(1+$G$233))^5)+(J218*(1+J219)^5*(1+$J$226)/($G$233-$J$226)/((1+$G$233)^5))-NetDebt)/IF(PerShareMode="Outstanding",Shares,SharesDiluted)))</f>
        <v/>
      </c>
      <c r="K233" s="375">
        <f>IF(OR(J218="",J218&lt;=0,$G$233&lt;=0,$G$233&lt;=$K$226,IF(PerShareMode="Outstanding",Shares,SharesDiluted)="",IF(PerShareMode="Outstanding",Shares,SharesDiluted)&lt;=0),"",((J218*(1+J219)/($G$233-J219)*(1-((1+J219)/(1+$G$233))^5)+(J218*(1+J219)^5*(1+$K$226)/($G$233-$K$226)/((1+$G$233)^5))-NetDebt)/IF(PerShareMode="Outstanding",Shares,SharesDiluted)))</f>
        <v/>
      </c>
      <c r="L233" s="375">
        <f>IF(OR(J218="",J218&lt;=0,$G$233&lt;=0,$G$233&lt;=$L$226,IF(PerShareMode="Outstanding",Shares,SharesDiluted)="",IF(PerShareMode="Outstanding",Shares,SharesDiluted)&lt;=0),"",((J218*(1+J219)/($G$233-J219)*(1-((1+J219)/(1+$G$233))^5)+(J218*(1+J219)^5*(1+$L$226)/($G$233-$L$226)/((1+$G$233)^5))-NetDebt)/IF(PerShareMode="Outstanding",Shares,SharesDiluted)))</f>
        <v/>
      </c>
      <c r="M233" s="22" t="n"/>
      <c r="N233" s="22" t="n"/>
      <c r="O233" s="130" t="n"/>
      <c r="P233" s="22" t="n"/>
      <c r="Q233" s="22" t="n"/>
      <c r="R233" s="22" t="n"/>
      <c r="S233" s="130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2" t="n"/>
      <c r="AI233" s="22" t="n"/>
    </row>
    <row r="234" ht="19.5" customHeight="1">
      <c r="A234" s="22" t="n"/>
      <c r="B234" s="133" t="n"/>
      <c r="C234" s="133" t="n"/>
      <c r="D234" s="133" t="n"/>
      <c r="E234" s="133" t="n"/>
      <c r="F234" s="133" t="n"/>
      <c r="G234" s="156" t="n"/>
      <c r="H234" s="385">
        <f>IF(OR(J218="",J218&lt;=0,$G$234&lt;=0,$G$234&lt;=$H$226,IF(PerShareMode="Outstanding",Shares,SharesDiluted)="",IF(PerShareMode="Outstanding",Shares,SharesDiluted)&lt;=0),"",((J218*(1+J219)/($G$234-J219)*(1-((1+J219)/(1+$G$234))^5)+(J218*(1+J219)^5*(1+$H$226)/($G$234-$H$226)/((1+$G$234)^5))-NetDebt)/IF(PerShareMode="Outstanding",Shares,SharesDiluted)))</f>
        <v/>
      </c>
      <c r="I234" s="385">
        <f>IF(OR(J218="",J218&lt;=0,$G$234&lt;=0,$G$234&lt;=$I$226,IF(PerShareMode="Outstanding",Shares,SharesDiluted)="",IF(PerShareMode="Outstanding",Shares,SharesDiluted)&lt;=0),"",((J218*(1+J219)/($G$234-J219)*(1-((1+J219)/(1+$G$234))^5)+(J218*(1+J219)^5*(1+$I$226)/($G$234-$I$226)/((1+$G$234)^5))-NetDebt)/IF(PerShareMode="Outstanding",Shares,SharesDiluted)))</f>
        <v/>
      </c>
      <c r="J234" s="385">
        <f>IF(OR(J218="",J218&lt;=0,$G$234&lt;=0,$G$234&lt;=$J$226,IF(PerShareMode="Outstanding",Shares,SharesDiluted)="",IF(PerShareMode="Outstanding",Shares,SharesDiluted)&lt;=0),"",((J218*(1+J219)/($G$234-J219)*(1-((1+J219)/(1+$G$234))^5)+(J218*(1+J219)^5*(1+$J$226)/($G$234-$J$226)/((1+$G$234)^5))-NetDebt)/IF(PerShareMode="Outstanding",Shares,SharesDiluted)))</f>
        <v/>
      </c>
      <c r="K234" s="385">
        <f>IF(OR(J218="",J218&lt;=0,$G$234&lt;=0,$G$234&lt;=$K$226,IF(PerShareMode="Outstanding",Shares,SharesDiluted)="",IF(PerShareMode="Outstanding",Shares,SharesDiluted)&lt;=0),"",((J218*(1+J219)/($G$234-J219)*(1-((1+J219)/(1+$G$234))^5)+(J218*(1+J219)^5*(1+$K$226)/($G$234-$K$226)/((1+$G$234)^5))-NetDebt)/IF(PerShareMode="Outstanding",Shares,SharesDiluted)))</f>
        <v/>
      </c>
      <c r="L234" s="385">
        <f>IF(OR(J218="",J218&lt;=0,$G$234&lt;=0,$G$234&lt;=$L$226,IF(PerShareMode="Outstanding",Shares,SharesDiluted)="",IF(PerShareMode="Outstanding",Shares,SharesDiluted)&lt;=0),"",((J218*(1+J219)/($G$234-J219)*(1-((1+J219)/(1+$G$234))^5)+(J218*(1+J219)^5*(1+$L$226)/($G$234-$L$226)/((1+$G$234)^5))-NetDebt)/IF(PerShareMode="Outstanding",Shares,SharesDiluted)))</f>
        <v/>
      </c>
      <c r="M234" s="133" t="n"/>
      <c r="N234" s="133" t="n"/>
      <c r="O234" s="139" t="n"/>
      <c r="P234" s="133" t="inlineStr">
        <is>
          <t>Auto-update implied gT</t>
        </is>
      </c>
      <c r="Q234" s="371" t="n"/>
      <c r="R234" s="158" t="n"/>
      <c r="S234" s="139" t="n"/>
      <c r="T234" s="133" t="n"/>
      <c r="U234" s="133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</row>
    <row r="235" ht="19.5" customHeight="1">
      <c r="A235" s="22" t="n"/>
      <c r="B235" s="386" t="inlineStr">
        <is>
          <t>Trigger Scenarios</t>
        </is>
      </c>
      <c r="K235" s="364" t="n"/>
      <c r="L235" s="386" t="inlineStr">
        <is>
          <t>What Market Is Pricing</t>
        </is>
      </c>
      <c r="U235" s="364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</row>
    <row r="236" ht="19.5" customHeight="1">
      <c r="A236" s="22" t="n"/>
      <c r="B236" s="125" t="inlineStr">
        <is>
          <t>Scenario preset (Base/Bull/Bear/Custom)</t>
        </is>
      </c>
      <c r="E236" s="160" t="n"/>
      <c r="F236" s="368">
        <f>IFERROR(IF(OR(E236="Base",E236="Bull",E236="Bear"),"Preset active","Custom"),"")</f>
        <v/>
      </c>
      <c r="K236" s="364" t="n"/>
      <c r="L236" s="125" t="inlineStr">
        <is>
          <t>Required Adj EBITDA @ target multiple ($m)</t>
        </is>
      </c>
      <c r="P236" s="62" t="n"/>
      <c r="Q236" s="368" t="inlineStr">
        <is>
          <t>At quality-adjusted target multiple, Adj EBITDA must reach this level.</t>
        </is>
      </c>
      <c r="U236" s="364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</row>
    <row r="237" ht="19.5" customHeight="1">
      <c r="A237" s="22" t="n"/>
      <c r="B237" s="125" t="inlineStr">
        <is>
          <t>Rev growth assumption</t>
        </is>
      </c>
      <c r="E237" s="129">
        <f>IF(E236="","",IF(E236="Bull",0.141711,IF(E236="Bear",0.054169,IF(E236="Base",0.071283,0.071283))))</f>
        <v/>
      </c>
      <c r="F237" s="368" t="inlineStr">
        <is>
          <t>Default from historical revenue growth distribution (recent 8 quarters).</t>
        </is>
      </c>
      <c r="K237" s="364" t="n"/>
      <c r="L237" s="125" t="inlineStr">
        <is>
          <t>Implied Adj EBITDA change vs current</t>
        </is>
      </c>
      <c r="P237" s="59" t="n"/>
      <c r="Q237" s="368" t="inlineStr">
        <is>
          <t>Required Adj EBITDA change versus current TTM level.</t>
        </is>
      </c>
      <c r="U237" s="364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</row>
    <row r="238" ht="19.5" customHeight="1">
      <c r="A238" s="22" t="n"/>
      <c r="B238" s="125" t="inlineStr">
        <is>
          <t>Adj EBITDA margin assumption</t>
        </is>
      </c>
      <c r="E238" s="129">
        <f>IF(E236="","",IF(E236="Bull",0.184811,IF(E236="Bear",0.128800,IF(E236="Base",0.167782,0.167782))))</f>
        <v/>
      </c>
      <c r="F238" s="368" t="inlineStr">
        <is>
          <t>Default from historical adjusted margin distribution (recent 8 quarters).</t>
        </is>
      </c>
      <c r="K238" s="364" t="n"/>
      <c r="L238" s="125" t="inlineStr">
        <is>
          <t>Required FCFF @ target EV yield ($m)</t>
        </is>
      </c>
      <c r="P238" s="62" t="n"/>
      <c r="Q238" s="368" t="inlineStr">
        <is>
          <t>At quality-adjusted target yield, FCFF requirement implied by EV.</t>
        </is>
      </c>
      <c r="U238" s="364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</row>
    <row r="239" ht="19.5" customHeight="1">
      <c r="A239" s="22" t="n"/>
      <c r="B239" s="125" t="inlineStr">
        <is>
          <t>Refi interest normalization ($m)</t>
        </is>
      </c>
      <c r="E239" s="131">
        <f>IF(E236="","",IF(E236="Bull",15,IF(E236="Bear",-10,0)))</f>
        <v/>
      </c>
      <c r="F239" s="368" t="inlineStr">
        <is>
          <t>Manual refinancing normalization assumption.</t>
        </is>
      </c>
      <c r="K239" s="364" t="n"/>
      <c r="L239" s="125" t="inlineStr">
        <is>
          <t>Implied FCFF change vs current</t>
        </is>
      </c>
      <c r="P239" s="59" t="n"/>
      <c r="Q239" s="368" t="inlineStr">
        <is>
          <t>Market-implied FCFF delta versus FCFF proxy TTM.</t>
        </is>
      </c>
      <c r="U239" s="364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</row>
    <row r="240" ht="19.5" customHeight="1">
      <c r="A240" s="22" t="n"/>
      <c r="B240" s="125" t="inlineStr">
        <is>
          <t>Buyback continuation (m shares)</t>
        </is>
      </c>
      <c r="E240" s="131">
        <f>IF(E236="","",IF(E236="Bull",2,IF(E236="Bear",-1,0)))</f>
        <v/>
      </c>
      <c r="F240" s="368" t="inlineStr">
        <is>
          <t>Manual share-count continuation assumption.</t>
        </is>
      </c>
      <c r="K240" s="364" t="n"/>
      <c r="L240" s="125" t="inlineStr">
        <is>
          <t>Required owner earnings @ target EV yield ($m)</t>
        </is>
      </c>
      <c r="P240" s="62" t="n"/>
      <c r="Q240" s="368" t="inlineStr">
        <is>
          <t>Owner earnings required at quality-adjusted target yield.</t>
        </is>
      </c>
      <c r="U240" s="364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</row>
    <row r="241" ht="19.5" customHeight="1">
      <c r="A241" s="22" t="n"/>
      <c r="B241" s="125" t="inlineStr">
        <is>
          <t>Scenario Adj EBITDA ($m)</t>
        </is>
      </c>
      <c r="E241" s="62">
        <f>IFERROR(IF(OR(Revenue_TTM="",E237="",E238=""),"",Revenue_TTM*(1+E237)*E238),"")</f>
        <v/>
      </c>
      <c r="F241" s="368" t="inlineStr">
        <is>
          <t>Scenario revenue × scenario margin.</t>
        </is>
      </c>
      <c r="K241" s="364" t="n"/>
      <c r="L241" s="125" t="inlineStr">
        <is>
          <t>Implied owner earnings change</t>
        </is>
      </c>
      <c r="P241" s="59" t="n"/>
      <c r="Q241" s="368" t="inlineStr">
        <is>
          <t>Owner earnings change versus current owner-earnings TTM.</t>
        </is>
      </c>
      <c r="U241" s="364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</row>
    <row r="242" ht="19.5" customHeight="1">
      <c r="A242" s="22" t="n"/>
      <c r="B242" s="125" t="inlineStr">
        <is>
          <t>Scenario owner earnings ($m)</t>
        </is>
      </c>
      <c r="E242" s="62">
        <f>IFERROR(IF(OR(OwnerEarnings_TTM="",E241="",Adj_EBITDA=""),"",OwnerEarnings_TTM+(E241-Adj_EBITDA)+E239),"")</f>
        <v/>
      </c>
      <c r="F242" s="368" t="inlineStr">
        <is>
          <t>Owner earnings bridge adjusted by scenario EBITDA and refinancing.</t>
        </is>
      </c>
      <c r="K242" s="364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130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</row>
    <row r="243" ht="19.5" customHeight="1">
      <c r="A243" s="22" t="n"/>
      <c r="B243" s="125" t="inlineStr">
        <is>
          <t>Eq/share scenario (EV/Adj)</t>
        </is>
      </c>
      <c r="E243" s="369">
        <f>IFERROR(IF(OR(E241="",IF(PerShareMode="Outstanding",Shares,SharesDiluted)="",E259="",E259&lt;=0),"",((E259*E241)-NetDebt)/MAX(0.001,IF(PerShareMode="Outstanding",Shares,SharesDiluted)-E240)),"")</f>
        <v/>
      </c>
      <c r="F243" s="368" t="inlineStr">
        <is>
          <t>Scenario per-share value with quality-adjusted EV/Adj multiple.</t>
        </is>
      </c>
      <c r="K243" s="364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130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</row>
    <row r="244" ht="19.5" customHeight="1">
      <c r="A244" s="22" t="n"/>
      <c r="B244" s="125" t="inlineStr">
        <is>
          <t>Eq/share scenario (EV owner earnings yield)</t>
        </is>
      </c>
      <c r="E244" s="369">
        <f>IFERROR(IF(OR(E242="",E242&lt;=0,IF(PerShareMode="Outstanding",Shares,SharesDiluted)="",E261="",E261&lt;=0),"",((E242/E261)-NetDebt)/MAX(0.001,IF(PerShareMode="Outstanding",Shares,SharesDiluted)-E240)),"")</f>
        <v/>
      </c>
      <c r="F244" s="368" t="inlineStr">
        <is>
          <t>Scenario per-share value with quality-adjusted owner-earnings yield.</t>
        </is>
      </c>
      <c r="K244" s="364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130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</row>
    <row r="245" ht="19.5" customHeight="1">
      <c r="A245" s="22" t="n"/>
      <c r="B245" s="133" t="n"/>
      <c r="C245" s="133" t="n"/>
      <c r="D245" s="133" t="n"/>
      <c r="E245" s="133" t="n"/>
      <c r="F245" s="133" t="n"/>
      <c r="G245" s="133" t="n"/>
      <c r="H245" s="133" t="n"/>
      <c r="I245" s="133" t="n"/>
      <c r="J245" s="133" t="n"/>
      <c r="K245" s="139" t="n"/>
      <c r="L245" s="133" t="n"/>
      <c r="M245" s="133" t="n"/>
      <c r="N245" s="133" t="n"/>
      <c r="O245" s="133" t="n"/>
      <c r="P245" s="133" t="n"/>
      <c r="Q245" s="133" t="n"/>
      <c r="R245" s="133" t="n"/>
      <c r="S245" s="133" t="n"/>
      <c r="T245" s="133" t="n"/>
      <c r="U245" s="139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</row>
    <row r="246" ht="19.5" customHeight="1">
      <c r="A246" s="22" t="n"/>
      <c r="B246" s="387" t="inlineStr">
        <is>
          <t>Scenario drivers (internal)</t>
        </is>
      </c>
      <c r="C246" s="162" t="n"/>
      <c r="D246" s="162" t="n"/>
      <c r="E246" s="162" t="n"/>
      <c r="F246" s="162" t="n"/>
      <c r="G246" s="162" t="n"/>
      <c r="H246" s="162" t="n"/>
      <c r="I246" s="162" t="n"/>
      <c r="J246" s="162" t="n"/>
      <c r="K246" s="388" t="n"/>
      <c r="L246" s="461" t="inlineStr">
        <is>
          <t>Convertible notes</t>
        </is>
      </c>
      <c r="AB246" s="22" t="n"/>
      <c r="AC246" s="22" t="n"/>
      <c r="AD246" s="22" t="n"/>
      <c r="AE246" s="22" t="n"/>
      <c r="AF246" s="22" t="n"/>
      <c r="AG246" s="22" t="n"/>
      <c r="AH246" s="22" t="n"/>
      <c r="AI246" s="22" t="n"/>
    </row>
    <row r="247" ht="19.5" customHeight="1">
      <c r="A247" s="22" t="n"/>
      <c r="B247" s="48" t="inlineStr">
        <is>
          <t>Revenue trend driver</t>
        </is>
      </c>
      <c r="D247" s="389" t="n"/>
      <c r="K247" s="364" t="n"/>
      <c r="L247" s="166" t="inlineStr">
        <is>
          <t>Security</t>
        </is>
      </c>
      <c r="M247" s="105" t="n"/>
      <c r="N247" s="167" t="inlineStr">
        <is>
          <t>Principal</t>
        </is>
      </c>
      <c r="O247" s="167" t="inlineStr">
        <is>
          <t>Coupon</t>
        </is>
      </c>
      <c r="P247" s="167" t="inlineStr">
        <is>
          <t>Maturity</t>
        </is>
      </c>
      <c r="Q247" s="167" t="inlineStr">
        <is>
          <t>Conversion price</t>
        </is>
      </c>
      <c r="R247" s="105" t="n"/>
      <c r="S247" s="167" t="inlineStr">
        <is>
          <t>Shares on full conversion (m)</t>
        </is>
      </c>
      <c r="T247" s="105" t="n"/>
      <c r="U247" s="167" t="inlineStr">
        <is>
          <t>Concurrent repurchase shares (m)</t>
        </is>
      </c>
      <c r="V247" s="104" t="n"/>
      <c r="W247" s="105" t="n"/>
      <c r="X247" s="167" t="inlineStr">
        <is>
          <t>Net added shares on full conversion (m)</t>
        </is>
      </c>
      <c r="Y247" s="104" t="n"/>
      <c r="Z247" s="104" t="n"/>
      <c r="AA247" s="105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</row>
    <row r="248" ht="19.5" customHeight="1">
      <c r="A248" s="22" t="n"/>
      <c r="B248" s="48" t="inlineStr">
        <is>
          <t>Margin driver</t>
        </is>
      </c>
      <c r="D248" s="389" t="n"/>
      <c r="K248" s="364" t="n"/>
      <c r="L248" s="168" t="n"/>
      <c r="M248" s="104" t="n"/>
      <c r="N248" s="104" t="n"/>
      <c r="O248" s="104" t="n"/>
      <c r="P248" s="104" t="n"/>
      <c r="Q248" s="104" t="n"/>
      <c r="R248" s="104" t="n"/>
      <c r="S248" s="104" t="n"/>
      <c r="T248" s="104" t="n"/>
      <c r="U248" s="104" t="n"/>
      <c r="V248" s="104" t="n"/>
      <c r="W248" s="104" t="n"/>
      <c r="X248" s="104" t="n"/>
      <c r="Y248" s="104" t="n"/>
      <c r="Z248" s="104" t="n"/>
      <c r="AA248" s="105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</row>
    <row r="249" ht="19.5" customHeight="1">
      <c r="A249" s="22" t="n"/>
      <c r="B249" s="48" t="inlineStr">
        <is>
          <t>FCF conversion driver</t>
        </is>
      </c>
      <c r="D249" s="389" t="n"/>
      <c r="K249" s="364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</row>
    <row r="250" ht="19.5" customHeight="1">
      <c r="A250" s="22" t="n"/>
      <c r="B250" s="48" t="inlineStr">
        <is>
          <t>Leverage/cap allocation driver</t>
        </is>
      </c>
      <c r="D250" s="389" t="n"/>
      <c r="K250" s="364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  <c r="AA250" s="29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</row>
    <row r="251" ht="19.5" customHeight="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130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  <c r="AA251" s="29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</row>
    <row r="252" ht="19.5" customHeight="1">
      <c r="A252" s="22" t="n"/>
      <c r="B252" s="140" t="inlineStr">
        <is>
          <t>Quality toggles</t>
        </is>
      </c>
      <c r="F252" s="22" t="n"/>
      <c r="G252" s="22" t="n"/>
      <c r="H252" s="22" t="n"/>
      <c r="I252" s="22" t="n"/>
      <c r="J252" s="22" t="n"/>
      <c r="K252" s="130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</row>
    <row r="253" ht="19.5" customHeight="1">
      <c r="A253" s="22" t="n"/>
      <c r="B253" s="48" t="inlineStr">
        <is>
          <t>Regulatory dependency?</t>
        </is>
      </c>
      <c r="E253" s="22" t="n"/>
      <c r="F253" s="22" t="n"/>
      <c r="G253" s="22" t="n"/>
      <c r="H253" s="22" t="n"/>
      <c r="I253" s="22" t="n"/>
      <c r="J253" s="22" t="n"/>
      <c r="K253" s="130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2" t="n"/>
      <c r="AI253" s="22" t="n"/>
    </row>
    <row r="254" ht="19.5" customHeight="1">
      <c r="A254" s="22" t="n"/>
      <c r="B254" s="48" t="inlineStr">
        <is>
          <t>Persistent non-GAAP gap?</t>
        </is>
      </c>
      <c r="E254" s="22" t="n"/>
      <c r="F254" s="22" t="n"/>
      <c r="G254" s="22" t="n"/>
      <c r="H254" s="22" t="n"/>
      <c r="I254" s="22" t="n"/>
      <c r="J254" s="22" t="n"/>
      <c r="K254" s="130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</row>
    <row r="255" ht="19.5" customHeight="1">
      <c r="A255" s="22" t="n"/>
      <c r="B255" s="48" t="inlineStr">
        <is>
          <t>Balance-sheet optionality constrained?</t>
        </is>
      </c>
      <c r="E255" s="22" t="n"/>
      <c r="F255" s="22" t="n"/>
      <c r="G255" s="22" t="n"/>
      <c r="H255" s="22" t="n"/>
      <c r="I255" s="22" t="n"/>
      <c r="J255" s="22" t="n"/>
      <c r="K255" s="130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</row>
    <row r="256" ht="19.5" customHeight="1">
      <c r="A256" s="22" t="n"/>
      <c r="B256" s="48" t="inlineStr">
        <is>
          <t>Customer concentration disclosed?</t>
        </is>
      </c>
      <c r="E256" s="22" t="n"/>
      <c r="F256" s="22" t="n"/>
      <c r="G256" s="22" t="n"/>
      <c r="H256" s="22" t="n"/>
      <c r="I256" s="22" t="n"/>
      <c r="J256" s="22" t="n"/>
      <c r="K256" s="130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</row>
    <row r="257" ht="19.5" customHeight="1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130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</row>
    <row r="258" ht="19.5" customHeight="1">
      <c r="A258" s="22" t="n"/>
      <c r="B258" s="374" t="inlineStr">
        <is>
          <t>Quality-adjusted target multiple/yield</t>
        </is>
      </c>
      <c r="K258" s="364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</row>
    <row r="259" ht="19.5" customHeight="1">
      <c r="A259" s="22" t="n"/>
      <c r="B259" s="48" t="inlineStr">
        <is>
          <t>Adj target EV/Adj EBITDA (x)</t>
        </is>
      </c>
      <c r="E259" s="359">
        <f>IF(Target_EV_AdjEBITDA="","",MAX(0,Target_EV_AdjEBITDA-IF(E255="Yes",0.25,0)))</f>
        <v/>
      </c>
      <c r="F259" s="368" t="inlineStr">
        <is>
          <t>Multiple adjusted for balance-sheet optionality toggle.</t>
        </is>
      </c>
      <c r="K259" s="364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</row>
    <row r="260" ht="19.5" customHeight="1">
      <c r="A260" s="22" t="n"/>
      <c r="B260" s="48" t="inlineStr">
        <is>
          <t>Adj target EV/EBITDA (x)</t>
        </is>
      </c>
      <c r="E260" s="359">
        <f>IF(Target_EV_EBITDA="","",MAX(0,Target_EV_EBITDA-IF(E255="Yes",0.25,0)))</f>
        <v/>
      </c>
      <c r="F260" s="368" t="inlineStr">
        <is>
          <t>Cross-check multiple adjusted for balance-sheet optionality toggle.</t>
        </is>
      </c>
      <c r="K260" s="364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2" t="n"/>
      <c r="AI260" s="22" t="n"/>
    </row>
    <row r="261" ht="19.5" customHeight="1">
      <c r="A261" s="22" t="n"/>
      <c r="B261" s="132" t="inlineStr">
        <is>
          <t>Adj target EV yield</t>
        </is>
      </c>
      <c r="C261" s="371" t="n"/>
      <c r="D261" s="371" t="n"/>
      <c r="E261" s="170">
        <f>IF(OR((IF(OR(Target_EV_Yield="",Target_EV_Yield&lt;=0),"",IF(Target_EV_Yield&gt;1,Target_EV_Yield/100,Target_EV_Yield)))="",(IF(OR(Target_EV_Yield="",Target_EV_Yield&lt;=0),"",IF(Target_EV_Yield&gt;1,Target_EV_Yield/100,Target_EV_Yield)))&lt;=0),"",(IF(OR(Target_EV_Yield="",Target_EV_Yield&lt;=0),"",IF(Target_EV_Yield&gt;1,Target_EV_Yield/100,Target_EV_Yield)))+IF(E253="Yes",0.005,0)+IF(E254="Yes",0.005,0)+IF(E256="Yes",0.0025,0))</f>
        <v/>
      </c>
      <c r="F261" s="372" t="inlineStr">
        <is>
          <t>Yield uplift from regulatory/non-GAAP/customer-concentration toggles.</t>
        </is>
      </c>
      <c r="G261" s="371" t="n"/>
      <c r="H261" s="371" t="n"/>
      <c r="I261" s="371" t="n"/>
      <c r="J261" s="371" t="n"/>
      <c r="K261" s="373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</row>
  </sheetData>
  <mergeCells count="424">
    <mergeCell ref="O49:T49"/>
    <mergeCell ref="C183:H183"/>
    <mergeCell ref="S25:Z25"/>
    <mergeCell ref="B139:E139"/>
    <mergeCell ref="O207:S207"/>
    <mergeCell ref="X55:AC55"/>
    <mergeCell ref="O50:T50"/>
    <mergeCell ref="B248:C248"/>
    <mergeCell ref="X73:AC73"/>
    <mergeCell ref="D248:K248"/>
    <mergeCell ref="A31:M31"/>
    <mergeCell ref="O200:S200"/>
    <mergeCell ref="U58:W58"/>
    <mergeCell ref="O32:P32"/>
    <mergeCell ref="U39:Z39"/>
    <mergeCell ref="O52:T52"/>
    <mergeCell ref="B241:D241"/>
    <mergeCell ref="S28:Z28"/>
    <mergeCell ref="O202:S202"/>
    <mergeCell ref="U73:W73"/>
    <mergeCell ref="B249:C249"/>
    <mergeCell ref="B205:C205"/>
    <mergeCell ref="F237:K237"/>
    <mergeCell ref="B242:D242"/>
    <mergeCell ref="X66:AC66"/>
    <mergeCell ref="C184:H184"/>
    <mergeCell ref="U247:W247"/>
    <mergeCell ref="C171:H171"/>
    <mergeCell ref="A42:M42"/>
    <mergeCell ref="B146:K146"/>
    <mergeCell ref="B200:C200"/>
    <mergeCell ref="O63:T63"/>
    <mergeCell ref="C173:H173"/>
    <mergeCell ref="O195:S195"/>
    <mergeCell ref="Q238:U238"/>
    <mergeCell ref="O74:T74"/>
    <mergeCell ref="O55:T55"/>
    <mergeCell ref="L123:N123"/>
    <mergeCell ref="B195:C195"/>
    <mergeCell ref="O46:Q46"/>
    <mergeCell ref="O27:AC27"/>
    <mergeCell ref="B239:D239"/>
    <mergeCell ref="AA12:AC12"/>
    <mergeCell ref="F194:J194"/>
    <mergeCell ref="B5:M5"/>
    <mergeCell ref="F260:K260"/>
    <mergeCell ref="AA14:AC14"/>
    <mergeCell ref="S34:Z34"/>
    <mergeCell ref="C186:H186"/>
    <mergeCell ref="B235:K235"/>
    <mergeCell ref="A137:M137"/>
    <mergeCell ref="AA43:AC43"/>
    <mergeCell ref="S30:Z30"/>
    <mergeCell ref="O53:T53"/>
    <mergeCell ref="B213:C213"/>
    <mergeCell ref="S29:Z29"/>
    <mergeCell ref="U74:W74"/>
    <mergeCell ref="O208:S208"/>
    <mergeCell ref="B244:D244"/>
    <mergeCell ref="A76:M76"/>
    <mergeCell ref="S31:Z31"/>
    <mergeCell ref="O41:Q41"/>
    <mergeCell ref="F238:K238"/>
    <mergeCell ref="F205:J205"/>
    <mergeCell ref="B208:C208"/>
    <mergeCell ref="S247:T247"/>
    <mergeCell ref="O43:Q43"/>
    <mergeCell ref="F240:K240"/>
    <mergeCell ref="AA25:AC25"/>
    <mergeCell ref="B210:C210"/>
    <mergeCell ref="I123:K123"/>
    <mergeCell ref="B260:D260"/>
    <mergeCell ref="C181:H181"/>
    <mergeCell ref="O58:T58"/>
    <mergeCell ref="B156:K156"/>
    <mergeCell ref="X69:AC69"/>
    <mergeCell ref="C174:H174"/>
    <mergeCell ref="O73:T73"/>
    <mergeCell ref="B155:K155"/>
    <mergeCell ref="B149:K149"/>
    <mergeCell ref="F200:J200"/>
    <mergeCell ref="O66:T66"/>
    <mergeCell ref="S24:Z24"/>
    <mergeCell ref="O68:T68"/>
    <mergeCell ref="AA13:AC13"/>
    <mergeCell ref="F195:J195"/>
    <mergeCell ref="B238:D238"/>
    <mergeCell ref="T222:Z231"/>
    <mergeCell ref="AA15:AC15"/>
    <mergeCell ref="F197:J197"/>
    <mergeCell ref="B240:D240"/>
    <mergeCell ref="K194:M194"/>
    <mergeCell ref="B246:K246"/>
    <mergeCell ref="O10:P10"/>
    <mergeCell ref="O59:T59"/>
    <mergeCell ref="X247:AA247"/>
    <mergeCell ref="F213:J213"/>
    <mergeCell ref="O61:T61"/>
    <mergeCell ref="O48:AC48"/>
    <mergeCell ref="F215:J215"/>
    <mergeCell ref="H138:I138"/>
    <mergeCell ref="K205:M205"/>
    <mergeCell ref="B261:D261"/>
    <mergeCell ref="AA28:AC28"/>
    <mergeCell ref="F210:J210"/>
    <mergeCell ref="A3:M3"/>
    <mergeCell ref="B207:C207"/>
    <mergeCell ref="AA30:AC30"/>
    <mergeCell ref="A97:M97"/>
    <mergeCell ref="Q239:U239"/>
    <mergeCell ref="X49:AC49"/>
    <mergeCell ref="U72:W72"/>
    <mergeCell ref="F201:J201"/>
    <mergeCell ref="L238:O238"/>
    <mergeCell ref="B254:D254"/>
    <mergeCell ref="X63:AC63"/>
    <mergeCell ref="F203:J203"/>
    <mergeCell ref="O16:P16"/>
    <mergeCell ref="B256:D256"/>
    <mergeCell ref="N141:Q141"/>
    <mergeCell ref="Q236:U236"/>
    <mergeCell ref="U63:W63"/>
    <mergeCell ref="K197:M197"/>
    <mergeCell ref="U50:W50"/>
    <mergeCell ref="K201:M201"/>
    <mergeCell ref="O17:P17"/>
    <mergeCell ref="O11:P11"/>
    <mergeCell ref="Q237:U237"/>
    <mergeCell ref="X52:AC52"/>
    <mergeCell ref="B197:C197"/>
    <mergeCell ref="F216:J216"/>
    <mergeCell ref="AA34:AC34"/>
    <mergeCell ref="B259:D259"/>
    <mergeCell ref="X53:AC53"/>
    <mergeCell ref="F193:J193"/>
    <mergeCell ref="S8:Z8"/>
    <mergeCell ref="U42:Z42"/>
    <mergeCell ref="AA31:AC31"/>
    <mergeCell ref="K210:M210"/>
    <mergeCell ref="B250:C250"/>
    <mergeCell ref="U55:W55"/>
    <mergeCell ref="Q240:U240"/>
    <mergeCell ref="O38:Q38"/>
    <mergeCell ref="K193:M193"/>
    <mergeCell ref="R39:T39"/>
    <mergeCell ref="N137:R137"/>
    <mergeCell ref="O37:AC37"/>
    <mergeCell ref="Q222:R222"/>
    <mergeCell ref="C172:H172"/>
    <mergeCell ref="O194:S194"/>
    <mergeCell ref="F206:J206"/>
    <mergeCell ref="K209:M209"/>
    <mergeCell ref="K203:M203"/>
    <mergeCell ref="A116:M116"/>
    <mergeCell ref="O19:P19"/>
    <mergeCell ref="B194:C194"/>
    <mergeCell ref="K217:O217"/>
    <mergeCell ref="A17:M17"/>
    <mergeCell ref="S21:Z21"/>
    <mergeCell ref="U66:W66"/>
    <mergeCell ref="U53:W53"/>
    <mergeCell ref="N142:Q142"/>
    <mergeCell ref="K204:M204"/>
    <mergeCell ref="U68:W68"/>
    <mergeCell ref="O20:P20"/>
    <mergeCell ref="O22:P22"/>
    <mergeCell ref="X59:AC59"/>
    <mergeCell ref="O205:S205"/>
    <mergeCell ref="S10:Z10"/>
    <mergeCell ref="C179:H179"/>
    <mergeCell ref="A12:M12"/>
    <mergeCell ref="B216:C216"/>
    <mergeCell ref="U45:Z45"/>
    <mergeCell ref="A106:M106"/>
    <mergeCell ref="D247:K247"/>
    <mergeCell ref="F212:J212"/>
    <mergeCell ref="G220:I220"/>
    <mergeCell ref="O33:P33"/>
    <mergeCell ref="U56:W56"/>
    <mergeCell ref="X74:AC74"/>
    <mergeCell ref="D249:K249"/>
    <mergeCell ref="X68:AC68"/>
    <mergeCell ref="F214:J214"/>
    <mergeCell ref="G222:I222"/>
    <mergeCell ref="O51:T51"/>
    <mergeCell ref="X51:AC51"/>
    <mergeCell ref="S23:Z23"/>
    <mergeCell ref="O197:S197"/>
    <mergeCell ref="U67:W67"/>
    <mergeCell ref="K206:M206"/>
    <mergeCell ref="O201:S201"/>
    <mergeCell ref="B237:D237"/>
    <mergeCell ref="A69:M69"/>
    <mergeCell ref="K220:O220"/>
    <mergeCell ref="U69:W69"/>
    <mergeCell ref="Q247:R247"/>
    <mergeCell ref="B201:C201"/>
    <mergeCell ref="K222:O222"/>
    <mergeCell ref="X67:AC67"/>
    <mergeCell ref="X61:AC61"/>
    <mergeCell ref="K221:O221"/>
    <mergeCell ref="B203:C203"/>
    <mergeCell ref="B217:E217"/>
    <mergeCell ref="B253:D253"/>
    <mergeCell ref="K223:O223"/>
    <mergeCell ref="X62:AC62"/>
    <mergeCell ref="C180:H180"/>
    <mergeCell ref="O44:Q44"/>
    <mergeCell ref="O69:T69"/>
    <mergeCell ref="B215:C215"/>
    <mergeCell ref="X64:AC64"/>
    <mergeCell ref="R42:T42"/>
    <mergeCell ref="O210:S210"/>
    <mergeCell ref="F243:K243"/>
    <mergeCell ref="S17:Z17"/>
    <mergeCell ref="C169:H169"/>
    <mergeCell ref="U62:W62"/>
    <mergeCell ref="AA46:AC46"/>
    <mergeCell ref="S11:Z11"/>
    <mergeCell ref="F259:K259"/>
    <mergeCell ref="G225:L225"/>
    <mergeCell ref="O64:T64"/>
    <mergeCell ref="O35:P35"/>
    <mergeCell ref="U64:W64"/>
    <mergeCell ref="O193:S193"/>
    <mergeCell ref="A51:M51"/>
    <mergeCell ref="R46:T46"/>
    <mergeCell ref="U51:W51"/>
    <mergeCell ref="F261:K261"/>
    <mergeCell ref="G221:I221"/>
    <mergeCell ref="O72:T72"/>
    <mergeCell ref="AA8:AC8"/>
    <mergeCell ref="G123:H123"/>
    <mergeCell ref="G223:I223"/>
    <mergeCell ref="AA10:AC10"/>
    <mergeCell ref="C187:H187"/>
    <mergeCell ref="O209:S209"/>
    <mergeCell ref="O203:S203"/>
    <mergeCell ref="S32:Z32"/>
    <mergeCell ref="AA39:AC39"/>
    <mergeCell ref="B209:C209"/>
    <mergeCell ref="O54:T54"/>
    <mergeCell ref="U75:W75"/>
    <mergeCell ref="O204:S204"/>
    <mergeCell ref="F208:J208"/>
    <mergeCell ref="O29:P29"/>
    <mergeCell ref="O31:P31"/>
    <mergeCell ref="AA21:AC21"/>
    <mergeCell ref="X72:AC72"/>
    <mergeCell ref="O67:T67"/>
    <mergeCell ref="AA32:AC32"/>
    <mergeCell ref="A61:M61"/>
    <mergeCell ref="S19:Z19"/>
    <mergeCell ref="AA23:AC23"/>
    <mergeCell ref="B152:K152"/>
    <mergeCell ref="C185:H185"/>
    <mergeCell ref="S20:Z20"/>
    <mergeCell ref="U65:W65"/>
    <mergeCell ref="A56:M56"/>
    <mergeCell ref="B258:K258"/>
    <mergeCell ref="B147:K147"/>
    <mergeCell ref="S22:Z22"/>
    <mergeCell ref="F196:J196"/>
    <mergeCell ref="B199:C199"/>
    <mergeCell ref="O9:P9"/>
    <mergeCell ref="B243:D243"/>
    <mergeCell ref="C188:H188"/>
    <mergeCell ref="L241:O241"/>
    <mergeCell ref="O62:T62"/>
    <mergeCell ref="O56:T56"/>
    <mergeCell ref="AA18:AC18"/>
    <mergeCell ref="O206:S206"/>
    <mergeCell ref="B252:E252"/>
    <mergeCell ref="AA11:AC11"/>
    <mergeCell ref="F209:J209"/>
    <mergeCell ref="O57:T57"/>
    <mergeCell ref="S33:Z33"/>
    <mergeCell ref="AA29:AC29"/>
    <mergeCell ref="F211:J211"/>
    <mergeCell ref="R44:T44"/>
    <mergeCell ref="S35:Z35"/>
    <mergeCell ref="G219:I219"/>
    <mergeCell ref="AA44:AC44"/>
    <mergeCell ref="AA24:AC24"/>
    <mergeCell ref="C176:H176"/>
    <mergeCell ref="O75:T75"/>
    <mergeCell ref="A91:M91"/>
    <mergeCell ref="G217:J217"/>
    <mergeCell ref="C178:H178"/>
    <mergeCell ref="B153:K153"/>
    <mergeCell ref="F204:J204"/>
    <mergeCell ref="F198:J198"/>
    <mergeCell ref="O70:T70"/>
    <mergeCell ref="AA42:AC42"/>
    <mergeCell ref="L246:AA246"/>
    <mergeCell ref="AA17:AC17"/>
    <mergeCell ref="F199:J199"/>
    <mergeCell ref="K196:M196"/>
    <mergeCell ref="U44:Z44"/>
    <mergeCell ref="O12:P12"/>
    <mergeCell ref="L248:AA248"/>
    <mergeCell ref="AA19:AC19"/>
    <mergeCell ref="U59:W59"/>
    <mergeCell ref="B148:K148"/>
    <mergeCell ref="K198:M198"/>
    <mergeCell ref="O14:P14"/>
    <mergeCell ref="L236:O236"/>
    <mergeCell ref="U61:W61"/>
    <mergeCell ref="O13:P13"/>
    <mergeCell ref="O15:P15"/>
    <mergeCell ref="B193:C193"/>
    <mergeCell ref="R45:T45"/>
    <mergeCell ref="B247:C247"/>
    <mergeCell ref="B192:S192"/>
    <mergeCell ref="O25:P25"/>
    <mergeCell ref="U38:Z38"/>
    <mergeCell ref="L239:O239"/>
    <mergeCell ref="B211:C211"/>
    <mergeCell ref="U40:Z40"/>
    <mergeCell ref="O7:AC7"/>
    <mergeCell ref="O8:P8"/>
    <mergeCell ref="Q241:U241"/>
    <mergeCell ref="R38:T38"/>
    <mergeCell ref="U49:W49"/>
    <mergeCell ref="A101:M101"/>
    <mergeCell ref="O39:Q39"/>
    <mergeCell ref="F207:J207"/>
    <mergeCell ref="R40:T40"/>
    <mergeCell ref="B212:C212"/>
    <mergeCell ref="B206:C206"/>
    <mergeCell ref="S16:Z16"/>
    <mergeCell ref="AA45:AC45"/>
    <mergeCell ref="AA20:AC20"/>
    <mergeCell ref="F202:J202"/>
    <mergeCell ref="K199:M199"/>
    <mergeCell ref="A112:M112"/>
    <mergeCell ref="S18:Z18"/>
    <mergeCell ref="AA35:AC35"/>
    <mergeCell ref="N139:Q139"/>
    <mergeCell ref="L237:O237"/>
    <mergeCell ref="K207:M207"/>
    <mergeCell ref="U54:W54"/>
    <mergeCell ref="N138:Q138"/>
    <mergeCell ref="H139:M139"/>
    <mergeCell ref="K200:M200"/>
    <mergeCell ref="X54:AC54"/>
    <mergeCell ref="O21:P21"/>
    <mergeCell ref="B196:C196"/>
    <mergeCell ref="N140:Q140"/>
    <mergeCell ref="K202:M202"/>
    <mergeCell ref="F241:K241"/>
    <mergeCell ref="X56:AC56"/>
    <mergeCell ref="S9:Z9"/>
    <mergeCell ref="L235:U235"/>
    <mergeCell ref="AA38:AC38"/>
    <mergeCell ref="U46:Z46"/>
    <mergeCell ref="AA40:AC40"/>
    <mergeCell ref="X57:AC57"/>
    <mergeCell ref="A168:I168"/>
    <mergeCell ref="F236:K236"/>
    <mergeCell ref="D250:K250"/>
    <mergeCell ref="AA33:AC33"/>
    <mergeCell ref="L240:O240"/>
    <mergeCell ref="C177:H177"/>
    <mergeCell ref="A8:M8"/>
    <mergeCell ref="O34:P34"/>
    <mergeCell ref="O28:P28"/>
    <mergeCell ref="S12:Z12"/>
    <mergeCell ref="U41:Z41"/>
    <mergeCell ref="U57:W57"/>
    <mergeCell ref="B214:C214"/>
    <mergeCell ref="K195:M195"/>
    <mergeCell ref="O30:P30"/>
    <mergeCell ref="U43:Z43"/>
    <mergeCell ref="R41:T41"/>
    <mergeCell ref="B255:D255"/>
    <mergeCell ref="O42:Q42"/>
    <mergeCell ref="U52:W52"/>
    <mergeCell ref="X75:AC75"/>
    <mergeCell ref="R43:T43"/>
    <mergeCell ref="O60:T60"/>
    <mergeCell ref="G218:I218"/>
    <mergeCell ref="O196:S196"/>
    <mergeCell ref="O198:S198"/>
    <mergeCell ref="X70:AC70"/>
    <mergeCell ref="C175:H175"/>
    <mergeCell ref="B204:C204"/>
    <mergeCell ref="O23:P23"/>
    <mergeCell ref="B198:C198"/>
    <mergeCell ref="L247:M247"/>
    <mergeCell ref="U70:W70"/>
    <mergeCell ref="O199:S199"/>
    <mergeCell ref="K218:O218"/>
    <mergeCell ref="F242:K242"/>
    <mergeCell ref="A23:M23"/>
    <mergeCell ref="K208:M208"/>
    <mergeCell ref="O65:T65"/>
    <mergeCell ref="B202:C202"/>
    <mergeCell ref="O24:P24"/>
    <mergeCell ref="O18:P18"/>
    <mergeCell ref="X65:AC65"/>
    <mergeCell ref="F244:K244"/>
    <mergeCell ref="AA41:AC41"/>
    <mergeCell ref="AA16:AC16"/>
    <mergeCell ref="K219:O219"/>
    <mergeCell ref="X58:AC58"/>
    <mergeCell ref="O40:Q40"/>
    <mergeCell ref="X50:AC50"/>
    <mergeCell ref="S14:Z14"/>
    <mergeCell ref="A83:M83"/>
    <mergeCell ref="X60:AC60"/>
    <mergeCell ref="F239:K239"/>
    <mergeCell ref="S13:Z13"/>
    <mergeCell ref="C170:H170"/>
    <mergeCell ref="N143:Q143"/>
    <mergeCell ref="U60:W60"/>
    <mergeCell ref="S15:Z15"/>
    <mergeCell ref="AA22:AC22"/>
    <mergeCell ref="P217:S217"/>
    <mergeCell ref="P234:Q234"/>
    <mergeCell ref="B236:D236"/>
    <mergeCell ref="AA9:AC9"/>
    <mergeCell ref="O45:Q45"/>
    <mergeCell ref="D123:E123"/>
  </mergeCells>
  <conditionalFormatting sqref="Q223:Q230">
    <cfRule type="cellIs" priority="1" operator="greaterThan" dxfId="0">
      <formula>0.035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4"/>
  <sheetViews>
    <sheetView zoomScale="11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4" customWidth="1" min="1" max="1"/>
    <col width="11.29" customWidth="1" min="2" max="2"/>
    <col width="11.29" customWidth="1" min="3" max="3"/>
    <col width="11.29" customWidth="1" min="4" max="4"/>
    <col width="11.29" customWidth="1" min="5" max="5"/>
    <col width="11.29" customWidth="1" min="6" max="6"/>
    <col width="11.29" customWidth="1" min="7" max="7"/>
    <col width="11.29" customWidth="1" min="8" max="8"/>
    <col width="11.29" customWidth="1" min="9" max="9"/>
  </cols>
  <sheetData>
    <row r="1">
      <c r="A1" s="22" t="inlineStr">
        <is>
          <t>Balance Sheet &amp; Segments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</row>
    <row r="2"/>
    <row r="3">
      <c r="A3" s="171" t="inlineStr">
        <is>
          <t>QA: A=L+E PASS | Debt N/A | Cash PASS | Quarterly Seg N/A | Annual Seg PASS</t>
        </is>
      </c>
    </row>
    <row r="4" ht="24" customHeight="1">
      <c r="A4" s="172" t="inlineStr">
        <is>
          <t>Balance sheet &amp; Segments</t>
        </is>
      </c>
    </row>
    <row r="5" ht="18" customHeight="1">
      <c r="A5" s="173" t="n"/>
    </row>
    <row r="6" ht="19.5" customHeight="1">
      <c r="A6" s="174" t="n"/>
      <c r="B6" s="34" t="inlineStr">
        <is>
          <t>Actuals</t>
        </is>
      </c>
      <c r="C6" s="104" t="n"/>
      <c r="D6" s="104" t="n"/>
      <c r="E6" s="104" t="n"/>
      <c r="F6" s="104" t="n"/>
      <c r="G6" s="104" t="n"/>
      <c r="H6" s="104" t="n"/>
      <c r="I6" s="105" t="n"/>
    </row>
    <row r="7" ht="19.5" customHeight="1">
      <c r="A7" s="176" t="inlineStr">
        <is>
          <t>Quarter</t>
        </is>
      </c>
      <c r="B7" s="34" t="n"/>
      <c r="C7" s="34" t="n"/>
      <c r="D7" s="34" t="n"/>
      <c r="E7" s="34" t="n"/>
      <c r="F7" s="34" t="n"/>
      <c r="G7" s="34" t="n"/>
      <c r="H7" s="34" t="n"/>
      <c r="I7" s="34" t="n"/>
    </row>
    <row r="8" ht="18" customHeight="1">
      <c r="A8" s="177" t="inlineStr">
        <is>
          <t>Liquidity / Assets</t>
        </is>
      </c>
      <c r="B8" s="178" t="n"/>
      <c r="C8" s="178" t="n"/>
      <c r="D8" s="178" t="n"/>
      <c r="E8" s="178" t="n"/>
      <c r="F8" s="178" t="n"/>
      <c r="G8" s="178" t="n"/>
      <c r="H8" s="178" t="n"/>
      <c r="I8" s="178" t="n"/>
    </row>
    <row r="9" ht="18" customHeight="1">
      <c r="A9" s="179" t="inlineStr">
        <is>
          <t>Cash &amp; cash equivalents</t>
        </is>
      </c>
      <c r="B9" s="395" t="n"/>
      <c r="C9" s="395" t="n"/>
      <c r="D9" s="395" t="n"/>
      <c r="E9" s="395" t="n"/>
      <c r="F9" s="395" t="n"/>
      <c r="G9" s="395" t="n"/>
      <c r="H9" s="395" t="n"/>
      <c r="I9" s="395" t="n"/>
    </row>
    <row r="10" ht="18" customHeight="1">
      <c r="A10" s="179" t="inlineStr">
        <is>
          <t>Restricted cash</t>
        </is>
      </c>
      <c r="B10" s="395" t="n"/>
      <c r="C10" s="395" t="n"/>
      <c r="D10" s="395" t="n"/>
      <c r="E10" s="395" t="n"/>
      <c r="F10" s="395" t="n"/>
      <c r="G10" s="395" t="n"/>
      <c r="H10" s="395" t="n"/>
      <c r="I10" s="395" t="n"/>
    </row>
    <row r="11" ht="18" customHeight="1">
      <c r="A11" s="179" t="inlineStr">
        <is>
          <t>Total cash + restricted cash</t>
        </is>
      </c>
      <c r="B11" s="395" t="n"/>
      <c r="C11" s="395" t="n"/>
      <c r="D11" s="395" t="n"/>
      <c r="E11" s="395" t="n"/>
      <c r="F11" s="395" t="n"/>
      <c r="G11" s="395" t="n"/>
      <c r="H11" s="395" t="n"/>
      <c r="I11" s="395" t="n"/>
    </row>
    <row r="12" ht="18" customHeight="1">
      <c r="A12" s="179" t="inlineStr">
        <is>
          <t>Δ Cash QoQ ($m)</t>
        </is>
      </c>
      <c r="B12" s="395" t="n"/>
      <c r="C12" s="395" t="n"/>
      <c r="D12" s="395" t="n"/>
      <c r="E12" s="395" t="n"/>
      <c r="F12" s="395" t="n"/>
      <c r="G12" s="395" t="n"/>
      <c r="H12" s="395" t="n"/>
      <c r="I12" s="395" t="n"/>
    </row>
    <row r="13" ht="18" customHeight="1">
      <c r="A13" s="179" t="inlineStr">
        <is>
          <t>Short-term investments</t>
        </is>
      </c>
      <c r="B13" s="395" t="n"/>
      <c r="C13" s="395" t="n"/>
      <c r="D13" s="395" t="n"/>
      <c r="E13" s="395" t="n"/>
      <c r="F13" s="395" t="n"/>
      <c r="G13" s="395" t="n"/>
      <c r="H13" s="395" t="n"/>
      <c r="I13" s="395" t="n"/>
    </row>
    <row r="14" ht="18" customHeight="1">
      <c r="A14" s="179" t="inlineStr">
        <is>
          <t>Accounts receivable (net)</t>
        </is>
      </c>
      <c r="B14" s="395" t="n"/>
      <c r="C14" s="395" t="n"/>
      <c r="D14" s="395" t="n"/>
      <c r="E14" s="395" t="n"/>
      <c r="F14" s="395" t="n"/>
      <c r="G14" s="395" t="n"/>
      <c r="H14" s="395" t="n"/>
      <c r="I14" s="395" t="n"/>
    </row>
    <row r="15" ht="18" customHeight="1">
      <c r="A15" s="179" t="inlineStr">
        <is>
          <t>Inventory</t>
        </is>
      </c>
      <c r="B15" s="395" t="n"/>
      <c r="C15" s="395" t="n"/>
      <c r="D15" s="395" t="n"/>
      <c r="E15" s="395" t="n"/>
      <c r="F15" s="395" t="n"/>
      <c r="G15" s="395" t="n"/>
      <c r="H15" s="395" t="n"/>
      <c r="I15" s="395" t="n"/>
    </row>
    <row r="16" ht="18" customHeight="1">
      <c r="A16" s="179" t="inlineStr">
        <is>
          <t>Derivative financial instruments (asset)</t>
        </is>
      </c>
      <c r="B16" s="395" t="n"/>
      <c r="C16" s="395" t="n"/>
      <c r="D16" s="395" t="n"/>
      <c r="E16" s="395" t="n"/>
      <c r="F16" s="395" t="n"/>
      <c r="G16" s="395" t="n"/>
      <c r="H16" s="395" t="n"/>
      <c r="I16" s="395" t="n"/>
    </row>
    <row r="17" ht="18" customHeight="1">
      <c r="A17" s="179" t="inlineStr">
        <is>
          <t>Prepaid &amp; other current assets</t>
        </is>
      </c>
      <c r="B17" s="395" t="n"/>
      <c r="C17" s="395" t="n"/>
      <c r="D17" s="395" t="n"/>
      <c r="E17" s="395" t="n"/>
      <c r="F17" s="395" t="n"/>
      <c r="G17" s="395" t="n"/>
      <c r="H17" s="395" t="n"/>
      <c r="I17" s="395" t="n"/>
    </row>
    <row r="18" ht="18" customHeight="1">
      <c r="A18" s="179" t="inlineStr">
        <is>
          <t>Total current assets</t>
        </is>
      </c>
      <c r="B18" s="395" t="n"/>
      <c r="C18" s="395" t="n"/>
      <c r="D18" s="395" t="n"/>
      <c r="E18" s="395" t="n"/>
      <c r="F18" s="395" t="n"/>
      <c r="G18" s="395" t="n"/>
      <c r="H18" s="395" t="n"/>
      <c r="I18" s="395" t="n"/>
    </row>
    <row r="19" ht="18" customHeight="1">
      <c r="A19" s="179" t="inlineStr">
        <is>
          <t>Property, plant &amp; equipment (net)</t>
        </is>
      </c>
      <c r="B19" s="395" t="n"/>
      <c r="C19" s="395" t="n"/>
      <c r="D19" s="395" t="n"/>
      <c r="E19" s="395" t="n"/>
      <c r="F19" s="395" t="n"/>
      <c r="G19" s="395" t="n"/>
      <c r="H19" s="395" t="n"/>
      <c r="I19" s="395" t="n"/>
    </row>
    <row r="20" ht="18" customHeight="1">
      <c r="A20" s="179" t="inlineStr">
        <is>
          <t>Operating lease right-of-use assets</t>
        </is>
      </c>
      <c r="B20" s="395" t="n"/>
      <c r="C20" s="395" t="n"/>
      <c r="D20" s="395" t="n"/>
      <c r="E20" s="395" t="n"/>
      <c r="F20" s="395" t="n"/>
      <c r="G20" s="395" t="n"/>
      <c r="H20" s="395" t="n"/>
      <c r="I20" s="395" t="n"/>
    </row>
    <row r="21" ht="18" customHeight="1">
      <c r="A21" s="179" t="inlineStr">
        <is>
          <t>Deferred income taxes, net</t>
        </is>
      </c>
      <c r="B21" s="395" t="n"/>
      <c r="C21" s="395" t="n"/>
      <c r="D21" s="395" t="n"/>
      <c r="E21" s="395" t="n"/>
      <c r="F21" s="395" t="n"/>
      <c r="G21" s="395" t="n"/>
      <c r="H21" s="395" t="n"/>
      <c r="I21" s="395" t="n"/>
    </row>
    <row r="22" ht="18" customHeight="1">
      <c r="A22" s="179" t="inlineStr">
        <is>
          <t>Goodwill</t>
        </is>
      </c>
      <c r="B22" s="395" t="n"/>
      <c r="C22" s="395" t="n"/>
      <c r="D22" s="395" t="n"/>
      <c r="E22" s="395" t="n"/>
      <c r="F22" s="395" t="n"/>
      <c r="G22" s="395" t="n"/>
      <c r="H22" s="395" t="n"/>
      <c r="I22" s="395" t="n"/>
    </row>
    <row r="23" ht="18" customHeight="1">
      <c r="A23" s="179" t="inlineStr">
        <is>
          <t>Intangibles (net)</t>
        </is>
      </c>
      <c r="B23" s="395" t="n"/>
      <c r="C23" s="395" t="n"/>
      <c r="D23" s="395" t="n"/>
      <c r="E23" s="395" t="n"/>
      <c r="F23" s="395" t="n"/>
      <c r="G23" s="395" t="n"/>
      <c r="H23" s="395" t="n"/>
      <c r="I23" s="395" t="n"/>
    </row>
    <row r="24" ht="18" customHeight="1">
      <c r="A24" s="179" t="inlineStr">
        <is>
          <t>Other long-term assets</t>
        </is>
      </c>
      <c r="B24" s="395" t="n"/>
      <c r="C24" s="395" t="n"/>
      <c r="D24" s="395" t="n"/>
      <c r="E24" s="395" t="n"/>
      <c r="F24" s="395" t="n"/>
      <c r="G24" s="395" t="n"/>
      <c r="H24" s="395" t="n"/>
      <c r="I24" s="395" t="n"/>
    </row>
    <row r="25" ht="18" customHeight="1">
      <c r="A25" s="179" t="inlineStr">
        <is>
          <t>Total assets</t>
        </is>
      </c>
      <c r="B25" s="395" t="n"/>
      <c r="C25" s="395" t="n"/>
      <c r="D25" s="395" t="n"/>
      <c r="E25" s="395" t="n"/>
      <c r="F25" s="395" t="n"/>
      <c r="G25" s="395" t="n"/>
      <c r="H25" s="395" t="n"/>
      <c r="I25" s="395" t="n"/>
    </row>
    <row r="26" ht="18" customHeight="1">
      <c r="A26" s="179" t="inlineStr">
        <is>
          <t>Goodwill % of assets</t>
        </is>
      </c>
      <c r="B26" s="186" t="n"/>
      <c r="C26" s="186" t="n"/>
      <c r="D26" s="186" t="n"/>
      <c r="E26" s="186" t="n"/>
      <c r="F26" s="186" t="n"/>
      <c r="G26" s="186" t="n"/>
      <c r="H26" s="186" t="n"/>
      <c r="I26" s="186" t="n"/>
    </row>
    <row r="27" ht="18" customHeight="1">
      <c r="A27" s="177" t="inlineStr">
        <is>
          <t>Liabilities</t>
        </is>
      </c>
      <c r="B27" s="178" t="n"/>
      <c r="C27" s="178" t="n"/>
      <c r="D27" s="178" t="n"/>
      <c r="E27" s="178" t="n"/>
      <c r="F27" s="178" t="n"/>
      <c r="G27" s="178" t="n"/>
      <c r="H27" s="178" t="n"/>
      <c r="I27" s="178" t="n"/>
    </row>
    <row r="28" ht="18" customHeight="1">
      <c r="A28" s="179" t="inlineStr">
        <is>
          <t>Accounts payable</t>
        </is>
      </c>
      <c r="B28" s="395" t="n"/>
      <c r="C28" s="395" t="n"/>
      <c r="D28" s="395" t="n"/>
      <c r="E28" s="395" t="n"/>
      <c r="F28" s="395" t="n"/>
      <c r="G28" s="395" t="n"/>
      <c r="H28" s="395" t="n"/>
      <c r="I28" s="395" t="n"/>
    </row>
    <row r="29" ht="18" customHeight="1">
      <c r="A29" s="179" t="inlineStr">
        <is>
          <t>Accrued liabilities</t>
        </is>
      </c>
      <c r="B29" s="395" t="n"/>
      <c r="C29" s="395" t="n"/>
      <c r="D29" s="395" t="n"/>
      <c r="E29" s="395" t="n"/>
      <c r="F29" s="395" t="n"/>
      <c r="G29" s="395" t="n"/>
      <c r="H29" s="395" t="n"/>
      <c r="I29" s="395" t="n"/>
    </row>
    <row r="30" ht="18" customHeight="1">
      <c r="A30" s="179" t="inlineStr">
        <is>
          <t>Deferred revenue / customer deposits</t>
        </is>
      </c>
      <c r="B30" s="395" t="n"/>
      <c r="C30" s="395" t="n"/>
      <c r="D30" s="395" t="n"/>
      <c r="E30" s="395" t="n"/>
      <c r="F30" s="395" t="n"/>
      <c r="G30" s="395" t="n"/>
      <c r="H30" s="395" t="n"/>
      <c r="I30" s="395" t="n"/>
    </row>
    <row r="31" ht="18" customHeight="1">
      <c r="A31" s="179" t="inlineStr">
        <is>
          <t>Derivative financial instruments (liability)</t>
        </is>
      </c>
      <c r="B31" s="395" t="n"/>
      <c r="C31" s="395" t="n"/>
      <c r="D31" s="395" t="n"/>
      <c r="E31" s="395" t="n"/>
      <c r="F31" s="395" t="n"/>
      <c r="G31" s="395" t="n"/>
      <c r="H31" s="395" t="n"/>
      <c r="I31" s="395" t="n"/>
    </row>
    <row r="32" ht="18" customHeight="1">
      <c r="A32" s="179" t="inlineStr">
        <is>
          <t>Short-term notes payable and other borrowings</t>
        </is>
      </c>
      <c r="B32" s="395" t="n"/>
      <c r="C32" s="395" t="n"/>
      <c r="D32" s="395" t="n"/>
      <c r="E32" s="395" t="n"/>
      <c r="F32" s="395" t="n"/>
      <c r="G32" s="395" t="n"/>
      <c r="H32" s="395" t="n"/>
      <c r="I32" s="395" t="n"/>
    </row>
    <row r="33" ht="18" customHeight="1">
      <c r="A33" s="179" t="inlineStr">
        <is>
          <t>Current maturities of long-term debt</t>
        </is>
      </c>
      <c r="B33" s="395" t="n"/>
      <c r="C33" s="395" t="n"/>
      <c r="D33" s="395" t="n"/>
      <c r="E33" s="395" t="n"/>
      <c r="F33" s="395" t="n"/>
      <c r="G33" s="395" t="n"/>
      <c r="H33" s="395" t="n"/>
      <c r="I33" s="395" t="n"/>
    </row>
    <row r="34" ht="18" customHeight="1">
      <c r="A34" s="179" t="inlineStr">
        <is>
          <t>Operating lease current liabilities</t>
        </is>
      </c>
      <c r="B34" s="395" t="n"/>
      <c r="C34" s="395" t="n"/>
      <c r="D34" s="395" t="n"/>
      <c r="E34" s="395" t="n"/>
      <c r="F34" s="395" t="n"/>
      <c r="G34" s="395" t="n"/>
      <c r="H34" s="395" t="n"/>
      <c r="I34" s="395" t="n"/>
    </row>
    <row r="35" ht="18" customHeight="1">
      <c r="A35" s="179" t="inlineStr">
        <is>
          <t>Total current liabilities</t>
        </is>
      </c>
      <c r="B35" s="395" t="n"/>
      <c r="C35" s="395" t="n"/>
      <c r="D35" s="395" t="n"/>
      <c r="E35" s="395" t="n"/>
      <c r="F35" s="395" t="n"/>
      <c r="G35" s="395" t="n"/>
      <c r="H35" s="395" t="n"/>
      <c r="I35" s="395" t="n"/>
    </row>
    <row r="36" ht="18" customHeight="1">
      <c r="A36" s="179" t="inlineStr">
        <is>
          <t>Net working capital</t>
        </is>
      </c>
      <c r="B36" s="395" t="n"/>
      <c r="C36" s="395" t="n"/>
      <c r="D36" s="395" t="n"/>
      <c r="E36" s="395" t="n"/>
      <c r="F36" s="395" t="n"/>
      <c r="G36" s="395" t="n"/>
      <c r="H36" s="395" t="n"/>
      <c r="I36" s="395" t="n"/>
    </row>
    <row r="37" ht="18" customHeight="1">
      <c r="A37" s="179" t="inlineStr">
        <is>
          <t>Δ NWC QoQ</t>
        </is>
      </c>
      <c r="B37" s="395" t="n"/>
      <c r="C37" s="395" t="n"/>
      <c r="D37" s="395" t="n"/>
      <c r="E37" s="395" t="n"/>
      <c r="F37" s="395" t="n"/>
      <c r="G37" s="395" t="n"/>
      <c r="H37" s="395" t="n"/>
      <c r="I37" s="395" t="n"/>
    </row>
    <row r="38" ht="18" customHeight="1">
      <c r="A38" s="179" t="inlineStr">
        <is>
          <t>Current ratio</t>
        </is>
      </c>
      <c r="B38" s="398" t="n"/>
      <c r="C38" s="398" t="n"/>
      <c r="D38" s="398" t="n"/>
      <c r="E38" s="398" t="n"/>
      <c r="F38" s="398" t="n"/>
      <c r="G38" s="398" t="n"/>
      <c r="H38" s="398" t="n"/>
      <c r="I38" s="398" t="n"/>
    </row>
    <row r="39" ht="18" customHeight="1">
      <c r="A39" s="179" t="inlineStr">
        <is>
          <t>Quick ratio</t>
        </is>
      </c>
      <c r="B39" s="398" t="n"/>
      <c r="C39" s="398" t="n"/>
      <c r="D39" s="398" t="n"/>
      <c r="E39" s="398" t="n"/>
      <c r="F39" s="398" t="n"/>
      <c r="G39" s="398" t="n"/>
      <c r="H39" s="398" t="n"/>
      <c r="I39" s="398" t="n"/>
    </row>
    <row r="40" ht="18" customHeight="1">
      <c r="A40" s="179" t="inlineStr">
        <is>
          <t>Long-term debt</t>
        </is>
      </c>
      <c r="B40" s="395" t="n"/>
      <c r="C40" s="395" t="n"/>
      <c r="D40" s="395" t="n"/>
      <c r="E40" s="395" t="n"/>
      <c r="F40" s="395" t="n"/>
      <c r="G40" s="395" t="n"/>
      <c r="H40" s="395" t="n"/>
      <c r="I40" s="395" t="n"/>
    </row>
    <row r="41" ht="18" customHeight="1">
      <c r="A41" s="179" t="inlineStr">
        <is>
          <t>Δ Total debt QoQ ($m)</t>
        </is>
      </c>
      <c r="B41" s="395" t="n"/>
      <c r="C41" s="395" t="n"/>
      <c r="D41" s="395" t="n"/>
      <c r="E41" s="395" t="n"/>
      <c r="F41" s="395" t="n"/>
      <c r="G41" s="395" t="n"/>
      <c r="H41" s="395" t="n"/>
      <c r="I41" s="395" t="n"/>
    </row>
    <row r="42" ht="18" customHeight="1">
      <c r="A42" s="179" t="inlineStr">
        <is>
          <t>Operating lease long-term liabilities</t>
        </is>
      </c>
      <c r="B42" s="395" t="n"/>
      <c r="C42" s="395" t="n"/>
      <c r="D42" s="395" t="n"/>
      <c r="E42" s="395" t="n"/>
      <c r="F42" s="395" t="n"/>
      <c r="G42" s="395" t="n"/>
      <c r="H42" s="395" t="n"/>
      <c r="I42" s="395" t="n"/>
    </row>
    <row r="43" ht="18" customHeight="1">
      <c r="A43" s="179" t="inlineStr">
        <is>
          <t>Pension / OPEB obligation (net)</t>
        </is>
      </c>
      <c r="B43" s="395" t="n"/>
      <c r="C43" s="395" t="n"/>
      <c r="D43" s="395" t="n"/>
      <c r="E43" s="395" t="n"/>
      <c r="F43" s="395" t="n"/>
      <c r="G43" s="395" t="n"/>
      <c r="H43" s="395" t="n"/>
      <c r="I43" s="395" t="n"/>
    </row>
    <row r="44" ht="18" customHeight="1">
      <c r="A44" s="179" t="inlineStr">
        <is>
          <t>Other long-term liabilities</t>
        </is>
      </c>
      <c r="B44" s="395" t="n"/>
      <c r="C44" s="395" t="n"/>
      <c r="D44" s="395" t="n"/>
      <c r="E44" s="395" t="n"/>
      <c r="F44" s="395" t="n"/>
      <c r="G44" s="395" t="n"/>
      <c r="H44" s="395" t="n"/>
      <c r="I44" s="395" t="n"/>
    </row>
    <row r="45" ht="18" customHeight="1">
      <c r="A45" s="179" t="inlineStr">
        <is>
          <t>Total liabilities</t>
        </is>
      </c>
      <c r="B45" s="395" t="n"/>
      <c r="C45" s="395" t="n"/>
      <c r="D45" s="395" t="n"/>
      <c r="E45" s="395" t="n"/>
      <c r="F45" s="395" t="n"/>
      <c r="G45" s="395" t="n"/>
      <c r="H45" s="395" t="n"/>
      <c r="I45" s="395" t="n"/>
    </row>
    <row r="46" ht="18" customHeight="1">
      <c r="A46" s="177" t="inlineStr">
        <is>
          <t>Equity</t>
        </is>
      </c>
      <c r="B46" s="178" t="n"/>
      <c r="C46" s="178" t="n"/>
      <c r="D46" s="178" t="n"/>
      <c r="E46" s="178" t="n"/>
      <c r="F46" s="178" t="n"/>
      <c r="G46" s="178" t="n"/>
      <c r="H46" s="178" t="n"/>
      <c r="I46" s="178" t="n"/>
    </row>
    <row r="47" ht="18" customHeight="1">
      <c r="A47" s="179" t="inlineStr">
        <is>
          <t>Total equity</t>
        </is>
      </c>
      <c r="B47" s="395" t="n"/>
      <c r="C47" s="395" t="n"/>
      <c r="D47" s="395" t="n"/>
      <c r="E47" s="395" t="n"/>
      <c r="F47" s="395" t="n"/>
      <c r="G47" s="395" t="n"/>
      <c r="H47" s="395" t="n"/>
      <c r="I47" s="395" t="n"/>
    </row>
    <row r="48" ht="18" customHeight="1">
      <c r="A48" s="179" t="inlineStr">
        <is>
          <t>Shares outstanding (m)</t>
        </is>
      </c>
      <c r="B48" s="190" t="n"/>
      <c r="C48" s="190" t="n"/>
      <c r="D48" s="190" t="n"/>
      <c r="E48" s="190" t="n"/>
      <c r="F48" s="190" t="n"/>
      <c r="G48" s="190" t="n"/>
      <c r="H48" s="190" t="n"/>
      <c r="I48" s="190" t="n"/>
    </row>
    <row r="49" ht="18" customHeight="1">
      <c r="A49" s="179" t="inlineStr">
        <is>
          <t>Shares diluted (m)</t>
        </is>
      </c>
      <c r="B49" s="190" t="n"/>
      <c r="C49" s="190" t="n"/>
      <c r="D49" s="190" t="n"/>
      <c r="E49" s="190" t="n"/>
      <c r="F49" s="190" t="n"/>
      <c r="G49" s="190" t="n"/>
      <c r="H49" s="190" t="n"/>
      <c r="I49" s="190" t="n"/>
    </row>
    <row r="50" ht="18" customHeight="1">
      <c r="A50" s="177" t="n"/>
      <c r="B50" s="178" t="n"/>
      <c r="C50" s="178" t="n"/>
      <c r="D50" s="178" t="n"/>
      <c r="E50" s="178" t="n"/>
      <c r="F50" s="178" t="n"/>
      <c r="G50" s="178" t="n"/>
      <c r="H50" s="178" t="n"/>
      <c r="I50" s="178" t="n"/>
    </row>
    <row r="51" ht="18" customHeight="1">
      <c r="A51" s="179" t="inlineStr">
        <is>
          <t>Inventory YoY</t>
        </is>
      </c>
      <c r="B51" s="186" t="n"/>
      <c r="C51" s="186" t="n"/>
      <c r="D51" s="186" t="n"/>
      <c r="E51" s="186" t="n"/>
      <c r="F51" s="186" t="n"/>
      <c r="G51" s="186" t="n"/>
      <c r="H51" s="186" t="n"/>
      <c r="I51" s="186" t="n"/>
    </row>
    <row r="52" ht="18" customHeight="1">
      <c r="A52" s="179" t="inlineStr">
        <is>
          <t>Sales YoY</t>
        </is>
      </c>
      <c r="B52" s="194" t="n"/>
      <c r="C52" s="195" t="n"/>
      <c r="D52" s="195" t="n"/>
      <c r="E52" s="195" t="n"/>
      <c r="F52" s="195" t="n"/>
      <c r="G52" s="195" t="n"/>
      <c r="H52" s="195" t="n"/>
      <c r="I52" s="186" t="n"/>
    </row>
    <row r="53" ht="18" customHeight="1">
      <c r="A53" s="179" t="inlineStr">
        <is>
          <t>Inventory less sales YoY</t>
        </is>
      </c>
      <c r="B53" s="196" t="n"/>
      <c r="C53" s="186" t="n"/>
      <c r="D53" s="195" t="n"/>
      <c r="E53" s="195" t="n"/>
      <c r="F53" s="186" t="n"/>
      <c r="G53" s="186" t="n"/>
      <c r="H53" s="186" t="n"/>
      <c r="I53" s="186" t="n"/>
    </row>
    <row r="54" ht="18" customHeight="1">
      <c r="A54" s="179" t="inlineStr">
        <is>
          <t>Net cash</t>
        </is>
      </c>
      <c r="B54" s="395" t="n"/>
      <c r="C54" s="395" t="n"/>
      <c r="D54" s="395" t="n"/>
      <c r="E54" s="395" t="n"/>
      <c r="F54" s="395" t="n"/>
      <c r="G54" s="395" t="n"/>
      <c r="H54" s="395" t="n"/>
      <c r="I54" s="395" t="n"/>
    </row>
    <row r="55" ht="18" customHeight="1">
      <c r="A55" s="179" t="inlineStr">
        <is>
          <t>Total lease liabilities</t>
        </is>
      </c>
      <c r="B55" s="395" t="n"/>
      <c r="C55" s="395" t="n"/>
      <c r="D55" s="395" t="n"/>
      <c r="E55" s="395" t="n"/>
      <c r="F55" s="395" t="n"/>
      <c r="G55" s="395" t="n"/>
      <c r="H55" s="395" t="n"/>
      <c r="I55" s="395" t="n"/>
    </row>
    <row r="56" ht="18" customHeight="1">
      <c r="A56" s="179" t="inlineStr">
        <is>
          <t>Diluted shares YoY</t>
        </is>
      </c>
      <c r="B56" s="186" t="n"/>
      <c r="C56" s="186" t="n"/>
      <c r="D56" s="186" t="n"/>
      <c r="E56" s="186" t="n"/>
      <c r="F56" s="186" t="n"/>
      <c r="G56" s="186" t="n"/>
      <c r="H56" s="186" t="n"/>
      <c r="I56" s="186" t="n"/>
    </row>
    <row r="57" ht="18" customHeight="1">
      <c r="A57" s="174" t="n"/>
      <c r="B57" s="174" t="n"/>
      <c r="C57" s="174" t="n"/>
      <c r="D57" s="174" t="n"/>
      <c r="E57" s="174" t="n"/>
      <c r="F57" s="174" t="n"/>
      <c r="G57" s="174" t="n"/>
      <c r="H57" s="174" t="n"/>
      <c r="I57" s="174" t="n"/>
    </row>
    <row r="58" ht="19.5" customHeight="1">
      <c r="A58" s="197" t="inlineStr">
        <is>
          <t>Quarterly segments</t>
        </is>
      </c>
      <c r="B58" s="198" t="n"/>
      <c r="C58" s="198" t="n"/>
      <c r="D58" s="198" t="n"/>
      <c r="E58" s="198" t="n"/>
      <c r="F58" s="198" t="n"/>
      <c r="G58" s="198" t="n"/>
      <c r="H58" s="198" t="n"/>
      <c r="I58" s="198" t="n"/>
    </row>
    <row r="59" ht="18" customHeight="1">
      <c r="A59" s="199" t="n"/>
      <c r="B59" s="104" t="n"/>
      <c r="C59" s="104" t="n"/>
      <c r="D59" s="104" t="n"/>
      <c r="E59" s="104" t="n"/>
      <c r="F59" s="104" t="n"/>
      <c r="G59" s="104" t="n"/>
      <c r="H59" s="104" t="n"/>
      <c r="I59" s="105" t="n"/>
    </row>
    <row r="60" ht="18" customHeight="1">
      <c r="A60" s="177" t="inlineStr">
        <is>
          <t>Revenue</t>
        </is>
      </c>
      <c r="B60" s="178" t="n"/>
      <c r="C60" s="178" t="n"/>
      <c r="D60" s="178" t="n"/>
      <c r="E60" s="178" t="n"/>
      <c r="F60" s="178" t="n"/>
      <c r="G60" s="178" t="n"/>
      <c r="H60" s="178" t="n"/>
      <c r="I60" s="178" t="n"/>
    </row>
    <row r="61" ht="18" customHeight="1">
      <c r="A61" s="179" t="n"/>
      <c r="B61" s="395" t="n"/>
      <c r="C61" s="395" t="n"/>
      <c r="D61" s="395" t="n"/>
      <c r="E61" s="395" t="n"/>
      <c r="F61" s="395" t="n"/>
      <c r="G61" s="395" t="n"/>
      <c r="H61" s="395" t="n"/>
      <c r="I61" s="395" t="n"/>
    </row>
    <row r="62" ht="18" customHeight="1">
      <c r="A62" s="179" t="n"/>
      <c r="B62" s="395" t="n"/>
      <c r="C62" s="395" t="n"/>
      <c r="D62" s="395" t="n"/>
      <c r="E62" s="395" t="n"/>
      <c r="F62" s="395" t="n"/>
      <c r="G62" s="395" t="n"/>
      <c r="H62" s="395" t="n"/>
      <c r="I62" s="395" t="n"/>
    </row>
    <row r="63" ht="18" customHeight="1">
      <c r="A63" s="179" t="n"/>
      <c r="B63" s="395" t="n"/>
      <c r="C63" s="395" t="n"/>
      <c r="D63" s="395" t="n"/>
      <c r="E63" s="395" t="n"/>
      <c r="F63" s="395" t="n"/>
      <c r="G63" s="395" t="n"/>
      <c r="H63" s="395" t="n"/>
      <c r="I63" s="395" t="n"/>
    </row>
    <row r="64" ht="18" customHeight="1">
      <c r="A64" s="178" t="n"/>
      <c r="B64" s="178" t="n"/>
      <c r="C64" s="178" t="n"/>
      <c r="D64" s="178" t="n"/>
      <c r="E64" s="178" t="n"/>
      <c r="F64" s="178" t="n"/>
      <c r="G64" s="178" t="n"/>
      <c r="H64" s="178" t="n"/>
      <c r="I64" s="178" t="n"/>
    </row>
    <row r="65" ht="18" customHeight="1">
      <c r="A65" s="179" t="n"/>
      <c r="B65" s="395" t="n"/>
      <c r="C65" s="395" t="n"/>
      <c r="D65" s="395" t="n"/>
      <c r="E65" s="395" t="n"/>
      <c r="F65" s="395" t="n"/>
      <c r="G65" s="395" t="n"/>
      <c r="H65" s="395" t="n"/>
      <c r="I65" s="395" t="n"/>
    </row>
    <row r="66" ht="18" customHeight="1">
      <c r="A66" s="179" t="n"/>
      <c r="B66" s="395" t="n"/>
      <c r="C66" s="395" t="n"/>
      <c r="D66" s="395" t="n"/>
      <c r="E66" s="395" t="n"/>
      <c r="F66" s="395" t="n"/>
      <c r="G66" s="395" t="n"/>
      <c r="H66" s="395" t="n"/>
      <c r="I66" s="395" t="n"/>
    </row>
    <row r="67" ht="18" customHeight="1">
      <c r="A67" s="179" t="n"/>
      <c r="B67" s="395" t="n"/>
      <c r="C67" s="395" t="n"/>
      <c r="D67" s="395" t="n"/>
      <c r="E67" s="395" t="n"/>
      <c r="F67" s="395" t="n"/>
      <c r="G67" s="395" t="n"/>
      <c r="H67" s="395" t="n"/>
      <c r="I67" s="395" t="n"/>
    </row>
    <row r="68" ht="18" customHeight="1">
      <c r="A68" s="174" t="n"/>
      <c r="B68" s="174" t="n"/>
      <c r="C68" s="174" t="n"/>
      <c r="D68" s="174" t="n"/>
      <c r="E68" s="174" t="n"/>
      <c r="F68" s="174" t="n"/>
      <c r="G68" s="174" t="n"/>
      <c r="H68" s="174" t="n"/>
      <c r="I68" s="174" t="n"/>
    </row>
    <row r="69" ht="19.5" customHeight="1">
      <c r="A69" s="197" t="inlineStr">
        <is>
          <t>Annual segments</t>
        </is>
      </c>
      <c r="B69" s="198" t="n"/>
      <c r="C69" s="198" t="n"/>
      <c r="D69" s="198" t="n"/>
      <c r="E69" s="198" t="n"/>
      <c r="F69" s="198" t="n"/>
      <c r="G69" s="198" t="n"/>
      <c r="H69" s="198" t="n"/>
      <c r="I69" s="198" t="n"/>
    </row>
    <row r="70" ht="19.5" customHeight="1">
      <c r="A70" s="200" t="inlineStr">
        <is>
          <t>Year</t>
        </is>
      </c>
      <c r="B70" s="34" t="n"/>
      <c r="C70" s="34" t="n"/>
      <c r="D70" s="34" t="n"/>
      <c r="E70" s="174" t="n"/>
      <c r="F70" s="174" t="n"/>
      <c r="G70" s="174" t="n"/>
      <c r="H70" s="174" t="n"/>
      <c r="I70" s="174" t="n"/>
    </row>
    <row r="71" ht="18" customHeight="1">
      <c r="A71" s="177" t="inlineStr">
        <is>
          <t>Revenues</t>
        </is>
      </c>
      <c r="B71" s="178" t="n"/>
      <c r="C71" s="178" t="n"/>
      <c r="D71" s="178" t="n"/>
      <c r="E71" s="178" t="n"/>
      <c r="F71" s="178" t="n"/>
      <c r="G71" s="178" t="n"/>
      <c r="H71" s="178" t="n"/>
      <c r="I71" s="178" t="n"/>
    </row>
    <row r="72" ht="18" customHeight="1">
      <c r="A72" s="179" t="n"/>
      <c r="B72" s="395" t="n"/>
      <c r="C72" s="395" t="n"/>
      <c r="D72" s="395" t="n"/>
      <c r="E72" s="174" t="n"/>
      <c r="F72" s="174" t="n"/>
      <c r="G72" s="174" t="n"/>
      <c r="H72" s="174" t="n"/>
      <c r="I72" s="174" t="n"/>
    </row>
    <row r="73" ht="18" customHeight="1">
      <c r="A73" s="179" t="n"/>
      <c r="B73" s="395" t="n"/>
      <c r="C73" s="395" t="n"/>
      <c r="D73" s="395" t="n"/>
      <c r="E73" s="174" t="n"/>
      <c r="F73" s="174" t="n"/>
      <c r="G73" s="174" t="n"/>
      <c r="H73" s="174" t="n"/>
      <c r="I73" s="174" t="n"/>
    </row>
    <row r="74" ht="18" customHeight="1">
      <c r="A74" s="179" t="n"/>
      <c r="B74" s="395" t="n"/>
      <c r="C74" s="395" t="n"/>
      <c r="D74" s="395" t="n"/>
      <c r="E74" s="174" t="n"/>
      <c r="F74" s="174" t="n"/>
      <c r="G74" s="174" t="n"/>
      <c r="H74" s="174" t="n"/>
      <c r="I74" s="174" t="n"/>
    </row>
  </sheetData>
  <mergeCells count="4">
    <mergeCell ref="A5:I5"/>
    <mergeCell ref="A4:I4"/>
    <mergeCell ref="B6:I6"/>
    <mergeCell ref="A59:I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4" customHeight="1">
      <c r="A1" s="172" t="inlineStr">
        <is>
          <t>Operating Drivers</t>
        </is>
      </c>
    </row>
    <row r="2" ht="24" customHeight="1">
      <c r="A2" s="462" t="n"/>
    </row>
    <row r="3" ht="24" customHeight="1">
      <c r="A3" s="201" t="n"/>
    </row>
    <row r="4" ht="22.5" customHeight="1">
      <c r="A4" s="202" t="inlineStr">
        <is>
          <t>Current watchlist</t>
        </is>
      </c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  <c r="L4" s="104" t="n"/>
      <c r="M4" s="104" t="n"/>
      <c r="N4" s="105" t="n"/>
    </row>
    <row r="5" ht="21" customHeight="1">
      <c r="A5" s="203" t="inlineStr">
        <is>
          <t>Watch item</t>
        </is>
      </c>
      <c r="B5" s="203" t="inlineStr">
        <is>
          <t>Current read</t>
        </is>
      </c>
      <c r="C5" s="104" t="n"/>
      <c r="D5" s="104" t="n"/>
      <c r="E5" s="104" t="n"/>
      <c r="F5" s="104" t="n"/>
      <c r="G5" s="105" t="n"/>
      <c r="H5" s="203" t="inlineStr">
        <is>
          <t>Why it matters</t>
        </is>
      </c>
      <c r="I5" s="104" t="n"/>
      <c r="J5" s="104" t="n"/>
      <c r="K5" s="104" t="n"/>
      <c r="L5" s="104" t="n"/>
      <c r="M5" s="104" t="n"/>
      <c r="N5" s="105" t="n"/>
    </row>
    <row r="6" ht="22.5" customHeight="1">
      <c r="A6" s="204" t="n"/>
      <c r="B6" s="432" t="n"/>
      <c r="C6" s="399" t="n"/>
      <c r="D6" s="399" t="n"/>
      <c r="E6" s="399" t="n"/>
      <c r="F6" s="399" t="n"/>
      <c r="G6" s="399" t="n"/>
      <c r="H6" s="433" t="n"/>
      <c r="I6" s="399" t="n"/>
      <c r="J6" s="399" t="n"/>
      <c r="K6" s="399" t="n"/>
      <c r="L6" s="399" t="n"/>
      <c r="M6" s="399" t="n"/>
      <c r="N6" s="399" t="n"/>
    </row>
    <row r="7" ht="22.5" customHeight="1">
      <c r="A7" s="206" t="n"/>
      <c r="B7" s="434" t="n"/>
      <c r="C7" s="399" t="n"/>
      <c r="D7" s="399" t="n"/>
      <c r="E7" s="399" t="n"/>
      <c r="F7" s="399" t="n"/>
      <c r="G7" s="399" t="n"/>
      <c r="H7" s="435" t="n"/>
      <c r="I7" s="399" t="n"/>
      <c r="J7" s="399" t="n"/>
      <c r="K7" s="399" t="n"/>
      <c r="L7" s="399" t="n"/>
      <c r="M7" s="399" t="n"/>
      <c r="N7" s="399" t="n"/>
    </row>
    <row r="8" ht="22.5" customHeight="1">
      <c r="A8" s="204" t="n"/>
      <c r="B8" s="432" t="n"/>
      <c r="C8" s="399" t="n"/>
      <c r="D8" s="399" t="n"/>
      <c r="E8" s="399" t="n"/>
      <c r="F8" s="399" t="n"/>
      <c r="G8" s="399" t="n"/>
      <c r="H8" s="433" t="n"/>
      <c r="I8" s="399" t="n"/>
      <c r="J8" s="399" t="n"/>
      <c r="K8" s="399" t="n"/>
      <c r="L8" s="399" t="n"/>
      <c r="M8" s="399" t="n"/>
      <c r="N8" s="399" t="n"/>
    </row>
    <row r="9" ht="22.5" customHeight="1">
      <c r="A9" s="206" t="n"/>
      <c r="B9" s="434" t="n"/>
      <c r="C9" s="399" t="n"/>
      <c r="D9" s="399" t="n"/>
      <c r="E9" s="399" t="n"/>
      <c r="F9" s="399" t="n"/>
      <c r="G9" s="399" t="n"/>
      <c r="H9" s="435" t="n"/>
      <c r="I9" s="399" t="n"/>
      <c r="J9" s="399" t="n"/>
      <c r="K9" s="399" t="n"/>
      <c r="L9" s="399" t="n"/>
      <c r="M9" s="399" t="n"/>
      <c r="N9" s="399" t="n"/>
    </row>
    <row r="10" ht="19.5" customHeight="1"/>
    <row r="11" ht="22.5" customHeight="1">
      <c r="A11" s="202" t="inlineStr">
        <is>
          <t>Current/latest outlook</t>
        </is>
      </c>
      <c r="B11" s="104" t="n"/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5" t="n"/>
    </row>
    <row r="12" ht="21" customHeight="1">
      <c r="A12" s="203" t="inlineStr">
        <is>
          <t>Topic</t>
        </is>
      </c>
      <c r="B12" s="203" t="inlineStr">
        <is>
          <t>Current read</t>
        </is>
      </c>
      <c r="C12" s="104" t="n"/>
      <c r="D12" s="104" t="n"/>
      <c r="E12" s="104" t="n"/>
      <c r="F12" s="104" t="n"/>
      <c r="G12" s="105" t="n"/>
      <c r="H12" s="203" t="inlineStr">
        <is>
          <t>Source / use</t>
        </is>
      </c>
      <c r="I12" s="104" t="n"/>
      <c r="J12" s="104" t="n"/>
      <c r="K12" s="104" t="n"/>
      <c r="L12" s="104" t="n"/>
      <c r="M12" s="104" t="n"/>
      <c r="N12" s="105" t="n"/>
    </row>
    <row r="13" ht="22.5" customHeight="1">
      <c r="A13" s="204" t="inlineStr">
        <is>
          <t>[Current actual period]</t>
        </is>
      </c>
      <c r="B13" s="432" t="n"/>
      <c r="C13" s="399" t="n"/>
      <c r="D13" s="399" t="n"/>
      <c r="E13" s="399" t="n"/>
      <c r="F13" s="399" t="n"/>
      <c r="G13" s="399" t="n"/>
      <c r="H13" s="433" t="n"/>
      <c r="I13" s="399" t="n"/>
      <c r="J13" s="399" t="n"/>
      <c r="K13" s="399" t="n"/>
      <c r="L13" s="399" t="n"/>
      <c r="M13" s="399" t="n"/>
      <c r="N13" s="399" t="n"/>
    </row>
    <row r="14" ht="22.5" customHeight="1">
      <c r="A14" s="206" t="inlineStr">
        <is>
          <t>[Current guidance period]</t>
        </is>
      </c>
      <c r="B14" s="434" t="n"/>
      <c r="C14" s="399" t="n"/>
      <c r="D14" s="399" t="n"/>
      <c r="E14" s="399" t="n"/>
      <c r="F14" s="399" t="n"/>
      <c r="G14" s="399" t="n"/>
      <c r="H14" s="435" t="n"/>
      <c r="I14" s="399" t="n"/>
      <c r="J14" s="399" t="n"/>
      <c r="K14" s="399" t="n"/>
      <c r="L14" s="399" t="n"/>
      <c r="M14" s="399" t="n"/>
      <c r="N14" s="399" t="n"/>
    </row>
    <row r="15" ht="22.5" customHeight="1">
      <c r="A15" s="204" t="inlineStr">
        <is>
          <t>Margin bridge</t>
        </is>
      </c>
      <c r="B15" s="432" t="n"/>
      <c r="C15" s="399" t="n"/>
      <c r="D15" s="399" t="n"/>
      <c r="E15" s="399" t="n"/>
      <c r="F15" s="399" t="n"/>
      <c r="G15" s="399" t="n"/>
      <c r="H15" s="433" t="n"/>
      <c r="I15" s="399" t="n"/>
      <c r="J15" s="399" t="n"/>
      <c r="K15" s="399" t="n"/>
      <c r="L15" s="399" t="n"/>
      <c r="M15" s="399" t="n"/>
      <c r="N15" s="399" t="n"/>
    </row>
    <row r="16" ht="22.5" customHeight="1">
      <c r="A16" s="206" t="inlineStr">
        <is>
          <t>[Operating driver slot 16]</t>
        </is>
      </c>
      <c r="B16" s="434" t="n"/>
      <c r="C16" s="399" t="n"/>
      <c r="D16" s="399" t="n"/>
      <c r="E16" s="399" t="n"/>
      <c r="F16" s="399" t="n"/>
      <c r="G16" s="399" t="n"/>
      <c r="H16" s="435" t="n"/>
      <c r="I16" s="399" t="n"/>
      <c r="J16" s="399" t="n"/>
      <c r="K16" s="399" t="n"/>
      <c r="L16" s="399" t="n"/>
      <c r="M16" s="399" t="n"/>
      <c r="N16" s="399" t="n"/>
    </row>
    <row r="17" ht="19.5" customHeight="1"/>
    <row r="18" ht="22.5" customHeight="1">
      <c r="A18" s="202" t="inlineStr">
        <is>
          <t>Recent quarter commentary</t>
        </is>
      </c>
      <c r="B18" s="104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5" t="n"/>
    </row>
    <row r="19" ht="21" customHeight="1">
      <c r="A19" s="203" t="inlineStr">
        <is>
          <t>Horizon</t>
        </is>
      </c>
      <c r="B19" s="203" t="inlineStr">
        <is>
          <t>Stated in</t>
        </is>
      </c>
      <c r="C19" s="203" t="inlineStr">
        <is>
          <t>Commentary</t>
        </is>
      </c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5" t="n"/>
    </row>
    <row r="20" ht="21" customHeight="1">
      <c r="A20" s="436" t="inlineStr">
        <is>
          <t>Recent operating commentary</t>
        </is>
      </c>
      <c r="B20" s="399" t="n"/>
      <c r="C20" s="399" t="n"/>
      <c r="D20" s="399" t="n"/>
      <c r="E20" s="399" t="n"/>
      <c r="F20" s="399" t="n"/>
      <c r="G20" s="399" t="n"/>
      <c r="H20" s="399" t="n"/>
      <c r="I20" s="399" t="n"/>
      <c r="J20" s="399" t="n"/>
      <c r="K20" s="399" t="n"/>
      <c r="L20" s="399" t="n"/>
      <c r="M20" s="399" t="n"/>
      <c r="N20" s="399" t="n"/>
    </row>
    <row r="21" ht="19.5" customHeight="1">
      <c r="A21" s="210" t="inlineStr">
        <is>
          <t>[Operating evidence period slot 1]</t>
        </is>
      </c>
      <c r="B21" s="210" t="n"/>
      <c r="C21" s="211" t="n"/>
    </row>
    <row r="22" ht="21" customHeight="1">
      <c r="A22" s="436" t="inlineStr">
        <is>
          <t>[Operating evidence period slot 2]</t>
        </is>
      </c>
      <c r="B22" s="399" t="n"/>
      <c r="C22" s="399" t="n"/>
      <c r="D22" s="399" t="n"/>
      <c r="E22" s="399" t="n"/>
      <c r="F22" s="399" t="n"/>
      <c r="G22" s="399" t="n"/>
      <c r="H22" s="399" t="n"/>
      <c r="I22" s="399" t="n"/>
      <c r="J22" s="399" t="n"/>
      <c r="K22" s="399" t="n"/>
      <c r="L22" s="399" t="n"/>
      <c r="M22" s="399" t="n"/>
      <c r="N22" s="399" t="n"/>
    </row>
    <row r="23" ht="19.5" customHeight="1">
      <c r="A23" s="210" t="inlineStr">
        <is>
          <t>[Operating evidence period slot 3]</t>
        </is>
      </c>
      <c r="B23" s="210" t="n"/>
      <c r="C23" s="211" t="n"/>
    </row>
    <row r="24" ht="21" customHeight="1">
      <c r="A24" s="436" t="inlineStr">
        <is>
          <t>Recent operating commentary</t>
        </is>
      </c>
      <c r="B24" s="399" t="n"/>
      <c r="C24" s="399" t="n"/>
      <c r="D24" s="399" t="n"/>
      <c r="E24" s="399" t="n"/>
      <c r="F24" s="399" t="n"/>
      <c r="G24" s="399" t="n"/>
      <c r="H24" s="399" t="n"/>
      <c r="I24" s="399" t="n"/>
      <c r="J24" s="399" t="n"/>
      <c r="K24" s="399" t="n"/>
      <c r="L24" s="399" t="n"/>
      <c r="M24" s="399" t="n"/>
      <c r="N24" s="399" t="n"/>
    </row>
    <row r="25" ht="19.5" customHeight="1">
      <c r="A25" s="210" t="inlineStr">
        <is>
          <t>[Operating evidence period slot 4]</t>
        </is>
      </c>
      <c r="B25" s="210" t="n"/>
      <c r="C25" s="211" t="n"/>
    </row>
    <row r="26" ht="19.5" customHeight="1">
      <c r="A26" s="210" t="inlineStr">
        <is>
          <t>[Operating evidence period slot 5]</t>
        </is>
      </c>
      <c r="B26" s="210" t="n"/>
      <c r="C26" s="211" t="n"/>
    </row>
    <row r="27" ht="19.5" customHeight="1">
      <c r="A27" s="213" t="inlineStr">
        <is>
          <t>[Operating evidence period slot 6]</t>
        </is>
      </c>
      <c r="B27" s="213" t="n"/>
      <c r="C27" s="437" t="n"/>
      <c r="D27" s="400" t="n"/>
      <c r="E27" s="400" t="n"/>
      <c r="F27" s="400" t="n"/>
      <c r="G27" s="400" t="n"/>
      <c r="H27" s="400" t="n"/>
      <c r="I27" s="400" t="n"/>
      <c r="J27" s="400" t="n"/>
      <c r="K27" s="400" t="n"/>
      <c r="L27" s="400" t="n"/>
      <c r="M27" s="400" t="n"/>
      <c r="N27" s="400" t="n"/>
    </row>
    <row r="28" ht="19.5" customHeight="1">
      <c r="A28" s="210" t="inlineStr">
        <is>
          <t>[Operating evidence period slot 7]</t>
        </is>
      </c>
      <c r="B28" s="210" t="n"/>
      <c r="C28" s="211" t="n"/>
    </row>
    <row r="29" ht="19.5" customHeight="1">
      <c r="A29" s="213" t="inlineStr">
        <is>
          <t>[Operating evidence period slot 8]</t>
        </is>
      </c>
      <c r="B29" s="213" t="n"/>
      <c r="C29" s="437" t="n"/>
      <c r="D29" s="400" t="n"/>
      <c r="E29" s="400" t="n"/>
      <c r="F29" s="400" t="n"/>
      <c r="G29" s="400" t="n"/>
      <c r="H29" s="400" t="n"/>
      <c r="I29" s="400" t="n"/>
      <c r="J29" s="400" t="n"/>
      <c r="K29" s="400" t="n"/>
      <c r="L29" s="400" t="n"/>
      <c r="M29" s="400" t="n"/>
      <c r="N29" s="400" t="n"/>
    </row>
    <row r="30" ht="19.5" customHeight="1">
      <c r="A30" s="210" t="inlineStr">
        <is>
          <t>[Operating evidence period slot 9]</t>
        </is>
      </c>
      <c r="B30" s="210" t="n"/>
      <c r="C30" s="211" t="n"/>
    </row>
    <row r="31" ht="19.5" customHeight="1">
      <c r="A31" s="213" t="n"/>
      <c r="B31" s="213" t="n"/>
      <c r="C31" s="437" t="n"/>
      <c r="D31" s="400" t="n"/>
      <c r="E31" s="400" t="n"/>
      <c r="F31" s="400" t="n"/>
      <c r="G31" s="400" t="n"/>
      <c r="H31" s="400" t="n"/>
      <c r="I31" s="400" t="n"/>
      <c r="J31" s="400" t="n"/>
      <c r="K31" s="400" t="n"/>
      <c r="L31" s="400" t="n"/>
      <c r="M31" s="400" t="n"/>
      <c r="N31" s="400" t="n"/>
    </row>
    <row r="32" ht="19.5" customHeight="1">
      <c r="A32" s="210" t="inlineStr">
        <is>
          <t>[Operating evidence period slot 10]</t>
        </is>
      </c>
      <c r="B32" s="210" t="n"/>
      <c r="C32" s="211" t="n"/>
    </row>
    <row r="33" ht="19.5" customHeight="1">
      <c r="A33" s="213" t="inlineStr">
        <is>
          <t>[Operating evidence period slot 11]</t>
        </is>
      </c>
      <c r="B33" s="213" t="n"/>
      <c r="C33" s="437" t="n"/>
      <c r="D33" s="400" t="n"/>
      <c r="E33" s="400" t="n"/>
      <c r="F33" s="400" t="n"/>
      <c r="G33" s="400" t="n"/>
      <c r="H33" s="400" t="n"/>
      <c r="I33" s="400" t="n"/>
      <c r="J33" s="400" t="n"/>
      <c r="K33" s="400" t="n"/>
      <c r="L33" s="400" t="n"/>
      <c r="M33" s="400" t="n"/>
      <c r="N33" s="400" t="n"/>
    </row>
    <row r="34" ht="19.5" customHeight="1">
      <c r="A34" s="210" t="inlineStr">
        <is>
          <t>[Operating evidence period slot 12]</t>
        </is>
      </c>
      <c r="B34" s="210" t="n"/>
      <c r="C34" s="211" t="n"/>
    </row>
    <row r="35" ht="19.5" customHeight="1">
      <c r="A35" s="213" t="inlineStr">
        <is>
          <t>[Operating evidence period slot 13]</t>
        </is>
      </c>
      <c r="B35" s="213" t="n"/>
      <c r="C35" s="437" t="n"/>
      <c r="D35" s="400" t="n"/>
      <c r="E35" s="400" t="n"/>
      <c r="F35" s="400" t="n"/>
      <c r="G35" s="400" t="n"/>
      <c r="H35" s="400" t="n"/>
      <c r="I35" s="400" t="n"/>
      <c r="J35" s="400" t="n"/>
      <c r="K35" s="400" t="n"/>
      <c r="L35" s="400" t="n"/>
      <c r="M35" s="400" t="n"/>
      <c r="N35" s="400" t="n"/>
    </row>
    <row r="36" ht="19.5" customHeight="1">
      <c r="A36" s="210" t="inlineStr">
        <is>
          <t>[Operating evidence period slot 14]</t>
        </is>
      </c>
      <c r="B36" s="210" t="n"/>
      <c r="C36" s="211" t="n"/>
    </row>
    <row r="37" ht="19.5" customHeight="1">
      <c r="A37" s="213" t="inlineStr">
        <is>
          <t>[Operating evidence period slot 15]</t>
        </is>
      </c>
      <c r="B37" s="213" t="n"/>
      <c r="C37" s="437" t="n"/>
      <c r="D37" s="400" t="n"/>
      <c r="E37" s="400" t="n"/>
      <c r="F37" s="400" t="n"/>
      <c r="G37" s="400" t="n"/>
      <c r="H37" s="400" t="n"/>
      <c r="I37" s="400" t="n"/>
      <c r="J37" s="400" t="n"/>
      <c r="K37" s="400" t="n"/>
      <c r="L37" s="400" t="n"/>
      <c r="M37" s="400" t="n"/>
      <c r="N37" s="400" t="n"/>
    </row>
    <row r="38" ht="19.5" customHeight="1">
      <c r="A38" s="210" t="inlineStr">
        <is>
          <t>[Operating evidence period slot 16]</t>
        </is>
      </c>
      <c r="B38" s="210" t="n"/>
      <c r="C38" s="211" t="n"/>
    </row>
    <row r="39" ht="22.5" customHeight="1">
      <c r="A39" s="202" t="inlineStr">
        <is>
          <t>Data tables</t>
        </is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5" t="n"/>
    </row>
    <row r="40" ht="19.5" customHeight="1">
      <c r="A40" s="216" t="n"/>
      <c r="B40" s="216" t="n"/>
      <c r="C40" s="216" t="n"/>
      <c r="D40" s="216" t="n"/>
      <c r="E40" s="216" t="n"/>
      <c r="F40" s="216" t="n"/>
      <c r="G40" s="216" t="n"/>
      <c r="H40" s="216" t="n"/>
      <c r="I40" s="463" t="n"/>
      <c r="J40" s="463" t="n"/>
      <c r="K40" s="463" t="n"/>
      <c r="L40" s="463" t="n"/>
      <c r="M40" s="463" t="n"/>
      <c r="N40" s="64" t="n"/>
    </row>
    <row r="41" ht="22.5" customHeight="1">
      <c r="A41" s="202" t="inlineStr">
        <is>
          <t>Segment support - latest 12 periods</t>
        </is>
      </c>
      <c r="B41" s="104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n"/>
    </row>
    <row r="42" ht="22.5" customHeight="1">
      <c r="A42" s="438" t="n"/>
      <c r="B42" s="399" t="n"/>
      <c r="C42" s="399" t="n"/>
      <c r="D42" s="399" t="n"/>
      <c r="E42" s="399" t="n"/>
      <c r="F42" s="399" t="n"/>
      <c r="G42" s="399" t="n"/>
      <c r="H42" s="399" t="n"/>
      <c r="I42" s="399" t="n"/>
      <c r="J42" s="399" t="n"/>
      <c r="K42" s="399" t="n"/>
      <c r="L42" s="399" t="n"/>
      <c r="M42" s="399" t="n"/>
      <c r="N42" s="399" t="n"/>
    </row>
    <row r="43" ht="21" customHeight="1">
      <c r="A43" s="203" t="inlineStr">
        <is>
          <t>Metric / segment</t>
        </is>
      </c>
      <c r="B43" s="224" t="n"/>
      <c r="C43" s="224" t="n"/>
      <c r="D43" s="224" t="n"/>
      <c r="E43" s="224" t="n"/>
      <c r="F43" s="224" t="n"/>
      <c r="G43" s="224" t="n"/>
      <c r="H43" s="224" t="n"/>
      <c r="I43" s="224" t="n"/>
      <c r="J43" s="224" t="n"/>
      <c r="K43" s="224" t="n"/>
      <c r="L43" s="224" t="n"/>
      <c r="M43" s="224" t="n"/>
      <c r="N43" s="224" t="n"/>
    </row>
    <row r="44" ht="19.5" customHeight="1">
      <c r="A44" s="225" t="inlineStr">
        <is>
          <t>Revenue ($m)</t>
        </is>
      </c>
      <c r="B44" s="104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5" t="n"/>
    </row>
    <row r="45" ht="19.5" customHeight="1">
      <c r="A45" s="226" t="inlineStr">
        <is>
          <t>[Dimension member 1]</t>
        </is>
      </c>
      <c r="B45" s="401" t="n"/>
      <c r="C45" s="401" t="n"/>
      <c r="D45" s="406" t="n"/>
      <c r="E45" s="406" t="n"/>
      <c r="F45" s="406" t="n"/>
      <c r="G45" s="406" t="n"/>
      <c r="H45" s="406" t="n"/>
      <c r="I45" s="406" t="n"/>
      <c r="J45" s="406" t="n"/>
      <c r="K45" s="406" t="n"/>
      <c r="L45" s="406" t="n"/>
      <c r="M45" s="231" t="n"/>
      <c r="N45" s="231" t="n"/>
    </row>
    <row r="46" ht="19.5" customHeight="1">
      <c r="A46" s="226" t="inlineStr">
        <is>
          <t>[Dimension member 2]</t>
        </is>
      </c>
      <c r="B46" s="401" t="n"/>
      <c r="C46" s="401" t="n"/>
      <c r="D46" s="406" t="n"/>
      <c r="E46" s="406" t="n"/>
      <c r="F46" s="406" t="n"/>
      <c r="G46" s="406" t="n"/>
      <c r="H46" s="406" t="n"/>
      <c r="I46" s="406" t="n"/>
      <c r="J46" s="406" t="n"/>
      <c r="K46" s="406" t="n"/>
      <c r="L46" s="406" t="n"/>
      <c r="M46" s="231" t="n"/>
      <c r="N46" s="231" t="n"/>
    </row>
    <row r="47" ht="19.5" customHeight="1">
      <c r="A47" s="226" t="inlineStr">
        <is>
          <t>[Dimension member 3]</t>
        </is>
      </c>
      <c r="B47" s="401" t="n"/>
      <c r="C47" s="401" t="n"/>
      <c r="D47" s="406" t="n"/>
      <c r="E47" s="406" t="n"/>
      <c r="F47" s="406" t="n"/>
      <c r="G47" s="406" t="n"/>
      <c r="H47" s="406" t="n"/>
      <c r="I47" s="406" t="n"/>
      <c r="J47" s="406" t="n"/>
      <c r="K47" s="406" t="n"/>
      <c r="L47" s="406" t="n"/>
      <c r="M47" s="231" t="n"/>
      <c r="N47" s="231" t="n"/>
    </row>
    <row r="48" ht="19.5" customHeight="1">
      <c r="A48" s="226" t="inlineStr">
        <is>
          <t>[Operating scope slot 48]</t>
        </is>
      </c>
      <c r="B48" s="406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  <c r="L48" s="406" t="n"/>
      <c r="M48" s="406" t="n"/>
      <c r="N48" s="231" t="n"/>
    </row>
    <row r="49" ht="19.5" customHeight="1">
      <c r="A49" s="226" t="n"/>
      <c r="B49" s="401" t="n"/>
      <c r="C49" s="401" t="n"/>
      <c r="D49" s="401" t="n"/>
      <c r="E49" s="406" t="n"/>
      <c r="F49" s="406" t="n"/>
      <c r="G49" s="406" t="n"/>
      <c r="H49" s="406" t="n"/>
      <c r="I49" s="406" t="n"/>
      <c r="J49" s="406" t="n"/>
      <c r="K49" s="406" t="n"/>
      <c r="L49" s="406" t="n"/>
      <c r="M49" s="231" t="n"/>
      <c r="N49" s="231" t="n"/>
    </row>
    <row r="50" ht="19.5" customHeight="1">
      <c r="A50" s="226" t="n"/>
      <c r="B50" s="401" t="n"/>
      <c r="C50" s="401" t="n"/>
      <c r="D50" s="401" t="n"/>
      <c r="E50" s="406" t="n"/>
      <c r="F50" s="406" t="n"/>
      <c r="G50" s="406" t="n"/>
      <c r="H50" s="406" t="n"/>
      <c r="I50" s="406" t="n"/>
      <c r="J50" s="406" t="n"/>
      <c r="K50" s="406" t="n"/>
      <c r="L50" s="406" t="n"/>
      <c r="M50" s="231" t="n"/>
      <c r="N50" s="231" t="n"/>
    </row>
    <row r="51" ht="19.5" customHeight="1"/>
    <row r="52" ht="22.5" customHeight="1">
      <c r="A52" s="202" t="inlineStr">
        <is>
          <t>Actuals - latest 12 periods</t>
        </is>
      </c>
      <c r="B52" s="104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5" t="n"/>
    </row>
    <row r="53" ht="21" customHeight="1">
      <c r="A53" s="233" t="inlineStr">
        <is>
          <t>Quarter</t>
        </is>
      </c>
      <c r="B53" s="234" t="n"/>
      <c r="C53" s="234" t="n"/>
      <c r="D53" s="234" t="n"/>
      <c r="E53" s="234" t="n"/>
      <c r="F53" s="234" t="n"/>
      <c r="G53" s="234" t="n"/>
      <c r="H53" s="234" t="n"/>
      <c r="I53" s="234" t="n"/>
      <c r="J53" s="234" t="n"/>
      <c r="K53" s="234" t="n"/>
      <c r="L53" s="234" t="n"/>
      <c r="M53" s="234" t="n"/>
    </row>
    <row r="54" ht="19.5" customHeight="1">
      <c r="A54" s="225" t="inlineStr">
        <is>
          <t>Watchlist</t>
        </is>
      </c>
      <c r="B54" s="10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5" t="n"/>
    </row>
    <row r="55" ht="19.5" customHeight="1">
      <c r="A55" s="235" t="inlineStr">
        <is>
          <t>Capital returns</t>
        </is>
      </c>
      <c r="B55" s="236" t="n"/>
      <c r="C55" s="236" t="n"/>
      <c r="D55" s="236" t="n"/>
      <c r="E55" s="236" t="n"/>
      <c r="F55" s="236" t="n"/>
      <c r="G55" s="236" t="n"/>
      <c r="H55" s="236" t="n"/>
      <c r="I55" s="236" t="n"/>
      <c r="J55" s="236" t="n"/>
      <c r="K55" s="236" t="n"/>
      <c r="L55" s="236" t="n"/>
      <c r="M55" s="237" t="n"/>
    </row>
    <row r="56" ht="19.5" customHeight="1">
      <c r="A56" s="235" t="inlineStr">
        <is>
          <t>[Operating driver slot 56]</t>
        </is>
      </c>
      <c r="B56" s="236" t="n"/>
      <c r="C56" s="236" t="n"/>
      <c r="D56" s="236" t="n"/>
      <c r="E56" s="236" t="n"/>
      <c r="F56" s="236" t="n"/>
      <c r="G56" s="236" t="n"/>
      <c r="H56" s="236" t="n"/>
      <c r="I56" s="236" t="n"/>
      <c r="J56" s="236" t="n"/>
      <c r="K56" s="236" t="n"/>
      <c r="L56" s="236" t="n"/>
      <c r="M56" s="237" t="n"/>
    </row>
    <row r="57" ht="19.5" customHeight="1">
      <c r="A57" s="225" t="inlineStr">
        <is>
          <t>Geography</t>
        </is>
      </c>
      <c r="B57" s="10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5" t="n"/>
    </row>
    <row r="58" ht="19.5" customHeight="1">
      <c r="A58" s="235" t="inlineStr">
        <is>
          <t>[Dimension member 3] sales</t>
        </is>
      </c>
      <c r="B58" s="406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  <c r="L58" s="406" t="n"/>
      <c r="M58" s="236" t="n"/>
    </row>
    <row r="59" ht="19.5" customHeight="1">
      <c r="A59" s="235" t="inlineStr">
        <is>
          <t>[Dimension member 3] sales YoY</t>
        </is>
      </c>
      <c r="B59" s="247" t="n"/>
      <c r="C59" s="247" t="n"/>
      <c r="D59" s="247" t="n"/>
      <c r="E59" s="247" t="n"/>
      <c r="F59" s="247" t="n"/>
      <c r="G59" s="247" t="n"/>
      <c r="H59" s="247" t="n"/>
      <c r="I59" s="247" t="n"/>
      <c r="J59" s="247" t="n"/>
      <c r="K59" s="247" t="n"/>
      <c r="L59" s="247" t="n"/>
      <c r="M59" s="236" t="n"/>
    </row>
    <row r="60" ht="19.5" customHeight="1">
      <c r="A60" s="235" t="inlineStr">
        <is>
          <t>[Dimension member 1] sales</t>
        </is>
      </c>
      <c r="B60" s="406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  <c r="L60" s="406" t="n"/>
      <c r="M60" s="236" t="n"/>
    </row>
    <row r="61" ht="19.5" customHeight="1">
      <c r="A61" s="235" t="inlineStr">
        <is>
          <t>[Dimension member 1] sales YoY</t>
        </is>
      </c>
      <c r="B61" s="247" t="n"/>
      <c r="C61" s="247" t="n"/>
      <c r="D61" s="247" t="n"/>
      <c r="E61" s="247" t="n"/>
      <c r="F61" s="247" t="n"/>
      <c r="G61" s="247" t="n"/>
      <c r="H61" s="247" t="n"/>
      <c r="I61" s="247" t="n"/>
      <c r="J61" s="247" t="n"/>
      <c r="K61" s="247" t="n"/>
      <c r="L61" s="247" t="n"/>
      <c r="M61" s="236" t="n"/>
    </row>
    <row r="62" ht="19.5" customHeight="1">
      <c r="A62" s="235" t="inlineStr">
        <is>
          <t>[Dimension member 2] sales</t>
        </is>
      </c>
      <c r="B62" s="406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  <c r="L62" s="406" t="n"/>
      <c r="M62" s="236" t="n"/>
    </row>
    <row r="63" ht="19.5" customHeight="1">
      <c r="A63" s="235" t="inlineStr">
        <is>
          <t>[Dimension member 2] sales YoY</t>
        </is>
      </c>
      <c r="B63" s="247" t="n"/>
      <c r="C63" s="247" t="n"/>
      <c r="D63" s="247" t="n"/>
      <c r="E63" s="247" t="n"/>
      <c r="F63" s="247" t="n"/>
      <c r="G63" s="247" t="n"/>
      <c r="H63" s="247" t="n"/>
      <c r="I63" s="247" t="n"/>
      <c r="J63" s="247" t="n"/>
      <c r="K63" s="247" t="n"/>
      <c r="L63" s="247" t="n"/>
      <c r="M63" s="236" t="n"/>
    </row>
    <row r="64" ht="19.5" customHeight="1">
      <c r="A64" s="225" t="inlineStr">
        <is>
          <t>Dimension view</t>
        </is>
      </c>
      <c r="B64" s="10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5" t="n"/>
    </row>
    <row r="65" ht="19.5" customHeight="1">
      <c r="A65" s="235" t="n"/>
      <c r="B65" s="406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  <c r="L65" s="406" t="n"/>
      <c r="M65" s="236" t="n"/>
    </row>
    <row r="66" ht="19.5" customHeight="1">
      <c r="A66" s="235" t="n"/>
      <c r="B66" s="247" t="n"/>
      <c r="C66" s="247" t="n"/>
      <c r="D66" s="247" t="n"/>
      <c r="E66" s="247" t="n"/>
      <c r="F66" s="247" t="n"/>
      <c r="G66" s="247" t="n"/>
      <c r="H66" s="247" t="n"/>
      <c r="I66" s="247" t="n"/>
      <c r="J66" s="247" t="n"/>
      <c r="K66" s="247" t="n"/>
      <c r="L66" s="247" t="n"/>
      <c r="M66" s="236" t="n"/>
    </row>
    <row r="67" ht="19.5" customHeight="1">
      <c r="A67" s="235" t="n"/>
      <c r="B67" s="406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  <c r="L67" s="406" t="n"/>
      <c r="M67" s="236" t="n"/>
    </row>
    <row r="68" ht="19.5" customHeight="1">
      <c r="A68" s="235" t="n"/>
      <c r="B68" s="247" t="n"/>
      <c r="C68" s="247" t="n"/>
      <c r="D68" s="247" t="n"/>
      <c r="E68" s="247" t="n"/>
      <c r="F68" s="247" t="n"/>
      <c r="G68" s="247" t="n"/>
      <c r="H68" s="247" t="n"/>
      <c r="I68" s="247" t="n"/>
      <c r="J68" s="247" t="n"/>
      <c r="K68" s="247" t="n"/>
      <c r="L68" s="247" t="n"/>
      <c r="M68" s="236" t="n"/>
    </row>
    <row r="69" ht="19.5" customHeight="1">
      <c r="A69" s="235" t="inlineStr">
        <is>
          <t>Net sales</t>
        </is>
      </c>
      <c r="B69" s="406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  <c r="L69" s="406" t="n"/>
      <c r="M69" s="406" t="n"/>
    </row>
    <row r="70" ht="19.5" customHeight="1">
      <c r="A70" s="225" t="inlineStr">
        <is>
          <t>[Optional sector metric slot 70]</t>
        </is>
      </c>
      <c r="B70" s="10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5" t="n"/>
    </row>
    <row r="71" ht="19.5" customHeight="1">
      <c r="A71" s="235" t="inlineStr">
        <is>
          <t>[Optional sector metric slot 71]</t>
        </is>
      </c>
      <c r="B71" s="247" t="n"/>
      <c r="C71" s="247" t="n"/>
      <c r="D71" s="247" t="n"/>
      <c r="E71" s="247" t="n"/>
      <c r="F71" s="247" t="n"/>
      <c r="G71" s="247" t="n"/>
      <c r="H71" s="247" t="n"/>
      <c r="I71" s="247" t="n"/>
      <c r="J71" s="247" t="n"/>
      <c r="K71" s="247" t="n"/>
      <c r="L71" s="247" t="n"/>
      <c r="M71" s="236" t="n"/>
    </row>
    <row r="72" ht="19.5" customHeight="1">
      <c r="A72" s="235" t="n"/>
      <c r="B72" s="247" t="n"/>
      <c r="C72" s="247" t="n"/>
      <c r="D72" s="247" t="n"/>
      <c r="E72" s="247" t="n"/>
      <c r="F72" s="247" t="n"/>
      <c r="G72" s="247" t="n"/>
      <c r="H72" s="247" t="n"/>
      <c r="I72" s="247" t="n"/>
      <c r="J72" s="247" t="n"/>
      <c r="K72" s="247" t="n"/>
      <c r="L72" s="247" t="n"/>
      <c r="M72" s="236" t="n"/>
    </row>
    <row r="73" ht="19.5" customHeight="1">
      <c r="A73" s="235" t="inlineStr">
        <is>
          <t>[Optional sector metric slot 73]</t>
        </is>
      </c>
      <c r="B73" s="247" t="n"/>
      <c r="C73" s="247" t="n"/>
      <c r="D73" s="247" t="n"/>
      <c r="E73" s="247" t="n"/>
      <c r="F73" s="247" t="n"/>
      <c r="G73" s="247" t="n"/>
      <c r="H73" s="247" t="n"/>
      <c r="I73" s="247" t="n"/>
      <c r="J73" s="247" t="n"/>
      <c r="K73" s="247" t="n"/>
      <c r="L73" s="247" t="n"/>
      <c r="M73" s="236" t="n"/>
    </row>
    <row r="74" ht="19.5" customHeight="1">
      <c r="A74" s="235" t="inlineStr">
        <is>
          <t>[Optional sector metric slot 74]</t>
        </is>
      </c>
      <c r="B74" s="247" t="n"/>
      <c r="C74" s="247" t="n"/>
      <c r="D74" s="247" t="n"/>
      <c r="E74" s="247" t="n"/>
      <c r="F74" s="247" t="n"/>
      <c r="G74" s="247" t="n"/>
      <c r="H74" s="247" t="n"/>
      <c r="I74" s="247" t="n"/>
      <c r="J74" s="247" t="n"/>
      <c r="K74" s="247" t="n"/>
      <c r="L74" s="247" t="n"/>
      <c r="M74" s="236" t="n"/>
    </row>
    <row r="75" ht="19.5" customHeight="1">
      <c r="A75" s="235" t="n"/>
      <c r="B75" s="247" t="n"/>
      <c r="C75" s="247" t="n"/>
      <c r="D75" s="247" t="n"/>
      <c r="E75" s="247" t="n"/>
      <c r="F75" s="247" t="n"/>
      <c r="G75" s="247" t="n"/>
      <c r="H75" s="247" t="n"/>
      <c r="I75" s="247" t="n"/>
      <c r="J75" s="247" t="n"/>
      <c r="K75" s="247" t="n"/>
      <c r="L75" s="247" t="n"/>
      <c r="M75" s="236" t="n"/>
    </row>
    <row r="76" ht="19.5" customHeight="1">
      <c r="A76" s="235" t="inlineStr">
        <is>
          <t>[Optional sector metric slot 76]</t>
        </is>
      </c>
      <c r="B76" s="247" t="n"/>
      <c r="C76" s="247" t="n"/>
      <c r="D76" s="247" t="n"/>
      <c r="E76" s="247" t="n"/>
      <c r="F76" s="247" t="n"/>
      <c r="G76" s="247" t="n"/>
      <c r="H76" s="247" t="n"/>
      <c r="I76" s="247" t="n"/>
      <c r="J76" s="247" t="n"/>
      <c r="K76" s="247" t="n"/>
      <c r="L76" s="247" t="n"/>
      <c r="M76" s="236" t="n"/>
    </row>
    <row r="77" ht="19.5" customHeight="1">
      <c r="A77" s="225" t="inlineStr">
        <is>
          <t>Margin / costs</t>
        </is>
      </c>
      <c r="B77" s="10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5" t="n"/>
    </row>
    <row r="78" ht="19.5" customHeight="1">
      <c r="A78" s="235" t="inlineStr">
        <is>
          <t>Gross margin</t>
        </is>
      </c>
      <c r="B78" s="247" t="n"/>
      <c r="C78" s="247" t="n"/>
      <c r="D78" s="247" t="n"/>
      <c r="E78" s="247" t="n"/>
      <c r="F78" s="247" t="n"/>
      <c r="G78" s="247" t="n"/>
      <c r="H78" s="247" t="n"/>
      <c r="I78" s="247" t="n"/>
      <c r="J78" s="247" t="n"/>
      <c r="K78" s="247" t="n"/>
      <c r="L78" s="247" t="n"/>
      <c r="M78" s="247" t="n"/>
    </row>
    <row r="79" ht="19.5" customHeight="1">
      <c r="A79" s="235" t="inlineStr">
        <is>
          <t>Inventory cost YoY</t>
        </is>
      </c>
      <c r="B79" s="236" t="n"/>
      <c r="C79" s="236" t="n"/>
      <c r="D79" s="236" t="n"/>
      <c r="E79" s="236" t="n"/>
      <c r="F79" s="236" t="n"/>
      <c r="G79" s="236" t="n"/>
      <c r="H79" s="247" t="n"/>
      <c r="I79" s="247" t="n"/>
      <c r="J79" s="247" t="n"/>
      <c r="K79" s="236" t="n"/>
      <c r="L79" s="247" t="n"/>
      <c r="M79" s="236" t="n"/>
    </row>
    <row r="80" ht="19.5" customHeight="1">
      <c r="A80" s="235" t="inlineStr">
        <is>
          <t>Margin durability</t>
        </is>
      </c>
      <c r="B80" s="236" t="n"/>
      <c r="C80" s="236" t="n"/>
      <c r="D80" s="236" t="n"/>
      <c r="E80" s="236" t="n"/>
      <c r="F80" s="236" t="n"/>
      <c r="G80" s="236" t="n"/>
      <c r="H80" s="236" t="n"/>
      <c r="I80" s="236" t="n"/>
      <c r="J80" s="236" t="n"/>
      <c r="K80" s="236" t="n"/>
      <c r="L80" s="236" t="n"/>
      <c r="M80" s="237" t="n"/>
    </row>
    <row r="81" ht="19.5" customHeight="1">
      <c r="A81" s="235" t="inlineStr">
        <is>
          <t>Operating margin</t>
        </is>
      </c>
      <c r="B81" s="247" t="n"/>
      <c r="C81" s="247" t="n"/>
      <c r="D81" s="247" t="n"/>
      <c r="E81" s="247" t="n"/>
      <c r="F81" s="247" t="n"/>
      <c r="G81" s="247" t="n"/>
      <c r="H81" s="247" t="n"/>
      <c r="I81" s="247" t="n"/>
      <c r="J81" s="247" t="n"/>
      <c r="K81" s="247" t="n"/>
      <c r="L81" s="247" t="n"/>
      <c r="M81" s="247" t="n"/>
    </row>
    <row r="82" ht="19.5" customHeight="1">
      <c r="A82" s="225" t="inlineStr">
        <is>
          <t>Inventory / working capital</t>
        </is>
      </c>
      <c r="B82" s="10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5" t="n"/>
    </row>
    <row r="83" ht="19.5" customHeight="1">
      <c r="A83" s="235" t="inlineStr">
        <is>
          <t>Inventory</t>
        </is>
      </c>
      <c r="B83" s="406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  <c r="L83" s="406" t="n"/>
      <c r="M83" s="406" t="n"/>
    </row>
    <row r="84" ht="19.5" customHeight="1">
      <c r="A84" s="235" t="inlineStr">
        <is>
          <t>Inventory quality</t>
        </is>
      </c>
      <c r="B84" s="236" t="n"/>
      <c r="C84" s="236" t="n"/>
      <c r="D84" s="236" t="n"/>
      <c r="E84" s="236" t="n"/>
      <c r="F84" s="236" t="n"/>
      <c r="G84" s="236" t="n"/>
      <c r="H84" s="236" t="n"/>
      <c r="I84" s="236" t="n"/>
      <c r="J84" s="236" t="n"/>
      <c r="K84" s="236" t="n"/>
      <c r="L84" s="236" t="n"/>
      <c r="M84" s="237" t="n"/>
    </row>
    <row r="85" ht="19.5" customHeight="1">
      <c r="A85" s="235" t="inlineStr">
        <is>
          <t>Inventory units YoY</t>
        </is>
      </c>
      <c r="B85" s="236" t="n"/>
      <c r="C85" s="236" t="n"/>
      <c r="D85" s="236" t="n"/>
      <c r="E85" s="236" t="n"/>
      <c r="F85" s="236" t="n"/>
      <c r="G85" s="236" t="n"/>
      <c r="H85" s="236" t="n"/>
      <c r="I85" s="236" t="n"/>
      <c r="J85" s="247" t="n"/>
      <c r="K85" s="236" t="n"/>
      <c r="L85" s="236" t="n"/>
      <c r="M85" s="236" t="n"/>
    </row>
    <row r="86" ht="19.5" customHeight="1">
      <c r="A86" s="225" t="inlineStr">
        <is>
          <t>Capital allocation</t>
        </is>
      </c>
      <c r="B86" s="10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5" t="n"/>
    </row>
    <row r="87" ht="19.5" customHeight="1">
      <c r="A87" s="235" t="inlineStr">
        <is>
          <t>[Operating driver slot 87]</t>
        </is>
      </c>
      <c r="B87" s="236" t="n"/>
      <c r="C87" s="236" t="n"/>
      <c r="D87" s="236" t="n"/>
      <c r="E87" s="236" t="n"/>
      <c r="F87" s="236" t="n"/>
      <c r="G87" s="236" t="n"/>
      <c r="H87" s="236" t="n"/>
      <c r="I87" s="236" t="n"/>
      <c r="J87" s="236" t="n"/>
      <c r="K87" s="236" t="n"/>
      <c r="L87" s="236" t="n"/>
      <c r="M87" s="406" t="n"/>
    </row>
    <row r="88" ht="19.5" customHeight="1">
      <c r="A88" s="235" t="inlineStr">
        <is>
          <t>[Operating driver slot 88]</t>
        </is>
      </c>
      <c r="B88" s="236" t="n"/>
      <c r="C88" s="236" t="n"/>
      <c r="D88" s="236" t="n"/>
      <c r="E88" s="236" t="n"/>
      <c r="F88" s="236" t="n"/>
      <c r="G88" s="236" t="n"/>
      <c r="H88" s="236" t="n"/>
      <c r="I88" s="236" t="n"/>
      <c r="J88" s="236" t="n"/>
      <c r="K88" s="236" t="n"/>
      <c r="L88" s="236" t="n"/>
      <c r="M88" s="408" t="n"/>
    </row>
    <row r="89" ht="19.5" customHeight="1">
      <c r="A89" s="235" t="inlineStr">
        <is>
          <t>[Operating driver slot 89]</t>
        </is>
      </c>
      <c r="B89" s="236" t="n"/>
      <c r="C89" s="236" t="n"/>
      <c r="D89" s="236" t="n"/>
      <c r="E89" s="236" t="n"/>
      <c r="F89" s="236" t="n"/>
      <c r="G89" s="236" t="n"/>
      <c r="H89" s="236" t="n"/>
      <c r="I89" s="236" t="n"/>
      <c r="J89" s="236" t="n"/>
      <c r="K89" s="236" t="n"/>
      <c r="L89" s="236" t="n"/>
      <c r="M89" s="406" t="n"/>
    </row>
    <row r="90" ht="19.5" customHeight="1">
      <c r="A90" s="235" t="inlineStr">
        <is>
          <t>Remaining authorization</t>
        </is>
      </c>
      <c r="B90" s="236" t="n"/>
      <c r="C90" s="236" t="n"/>
      <c r="D90" s="236" t="n"/>
      <c r="E90" s="236" t="n"/>
      <c r="F90" s="236" t="n"/>
      <c r="G90" s="236" t="n"/>
      <c r="H90" s="236" t="n"/>
      <c r="I90" s="236" t="n"/>
      <c r="J90" s="236" t="n"/>
      <c r="K90" s="236" t="n"/>
      <c r="L90" s="236" t="n"/>
      <c r="M90" s="406" t="n"/>
    </row>
    <row r="91" ht="19.5" customHeight="1">
      <c r="A91" s="235" t="inlineStr">
        <is>
          <t>Shares repurchased</t>
        </is>
      </c>
      <c r="B91" s="236" t="n"/>
      <c r="C91" s="236" t="n"/>
      <c r="D91" s="236" t="n"/>
      <c r="E91" s="236" t="n"/>
      <c r="F91" s="236" t="n"/>
      <c r="G91" s="236" t="n"/>
      <c r="H91" s="236" t="n"/>
      <c r="I91" s="236" t="n"/>
      <c r="J91" s="236" t="n"/>
      <c r="K91" s="236" t="n"/>
      <c r="L91" s="236" t="n"/>
      <c r="M91" s="406" t="n"/>
    </row>
    <row r="92" ht="19.5" customHeight="1">
      <c r="A92" s="225" t="inlineStr">
        <is>
          <t>Outlook bridge</t>
        </is>
      </c>
      <c r="B92" s="10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5" t="n"/>
    </row>
    <row r="93" ht="19.5" customHeight="1">
      <c r="A93" s="235" t="inlineStr">
        <is>
          <t>[Operating driver slot 93]</t>
        </is>
      </c>
      <c r="B93" s="236" t="n"/>
      <c r="C93" s="236" t="n"/>
      <c r="D93" s="236" t="n"/>
      <c r="E93" s="236" t="n"/>
      <c r="F93" s="236" t="n"/>
      <c r="G93" s="236" t="n"/>
      <c r="H93" s="236" t="n"/>
      <c r="I93" s="236" t="n"/>
      <c r="J93" s="236" t="n"/>
      <c r="K93" s="236" t="n"/>
      <c r="L93" s="236" t="n"/>
      <c r="M93" s="250" t="n"/>
    </row>
    <row r="94" ht="19.5" customHeight="1">
      <c r="A94" s="235" t="inlineStr">
        <is>
          <t>[Operating driver slot 94]</t>
        </is>
      </c>
      <c r="B94" s="236" t="n"/>
      <c r="C94" s="236" t="n"/>
      <c r="D94" s="236" t="n"/>
      <c r="E94" s="236" t="n"/>
      <c r="F94" s="236" t="n"/>
      <c r="G94" s="236" t="n"/>
      <c r="H94" s="236" t="n"/>
      <c r="I94" s="236" t="n"/>
      <c r="J94" s="236" t="n"/>
      <c r="K94" s="236" t="n"/>
      <c r="L94" s="236" t="n"/>
      <c r="M94" s="250" t="n"/>
    </row>
    <row r="95" ht="19.5" customHeight="1">
      <c r="A95" s="235" t="inlineStr">
        <is>
          <t>[Operating driver slot 95]</t>
        </is>
      </c>
      <c r="B95" s="236" t="n"/>
      <c r="C95" s="236" t="n"/>
      <c r="D95" s="236" t="n"/>
      <c r="E95" s="236" t="n"/>
      <c r="F95" s="236" t="n"/>
      <c r="G95" s="236" t="n"/>
      <c r="H95" s="236" t="n"/>
      <c r="I95" s="236" t="n"/>
      <c r="J95" s="236" t="n"/>
      <c r="K95" s="236" t="n"/>
      <c r="L95" s="236" t="n"/>
      <c r="M95" s="250" t="n"/>
    </row>
    <row r="96" ht="19.5" customHeight="1">
      <c r="A96" s="235" t="inlineStr">
        <is>
          <t>[Operating driver slot 96]</t>
        </is>
      </c>
      <c r="B96" s="236" t="n"/>
      <c r="C96" s="236" t="n"/>
      <c r="D96" s="236" t="n"/>
      <c r="E96" s="236" t="n"/>
      <c r="F96" s="236" t="n"/>
      <c r="G96" s="236" t="n"/>
      <c r="H96" s="236" t="n"/>
      <c r="I96" s="236" t="n"/>
      <c r="J96" s="236" t="n"/>
      <c r="K96" s="236" t="n"/>
      <c r="L96" s="236" t="n"/>
      <c r="M96" s="406" t="n"/>
    </row>
    <row r="97" ht="19.5" customHeight="1">
      <c r="A97" s="235" t="inlineStr">
        <is>
          <t>[Operating driver slot 97]</t>
        </is>
      </c>
      <c r="B97" s="236" t="n"/>
      <c r="C97" s="236" t="n"/>
      <c r="D97" s="236" t="n"/>
      <c r="E97" s="236" t="n"/>
      <c r="F97" s="236" t="n"/>
      <c r="G97" s="236" t="n"/>
      <c r="H97" s="236" t="n"/>
      <c r="I97" s="236" t="n"/>
      <c r="J97" s="236" t="n"/>
      <c r="K97" s="236" t="n"/>
      <c r="L97" s="236" t="n"/>
      <c r="M97" s="250" t="n"/>
    </row>
    <row r="98" ht="19.5" customHeight="1">
      <c r="A98" s="235" t="inlineStr">
        <is>
          <t>[Operating driver slot 98]</t>
        </is>
      </c>
      <c r="B98" s="236" t="n"/>
      <c r="C98" s="236" t="n"/>
      <c r="D98" s="236" t="n"/>
      <c r="E98" s="236" t="n"/>
      <c r="F98" s="236" t="n"/>
      <c r="G98" s="236" t="n"/>
      <c r="H98" s="236" t="n"/>
      <c r="I98" s="236" t="n"/>
      <c r="J98" s="236" t="n"/>
      <c r="K98" s="236" t="n"/>
      <c r="L98" s="236" t="n"/>
      <c r="M98" s="406" t="n"/>
    </row>
    <row r="99" ht="19.5" customHeight="1">
      <c r="A99" s="235" t="inlineStr">
        <is>
          <t>[Operating driver slot 99]</t>
        </is>
      </c>
      <c r="B99" s="236" t="n"/>
      <c r="C99" s="236" t="n"/>
      <c r="D99" s="236" t="n"/>
      <c r="E99" s="236" t="n"/>
      <c r="F99" s="236" t="n"/>
      <c r="G99" s="236" t="n"/>
      <c r="H99" s="236" t="n"/>
      <c r="I99" s="236" t="n"/>
      <c r="J99" s="236" t="n"/>
      <c r="K99" s="236" t="n"/>
      <c r="L99" s="236" t="n"/>
      <c r="M99" s="250" t="n"/>
    </row>
    <row r="100" ht="19.5" customHeight="1">
      <c r="A100" s="235" t="inlineStr">
        <is>
          <t>[Operating driver slot 100]</t>
        </is>
      </c>
      <c r="B100" s="236" t="n"/>
      <c r="C100" s="236" t="n"/>
      <c r="D100" s="236" t="n"/>
      <c r="E100" s="236" t="n"/>
      <c r="F100" s="236" t="n"/>
      <c r="G100" s="236" t="n"/>
      <c r="H100" s="236" t="n"/>
      <c r="I100" s="236" t="n"/>
      <c r="J100" s="236" t="n"/>
      <c r="K100" s="236" t="n"/>
      <c r="L100" s="236" t="n"/>
      <c r="M100" s="250" t="n"/>
    </row>
    <row r="101" ht="19.5" customHeight="1">
      <c r="A101" s="235" t="inlineStr">
        <is>
          <t>[Operating driver slot 101]</t>
        </is>
      </c>
      <c r="B101" s="236" t="n"/>
      <c r="C101" s="236" t="n"/>
      <c r="D101" s="236" t="n"/>
      <c r="E101" s="236" t="n"/>
      <c r="F101" s="236" t="n"/>
      <c r="G101" s="236" t="n"/>
      <c r="H101" s="236" t="n"/>
      <c r="I101" s="236" t="n"/>
      <c r="J101" s="236" t="n"/>
      <c r="K101" s="236" t="n"/>
      <c r="L101" s="236" t="n"/>
      <c r="M101" s="250" t="n"/>
    </row>
    <row r="102" ht="19.5" customHeight="1">
      <c r="A102" s="235" t="inlineStr">
        <is>
          <t>[Operating driver slot 102]</t>
        </is>
      </c>
      <c r="B102" s="236" t="n"/>
      <c r="C102" s="236" t="n"/>
      <c r="D102" s="236" t="n"/>
      <c r="E102" s="236" t="n"/>
      <c r="F102" s="236" t="n"/>
      <c r="G102" s="236" t="n"/>
      <c r="H102" s="236" t="n"/>
      <c r="I102" s="236" t="n"/>
      <c r="J102" s="236" t="n"/>
      <c r="K102" s="236" t="n"/>
      <c r="L102" s="236" t="n"/>
      <c r="M102" s="406" t="n"/>
    </row>
    <row r="103" ht="19.5" customHeight="1">
      <c r="A103" s="235" t="inlineStr">
        <is>
          <t>[Operating driver slot 103]</t>
        </is>
      </c>
      <c r="B103" s="236" t="n"/>
      <c r="C103" s="236" t="n"/>
      <c r="D103" s="236" t="n"/>
      <c r="E103" s="236" t="n"/>
      <c r="F103" s="236" t="n"/>
      <c r="G103" s="236" t="n"/>
      <c r="H103" s="236" t="n"/>
      <c r="I103" s="236" t="n"/>
      <c r="J103" s="236" t="n"/>
      <c r="K103" s="236" t="n"/>
      <c r="L103" s="236" t="n"/>
      <c r="M103" s="250" t="n"/>
    </row>
    <row r="104" ht="19.5" customHeight="1">
      <c r="A104" s="225" t="inlineStr">
        <is>
          <t>[Operating driver slot 104]</t>
        </is>
      </c>
      <c r="B104" s="10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M104" s="105" t="n"/>
    </row>
    <row r="105" ht="19.5" customHeight="1">
      <c r="A105" s="235" t="inlineStr">
        <is>
          <t>[Operating driver slot 105]</t>
        </is>
      </c>
      <c r="B105" s="236" t="n"/>
      <c r="C105" s="236" t="n"/>
      <c r="D105" s="236" t="n"/>
      <c r="E105" s="236" t="n"/>
      <c r="F105" s="236" t="n"/>
      <c r="G105" s="236" t="n"/>
      <c r="H105" s="236" t="n"/>
      <c r="I105" s="236" t="n"/>
      <c r="J105" s="236" t="n"/>
      <c r="K105" s="236" t="n"/>
      <c r="L105" s="236" t="n"/>
      <c r="M105" s="250" t="n"/>
    </row>
    <row r="106" ht="19.5" customHeight="1">
      <c r="A106" s="235" t="inlineStr">
        <is>
          <t>[Operating driver slot 106]</t>
        </is>
      </c>
      <c r="B106" s="236" t="n"/>
      <c r="C106" s="236" t="n"/>
      <c r="D106" s="236" t="n"/>
      <c r="E106" s="236" t="n"/>
      <c r="F106" s="236" t="n"/>
      <c r="G106" s="236" t="n"/>
      <c r="H106" s="236" t="n"/>
      <c r="I106" s="236" t="n"/>
      <c r="J106" s="236" t="n"/>
      <c r="K106" s="236" t="n"/>
      <c r="L106" s="236" t="n"/>
      <c r="M106" s="250" t="n"/>
    </row>
    <row r="107" ht="19.5" customHeight="1">
      <c r="A107" s="235" t="inlineStr">
        <is>
          <t>[Operating driver slot 107]</t>
        </is>
      </c>
      <c r="B107" s="236" t="n"/>
      <c r="C107" s="236" t="n"/>
      <c r="D107" s="236" t="n"/>
      <c r="E107" s="236" t="n"/>
      <c r="F107" s="236" t="n"/>
      <c r="G107" s="236" t="n"/>
      <c r="H107" s="236" t="n"/>
      <c r="I107" s="236" t="n"/>
      <c r="J107" s="236" t="n"/>
      <c r="K107" s="236" t="n"/>
      <c r="L107" s="236" t="n"/>
      <c r="M107" s="250" t="n"/>
    </row>
    <row r="108" ht="19.5" customHeight="1">
      <c r="A108" s="235" t="inlineStr">
        <is>
          <t>[Operating driver slot 108]</t>
        </is>
      </c>
      <c r="B108" s="236" t="n"/>
      <c r="C108" s="236" t="n"/>
      <c r="D108" s="236" t="n"/>
      <c r="E108" s="236" t="n"/>
      <c r="F108" s="236" t="n"/>
      <c r="G108" s="236" t="n"/>
      <c r="H108" s="236" t="n"/>
      <c r="I108" s="236" t="n"/>
      <c r="J108" s="236" t="n"/>
      <c r="K108" s="236" t="n"/>
      <c r="L108" s="236" t="n"/>
      <c r="M108" s="250" t="n"/>
    </row>
    <row r="109" ht="19.5" customHeight="1">
      <c r="A109" s="235" t="inlineStr">
        <is>
          <t>[Operating driver slot 109]</t>
        </is>
      </c>
      <c r="B109" s="236" t="n"/>
      <c r="C109" s="236" t="n"/>
      <c r="D109" s="236" t="n"/>
      <c r="E109" s="236" t="n"/>
      <c r="F109" s="236" t="n"/>
      <c r="G109" s="236" t="n"/>
      <c r="H109" s="236" t="n"/>
      <c r="I109" s="236" t="n"/>
      <c r="J109" s="236" t="n"/>
      <c r="K109" s="236" t="n"/>
      <c r="L109" s="236" t="n"/>
      <c r="M109" s="250" t="n"/>
    </row>
    <row r="110" ht="19.5" customHeight="1">
      <c r="A110" s="235" t="inlineStr">
        <is>
          <t>[Optional sector operating driver slot 110]</t>
        </is>
      </c>
      <c r="B110" s="236" t="n"/>
      <c r="C110" s="236" t="n"/>
      <c r="D110" s="236" t="n"/>
      <c r="E110" s="236" t="n"/>
      <c r="F110" s="236" t="n"/>
      <c r="G110" s="236" t="n"/>
      <c r="H110" s="236" t="n"/>
      <c r="I110" s="236" t="n"/>
      <c r="J110" s="236" t="n"/>
      <c r="K110" s="236" t="n"/>
      <c r="L110" s="236" t="n"/>
      <c r="M110" s="250" t="n"/>
    </row>
    <row r="111" ht="19.5" customHeight="1">
      <c r="A111" s="225" t="inlineStr">
        <is>
          <t>[Optional sector block slot 111]</t>
        </is>
      </c>
      <c r="B111" s="10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M111" s="105" t="n"/>
    </row>
    <row r="112" ht="19.5" customHeight="1">
      <c r="A112" s="235" t="inlineStr">
        <is>
          <t>[Optional sector metric slot 112]</t>
        </is>
      </c>
      <c r="B112" s="236" t="n"/>
      <c r="C112" s="236" t="n"/>
      <c r="D112" s="236" t="n"/>
      <c r="E112" s="236" t="n"/>
      <c r="F112" s="236" t="n"/>
      <c r="G112" s="236" t="n"/>
      <c r="H112" s="236" t="n"/>
      <c r="I112" s="236" t="n"/>
      <c r="J112" s="236" t="n"/>
      <c r="K112" s="236" t="n"/>
      <c r="L112" s="247" t="n"/>
      <c r="M112" s="236" t="n"/>
    </row>
    <row r="113" ht="19.5" customHeight="1">
      <c r="A113" s="225" t="inlineStr">
        <is>
          <t>Cash conversion / capex</t>
        </is>
      </c>
      <c r="B113" s="10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M113" s="105" t="n"/>
    </row>
    <row r="114" ht="19.5" customHeight="1">
      <c r="A114" s="235" t="inlineStr">
        <is>
          <t>Capital expenditures</t>
        </is>
      </c>
      <c r="B114" s="406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  <c r="L114" s="406" t="n"/>
      <c r="M114" s="406" t="n"/>
    </row>
    <row r="115" ht="19.5" customHeight="1">
      <c r="A115" s="235" t="inlineStr">
        <is>
          <t>Operating cash flow</t>
        </is>
      </c>
      <c r="B115" s="406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  <c r="L115" s="406" t="n"/>
      <c r="M115" s="406" t="n"/>
    </row>
    <row r="116"/>
    <row r="117"/>
    <row r="118"/>
    <row r="119"/>
    <row r="120"/>
    <row r="121"/>
    <row r="122"/>
    <row r="123"/>
    <row r="124"/>
    <row r="125"/>
  </sheetData>
  <mergeCells count="61">
    <mergeCell ref="A39:N39"/>
    <mergeCell ref="C25:N25"/>
    <mergeCell ref="H13:N13"/>
    <mergeCell ref="B14:G14"/>
    <mergeCell ref="A24:N24"/>
    <mergeCell ref="B8:G8"/>
    <mergeCell ref="C31:N31"/>
    <mergeCell ref="H12:N12"/>
    <mergeCell ref="A11:N11"/>
    <mergeCell ref="B13:G13"/>
    <mergeCell ref="H15:N15"/>
    <mergeCell ref="C21:N21"/>
    <mergeCell ref="A1:N1"/>
    <mergeCell ref="H5:N5"/>
    <mergeCell ref="H8:N8"/>
    <mergeCell ref="H14:N14"/>
    <mergeCell ref="A111:M111"/>
    <mergeCell ref="C27:N27"/>
    <mergeCell ref="B9:G9"/>
    <mergeCell ref="C36:N36"/>
    <mergeCell ref="C23:N23"/>
    <mergeCell ref="A92:M92"/>
    <mergeCell ref="A41:N41"/>
    <mergeCell ref="A77:M77"/>
    <mergeCell ref="A64:M64"/>
    <mergeCell ref="B15:G15"/>
    <mergeCell ref="A82:M82"/>
    <mergeCell ref="B6:G6"/>
    <mergeCell ref="A18:N18"/>
    <mergeCell ref="C32:N32"/>
    <mergeCell ref="A3:N3"/>
    <mergeCell ref="C38:N38"/>
    <mergeCell ref="B5:G5"/>
    <mergeCell ref="H9:N9"/>
    <mergeCell ref="C19:N19"/>
    <mergeCell ref="C37:N37"/>
    <mergeCell ref="A70:M70"/>
    <mergeCell ref="C28:N28"/>
    <mergeCell ref="C35:N35"/>
    <mergeCell ref="H6:N6"/>
    <mergeCell ref="A42:N42"/>
    <mergeCell ref="A54:M54"/>
    <mergeCell ref="B7:G7"/>
    <mergeCell ref="C30:N30"/>
    <mergeCell ref="C34:N34"/>
    <mergeCell ref="B16:G16"/>
    <mergeCell ref="A22:N22"/>
    <mergeCell ref="C33:N33"/>
    <mergeCell ref="A4:N4"/>
    <mergeCell ref="A20:N20"/>
    <mergeCell ref="A52:N52"/>
    <mergeCell ref="H7:N7"/>
    <mergeCell ref="B12:G12"/>
    <mergeCell ref="A86:M86"/>
    <mergeCell ref="H16:N16"/>
    <mergeCell ref="C26:N26"/>
    <mergeCell ref="A57:M57"/>
    <mergeCell ref="A113:M113"/>
    <mergeCell ref="A104:M104"/>
    <mergeCell ref="C29:N29"/>
    <mergeCell ref="A44:N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3"/>
  <sheetViews>
    <sheetView zoomScale="112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width="30" customWidth="1" min="3" max="3"/>
    <col width="28" customWidth="1" min="4" max="4"/>
    <col width="32" customWidth="1" min="5" max="5"/>
    <col width="24" customWidth="1" min="6" max="6"/>
    <col width="24" customWidth="1" min="7" max="7"/>
    <col width="24" customWidth="1" min="8" max="8"/>
    <col width="22" customWidth="1" min="9" max="9"/>
    <col width="22" customWidth="1" min="10" max="10"/>
    <col width="24" customWidth="1" min="11" max="11"/>
  </cols>
  <sheetData>
    <row r="1" ht="26" customHeight="1">
      <c r="A1" s="251" t="inlineStr">
        <is>
          <t>{ticker} Investment Case</t>
        </is>
      </c>
    </row>
    <row r="2" ht="21" customHeight="1">
      <c r="A2" s="253" t="n"/>
    </row>
    <row r="3" ht="21" customHeight="1"/>
    <row r="4" ht="21" customHeight="1">
      <c r="A4" s="254" t="inlineStr">
        <is>
          <t>Investment Snapshot</t>
        </is>
      </c>
      <c r="B4" s="47" t="n"/>
      <c r="C4" s="47" t="n"/>
      <c r="D4" s="47" t="n"/>
      <c r="E4" s="47" t="n"/>
      <c r="F4" s="47" t="n"/>
      <c r="G4" s="47" t="n"/>
      <c r="H4" s="47" t="n"/>
      <c r="I4" s="47" t="n"/>
      <c r="J4" s="46" t="n"/>
    </row>
    <row r="5" ht="24" customHeight="1">
      <c r="A5" s="256" t="inlineStr">
        <is>
          <t>Model read</t>
        </is>
      </c>
      <c r="B5" s="257" t="n"/>
      <c r="C5" s="47" t="n"/>
      <c r="D5" s="47" t="n"/>
      <c r="E5" s="47" t="n"/>
      <c r="F5" s="47" t="n"/>
      <c r="G5" s="47" t="n"/>
      <c r="H5" s="47" t="n"/>
      <c r="I5" s="47" t="n"/>
      <c r="J5" s="46" t="n"/>
    </row>
    <row r="6" ht="24" customHeight="1">
      <c r="A6" s="52" t="inlineStr">
        <is>
          <t>Why it can work</t>
        </is>
      </c>
      <c r="B6" s="67" t="n"/>
      <c r="C6" s="47" t="n"/>
      <c r="D6" s="47" t="n"/>
      <c r="E6" s="47" t="n"/>
      <c r="F6" s="47" t="n"/>
      <c r="G6" s="47" t="n"/>
      <c r="H6" s="47" t="n"/>
      <c r="I6" s="47" t="n"/>
      <c r="J6" s="46" t="n"/>
    </row>
    <row r="7" ht="24" customHeight="1">
      <c r="A7" s="53" t="inlineStr">
        <is>
          <t>Key debate</t>
        </is>
      </c>
      <c r="B7" s="68" t="n"/>
      <c r="C7" s="47" t="n"/>
      <c r="D7" s="47" t="n"/>
      <c r="E7" s="47" t="n"/>
      <c r="F7" s="47" t="n"/>
      <c r="G7" s="47" t="n"/>
      <c r="H7" s="47" t="n"/>
      <c r="I7" s="47" t="n"/>
      <c r="J7" s="46" t="n"/>
    </row>
    <row r="8" ht="24" customHeight="1">
      <c r="A8" s="52" t="inlineStr">
        <is>
          <t>Upside path</t>
        </is>
      </c>
      <c r="B8" s="67" t="n"/>
      <c r="C8" s="47" t="n"/>
      <c r="D8" s="47" t="n"/>
      <c r="E8" s="47" t="n"/>
      <c r="F8" s="47" t="n"/>
      <c r="G8" s="47" t="n"/>
      <c r="H8" s="47" t="n"/>
      <c r="I8" s="47" t="n"/>
      <c r="J8" s="46" t="n"/>
    </row>
    <row r="9" ht="24" customHeight="1">
      <c r="A9" s="53" t="inlineStr">
        <is>
          <t>Downside path</t>
        </is>
      </c>
      <c r="B9" s="68" t="n"/>
      <c r="C9" s="47" t="n"/>
      <c r="D9" s="47" t="n"/>
      <c r="E9" s="47" t="n"/>
      <c r="F9" s="47" t="n"/>
      <c r="G9" s="47" t="n"/>
      <c r="H9" s="47" t="n"/>
      <c r="I9" s="47" t="n"/>
      <c r="J9" s="46" t="n"/>
    </row>
    <row r="10" ht="24" customHeight="1">
      <c r="A10" s="52" t="inlineStr">
        <is>
          <t>Watch next</t>
        </is>
      </c>
      <c r="B10" s="67" t="n"/>
      <c r="C10" s="47" t="n"/>
      <c r="D10" s="47" t="n"/>
      <c r="E10" s="47" t="n"/>
      <c r="F10" s="47" t="n"/>
      <c r="G10" s="47" t="n"/>
      <c r="H10" s="47" t="n"/>
      <c r="I10" s="47" t="n"/>
      <c r="J10" s="46" t="n"/>
    </row>
    <row r="11" ht="24" customHeight="1">
      <c r="A11" s="53" t="inlineStr">
        <is>
          <t>Current stance</t>
        </is>
      </c>
      <c r="B11" s="68" t="n"/>
      <c r="C11" s="47" t="n"/>
      <c r="D11" s="47" t="n"/>
      <c r="E11" s="47" t="n"/>
      <c r="F11" s="47" t="n"/>
      <c r="G11" s="47" t="n"/>
      <c r="H11" s="47" t="n"/>
      <c r="I11" s="47" t="n"/>
      <c r="J11" s="46" t="n"/>
    </row>
    <row r="12" ht="21" customHeight="1"/>
    <row r="13" ht="21" customHeight="1">
      <c r="A13" s="254" t="inlineStr">
        <is>
          <t>Manual Market / Scenario Inputs</t>
        </is>
      </c>
      <c r="B13" s="47" t="n"/>
      <c r="C13" s="47" t="n"/>
      <c r="D13" s="47" t="n"/>
      <c r="E13" s="47" t="n"/>
      <c r="F13" s="47" t="n"/>
      <c r="G13" s="47" t="n"/>
      <c r="H13" s="47" t="n"/>
      <c r="I13" s="47" t="n"/>
      <c r="J13" s="46" t="n"/>
    </row>
    <row r="14" ht="21" customHeight="1">
      <c r="A14" s="296" t="inlineStr">
        <is>
          <t>Input</t>
        </is>
      </c>
      <c r="B14" s="296" t="n"/>
      <c r="C14" s="296" t="n"/>
      <c r="D14" s="296" t="n"/>
      <c r="E14" s="296" t="n"/>
      <c r="F14" s="296" t="n"/>
      <c r="G14" s="296" t="n"/>
      <c r="H14" s="259" t="n"/>
      <c r="I14" s="47" t="n"/>
      <c r="J14" s="46" t="n"/>
    </row>
    <row r="15" ht="21" customHeight="1">
      <c r="A15" s="67" t="inlineStr">
        <is>
          <t>Current share price</t>
        </is>
      </c>
      <c r="B15" s="353" t="n"/>
      <c r="C15" s="353" t="n"/>
      <c r="D15" s="353" t="n"/>
      <c r="E15" s="353" t="n"/>
      <c r="F15" s="409" t="n"/>
      <c r="G15" s="353" t="n"/>
      <c r="H15" s="67" t="n"/>
      <c r="I15" s="47" t="n"/>
      <c r="J15" s="46" t="n"/>
    </row>
    <row r="16" ht="21" customHeight="1">
      <c r="A16" s="68" t="inlineStr">
        <is>
          <t>Diluted shares</t>
        </is>
      </c>
      <c r="B16" s="352" t="n"/>
      <c r="C16" s="352" t="n"/>
      <c r="D16" s="352" t="n"/>
      <c r="E16" s="352" t="n"/>
      <c r="F16" s="410" t="n"/>
      <c r="G16" s="352" t="n"/>
      <c r="H16" s="68" t="n"/>
      <c r="I16" s="47" t="n"/>
      <c r="J16" s="46" t="n"/>
    </row>
    <row r="17" ht="21" customHeight="1">
      <c r="A17" s="67" t="inlineStr">
        <is>
          <t>Net debt / net cash</t>
        </is>
      </c>
      <c r="B17" s="351" t="n"/>
      <c r="C17" s="351" t="n"/>
      <c r="D17" s="351" t="n"/>
      <c r="E17" s="351" t="n"/>
      <c r="F17" s="410" t="n"/>
      <c r="G17" s="351" t="n"/>
      <c r="H17" s="67" t="n"/>
      <c r="I17" s="47" t="n"/>
      <c r="J17" s="46" t="n"/>
    </row>
    <row r="18" ht="21" customHeight="1">
      <c r="A18" s="68" t="inlineStr">
        <is>
          <t>Forward revenue</t>
        </is>
      </c>
      <c r="B18" s="352" t="n"/>
      <c r="C18" s="352" t="n"/>
      <c r="D18" s="352" t="n"/>
      <c r="E18" s="352" t="n"/>
      <c r="F18" s="410" t="n"/>
      <c r="G18" s="352" t="n"/>
      <c r="H18" s="68" t="n"/>
      <c r="I18" s="47" t="n"/>
      <c r="J18" s="46" t="n"/>
    </row>
    <row r="19" ht="21" customHeight="1">
      <c r="A19" s="67" t="inlineStr">
        <is>
          <t>Forward EPS</t>
        </is>
      </c>
      <c r="B19" s="353" t="n"/>
      <c r="C19" s="353" t="n"/>
      <c r="D19" s="353" t="n"/>
      <c r="E19" s="353" t="n"/>
      <c r="F19" s="409" t="n"/>
      <c r="G19" s="353" t="n"/>
      <c r="H19" s="67" t="n"/>
      <c r="I19" s="47" t="n"/>
      <c r="J19" s="46" t="n"/>
    </row>
    <row r="20" ht="21" customHeight="1">
      <c r="A20" s="68" t="inlineStr">
        <is>
          <t>Forward Adj EBITDA</t>
        </is>
      </c>
      <c r="B20" s="352" t="n"/>
      <c r="C20" s="352" t="n"/>
      <c r="D20" s="352" t="n"/>
      <c r="E20" s="352" t="n"/>
      <c r="F20" s="410" t="n"/>
      <c r="G20" s="352" t="n"/>
      <c r="H20" s="68" t="n"/>
      <c r="I20" s="47" t="n"/>
      <c r="J20" s="46" t="n"/>
    </row>
    <row r="21" ht="21" customHeight="1">
      <c r="A21" s="67" t="inlineStr">
        <is>
          <t>Forward FCF</t>
        </is>
      </c>
      <c r="B21" s="351" t="n"/>
      <c r="C21" s="351" t="n"/>
      <c r="D21" s="351" t="n"/>
      <c r="E21" s="351" t="n"/>
      <c r="F21" s="410" t="n"/>
      <c r="G21" s="351" t="n"/>
      <c r="H21" s="67" t="n"/>
      <c r="I21" s="47" t="n"/>
      <c r="J21" s="46" t="n"/>
    </row>
    <row r="22" ht="21" customHeight="1">
      <c r="A22" s="68" t="inlineStr">
        <is>
          <t>Capex</t>
        </is>
      </c>
      <c r="B22" s="352" t="n"/>
      <c r="C22" s="352" t="n"/>
      <c r="D22" s="352" t="n"/>
      <c r="E22" s="352" t="n"/>
      <c r="F22" s="410" t="n"/>
      <c r="G22" s="352" t="n"/>
      <c r="H22" s="68" t="n"/>
      <c r="I22" s="47" t="n"/>
      <c r="J22" s="46" t="n"/>
    </row>
    <row r="23" ht="21" customHeight="1">
      <c r="A23" s="67" t="inlineStr">
        <is>
          <t>P/E multiple</t>
        </is>
      </c>
      <c r="B23" s="411" t="n"/>
      <c r="C23" s="411" t="n"/>
      <c r="D23" s="411" t="n"/>
      <c r="E23" s="411" t="n"/>
      <c r="F23" s="412" t="n"/>
      <c r="G23" s="411" t="n"/>
      <c r="H23" s="67" t="n"/>
      <c r="I23" s="47" t="n"/>
      <c r="J23" s="46" t="n"/>
    </row>
    <row r="24" ht="21" customHeight="1">
      <c r="A24" s="68" t="inlineStr">
        <is>
          <t>EV/Adj EBITDA multiple</t>
        </is>
      </c>
      <c r="B24" s="413" t="n"/>
      <c r="C24" s="413" t="n"/>
      <c r="D24" s="413" t="n"/>
      <c r="E24" s="413" t="n"/>
      <c r="F24" s="412" t="n"/>
      <c r="G24" s="413" t="n"/>
      <c r="H24" s="68" t="n"/>
      <c r="I24" s="47" t="n"/>
      <c r="J24" s="46" t="n"/>
    </row>
    <row r="25" ht="21" customHeight="1">
      <c r="A25" s="67" t="inlineStr">
        <is>
          <t>FCF yield</t>
        </is>
      </c>
      <c r="B25" s="268" t="n"/>
      <c r="C25" s="268" t="n"/>
      <c r="D25" s="268" t="n"/>
      <c r="E25" s="268" t="n"/>
      <c r="F25" s="276" t="n"/>
      <c r="G25" s="268" t="n"/>
      <c r="H25" s="67" t="n"/>
      <c r="I25" s="47" t="n"/>
      <c r="J25" s="46" t="n"/>
    </row>
    <row r="26" ht="21" customHeight="1">
      <c r="A26" s="68" t="inlineStr">
        <is>
          <t>Sales growth</t>
        </is>
      </c>
      <c r="B26" s="270" t="n"/>
      <c r="C26" s="270" t="n"/>
      <c r="D26" s="270" t="n"/>
      <c r="E26" s="270" t="n"/>
      <c r="F26" s="276" t="n"/>
      <c r="G26" s="270" t="n"/>
      <c r="H26" s="68" t="n"/>
      <c r="I26" s="47" t="n"/>
      <c r="J26" s="46" t="n"/>
    </row>
    <row r="27" ht="21" customHeight="1">
      <c r="A27" s="67" t="inlineStr">
        <is>
          <t>Operating margin</t>
        </is>
      </c>
      <c r="B27" s="268" t="n"/>
      <c r="C27" s="268" t="n"/>
      <c r="D27" s="268" t="n"/>
      <c r="E27" s="268" t="n"/>
      <c r="F27" s="276" t="n"/>
      <c r="G27" s="268" t="n"/>
      <c r="H27" s="67" t="n"/>
      <c r="I27" s="47" t="n"/>
      <c r="J27" s="46" t="n"/>
    </row>
    <row r="28" ht="21" customHeight="1">
      <c r="A28" s="68" t="inlineStr">
        <is>
          <t>Buyback amount</t>
        </is>
      </c>
      <c r="B28" s="352" t="n"/>
      <c r="C28" s="352" t="n"/>
      <c r="D28" s="352" t="n"/>
      <c r="E28" s="352" t="n"/>
      <c r="F28" s="410" t="n"/>
      <c r="G28" s="352" t="n"/>
      <c r="H28" s="68" t="n"/>
      <c r="I28" s="47" t="n"/>
      <c r="J28" s="46" t="n"/>
    </row>
    <row r="29" ht="21" customHeight="1">
      <c r="A29" s="67" t="inlineStr">
        <is>
          <t>Buyback-adjusted shares</t>
        </is>
      </c>
      <c r="B29" s="351" t="n"/>
      <c r="C29" s="351" t="n"/>
      <c r="D29" s="351" t="n"/>
      <c r="E29" s="351" t="n"/>
      <c r="F29" s="410" t="n"/>
      <c r="G29" s="351" t="n"/>
      <c r="H29" s="67" t="n"/>
      <c r="I29" s="47" t="n"/>
      <c r="J29" s="46" t="n"/>
    </row>
    <row r="30" ht="21" customHeight="1">
      <c r="A30" s="68" t="inlineStr">
        <is>
          <t>[Scenario driver slot 30]</t>
        </is>
      </c>
      <c r="B30" s="271" t="n"/>
      <c r="C30" s="271" t="n"/>
      <c r="D30" s="271" t="n"/>
      <c r="E30" s="271" t="n"/>
      <c r="F30" s="272" t="n"/>
      <c r="G30" s="271" t="n"/>
      <c r="H30" s="68" t="n"/>
      <c r="I30" s="47" t="n"/>
      <c r="J30" s="46" t="n"/>
    </row>
    <row r="31" ht="21" customHeight="1">
      <c r="A31" s="67" t="inlineStr">
        <is>
          <t>[Scenario driver slot 31]</t>
        </is>
      </c>
      <c r="B31" s="273" t="n"/>
      <c r="C31" s="273" t="n"/>
      <c r="D31" s="273" t="n"/>
      <c r="E31" s="273" t="n"/>
      <c r="F31" s="272" t="n"/>
      <c r="G31" s="273" t="n"/>
      <c r="H31" s="67" t="n"/>
      <c r="I31" s="47" t="n"/>
      <c r="J31" s="46" t="n"/>
    </row>
    <row r="32" ht="21" customHeight="1">
      <c r="A32" s="68" t="inlineStr">
        <is>
          <t>[Scenario driver slot 32]</t>
        </is>
      </c>
      <c r="B32" s="271" t="n"/>
      <c r="C32" s="271" t="n"/>
      <c r="D32" s="271" t="n"/>
      <c r="E32" s="271" t="n"/>
      <c r="F32" s="272" t="n"/>
      <c r="G32" s="271" t="n"/>
      <c r="H32" s="68" t="n"/>
      <c r="I32" s="47" t="n"/>
      <c r="J32" s="46" t="n"/>
    </row>
    <row r="33" ht="21" customHeight="1">
      <c r="A33" s="67" t="inlineStr">
        <is>
          <t>[Scenario driver slot 33]</t>
        </is>
      </c>
      <c r="B33" s="273" t="n"/>
      <c r="C33" s="273" t="n"/>
      <c r="D33" s="273" t="n"/>
      <c r="E33" s="273" t="n"/>
      <c r="F33" s="272" t="n"/>
      <c r="G33" s="273" t="n"/>
      <c r="H33" s="67" t="n"/>
      <c r="I33" s="47" t="n"/>
      <c r="J33" s="46" t="n"/>
    </row>
    <row r="34" ht="21" customHeight="1">
      <c r="A34" s="68" t="inlineStr">
        <is>
          <t>Scenario tax rate</t>
        </is>
      </c>
      <c r="B34" s="270" t="n"/>
      <c r="C34" s="270" t="n"/>
      <c r="D34" s="270" t="n"/>
      <c r="E34" s="270" t="n"/>
      <c r="F34" s="276" t="n"/>
      <c r="G34" s="270" t="n"/>
      <c r="H34" s="68" t="n"/>
      <c r="I34" s="47" t="n"/>
      <c r="J34" s="46" t="n"/>
    </row>
    <row r="35" ht="21" customHeight="1"/>
    <row r="36" ht="21" customHeight="1">
      <c r="A36" s="254" t="inlineStr">
        <is>
          <t>Segment Scenario Inputs</t>
        </is>
      </c>
      <c r="B36" s="47" t="n"/>
      <c r="C36" s="47" t="n"/>
      <c r="D36" s="47" t="n"/>
      <c r="E36" s="47" t="n"/>
      <c r="F36" s="47" t="n"/>
      <c r="G36" s="47" t="n"/>
      <c r="H36" s="47" t="n"/>
      <c r="I36" s="47" t="n"/>
      <c r="J36" s="46" t="n"/>
    </row>
    <row r="37" ht="21" customHeight="1">
      <c r="A37" s="296" t="inlineStr">
        <is>
          <t>Segment / category</t>
        </is>
      </c>
      <c r="B37" s="296" t="n"/>
      <c r="C37" s="296" t="n"/>
      <c r="D37" s="296" t="n"/>
      <c r="E37" s="296" t="n"/>
      <c r="F37" s="296" t="n"/>
      <c r="G37" s="296" t="n"/>
      <c r="H37" s="296" t="n"/>
      <c r="I37" s="259" t="n"/>
      <c r="J37" s="46" t="n"/>
    </row>
    <row r="38" ht="21" customHeight="1">
      <c r="A38" s="68" t="inlineStr">
        <is>
          <t>Active basis</t>
        </is>
      </c>
      <c r="B38" s="274" t="n"/>
      <c r="C38" s="53" t="n"/>
      <c r="D38" s="53" t="n"/>
      <c r="E38" s="53" t="n"/>
      <c r="F38" s="53" t="n"/>
      <c r="G38" s="53" t="n"/>
      <c r="H38" s="53" t="n"/>
      <c r="I38" s="68" t="n"/>
      <c r="J38" s="46" t="n"/>
    </row>
    <row r="39" ht="21" customHeight="1">
      <c r="A39" s="275" t="inlineStr">
        <is>
          <t>Dimension view 1 - summed only when selected</t>
        </is>
      </c>
      <c r="B39" s="47" t="n"/>
      <c r="C39" s="47" t="n"/>
      <c r="D39" s="47" t="n"/>
      <c r="E39" s="47" t="n"/>
      <c r="F39" s="47" t="n"/>
      <c r="G39" s="47" t="n"/>
      <c r="H39" s="47" t="n"/>
      <c r="I39" s="47" t="n"/>
      <c r="J39" s="46" t="n"/>
    </row>
    <row r="40" ht="21" customHeight="1">
      <c r="A40" s="67" t="n"/>
      <c r="B40" s="67" t="n"/>
      <c r="C40" s="351" t="n"/>
      <c r="D40" s="276" t="n"/>
      <c r="E40" s="351" t="n"/>
      <c r="F40" s="268" t="n"/>
      <c r="G40" s="351" t="n"/>
      <c r="H40" s="52" t="n"/>
      <c r="I40" s="67" t="n"/>
      <c r="J40" s="46" t="n"/>
    </row>
    <row r="41" ht="21" customHeight="1">
      <c r="A41" s="68" t="n"/>
      <c r="B41" s="68" t="n"/>
      <c r="C41" s="352" t="n"/>
      <c r="D41" s="276" t="n"/>
      <c r="E41" s="352" t="n"/>
      <c r="F41" s="270" t="n"/>
      <c r="G41" s="352" t="n"/>
      <c r="H41" s="53" t="n"/>
      <c r="I41" s="68" t="n"/>
      <c r="J41" s="46" t="n"/>
    </row>
    <row r="42" ht="21" customHeight="1">
      <c r="A42" s="275" t="inlineStr">
        <is>
          <t>Dimension view 2 - summed only when selected</t>
        </is>
      </c>
      <c r="B42" s="47" t="n"/>
      <c r="C42" s="47" t="n"/>
      <c r="D42" s="47" t="n"/>
      <c r="E42" s="47" t="n"/>
      <c r="F42" s="47" t="n"/>
      <c r="G42" s="47" t="n"/>
      <c r="H42" s="47" t="n"/>
      <c r="I42" s="47" t="n"/>
      <c r="J42" s="46" t="n"/>
    </row>
    <row r="43" ht="21" customHeight="1">
      <c r="A43" s="67" t="inlineStr">
        <is>
          <t>[Dimension member 1]</t>
        </is>
      </c>
      <c r="B43" s="67" t="n"/>
      <c r="C43" s="351" t="n"/>
      <c r="D43" s="276" t="n"/>
      <c r="E43" s="351" t="n"/>
      <c r="F43" s="268" t="n"/>
      <c r="G43" s="351" t="n"/>
      <c r="H43" s="52" t="n"/>
      <c r="I43" s="67" t="n"/>
      <c r="J43" s="46" t="n"/>
    </row>
    <row r="44" ht="21" customHeight="1">
      <c r="A44" s="68" t="inlineStr">
        <is>
          <t>[Dimension member 2]</t>
        </is>
      </c>
      <c r="B44" s="68" t="n"/>
      <c r="C44" s="352" t="n"/>
      <c r="D44" s="276" t="n"/>
      <c r="E44" s="352" t="n"/>
      <c r="F44" s="270" t="n"/>
      <c r="G44" s="352" t="n"/>
      <c r="H44" s="53" t="n"/>
      <c r="I44" s="68" t="n"/>
      <c r="J44" s="46" t="n"/>
    </row>
    <row r="45" ht="21" customHeight="1">
      <c r="A45" s="67" t="inlineStr">
        <is>
          <t>[Dimension member 3]</t>
        </is>
      </c>
      <c r="B45" s="67" t="n"/>
      <c r="C45" s="351" t="n"/>
      <c r="D45" s="276" t="n"/>
      <c r="E45" s="351" t="n"/>
      <c r="F45" s="268" t="n"/>
      <c r="G45" s="351" t="n"/>
      <c r="H45" s="52" t="n"/>
      <c r="I45" s="67" t="n"/>
      <c r="J45" s="46" t="n"/>
    </row>
    <row r="46" ht="21" customHeight="1"/>
    <row r="47" ht="21" customHeight="1">
      <c r="A47" s="254" t="inlineStr">
        <is>
          <t>Scenario Driver Bridge</t>
        </is>
      </c>
      <c r="B47" s="47" t="n"/>
      <c r="C47" s="47" t="n"/>
      <c r="D47" s="47" t="n"/>
      <c r="E47" s="47" t="n"/>
      <c r="F47" s="47" t="n"/>
      <c r="G47" s="47" t="n"/>
      <c r="H47" s="47" t="n"/>
      <c r="I47" s="47" t="n"/>
      <c r="J47" s="46" t="n"/>
    </row>
    <row r="48" ht="21" customHeight="1">
      <c r="A48" s="68" t="inlineStr">
        <is>
          <t>Bridge-adjusted values start from active inputs and add incremental effects below | Taxable EPS impacts use active scenario tax rate.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  <c r="J48" s="46" t="n"/>
    </row>
    <row r="49" ht="21" customHeight="1">
      <c r="A49" s="296" t="inlineStr">
        <is>
          <t>Bridge item</t>
        </is>
      </c>
      <c r="B49" s="296" t="n"/>
      <c r="C49" s="296" t="n"/>
      <c r="D49" s="296" t="n"/>
      <c r="E49" s="296" t="n"/>
      <c r="F49" s="296" t="n"/>
      <c r="G49" s="296" t="n"/>
      <c r="H49" s="259" t="n"/>
      <c r="I49" s="47" t="n"/>
      <c r="J49" s="46" t="n"/>
    </row>
    <row r="50" ht="21" customHeight="1">
      <c r="A50" s="52" t="inlineStr">
        <is>
          <t>Margin bridge vs baseline</t>
        </is>
      </c>
      <c r="B50" s="351" t="n"/>
      <c r="C50" s="351" t="n"/>
      <c r="D50" s="351" t="n"/>
      <c r="E50" s="353" t="n"/>
      <c r="F50" s="351" t="n"/>
      <c r="G50" s="351" t="n"/>
      <c r="H50" s="67" t="n"/>
      <c r="I50" s="47" t="n"/>
      <c r="J50" s="46" t="n"/>
    </row>
    <row r="51" ht="21" customHeight="1">
      <c r="A51" s="53" t="inlineStr">
        <is>
          <t>Buyback/share-count effect</t>
        </is>
      </c>
      <c r="B51" s="352" t="n"/>
      <c r="C51" s="352" t="n"/>
      <c r="D51" s="352" t="n"/>
      <c r="E51" s="358" t="n"/>
      <c r="F51" s="352" t="n"/>
      <c r="G51" s="352" t="n"/>
      <c r="H51" s="68" t="n"/>
      <c r="I51" s="47" t="n"/>
      <c r="J51" s="46" t="n"/>
    </row>
    <row r="52" ht="21" customHeight="1">
      <c r="A52" s="52" t="inlineStr">
        <is>
          <t>Selected segment revenue/margin impact</t>
        </is>
      </c>
      <c r="B52" s="351" t="n"/>
      <c r="C52" s="351" t="n"/>
      <c r="D52" s="351" t="n"/>
      <c r="E52" s="353" t="n"/>
      <c r="F52" s="351" t="n"/>
      <c r="G52" s="351" t="n"/>
      <c r="H52" s="67" t="n"/>
      <c r="I52" s="47" t="n"/>
      <c r="J52" s="46" t="n"/>
    </row>
    <row r="53" ht="21" customHeight="1">
      <c r="A53" s="53" t="inlineStr">
        <is>
          <t>Capex change vs baseline</t>
        </is>
      </c>
      <c r="B53" s="352" t="n"/>
      <c r="C53" s="352" t="n"/>
      <c r="D53" s="352" t="n"/>
      <c r="E53" s="358" t="n"/>
      <c r="F53" s="352" t="n"/>
      <c r="G53" s="352" t="n"/>
      <c r="H53" s="68" t="n"/>
      <c r="I53" s="47" t="n"/>
      <c r="J53" s="46" t="n"/>
    </row>
    <row r="54" ht="21" customHeight="1"/>
    <row r="55" ht="21" customHeight="1">
      <c r="A55" s="296" t="inlineStr">
        <is>
          <t>Metric</t>
        </is>
      </c>
      <c r="B55" s="259" t="n"/>
      <c r="C55" s="46" t="n"/>
      <c r="D55" s="259" t="n"/>
      <c r="E55" s="46" t="n"/>
      <c r="F55" s="259" t="n"/>
      <c r="G55" s="46" t="n"/>
      <c r="H55" s="259" t="n"/>
      <c r="I55" s="47" t="n"/>
      <c r="J55" s="46" t="n"/>
    </row>
    <row r="56" ht="21" customHeight="1">
      <c r="A56" s="52" t="inlineStr">
        <is>
          <t>Bridge EPS ($/sh)</t>
        </is>
      </c>
      <c r="B56" s="353" t="n"/>
      <c r="C56" s="46" t="n"/>
      <c r="D56" s="353" t="n"/>
      <c r="E56" s="46" t="n"/>
      <c r="F56" s="353" t="n"/>
      <c r="G56" s="46" t="n"/>
      <c r="H56" s="67" t="n"/>
      <c r="I56" s="47" t="n"/>
      <c r="J56" s="46" t="n"/>
    </row>
    <row r="57" ht="21" customHeight="1">
      <c r="A57" s="53" t="inlineStr">
        <is>
          <t>Bridge Adj EBITDA ($m)</t>
        </is>
      </c>
      <c r="B57" s="352" t="n"/>
      <c r="C57" s="46" t="n"/>
      <c r="D57" s="352" t="n"/>
      <c r="E57" s="46" t="n"/>
      <c r="F57" s="352" t="n"/>
      <c r="G57" s="46" t="n"/>
      <c r="H57" s="68" t="n"/>
      <c r="I57" s="47" t="n"/>
      <c r="J57" s="46" t="n"/>
    </row>
    <row r="58" ht="21" customHeight="1">
      <c r="A58" s="52" t="inlineStr">
        <is>
          <t>Bridge FCF ($m)</t>
        </is>
      </c>
      <c r="B58" s="351" t="n"/>
      <c r="C58" s="46" t="n"/>
      <c r="D58" s="351" t="n"/>
      <c r="E58" s="46" t="n"/>
      <c r="F58" s="351" t="n"/>
      <c r="G58" s="46" t="n"/>
      <c r="H58" s="67" t="n"/>
      <c r="I58" s="47" t="n"/>
      <c r="J58" s="46" t="n"/>
    </row>
    <row r="59" ht="21" customHeight="1"/>
    <row r="60" ht="21" customHeight="1">
      <c r="A60" s="254" t="inlineStr">
        <is>
          <t>What Market Is Pricing</t>
        </is>
      </c>
      <c r="B60" s="47" t="n"/>
      <c r="C60" s="47" t="n"/>
      <c r="D60" s="47" t="n"/>
      <c r="E60" s="47" t="n"/>
      <c r="F60" s="47" t="n"/>
      <c r="G60" s="47" t="n"/>
      <c r="H60" s="47" t="n"/>
      <c r="I60" s="47" t="n"/>
      <c r="J60" s="46" t="n"/>
    </row>
    <row r="61" ht="21" customHeight="1">
      <c r="A61" s="296" t="inlineStr">
        <is>
          <t>Metric</t>
        </is>
      </c>
      <c r="B61" s="259" t="n"/>
      <c r="C61" s="47" t="n"/>
      <c r="D61" s="46" t="n"/>
      <c r="E61" s="259" t="n"/>
      <c r="F61" s="47" t="n"/>
      <c r="G61" s="47" t="n"/>
      <c r="H61" s="47" t="n"/>
      <c r="I61" s="47" t="n"/>
      <c r="J61" s="46" t="n"/>
    </row>
    <row r="62" ht="21" customHeight="1">
      <c r="A62" s="52" t="inlineStr">
        <is>
          <t>Market price input</t>
        </is>
      </c>
      <c r="B62" s="279" t="n"/>
      <c r="C62" s="47" t="n"/>
      <c r="D62" s="46" t="n"/>
      <c r="E62" s="67" t="n"/>
      <c r="F62" s="47" t="n"/>
      <c r="G62" s="47" t="n"/>
      <c r="H62" s="47" t="n"/>
      <c r="I62" s="47" t="n"/>
      <c r="J62" s="46" t="n"/>
    </row>
    <row r="63" ht="21" customHeight="1">
      <c r="A63" s="53" t="inlineStr">
        <is>
          <t>Implied market cap</t>
        </is>
      </c>
      <c r="B63" s="414" t="n"/>
      <c r="C63" s="47" t="n"/>
      <c r="D63" s="46" t="n"/>
      <c r="E63" s="68" t="n"/>
      <c r="F63" s="47" t="n"/>
      <c r="G63" s="47" t="n"/>
      <c r="H63" s="47" t="n"/>
      <c r="I63" s="47" t="n"/>
      <c r="J63" s="46" t="n"/>
    </row>
    <row r="64" ht="21" customHeight="1">
      <c r="A64" s="52" t="inlineStr">
        <is>
          <t>Implied EV</t>
        </is>
      </c>
      <c r="B64" s="415" t="n"/>
      <c r="C64" s="47" t="n"/>
      <c r="D64" s="46" t="n"/>
      <c r="E64" s="67" t="n"/>
      <c r="F64" s="47" t="n"/>
      <c r="G64" s="47" t="n"/>
      <c r="H64" s="47" t="n"/>
      <c r="I64" s="47" t="n"/>
      <c r="J64" s="46" t="n"/>
    </row>
    <row r="65" ht="21" customHeight="1">
      <c r="A65" s="53" t="inlineStr">
        <is>
          <t>Implied P/E</t>
        </is>
      </c>
      <c r="B65" s="416" t="n"/>
      <c r="C65" s="47" t="n"/>
      <c r="D65" s="46" t="n"/>
      <c r="E65" s="68" t="n"/>
      <c r="F65" s="47" t="n"/>
      <c r="G65" s="47" t="n"/>
      <c r="H65" s="47" t="n"/>
      <c r="I65" s="47" t="n"/>
      <c r="J65" s="46" t="n"/>
    </row>
    <row r="66" ht="21" customHeight="1">
      <c r="A66" s="52" t="inlineStr">
        <is>
          <t>Implied EV/Adj EBITDA</t>
        </is>
      </c>
      <c r="B66" s="417" t="n"/>
      <c r="C66" s="47" t="n"/>
      <c r="D66" s="46" t="n"/>
      <c r="E66" s="67" t="n"/>
      <c r="F66" s="47" t="n"/>
      <c r="G66" s="47" t="n"/>
      <c r="H66" s="47" t="n"/>
      <c r="I66" s="47" t="n"/>
      <c r="J66" s="46" t="n"/>
    </row>
    <row r="67" ht="21" customHeight="1">
      <c r="A67" s="53" t="inlineStr">
        <is>
          <t>Implied FCF yield</t>
        </is>
      </c>
      <c r="B67" s="284" t="n"/>
      <c r="C67" s="47" t="n"/>
      <c r="D67" s="46" t="n"/>
      <c r="E67" s="68" t="n"/>
      <c r="F67" s="47" t="n"/>
      <c r="G67" s="47" t="n"/>
      <c r="H67" s="47" t="n"/>
      <c r="I67" s="47" t="n"/>
      <c r="J67" s="46" t="n"/>
    </row>
    <row r="68" ht="21" customHeight="1"/>
    <row r="69" ht="21" customHeight="1">
      <c r="A69" s="254" t="inlineStr">
        <is>
          <t>Key Debate</t>
        </is>
      </c>
      <c r="B69" s="47" t="n"/>
      <c r="C69" s="47" t="n"/>
      <c r="D69" s="47" t="n"/>
      <c r="E69" s="47" t="n"/>
      <c r="F69" s="47" t="n"/>
      <c r="G69" s="47" t="n"/>
      <c r="H69" s="47" t="n"/>
      <c r="I69" s="47" t="n"/>
      <c r="J69" s="46" t="n"/>
    </row>
    <row r="70" ht="21" customHeight="1">
      <c r="A70" s="256" t="inlineStr">
        <is>
          <t>Debate</t>
        </is>
      </c>
      <c r="B70" s="285" t="n"/>
      <c r="C70" s="47" t="n"/>
      <c r="D70" s="47" t="n"/>
      <c r="E70" s="47" t="n"/>
      <c r="F70" s="47" t="n"/>
      <c r="G70" s="47" t="n"/>
      <c r="H70" s="47" t="n"/>
      <c r="I70" s="47" t="n"/>
      <c r="J70" s="46" t="n"/>
    </row>
    <row r="71" ht="21" customHeight="1"/>
    <row r="72" ht="21" customHeight="1">
      <c r="A72" s="254" t="inlineStr">
        <is>
          <t>Key Debates</t>
        </is>
      </c>
      <c r="B72" s="47" t="n"/>
      <c r="C72" s="47" t="n"/>
      <c r="D72" s="47" t="n"/>
      <c r="E72" s="47" t="n"/>
      <c r="F72" s="47" t="n"/>
      <c r="G72" s="47" t="n"/>
      <c r="H72" s="47" t="n"/>
      <c r="I72" s="47" t="n"/>
      <c r="J72" s="46" t="n"/>
    </row>
    <row r="73" ht="24" customHeight="1">
      <c r="A73" s="286" t="inlineStr">
        <is>
          <t>[Key debate slot 1]</t>
        </is>
      </c>
      <c r="B73" s="47" t="n"/>
      <c r="C73" s="47" t="n"/>
      <c r="D73" s="47" t="n"/>
      <c r="E73" s="47" t="n"/>
      <c r="F73" s="47" t="n"/>
      <c r="G73" s="47" t="n"/>
      <c r="H73" s="47" t="n"/>
      <c r="I73" s="47" t="n"/>
      <c r="J73" s="46" t="n"/>
    </row>
    <row r="74" ht="38" customHeight="1">
      <c r="A74" s="289" t="inlineStr">
        <is>
          <t>Bull evidence</t>
        </is>
      </c>
      <c r="B74" s="290" t="n"/>
      <c r="C74" s="47" t="n"/>
      <c r="D74" s="47" t="n"/>
      <c r="E74" s="46" t="n"/>
      <c r="F74" s="289" t="n"/>
      <c r="G74" s="290" t="n"/>
      <c r="H74" s="47" t="n"/>
      <c r="I74" s="47" t="n"/>
      <c r="J74" s="46" t="n"/>
    </row>
    <row r="75" ht="26" customHeight="1">
      <c r="A75" s="289" t="inlineStr">
        <is>
          <t>Next proof point</t>
        </is>
      </c>
      <c r="B75" s="290" t="n"/>
      <c r="C75" s="47" t="n"/>
      <c r="D75" s="47" t="n"/>
      <c r="E75" s="47" t="n"/>
      <c r="F75" s="47" t="n"/>
      <c r="G75" s="47" t="n"/>
      <c r="H75" s="47" t="n"/>
      <c r="I75" s="47" t="n"/>
      <c r="J75" s="46" t="n"/>
    </row>
    <row r="76" ht="24" customHeight="1">
      <c r="A76" s="286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6" t="n"/>
    </row>
    <row r="77" ht="38" customHeight="1">
      <c r="A77" s="293" t="inlineStr">
        <is>
          <t>Bull evidence</t>
        </is>
      </c>
      <c r="B77" s="294" t="n"/>
      <c r="C77" s="47" t="n"/>
      <c r="D77" s="47" t="n"/>
      <c r="E77" s="46" t="n"/>
      <c r="F77" s="293" t="n"/>
      <c r="G77" s="294" t="n"/>
      <c r="H77" s="47" t="n"/>
      <c r="I77" s="47" t="n"/>
      <c r="J77" s="46" t="n"/>
    </row>
    <row r="78" ht="26" customHeight="1">
      <c r="A78" s="293" t="inlineStr">
        <is>
          <t>Next proof point</t>
        </is>
      </c>
      <c r="B78" s="294" t="n"/>
      <c r="C78" s="47" t="n"/>
      <c r="D78" s="47" t="n"/>
      <c r="E78" s="47" t="n"/>
      <c r="F78" s="47" t="n"/>
      <c r="G78" s="47" t="n"/>
      <c r="H78" s="47" t="n"/>
      <c r="I78" s="47" t="n"/>
      <c r="J78" s="46" t="n"/>
    </row>
    <row r="79" ht="24" customHeight="1">
      <c r="A79" s="286" t="inlineStr">
        <is>
          <t>[Key debate slot 2]</t>
        </is>
      </c>
      <c r="B79" s="47" t="n"/>
      <c r="C79" s="47" t="n"/>
      <c r="D79" s="47" t="n"/>
      <c r="E79" s="47" t="n"/>
      <c r="F79" s="47" t="n"/>
      <c r="G79" s="47" t="n"/>
      <c r="H79" s="47" t="n"/>
      <c r="I79" s="47" t="n"/>
      <c r="J79" s="46" t="n"/>
    </row>
    <row r="80" ht="38" customHeight="1">
      <c r="A80" s="289" t="inlineStr">
        <is>
          <t>Bull evidence</t>
        </is>
      </c>
      <c r="B80" s="290" t="n"/>
      <c r="C80" s="47" t="n"/>
      <c r="D80" s="47" t="n"/>
      <c r="E80" s="46" t="n"/>
      <c r="F80" s="289" t="n"/>
      <c r="G80" s="290" t="n"/>
      <c r="H80" s="47" t="n"/>
      <c r="I80" s="47" t="n"/>
      <c r="J80" s="46" t="n"/>
    </row>
    <row r="81" ht="26" customHeight="1">
      <c r="A81" s="289" t="inlineStr">
        <is>
          <t>Next proof point</t>
        </is>
      </c>
      <c r="B81" s="290" t="n"/>
      <c r="C81" s="47" t="n"/>
      <c r="D81" s="47" t="n"/>
      <c r="E81" s="47" t="n"/>
      <c r="F81" s="47" t="n"/>
      <c r="G81" s="47" t="n"/>
      <c r="H81" s="47" t="n"/>
      <c r="I81" s="47" t="n"/>
      <c r="J81" s="46" t="n"/>
    </row>
    <row r="82" ht="21" customHeight="1"/>
    <row r="83" ht="21" customHeight="1">
      <c r="A83" s="254" t="inlineStr">
        <is>
          <t>Bear / Base / Bull Scenario</t>
        </is>
      </c>
      <c r="B83" s="47" t="n"/>
      <c r="C83" s="47" t="n"/>
      <c r="D83" s="47" t="n"/>
      <c r="E83" s="47" t="n"/>
      <c r="F83" s="47" t="n"/>
      <c r="G83" s="47" t="n"/>
      <c r="H83" s="47" t="n"/>
      <c r="I83" s="47" t="n"/>
      <c r="J83" s="46" t="n"/>
    </row>
    <row r="84" ht="21" customHeight="1">
      <c r="A84" s="296" t="inlineStr">
        <is>
          <t>Scenario</t>
        </is>
      </c>
      <c r="B84" s="259" t="n"/>
      <c r="C84" s="46" t="n"/>
      <c r="D84" s="296" t="n"/>
      <c r="E84" s="296" t="n"/>
      <c r="F84" s="296" t="n"/>
      <c r="G84" s="296" t="n"/>
      <c r="H84" s="296" t="n"/>
      <c r="I84" s="296" t="n"/>
      <c r="J84" s="296" t="n"/>
    </row>
    <row r="85" ht="30" customHeight="1">
      <c r="A85" s="52" t="inlineStr">
        <is>
          <t>Bear</t>
        </is>
      </c>
      <c r="B85" s="67" t="n"/>
      <c r="C85" s="46" t="n"/>
      <c r="D85" s="353" t="n"/>
      <c r="E85" s="351" t="n"/>
      <c r="F85" s="351" t="n"/>
      <c r="G85" s="353" t="n"/>
      <c r="H85" s="353" t="n"/>
      <c r="I85" s="353" t="n"/>
      <c r="J85" s="52" t="n"/>
    </row>
    <row r="86" ht="30" customHeight="1">
      <c r="A86" s="53" t="inlineStr">
        <is>
          <t>Base</t>
        </is>
      </c>
      <c r="B86" s="68" t="n"/>
      <c r="C86" s="46" t="n"/>
      <c r="D86" s="358" t="n"/>
      <c r="E86" s="352" t="n"/>
      <c r="F86" s="352" t="n"/>
      <c r="G86" s="358" t="n"/>
      <c r="H86" s="358" t="n"/>
      <c r="I86" s="358" t="n"/>
      <c r="J86" s="53" t="n"/>
    </row>
    <row r="87" ht="30" customHeight="1">
      <c r="A87" s="52" t="inlineStr">
        <is>
          <t>Bull</t>
        </is>
      </c>
      <c r="B87" s="67" t="n"/>
      <c r="C87" s="46" t="n"/>
      <c r="D87" s="353" t="n"/>
      <c r="E87" s="351" t="n"/>
      <c r="F87" s="351" t="n"/>
      <c r="G87" s="353" t="n"/>
      <c r="H87" s="353" t="n"/>
      <c r="I87" s="353" t="n"/>
      <c r="J87" s="52" t="n"/>
    </row>
    <row r="88" ht="13.5" customHeight="1">
      <c r="A88" s="256" t="inlineStr">
        <is>
          <t>Uses Investment_Case manual inputs; may differ from Valuation Thesis Bridge.</t>
        </is>
      </c>
      <c r="B88" s="47" t="n"/>
      <c r="C88" s="47" t="n"/>
      <c r="D88" s="47" t="n"/>
      <c r="E88" s="47" t="n"/>
      <c r="F88" s="47" t="n"/>
      <c r="G88" s="47" t="n"/>
      <c r="H88" s="47" t="n"/>
      <c r="I88" s="47" t="n"/>
      <c r="J88" s="46" t="n"/>
    </row>
    <row r="89" ht="21" customHeight="1"/>
    <row r="90" ht="21" customHeight="1">
      <c r="A90" s="254" t="inlineStr">
        <is>
          <t>Quality of Earnings</t>
        </is>
      </c>
      <c r="B90" s="47" t="n"/>
      <c r="C90" s="47" t="n"/>
      <c r="D90" s="47" t="n"/>
      <c r="E90" s="47" t="n"/>
      <c r="F90" s="47" t="n"/>
      <c r="G90" s="47" t="n"/>
      <c r="H90" s="47" t="n"/>
      <c r="I90" s="47" t="n"/>
      <c r="J90" s="46" t="n"/>
    </row>
    <row r="91" ht="21" customHeight="1">
      <c r="A91" s="296" t="inlineStr">
        <is>
          <t>Item</t>
        </is>
      </c>
      <c r="B91" s="259" t="n"/>
      <c r="C91" s="46" t="n"/>
      <c r="D91" s="296" t="n"/>
      <c r="E91" s="296" t="n"/>
      <c r="F91" s="259" t="n"/>
      <c r="G91" s="47" t="n"/>
      <c r="H91" s="47" t="n"/>
      <c r="I91" s="47" t="n"/>
      <c r="J91" s="46" t="n"/>
    </row>
    <row r="92" ht="24" customHeight="1">
      <c r="A92" s="52" t="inlineStr">
        <is>
          <t>[Quality of earnings item 1]</t>
        </is>
      </c>
      <c r="B92" s="67" t="n"/>
      <c r="C92" s="46" t="n"/>
      <c r="D92" s="52" t="n"/>
      <c r="E92" s="52" t="n"/>
      <c r="F92" s="67" t="n"/>
      <c r="G92" s="47" t="n"/>
      <c r="H92" s="47" t="n"/>
      <c r="I92" s="47" t="n"/>
      <c r="J92" s="46" t="n"/>
    </row>
    <row r="93" ht="24" customHeight="1">
      <c r="A93" s="53" t="inlineStr">
        <is>
          <t>[Quality of earnings item 2]</t>
        </is>
      </c>
      <c r="B93" s="68" t="n"/>
      <c r="C93" s="46" t="n"/>
      <c r="D93" s="53" t="n"/>
      <c r="E93" s="53" t="n"/>
      <c r="F93" s="68" t="n"/>
      <c r="G93" s="47" t="n"/>
      <c r="H93" s="47" t="n"/>
      <c r="I93" s="47" t="n"/>
      <c r="J93" s="46" t="n"/>
    </row>
    <row r="94" ht="24" customHeight="1">
      <c r="A94" s="52" t="inlineStr">
        <is>
          <t>[Scenario driver slot 94]</t>
        </is>
      </c>
      <c r="B94" s="67" t="n"/>
      <c r="C94" s="46" t="n"/>
      <c r="D94" s="52" t="n"/>
      <c r="E94" s="52" t="n"/>
      <c r="F94" s="67" t="n"/>
      <c r="G94" s="47" t="n"/>
      <c r="H94" s="47" t="n"/>
      <c r="I94" s="47" t="n"/>
      <c r="J94" s="46" t="n"/>
    </row>
    <row r="95" ht="24" customHeight="1">
      <c r="A95" s="53" t="inlineStr">
        <is>
          <t>[Scenario driver slot 95]</t>
        </is>
      </c>
      <c r="B95" s="68" t="n"/>
      <c r="C95" s="46" t="n"/>
      <c r="D95" s="53" t="n"/>
      <c r="E95" s="53" t="n"/>
      <c r="F95" s="68" t="n"/>
      <c r="G95" s="47" t="n"/>
      <c r="H95" s="47" t="n"/>
      <c r="I95" s="47" t="n"/>
      <c r="J95" s="46" t="n"/>
    </row>
    <row r="96" ht="24" customHeight="1">
      <c r="A96" s="52" t="inlineStr">
        <is>
          <t>[Quality of earnings item 5]</t>
        </is>
      </c>
      <c r="B96" s="67" t="n"/>
      <c r="C96" s="46" t="n"/>
      <c r="D96" s="52" t="n"/>
      <c r="E96" s="52" t="n"/>
      <c r="F96" s="67" t="n"/>
      <c r="G96" s="47" t="n"/>
      <c r="H96" s="47" t="n"/>
      <c r="I96" s="47" t="n"/>
      <c r="J96" s="46" t="n"/>
    </row>
    <row r="97" ht="21" customHeight="1"/>
    <row r="98" ht="21" customHeight="1">
      <c r="A98" s="254" t="inlineStr">
        <is>
          <t>What Needs To Happen For The Stock To Work</t>
        </is>
      </c>
      <c r="B98" s="47" t="n"/>
      <c r="C98" s="47" t="n"/>
      <c r="D98" s="47" t="n"/>
      <c r="E98" s="47" t="n"/>
      <c r="F98" s="47" t="n"/>
      <c r="G98" s="47" t="n"/>
      <c r="H98" s="47" t="n"/>
      <c r="I98" s="47" t="n"/>
      <c r="J98" s="46" t="n"/>
    </row>
    <row r="99" ht="21" customHeight="1">
      <c r="A99" s="296" t="inlineStr">
        <is>
          <t>Condition</t>
        </is>
      </c>
      <c r="B99" s="259" t="n"/>
      <c r="C99" s="47" t="n"/>
      <c r="D99" s="47" t="n"/>
      <c r="E99" s="47" t="n"/>
      <c r="F99" s="47" t="n"/>
      <c r="G99" s="47" t="n"/>
      <c r="H99" s="47" t="n"/>
      <c r="I99" s="47" t="n"/>
      <c r="J99" s="46" t="n"/>
    </row>
    <row r="100" ht="21" customHeight="1">
      <c r="A100" s="52" t="inlineStr">
        <is>
          <t>[Scenario condition slot 1]</t>
        </is>
      </c>
      <c r="B100" s="67" t="n"/>
      <c r="C100" s="47" t="n"/>
      <c r="D100" s="47" t="n"/>
      <c r="E100" s="47" t="n"/>
      <c r="F100" s="47" t="n"/>
      <c r="G100" s="47" t="n"/>
      <c r="H100" s="47" t="n"/>
      <c r="I100" s="47" t="n"/>
      <c r="J100" s="46" t="n"/>
    </row>
    <row r="101" ht="21" customHeight="1">
      <c r="A101" s="53" t="inlineStr">
        <is>
          <t>[Scenario condition slot 2]</t>
        </is>
      </c>
      <c r="B101" s="68" t="n"/>
      <c r="C101" s="47" t="n"/>
      <c r="D101" s="47" t="n"/>
      <c r="E101" s="47" t="n"/>
      <c r="F101" s="47" t="n"/>
      <c r="G101" s="47" t="n"/>
      <c r="H101" s="47" t="n"/>
      <c r="I101" s="47" t="n"/>
      <c r="J101" s="46" t="n"/>
    </row>
    <row r="102" ht="21" customHeight="1">
      <c r="A102" s="52" t="inlineStr">
        <is>
          <t>[Scenario condition slot 3]</t>
        </is>
      </c>
      <c r="B102" s="67" t="n"/>
      <c r="C102" s="47" t="n"/>
      <c r="D102" s="47" t="n"/>
      <c r="E102" s="47" t="n"/>
      <c r="F102" s="47" t="n"/>
      <c r="G102" s="47" t="n"/>
      <c r="H102" s="47" t="n"/>
      <c r="I102" s="47" t="n"/>
      <c r="J102" s="46" t="n"/>
    </row>
    <row r="103" ht="21" customHeight="1">
      <c r="A103" s="53" t="inlineStr">
        <is>
          <t>[Scenario condition slot 4]</t>
        </is>
      </c>
      <c r="B103" s="68" t="n"/>
      <c r="C103" s="47" t="n"/>
      <c r="D103" s="47" t="n"/>
      <c r="E103" s="47" t="n"/>
      <c r="F103" s="47" t="n"/>
      <c r="G103" s="47" t="n"/>
      <c r="H103" s="47" t="n"/>
      <c r="I103" s="47" t="n"/>
      <c r="J103" s="46" t="n"/>
    </row>
    <row r="104" ht="21" customHeight="1">
      <c r="A104" s="52" t="inlineStr">
        <is>
          <t>[Scenario condition slot 5]</t>
        </is>
      </c>
      <c r="B104" s="67" t="n"/>
      <c r="C104" s="47" t="n"/>
      <c r="D104" s="47" t="n"/>
      <c r="E104" s="47" t="n"/>
      <c r="F104" s="47" t="n"/>
      <c r="G104" s="47" t="n"/>
      <c r="H104" s="47" t="n"/>
      <c r="I104" s="47" t="n"/>
      <c r="J104" s="46" t="n"/>
    </row>
    <row r="105" ht="21" customHeight="1"/>
    <row r="106" ht="21" customHeight="1">
      <c r="A106" s="254" t="inlineStr">
        <is>
          <t>[Scenario driver slot 106]</t>
        </is>
      </c>
      <c r="B106" s="47" t="n"/>
      <c r="C106" s="47" t="n"/>
      <c r="D106" s="47" t="n"/>
      <c r="E106" s="47" t="n"/>
      <c r="F106" s="47" t="n"/>
      <c r="G106" s="47" t="n"/>
      <c r="H106" s="47" t="n"/>
      <c r="I106" s="47" t="n"/>
      <c r="J106" s="47" t="n"/>
      <c r="K106" s="46" t="n"/>
    </row>
    <row r="107" ht="21" customHeight="1">
      <c r="A107" s="296" t="inlineStr">
        <is>
          <t>Bridge item</t>
        </is>
      </c>
      <c r="B107" s="259" t="n"/>
      <c r="C107" s="46" t="n"/>
      <c r="D107" s="259" t="n"/>
      <c r="E107" s="46" t="n"/>
      <c r="F107" s="259" t="n"/>
      <c r="G107" s="47" t="n"/>
      <c r="H107" s="47" t="n"/>
      <c r="I107" s="47" t="n"/>
      <c r="J107" s="47" t="n"/>
      <c r="K107" s="46" t="n"/>
    </row>
    <row r="108" ht="21" customHeight="1">
      <c r="A108" s="256" t="inlineStr">
        <is>
          <t>[Margin baseline slot]</t>
        </is>
      </c>
      <c r="B108" s="257" t="n"/>
      <c r="C108" s="46" t="n"/>
      <c r="D108" s="257" t="n"/>
      <c r="E108" s="46" t="n"/>
      <c r="F108" s="257" t="n"/>
      <c r="G108" s="47" t="n"/>
      <c r="H108" s="47" t="n"/>
      <c r="I108" s="47" t="n"/>
      <c r="J108" s="47" t="n"/>
      <c r="K108" s="46" t="n"/>
    </row>
    <row r="109" ht="21" customHeight="1">
      <c r="A109" s="53" t="inlineStr">
        <is>
          <t>[Margin guidance slot]</t>
        </is>
      </c>
      <c r="B109" s="68" t="n"/>
      <c r="C109" s="46" t="n"/>
      <c r="D109" s="68" t="n"/>
      <c r="E109" s="46" t="n"/>
      <c r="F109" s="68" t="n"/>
      <c r="G109" s="47" t="n"/>
      <c r="H109" s="47" t="n"/>
      <c r="I109" s="47" t="n"/>
      <c r="J109" s="47" t="n"/>
      <c r="K109" s="46" t="n"/>
    </row>
    <row r="110" ht="21" customHeight="1">
      <c r="A110" s="52" t="inlineStr">
        <is>
          <t>[Margin delta slot]</t>
        </is>
      </c>
      <c r="B110" s="67" t="n"/>
      <c r="C110" s="46" t="n"/>
      <c r="D110" s="67" t="n"/>
      <c r="E110" s="46" t="n"/>
      <c r="F110" s="67" t="n"/>
      <c r="G110" s="47" t="n"/>
      <c r="H110" s="47" t="n"/>
      <c r="I110" s="47" t="n"/>
      <c r="J110" s="47" t="n"/>
      <c r="K110" s="46" t="n"/>
    </row>
    <row r="111" ht="21" customHeight="1">
      <c r="A111" s="52" t="inlineStr">
        <is>
          <t>[Scenario driver slot 111]</t>
        </is>
      </c>
      <c r="B111" s="67" t="n"/>
      <c r="C111" s="46" t="n"/>
      <c r="D111" s="67" t="n"/>
      <c r="E111" s="46" t="n"/>
      <c r="F111" s="67" t="n"/>
      <c r="G111" s="47" t="n"/>
      <c r="H111" s="47" t="n"/>
      <c r="I111" s="47" t="n"/>
      <c r="J111" s="47" t="n"/>
      <c r="K111" s="46" t="n"/>
    </row>
    <row r="112" ht="21" customHeight="1">
      <c r="A112" s="53" t="inlineStr">
        <is>
          <t>[Scenario driver slot 112]</t>
        </is>
      </c>
      <c r="B112" s="68" t="n"/>
      <c r="C112" s="46" t="n"/>
      <c r="D112" s="68" t="n"/>
      <c r="E112" s="46" t="n"/>
      <c r="F112" s="68" t="n"/>
      <c r="G112" s="47" t="n"/>
      <c r="H112" s="47" t="n"/>
      <c r="I112" s="47" t="n"/>
      <c r="J112" s="47" t="n"/>
      <c r="K112" s="46" t="n"/>
    </row>
    <row r="113" ht="21" customHeight="1">
      <c r="A113" s="52" t="inlineStr">
        <is>
          <t>[Scenario driver slot 113]</t>
        </is>
      </c>
      <c r="B113" s="67" t="n"/>
      <c r="C113" s="46" t="n"/>
      <c r="D113" s="67" t="n"/>
      <c r="E113" s="46" t="n"/>
      <c r="F113" s="67" t="n"/>
      <c r="G113" s="47" t="n"/>
      <c r="H113" s="47" t="n"/>
      <c r="I113" s="47" t="n"/>
      <c r="J113" s="47" t="n"/>
      <c r="K113" s="46" t="n"/>
    </row>
    <row r="114" ht="21" customHeight="1">
      <c r="A114" s="53" t="inlineStr">
        <is>
          <t>[Margin / cost driver slot 1]</t>
        </is>
      </c>
      <c r="B114" s="68" t="n"/>
      <c r="C114" s="46" t="n"/>
      <c r="D114" s="68" t="n"/>
      <c r="E114" s="46" t="n"/>
      <c r="F114" s="68" t="n"/>
      <c r="G114" s="47" t="n"/>
      <c r="H114" s="47" t="n"/>
      <c r="I114" s="47" t="n"/>
      <c r="J114" s="47" t="n"/>
      <c r="K114" s="46" t="n"/>
    </row>
    <row r="115" ht="21" customHeight="1">
      <c r="A115" s="52" t="inlineStr">
        <is>
          <t>[Margin / realization driver slot]</t>
        </is>
      </c>
      <c r="B115" s="67" t="n"/>
      <c r="C115" s="46" t="n"/>
      <c r="D115" s="67" t="n"/>
      <c r="E115" s="46" t="n"/>
      <c r="F115" s="67" t="n"/>
      <c r="G115" s="47" t="n"/>
      <c r="H115" s="47" t="n"/>
      <c r="I115" s="47" t="n"/>
      <c r="J115" s="47" t="n"/>
      <c r="K115" s="46" t="n"/>
    </row>
    <row r="116" ht="21" customHeight="1">
      <c r="A116" s="53" t="inlineStr">
        <is>
          <t>[Margin / cost driver slot 2]</t>
        </is>
      </c>
      <c r="B116" s="68" t="n"/>
      <c r="C116" s="46" t="n"/>
      <c r="D116" s="68" t="n"/>
      <c r="E116" s="46" t="n"/>
      <c r="F116" s="68" t="n"/>
      <c r="G116" s="47" t="n"/>
      <c r="H116" s="47" t="n"/>
      <c r="I116" s="47" t="n"/>
      <c r="J116" s="47" t="n"/>
      <c r="K116" s="46" t="n"/>
    </row>
    <row r="117" ht="21" customHeight="1">
      <c r="A117" s="256" t="inlineStr">
        <is>
          <t>Bridge read</t>
        </is>
      </c>
      <c r="B117" s="257" t="n"/>
      <c r="C117" s="46" t="n"/>
      <c r="D117" s="257" t="n"/>
      <c r="E117" s="46" t="n"/>
      <c r="F117" s="257" t="n"/>
      <c r="G117" s="47" t="n"/>
      <c r="H117" s="47" t="n"/>
      <c r="I117" s="47" t="n"/>
      <c r="J117" s="47" t="n"/>
      <c r="K117" s="46" t="n"/>
    </row>
    <row r="118" ht="21" customHeight="1"/>
    <row r="119" ht="21" customHeight="1">
      <c r="A119" s="254" t="inlineStr">
        <is>
          <t>EPS Bridge</t>
        </is>
      </c>
      <c r="B119" s="47" t="n"/>
      <c r="C119" s="47" t="n"/>
      <c r="D119" s="47" t="n"/>
      <c r="E119" s="47" t="n"/>
      <c r="F119" s="47" t="n"/>
      <c r="G119" s="47" t="n"/>
      <c r="H119" s="47" t="n"/>
      <c r="I119" s="47" t="n"/>
      <c r="J119" s="46" t="n"/>
    </row>
    <row r="120" ht="21" customHeight="1">
      <c r="A120" s="296" t="inlineStr">
        <is>
          <t>Bridge item</t>
        </is>
      </c>
      <c r="B120" s="259" t="n"/>
      <c r="C120" s="47" t="n"/>
      <c r="D120" s="47" t="n"/>
      <c r="E120" s="46" t="n"/>
      <c r="F120" s="259" t="n"/>
      <c r="G120" s="47" t="n"/>
      <c r="H120" s="47" t="n"/>
      <c r="I120" s="47" t="n"/>
      <c r="J120" s="46" t="n"/>
    </row>
    <row r="121" ht="21" customHeight="1">
      <c r="A121" s="52" t="inlineStr">
        <is>
          <t>[Scenario driver slot 121]</t>
        </is>
      </c>
      <c r="B121" s="67" t="n"/>
      <c r="C121" s="47" t="n"/>
      <c r="D121" s="47" t="n"/>
      <c r="E121" s="46" t="n"/>
      <c r="F121" s="67" t="n"/>
      <c r="G121" s="47" t="n"/>
      <c r="H121" s="47" t="n"/>
      <c r="I121" s="47" t="n"/>
      <c r="J121" s="46" t="n"/>
    </row>
    <row r="122" ht="21" customHeight="1">
      <c r="A122" s="53" t="inlineStr">
        <is>
          <t>Sales growth</t>
        </is>
      </c>
      <c r="B122" s="68" t="n"/>
      <c r="C122" s="47" t="n"/>
      <c r="D122" s="47" t="n"/>
      <c r="E122" s="46" t="n"/>
      <c r="F122" s="68" t="n"/>
      <c r="G122" s="47" t="n"/>
      <c r="H122" s="47" t="n"/>
      <c r="I122" s="47" t="n"/>
      <c r="J122" s="46" t="n"/>
    </row>
    <row r="123" ht="21" customHeight="1">
      <c r="A123" s="52" t="inlineStr">
        <is>
          <t>[Scenario driver slot 123]</t>
        </is>
      </c>
      <c r="B123" s="67" t="n"/>
      <c r="C123" s="47" t="n"/>
      <c r="D123" s="47" t="n"/>
      <c r="E123" s="46" t="n"/>
      <c r="F123" s="67" t="n"/>
      <c r="G123" s="47" t="n"/>
      <c r="H123" s="47" t="n"/>
      <c r="I123" s="47" t="n"/>
      <c r="J123" s="46" t="n"/>
    </row>
    <row r="124" ht="21" customHeight="1">
      <c r="A124" s="53" t="inlineStr">
        <is>
          <t>SG&amp;A leverage / deleverage</t>
        </is>
      </c>
      <c r="B124" s="68" t="n"/>
      <c r="C124" s="47" t="n"/>
      <c r="D124" s="47" t="n"/>
      <c r="E124" s="46" t="n"/>
      <c r="F124" s="68" t="n"/>
      <c r="G124" s="47" t="n"/>
      <c r="H124" s="47" t="n"/>
      <c r="I124" s="47" t="n"/>
      <c r="J124" s="46" t="n"/>
    </row>
    <row r="125" ht="21" customHeight="1">
      <c r="A125" s="52" t="inlineStr">
        <is>
          <t>Buyback / share count reduction</t>
        </is>
      </c>
      <c r="B125" s="67" t="n"/>
      <c r="C125" s="47" t="n"/>
      <c r="D125" s="47" t="n"/>
      <c r="E125" s="46" t="n"/>
      <c r="F125" s="67" t="n"/>
      <c r="G125" s="47" t="n"/>
      <c r="H125" s="47" t="n"/>
      <c r="I125" s="47" t="n"/>
      <c r="J125" s="46" t="n"/>
    </row>
    <row r="126" ht="21" customHeight="1">
      <c r="A126" s="53" t="inlineStr">
        <is>
          <t>Guided EPS</t>
        </is>
      </c>
      <c r="B126" s="68" t="n"/>
      <c r="C126" s="47" t="n"/>
      <c r="D126" s="47" t="n"/>
      <c r="E126" s="46" t="n"/>
      <c r="F126" s="68" t="n"/>
      <c r="G126" s="47" t="n"/>
      <c r="H126" s="47" t="n"/>
      <c r="I126" s="47" t="n"/>
      <c r="J126" s="46" t="n"/>
    </row>
    <row r="127" ht="21" customHeight="1"/>
    <row r="128" ht="21" customHeight="1">
      <c r="A128" s="254" t="inlineStr">
        <is>
          <t>Buybacks vs FCF</t>
        </is>
      </c>
      <c r="B128" s="47" t="n"/>
      <c r="C128" s="47" t="n"/>
      <c r="D128" s="47" t="n"/>
      <c r="E128" s="47" t="n"/>
      <c r="F128" s="47" t="n"/>
      <c r="G128" s="47" t="n"/>
      <c r="H128" s="47" t="n"/>
      <c r="I128" s="47" t="n"/>
      <c r="J128" s="46" t="n"/>
    </row>
    <row r="129" ht="21" customHeight="1">
      <c r="A129" s="296" t="inlineStr">
        <is>
          <t>Metric</t>
        </is>
      </c>
      <c r="B129" s="296" t="n"/>
      <c r="C129" s="259" t="n"/>
      <c r="D129" s="47" t="n"/>
      <c r="E129" s="47" t="n"/>
      <c r="F129" s="47" t="n"/>
      <c r="G129" s="47" t="n"/>
      <c r="H129" s="47" t="n"/>
      <c r="I129" s="47" t="n"/>
      <c r="J129" s="46" t="n"/>
    </row>
    <row r="130" ht="21" customHeight="1">
      <c r="A130" s="52" t="inlineStr">
        <is>
          <t>FCF TTM</t>
        </is>
      </c>
      <c r="B130" s="52" t="n"/>
      <c r="C130" s="67" t="n"/>
      <c r="D130" s="47" t="n"/>
      <c r="E130" s="47" t="n"/>
      <c r="F130" s="47" t="n"/>
      <c r="G130" s="47" t="n"/>
      <c r="H130" s="47" t="n"/>
      <c r="I130" s="47" t="n"/>
      <c r="J130" s="46" t="n"/>
    </row>
    <row r="131" ht="21" customHeight="1">
      <c r="A131" s="53" t="inlineStr">
        <is>
          <t>Buybacks</t>
        </is>
      </c>
      <c r="B131" s="53" t="n"/>
      <c r="C131" s="68" t="n"/>
      <c r="D131" s="47" t="n"/>
      <c r="E131" s="47" t="n"/>
      <c r="F131" s="47" t="n"/>
      <c r="G131" s="47" t="n"/>
      <c r="H131" s="47" t="n"/>
      <c r="I131" s="47" t="n"/>
      <c r="J131" s="46" t="n"/>
    </row>
    <row r="132" ht="21" customHeight="1">
      <c r="A132" s="52" t="inlineStr">
        <is>
          <t>Buybacks</t>
        </is>
      </c>
      <c r="B132" s="52" t="n"/>
      <c r="C132" s="67" t="n"/>
      <c r="D132" s="47" t="n"/>
      <c r="E132" s="47" t="n"/>
      <c r="F132" s="47" t="n"/>
      <c r="G132" s="47" t="n"/>
      <c r="H132" s="47" t="n"/>
      <c r="I132" s="47" t="n"/>
      <c r="J132" s="46" t="n"/>
    </row>
    <row r="133" ht="21" customHeight="1">
      <c r="A133" s="53" t="inlineStr">
        <is>
          <t>Shares repurchased</t>
        </is>
      </c>
      <c r="B133" s="53" t="n"/>
      <c r="C133" s="68" t="n"/>
      <c r="D133" s="47" t="n"/>
      <c r="E133" s="47" t="n"/>
      <c r="F133" s="47" t="n"/>
      <c r="G133" s="47" t="n"/>
      <c r="H133" s="47" t="n"/>
      <c r="I133" s="47" t="n"/>
      <c r="J133" s="46" t="n"/>
    </row>
    <row r="134" ht="21" customHeight="1">
      <c r="A134" s="52" t="inlineStr">
        <is>
          <t>Buyback spread vs FCF</t>
        </is>
      </c>
      <c r="B134" s="52" t="n"/>
      <c r="C134" s="67" t="n"/>
      <c r="D134" s="47" t="n"/>
      <c r="E134" s="47" t="n"/>
      <c r="F134" s="47" t="n"/>
      <c r="G134" s="47" t="n"/>
      <c r="H134" s="47" t="n"/>
      <c r="I134" s="47" t="n"/>
      <c r="J134" s="46" t="n"/>
    </row>
    <row r="135" ht="21" customHeight="1">
      <c r="A135" s="53" t="inlineStr">
        <is>
          <t>Net cash context</t>
        </is>
      </c>
      <c r="B135" s="53" t="n"/>
      <c r="C135" s="68" t="n"/>
      <c r="D135" s="47" t="n"/>
      <c r="E135" s="47" t="n"/>
      <c r="F135" s="47" t="n"/>
      <c r="G135" s="47" t="n"/>
      <c r="H135" s="47" t="n"/>
      <c r="I135" s="47" t="n"/>
      <c r="J135" s="46" t="n"/>
    </row>
    <row r="136" ht="21" customHeight="1">
      <c r="A136" s="256" t="inlineStr">
        <is>
          <t>Investment read</t>
        </is>
      </c>
      <c r="B136" s="256" t="n"/>
      <c r="C136" s="257" t="n"/>
      <c r="D136" s="47" t="n"/>
      <c r="E136" s="47" t="n"/>
      <c r="F136" s="47" t="n"/>
      <c r="G136" s="47" t="n"/>
      <c r="H136" s="47" t="n"/>
      <c r="I136" s="47" t="n"/>
      <c r="J136" s="46" t="n"/>
    </row>
    <row r="137" ht="21" customHeight="1"/>
    <row r="138" ht="21" customHeight="1">
      <c r="A138" s="254" t="inlineStr">
        <is>
          <t>Guidance to implied earnings</t>
        </is>
      </c>
      <c r="B138" s="47" t="n"/>
      <c r="C138" s="47" t="n"/>
      <c r="D138" s="47" t="n"/>
      <c r="E138" s="47" t="n"/>
      <c r="F138" s="47" t="n"/>
      <c r="G138" s="47" t="n"/>
      <c r="H138" s="47" t="n"/>
      <c r="I138" s="47" t="n"/>
      <c r="J138" s="46" t="n"/>
    </row>
    <row r="139" ht="21" customHeight="1">
      <c r="A139" s="296" t="inlineStr">
        <is>
          <t>Bridge line</t>
        </is>
      </c>
      <c r="B139" s="259" t="n"/>
      <c r="C139" s="46" t="n"/>
      <c r="D139" s="259" t="n"/>
      <c r="E139" s="47" t="n"/>
      <c r="F139" s="47" t="n"/>
      <c r="G139" s="47" t="n"/>
      <c r="H139" s="47" t="n"/>
      <c r="I139" s="47" t="n"/>
      <c r="J139" s="46" t="n"/>
    </row>
    <row r="140" ht="21" customHeight="1">
      <c r="A140" s="52" t="inlineStr">
        <is>
          <t>Revenue baseline</t>
        </is>
      </c>
      <c r="B140" s="67" t="n"/>
      <c r="C140" s="46" t="n"/>
      <c r="D140" s="67" t="n"/>
      <c r="E140" s="47" t="n"/>
      <c r="F140" s="47" t="n"/>
      <c r="G140" s="47" t="n"/>
      <c r="H140" s="47" t="n"/>
      <c r="I140" s="47" t="n"/>
      <c r="J140" s="46" t="n"/>
    </row>
    <row r="141" ht="21" customHeight="1">
      <c r="A141" s="53" t="inlineStr">
        <is>
          <t>Revenue growth guide</t>
        </is>
      </c>
      <c r="B141" s="68" t="n"/>
      <c r="C141" s="46" t="n"/>
      <c r="D141" s="68" t="n"/>
      <c r="E141" s="47" t="n"/>
      <c r="F141" s="47" t="n"/>
      <c r="G141" s="47" t="n"/>
      <c r="H141" s="47" t="n"/>
      <c r="I141" s="47" t="n"/>
      <c r="J141" s="46" t="n"/>
    </row>
    <row r="142" ht="21" customHeight="1">
      <c r="A142" s="52" t="inlineStr">
        <is>
          <t>Implied revenue</t>
        </is>
      </c>
      <c r="B142" s="67" t="n"/>
      <c r="C142" s="46" t="n"/>
      <c r="D142" s="67" t="n"/>
      <c r="E142" s="47" t="n"/>
      <c r="F142" s="47" t="n"/>
      <c r="G142" s="47" t="n"/>
      <c r="H142" s="47" t="n"/>
      <c r="I142" s="47" t="n"/>
      <c r="J142" s="46" t="n"/>
    </row>
    <row r="143" ht="21" customHeight="1">
      <c r="A143" s="53" t="inlineStr">
        <is>
          <t>Operating margin guide</t>
        </is>
      </c>
      <c r="B143" s="68" t="n"/>
      <c r="C143" s="46" t="n"/>
      <c r="D143" s="68" t="n"/>
      <c r="E143" s="47" t="n"/>
      <c r="F143" s="47" t="n"/>
      <c r="G143" s="47" t="n"/>
      <c r="H143" s="47" t="n"/>
      <c r="I143" s="47" t="n"/>
      <c r="J143" s="46" t="n"/>
    </row>
    <row r="144" ht="21" customHeight="1">
      <c r="A144" s="52" t="inlineStr">
        <is>
          <t>Implied EBIT</t>
        </is>
      </c>
      <c r="B144" s="67" t="n"/>
      <c r="C144" s="46" t="n"/>
      <c r="D144" s="67" t="n"/>
      <c r="E144" s="47" t="n"/>
      <c r="F144" s="47" t="n"/>
      <c r="G144" s="47" t="n"/>
      <c r="H144" s="47" t="n"/>
      <c r="I144" s="47" t="n"/>
      <c r="J144" s="46" t="n"/>
    </row>
    <row r="145" ht="21" customHeight="1">
      <c r="A145" s="53" t="inlineStr">
        <is>
          <t>Tax / interest assumptions</t>
        </is>
      </c>
      <c r="B145" s="68" t="n"/>
      <c r="C145" s="46" t="n"/>
      <c r="D145" s="68" t="n"/>
      <c r="E145" s="47" t="n"/>
      <c r="F145" s="47" t="n"/>
      <c r="G145" s="47" t="n"/>
      <c r="H145" s="47" t="n"/>
      <c r="I145" s="47" t="n"/>
      <c r="J145" s="46" t="n"/>
    </row>
    <row r="146" ht="21" customHeight="1">
      <c r="A146" s="52" t="inlineStr">
        <is>
          <t>Diluted shares guide</t>
        </is>
      </c>
      <c r="B146" s="67" t="n"/>
      <c r="C146" s="46" t="n"/>
      <c r="D146" s="67" t="n"/>
      <c r="E146" s="47" t="n"/>
      <c r="F146" s="47" t="n"/>
      <c r="G146" s="47" t="n"/>
      <c r="H146" s="47" t="n"/>
      <c r="I146" s="47" t="n"/>
      <c r="J146" s="46" t="n"/>
    </row>
    <row r="147" ht="21" customHeight="1">
      <c r="A147" s="53" t="inlineStr">
        <is>
          <t>Implied EPS low/high</t>
        </is>
      </c>
      <c r="B147" s="68" t="n"/>
      <c r="C147" s="46" t="n"/>
      <c r="D147" s="68" t="n"/>
      <c r="E147" s="47" t="n"/>
      <c r="F147" s="47" t="n"/>
      <c r="G147" s="47" t="n"/>
      <c r="H147" s="47" t="n"/>
      <c r="I147" s="47" t="n"/>
      <c r="J147" s="46" t="n"/>
    </row>
    <row r="148" ht="21" customHeight="1">
      <c r="A148" s="52" t="inlineStr">
        <is>
          <t>Company EPS guide</t>
        </is>
      </c>
      <c r="B148" s="67" t="n"/>
      <c r="C148" s="46" t="n"/>
      <c r="D148" s="67" t="n"/>
      <c r="E148" s="47" t="n"/>
      <c r="F148" s="47" t="n"/>
      <c r="G148" s="47" t="n"/>
      <c r="H148" s="47" t="n"/>
      <c r="I148" s="47" t="n"/>
      <c r="J148" s="46" t="n"/>
    </row>
    <row r="149" ht="21" customHeight="1">
      <c r="A149" s="53" t="inlineStr">
        <is>
          <t>Model vs guide check</t>
        </is>
      </c>
      <c r="B149" s="68" t="n"/>
      <c r="C149" s="46" t="n"/>
      <c r="D149" s="68" t="n"/>
      <c r="E149" s="47" t="n"/>
      <c r="F149" s="47" t="n"/>
      <c r="G149" s="47" t="n"/>
      <c r="H149" s="47" t="n"/>
      <c r="I149" s="47" t="n"/>
      <c r="J149" s="46" t="n"/>
    </row>
    <row r="150" ht="21" customHeight="1"/>
    <row r="151" ht="21" customHeight="1">
      <c r="A151" s="254" t="inlineStr">
        <is>
          <t>What Moves EPS</t>
        </is>
      </c>
      <c r="B151" s="47" t="n"/>
      <c r="C151" s="47" t="n"/>
      <c r="D151" s="47" t="n"/>
      <c r="E151" s="47" t="n"/>
      <c r="F151" s="47" t="n"/>
      <c r="G151" s="47" t="n"/>
      <c r="H151" s="47" t="n"/>
      <c r="I151" s="47" t="n"/>
      <c r="J151" s="47" t="n"/>
      <c r="K151" s="46" t="n"/>
    </row>
    <row r="152" ht="21" customHeight="1">
      <c r="A152" s="296" t="inlineStr">
        <is>
          <t>Sensitivity</t>
        </is>
      </c>
      <c r="B152" s="259" t="n"/>
      <c r="C152" s="47" t="n"/>
      <c r="D152" s="47" t="n"/>
      <c r="E152" s="46" t="n"/>
      <c r="F152" s="259" t="n"/>
      <c r="G152" s="47" t="n"/>
      <c r="H152" s="47" t="n"/>
      <c r="I152" s="47" t="n"/>
      <c r="J152" s="47" t="n"/>
      <c r="K152" s="46" t="n"/>
    </row>
    <row r="153" ht="21" customHeight="1">
      <c r="A153" s="52" t="inlineStr">
        <is>
          <t>[Operating margin sensitivity slot]</t>
        </is>
      </c>
      <c r="B153" s="67" t="n"/>
      <c r="C153" s="47" t="n"/>
      <c r="D153" s="47" t="n"/>
      <c r="E153" s="46" t="n"/>
      <c r="F153" s="67" t="n"/>
      <c r="G153" s="47" t="n"/>
      <c r="H153" s="47" t="n"/>
      <c r="I153" s="47" t="n"/>
      <c r="J153" s="47" t="n"/>
      <c r="K153" s="46" t="n"/>
    </row>
    <row r="154" ht="21" customHeight="1">
      <c r="A154" s="53" t="inlineStr">
        <is>
          <t>[Gross margin sensitivity slot]</t>
        </is>
      </c>
      <c r="B154" s="68" t="n"/>
      <c r="C154" s="47" t="n"/>
      <c r="D154" s="47" t="n"/>
      <c r="E154" s="46" t="n"/>
      <c r="F154" s="68" t="n"/>
      <c r="G154" s="47" t="n"/>
      <c r="H154" s="47" t="n"/>
      <c r="I154" s="47" t="n"/>
      <c r="J154" s="47" t="n"/>
      <c r="K154" s="46" t="n"/>
    </row>
    <row r="155" ht="21" customHeight="1">
      <c r="A155" s="52" t="inlineStr">
        <is>
          <t>[Revenue growth sensitivity slot]</t>
        </is>
      </c>
      <c r="B155" s="67" t="n"/>
      <c r="C155" s="47" t="n"/>
      <c r="D155" s="47" t="n"/>
      <c r="E155" s="46" t="n"/>
      <c r="F155" s="67" t="n"/>
      <c r="G155" s="47" t="n"/>
      <c r="H155" s="47" t="n"/>
      <c r="I155" s="47" t="n"/>
      <c r="J155" s="47" t="n"/>
      <c r="K155" s="46" t="n"/>
    </row>
    <row r="156" ht="21" customHeight="1">
      <c r="A156" s="53" t="inlineStr">
        <is>
          <t>[Capital return sensitivity slot]</t>
        </is>
      </c>
      <c r="B156" s="68" t="n"/>
      <c r="C156" s="47" t="n"/>
      <c r="D156" s="47" t="n"/>
      <c r="E156" s="46" t="n"/>
      <c r="F156" s="68" t="n"/>
      <c r="G156" s="47" t="n"/>
      <c r="H156" s="47" t="n"/>
      <c r="I156" s="47" t="n"/>
      <c r="J156" s="47" t="n"/>
      <c r="K156" s="46" t="n"/>
    </row>
    <row r="157" ht="21" customHeight="1">
      <c r="A157" s="52" t="inlineStr">
        <is>
          <t>[EPS sensitivity slot]</t>
        </is>
      </c>
      <c r="B157" s="67" t="n"/>
      <c r="C157" s="47" t="n"/>
      <c r="D157" s="47" t="n"/>
      <c r="E157" s="46" t="n"/>
      <c r="F157" s="67" t="n"/>
      <c r="G157" s="47" t="n"/>
      <c r="H157" s="47" t="n"/>
      <c r="I157" s="47" t="n"/>
      <c r="J157" s="47" t="n"/>
      <c r="K157" s="46" t="n"/>
    </row>
    <row r="158" ht="21" customHeight="1"/>
    <row r="159" ht="21" customHeight="1">
      <c r="A159" s="254" t="inlineStr">
        <is>
          <t>Valuation Sensitivity</t>
        </is>
      </c>
      <c r="B159" s="47" t="n"/>
      <c r="C159" s="47" t="n"/>
      <c r="D159" s="47" t="n"/>
      <c r="E159" s="47" t="n"/>
      <c r="F159" s="47" t="n"/>
      <c r="G159" s="47" t="n"/>
      <c r="H159" s="47" t="n"/>
      <c r="I159" s="47" t="n"/>
      <c r="J159" s="46" t="n"/>
    </row>
    <row r="160" ht="21" customHeight="1">
      <c r="A160" s="296" t="inlineStr">
        <is>
          <t>EPS</t>
        </is>
      </c>
      <c r="B160" s="296" t="n"/>
      <c r="C160" s="296" t="n"/>
      <c r="D160" s="296" t="n"/>
      <c r="E160" s="296" t="n"/>
      <c r="F160" s="296" t="n"/>
      <c r="G160" s="296" t="n"/>
      <c r="H160" s="296" t="n"/>
      <c r="I160" s="296" t="n"/>
      <c r="J160" s="296" t="n"/>
    </row>
    <row r="161" ht="21" customHeight="1">
      <c r="A161" s="353">
        <f>IFERROR(IF($F$56="","",$F$56*0.9),"")</f>
        <v/>
      </c>
      <c r="B161" s="353" t="n"/>
      <c r="C161" s="353" t="n"/>
      <c r="D161" s="353" t="n"/>
      <c r="E161" s="353" t="n"/>
      <c r="F161" s="52" t="n"/>
      <c r="G161" s="52" t="n"/>
      <c r="H161" s="52" t="n"/>
      <c r="I161" s="52" t="n"/>
      <c r="J161" s="52" t="n"/>
    </row>
    <row r="162" ht="21" customHeight="1">
      <c r="A162" s="358">
        <f>IFERROR(IF($F$56="","",$F$56*1.0),"")</f>
        <v/>
      </c>
      <c r="B162" s="358" t="n"/>
      <c r="C162" s="358" t="n"/>
      <c r="D162" s="358" t="n"/>
      <c r="E162" s="358" t="n"/>
      <c r="F162" s="53" t="n"/>
      <c r="G162" s="53" t="n"/>
      <c r="H162" s="53" t="n"/>
      <c r="I162" s="53" t="n"/>
      <c r="J162" s="53" t="n"/>
    </row>
    <row r="163" ht="21" customHeight="1">
      <c r="A163" s="353">
        <f>IFERROR(IF($F$56="","",$F$56*1.1),"")</f>
        <v/>
      </c>
      <c r="B163" s="353" t="n"/>
      <c r="C163" s="353" t="n"/>
      <c r="D163" s="353" t="n"/>
      <c r="E163" s="353" t="n"/>
      <c r="F163" s="52" t="n"/>
      <c r="G163" s="52" t="n"/>
      <c r="H163" s="52" t="n"/>
      <c r="I163" s="52" t="n"/>
      <c r="J163" s="52" t="n"/>
    </row>
    <row r="164" ht="21" customHeight="1"/>
    <row r="165" ht="21" customHeight="1">
      <c r="A165" s="296" t="inlineStr">
        <is>
          <t>Scenario</t>
        </is>
      </c>
      <c r="B165" s="296" t="n"/>
      <c r="C165" s="296" t="n"/>
      <c r="D165" s="296" t="n"/>
      <c r="E165" s="296" t="n"/>
      <c r="F165" s="296" t="n"/>
      <c r="G165" s="296" t="n"/>
      <c r="H165" s="296" t="n"/>
      <c r="I165" s="296" t="n"/>
      <c r="J165" s="296" t="n"/>
    </row>
    <row r="166" ht="21" customHeight="1">
      <c r="A166" s="52" t="inlineStr">
        <is>
          <t>Bear</t>
        </is>
      </c>
      <c r="B166" s="353" t="n"/>
      <c r="C166" s="411" t="n"/>
      <c r="D166" s="353" t="n"/>
      <c r="E166" s="52" t="n"/>
      <c r="F166" s="52" t="n"/>
      <c r="G166" s="52" t="n"/>
      <c r="H166" s="52" t="n"/>
      <c r="I166" s="52" t="n"/>
      <c r="J166" s="52" t="n"/>
    </row>
    <row r="167" ht="21" customHeight="1">
      <c r="A167" s="53" t="inlineStr">
        <is>
          <t>Base</t>
        </is>
      </c>
      <c r="B167" s="358" t="n"/>
      <c r="C167" s="413" t="n"/>
      <c r="D167" s="358" t="n"/>
      <c r="E167" s="53" t="n"/>
      <c r="F167" s="53" t="n"/>
      <c r="G167" s="53" t="n"/>
      <c r="H167" s="53" t="n"/>
      <c r="I167" s="53" t="n"/>
      <c r="J167" s="53" t="n"/>
    </row>
    <row r="168" ht="21" customHeight="1">
      <c r="A168" s="52" t="inlineStr">
        <is>
          <t>Bull</t>
        </is>
      </c>
      <c r="B168" s="353" t="n"/>
      <c r="C168" s="411" t="n"/>
      <c r="D168" s="353" t="n"/>
      <c r="E168" s="52" t="n"/>
      <c r="F168" s="52" t="n"/>
      <c r="G168" s="52" t="n"/>
      <c r="H168" s="52" t="n"/>
      <c r="I168" s="52" t="n"/>
      <c r="J168" s="52" t="n"/>
    </row>
    <row r="169" ht="21" customHeight="1"/>
    <row r="170" ht="21" customHeight="1">
      <c r="A170" s="254" t="inlineStr">
        <is>
          <t>Adj EBITDA x EV/EBITDA</t>
        </is>
      </c>
      <c r="B170" s="47" t="n"/>
      <c r="C170" s="47" t="n"/>
      <c r="D170" s="47" t="n"/>
      <c r="E170" s="47" t="n"/>
      <c r="F170" s="47" t="n"/>
      <c r="G170" s="47" t="n"/>
      <c r="H170" s="47" t="n"/>
      <c r="I170" s="47" t="n"/>
      <c r="J170" s="46" t="n"/>
    </row>
    <row r="171" ht="21" customHeight="1">
      <c r="A171" s="296" t="inlineStr">
        <is>
          <t>Multiple</t>
        </is>
      </c>
      <c r="B171" s="296" t="n"/>
      <c r="C171" s="296" t="n"/>
      <c r="D171" s="296" t="n"/>
      <c r="E171" s="259" t="n"/>
      <c r="F171" s="47" t="n"/>
      <c r="G171" s="47" t="n"/>
      <c r="H171" s="47" t="n"/>
      <c r="I171" s="47" t="n"/>
      <c r="J171" s="46" t="n"/>
    </row>
    <row r="172" ht="21" customHeight="1">
      <c r="A172" s="411">
        <f>IFERROR(MAX(0,$G$24+-2.0),"")</f>
        <v/>
      </c>
      <c r="B172" s="351" t="n"/>
      <c r="C172" s="351" t="n"/>
      <c r="D172" s="353" t="n"/>
      <c r="E172" s="67" t="n"/>
      <c r="F172" s="47" t="n"/>
      <c r="G172" s="47" t="n"/>
      <c r="H172" s="47" t="n"/>
      <c r="I172" s="47" t="n"/>
      <c r="J172" s="46" t="n"/>
    </row>
    <row r="173" ht="21" customHeight="1">
      <c r="A173" s="413">
        <f>IFERROR(MAX(0,$G$24+0.0),"")</f>
        <v/>
      </c>
      <c r="B173" s="352" t="n"/>
      <c r="C173" s="352" t="n"/>
      <c r="D173" s="358" t="n"/>
      <c r="E173" s="68" t="n"/>
      <c r="F173" s="47" t="n"/>
      <c r="G173" s="47" t="n"/>
      <c r="H173" s="47" t="n"/>
      <c r="I173" s="47" t="n"/>
      <c r="J173" s="46" t="n"/>
    </row>
    <row r="174" ht="21" customHeight="1">
      <c r="A174" s="411">
        <f>IFERROR(MAX(0,$G$24+2.0),"")</f>
        <v/>
      </c>
      <c r="B174" s="351" t="n"/>
      <c r="C174" s="351" t="n"/>
      <c r="D174" s="353" t="n"/>
      <c r="E174" s="67" t="n"/>
      <c r="F174" s="47" t="n"/>
      <c r="G174" s="47" t="n"/>
      <c r="H174" s="47" t="n"/>
      <c r="I174" s="47" t="n"/>
      <c r="J174" s="46" t="n"/>
    </row>
    <row r="175" ht="21" customHeight="1"/>
    <row r="176" ht="21" customHeight="1">
      <c r="A176" s="254" t="inlineStr">
        <is>
          <t>FCF Yield Implied Equity Value</t>
        </is>
      </c>
      <c r="B176" s="47" t="n"/>
      <c r="C176" s="47" t="n"/>
      <c r="D176" s="47" t="n"/>
      <c r="E176" s="47" t="n"/>
      <c r="F176" s="47" t="n"/>
      <c r="G176" s="47" t="n"/>
      <c r="H176" s="47" t="n"/>
      <c r="I176" s="47" t="n"/>
      <c r="J176" s="46" t="n"/>
    </row>
    <row r="177" ht="21" customHeight="1">
      <c r="A177" s="296" t="inlineStr">
        <is>
          <t>Yield</t>
        </is>
      </c>
      <c r="B177" s="296" t="n"/>
      <c r="C177" s="296" t="n"/>
      <c r="D177" s="259" t="n"/>
      <c r="E177" s="47" t="n"/>
      <c r="F177" s="47" t="n"/>
      <c r="G177" s="47" t="n"/>
      <c r="H177" s="47" t="n"/>
      <c r="I177" s="47" t="n"/>
      <c r="J177" s="46" t="n"/>
    </row>
    <row r="178" ht="21" customHeight="1">
      <c r="A178" s="268">
        <f>IFERROR((IF($G$25&gt;1,$G$25/100,$G$25))*0.8,"")</f>
        <v/>
      </c>
      <c r="B178" s="351" t="n"/>
      <c r="C178" s="353" t="n"/>
      <c r="D178" s="67" t="n"/>
      <c r="E178" s="47" t="n"/>
      <c r="F178" s="47" t="n"/>
      <c r="G178" s="47" t="n"/>
      <c r="H178" s="47" t="n"/>
      <c r="I178" s="47" t="n"/>
      <c r="J178" s="46" t="n"/>
    </row>
    <row r="179" ht="21" customHeight="1">
      <c r="A179" s="270">
        <f>IFERROR((IF($G$25&gt;1,$G$25/100,$G$25))*1.0,"")</f>
        <v/>
      </c>
      <c r="B179" s="352" t="n"/>
      <c r="C179" s="358" t="n"/>
      <c r="D179" s="68" t="n"/>
      <c r="E179" s="47" t="n"/>
      <c r="F179" s="47" t="n"/>
      <c r="G179" s="47" t="n"/>
      <c r="H179" s="47" t="n"/>
      <c r="I179" s="47" t="n"/>
      <c r="J179" s="46" t="n"/>
    </row>
    <row r="180" ht="21" customHeight="1">
      <c r="A180" s="268">
        <f>IFERROR((IF($G$25&gt;1,$G$25/100,$G$25))*1.2,"")</f>
        <v/>
      </c>
      <c r="B180" s="351" t="n"/>
      <c r="C180" s="353" t="n"/>
      <c r="D180" s="67" t="n"/>
      <c r="E180" s="47" t="n"/>
      <c r="F180" s="47" t="n"/>
      <c r="G180" s="47" t="n"/>
      <c r="H180" s="47" t="n"/>
      <c r="I180" s="47" t="n"/>
      <c r="J180" s="46" t="n"/>
    </row>
    <row r="181" ht="21" customHeight="1"/>
    <row r="182" ht="21" customHeight="1">
      <c r="A182" s="254" t="inlineStr">
        <is>
          <t>Comp Stack / Lapping Risk</t>
        </is>
      </c>
      <c r="B182" s="47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6" t="n"/>
    </row>
    <row r="183" ht="21" customHeight="1">
      <c r="A183" s="296" t="inlineStr">
        <is>
          <t>Quarter</t>
        </is>
      </c>
      <c r="B183" s="296" t="n"/>
      <c r="C183" s="296" t="n"/>
      <c r="D183" s="296" t="n"/>
      <c r="E183" s="296" t="n"/>
      <c r="F183" s="296" t="n"/>
      <c r="G183" s="296" t="n"/>
      <c r="H183" s="296" t="n"/>
      <c r="I183" s="259" t="n"/>
      <c r="J183" s="47" t="n"/>
      <c r="K183" s="46" t="n"/>
    </row>
    <row r="184" ht="21" customHeight="1">
      <c r="A184" s="52" t="inlineStr">
        <is>
          <t>[Comparison period slot]</t>
        </is>
      </c>
      <c r="B184" s="52" t="n"/>
      <c r="C184" s="52" t="n"/>
      <c r="D184" s="52" t="n"/>
      <c r="E184" s="52" t="n"/>
      <c r="F184" s="52" t="n"/>
      <c r="G184" s="52" t="n"/>
      <c r="H184" s="52" t="n"/>
      <c r="I184" s="67" t="n"/>
      <c r="J184" s="47" t="n"/>
      <c r="K184" s="46" t="n"/>
    </row>
    <row r="185" ht="21" customHeight="1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68" t="n"/>
      <c r="J185" s="47" t="n"/>
      <c r="K185" s="46" t="n"/>
    </row>
    <row r="186" ht="21" customHeight="1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67" t="n"/>
      <c r="J186" s="47" t="n"/>
      <c r="K186" s="46" t="n"/>
    </row>
    <row r="187" ht="21" customHeight="1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68" t="n"/>
      <c r="J187" s="47" t="n"/>
      <c r="K187" s="46" t="n"/>
    </row>
    <row r="188" ht="21" customHeight="1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67" t="n"/>
      <c r="J188" s="47" t="n"/>
      <c r="K188" s="46" t="n"/>
    </row>
    <row r="189" ht="21" customHeight="1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68" t="n"/>
      <c r="J189" s="47" t="n"/>
      <c r="K189" s="46" t="n"/>
    </row>
    <row r="190" ht="21" customHeight="1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67" t="n"/>
      <c r="J190" s="47" t="n"/>
      <c r="K190" s="46" t="n"/>
    </row>
    <row r="191" ht="21" customHeight="1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68" t="n"/>
      <c r="J191" s="47" t="n"/>
      <c r="K191" s="46" t="n"/>
    </row>
    <row r="192" ht="21" customHeight="1"/>
    <row r="193" ht="21" customHeight="1">
      <c r="A193" s="254" t="inlineStr">
        <is>
          <t>Business Health</t>
        </is>
      </c>
      <c r="B193" s="47" t="n"/>
      <c r="C193" s="47" t="n"/>
      <c r="D193" s="47" t="n"/>
      <c r="E193" s="47" t="n"/>
      <c r="F193" s="47" t="n"/>
      <c r="G193" s="47" t="n"/>
      <c r="H193" s="47" t="n"/>
      <c r="I193" s="47" t="n"/>
      <c r="J193" s="46" t="n"/>
    </row>
    <row r="194" ht="21" customHeight="1">
      <c r="A194" s="296" t="inlineStr">
        <is>
          <t>Metric</t>
        </is>
      </c>
      <c r="B194" s="296" t="n"/>
      <c r="C194" s="296" t="n"/>
      <c r="D194" s="296" t="n"/>
      <c r="E194" s="296" t="n"/>
      <c r="F194" s="296" t="n"/>
      <c r="G194" s="296" t="n"/>
      <c r="H194" s="296" t="n"/>
      <c r="I194" s="296" t="n"/>
      <c r="J194" s="296" t="n"/>
    </row>
    <row r="195" ht="21" customHeight="1">
      <c r="A195" s="52" t="inlineStr">
        <is>
          <t>Sales</t>
        </is>
      </c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</row>
    <row r="196" ht="21" customHeight="1">
      <c r="A196" s="53" t="inlineStr">
        <is>
          <t>Sales growth</t>
        </is>
      </c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</row>
    <row r="197" ht="21" customHeight="1">
      <c r="A197" s="52" t="inlineStr">
        <is>
          <t>Current-period sales growth</t>
        </is>
      </c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</row>
    <row r="198" ht="21" customHeight="1">
      <c r="A198" s="53" t="inlineStr">
        <is>
          <t>[Current-period operating metric slot]</t>
        </is>
      </c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</row>
    <row r="199" ht="21" customHeight="1">
      <c r="A199" s="256" t="inlineStr">
        <is>
          <t>Interpretation</t>
        </is>
      </c>
      <c r="B199" s="257" t="n"/>
      <c r="C199" s="47" t="n"/>
      <c r="D199" s="47" t="n"/>
      <c r="E199" s="47" t="n"/>
      <c r="F199" s="47" t="n"/>
      <c r="G199" s="47" t="n"/>
      <c r="H199" s="47" t="n"/>
      <c r="I199" s="47" t="n"/>
      <c r="J199" s="46" t="n"/>
    </row>
    <row r="200" ht="21" customHeight="1"/>
    <row r="201" ht="21" customHeight="1">
      <c r="A201" s="254" t="inlineStr">
        <is>
          <t>Inventory / Working-Capital Risk</t>
        </is>
      </c>
      <c r="B201" s="47" t="n"/>
      <c r="C201" s="47" t="n"/>
      <c r="D201" s="47" t="n"/>
      <c r="E201" s="47" t="n"/>
      <c r="F201" s="47" t="n"/>
      <c r="G201" s="47" t="n"/>
      <c r="H201" s="47" t="n"/>
      <c r="I201" s="47" t="n"/>
      <c r="J201" s="46" t="n"/>
    </row>
    <row r="202" ht="21" customHeight="1">
      <c r="A202" s="296" t="inlineStr">
        <is>
          <t>Metric</t>
        </is>
      </c>
      <c r="B202" s="296" t="n"/>
      <c r="C202" s="259" t="n"/>
      <c r="D202" s="47" t="n"/>
      <c r="E202" s="47" t="n"/>
      <c r="F202" s="47" t="n"/>
      <c r="G202" s="47" t="n"/>
      <c r="H202" s="47" t="n"/>
      <c r="I202" s="47" t="n"/>
      <c r="J202" s="46" t="n"/>
    </row>
    <row r="203" ht="21" customHeight="1">
      <c r="A203" s="52" t="inlineStr">
        <is>
          <t>Inventory growth</t>
        </is>
      </c>
      <c r="B203" s="52" t="n"/>
      <c r="C203" s="67" t="n"/>
      <c r="D203" s="47" t="n"/>
      <c r="E203" s="47" t="n"/>
      <c r="F203" s="47" t="n"/>
      <c r="G203" s="47" t="n"/>
      <c r="H203" s="47" t="n"/>
      <c r="I203" s="47" t="n"/>
      <c r="J203" s="46" t="n"/>
    </row>
    <row r="204" ht="21" customHeight="1">
      <c r="A204" s="53" t="inlineStr">
        <is>
          <t>Sales growth</t>
        </is>
      </c>
      <c r="B204" s="53" t="n"/>
      <c r="C204" s="68" t="n"/>
      <c r="D204" s="47" t="n"/>
      <c r="E204" s="47" t="n"/>
      <c r="F204" s="47" t="n"/>
      <c r="G204" s="47" t="n"/>
      <c r="H204" s="47" t="n"/>
      <c r="I204" s="47" t="n"/>
      <c r="J204" s="46" t="n"/>
    </row>
    <row r="205" ht="21" customHeight="1">
      <c r="A205" s="52" t="inlineStr">
        <is>
          <t>[Scenario driver slot 205]</t>
        </is>
      </c>
      <c r="B205" s="52" t="n"/>
      <c r="C205" s="67" t="n"/>
      <c r="D205" s="47" t="n"/>
      <c r="E205" s="47" t="n"/>
      <c r="F205" s="47" t="n"/>
      <c r="G205" s="47" t="n"/>
      <c r="H205" s="47" t="n"/>
      <c r="I205" s="47" t="n"/>
      <c r="J205" s="46" t="n"/>
    </row>
    <row r="206" ht="21" customHeight="1">
      <c r="A206" s="53" t="inlineStr">
        <is>
          <t>Inventory unit growth</t>
        </is>
      </c>
      <c r="B206" s="53" t="n"/>
      <c r="C206" s="68" t="n"/>
      <c r="D206" s="47" t="n"/>
      <c r="E206" s="47" t="n"/>
      <c r="F206" s="47" t="n"/>
      <c r="G206" s="47" t="n"/>
      <c r="H206" s="47" t="n"/>
      <c r="I206" s="47" t="n"/>
      <c r="J206" s="46" t="n"/>
    </row>
    <row r="207" ht="21" customHeight="1">
      <c r="A207" s="52" t="inlineStr">
        <is>
          <t>[Scenario driver slot 207]</t>
        </is>
      </c>
      <c r="B207" s="52" t="n"/>
      <c r="C207" s="67" t="n"/>
      <c r="D207" s="47" t="n"/>
      <c r="E207" s="47" t="n"/>
      <c r="F207" s="47" t="n"/>
      <c r="G207" s="47" t="n"/>
      <c r="H207" s="47" t="n"/>
      <c r="I207" s="47" t="n"/>
      <c r="J207" s="46" t="n"/>
    </row>
    <row r="208" ht="21" customHeight="1">
      <c r="A208" s="53" t="inlineStr">
        <is>
          <t>[Scenario driver slot 208]</t>
        </is>
      </c>
      <c r="B208" s="53" t="n"/>
      <c r="C208" s="68" t="n"/>
      <c r="D208" s="47" t="n"/>
      <c r="E208" s="47" t="n"/>
      <c r="F208" s="47" t="n"/>
      <c r="G208" s="47" t="n"/>
      <c r="H208" s="47" t="n"/>
      <c r="I208" s="47" t="n"/>
      <c r="J208" s="46" t="n"/>
    </row>
    <row r="209" ht="21" customHeight="1">
      <c r="A209" s="256" t="inlineStr">
        <is>
          <t>Conclusion</t>
        </is>
      </c>
      <c r="B209" s="257" t="n"/>
      <c r="C209" s="47" t="n"/>
      <c r="D209" s="47" t="n"/>
      <c r="E209" s="47" t="n"/>
      <c r="F209" s="47" t="n"/>
      <c r="G209" s="47" t="n"/>
      <c r="H209" s="47" t="n"/>
      <c r="I209" s="47" t="n"/>
      <c r="J209" s="46" t="n"/>
    </row>
    <row r="210" ht="21" customHeight="1"/>
    <row r="211" ht="21" customHeight="1">
      <c r="A211" s="254" t="inlineStr">
        <is>
          <t>Asset Productivity / Capacity Returns</t>
        </is>
      </c>
      <c r="B211" s="47" t="n"/>
      <c r="C211" s="47" t="n"/>
      <c r="D211" s="47" t="n"/>
      <c r="E211" s="47" t="n"/>
      <c r="F211" s="47" t="n"/>
      <c r="G211" s="47" t="n"/>
      <c r="H211" s="47" t="n"/>
      <c r="I211" s="47" t="n"/>
      <c r="J211" s="46" t="n"/>
    </row>
    <row r="212" ht="21" customHeight="1">
      <c r="A212" s="296" t="inlineStr">
        <is>
          <t>Metric</t>
        </is>
      </c>
      <c r="B212" s="259" t="n"/>
      <c r="C212" s="47" t="n"/>
      <c r="D212" s="47" t="n"/>
      <c r="E212" s="46" t="n"/>
      <c r="F212" s="259" t="n"/>
      <c r="G212" s="47" t="n"/>
      <c r="H212" s="47" t="n"/>
      <c r="I212" s="47" t="n"/>
      <c r="J212" s="46" t="n"/>
    </row>
    <row r="213" ht="21" customHeight="1">
      <c r="A213" s="52" t="inlineStr">
        <is>
          <t>[Scenario driver slot 213]</t>
        </is>
      </c>
      <c r="B213" s="67" t="n"/>
      <c r="C213" s="47" t="n"/>
      <c r="D213" s="47" t="n"/>
      <c r="E213" s="46" t="n"/>
      <c r="F213" s="67" t="n"/>
      <c r="G213" s="47" t="n"/>
      <c r="H213" s="47" t="n"/>
      <c r="I213" s="47" t="n"/>
      <c r="J213" s="46" t="n"/>
    </row>
    <row r="214" ht="21" customHeight="1">
      <c r="A214" s="53" t="inlineStr">
        <is>
          <t>[Scenario driver slot 214]</t>
        </is>
      </c>
      <c r="B214" s="68" t="n"/>
      <c r="C214" s="47" t="n"/>
      <c r="D214" s="47" t="n"/>
      <c r="E214" s="46" t="n"/>
      <c r="F214" s="68" t="n"/>
      <c r="G214" s="47" t="n"/>
      <c r="H214" s="47" t="n"/>
      <c r="I214" s="47" t="n"/>
      <c r="J214" s="46" t="n"/>
    </row>
    <row r="215" ht="21" customHeight="1">
      <c r="A215" s="52" t="inlineStr">
        <is>
          <t>[Asset scope slot]</t>
        </is>
      </c>
      <c r="B215" s="67" t="n"/>
      <c r="C215" s="47" t="n"/>
      <c r="D215" s="47" t="n"/>
      <c r="E215" s="46" t="n"/>
      <c r="F215" s="67" t="n"/>
      <c r="G215" s="47" t="n"/>
      <c r="H215" s="47" t="n"/>
      <c r="I215" s="47" t="n"/>
      <c r="J215" s="46" t="n"/>
    </row>
    <row r="216" ht="21" customHeight="1">
      <c r="A216" s="53" t="inlineStr">
        <is>
          <t>[Scenario driver slot 216]</t>
        </is>
      </c>
      <c r="B216" s="68" t="n"/>
      <c r="C216" s="47" t="n"/>
      <c r="D216" s="47" t="n"/>
      <c r="E216" s="46" t="n"/>
      <c r="F216" s="68" t="n"/>
      <c r="G216" s="47" t="n"/>
      <c r="H216" s="47" t="n"/>
      <c r="I216" s="47" t="n"/>
      <c r="J216" s="46" t="n"/>
    </row>
    <row r="217" ht="21" customHeight="1">
      <c r="A217" s="52" t="inlineStr">
        <is>
          <t>[Scenario driver slot 217]</t>
        </is>
      </c>
      <c r="B217" s="67" t="n"/>
      <c r="C217" s="47" t="n"/>
      <c r="D217" s="47" t="n"/>
      <c r="E217" s="46" t="n"/>
      <c r="F217" s="67" t="n"/>
      <c r="G217" s="47" t="n"/>
      <c r="H217" s="47" t="n"/>
      <c r="I217" s="47" t="n"/>
      <c r="J217" s="46" t="n"/>
    </row>
    <row r="218" ht="21" customHeight="1">
      <c r="A218" s="53" t="inlineStr">
        <is>
          <t>[Scenario driver slot 218]</t>
        </is>
      </c>
      <c r="B218" s="68" t="n"/>
      <c r="C218" s="47" t="n"/>
      <c r="D218" s="47" t="n"/>
      <c r="E218" s="46" t="n"/>
      <c r="F218" s="68" t="n"/>
      <c r="G218" s="47" t="n"/>
      <c r="H218" s="47" t="n"/>
      <c r="I218" s="47" t="n"/>
      <c r="J218" s="46" t="n"/>
    </row>
    <row r="219" ht="21" customHeight="1">
      <c r="A219" s="52" t="inlineStr">
        <is>
          <t>[Scenario driver slot 219]</t>
        </is>
      </c>
      <c r="B219" s="67" t="n"/>
      <c r="C219" s="47" t="n"/>
      <c r="D219" s="47" t="n"/>
      <c r="E219" s="46" t="n"/>
      <c r="F219" s="67" t="n"/>
      <c r="G219" s="47" t="n"/>
      <c r="H219" s="47" t="n"/>
      <c r="I219" s="47" t="n"/>
      <c r="J219" s="46" t="n"/>
    </row>
    <row r="220" ht="21" customHeight="1">
      <c r="A220" s="53" t="inlineStr">
        <is>
          <t>[Scenario driver slot 220]</t>
        </is>
      </c>
      <c r="B220" s="68" t="n"/>
      <c r="C220" s="47" t="n"/>
      <c r="D220" s="47" t="n"/>
      <c r="E220" s="46" t="n"/>
      <c r="F220" s="68" t="n"/>
      <c r="G220" s="47" t="n"/>
      <c r="H220" s="47" t="n"/>
      <c r="I220" s="47" t="n"/>
      <c r="J220" s="46" t="n"/>
    </row>
    <row r="221" ht="21" customHeight="1">
      <c r="A221" s="52" t="inlineStr">
        <is>
          <t>[Scenario driver slot 221]</t>
        </is>
      </c>
      <c r="B221" s="67" t="n"/>
      <c r="C221" s="47" t="n"/>
      <c r="D221" s="47" t="n"/>
      <c r="E221" s="46" t="n"/>
      <c r="F221" s="67" t="n"/>
      <c r="G221" s="47" t="n"/>
      <c r="H221" s="47" t="n"/>
      <c r="I221" s="47" t="n"/>
      <c r="J221" s="46" t="n"/>
    </row>
    <row r="222" ht="21" customHeight="1">
      <c r="A222" s="53" t="inlineStr">
        <is>
          <t>Method note</t>
        </is>
      </c>
      <c r="B222" s="68" t="n"/>
      <c r="C222" s="47" t="n"/>
      <c r="D222" s="47" t="n"/>
      <c r="E222" s="46" t="n"/>
      <c r="F222" s="68" t="n"/>
      <c r="G222" s="47" t="n"/>
      <c r="H222" s="47" t="n"/>
      <c r="I222" s="47" t="n"/>
      <c r="J222" s="46" t="n"/>
    </row>
    <row r="223" ht="21" customHeight="1">
      <c r="A223" s="52" t="inlineStr">
        <is>
          <t>[Asset growth slot]</t>
        </is>
      </c>
      <c r="B223" s="67" t="n"/>
      <c r="C223" s="47" t="n"/>
      <c r="D223" s="47" t="n"/>
      <c r="E223" s="46" t="n"/>
      <c r="F223" s="67" t="n"/>
      <c r="G223" s="47" t="n"/>
      <c r="H223" s="47" t="n"/>
      <c r="I223" s="47" t="n"/>
      <c r="J223" s="46" t="n"/>
    </row>
    <row r="224" ht="21" customHeight="1">
      <c r="A224" s="53" t="inlineStr">
        <is>
          <t>Revenue growth vs asset growth</t>
        </is>
      </c>
      <c r="B224" s="68" t="n"/>
      <c r="C224" s="47" t="n"/>
      <c r="D224" s="47" t="n"/>
      <c r="E224" s="46" t="n"/>
      <c r="F224" s="68" t="n"/>
      <c r="G224" s="47" t="n"/>
      <c r="H224" s="47" t="n"/>
      <c r="I224" s="47" t="n"/>
      <c r="J224" s="46" t="n"/>
    </row>
    <row r="225" ht="21" customHeight="1">
      <c r="A225" s="52" t="inlineStr">
        <is>
          <t>[Channel mix slot]</t>
        </is>
      </c>
      <c r="B225" s="67" t="n"/>
      <c r="C225" s="47" t="n"/>
      <c r="D225" s="47" t="n"/>
      <c r="E225" s="46" t="n"/>
      <c r="F225" s="67" t="n"/>
      <c r="G225" s="47" t="n"/>
      <c r="H225" s="47" t="n"/>
      <c r="I225" s="47" t="n"/>
      <c r="J225" s="46" t="n"/>
    </row>
    <row r="226" ht="21" customHeight="1"/>
    <row r="227" ht="21" customHeight="1">
      <c r="A227" s="254" t="inlineStr">
        <is>
          <t>Guidance Beat/Miss Setup</t>
        </is>
      </c>
      <c r="B227" s="47" t="n"/>
      <c r="C227" s="47" t="n"/>
      <c r="D227" s="47" t="n"/>
      <c r="E227" s="47" t="n"/>
      <c r="F227" s="47" t="n"/>
      <c r="G227" s="47" t="n"/>
      <c r="H227" s="47" t="n"/>
      <c r="I227" s="47" t="n"/>
      <c r="J227" s="46" t="n"/>
    </row>
    <row r="228" ht="21" customHeight="1">
      <c r="A228" s="296" t="inlineStr">
        <is>
          <t>Metric</t>
        </is>
      </c>
      <c r="B228" s="259" t="n"/>
      <c r="C228" s="46" t="n"/>
      <c r="D228" s="259" t="n"/>
      <c r="E228" s="47" t="n"/>
      <c r="F228" s="47" t="n"/>
      <c r="G228" s="46" t="n"/>
      <c r="H228" s="259" t="n"/>
      <c r="I228" s="47" t="n"/>
      <c r="J228" s="46" t="n"/>
    </row>
    <row r="229" ht="21" customHeight="1">
      <c r="A229" s="52" t="inlineStr">
        <is>
          <t>Sales growth</t>
        </is>
      </c>
      <c r="B229" s="67" t="n"/>
      <c r="C229" s="46" t="n"/>
      <c r="D229" s="67" t="n"/>
      <c r="E229" s="47" t="n"/>
      <c r="F229" s="47" t="n"/>
      <c r="G229" s="46" t="n"/>
      <c r="H229" s="67" t="n"/>
      <c r="I229" s="47" t="n"/>
      <c r="J229" s="46" t="n"/>
    </row>
    <row r="230" ht="21" customHeight="1">
      <c r="A230" s="53" t="inlineStr">
        <is>
          <t>Op margin</t>
        </is>
      </c>
      <c r="B230" s="68" t="n"/>
      <c r="C230" s="46" t="n"/>
      <c r="D230" s="68" t="n"/>
      <c r="E230" s="47" t="n"/>
      <c r="F230" s="47" t="n"/>
      <c r="G230" s="46" t="n"/>
      <c r="H230" s="68" t="n"/>
      <c r="I230" s="47" t="n"/>
      <c r="J230" s="46" t="n"/>
    </row>
    <row r="231" ht="21" customHeight="1">
      <c r="A231" s="52" t="inlineStr">
        <is>
          <t>EPS</t>
        </is>
      </c>
      <c r="B231" s="67" t="n"/>
      <c r="C231" s="46" t="n"/>
      <c r="D231" s="67" t="n"/>
      <c r="E231" s="47" t="n"/>
      <c r="F231" s="47" t="n"/>
      <c r="G231" s="46" t="n"/>
      <c r="H231" s="67" t="n"/>
      <c r="I231" s="47" t="n"/>
      <c r="J231" s="46" t="n"/>
    </row>
    <row r="232" ht="21" customHeight="1">
      <c r="A232" s="53" t="inlineStr">
        <is>
          <t>Buybacks</t>
        </is>
      </c>
      <c r="B232" s="68" t="n"/>
      <c r="C232" s="46" t="n"/>
      <c r="D232" s="68" t="n"/>
      <c r="E232" s="47" t="n"/>
      <c r="F232" s="47" t="n"/>
      <c r="G232" s="46" t="n"/>
      <c r="H232" s="68" t="n"/>
      <c r="I232" s="47" t="n"/>
      <c r="J232" s="46" t="n"/>
    </row>
    <row r="233" ht="21" customHeight="1">
      <c r="A233" s="52" t="inlineStr">
        <is>
          <t>Capex</t>
        </is>
      </c>
      <c r="B233" s="67" t="n"/>
      <c r="C233" s="46" t="n"/>
      <c r="D233" s="67" t="n"/>
      <c r="E233" s="47" t="n"/>
      <c r="F233" s="47" t="n"/>
      <c r="G233" s="46" t="n"/>
      <c r="H233" s="67" t="n"/>
      <c r="I233" s="47" t="n"/>
      <c r="J233" s="46" t="n"/>
    </row>
  </sheetData>
  <mergeCells count="295">
    <mergeCell ref="B91:C91"/>
    <mergeCell ref="B217:E217"/>
    <mergeCell ref="F113:K113"/>
    <mergeCell ref="B74:E74"/>
    <mergeCell ref="B101:J101"/>
    <mergeCell ref="F114:K114"/>
    <mergeCell ref="C204:J204"/>
    <mergeCell ref="B141:C141"/>
    <mergeCell ref="F154:K154"/>
    <mergeCell ref="B232:C232"/>
    <mergeCell ref="B115:C115"/>
    <mergeCell ref="B93:C93"/>
    <mergeCell ref="B149:C149"/>
    <mergeCell ref="F124:J124"/>
    <mergeCell ref="D177:J177"/>
    <mergeCell ref="H17:J17"/>
    <mergeCell ref="F217:J217"/>
    <mergeCell ref="D231:G231"/>
    <mergeCell ref="B123:E123"/>
    <mergeCell ref="B78:J78"/>
    <mergeCell ref="C206:J206"/>
    <mergeCell ref="B221:E221"/>
    <mergeCell ref="B86:C86"/>
    <mergeCell ref="D108:E108"/>
    <mergeCell ref="F156:K156"/>
    <mergeCell ref="H22:J22"/>
    <mergeCell ref="D148:J148"/>
    <mergeCell ref="H19:J19"/>
    <mergeCell ref="C205:J205"/>
    <mergeCell ref="A83:J83"/>
    <mergeCell ref="E61:J61"/>
    <mergeCell ref="C133:J133"/>
    <mergeCell ref="B155:E155"/>
    <mergeCell ref="A138:J138"/>
    <mergeCell ref="F126:J126"/>
    <mergeCell ref="B104:J104"/>
    <mergeCell ref="F117:K117"/>
    <mergeCell ref="A36:J36"/>
    <mergeCell ref="B215:E215"/>
    <mergeCell ref="B112:C112"/>
    <mergeCell ref="A119:J119"/>
    <mergeCell ref="C130:J130"/>
    <mergeCell ref="D112:E112"/>
    <mergeCell ref="D140:J140"/>
    <mergeCell ref="D229:G229"/>
    <mergeCell ref="H30:J30"/>
    <mergeCell ref="A69:J69"/>
    <mergeCell ref="B62:D62"/>
    <mergeCell ref="D56:E56"/>
    <mergeCell ref="A151:K151"/>
    <mergeCell ref="I187:K187"/>
    <mergeCell ref="F56:G56"/>
    <mergeCell ref="H29:J29"/>
    <mergeCell ref="F116:K116"/>
    <mergeCell ref="D114:E114"/>
    <mergeCell ref="I44:J44"/>
    <mergeCell ref="B55:C55"/>
    <mergeCell ref="B209:J209"/>
    <mergeCell ref="F92:J92"/>
    <mergeCell ref="D179:J179"/>
    <mergeCell ref="I189:K189"/>
    <mergeCell ref="H31:J31"/>
    <mergeCell ref="G74:J74"/>
    <mergeCell ref="H58:J58"/>
    <mergeCell ref="D113:E113"/>
    <mergeCell ref="C208:J208"/>
    <mergeCell ref="F216:J216"/>
    <mergeCell ref="F57:G57"/>
    <mergeCell ref="E171:J171"/>
    <mergeCell ref="C131:J131"/>
    <mergeCell ref="H21:J21"/>
    <mergeCell ref="B11:J11"/>
    <mergeCell ref="H51:J51"/>
    <mergeCell ref="E63:J63"/>
    <mergeCell ref="D115:E115"/>
    <mergeCell ref="A159:J159"/>
    <mergeCell ref="D180:J180"/>
    <mergeCell ref="D143:J143"/>
    <mergeCell ref="F218:J218"/>
    <mergeCell ref="E173:J173"/>
    <mergeCell ref="A182:K182"/>
    <mergeCell ref="A4:J4"/>
    <mergeCell ref="E65:J65"/>
    <mergeCell ref="H228:J228"/>
    <mergeCell ref="B140:C140"/>
    <mergeCell ref="F153:K153"/>
    <mergeCell ref="B222:E222"/>
    <mergeCell ref="D142:J142"/>
    <mergeCell ref="A13:J13"/>
    <mergeCell ref="A170:J170"/>
    <mergeCell ref="H16:J16"/>
    <mergeCell ref="B154:E154"/>
    <mergeCell ref="B212:E212"/>
    <mergeCell ref="B103:J103"/>
    <mergeCell ref="A211:J211"/>
    <mergeCell ref="B117:C117"/>
    <mergeCell ref="H57:J57"/>
    <mergeCell ref="D228:G228"/>
    <mergeCell ref="I41:J41"/>
    <mergeCell ref="H27:J27"/>
    <mergeCell ref="G77:J77"/>
    <mergeCell ref="D144:J144"/>
    <mergeCell ref="B231:C231"/>
    <mergeCell ref="A73:J73"/>
    <mergeCell ref="B156:E156"/>
    <mergeCell ref="A201:J201"/>
    <mergeCell ref="H229:J229"/>
    <mergeCell ref="I191:K191"/>
    <mergeCell ref="B6:J6"/>
    <mergeCell ref="A60:J60"/>
    <mergeCell ref="H33:J33"/>
    <mergeCell ref="I43:J43"/>
    <mergeCell ref="B116:C116"/>
    <mergeCell ref="F91:J91"/>
    <mergeCell ref="B223:E223"/>
    <mergeCell ref="F107:K107"/>
    <mergeCell ref="B220:E220"/>
    <mergeCell ref="B230:C230"/>
    <mergeCell ref="B77:E77"/>
    <mergeCell ref="D139:J139"/>
    <mergeCell ref="B84:C84"/>
    <mergeCell ref="C207:J207"/>
    <mergeCell ref="F157:K157"/>
    <mergeCell ref="F93:J93"/>
    <mergeCell ref="F220:J220"/>
    <mergeCell ref="H20:J20"/>
    <mergeCell ref="B7:J7"/>
    <mergeCell ref="C135:J135"/>
    <mergeCell ref="H230:J230"/>
    <mergeCell ref="E62:J62"/>
    <mergeCell ref="B81:J81"/>
    <mergeCell ref="B142:C142"/>
    <mergeCell ref="B95:C95"/>
    <mergeCell ref="F108:K108"/>
    <mergeCell ref="F222:J222"/>
    <mergeCell ref="A2:J2"/>
    <mergeCell ref="H232:J232"/>
    <mergeCell ref="E64:J64"/>
    <mergeCell ref="A42:J42"/>
    <mergeCell ref="D230:G230"/>
    <mergeCell ref="B144:C144"/>
    <mergeCell ref="D146:J146"/>
    <mergeCell ref="A47:J47"/>
    <mergeCell ref="C136:J136"/>
    <mergeCell ref="H25:J25"/>
    <mergeCell ref="H52:J52"/>
    <mergeCell ref="D232:G232"/>
    <mergeCell ref="I45:J45"/>
    <mergeCell ref="B80:E80"/>
    <mergeCell ref="B56:C56"/>
    <mergeCell ref="A72:J72"/>
    <mergeCell ref="B96:C96"/>
    <mergeCell ref="I190:K190"/>
    <mergeCell ref="B58:C58"/>
    <mergeCell ref="B228:C228"/>
    <mergeCell ref="H32:J32"/>
    <mergeCell ref="F95:J95"/>
    <mergeCell ref="B99:J99"/>
    <mergeCell ref="B153:E153"/>
    <mergeCell ref="A176:J176"/>
    <mergeCell ref="B224:E224"/>
    <mergeCell ref="B107:C107"/>
    <mergeCell ref="B9:J9"/>
    <mergeCell ref="D107:E107"/>
    <mergeCell ref="I37:J37"/>
    <mergeCell ref="B65:D65"/>
    <mergeCell ref="C134:J134"/>
    <mergeCell ref="D116:E116"/>
    <mergeCell ref="F152:K152"/>
    <mergeCell ref="B57:C57"/>
    <mergeCell ref="B121:E121"/>
    <mergeCell ref="A98:J98"/>
    <mergeCell ref="B148:C148"/>
    <mergeCell ref="F219:J219"/>
    <mergeCell ref="H15:J15"/>
    <mergeCell ref="B122:E122"/>
    <mergeCell ref="E174:J174"/>
    <mergeCell ref="H24:J24"/>
    <mergeCell ref="B5:J5"/>
    <mergeCell ref="A79:J79"/>
    <mergeCell ref="H18:J18"/>
    <mergeCell ref="B63:D63"/>
    <mergeCell ref="A88:J88"/>
    <mergeCell ref="B214:E214"/>
    <mergeCell ref="E66:J66"/>
    <mergeCell ref="B146:C146"/>
    <mergeCell ref="F121:J121"/>
    <mergeCell ref="A227:J227"/>
    <mergeCell ref="B108:C108"/>
    <mergeCell ref="B120:E120"/>
    <mergeCell ref="C132:J132"/>
    <mergeCell ref="H26:J26"/>
    <mergeCell ref="B75:J75"/>
    <mergeCell ref="H53:J53"/>
    <mergeCell ref="C203:J203"/>
    <mergeCell ref="H231:J231"/>
    <mergeCell ref="A90:J90"/>
    <mergeCell ref="A106:K106"/>
    <mergeCell ref="B143:C143"/>
    <mergeCell ref="B92:C92"/>
    <mergeCell ref="D145:J145"/>
    <mergeCell ref="D117:E117"/>
    <mergeCell ref="D55:E55"/>
    <mergeCell ref="B66:D66"/>
    <mergeCell ref="H50:J50"/>
    <mergeCell ref="B157:E157"/>
    <mergeCell ref="I183:K183"/>
    <mergeCell ref="E67:J67"/>
    <mergeCell ref="B199:J199"/>
    <mergeCell ref="H55:J55"/>
    <mergeCell ref="B85:C85"/>
    <mergeCell ref="H34:J34"/>
    <mergeCell ref="B94:C94"/>
    <mergeCell ref="D147:J147"/>
    <mergeCell ref="G80:J80"/>
    <mergeCell ref="B70:J70"/>
    <mergeCell ref="A76:J76"/>
    <mergeCell ref="F123:J123"/>
    <mergeCell ref="I185:K185"/>
    <mergeCell ref="B109:C109"/>
    <mergeCell ref="H49:J49"/>
    <mergeCell ref="D109:E109"/>
    <mergeCell ref="B233:C233"/>
    <mergeCell ref="B67:D67"/>
    <mergeCell ref="B61:D61"/>
    <mergeCell ref="F212:J212"/>
    <mergeCell ref="F110:K110"/>
    <mergeCell ref="I184:K184"/>
    <mergeCell ref="F221:J221"/>
    <mergeCell ref="B124:E124"/>
    <mergeCell ref="B8:J8"/>
    <mergeCell ref="D111:E111"/>
    <mergeCell ref="B216:E216"/>
    <mergeCell ref="B213:E213"/>
    <mergeCell ref="I186:K186"/>
    <mergeCell ref="F109:K109"/>
    <mergeCell ref="F214:J214"/>
    <mergeCell ref="F55:G55"/>
    <mergeCell ref="F223:J223"/>
    <mergeCell ref="B126:E126"/>
    <mergeCell ref="B10:J10"/>
    <mergeCell ref="H28:J28"/>
    <mergeCell ref="F115:K115"/>
    <mergeCell ref="D57:E57"/>
    <mergeCell ref="H233:J233"/>
    <mergeCell ref="F155:K155"/>
    <mergeCell ref="B111:C111"/>
    <mergeCell ref="B218:E218"/>
    <mergeCell ref="B229:C229"/>
    <mergeCell ref="A39:J39"/>
    <mergeCell ref="B145:C145"/>
    <mergeCell ref="D178:J178"/>
    <mergeCell ref="F213:J213"/>
    <mergeCell ref="A48:J48"/>
    <mergeCell ref="F94:J94"/>
    <mergeCell ref="F111:K111"/>
    <mergeCell ref="B125:E125"/>
    <mergeCell ref="C202:J202"/>
    <mergeCell ref="B64:D64"/>
    <mergeCell ref="C129:J129"/>
    <mergeCell ref="A1:J1"/>
    <mergeCell ref="D233:G233"/>
    <mergeCell ref="B87:C87"/>
    <mergeCell ref="B147:C147"/>
    <mergeCell ref="F122:J122"/>
    <mergeCell ref="E172:J172"/>
    <mergeCell ref="D149:J149"/>
    <mergeCell ref="F215:J215"/>
    <mergeCell ref="H14:J14"/>
    <mergeCell ref="F224:J224"/>
    <mergeCell ref="B152:E152"/>
    <mergeCell ref="F125:J125"/>
    <mergeCell ref="H23:J23"/>
    <mergeCell ref="B219:E219"/>
    <mergeCell ref="D58:E58"/>
    <mergeCell ref="F58:G58"/>
    <mergeCell ref="A128:J128"/>
    <mergeCell ref="F96:J96"/>
    <mergeCell ref="B100:J100"/>
    <mergeCell ref="F112:K112"/>
    <mergeCell ref="A193:J193"/>
    <mergeCell ref="B225:E225"/>
    <mergeCell ref="D141:J141"/>
    <mergeCell ref="B139:C139"/>
    <mergeCell ref="I38:J38"/>
    <mergeCell ref="B114:C114"/>
    <mergeCell ref="F120:J120"/>
    <mergeCell ref="I188:K188"/>
    <mergeCell ref="B102:J102"/>
    <mergeCell ref="F225:J225"/>
    <mergeCell ref="B110:C110"/>
    <mergeCell ref="H56:J56"/>
    <mergeCell ref="D110:E110"/>
    <mergeCell ref="I40:J40"/>
    <mergeCell ref="B113:C1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4" customWidth="1" min="10" max="10"/>
    <col width="24" customWidth="1" min="11" max="11"/>
    <col width="24" customWidth="1" min="12" max="12"/>
    <col width="22" customWidth="1" min="13" max="13"/>
    <col width="22" customWidth="1" min="14" max="14"/>
    <col width="46" customWidth="1" min="15" max="15"/>
  </cols>
  <sheetData>
    <row r="1" ht="24" customHeight="1">
      <c r="A1" s="297" t="inlineStr">
        <is>
          <t>Quarter Notes</t>
        </is>
      </c>
      <c r="B1" s="298" t="n"/>
      <c r="C1" s="298" t="n"/>
      <c r="D1" s="298" t="n"/>
      <c r="E1" s="298" t="n"/>
      <c r="F1" s="298" t="n"/>
      <c r="G1" s="298" t="n"/>
      <c r="H1" s="298" t="n"/>
      <c r="I1" s="298" t="n"/>
      <c r="J1" s="298" t="n"/>
      <c r="K1" s="298" t="n"/>
      <c r="L1" s="298" t="n"/>
      <c r="M1" s="298" t="n"/>
      <c r="N1" s="298" t="n"/>
      <c r="O1" s="299" t="n"/>
    </row>
    <row r="2" ht="25" customHeight="1">
      <c r="A2" s="300" t="inlineStr">
        <is>
          <t>Quarter read</t>
        </is>
      </c>
      <c r="B2" s="298" t="n"/>
      <c r="C2" s="298" t="n"/>
      <c r="D2" s="298" t="n"/>
      <c r="E2" s="298" t="n"/>
      <c r="F2" s="298" t="n"/>
      <c r="G2" s="298" t="n"/>
      <c r="H2" s="298" t="n"/>
      <c r="I2" s="298" t="n"/>
      <c r="J2" s="298" t="n"/>
      <c r="K2" s="298" t="n"/>
      <c r="L2" s="298" t="n"/>
      <c r="M2" s="298" t="n"/>
      <c r="N2" s="298" t="n"/>
      <c r="O2" s="299" t="n"/>
    </row>
    <row r="3" ht="44" customHeight="1">
      <c r="A3" s="301" t="inlineStr">
        <is>
          <t>Model read</t>
        </is>
      </c>
      <c r="B3" s="302" t="n"/>
      <c r="C3" s="298" t="n"/>
      <c r="D3" s="298" t="n"/>
      <c r="E3" s="298" t="n"/>
      <c r="F3" s="298" t="n"/>
      <c r="G3" s="298" t="n"/>
      <c r="H3" s="298" t="n"/>
      <c r="I3" s="298" t="n"/>
      <c r="J3" s="298" t="n"/>
      <c r="K3" s="298" t="n"/>
      <c r="L3" s="298" t="n"/>
      <c r="M3" s="298" t="n"/>
      <c r="N3" s="298" t="n"/>
      <c r="O3" s="299" t="n"/>
    </row>
    <row r="4" ht="44" customHeight="1">
      <c r="A4" s="303" t="inlineStr">
        <is>
          <t>What changed</t>
        </is>
      </c>
      <c r="B4" s="304" t="n"/>
      <c r="C4" s="298" t="n"/>
      <c r="D4" s="298" t="n"/>
      <c r="E4" s="298" t="n"/>
      <c r="F4" s="298" t="n"/>
      <c r="G4" s="298" t="n"/>
      <c r="H4" s="298" t="n"/>
      <c r="I4" s="298" t="n"/>
      <c r="J4" s="298" t="n"/>
      <c r="K4" s="298" t="n"/>
      <c r="L4" s="298" t="n"/>
      <c r="M4" s="298" t="n"/>
      <c r="N4" s="298" t="n"/>
      <c r="O4" s="299" t="n"/>
    </row>
    <row r="5" ht="30" customHeight="1">
      <c r="A5" s="301" t="inlineStr">
        <is>
          <t>Watch next</t>
        </is>
      </c>
      <c r="B5" s="302" t="n"/>
      <c r="C5" s="298" t="n"/>
      <c r="D5" s="298" t="n"/>
      <c r="E5" s="298" t="n"/>
      <c r="F5" s="298" t="n"/>
      <c r="G5" s="298" t="n"/>
      <c r="H5" s="298" t="n"/>
      <c r="I5" s="298" t="n"/>
      <c r="J5" s="298" t="n"/>
      <c r="K5" s="298" t="n"/>
      <c r="L5" s="298" t="n"/>
      <c r="M5" s="298" t="n"/>
      <c r="N5" s="298" t="n"/>
      <c r="O5" s="299" t="n"/>
    </row>
    <row r="6" ht="30" customHeight="1">
      <c r="A6" s="303" t="inlineStr">
        <is>
          <t>Key caveat</t>
        </is>
      </c>
      <c r="B6" s="304" t="n"/>
      <c r="C6" s="298" t="n"/>
      <c r="D6" s="298" t="n"/>
      <c r="E6" s="298" t="n"/>
      <c r="F6" s="298" t="n"/>
      <c r="G6" s="298" t="n"/>
      <c r="H6" s="298" t="n"/>
      <c r="I6" s="298" t="n"/>
      <c r="J6" s="298" t="n"/>
      <c r="K6" s="298" t="n"/>
      <c r="L6" s="298" t="n"/>
      <c r="M6" s="298" t="n"/>
      <c r="N6" s="298" t="n"/>
      <c r="O6" s="299" t="n"/>
    </row>
    <row r="7" ht="10" customHeight="1">
      <c r="A7" s="305" t="n"/>
      <c r="B7" s="305" t="n"/>
      <c r="C7" s="305" t="n"/>
      <c r="D7" s="305" t="n"/>
      <c r="E7" s="305" t="n"/>
      <c r="F7" s="305" t="n"/>
      <c r="G7" s="305" t="n"/>
      <c r="H7" s="305" t="n"/>
      <c r="I7" s="305" t="n"/>
      <c r="J7" s="305" t="n"/>
      <c r="K7" s="305" t="n"/>
      <c r="L7" s="305" t="n"/>
      <c r="M7" s="305" t="n"/>
      <c r="N7" s="305" t="n"/>
      <c r="O7" s="305" t="n"/>
    </row>
    <row r="8" ht="25" customHeight="1">
      <c r="A8" s="300" t="inlineStr">
        <is>
          <t>Key developments</t>
        </is>
      </c>
      <c r="B8" s="298" t="n"/>
      <c r="C8" s="298" t="n"/>
      <c r="D8" s="298" t="n"/>
      <c r="E8" s="298" t="n"/>
      <c r="F8" s="298" t="n"/>
      <c r="G8" s="298" t="n"/>
      <c r="H8" s="298" t="n"/>
      <c r="I8" s="298" t="n"/>
      <c r="J8" s="298" t="n"/>
      <c r="K8" s="298" t="n"/>
      <c r="L8" s="298" t="n"/>
      <c r="M8" s="298" t="n"/>
      <c r="N8" s="298" t="n"/>
      <c r="O8" s="299" t="n"/>
    </row>
    <row r="9" ht="26" customHeight="1">
      <c r="A9" s="306" t="inlineStr">
        <is>
          <t>Theme</t>
        </is>
      </c>
      <c r="B9" s="299" t="n"/>
      <c r="C9" s="306" t="inlineStr">
        <is>
          <t>What happened</t>
        </is>
      </c>
      <c r="D9" s="298" t="n"/>
      <c r="E9" s="299" t="n"/>
      <c r="F9" s="306" t="inlineStr">
        <is>
          <t>Why it matters</t>
        </is>
      </c>
      <c r="G9" s="299" t="n"/>
      <c r="H9" s="306" t="inlineStr">
        <is>
          <t>Model / valuation implication</t>
        </is>
      </c>
      <c r="I9" s="298" t="n"/>
      <c r="J9" s="298" t="n"/>
      <c r="K9" s="298" t="n"/>
      <c r="L9" s="299" t="n"/>
      <c r="M9" s="306" t="inlineStr">
        <is>
          <t>Source / confidence</t>
        </is>
      </c>
      <c r="N9" s="298" t="n"/>
      <c r="O9" s="299" t="n"/>
    </row>
    <row r="10" ht="48" customHeight="1">
      <c r="A10" s="302" t="n"/>
      <c r="B10" s="299" t="n"/>
      <c r="C10" s="302" t="n"/>
      <c r="D10" s="298" t="n"/>
      <c r="E10" s="299" t="n"/>
      <c r="F10" s="302" t="n"/>
      <c r="G10" s="299" t="n"/>
      <c r="H10" s="302" t="n"/>
      <c r="I10" s="298" t="n"/>
      <c r="J10" s="298" t="n"/>
      <c r="K10" s="298" t="n"/>
      <c r="L10" s="299" t="n"/>
      <c r="M10" s="302" t="n"/>
      <c r="N10" s="298" t="n"/>
      <c r="O10" s="299" t="n"/>
    </row>
    <row r="11" ht="48" customHeight="1">
      <c r="A11" s="304" t="n"/>
      <c r="B11" s="299" t="n"/>
      <c r="C11" s="304" t="n"/>
      <c r="D11" s="298" t="n"/>
      <c r="E11" s="299" t="n"/>
      <c r="F11" s="304" t="n"/>
      <c r="G11" s="299" t="n"/>
      <c r="H11" s="304" t="n"/>
      <c r="I11" s="298" t="n"/>
      <c r="J11" s="298" t="n"/>
      <c r="K11" s="298" t="n"/>
      <c r="L11" s="299" t="n"/>
      <c r="M11" s="304" t="n"/>
      <c r="N11" s="298" t="n"/>
      <c r="O11" s="299" t="n"/>
    </row>
    <row r="12" ht="48" customHeight="1">
      <c r="A12" s="302" t="n"/>
      <c r="B12" s="299" t="n"/>
      <c r="C12" s="302" t="n"/>
      <c r="D12" s="298" t="n"/>
      <c r="E12" s="299" t="n"/>
      <c r="F12" s="302" t="n"/>
      <c r="G12" s="299" t="n"/>
      <c r="H12" s="302" t="n"/>
      <c r="I12" s="298" t="n"/>
      <c r="J12" s="298" t="n"/>
      <c r="K12" s="298" t="n"/>
      <c r="L12" s="299" t="n"/>
      <c r="M12" s="302" t="n"/>
      <c r="N12" s="298" t="n"/>
      <c r="O12" s="299" t="n"/>
    </row>
    <row r="13" ht="48" customHeight="1">
      <c r="A13" s="304" t="n"/>
      <c r="B13" s="299" t="n"/>
      <c r="C13" s="304" t="n"/>
      <c r="D13" s="298" t="n"/>
      <c r="E13" s="299" t="n"/>
      <c r="F13" s="304" t="n"/>
      <c r="G13" s="299" t="n"/>
      <c r="H13" s="304" t="n"/>
      <c r="I13" s="298" t="n"/>
      <c r="J13" s="298" t="n"/>
      <c r="K13" s="298" t="n"/>
      <c r="L13" s="299" t="n"/>
      <c r="M13" s="304" t="n"/>
      <c r="N13" s="298" t="n"/>
      <c r="O13" s="299" t="n"/>
    </row>
    <row r="14" ht="48" customHeight="1">
      <c r="A14" s="302" t="n"/>
      <c r="B14" s="299" t="n"/>
      <c r="C14" s="302" t="n"/>
      <c r="D14" s="298" t="n"/>
      <c r="E14" s="299" t="n"/>
      <c r="F14" s="302" t="n"/>
      <c r="G14" s="299" t="n"/>
      <c r="H14" s="302" t="n"/>
      <c r="I14" s="298" t="n"/>
      <c r="J14" s="298" t="n"/>
      <c r="K14" s="298" t="n"/>
      <c r="L14" s="299" t="n"/>
      <c r="M14" s="302" t="n"/>
      <c r="N14" s="298" t="n"/>
      <c r="O14" s="299" t="n"/>
    </row>
    <row r="15" ht="48" customHeight="1">
      <c r="A15" s="304" t="n"/>
      <c r="B15" s="299" t="n"/>
      <c r="C15" s="304" t="n"/>
      <c r="D15" s="298" t="n"/>
      <c r="E15" s="299" t="n"/>
      <c r="F15" s="304" t="n"/>
      <c r="G15" s="299" t="n"/>
      <c r="H15" s="304" t="n"/>
      <c r="I15" s="298" t="n"/>
      <c r="J15" s="298" t="n"/>
      <c r="K15" s="298" t="n"/>
      <c r="L15" s="299" t="n"/>
      <c r="M15" s="304" t="n"/>
      <c r="N15" s="298" t="n"/>
      <c r="O15" s="299" t="n"/>
    </row>
    <row r="16" ht="10" customHeight="1">
      <c r="A16" s="305" t="n"/>
      <c r="B16" s="305" t="n"/>
      <c r="C16" s="305" t="n"/>
      <c r="D16" s="305" t="n"/>
      <c r="E16" s="305" t="n"/>
      <c r="F16" s="305" t="n"/>
      <c r="G16" s="305" t="n"/>
      <c r="H16" s="305" t="n"/>
      <c r="I16" s="305" t="n"/>
      <c r="J16" s="305" t="n"/>
      <c r="K16" s="305" t="n"/>
      <c r="L16" s="305" t="n"/>
      <c r="M16" s="305" t="n"/>
      <c r="N16" s="305" t="n"/>
      <c r="O16" s="305" t="n"/>
    </row>
    <row r="17" ht="25" customHeight="1">
      <c r="A17" s="300" t="inlineStr">
        <is>
          <t>Guidance / Promise interpretation</t>
        </is>
      </c>
      <c r="B17" s="298" t="n"/>
      <c r="C17" s="298" t="n"/>
      <c r="D17" s="298" t="n"/>
      <c r="E17" s="298" t="n"/>
      <c r="F17" s="298" t="n"/>
      <c r="G17" s="298" t="n"/>
      <c r="H17" s="298" t="n"/>
      <c r="I17" s="298" t="n"/>
      <c r="J17" s="298" t="n"/>
      <c r="K17" s="298" t="n"/>
      <c r="L17" s="298" t="n"/>
      <c r="M17" s="298" t="n"/>
      <c r="N17" s="298" t="n"/>
      <c r="O17" s="299" t="n"/>
    </row>
    <row r="18" ht="26" customHeight="1">
      <c r="A18" s="306" t="inlineStr">
        <is>
          <t>Promise / guidance item</t>
        </is>
      </c>
      <c r="B18" s="299" t="n"/>
      <c r="C18" s="306" t="inlineStr">
        <is>
          <t>Read</t>
        </is>
      </c>
      <c r="D18" s="298" t="n"/>
      <c r="E18" s="299" t="n"/>
      <c r="F18" s="306" t="inlineStr">
        <is>
          <t>Actual / progress interpretation</t>
        </is>
      </c>
      <c r="G18" s="298" t="n"/>
      <c r="H18" s="299" t="n"/>
      <c r="I18" s="306" t="inlineStr">
        <is>
          <t>Status / caveat</t>
        </is>
      </c>
      <c r="J18" s="298" t="n"/>
      <c r="K18" s="298" t="n"/>
      <c r="L18" s="299" t="n"/>
      <c r="M18" s="306" t="inlineStr">
        <is>
          <t>Source</t>
        </is>
      </c>
      <c r="N18" s="298" t="n"/>
      <c r="O18" s="299" t="n"/>
    </row>
    <row r="19" ht="48" customHeight="1">
      <c r="A19" s="302" t="inlineStr">
        <is>
          <t>[Quarter note theme slot 19]</t>
        </is>
      </c>
      <c r="B19" s="299" t="n"/>
      <c r="C19" s="302" t="n"/>
      <c r="D19" s="298" t="n"/>
      <c r="E19" s="299" t="n"/>
      <c r="F19" s="302" t="n"/>
      <c r="G19" s="298" t="n"/>
      <c r="H19" s="299" t="n"/>
      <c r="I19" s="302" t="n"/>
      <c r="J19" s="298" t="n"/>
      <c r="K19" s="298" t="n"/>
      <c r="L19" s="299" t="n"/>
      <c r="M19" s="302" t="n"/>
      <c r="N19" s="298" t="n"/>
      <c r="O19" s="299" t="n"/>
    </row>
    <row r="20" ht="34" customHeight="1">
      <c r="A20" s="304" t="inlineStr">
        <is>
          <t>[Quarter note theme slot 20]</t>
        </is>
      </c>
      <c r="B20" s="299" t="n"/>
      <c r="C20" s="304" t="n"/>
      <c r="D20" s="298" t="n"/>
      <c r="E20" s="299" t="n"/>
      <c r="F20" s="304" t="n"/>
      <c r="G20" s="298" t="n"/>
      <c r="H20" s="299" t="n"/>
      <c r="I20" s="304" t="n"/>
      <c r="J20" s="298" t="n"/>
      <c r="K20" s="298" t="n"/>
      <c r="L20" s="299" t="n"/>
      <c r="M20" s="304" t="n"/>
      <c r="N20" s="298" t="n"/>
      <c r="O20" s="299" t="n"/>
    </row>
    <row r="21" ht="34" customHeight="1">
      <c r="A21" s="302" t="inlineStr">
        <is>
          <t>[Quarter note theme slot 21]</t>
        </is>
      </c>
      <c r="B21" s="299" t="n"/>
      <c r="C21" s="302" t="n"/>
      <c r="D21" s="298" t="n"/>
      <c r="E21" s="299" t="n"/>
      <c r="F21" s="302" t="n"/>
      <c r="G21" s="298" t="n"/>
      <c r="H21" s="299" t="n"/>
      <c r="I21" s="302" t="n"/>
      <c r="J21" s="298" t="n"/>
      <c r="K21" s="298" t="n"/>
      <c r="L21" s="299" t="n"/>
      <c r="M21" s="302" t="n"/>
      <c r="N21" s="298" t="n"/>
      <c r="O21" s="299" t="n"/>
    </row>
    <row r="22" ht="10" customHeight="1">
      <c r="A22" s="305" t="n"/>
      <c r="B22" s="305" t="n"/>
      <c r="C22" s="305" t="n"/>
      <c r="D22" s="305" t="n"/>
      <c r="E22" s="305" t="n"/>
      <c r="F22" s="305" t="n"/>
      <c r="G22" s="305" t="n"/>
      <c r="H22" s="305" t="n"/>
      <c r="I22" s="305" t="n"/>
      <c r="J22" s="305" t="n"/>
      <c r="K22" s="305" t="n"/>
      <c r="L22" s="305" t="n"/>
      <c r="M22" s="305" t="n"/>
      <c r="N22" s="305" t="n"/>
      <c r="O22" s="305" t="n"/>
    </row>
    <row r="23" ht="25" customHeight="1">
      <c r="A23" s="300" t="inlineStr">
        <is>
          <t>Model mapping / double-count guardrails</t>
        </is>
      </c>
      <c r="B23" s="298" t="n"/>
      <c r="C23" s="298" t="n"/>
      <c r="D23" s="298" t="n"/>
      <c r="E23" s="298" t="n"/>
      <c r="F23" s="298" t="n"/>
      <c r="G23" s="298" t="n"/>
      <c r="H23" s="298" t="n"/>
      <c r="I23" s="298" t="n"/>
      <c r="J23" s="298" t="n"/>
      <c r="K23" s="298" t="n"/>
      <c r="L23" s="298" t="n"/>
      <c r="M23" s="298" t="n"/>
      <c r="N23" s="298" t="n"/>
      <c r="O23" s="299" t="n"/>
    </row>
    <row r="24" ht="26" customHeight="1">
      <c r="A24" s="306" t="inlineStr">
        <is>
          <t>Driver</t>
        </is>
      </c>
      <c r="B24" s="299" t="n"/>
      <c r="C24" s="306" t="inlineStr">
        <is>
          <t>Model treatment</t>
        </is>
      </c>
      <c r="D24" s="298" t="n"/>
      <c r="E24" s="298" t="n"/>
      <c r="F24" s="299" t="n"/>
      <c r="G24" s="306" t="inlineStr">
        <is>
          <t>Double-count guardrail</t>
        </is>
      </c>
      <c r="H24" s="298" t="n"/>
      <c r="I24" s="298" t="n"/>
      <c r="J24" s="298" t="n"/>
      <c r="K24" s="298" t="n"/>
      <c r="L24" s="299" t="n"/>
      <c r="M24" s="306" t="inlineStr">
        <is>
          <t>Linked sheet / metric</t>
        </is>
      </c>
      <c r="N24" s="298" t="n"/>
      <c r="O24" s="299" t="n"/>
    </row>
    <row r="25" ht="34" customHeight="1">
      <c r="A25" s="302" t="inlineStr">
        <is>
          <t>[Quarter note theme slot 25]</t>
        </is>
      </c>
      <c r="B25" s="299" t="n"/>
      <c r="C25" s="302" t="n"/>
      <c r="D25" s="298" t="n"/>
      <c r="E25" s="298" t="n"/>
      <c r="F25" s="299" t="n"/>
      <c r="G25" s="302" t="n"/>
      <c r="H25" s="298" t="n"/>
      <c r="I25" s="298" t="n"/>
      <c r="J25" s="298" t="n"/>
      <c r="K25" s="298" t="n"/>
      <c r="L25" s="299" t="n"/>
      <c r="M25" s="302" t="n"/>
      <c r="N25" s="298" t="n"/>
      <c r="O25" s="299" t="n"/>
    </row>
    <row r="26" ht="34" customHeight="1">
      <c r="A26" s="304" t="inlineStr">
        <is>
          <t>[Quarter note theme slot 26]</t>
        </is>
      </c>
      <c r="B26" s="299" t="n"/>
      <c r="C26" s="304" t="n"/>
      <c r="D26" s="298" t="n"/>
      <c r="E26" s="298" t="n"/>
      <c r="F26" s="299" t="n"/>
      <c r="G26" s="304" t="n"/>
      <c r="H26" s="298" t="n"/>
      <c r="I26" s="298" t="n"/>
      <c r="J26" s="298" t="n"/>
      <c r="K26" s="298" t="n"/>
      <c r="L26" s="299" t="n"/>
      <c r="M26" s="304" t="n"/>
      <c r="N26" s="298" t="n"/>
      <c r="O26" s="299" t="n"/>
    </row>
    <row r="27" ht="34" customHeight="1">
      <c r="A27" s="302" t="inlineStr">
        <is>
          <t>[Quarter note theme slot 27]</t>
        </is>
      </c>
      <c r="B27" s="299" t="n"/>
      <c r="C27" s="302" t="n"/>
      <c r="D27" s="298" t="n"/>
      <c r="E27" s="298" t="n"/>
      <c r="F27" s="299" t="n"/>
      <c r="G27" s="302" t="n"/>
      <c r="H27" s="298" t="n"/>
      <c r="I27" s="298" t="n"/>
      <c r="J27" s="298" t="n"/>
      <c r="K27" s="298" t="n"/>
      <c r="L27" s="299" t="n"/>
      <c r="M27" s="302" t="n"/>
      <c r="N27" s="298" t="n"/>
      <c r="O27" s="299" t="n"/>
    </row>
    <row r="28" ht="48" customHeight="1">
      <c r="A28" s="304" t="inlineStr">
        <is>
          <t>[Quarter note theme slot 28]</t>
        </is>
      </c>
      <c r="B28" s="299" t="n"/>
      <c r="C28" s="304" t="n"/>
      <c r="D28" s="298" t="n"/>
      <c r="E28" s="298" t="n"/>
      <c r="F28" s="299" t="n"/>
      <c r="G28" s="304" t="n"/>
      <c r="H28" s="298" t="n"/>
      <c r="I28" s="298" t="n"/>
      <c r="J28" s="298" t="n"/>
      <c r="K28" s="298" t="n"/>
      <c r="L28" s="299" t="n"/>
      <c r="M28" s="304" t="n"/>
      <c r="N28" s="298" t="n"/>
      <c r="O28" s="299" t="n"/>
    </row>
    <row r="29" ht="48" customHeight="1">
      <c r="A29" s="302" t="inlineStr">
        <is>
          <t>[Quarter note theme slot 29]</t>
        </is>
      </c>
      <c r="B29" s="299" t="n"/>
      <c r="C29" s="302" t="n"/>
      <c r="D29" s="298" t="n"/>
      <c r="E29" s="298" t="n"/>
      <c r="F29" s="299" t="n"/>
      <c r="G29" s="302" t="n"/>
      <c r="H29" s="298" t="n"/>
      <c r="I29" s="298" t="n"/>
      <c r="J29" s="298" t="n"/>
      <c r="K29" s="298" t="n"/>
      <c r="L29" s="299" t="n"/>
      <c r="M29" s="302" t="n"/>
      <c r="N29" s="298" t="n"/>
      <c r="O29" s="299" t="n"/>
    </row>
    <row r="30" ht="34" customHeight="1">
      <c r="A30" s="304" t="inlineStr">
        <is>
          <t>[Quarter note theme slot 30]</t>
        </is>
      </c>
      <c r="B30" s="299" t="n"/>
      <c r="C30" s="304" t="n"/>
      <c r="D30" s="298" t="n"/>
      <c r="E30" s="298" t="n"/>
      <c r="F30" s="299" t="n"/>
      <c r="G30" s="304" t="n"/>
      <c r="H30" s="298" t="n"/>
      <c r="I30" s="298" t="n"/>
      <c r="J30" s="298" t="n"/>
      <c r="K30" s="298" t="n"/>
      <c r="L30" s="299" t="n"/>
      <c r="M30" s="304" t="n"/>
      <c r="N30" s="298" t="n"/>
      <c r="O30" s="299" t="n"/>
    </row>
    <row r="31" ht="24" customHeight="1">
      <c r="A31" s="305" t="n"/>
      <c r="B31" s="305" t="n"/>
      <c r="C31" s="305" t="n"/>
      <c r="D31" s="305" t="n"/>
      <c r="E31" s="305" t="n"/>
      <c r="F31" s="305" t="n"/>
      <c r="G31" s="305" t="n"/>
      <c r="H31" s="305" t="n"/>
      <c r="I31" s="305" t="n"/>
      <c r="J31" s="305" t="n"/>
      <c r="K31" s="305" t="n"/>
      <c r="L31" s="305" t="n"/>
      <c r="M31" s="305" t="n"/>
      <c r="N31" s="305" t="n"/>
      <c r="O31" s="305" t="n"/>
    </row>
    <row r="32" ht="24" customHeight="1">
      <c r="A32" s="297" t="inlineStr">
        <is>
          <t>[Historical quarter block 1]</t>
        </is>
      </c>
      <c r="B32" s="298" t="n"/>
      <c r="C32" s="298" t="n"/>
      <c r="D32" s="298" t="n"/>
      <c r="E32" s="298" t="n"/>
      <c r="F32" s="298" t="n"/>
      <c r="G32" s="298" t="n"/>
      <c r="H32" s="298" t="n"/>
      <c r="I32" s="298" t="n"/>
      <c r="J32" s="298" t="n"/>
      <c r="K32" s="298" t="n"/>
      <c r="L32" s="298" t="n"/>
      <c r="M32" s="298" t="n"/>
      <c r="N32" s="298" t="n"/>
      <c r="O32" s="299" t="n"/>
    </row>
    <row r="33" ht="25" customHeight="1">
      <c r="A33" s="300" t="inlineStr">
        <is>
          <t>Quarter read</t>
        </is>
      </c>
      <c r="B33" s="298" t="n"/>
      <c r="C33" s="298" t="n"/>
      <c r="D33" s="298" t="n"/>
      <c r="E33" s="298" t="n"/>
      <c r="F33" s="298" t="n"/>
      <c r="G33" s="298" t="n"/>
      <c r="H33" s="298" t="n"/>
      <c r="I33" s="298" t="n"/>
      <c r="J33" s="298" t="n"/>
      <c r="K33" s="298" t="n"/>
      <c r="L33" s="298" t="n"/>
      <c r="M33" s="298" t="n"/>
      <c r="N33" s="298" t="n"/>
      <c r="O33" s="299" t="n"/>
    </row>
    <row r="34" ht="58" customHeight="1">
      <c r="A34" s="301" t="inlineStr">
        <is>
          <t>Model read</t>
        </is>
      </c>
      <c r="B34" s="302" t="n"/>
      <c r="C34" s="298" t="n"/>
      <c r="D34" s="298" t="n"/>
      <c r="E34" s="298" t="n"/>
      <c r="F34" s="298" t="n"/>
      <c r="G34" s="298" t="n"/>
      <c r="H34" s="298" t="n"/>
      <c r="I34" s="298" t="n"/>
      <c r="J34" s="298" t="n"/>
      <c r="K34" s="298" t="n"/>
      <c r="L34" s="298" t="n"/>
      <c r="M34" s="298" t="n"/>
      <c r="N34" s="298" t="n"/>
      <c r="O34" s="299" t="n"/>
    </row>
    <row r="35" ht="44" customHeight="1">
      <c r="A35" s="303" t="inlineStr">
        <is>
          <t>What changed</t>
        </is>
      </c>
      <c r="B35" s="304" t="n"/>
      <c r="C35" s="298" t="n"/>
      <c r="D35" s="298" t="n"/>
      <c r="E35" s="298" t="n"/>
      <c r="F35" s="298" t="n"/>
      <c r="G35" s="298" t="n"/>
      <c r="H35" s="298" t="n"/>
      <c r="I35" s="298" t="n"/>
      <c r="J35" s="298" t="n"/>
      <c r="K35" s="298" t="n"/>
      <c r="L35" s="298" t="n"/>
      <c r="M35" s="298" t="n"/>
      <c r="N35" s="298" t="n"/>
      <c r="O35" s="299" t="n"/>
    </row>
    <row r="36" ht="44" customHeight="1">
      <c r="A36" s="301" t="inlineStr">
        <is>
          <t>Watch next</t>
        </is>
      </c>
      <c r="B36" s="302" t="n"/>
      <c r="C36" s="298" t="n"/>
      <c r="D36" s="298" t="n"/>
      <c r="E36" s="298" t="n"/>
      <c r="F36" s="298" t="n"/>
      <c r="G36" s="298" t="n"/>
      <c r="H36" s="298" t="n"/>
      <c r="I36" s="298" t="n"/>
      <c r="J36" s="298" t="n"/>
      <c r="K36" s="298" t="n"/>
      <c r="L36" s="298" t="n"/>
      <c r="M36" s="298" t="n"/>
      <c r="N36" s="298" t="n"/>
      <c r="O36" s="299" t="n"/>
    </row>
    <row r="37" ht="30" customHeight="1">
      <c r="A37" s="303" t="inlineStr">
        <is>
          <t>Key caveat</t>
        </is>
      </c>
      <c r="B37" s="304" t="n"/>
      <c r="C37" s="298" t="n"/>
      <c r="D37" s="298" t="n"/>
      <c r="E37" s="298" t="n"/>
      <c r="F37" s="298" t="n"/>
      <c r="G37" s="298" t="n"/>
      <c r="H37" s="298" t="n"/>
      <c r="I37" s="298" t="n"/>
      <c r="J37" s="298" t="n"/>
      <c r="K37" s="298" t="n"/>
      <c r="L37" s="298" t="n"/>
      <c r="M37" s="298" t="n"/>
      <c r="N37" s="298" t="n"/>
      <c r="O37" s="299" t="n"/>
    </row>
    <row r="38" ht="10" customHeight="1">
      <c r="A38" s="305" t="n"/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</row>
    <row r="39" ht="25" customHeight="1">
      <c r="A39" s="300" t="inlineStr">
        <is>
          <t>Key developments</t>
        </is>
      </c>
      <c r="B39" s="298" t="n"/>
      <c r="C39" s="298" t="n"/>
      <c r="D39" s="298" t="n"/>
      <c r="E39" s="298" t="n"/>
      <c r="F39" s="298" t="n"/>
      <c r="G39" s="298" t="n"/>
      <c r="H39" s="298" t="n"/>
      <c r="I39" s="298" t="n"/>
      <c r="J39" s="298" t="n"/>
      <c r="K39" s="298" t="n"/>
      <c r="L39" s="298" t="n"/>
      <c r="M39" s="298" t="n"/>
      <c r="N39" s="298" t="n"/>
      <c r="O39" s="299" t="n"/>
    </row>
    <row r="40" ht="26" customHeight="1">
      <c r="A40" s="306" t="inlineStr">
        <is>
          <t>Theme</t>
        </is>
      </c>
      <c r="B40" s="299" t="n"/>
      <c r="C40" s="306" t="inlineStr">
        <is>
          <t>What happened</t>
        </is>
      </c>
      <c r="D40" s="298" t="n"/>
      <c r="E40" s="299" t="n"/>
      <c r="F40" s="306" t="inlineStr">
        <is>
          <t>Why it matters</t>
        </is>
      </c>
      <c r="G40" s="299" t="n"/>
      <c r="H40" s="306" t="inlineStr">
        <is>
          <t>Model / valuation implication</t>
        </is>
      </c>
      <c r="I40" s="298" t="n"/>
      <c r="J40" s="298" t="n"/>
      <c r="K40" s="298" t="n"/>
      <c r="L40" s="299" t="n"/>
      <c r="M40" s="306" t="inlineStr">
        <is>
          <t>Source / confidence</t>
        </is>
      </c>
      <c r="N40" s="298" t="n"/>
      <c r="O40" s="299" t="n"/>
    </row>
    <row r="41" ht="48" customHeight="1">
      <c r="A41" s="302" t="inlineStr">
        <is>
          <t>[Quarter note theme slot 41]</t>
        </is>
      </c>
      <c r="B41" s="299" t="n"/>
      <c r="C41" s="302" t="n"/>
      <c r="D41" s="298" t="n"/>
      <c r="E41" s="299" t="n"/>
      <c r="F41" s="302" t="n"/>
      <c r="G41" s="299" t="n"/>
      <c r="H41" s="302" t="n"/>
      <c r="I41" s="298" t="n"/>
      <c r="J41" s="298" t="n"/>
      <c r="K41" s="298" t="n"/>
      <c r="L41" s="299" t="n"/>
      <c r="M41" s="302" t="n"/>
      <c r="N41" s="298" t="n"/>
      <c r="O41" s="299" t="n"/>
    </row>
    <row r="42" ht="48" customHeight="1">
      <c r="A42" s="304" t="inlineStr">
        <is>
          <t>[Quarter note theme slot 42]</t>
        </is>
      </c>
      <c r="B42" s="299" t="n"/>
      <c r="C42" s="304" t="n"/>
      <c r="D42" s="298" t="n"/>
      <c r="E42" s="299" t="n"/>
      <c r="F42" s="304" t="n"/>
      <c r="G42" s="299" t="n"/>
      <c r="H42" s="304" t="n"/>
      <c r="I42" s="298" t="n"/>
      <c r="J42" s="298" t="n"/>
      <c r="K42" s="298" t="n"/>
      <c r="L42" s="299" t="n"/>
      <c r="M42" s="304" t="n"/>
      <c r="N42" s="298" t="n"/>
      <c r="O42" s="299" t="n"/>
    </row>
    <row r="43" ht="62" customHeight="1">
      <c r="A43" s="302" t="inlineStr">
        <is>
          <t>[Quarter note theme slot 43]</t>
        </is>
      </c>
      <c r="B43" s="299" t="n"/>
      <c r="C43" s="302" t="n"/>
      <c r="D43" s="298" t="n"/>
      <c r="E43" s="299" t="n"/>
      <c r="F43" s="302" t="n"/>
      <c r="G43" s="299" t="n"/>
      <c r="H43" s="302" t="n"/>
      <c r="I43" s="298" t="n"/>
      <c r="J43" s="298" t="n"/>
      <c r="K43" s="298" t="n"/>
      <c r="L43" s="299" t="n"/>
      <c r="M43" s="302" t="n"/>
      <c r="N43" s="298" t="n"/>
      <c r="O43" s="299" t="n"/>
    </row>
    <row r="44" ht="62" customHeight="1">
      <c r="A44" s="304" t="inlineStr">
        <is>
          <t>[Quarter note theme slot 44]</t>
        </is>
      </c>
      <c r="B44" s="299" t="n"/>
      <c r="C44" s="304" t="n"/>
      <c r="D44" s="298" t="n"/>
      <c r="E44" s="299" t="n"/>
      <c r="F44" s="304" t="n"/>
      <c r="G44" s="299" t="n"/>
      <c r="H44" s="304" t="n"/>
      <c r="I44" s="298" t="n"/>
      <c r="J44" s="298" t="n"/>
      <c r="K44" s="298" t="n"/>
      <c r="L44" s="299" t="n"/>
      <c r="M44" s="304" t="n"/>
      <c r="N44" s="298" t="n"/>
      <c r="O44" s="299" t="n"/>
    </row>
    <row r="45" ht="62" customHeight="1">
      <c r="A45" s="302" t="inlineStr">
        <is>
          <t>[Quarter note theme slot 45]</t>
        </is>
      </c>
      <c r="B45" s="299" t="n"/>
      <c r="C45" s="302" t="n"/>
      <c r="D45" s="298" t="n"/>
      <c r="E45" s="299" t="n"/>
      <c r="F45" s="302" t="n"/>
      <c r="G45" s="299" t="n"/>
      <c r="H45" s="302" t="n"/>
      <c r="I45" s="298" t="n"/>
      <c r="J45" s="298" t="n"/>
      <c r="K45" s="298" t="n"/>
      <c r="L45" s="299" t="n"/>
      <c r="M45" s="302" t="n"/>
      <c r="N45" s="298" t="n"/>
      <c r="O45" s="299" t="n"/>
    </row>
    <row r="46" ht="48" customHeight="1">
      <c r="A46" s="304" t="inlineStr">
        <is>
          <t>[Quarter note theme slot 46]</t>
        </is>
      </c>
      <c r="B46" s="299" t="n"/>
      <c r="C46" s="304" t="n"/>
      <c r="D46" s="298" t="n"/>
      <c r="E46" s="299" t="n"/>
      <c r="F46" s="304" t="n"/>
      <c r="G46" s="299" t="n"/>
      <c r="H46" s="304" t="n"/>
      <c r="I46" s="298" t="n"/>
      <c r="J46" s="298" t="n"/>
      <c r="K46" s="298" t="n"/>
      <c r="L46" s="299" t="n"/>
      <c r="M46" s="304" t="n"/>
      <c r="N46" s="298" t="n"/>
      <c r="O46" s="299" t="n"/>
    </row>
    <row r="47" ht="10" customHeight="1">
      <c r="A47" s="305" t="n"/>
      <c r="B47" s="305" t="n"/>
      <c r="C47" s="305" t="n"/>
      <c r="D47" s="305" t="n"/>
      <c r="E47" s="305" t="n"/>
      <c r="F47" s="305" t="n"/>
      <c r="G47" s="305" t="n"/>
      <c r="H47" s="305" t="n"/>
      <c r="I47" s="305" t="n"/>
      <c r="J47" s="305" t="n"/>
      <c r="K47" s="305" t="n"/>
      <c r="L47" s="305" t="n"/>
      <c r="M47" s="305" t="n"/>
      <c r="N47" s="305" t="n"/>
      <c r="O47" s="305" t="n"/>
    </row>
    <row r="48" ht="25" customHeight="1">
      <c r="A48" s="300" t="inlineStr">
        <is>
          <t>Guidance / Promise interpretation</t>
        </is>
      </c>
      <c r="B48" s="298" t="n"/>
      <c r="C48" s="298" t="n"/>
      <c r="D48" s="298" t="n"/>
      <c r="E48" s="298" t="n"/>
      <c r="F48" s="298" t="n"/>
      <c r="G48" s="298" t="n"/>
      <c r="H48" s="298" t="n"/>
      <c r="I48" s="298" t="n"/>
      <c r="J48" s="298" t="n"/>
      <c r="K48" s="298" t="n"/>
      <c r="L48" s="298" t="n"/>
      <c r="M48" s="298" t="n"/>
      <c r="N48" s="298" t="n"/>
      <c r="O48" s="299" t="n"/>
    </row>
    <row r="49" ht="26" customHeight="1">
      <c r="A49" s="306" t="inlineStr">
        <is>
          <t>Promise / guidance item</t>
        </is>
      </c>
      <c r="B49" s="299" t="n"/>
      <c r="C49" s="306" t="inlineStr">
        <is>
          <t>Read</t>
        </is>
      </c>
      <c r="D49" s="298" t="n"/>
      <c r="E49" s="299" t="n"/>
      <c r="F49" s="306" t="inlineStr">
        <is>
          <t>Actual / progress interpretation</t>
        </is>
      </c>
      <c r="G49" s="298" t="n"/>
      <c r="H49" s="299" t="n"/>
      <c r="I49" s="306" t="inlineStr">
        <is>
          <t>Status / caveat</t>
        </is>
      </c>
      <c r="J49" s="298" t="n"/>
      <c r="K49" s="298" t="n"/>
      <c r="L49" s="299" t="n"/>
      <c r="M49" s="306" t="inlineStr">
        <is>
          <t>Source</t>
        </is>
      </c>
      <c r="N49" s="298" t="n"/>
      <c r="O49" s="299" t="n"/>
    </row>
    <row r="50" ht="48" customHeight="1">
      <c r="A50" s="302" t="inlineStr">
        <is>
          <t>[Quarter note theme slot 50]</t>
        </is>
      </c>
      <c r="B50" s="299" t="n"/>
      <c r="C50" s="302" t="n"/>
      <c r="D50" s="298" t="n"/>
      <c r="E50" s="299" t="n"/>
      <c r="F50" s="302" t="n"/>
      <c r="G50" s="298" t="n"/>
      <c r="H50" s="299" t="n"/>
      <c r="I50" s="302" t="n"/>
      <c r="J50" s="298" t="n"/>
      <c r="K50" s="298" t="n"/>
      <c r="L50" s="299" t="n"/>
      <c r="M50" s="302" t="n"/>
      <c r="N50" s="298" t="n"/>
      <c r="O50" s="299" t="n"/>
    </row>
    <row r="51" ht="34" customHeight="1">
      <c r="A51" s="304" t="inlineStr">
        <is>
          <t>[Quarter note theme slot 51]</t>
        </is>
      </c>
      <c r="B51" s="299" t="n"/>
      <c r="C51" s="304" t="n"/>
      <c r="D51" s="298" t="n"/>
      <c r="E51" s="299" t="n"/>
      <c r="F51" s="304" t="n"/>
      <c r="G51" s="298" t="n"/>
      <c r="H51" s="299" t="n"/>
      <c r="I51" s="304" t="n"/>
      <c r="J51" s="298" t="n"/>
      <c r="K51" s="298" t="n"/>
      <c r="L51" s="299" t="n"/>
      <c r="M51" s="304" t="n"/>
      <c r="N51" s="298" t="n"/>
      <c r="O51" s="299" t="n"/>
    </row>
    <row r="52" ht="48" customHeight="1">
      <c r="A52" s="302" t="inlineStr">
        <is>
          <t>[Quarter note theme slot 52]</t>
        </is>
      </c>
      <c r="B52" s="299" t="n"/>
      <c r="C52" s="302" t="n"/>
      <c r="D52" s="298" t="n"/>
      <c r="E52" s="299" t="n"/>
      <c r="F52" s="302" t="n"/>
      <c r="G52" s="298" t="n"/>
      <c r="H52" s="299" t="n"/>
      <c r="I52" s="302" t="n"/>
      <c r="J52" s="298" t="n"/>
      <c r="K52" s="298" t="n"/>
      <c r="L52" s="299" t="n"/>
      <c r="M52" s="302" t="n"/>
      <c r="N52" s="298" t="n"/>
      <c r="O52" s="299" t="n"/>
    </row>
    <row r="53" ht="48" customHeight="1">
      <c r="A53" s="304" t="inlineStr">
        <is>
          <t>[Quarter note theme slot 53]</t>
        </is>
      </c>
      <c r="B53" s="299" t="n"/>
      <c r="C53" s="304" t="n"/>
      <c r="D53" s="298" t="n"/>
      <c r="E53" s="299" t="n"/>
      <c r="F53" s="304" t="n"/>
      <c r="G53" s="298" t="n"/>
      <c r="H53" s="299" t="n"/>
      <c r="I53" s="304" t="n"/>
      <c r="J53" s="298" t="n"/>
      <c r="K53" s="298" t="n"/>
      <c r="L53" s="299" t="n"/>
      <c r="M53" s="304" t="n"/>
      <c r="N53" s="298" t="n"/>
      <c r="O53" s="299" t="n"/>
    </row>
    <row r="54" ht="34" customHeight="1">
      <c r="A54" s="302" t="inlineStr">
        <is>
          <t>[Quarter note theme slot 54]</t>
        </is>
      </c>
      <c r="B54" s="299" t="n"/>
      <c r="C54" s="302" t="n"/>
      <c r="D54" s="298" t="n"/>
      <c r="E54" s="299" t="n"/>
      <c r="F54" s="302" t="n"/>
      <c r="G54" s="298" t="n"/>
      <c r="H54" s="299" t="n"/>
      <c r="I54" s="302" t="n"/>
      <c r="J54" s="298" t="n"/>
      <c r="K54" s="298" t="n"/>
      <c r="L54" s="299" t="n"/>
      <c r="M54" s="302" t="n"/>
      <c r="N54" s="298" t="n"/>
      <c r="O54" s="299" t="n"/>
    </row>
    <row r="55" ht="10" customHeight="1">
      <c r="A55" s="305" t="n"/>
      <c r="B55" s="305" t="n"/>
      <c r="C55" s="305" t="n"/>
      <c r="D55" s="305" t="n"/>
      <c r="E55" s="305" t="n"/>
      <c r="F55" s="305" t="n"/>
      <c r="G55" s="305" t="n"/>
      <c r="H55" s="305" t="n"/>
      <c r="I55" s="305" t="n"/>
      <c r="J55" s="305" t="n"/>
      <c r="K55" s="305" t="n"/>
      <c r="L55" s="305" t="n"/>
      <c r="M55" s="305" t="n"/>
      <c r="N55" s="305" t="n"/>
      <c r="O55" s="305" t="n"/>
    </row>
    <row r="56" ht="25" customHeight="1">
      <c r="A56" s="300" t="inlineStr">
        <is>
          <t>Model mapping / double-count guardrails</t>
        </is>
      </c>
      <c r="B56" s="298" t="n"/>
      <c r="C56" s="298" t="n"/>
      <c r="D56" s="298" t="n"/>
      <c r="E56" s="298" t="n"/>
      <c r="F56" s="298" t="n"/>
      <c r="G56" s="298" t="n"/>
      <c r="H56" s="298" t="n"/>
      <c r="I56" s="298" t="n"/>
      <c r="J56" s="298" t="n"/>
      <c r="K56" s="298" t="n"/>
      <c r="L56" s="298" t="n"/>
      <c r="M56" s="298" t="n"/>
      <c r="N56" s="298" t="n"/>
      <c r="O56" s="299" t="n"/>
    </row>
    <row r="57" ht="26" customHeight="1">
      <c r="A57" s="306" t="inlineStr">
        <is>
          <t>Driver</t>
        </is>
      </c>
      <c r="B57" s="299" t="n"/>
      <c r="C57" s="306" t="inlineStr">
        <is>
          <t>Model treatment</t>
        </is>
      </c>
      <c r="D57" s="298" t="n"/>
      <c r="E57" s="298" t="n"/>
      <c r="F57" s="299" t="n"/>
      <c r="G57" s="306" t="inlineStr">
        <is>
          <t>Double-count guardrail</t>
        </is>
      </c>
      <c r="H57" s="298" t="n"/>
      <c r="I57" s="298" t="n"/>
      <c r="J57" s="298" t="n"/>
      <c r="K57" s="298" t="n"/>
      <c r="L57" s="299" t="n"/>
      <c r="M57" s="306" t="inlineStr">
        <is>
          <t>Linked sheet / metric</t>
        </is>
      </c>
      <c r="N57" s="298" t="n"/>
      <c r="O57" s="299" t="n"/>
    </row>
    <row r="58" ht="48" customHeight="1">
      <c r="A58" s="302" t="inlineStr">
        <is>
          <t>[Quarter note theme slot 58]</t>
        </is>
      </c>
      <c r="B58" s="299" t="n"/>
      <c r="C58" s="302" t="n"/>
      <c r="D58" s="298" t="n"/>
      <c r="E58" s="298" t="n"/>
      <c r="F58" s="299" t="n"/>
      <c r="G58" s="302" t="n"/>
      <c r="H58" s="298" t="n"/>
      <c r="I58" s="298" t="n"/>
      <c r="J58" s="298" t="n"/>
      <c r="K58" s="298" t="n"/>
      <c r="L58" s="299" t="n"/>
      <c r="M58" s="302" t="n"/>
      <c r="N58" s="298" t="n"/>
      <c r="O58" s="299" t="n"/>
    </row>
    <row r="59" ht="48" customHeight="1">
      <c r="A59" s="304" t="inlineStr">
        <is>
          <t>[Quarter note theme slot 59]</t>
        </is>
      </c>
      <c r="B59" s="299" t="n"/>
      <c r="C59" s="304" t="n"/>
      <c r="D59" s="298" t="n"/>
      <c r="E59" s="298" t="n"/>
      <c r="F59" s="299" t="n"/>
      <c r="G59" s="304" t="n"/>
      <c r="H59" s="298" t="n"/>
      <c r="I59" s="298" t="n"/>
      <c r="J59" s="298" t="n"/>
      <c r="K59" s="298" t="n"/>
      <c r="L59" s="299" t="n"/>
      <c r="M59" s="304" t="n"/>
      <c r="N59" s="298" t="n"/>
      <c r="O59" s="299" t="n"/>
    </row>
    <row r="60" ht="34" customHeight="1">
      <c r="A60" s="302" t="inlineStr">
        <is>
          <t>[Quarter note theme slot 60]</t>
        </is>
      </c>
      <c r="B60" s="299" t="n"/>
      <c r="C60" s="302" t="n"/>
      <c r="D60" s="298" t="n"/>
      <c r="E60" s="298" t="n"/>
      <c r="F60" s="299" t="n"/>
      <c r="G60" s="302" t="n"/>
      <c r="H60" s="298" t="n"/>
      <c r="I60" s="298" t="n"/>
      <c r="J60" s="298" t="n"/>
      <c r="K60" s="298" t="n"/>
      <c r="L60" s="299" t="n"/>
      <c r="M60" s="302" t="n"/>
      <c r="N60" s="298" t="n"/>
      <c r="O60" s="299" t="n"/>
    </row>
    <row r="61" ht="48" customHeight="1">
      <c r="A61" s="304" t="inlineStr">
        <is>
          <t>[Quarter note theme slot 61]</t>
        </is>
      </c>
      <c r="B61" s="299" t="n"/>
      <c r="C61" s="304" t="n"/>
      <c r="D61" s="298" t="n"/>
      <c r="E61" s="298" t="n"/>
      <c r="F61" s="299" t="n"/>
      <c r="G61" s="304" t="n"/>
      <c r="H61" s="298" t="n"/>
      <c r="I61" s="298" t="n"/>
      <c r="J61" s="298" t="n"/>
      <c r="K61" s="298" t="n"/>
      <c r="L61" s="299" t="n"/>
      <c r="M61" s="304" t="n"/>
      <c r="N61" s="298" t="n"/>
      <c r="O61" s="299" t="n"/>
    </row>
    <row r="62" ht="48" customHeight="1">
      <c r="A62" s="302" t="inlineStr">
        <is>
          <t>[Quarter note theme slot 62]</t>
        </is>
      </c>
      <c r="B62" s="299" t="n"/>
      <c r="C62" s="302" t="n"/>
      <c r="D62" s="298" t="n"/>
      <c r="E62" s="298" t="n"/>
      <c r="F62" s="299" t="n"/>
      <c r="G62" s="302" t="n"/>
      <c r="H62" s="298" t="n"/>
      <c r="I62" s="298" t="n"/>
      <c r="J62" s="298" t="n"/>
      <c r="K62" s="298" t="n"/>
      <c r="L62" s="299" t="n"/>
      <c r="M62" s="302" t="n"/>
      <c r="N62" s="298" t="n"/>
      <c r="O62" s="299" t="n"/>
    </row>
    <row r="63" ht="48" customHeight="1">
      <c r="A63" s="304" t="inlineStr">
        <is>
          <t>[Quarter note theme slot 63]</t>
        </is>
      </c>
      <c r="B63" s="299" t="n"/>
      <c r="C63" s="304" t="n"/>
      <c r="D63" s="298" t="n"/>
      <c r="E63" s="298" t="n"/>
      <c r="F63" s="299" t="n"/>
      <c r="G63" s="304" t="n"/>
      <c r="H63" s="298" t="n"/>
      <c r="I63" s="298" t="n"/>
      <c r="J63" s="298" t="n"/>
      <c r="K63" s="298" t="n"/>
      <c r="L63" s="299" t="n"/>
      <c r="M63" s="304" t="n"/>
      <c r="N63" s="298" t="n"/>
      <c r="O63" s="299" t="n"/>
    </row>
    <row r="64" ht="24" customHeight="1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</row>
    <row r="65" ht="24" customHeight="1">
      <c r="A65" s="297" t="inlineStr">
        <is>
          <t>[Historical quarter block 2]</t>
        </is>
      </c>
      <c r="B65" s="298" t="n"/>
      <c r="C65" s="298" t="n"/>
      <c r="D65" s="298" t="n"/>
      <c r="E65" s="298" t="n"/>
      <c r="F65" s="298" t="n"/>
      <c r="G65" s="298" t="n"/>
      <c r="H65" s="298" t="n"/>
      <c r="I65" s="298" t="n"/>
      <c r="J65" s="298" t="n"/>
      <c r="K65" s="298" t="n"/>
      <c r="L65" s="298" t="n"/>
      <c r="M65" s="298" t="n"/>
      <c r="N65" s="298" t="n"/>
      <c r="O65" s="299" t="n"/>
    </row>
    <row r="66" ht="25" customHeight="1">
      <c r="A66" s="300" t="inlineStr">
        <is>
          <t>Quarter read</t>
        </is>
      </c>
      <c r="B66" s="298" t="n"/>
      <c r="C66" s="298" t="n"/>
      <c r="D66" s="298" t="n"/>
      <c r="E66" s="298" t="n"/>
      <c r="F66" s="298" t="n"/>
      <c r="G66" s="298" t="n"/>
      <c r="H66" s="298" t="n"/>
      <c r="I66" s="298" t="n"/>
      <c r="J66" s="298" t="n"/>
      <c r="K66" s="298" t="n"/>
      <c r="L66" s="298" t="n"/>
      <c r="M66" s="298" t="n"/>
      <c r="N66" s="298" t="n"/>
      <c r="O66" s="299" t="n"/>
    </row>
    <row r="67" ht="44" customHeight="1">
      <c r="A67" s="301" t="inlineStr">
        <is>
          <t>Model read</t>
        </is>
      </c>
      <c r="B67" s="302" t="n"/>
      <c r="C67" s="298" t="n"/>
      <c r="D67" s="298" t="n"/>
      <c r="E67" s="298" t="n"/>
      <c r="F67" s="298" t="n"/>
      <c r="G67" s="298" t="n"/>
      <c r="H67" s="298" t="n"/>
      <c r="I67" s="298" t="n"/>
      <c r="J67" s="298" t="n"/>
      <c r="K67" s="298" t="n"/>
      <c r="L67" s="298" t="n"/>
      <c r="M67" s="298" t="n"/>
      <c r="N67" s="298" t="n"/>
      <c r="O67" s="299" t="n"/>
    </row>
    <row r="68" ht="58" customHeight="1">
      <c r="A68" s="303" t="inlineStr">
        <is>
          <t>What changed</t>
        </is>
      </c>
      <c r="B68" s="304" t="n"/>
      <c r="C68" s="298" t="n"/>
      <c r="D68" s="298" t="n"/>
      <c r="E68" s="298" t="n"/>
      <c r="F68" s="298" t="n"/>
      <c r="G68" s="298" t="n"/>
      <c r="H68" s="298" t="n"/>
      <c r="I68" s="298" t="n"/>
      <c r="J68" s="298" t="n"/>
      <c r="K68" s="298" t="n"/>
      <c r="L68" s="298" t="n"/>
      <c r="M68" s="298" t="n"/>
      <c r="N68" s="298" t="n"/>
      <c r="O68" s="299" t="n"/>
    </row>
    <row r="69" ht="30" customHeight="1">
      <c r="A69" s="301" t="inlineStr">
        <is>
          <t>Watch next</t>
        </is>
      </c>
      <c r="B69" s="302" t="n"/>
      <c r="C69" s="298" t="n"/>
      <c r="D69" s="298" t="n"/>
      <c r="E69" s="298" t="n"/>
      <c r="F69" s="298" t="n"/>
      <c r="G69" s="298" t="n"/>
      <c r="H69" s="298" t="n"/>
      <c r="I69" s="298" t="n"/>
      <c r="J69" s="298" t="n"/>
      <c r="K69" s="298" t="n"/>
      <c r="L69" s="298" t="n"/>
      <c r="M69" s="298" t="n"/>
      <c r="N69" s="298" t="n"/>
      <c r="O69" s="299" t="n"/>
    </row>
    <row r="70" ht="30" customHeight="1">
      <c r="A70" s="303" t="inlineStr">
        <is>
          <t>Key caveat</t>
        </is>
      </c>
      <c r="B70" s="304" t="n"/>
      <c r="C70" s="298" t="n"/>
      <c r="D70" s="298" t="n"/>
      <c r="E70" s="298" t="n"/>
      <c r="F70" s="298" t="n"/>
      <c r="G70" s="298" t="n"/>
      <c r="H70" s="298" t="n"/>
      <c r="I70" s="298" t="n"/>
      <c r="J70" s="298" t="n"/>
      <c r="K70" s="298" t="n"/>
      <c r="L70" s="298" t="n"/>
      <c r="M70" s="298" t="n"/>
      <c r="N70" s="298" t="n"/>
      <c r="O70" s="299" t="n"/>
    </row>
    <row r="71" ht="10" customHeight="1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</row>
    <row r="72" ht="25" customHeight="1">
      <c r="A72" s="300" t="inlineStr">
        <is>
          <t>Key developments</t>
        </is>
      </c>
      <c r="B72" s="298" t="n"/>
      <c r="C72" s="298" t="n"/>
      <c r="D72" s="298" t="n"/>
      <c r="E72" s="298" t="n"/>
      <c r="F72" s="298" t="n"/>
      <c r="G72" s="298" t="n"/>
      <c r="H72" s="298" t="n"/>
      <c r="I72" s="298" t="n"/>
      <c r="J72" s="298" t="n"/>
      <c r="K72" s="298" t="n"/>
      <c r="L72" s="298" t="n"/>
      <c r="M72" s="298" t="n"/>
      <c r="N72" s="298" t="n"/>
      <c r="O72" s="299" t="n"/>
    </row>
    <row r="73" ht="26" customHeight="1">
      <c r="A73" s="306" t="inlineStr">
        <is>
          <t>Theme</t>
        </is>
      </c>
      <c r="B73" s="299" t="n"/>
      <c r="C73" s="306" t="inlineStr">
        <is>
          <t>What happened</t>
        </is>
      </c>
      <c r="D73" s="298" t="n"/>
      <c r="E73" s="299" t="n"/>
      <c r="F73" s="306" t="inlineStr">
        <is>
          <t>Why it matters</t>
        </is>
      </c>
      <c r="G73" s="299" t="n"/>
      <c r="H73" s="306" t="inlineStr">
        <is>
          <t>Model / valuation implication</t>
        </is>
      </c>
      <c r="I73" s="298" t="n"/>
      <c r="J73" s="298" t="n"/>
      <c r="K73" s="298" t="n"/>
      <c r="L73" s="299" t="n"/>
      <c r="M73" s="306" t="inlineStr">
        <is>
          <t>Source / confidence</t>
        </is>
      </c>
      <c r="N73" s="298" t="n"/>
      <c r="O73" s="299" t="n"/>
    </row>
    <row r="74" ht="48" customHeight="1">
      <c r="A74" s="302" t="inlineStr">
        <is>
          <t>[Quarter note theme slot 74]</t>
        </is>
      </c>
      <c r="B74" s="299" t="n"/>
      <c r="C74" s="302" t="n"/>
      <c r="D74" s="298" t="n"/>
      <c r="E74" s="299" t="n"/>
      <c r="F74" s="302" t="n"/>
      <c r="G74" s="299" t="n"/>
      <c r="H74" s="302" t="n"/>
      <c r="I74" s="298" t="n"/>
      <c r="J74" s="298" t="n"/>
      <c r="K74" s="298" t="n"/>
      <c r="L74" s="299" t="n"/>
      <c r="M74" s="302" t="n"/>
      <c r="N74" s="298" t="n"/>
      <c r="O74" s="299" t="n"/>
    </row>
    <row r="75" ht="48" customHeight="1">
      <c r="A75" s="304" t="inlineStr">
        <is>
          <t>[Quarter note theme slot 75]</t>
        </is>
      </c>
      <c r="B75" s="299" t="n"/>
      <c r="C75" s="304" t="n"/>
      <c r="D75" s="298" t="n"/>
      <c r="E75" s="299" t="n"/>
      <c r="F75" s="304" t="n"/>
      <c r="G75" s="299" t="n"/>
      <c r="H75" s="304" t="n"/>
      <c r="I75" s="298" t="n"/>
      <c r="J75" s="298" t="n"/>
      <c r="K75" s="298" t="n"/>
      <c r="L75" s="299" t="n"/>
      <c r="M75" s="304" t="n"/>
      <c r="N75" s="298" t="n"/>
      <c r="O75" s="299" t="n"/>
    </row>
    <row r="76" ht="48" customHeight="1">
      <c r="A76" s="302" t="inlineStr">
        <is>
          <t>[Quarter note theme slot 76]</t>
        </is>
      </c>
      <c r="B76" s="299" t="n"/>
      <c r="C76" s="302" t="n"/>
      <c r="D76" s="298" t="n"/>
      <c r="E76" s="299" t="n"/>
      <c r="F76" s="302" t="n"/>
      <c r="G76" s="299" t="n"/>
      <c r="H76" s="302" t="n"/>
      <c r="I76" s="298" t="n"/>
      <c r="J76" s="298" t="n"/>
      <c r="K76" s="298" t="n"/>
      <c r="L76" s="299" t="n"/>
      <c r="M76" s="302" t="n"/>
      <c r="N76" s="298" t="n"/>
      <c r="O76" s="299" t="n"/>
    </row>
    <row r="77" ht="62" customHeight="1">
      <c r="A77" s="304" t="inlineStr">
        <is>
          <t>[Quarter note theme slot 77]</t>
        </is>
      </c>
      <c r="B77" s="299" t="n"/>
      <c r="C77" s="304" t="n"/>
      <c r="D77" s="298" t="n"/>
      <c r="E77" s="299" t="n"/>
      <c r="F77" s="304" t="n"/>
      <c r="G77" s="299" t="n"/>
      <c r="H77" s="304" t="n"/>
      <c r="I77" s="298" t="n"/>
      <c r="J77" s="298" t="n"/>
      <c r="K77" s="298" t="n"/>
      <c r="L77" s="299" t="n"/>
      <c r="M77" s="304" t="n"/>
      <c r="N77" s="298" t="n"/>
      <c r="O77" s="299" t="n"/>
    </row>
    <row r="78" ht="48" customHeight="1">
      <c r="A78" s="302" t="inlineStr">
        <is>
          <t>[Quarter note theme slot 78]</t>
        </is>
      </c>
      <c r="B78" s="299" t="n"/>
      <c r="C78" s="302" t="n"/>
      <c r="D78" s="298" t="n"/>
      <c r="E78" s="299" t="n"/>
      <c r="F78" s="302" t="n"/>
      <c r="G78" s="299" t="n"/>
      <c r="H78" s="302" t="n"/>
      <c r="I78" s="298" t="n"/>
      <c r="J78" s="298" t="n"/>
      <c r="K78" s="298" t="n"/>
      <c r="L78" s="299" t="n"/>
      <c r="M78" s="302" t="n"/>
      <c r="N78" s="298" t="n"/>
      <c r="O78" s="299" t="n"/>
    </row>
    <row r="79" ht="48" customHeight="1">
      <c r="A79" s="304" t="inlineStr">
        <is>
          <t>[Quarter note theme slot 79]</t>
        </is>
      </c>
      <c r="B79" s="299" t="n"/>
      <c r="C79" s="304" t="n"/>
      <c r="D79" s="298" t="n"/>
      <c r="E79" s="299" t="n"/>
      <c r="F79" s="304" t="n"/>
      <c r="G79" s="299" t="n"/>
      <c r="H79" s="304" t="n"/>
      <c r="I79" s="298" t="n"/>
      <c r="J79" s="298" t="n"/>
      <c r="K79" s="298" t="n"/>
      <c r="L79" s="299" t="n"/>
      <c r="M79" s="304" t="n"/>
      <c r="N79" s="298" t="n"/>
      <c r="O79" s="299" t="n"/>
    </row>
    <row r="80" ht="10" customHeight="1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</row>
    <row r="81" ht="25" customHeight="1">
      <c r="A81" s="300" t="inlineStr">
        <is>
          <t>Guidance / Promise interpretation</t>
        </is>
      </c>
      <c r="B81" s="298" t="n"/>
      <c r="C81" s="298" t="n"/>
      <c r="D81" s="298" t="n"/>
      <c r="E81" s="298" t="n"/>
      <c r="F81" s="298" t="n"/>
      <c r="G81" s="298" t="n"/>
      <c r="H81" s="298" t="n"/>
      <c r="I81" s="298" t="n"/>
      <c r="J81" s="298" t="n"/>
      <c r="K81" s="298" t="n"/>
      <c r="L81" s="298" t="n"/>
      <c r="M81" s="298" t="n"/>
      <c r="N81" s="298" t="n"/>
      <c r="O81" s="299" t="n"/>
    </row>
    <row r="82" ht="26" customHeight="1">
      <c r="A82" s="306" t="inlineStr">
        <is>
          <t>Promise / guidance item</t>
        </is>
      </c>
      <c r="B82" s="299" t="n"/>
      <c r="C82" s="306" t="inlineStr">
        <is>
          <t>Read</t>
        </is>
      </c>
      <c r="D82" s="298" t="n"/>
      <c r="E82" s="299" t="n"/>
      <c r="F82" s="306" t="inlineStr">
        <is>
          <t>Actual / progress interpretation</t>
        </is>
      </c>
      <c r="G82" s="298" t="n"/>
      <c r="H82" s="299" t="n"/>
      <c r="I82" s="306" t="inlineStr">
        <is>
          <t>Status / caveat</t>
        </is>
      </c>
      <c r="J82" s="298" t="n"/>
      <c r="K82" s="298" t="n"/>
      <c r="L82" s="299" t="n"/>
      <c r="M82" s="306" t="inlineStr">
        <is>
          <t>Source</t>
        </is>
      </c>
      <c r="N82" s="298" t="n"/>
      <c r="O82" s="299" t="n"/>
    </row>
    <row r="83" ht="48" customHeight="1">
      <c r="A83" s="302" t="inlineStr">
        <is>
          <t>[Quarter note theme slot 83]</t>
        </is>
      </c>
      <c r="B83" s="299" t="n"/>
      <c r="C83" s="302" t="n"/>
      <c r="D83" s="298" t="n"/>
      <c r="E83" s="299" t="n"/>
      <c r="F83" s="302" t="n"/>
      <c r="G83" s="298" t="n"/>
      <c r="H83" s="299" t="n"/>
      <c r="I83" s="302" t="n"/>
      <c r="J83" s="298" t="n"/>
      <c r="K83" s="298" t="n"/>
      <c r="L83" s="299" t="n"/>
      <c r="M83" s="302" t="n"/>
      <c r="N83" s="298" t="n"/>
      <c r="O83" s="299" t="n"/>
    </row>
    <row r="84" ht="34" customHeight="1">
      <c r="A84" s="304" t="inlineStr">
        <is>
          <t>[Quarter note theme slot 84]</t>
        </is>
      </c>
      <c r="B84" s="299" t="n"/>
      <c r="C84" s="304" t="n"/>
      <c r="D84" s="298" t="n"/>
      <c r="E84" s="299" t="n"/>
      <c r="F84" s="304" t="n"/>
      <c r="G84" s="298" t="n"/>
      <c r="H84" s="299" t="n"/>
      <c r="I84" s="304" t="n"/>
      <c r="J84" s="298" t="n"/>
      <c r="K84" s="298" t="n"/>
      <c r="L84" s="299" t="n"/>
      <c r="M84" s="304" t="n"/>
      <c r="N84" s="298" t="n"/>
      <c r="O84" s="299" t="n"/>
    </row>
    <row r="85" ht="34" customHeight="1">
      <c r="A85" s="302" t="inlineStr">
        <is>
          <t>[Quarter note theme slot 85]</t>
        </is>
      </c>
      <c r="B85" s="299" t="n"/>
      <c r="C85" s="302" t="n"/>
      <c r="D85" s="298" t="n"/>
      <c r="E85" s="299" t="n"/>
      <c r="F85" s="302" t="n"/>
      <c r="G85" s="298" t="n"/>
      <c r="H85" s="299" t="n"/>
      <c r="I85" s="302" t="n"/>
      <c r="J85" s="298" t="n"/>
      <c r="K85" s="298" t="n"/>
      <c r="L85" s="299" t="n"/>
      <c r="M85" s="302" t="n"/>
      <c r="N85" s="298" t="n"/>
      <c r="O85" s="299" t="n"/>
    </row>
    <row r="86" ht="10" customHeight="1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</row>
    <row r="87" ht="25" customHeight="1">
      <c r="A87" s="300" t="inlineStr">
        <is>
          <t>Model mapping / double-count guardrails</t>
        </is>
      </c>
      <c r="B87" s="298" t="n"/>
      <c r="C87" s="298" t="n"/>
      <c r="D87" s="298" t="n"/>
      <c r="E87" s="298" t="n"/>
      <c r="F87" s="298" t="n"/>
      <c r="G87" s="298" t="n"/>
      <c r="H87" s="298" t="n"/>
      <c r="I87" s="298" t="n"/>
      <c r="J87" s="298" t="n"/>
      <c r="K87" s="298" t="n"/>
      <c r="L87" s="298" t="n"/>
      <c r="M87" s="298" t="n"/>
      <c r="N87" s="298" t="n"/>
      <c r="O87" s="299" t="n"/>
    </row>
    <row r="88" ht="26" customHeight="1">
      <c r="A88" s="306" t="inlineStr">
        <is>
          <t>Driver</t>
        </is>
      </c>
      <c r="B88" s="299" t="n"/>
      <c r="C88" s="306" t="inlineStr">
        <is>
          <t>Model treatment</t>
        </is>
      </c>
      <c r="D88" s="298" t="n"/>
      <c r="E88" s="298" t="n"/>
      <c r="F88" s="299" t="n"/>
      <c r="G88" s="306" t="inlineStr">
        <is>
          <t>Double-count guardrail</t>
        </is>
      </c>
      <c r="H88" s="298" t="n"/>
      <c r="I88" s="298" t="n"/>
      <c r="J88" s="298" t="n"/>
      <c r="K88" s="298" t="n"/>
      <c r="L88" s="299" t="n"/>
      <c r="M88" s="306" t="inlineStr">
        <is>
          <t>Linked sheet / metric</t>
        </is>
      </c>
      <c r="N88" s="298" t="n"/>
      <c r="O88" s="299" t="n"/>
    </row>
    <row r="89" ht="34" customHeight="1">
      <c r="A89" s="302" t="inlineStr">
        <is>
          <t>[Quarter note theme slot 89]</t>
        </is>
      </c>
      <c r="B89" s="299" t="n"/>
      <c r="C89" s="302" t="n"/>
      <c r="D89" s="298" t="n"/>
      <c r="E89" s="298" t="n"/>
      <c r="F89" s="299" t="n"/>
      <c r="G89" s="302" t="n"/>
      <c r="H89" s="298" t="n"/>
      <c r="I89" s="298" t="n"/>
      <c r="J89" s="298" t="n"/>
      <c r="K89" s="298" t="n"/>
      <c r="L89" s="299" t="n"/>
      <c r="M89" s="302" t="n"/>
      <c r="N89" s="298" t="n"/>
      <c r="O89" s="299" t="n"/>
    </row>
    <row r="90" ht="48" customHeight="1">
      <c r="A90" s="304" t="inlineStr">
        <is>
          <t>[Quarter note theme slot 90]</t>
        </is>
      </c>
      <c r="B90" s="299" t="n"/>
      <c r="C90" s="304" t="n"/>
      <c r="D90" s="298" t="n"/>
      <c r="E90" s="298" t="n"/>
      <c r="F90" s="299" t="n"/>
      <c r="G90" s="304" t="n"/>
      <c r="H90" s="298" t="n"/>
      <c r="I90" s="298" t="n"/>
      <c r="J90" s="298" t="n"/>
      <c r="K90" s="298" t="n"/>
      <c r="L90" s="299" t="n"/>
      <c r="M90" s="304" t="n"/>
      <c r="N90" s="298" t="n"/>
      <c r="O90" s="299" t="n"/>
    </row>
    <row r="91" ht="34" customHeight="1">
      <c r="A91" s="302" t="inlineStr">
        <is>
          <t>[Quarter note theme slot 91]</t>
        </is>
      </c>
      <c r="B91" s="299" t="n"/>
      <c r="C91" s="302" t="n"/>
      <c r="D91" s="298" t="n"/>
      <c r="E91" s="298" t="n"/>
      <c r="F91" s="299" t="n"/>
      <c r="G91" s="302" t="n"/>
      <c r="H91" s="298" t="n"/>
      <c r="I91" s="298" t="n"/>
      <c r="J91" s="298" t="n"/>
      <c r="K91" s="298" t="n"/>
      <c r="L91" s="299" t="n"/>
      <c r="M91" s="302" t="n"/>
      <c r="N91" s="298" t="n"/>
      <c r="O91" s="299" t="n"/>
    </row>
    <row r="92" ht="48" customHeight="1">
      <c r="A92" s="304" t="inlineStr">
        <is>
          <t>[Quarter note theme slot 92]</t>
        </is>
      </c>
      <c r="B92" s="299" t="n"/>
      <c r="C92" s="304" t="n"/>
      <c r="D92" s="298" t="n"/>
      <c r="E92" s="298" t="n"/>
      <c r="F92" s="299" t="n"/>
      <c r="G92" s="304" t="n"/>
      <c r="H92" s="298" t="n"/>
      <c r="I92" s="298" t="n"/>
      <c r="J92" s="298" t="n"/>
      <c r="K92" s="298" t="n"/>
      <c r="L92" s="299" t="n"/>
      <c r="M92" s="304" t="n"/>
      <c r="N92" s="298" t="n"/>
      <c r="O92" s="299" t="n"/>
    </row>
    <row r="93" ht="34" customHeight="1">
      <c r="A93" s="302" t="inlineStr">
        <is>
          <t>[Quarter note theme slot 93]</t>
        </is>
      </c>
      <c r="B93" s="299" t="n"/>
      <c r="C93" s="302" t="n"/>
      <c r="D93" s="298" t="n"/>
      <c r="E93" s="298" t="n"/>
      <c r="F93" s="299" t="n"/>
      <c r="G93" s="302" t="n"/>
      <c r="H93" s="298" t="n"/>
      <c r="I93" s="298" t="n"/>
      <c r="J93" s="298" t="n"/>
      <c r="K93" s="298" t="n"/>
      <c r="L93" s="299" t="n"/>
      <c r="M93" s="302" t="n"/>
      <c r="N93" s="298" t="n"/>
      <c r="O93" s="299" t="n"/>
    </row>
    <row r="94" ht="34" customHeight="1">
      <c r="A94" s="304" t="inlineStr">
        <is>
          <t>[Quarter note theme slot 94]</t>
        </is>
      </c>
      <c r="B94" s="299" t="n"/>
      <c r="C94" s="304" t="n"/>
      <c r="D94" s="298" t="n"/>
      <c r="E94" s="298" t="n"/>
      <c r="F94" s="299" t="n"/>
      <c r="G94" s="304" t="n"/>
      <c r="H94" s="298" t="n"/>
      <c r="I94" s="298" t="n"/>
      <c r="J94" s="298" t="n"/>
      <c r="K94" s="298" t="n"/>
      <c r="L94" s="299" t="n"/>
      <c r="M94" s="304" t="n"/>
      <c r="N94" s="298" t="n"/>
      <c r="O94" s="299" t="n"/>
    </row>
    <row r="95" ht="24" customHeight="1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</row>
    <row r="96" ht="24" customHeight="1">
      <c r="A96" s="297" t="inlineStr">
        <is>
          <t>[Historical quarter block 3]</t>
        </is>
      </c>
      <c r="B96" s="298" t="n"/>
      <c r="C96" s="298" t="n"/>
      <c r="D96" s="298" t="n"/>
      <c r="E96" s="298" t="n"/>
      <c r="F96" s="298" t="n"/>
      <c r="G96" s="298" t="n"/>
      <c r="H96" s="298" t="n"/>
      <c r="I96" s="298" t="n"/>
      <c r="J96" s="298" t="n"/>
      <c r="K96" s="298" t="n"/>
      <c r="L96" s="298" t="n"/>
      <c r="M96" s="298" t="n"/>
      <c r="N96" s="298" t="n"/>
      <c r="O96" s="299" t="n"/>
    </row>
    <row r="97" ht="25" customHeight="1">
      <c r="A97" s="300" t="inlineStr">
        <is>
          <t>Quarter read</t>
        </is>
      </c>
      <c r="B97" s="298" t="n"/>
      <c r="C97" s="298" t="n"/>
      <c r="D97" s="298" t="n"/>
      <c r="E97" s="298" t="n"/>
      <c r="F97" s="298" t="n"/>
      <c r="G97" s="298" t="n"/>
      <c r="H97" s="298" t="n"/>
      <c r="I97" s="298" t="n"/>
      <c r="J97" s="298" t="n"/>
      <c r="K97" s="298" t="n"/>
      <c r="L97" s="298" t="n"/>
      <c r="M97" s="298" t="n"/>
      <c r="N97" s="298" t="n"/>
      <c r="O97" s="299" t="n"/>
    </row>
    <row r="98" ht="44" customHeight="1">
      <c r="A98" s="301" t="inlineStr">
        <is>
          <t>Model read</t>
        </is>
      </c>
      <c r="B98" s="302" t="n"/>
      <c r="C98" s="298" t="n"/>
      <c r="D98" s="298" t="n"/>
      <c r="E98" s="298" t="n"/>
      <c r="F98" s="298" t="n"/>
      <c r="G98" s="298" t="n"/>
      <c r="H98" s="298" t="n"/>
      <c r="I98" s="298" t="n"/>
      <c r="J98" s="298" t="n"/>
      <c r="K98" s="298" t="n"/>
      <c r="L98" s="298" t="n"/>
      <c r="M98" s="298" t="n"/>
      <c r="N98" s="298" t="n"/>
      <c r="O98" s="299" t="n"/>
    </row>
    <row r="99" ht="58" customHeight="1">
      <c r="A99" s="303" t="inlineStr">
        <is>
          <t>What changed</t>
        </is>
      </c>
      <c r="B99" s="304" t="n"/>
      <c r="C99" s="298" t="n"/>
      <c r="D99" s="298" t="n"/>
      <c r="E99" s="298" t="n"/>
      <c r="F99" s="298" t="n"/>
      <c r="G99" s="298" t="n"/>
      <c r="H99" s="298" t="n"/>
      <c r="I99" s="298" t="n"/>
      <c r="J99" s="298" t="n"/>
      <c r="K99" s="298" t="n"/>
      <c r="L99" s="298" t="n"/>
      <c r="M99" s="298" t="n"/>
      <c r="N99" s="298" t="n"/>
      <c r="O99" s="299" t="n"/>
    </row>
    <row r="100" ht="30" customHeight="1">
      <c r="A100" s="301" t="inlineStr">
        <is>
          <t>Watch next</t>
        </is>
      </c>
      <c r="B100" s="302" t="n"/>
      <c r="C100" s="298" t="n"/>
      <c r="D100" s="298" t="n"/>
      <c r="E100" s="298" t="n"/>
      <c r="F100" s="298" t="n"/>
      <c r="G100" s="298" t="n"/>
      <c r="H100" s="298" t="n"/>
      <c r="I100" s="298" t="n"/>
      <c r="J100" s="298" t="n"/>
      <c r="K100" s="298" t="n"/>
      <c r="L100" s="298" t="n"/>
      <c r="M100" s="298" t="n"/>
      <c r="N100" s="298" t="n"/>
      <c r="O100" s="299" t="n"/>
    </row>
    <row r="101" ht="30" customHeight="1">
      <c r="A101" s="303" t="inlineStr">
        <is>
          <t>Key caveat</t>
        </is>
      </c>
      <c r="B101" s="304" t="n"/>
      <c r="C101" s="298" t="n"/>
      <c r="D101" s="298" t="n"/>
      <c r="E101" s="298" t="n"/>
      <c r="F101" s="298" t="n"/>
      <c r="G101" s="298" t="n"/>
      <c r="H101" s="298" t="n"/>
      <c r="I101" s="298" t="n"/>
      <c r="J101" s="298" t="n"/>
      <c r="K101" s="298" t="n"/>
      <c r="L101" s="298" t="n"/>
      <c r="M101" s="298" t="n"/>
      <c r="N101" s="298" t="n"/>
      <c r="O101" s="299" t="n"/>
    </row>
    <row r="102" ht="10" customHeight="1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</row>
    <row r="103" ht="25" customHeight="1">
      <c r="A103" s="300" t="inlineStr">
        <is>
          <t>Key developments</t>
        </is>
      </c>
      <c r="B103" s="298" t="n"/>
      <c r="C103" s="298" t="n"/>
      <c r="D103" s="298" t="n"/>
      <c r="E103" s="298" t="n"/>
      <c r="F103" s="298" t="n"/>
      <c r="G103" s="298" t="n"/>
      <c r="H103" s="298" t="n"/>
      <c r="I103" s="298" t="n"/>
      <c r="J103" s="298" t="n"/>
      <c r="K103" s="298" t="n"/>
      <c r="L103" s="298" t="n"/>
      <c r="M103" s="298" t="n"/>
      <c r="N103" s="298" t="n"/>
      <c r="O103" s="299" t="n"/>
    </row>
    <row r="104" ht="26" customHeight="1">
      <c r="A104" s="306" t="inlineStr">
        <is>
          <t>Theme</t>
        </is>
      </c>
      <c r="B104" s="299" t="n"/>
      <c r="C104" s="306" t="inlineStr">
        <is>
          <t>What happened</t>
        </is>
      </c>
      <c r="D104" s="298" t="n"/>
      <c r="E104" s="299" t="n"/>
      <c r="F104" s="306" t="inlineStr">
        <is>
          <t>Why it matters</t>
        </is>
      </c>
      <c r="G104" s="299" t="n"/>
      <c r="H104" s="306" t="inlineStr">
        <is>
          <t>Model / valuation implication</t>
        </is>
      </c>
      <c r="I104" s="298" t="n"/>
      <c r="J104" s="298" t="n"/>
      <c r="K104" s="298" t="n"/>
      <c r="L104" s="299" t="n"/>
      <c r="M104" s="306" t="inlineStr">
        <is>
          <t>Source / confidence</t>
        </is>
      </c>
      <c r="N104" s="298" t="n"/>
      <c r="O104" s="299" t="n"/>
    </row>
    <row r="105" ht="62" customHeight="1">
      <c r="A105" s="302" t="inlineStr">
        <is>
          <t>[Quarter note theme slot 105]</t>
        </is>
      </c>
      <c r="B105" s="299" t="n"/>
      <c r="C105" s="302" t="n"/>
      <c r="D105" s="298" t="n"/>
      <c r="E105" s="299" t="n"/>
      <c r="F105" s="302" t="n"/>
      <c r="G105" s="299" t="n"/>
      <c r="H105" s="302" t="n"/>
      <c r="I105" s="298" t="n"/>
      <c r="J105" s="298" t="n"/>
      <c r="K105" s="298" t="n"/>
      <c r="L105" s="299" t="n"/>
      <c r="M105" s="302" t="n"/>
      <c r="N105" s="298" t="n"/>
      <c r="O105" s="299" t="n"/>
    </row>
    <row r="106" ht="48" customHeight="1">
      <c r="A106" s="304" t="inlineStr">
        <is>
          <t>[Quarter note theme slot 106]</t>
        </is>
      </c>
      <c r="B106" s="299" t="n"/>
      <c r="C106" s="304" t="n"/>
      <c r="D106" s="298" t="n"/>
      <c r="E106" s="299" t="n"/>
      <c r="F106" s="304" t="n"/>
      <c r="G106" s="299" t="n"/>
      <c r="H106" s="304" t="n"/>
      <c r="I106" s="298" t="n"/>
      <c r="J106" s="298" t="n"/>
      <c r="K106" s="298" t="n"/>
      <c r="L106" s="299" t="n"/>
      <c r="M106" s="304" t="n"/>
      <c r="N106" s="298" t="n"/>
      <c r="O106" s="299" t="n"/>
    </row>
    <row r="107" ht="48" customHeight="1">
      <c r="A107" s="302" t="inlineStr">
        <is>
          <t>[Quarter note theme slot 107]</t>
        </is>
      </c>
      <c r="B107" s="299" t="n"/>
      <c r="C107" s="302" t="n"/>
      <c r="D107" s="298" t="n"/>
      <c r="E107" s="299" t="n"/>
      <c r="F107" s="302" t="n"/>
      <c r="G107" s="299" t="n"/>
      <c r="H107" s="302" t="n"/>
      <c r="I107" s="298" t="n"/>
      <c r="J107" s="298" t="n"/>
      <c r="K107" s="298" t="n"/>
      <c r="L107" s="299" t="n"/>
      <c r="M107" s="302" t="n"/>
      <c r="N107" s="298" t="n"/>
      <c r="O107" s="299" t="n"/>
    </row>
    <row r="108" ht="62" customHeight="1">
      <c r="A108" s="304" t="inlineStr">
        <is>
          <t>[Quarter note theme slot 108]</t>
        </is>
      </c>
      <c r="B108" s="299" t="n"/>
      <c r="C108" s="304" t="n"/>
      <c r="D108" s="298" t="n"/>
      <c r="E108" s="299" t="n"/>
      <c r="F108" s="304" t="n"/>
      <c r="G108" s="299" t="n"/>
      <c r="H108" s="304" t="n"/>
      <c r="I108" s="298" t="n"/>
      <c r="J108" s="298" t="n"/>
      <c r="K108" s="298" t="n"/>
      <c r="L108" s="299" t="n"/>
      <c r="M108" s="304" t="n"/>
      <c r="N108" s="298" t="n"/>
      <c r="O108" s="299" t="n"/>
    </row>
    <row r="109" ht="48" customHeight="1">
      <c r="A109" s="302" t="inlineStr">
        <is>
          <t>[Quarter note theme slot 109]</t>
        </is>
      </c>
      <c r="B109" s="299" t="n"/>
      <c r="C109" s="302" t="n"/>
      <c r="D109" s="298" t="n"/>
      <c r="E109" s="299" t="n"/>
      <c r="F109" s="302" t="n"/>
      <c r="G109" s="299" t="n"/>
      <c r="H109" s="302" t="n"/>
      <c r="I109" s="298" t="n"/>
      <c r="J109" s="298" t="n"/>
      <c r="K109" s="298" t="n"/>
      <c r="L109" s="299" t="n"/>
      <c r="M109" s="302" t="n"/>
      <c r="N109" s="298" t="n"/>
      <c r="O109" s="299" t="n"/>
    </row>
    <row r="110" ht="48" customHeight="1">
      <c r="A110" s="304" t="inlineStr">
        <is>
          <t>[Quarter note theme slot 110]</t>
        </is>
      </c>
      <c r="B110" s="299" t="n"/>
      <c r="C110" s="304" t="n"/>
      <c r="D110" s="298" t="n"/>
      <c r="E110" s="299" t="n"/>
      <c r="F110" s="304" t="n"/>
      <c r="G110" s="299" t="n"/>
      <c r="H110" s="304" t="n"/>
      <c r="I110" s="298" t="n"/>
      <c r="J110" s="298" t="n"/>
      <c r="K110" s="298" t="n"/>
      <c r="L110" s="299" t="n"/>
      <c r="M110" s="304" t="n"/>
      <c r="N110" s="298" t="n"/>
      <c r="O110" s="299" t="n"/>
    </row>
    <row r="111" ht="10" customHeight="1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</row>
    <row r="112" ht="25" customHeight="1">
      <c r="A112" s="300" t="inlineStr">
        <is>
          <t>Guidance / Promise interpretation</t>
        </is>
      </c>
      <c r="B112" s="298" t="n"/>
      <c r="C112" s="298" t="n"/>
      <c r="D112" s="298" t="n"/>
      <c r="E112" s="298" t="n"/>
      <c r="F112" s="298" t="n"/>
      <c r="G112" s="298" t="n"/>
      <c r="H112" s="298" t="n"/>
      <c r="I112" s="298" t="n"/>
      <c r="J112" s="298" t="n"/>
      <c r="K112" s="298" t="n"/>
      <c r="L112" s="298" t="n"/>
      <c r="M112" s="298" t="n"/>
      <c r="N112" s="298" t="n"/>
      <c r="O112" s="299" t="n"/>
    </row>
    <row r="113" ht="26" customHeight="1">
      <c r="A113" s="306" t="inlineStr">
        <is>
          <t>Promise / guidance item</t>
        </is>
      </c>
      <c r="B113" s="299" t="n"/>
      <c r="C113" s="306" t="inlineStr">
        <is>
          <t>Read</t>
        </is>
      </c>
      <c r="D113" s="298" t="n"/>
      <c r="E113" s="299" t="n"/>
      <c r="F113" s="306" t="inlineStr">
        <is>
          <t>Actual / progress interpretation</t>
        </is>
      </c>
      <c r="G113" s="298" t="n"/>
      <c r="H113" s="299" t="n"/>
      <c r="I113" s="306" t="inlineStr">
        <is>
          <t>Status / caveat</t>
        </is>
      </c>
      <c r="J113" s="298" t="n"/>
      <c r="K113" s="298" t="n"/>
      <c r="L113" s="299" t="n"/>
      <c r="M113" s="306" t="inlineStr">
        <is>
          <t>Source</t>
        </is>
      </c>
      <c r="N113" s="298" t="n"/>
      <c r="O113" s="299" t="n"/>
    </row>
    <row r="114" ht="48" customHeight="1">
      <c r="A114" s="302" t="inlineStr">
        <is>
          <t>[Quarter note theme slot 114]</t>
        </is>
      </c>
      <c r="B114" s="299" t="n"/>
      <c r="C114" s="302" t="n"/>
      <c r="D114" s="298" t="n"/>
      <c r="E114" s="299" t="n"/>
      <c r="F114" s="302" t="n"/>
      <c r="G114" s="298" t="n"/>
      <c r="H114" s="299" t="n"/>
      <c r="I114" s="302" t="n"/>
      <c r="J114" s="298" t="n"/>
      <c r="K114" s="298" t="n"/>
      <c r="L114" s="299" t="n"/>
      <c r="M114" s="302" t="n"/>
      <c r="N114" s="298" t="n"/>
      <c r="O114" s="299" t="n"/>
    </row>
    <row r="115" ht="34" customHeight="1">
      <c r="A115" s="304" t="inlineStr">
        <is>
          <t>[Quarter note theme slot 115]</t>
        </is>
      </c>
      <c r="B115" s="299" t="n"/>
      <c r="C115" s="304" t="n"/>
      <c r="D115" s="298" t="n"/>
      <c r="E115" s="299" t="n"/>
      <c r="F115" s="304" t="n"/>
      <c r="G115" s="298" t="n"/>
      <c r="H115" s="299" t="n"/>
      <c r="I115" s="304" t="n"/>
      <c r="J115" s="298" t="n"/>
      <c r="K115" s="298" t="n"/>
      <c r="L115" s="299" t="n"/>
      <c r="M115" s="304" t="n"/>
      <c r="N115" s="298" t="n"/>
      <c r="O115" s="299" t="n"/>
    </row>
    <row r="116" ht="34" customHeight="1">
      <c r="A116" s="302" t="inlineStr">
        <is>
          <t>[Quarter note theme slot 116]</t>
        </is>
      </c>
      <c r="B116" s="299" t="n"/>
      <c r="C116" s="302" t="n"/>
      <c r="D116" s="298" t="n"/>
      <c r="E116" s="299" t="n"/>
      <c r="F116" s="302" t="n"/>
      <c r="G116" s="298" t="n"/>
      <c r="H116" s="299" t="n"/>
      <c r="I116" s="302" t="n"/>
      <c r="J116" s="298" t="n"/>
      <c r="K116" s="298" t="n"/>
      <c r="L116" s="299" t="n"/>
      <c r="M116" s="302" t="n"/>
      <c r="N116" s="298" t="n"/>
      <c r="O116" s="299" t="n"/>
    </row>
    <row r="117" ht="10" customHeight="1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</row>
    <row r="118" ht="25" customHeight="1">
      <c r="A118" s="300" t="inlineStr">
        <is>
          <t>Model mapping / double-count guardrails</t>
        </is>
      </c>
      <c r="B118" s="298" t="n"/>
      <c r="C118" s="298" t="n"/>
      <c r="D118" s="298" t="n"/>
      <c r="E118" s="298" t="n"/>
      <c r="F118" s="298" t="n"/>
      <c r="G118" s="298" t="n"/>
      <c r="H118" s="298" t="n"/>
      <c r="I118" s="298" t="n"/>
      <c r="J118" s="298" t="n"/>
      <c r="K118" s="298" t="n"/>
      <c r="L118" s="298" t="n"/>
      <c r="M118" s="298" t="n"/>
      <c r="N118" s="298" t="n"/>
      <c r="O118" s="299" t="n"/>
    </row>
    <row r="119" ht="26" customHeight="1">
      <c r="A119" s="306" t="inlineStr">
        <is>
          <t>Driver</t>
        </is>
      </c>
      <c r="B119" s="299" t="n"/>
      <c r="C119" s="306" t="inlineStr">
        <is>
          <t>Model treatment</t>
        </is>
      </c>
      <c r="D119" s="298" t="n"/>
      <c r="E119" s="298" t="n"/>
      <c r="F119" s="299" t="n"/>
      <c r="G119" s="306" t="inlineStr">
        <is>
          <t>Double-count guardrail</t>
        </is>
      </c>
      <c r="H119" s="298" t="n"/>
      <c r="I119" s="298" t="n"/>
      <c r="J119" s="298" t="n"/>
      <c r="K119" s="298" t="n"/>
      <c r="L119" s="299" t="n"/>
      <c r="M119" s="306" t="inlineStr">
        <is>
          <t>Linked sheet / metric</t>
        </is>
      </c>
      <c r="N119" s="298" t="n"/>
      <c r="O119" s="299" t="n"/>
    </row>
    <row r="120" ht="34" customHeight="1">
      <c r="A120" s="302" t="inlineStr">
        <is>
          <t>[Quarter note theme slot 120]</t>
        </is>
      </c>
      <c r="B120" s="299" t="n"/>
      <c r="C120" s="302" t="n"/>
      <c r="D120" s="298" t="n"/>
      <c r="E120" s="298" t="n"/>
      <c r="F120" s="299" t="n"/>
      <c r="G120" s="302" t="n"/>
      <c r="H120" s="298" t="n"/>
      <c r="I120" s="298" t="n"/>
      <c r="J120" s="298" t="n"/>
      <c r="K120" s="298" t="n"/>
      <c r="L120" s="299" t="n"/>
      <c r="M120" s="302" t="n"/>
      <c r="N120" s="298" t="n"/>
      <c r="O120" s="299" t="n"/>
    </row>
    <row r="121" ht="48" customHeight="1">
      <c r="A121" s="304" t="inlineStr">
        <is>
          <t>[Quarter note theme slot 121]</t>
        </is>
      </c>
      <c r="B121" s="299" t="n"/>
      <c r="C121" s="304" t="n"/>
      <c r="D121" s="298" t="n"/>
      <c r="E121" s="298" t="n"/>
      <c r="F121" s="299" t="n"/>
      <c r="G121" s="304" t="n"/>
      <c r="H121" s="298" t="n"/>
      <c r="I121" s="298" t="n"/>
      <c r="J121" s="298" t="n"/>
      <c r="K121" s="298" t="n"/>
      <c r="L121" s="299" t="n"/>
      <c r="M121" s="304" t="n"/>
      <c r="N121" s="298" t="n"/>
      <c r="O121" s="299" t="n"/>
    </row>
    <row r="122" ht="34" customHeight="1">
      <c r="A122" s="302" t="inlineStr">
        <is>
          <t>[Quarter note theme slot 122]</t>
        </is>
      </c>
      <c r="B122" s="299" t="n"/>
      <c r="C122" s="302" t="n"/>
      <c r="D122" s="298" t="n"/>
      <c r="E122" s="298" t="n"/>
      <c r="F122" s="299" t="n"/>
      <c r="G122" s="302" t="n"/>
      <c r="H122" s="298" t="n"/>
      <c r="I122" s="298" t="n"/>
      <c r="J122" s="298" t="n"/>
      <c r="K122" s="298" t="n"/>
      <c r="L122" s="299" t="n"/>
      <c r="M122" s="302" t="n"/>
      <c r="N122" s="298" t="n"/>
      <c r="O122" s="299" t="n"/>
    </row>
    <row r="123" ht="48" customHeight="1">
      <c r="A123" s="304" t="inlineStr">
        <is>
          <t>[Quarter note theme slot 123]</t>
        </is>
      </c>
      <c r="B123" s="299" t="n"/>
      <c r="C123" s="304" t="n"/>
      <c r="D123" s="298" t="n"/>
      <c r="E123" s="298" t="n"/>
      <c r="F123" s="299" t="n"/>
      <c r="G123" s="304" t="n"/>
      <c r="H123" s="298" t="n"/>
      <c r="I123" s="298" t="n"/>
      <c r="J123" s="298" t="n"/>
      <c r="K123" s="298" t="n"/>
      <c r="L123" s="299" t="n"/>
      <c r="M123" s="304" t="n"/>
      <c r="N123" s="298" t="n"/>
      <c r="O123" s="299" t="n"/>
    </row>
    <row r="124" ht="48" customHeight="1">
      <c r="A124" s="302" t="inlineStr">
        <is>
          <t>[Quarter note theme slot 124]</t>
        </is>
      </c>
      <c r="B124" s="299" t="n"/>
      <c r="C124" s="302" t="n"/>
      <c r="D124" s="298" t="n"/>
      <c r="E124" s="298" t="n"/>
      <c r="F124" s="299" t="n"/>
      <c r="G124" s="302" t="n"/>
      <c r="H124" s="298" t="n"/>
      <c r="I124" s="298" t="n"/>
      <c r="J124" s="298" t="n"/>
      <c r="K124" s="298" t="n"/>
      <c r="L124" s="299" t="n"/>
      <c r="M124" s="302" t="n"/>
      <c r="N124" s="298" t="n"/>
      <c r="O124" s="299" t="n"/>
    </row>
    <row r="125" ht="34" customHeight="1">
      <c r="A125" s="304" t="inlineStr">
        <is>
          <t>[Quarter note theme slot 125]</t>
        </is>
      </c>
      <c r="B125" s="299" t="n"/>
      <c r="C125" s="304" t="n"/>
      <c r="D125" s="298" t="n"/>
      <c r="E125" s="298" t="n"/>
      <c r="F125" s="299" t="n"/>
      <c r="G125" s="304" t="n"/>
      <c r="H125" s="298" t="n"/>
      <c r="I125" s="298" t="n"/>
      <c r="J125" s="298" t="n"/>
      <c r="K125" s="298" t="n"/>
      <c r="L125" s="299" t="n"/>
      <c r="M125" s="304" t="n"/>
      <c r="N125" s="298" t="n"/>
      <c r="O125" s="299" t="n"/>
    </row>
    <row r="126" ht="24" customHeight="1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</row>
    <row r="127" ht="24" customHeight="1">
      <c r="A127" s="297" t="inlineStr">
        <is>
          <t>[Historical quarter block 4]</t>
        </is>
      </c>
      <c r="B127" s="298" t="n"/>
      <c r="C127" s="298" t="n"/>
      <c r="D127" s="298" t="n"/>
      <c r="E127" s="298" t="n"/>
      <c r="F127" s="298" t="n"/>
      <c r="G127" s="298" t="n"/>
      <c r="H127" s="298" t="n"/>
      <c r="I127" s="298" t="n"/>
      <c r="J127" s="298" t="n"/>
      <c r="K127" s="298" t="n"/>
      <c r="L127" s="298" t="n"/>
      <c r="M127" s="298" t="n"/>
      <c r="N127" s="298" t="n"/>
      <c r="O127" s="299" t="n"/>
    </row>
    <row r="128" ht="25" customHeight="1">
      <c r="A128" s="300" t="inlineStr">
        <is>
          <t>Quarter read</t>
        </is>
      </c>
      <c r="B128" s="298" t="n"/>
      <c r="C128" s="298" t="n"/>
      <c r="D128" s="298" t="n"/>
      <c r="E128" s="298" t="n"/>
      <c r="F128" s="298" t="n"/>
      <c r="G128" s="298" t="n"/>
      <c r="H128" s="298" t="n"/>
      <c r="I128" s="298" t="n"/>
      <c r="J128" s="298" t="n"/>
      <c r="K128" s="298" t="n"/>
      <c r="L128" s="298" t="n"/>
      <c r="M128" s="298" t="n"/>
      <c r="N128" s="298" t="n"/>
      <c r="O128" s="299" t="n"/>
    </row>
    <row r="129" ht="44" customHeight="1">
      <c r="A129" s="301" t="inlineStr">
        <is>
          <t>Model read</t>
        </is>
      </c>
      <c r="B129" s="302" t="n"/>
      <c r="C129" s="298" t="n"/>
      <c r="D129" s="298" t="n"/>
      <c r="E129" s="298" t="n"/>
      <c r="F129" s="298" t="n"/>
      <c r="G129" s="298" t="n"/>
      <c r="H129" s="298" t="n"/>
      <c r="I129" s="298" t="n"/>
      <c r="J129" s="298" t="n"/>
      <c r="K129" s="298" t="n"/>
      <c r="L129" s="298" t="n"/>
      <c r="M129" s="298" t="n"/>
      <c r="N129" s="298" t="n"/>
      <c r="O129" s="299" t="n"/>
    </row>
    <row r="130" ht="58" customHeight="1">
      <c r="A130" s="303" t="inlineStr">
        <is>
          <t>What changed</t>
        </is>
      </c>
      <c r="B130" s="304" t="n"/>
      <c r="C130" s="298" t="n"/>
      <c r="D130" s="298" t="n"/>
      <c r="E130" s="298" t="n"/>
      <c r="F130" s="298" t="n"/>
      <c r="G130" s="298" t="n"/>
      <c r="H130" s="298" t="n"/>
      <c r="I130" s="298" t="n"/>
      <c r="J130" s="298" t="n"/>
      <c r="K130" s="298" t="n"/>
      <c r="L130" s="298" t="n"/>
      <c r="M130" s="298" t="n"/>
      <c r="N130" s="298" t="n"/>
      <c r="O130" s="299" t="n"/>
    </row>
    <row r="131" ht="30" customHeight="1">
      <c r="A131" s="301" t="inlineStr">
        <is>
          <t>Watch next</t>
        </is>
      </c>
      <c r="B131" s="302" t="n"/>
      <c r="C131" s="298" t="n"/>
      <c r="D131" s="298" t="n"/>
      <c r="E131" s="298" t="n"/>
      <c r="F131" s="298" t="n"/>
      <c r="G131" s="298" t="n"/>
      <c r="H131" s="298" t="n"/>
      <c r="I131" s="298" t="n"/>
      <c r="J131" s="298" t="n"/>
      <c r="K131" s="298" t="n"/>
      <c r="L131" s="298" t="n"/>
      <c r="M131" s="298" t="n"/>
      <c r="N131" s="298" t="n"/>
      <c r="O131" s="299" t="n"/>
    </row>
    <row r="132" ht="30" customHeight="1">
      <c r="A132" s="303" t="inlineStr">
        <is>
          <t>Key caveat</t>
        </is>
      </c>
      <c r="B132" s="304" t="n"/>
      <c r="C132" s="298" t="n"/>
      <c r="D132" s="298" t="n"/>
      <c r="E132" s="298" t="n"/>
      <c r="F132" s="298" t="n"/>
      <c r="G132" s="298" t="n"/>
      <c r="H132" s="298" t="n"/>
      <c r="I132" s="298" t="n"/>
      <c r="J132" s="298" t="n"/>
      <c r="K132" s="298" t="n"/>
      <c r="L132" s="298" t="n"/>
      <c r="M132" s="298" t="n"/>
      <c r="N132" s="298" t="n"/>
      <c r="O132" s="299" t="n"/>
    </row>
    <row r="133" ht="10" customHeight="1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</row>
    <row r="134" ht="25" customHeight="1">
      <c r="A134" s="300" t="inlineStr">
        <is>
          <t>Key developments</t>
        </is>
      </c>
      <c r="B134" s="298" t="n"/>
      <c r="C134" s="298" t="n"/>
      <c r="D134" s="298" t="n"/>
      <c r="E134" s="298" t="n"/>
      <c r="F134" s="298" t="n"/>
      <c r="G134" s="298" t="n"/>
      <c r="H134" s="298" t="n"/>
      <c r="I134" s="298" t="n"/>
      <c r="J134" s="298" t="n"/>
      <c r="K134" s="298" t="n"/>
      <c r="L134" s="298" t="n"/>
      <c r="M134" s="298" t="n"/>
      <c r="N134" s="298" t="n"/>
      <c r="O134" s="299" t="n"/>
    </row>
    <row r="135" ht="26" customHeight="1">
      <c r="A135" s="306" t="inlineStr">
        <is>
          <t>Theme</t>
        </is>
      </c>
      <c r="B135" s="299" t="n"/>
      <c r="C135" s="306" t="inlineStr">
        <is>
          <t>What happened</t>
        </is>
      </c>
      <c r="D135" s="298" t="n"/>
      <c r="E135" s="299" t="n"/>
      <c r="F135" s="306" t="inlineStr">
        <is>
          <t>Why it matters</t>
        </is>
      </c>
      <c r="G135" s="299" t="n"/>
      <c r="H135" s="306" t="inlineStr">
        <is>
          <t>Model / valuation implication</t>
        </is>
      </c>
      <c r="I135" s="298" t="n"/>
      <c r="J135" s="298" t="n"/>
      <c r="K135" s="298" t="n"/>
      <c r="L135" s="299" t="n"/>
      <c r="M135" s="306" t="inlineStr">
        <is>
          <t>Source / confidence</t>
        </is>
      </c>
      <c r="N135" s="298" t="n"/>
      <c r="O135" s="299" t="n"/>
    </row>
    <row r="136" ht="62" customHeight="1">
      <c r="A136" s="302" t="inlineStr">
        <is>
          <t>[Quarter note theme slot 136]</t>
        </is>
      </c>
      <c r="B136" s="299" t="n"/>
      <c r="C136" s="302" t="n"/>
      <c r="D136" s="298" t="n"/>
      <c r="E136" s="299" t="n"/>
      <c r="F136" s="302" t="n"/>
      <c r="G136" s="299" t="n"/>
      <c r="H136" s="302" t="n"/>
      <c r="I136" s="298" t="n"/>
      <c r="J136" s="298" t="n"/>
      <c r="K136" s="298" t="n"/>
      <c r="L136" s="299" t="n"/>
      <c r="M136" s="302" t="n"/>
      <c r="N136" s="298" t="n"/>
      <c r="O136" s="299" t="n"/>
    </row>
    <row r="137" ht="48" customHeight="1">
      <c r="A137" s="304" t="inlineStr">
        <is>
          <t>[Quarter note theme slot 137]</t>
        </is>
      </c>
      <c r="B137" s="299" t="n"/>
      <c r="C137" s="304" t="n"/>
      <c r="D137" s="298" t="n"/>
      <c r="E137" s="299" t="n"/>
      <c r="F137" s="304" t="n"/>
      <c r="G137" s="299" t="n"/>
      <c r="H137" s="304" t="n"/>
      <c r="I137" s="298" t="n"/>
      <c r="J137" s="298" t="n"/>
      <c r="K137" s="298" t="n"/>
      <c r="L137" s="299" t="n"/>
      <c r="M137" s="304" t="n"/>
      <c r="N137" s="298" t="n"/>
      <c r="O137" s="299" t="n"/>
    </row>
    <row r="138" ht="48" customHeight="1">
      <c r="A138" s="302" t="inlineStr">
        <is>
          <t>[Quarter note theme slot 138]</t>
        </is>
      </c>
      <c r="B138" s="299" t="n"/>
      <c r="C138" s="302" t="n"/>
      <c r="D138" s="298" t="n"/>
      <c r="E138" s="299" t="n"/>
      <c r="F138" s="302" t="n"/>
      <c r="G138" s="299" t="n"/>
      <c r="H138" s="302" t="n"/>
      <c r="I138" s="298" t="n"/>
      <c r="J138" s="298" t="n"/>
      <c r="K138" s="298" t="n"/>
      <c r="L138" s="299" t="n"/>
      <c r="M138" s="302" t="n"/>
      <c r="N138" s="298" t="n"/>
      <c r="O138" s="299" t="n"/>
    </row>
    <row r="139" ht="62" customHeight="1">
      <c r="A139" s="304" t="inlineStr">
        <is>
          <t>[Quarter note theme slot 139]</t>
        </is>
      </c>
      <c r="B139" s="299" t="n"/>
      <c r="C139" s="304" t="n"/>
      <c r="D139" s="298" t="n"/>
      <c r="E139" s="299" t="n"/>
      <c r="F139" s="304" t="n"/>
      <c r="G139" s="299" t="n"/>
      <c r="H139" s="304" t="n"/>
      <c r="I139" s="298" t="n"/>
      <c r="J139" s="298" t="n"/>
      <c r="K139" s="298" t="n"/>
      <c r="L139" s="299" t="n"/>
      <c r="M139" s="304" t="n"/>
      <c r="N139" s="298" t="n"/>
      <c r="O139" s="299" t="n"/>
    </row>
    <row r="140" ht="48" customHeight="1">
      <c r="A140" s="302" t="inlineStr">
        <is>
          <t>[Quarter note theme slot 140]</t>
        </is>
      </c>
      <c r="B140" s="299" t="n"/>
      <c r="C140" s="302" t="n"/>
      <c r="D140" s="298" t="n"/>
      <c r="E140" s="299" t="n"/>
      <c r="F140" s="302" t="n"/>
      <c r="G140" s="299" t="n"/>
      <c r="H140" s="302" t="n"/>
      <c r="I140" s="298" t="n"/>
      <c r="J140" s="298" t="n"/>
      <c r="K140" s="298" t="n"/>
      <c r="L140" s="299" t="n"/>
      <c r="M140" s="302" t="n"/>
      <c r="N140" s="298" t="n"/>
      <c r="O140" s="299" t="n"/>
    </row>
    <row r="141" ht="48" customHeight="1">
      <c r="A141" s="304" t="inlineStr">
        <is>
          <t>[Quarter note theme slot 141]</t>
        </is>
      </c>
      <c r="B141" s="299" t="n"/>
      <c r="C141" s="304" t="n"/>
      <c r="D141" s="298" t="n"/>
      <c r="E141" s="299" t="n"/>
      <c r="F141" s="304" t="n"/>
      <c r="G141" s="299" t="n"/>
      <c r="H141" s="304" t="n"/>
      <c r="I141" s="298" t="n"/>
      <c r="J141" s="298" t="n"/>
      <c r="K141" s="298" t="n"/>
      <c r="L141" s="299" t="n"/>
      <c r="M141" s="304" t="n"/>
      <c r="N141" s="298" t="n"/>
      <c r="O141" s="299" t="n"/>
    </row>
    <row r="142" ht="10" customHeight="1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</row>
    <row r="143" ht="25" customHeight="1">
      <c r="A143" s="300" t="inlineStr">
        <is>
          <t>Guidance / Promise interpretation</t>
        </is>
      </c>
      <c r="B143" s="298" t="n"/>
      <c r="C143" s="298" t="n"/>
      <c r="D143" s="298" t="n"/>
      <c r="E143" s="298" t="n"/>
      <c r="F143" s="298" t="n"/>
      <c r="G143" s="298" t="n"/>
      <c r="H143" s="298" t="n"/>
      <c r="I143" s="298" t="n"/>
      <c r="J143" s="298" t="n"/>
      <c r="K143" s="298" t="n"/>
      <c r="L143" s="298" t="n"/>
      <c r="M143" s="298" t="n"/>
      <c r="N143" s="298" t="n"/>
      <c r="O143" s="299" t="n"/>
    </row>
    <row r="144" ht="26" customHeight="1">
      <c r="A144" s="306" t="inlineStr">
        <is>
          <t>Promise / guidance item</t>
        </is>
      </c>
      <c r="B144" s="299" t="n"/>
      <c r="C144" s="306" t="inlineStr">
        <is>
          <t>Read</t>
        </is>
      </c>
      <c r="D144" s="298" t="n"/>
      <c r="E144" s="299" t="n"/>
      <c r="F144" s="306" t="inlineStr">
        <is>
          <t>Actual / progress interpretation</t>
        </is>
      </c>
      <c r="G144" s="298" t="n"/>
      <c r="H144" s="299" t="n"/>
      <c r="I144" s="306" t="inlineStr">
        <is>
          <t>Status / caveat</t>
        </is>
      </c>
      <c r="J144" s="298" t="n"/>
      <c r="K144" s="298" t="n"/>
      <c r="L144" s="299" t="n"/>
      <c r="M144" s="306" t="inlineStr">
        <is>
          <t>Source</t>
        </is>
      </c>
      <c r="N144" s="298" t="n"/>
      <c r="O144" s="299" t="n"/>
    </row>
    <row r="145" ht="48" customHeight="1">
      <c r="A145" s="302" t="inlineStr">
        <is>
          <t>[Quarter note theme slot 145]</t>
        </is>
      </c>
      <c r="B145" s="299" t="n"/>
      <c r="C145" s="302" t="n"/>
      <c r="D145" s="298" t="n"/>
      <c r="E145" s="299" t="n"/>
      <c r="F145" s="302" t="n"/>
      <c r="G145" s="298" t="n"/>
      <c r="H145" s="299" t="n"/>
      <c r="I145" s="302" t="n"/>
      <c r="J145" s="298" t="n"/>
      <c r="K145" s="298" t="n"/>
      <c r="L145" s="299" t="n"/>
      <c r="M145" s="302" t="n"/>
      <c r="N145" s="298" t="n"/>
      <c r="O145" s="299" t="n"/>
    </row>
    <row r="146" ht="34" customHeight="1">
      <c r="A146" s="304" t="inlineStr">
        <is>
          <t>[Quarter note theme slot 146]</t>
        </is>
      </c>
      <c r="B146" s="299" t="n"/>
      <c r="C146" s="304" t="n"/>
      <c r="D146" s="298" t="n"/>
      <c r="E146" s="299" t="n"/>
      <c r="F146" s="304" t="n"/>
      <c r="G146" s="298" t="n"/>
      <c r="H146" s="299" t="n"/>
      <c r="I146" s="304" t="n"/>
      <c r="J146" s="298" t="n"/>
      <c r="K146" s="298" t="n"/>
      <c r="L146" s="299" t="n"/>
      <c r="M146" s="304" t="n"/>
      <c r="N146" s="298" t="n"/>
      <c r="O146" s="299" t="n"/>
    </row>
    <row r="147" ht="34" customHeight="1">
      <c r="A147" s="302" t="inlineStr">
        <is>
          <t>[Quarter note theme slot 147]</t>
        </is>
      </c>
      <c r="B147" s="299" t="n"/>
      <c r="C147" s="302" t="n"/>
      <c r="D147" s="298" t="n"/>
      <c r="E147" s="299" t="n"/>
      <c r="F147" s="302" t="n"/>
      <c r="G147" s="298" t="n"/>
      <c r="H147" s="299" t="n"/>
      <c r="I147" s="302" t="n"/>
      <c r="J147" s="298" t="n"/>
      <c r="K147" s="298" t="n"/>
      <c r="L147" s="299" t="n"/>
      <c r="M147" s="302" t="n"/>
      <c r="N147" s="298" t="n"/>
      <c r="O147" s="299" t="n"/>
    </row>
    <row r="148" ht="10" customHeight="1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</row>
    <row r="149" ht="25" customHeight="1">
      <c r="A149" s="300" t="inlineStr">
        <is>
          <t>Model mapping / double-count guardrails</t>
        </is>
      </c>
      <c r="B149" s="298" t="n"/>
      <c r="C149" s="298" t="n"/>
      <c r="D149" s="298" t="n"/>
      <c r="E149" s="298" t="n"/>
      <c r="F149" s="298" t="n"/>
      <c r="G149" s="298" t="n"/>
      <c r="H149" s="298" t="n"/>
      <c r="I149" s="298" t="n"/>
      <c r="J149" s="298" t="n"/>
      <c r="K149" s="298" t="n"/>
      <c r="L149" s="298" t="n"/>
      <c r="M149" s="298" t="n"/>
      <c r="N149" s="298" t="n"/>
      <c r="O149" s="299" t="n"/>
    </row>
    <row r="150" ht="26" customHeight="1">
      <c r="A150" s="306" t="inlineStr">
        <is>
          <t>Driver</t>
        </is>
      </c>
      <c r="B150" s="299" t="n"/>
      <c r="C150" s="306" t="inlineStr">
        <is>
          <t>Model treatment</t>
        </is>
      </c>
      <c r="D150" s="298" t="n"/>
      <c r="E150" s="298" t="n"/>
      <c r="F150" s="299" t="n"/>
      <c r="G150" s="306" t="inlineStr">
        <is>
          <t>Double-count guardrail</t>
        </is>
      </c>
      <c r="H150" s="298" t="n"/>
      <c r="I150" s="298" t="n"/>
      <c r="J150" s="298" t="n"/>
      <c r="K150" s="298" t="n"/>
      <c r="L150" s="299" t="n"/>
      <c r="M150" s="306" t="inlineStr">
        <is>
          <t>Linked sheet / metric</t>
        </is>
      </c>
      <c r="N150" s="298" t="n"/>
      <c r="O150" s="299" t="n"/>
    </row>
    <row r="151" ht="34" customHeight="1">
      <c r="A151" s="302" t="inlineStr">
        <is>
          <t>[Quarter note theme slot 151]</t>
        </is>
      </c>
      <c r="B151" s="299" t="n"/>
      <c r="C151" s="302" t="n"/>
      <c r="D151" s="298" t="n"/>
      <c r="E151" s="298" t="n"/>
      <c r="F151" s="299" t="n"/>
      <c r="G151" s="302" t="n"/>
      <c r="H151" s="298" t="n"/>
      <c r="I151" s="298" t="n"/>
      <c r="J151" s="298" t="n"/>
      <c r="K151" s="298" t="n"/>
      <c r="L151" s="299" t="n"/>
      <c r="M151" s="302" t="n"/>
      <c r="N151" s="298" t="n"/>
      <c r="O151" s="299" t="n"/>
    </row>
    <row r="152" ht="48" customHeight="1">
      <c r="A152" s="304" t="inlineStr">
        <is>
          <t>[Quarter note theme slot 152]</t>
        </is>
      </c>
      <c r="B152" s="299" t="n"/>
      <c r="C152" s="304" t="n"/>
      <c r="D152" s="298" t="n"/>
      <c r="E152" s="298" t="n"/>
      <c r="F152" s="299" t="n"/>
      <c r="G152" s="304" t="n"/>
      <c r="H152" s="298" t="n"/>
      <c r="I152" s="298" t="n"/>
      <c r="J152" s="298" t="n"/>
      <c r="K152" s="298" t="n"/>
      <c r="L152" s="299" t="n"/>
      <c r="M152" s="304" t="n"/>
      <c r="N152" s="298" t="n"/>
      <c r="O152" s="299" t="n"/>
    </row>
    <row r="153" ht="34" customHeight="1">
      <c r="A153" s="302" t="inlineStr">
        <is>
          <t>[Quarter note theme slot 153]</t>
        </is>
      </c>
      <c r="B153" s="299" t="n"/>
      <c r="C153" s="302" t="n"/>
      <c r="D153" s="298" t="n"/>
      <c r="E153" s="298" t="n"/>
      <c r="F153" s="299" t="n"/>
      <c r="G153" s="302" t="n"/>
      <c r="H153" s="298" t="n"/>
      <c r="I153" s="298" t="n"/>
      <c r="J153" s="298" t="n"/>
      <c r="K153" s="298" t="n"/>
      <c r="L153" s="299" t="n"/>
      <c r="M153" s="302" t="n"/>
      <c r="N153" s="298" t="n"/>
      <c r="O153" s="299" t="n"/>
    </row>
    <row r="154" ht="48" customHeight="1">
      <c r="A154" s="304" t="inlineStr">
        <is>
          <t>[Quarter note theme slot 154]</t>
        </is>
      </c>
      <c r="B154" s="299" t="n"/>
      <c r="C154" s="304" t="n"/>
      <c r="D154" s="298" t="n"/>
      <c r="E154" s="298" t="n"/>
      <c r="F154" s="299" t="n"/>
      <c r="G154" s="304" t="n"/>
      <c r="H154" s="298" t="n"/>
      <c r="I154" s="298" t="n"/>
      <c r="J154" s="298" t="n"/>
      <c r="K154" s="298" t="n"/>
      <c r="L154" s="299" t="n"/>
      <c r="M154" s="304" t="n"/>
      <c r="N154" s="298" t="n"/>
      <c r="O154" s="299" t="n"/>
    </row>
    <row r="155" ht="48" customHeight="1">
      <c r="A155" s="302" t="inlineStr">
        <is>
          <t>[Quarter note theme slot 155]</t>
        </is>
      </c>
      <c r="B155" s="299" t="n"/>
      <c r="C155" s="302" t="n"/>
      <c r="D155" s="298" t="n"/>
      <c r="E155" s="298" t="n"/>
      <c r="F155" s="299" t="n"/>
      <c r="G155" s="302" t="n"/>
      <c r="H155" s="298" t="n"/>
      <c r="I155" s="298" t="n"/>
      <c r="J155" s="298" t="n"/>
      <c r="K155" s="298" t="n"/>
      <c r="L155" s="299" t="n"/>
      <c r="M155" s="302" t="n"/>
      <c r="N155" s="298" t="n"/>
      <c r="O155" s="299" t="n"/>
    </row>
    <row r="156" ht="34" customHeight="1">
      <c r="A156" s="304" t="inlineStr">
        <is>
          <t>[Quarter note theme slot 156]</t>
        </is>
      </c>
      <c r="B156" s="299" t="n"/>
      <c r="C156" s="304" t="n"/>
      <c r="D156" s="298" t="n"/>
      <c r="E156" s="298" t="n"/>
      <c r="F156" s="299" t="n"/>
      <c r="G156" s="304" t="n"/>
      <c r="H156" s="298" t="n"/>
      <c r="I156" s="298" t="n"/>
      <c r="J156" s="298" t="n"/>
      <c r="K156" s="298" t="n"/>
      <c r="L156" s="299" t="n"/>
      <c r="M156" s="304" t="n"/>
      <c r="N156" s="298" t="n"/>
      <c r="O156" s="299" t="n"/>
    </row>
    <row r="157" ht="24" customHeight="1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</row>
    <row r="158" ht="24" customHeight="1">
      <c r="A158" s="297" t="inlineStr">
        <is>
          <t>[Historical quarter block 5]</t>
        </is>
      </c>
      <c r="B158" s="298" t="n"/>
      <c r="C158" s="298" t="n"/>
      <c r="D158" s="298" t="n"/>
      <c r="E158" s="298" t="n"/>
      <c r="F158" s="298" t="n"/>
      <c r="G158" s="298" t="n"/>
      <c r="H158" s="298" t="n"/>
      <c r="I158" s="298" t="n"/>
      <c r="J158" s="298" t="n"/>
      <c r="K158" s="298" t="n"/>
      <c r="L158" s="298" t="n"/>
      <c r="M158" s="298" t="n"/>
      <c r="N158" s="298" t="n"/>
      <c r="O158" s="299" t="n"/>
    </row>
    <row r="159" ht="25" customHeight="1">
      <c r="A159" s="300" t="inlineStr">
        <is>
          <t>Quarter read</t>
        </is>
      </c>
      <c r="B159" s="298" t="n"/>
      <c r="C159" s="298" t="n"/>
      <c r="D159" s="298" t="n"/>
      <c r="E159" s="298" t="n"/>
      <c r="F159" s="298" t="n"/>
      <c r="G159" s="298" t="n"/>
      <c r="H159" s="298" t="n"/>
      <c r="I159" s="298" t="n"/>
      <c r="J159" s="298" t="n"/>
      <c r="K159" s="298" t="n"/>
      <c r="L159" s="298" t="n"/>
      <c r="M159" s="298" t="n"/>
      <c r="N159" s="298" t="n"/>
      <c r="O159" s="299" t="n"/>
    </row>
    <row r="160" ht="58" customHeight="1">
      <c r="A160" s="301" t="inlineStr">
        <is>
          <t>Model read</t>
        </is>
      </c>
      <c r="B160" s="302" t="n"/>
      <c r="C160" s="298" t="n"/>
      <c r="D160" s="298" t="n"/>
      <c r="E160" s="298" t="n"/>
      <c r="F160" s="298" t="n"/>
      <c r="G160" s="298" t="n"/>
      <c r="H160" s="298" t="n"/>
      <c r="I160" s="298" t="n"/>
      <c r="J160" s="298" t="n"/>
      <c r="K160" s="298" t="n"/>
      <c r="L160" s="298" t="n"/>
      <c r="M160" s="298" t="n"/>
      <c r="N160" s="298" t="n"/>
      <c r="O160" s="299" t="n"/>
    </row>
    <row r="161" ht="44" customHeight="1">
      <c r="A161" s="303" t="inlineStr">
        <is>
          <t>What changed</t>
        </is>
      </c>
      <c r="B161" s="304" t="n"/>
      <c r="C161" s="298" t="n"/>
      <c r="D161" s="298" t="n"/>
      <c r="E161" s="298" t="n"/>
      <c r="F161" s="298" t="n"/>
      <c r="G161" s="298" t="n"/>
      <c r="H161" s="298" t="n"/>
      <c r="I161" s="298" t="n"/>
      <c r="J161" s="298" t="n"/>
      <c r="K161" s="298" t="n"/>
      <c r="L161" s="298" t="n"/>
      <c r="M161" s="298" t="n"/>
      <c r="N161" s="298" t="n"/>
      <c r="O161" s="299" t="n"/>
    </row>
    <row r="162" ht="30" customHeight="1">
      <c r="A162" s="301" t="inlineStr">
        <is>
          <t>Watch next</t>
        </is>
      </c>
      <c r="B162" s="302" t="n"/>
      <c r="C162" s="298" t="n"/>
      <c r="D162" s="298" t="n"/>
      <c r="E162" s="298" t="n"/>
      <c r="F162" s="298" t="n"/>
      <c r="G162" s="298" t="n"/>
      <c r="H162" s="298" t="n"/>
      <c r="I162" s="298" t="n"/>
      <c r="J162" s="298" t="n"/>
      <c r="K162" s="298" t="n"/>
      <c r="L162" s="298" t="n"/>
      <c r="M162" s="298" t="n"/>
      <c r="N162" s="298" t="n"/>
      <c r="O162" s="299" t="n"/>
    </row>
    <row r="163" ht="44" customHeight="1">
      <c r="A163" s="303" t="inlineStr">
        <is>
          <t>Key caveat</t>
        </is>
      </c>
      <c r="B163" s="304" t="n"/>
      <c r="C163" s="298" t="n"/>
      <c r="D163" s="298" t="n"/>
      <c r="E163" s="298" t="n"/>
      <c r="F163" s="298" t="n"/>
      <c r="G163" s="298" t="n"/>
      <c r="H163" s="298" t="n"/>
      <c r="I163" s="298" t="n"/>
      <c r="J163" s="298" t="n"/>
      <c r="K163" s="298" t="n"/>
      <c r="L163" s="298" t="n"/>
      <c r="M163" s="298" t="n"/>
      <c r="N163" s="298" t="n"/>
      <c r="O163" s="299" t="n"/>
    </row>
    <row r="164" ht="10" customHeight="1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</row>
    <row r="165" ht="25" customHeight="1">
      <c r="A165" s="300" t="inlineStr">
        <is>
          <t>Key developments</t>
        </is>
      </c>
      <c r="B165" s="298" t="n"/>
      <c r="C165" s="298" t="n"/>
      <c r="D165" s="298" t="n"/>
      <c r="E165" s="298" t="n"/>
      <c r="F165" s="298" t="n"/>
      <c r="G165" s="298" t="n"/>
      <c r="H165" s="298" t="n"/>
      <c r="I165" s="298" t="n"/>
      <c r="J165" s="298" t="n"/>
      <c r="K165" s="298" t="n"/>
      <c r="L165" s="298" t="n"/>
      <c r="M165" s="298" t="n"/>
      <c r="N165" s="298" t="n"/>
      <c r="O165" s="299" t="n"/>
    </row>
    <row r="166" ht="26" customHeight="1">
      <c r="A166" s="306" t="inlineStr">
        <is>
          <t>Theme</t>
        </is>
      </c>
      <c r="B166" s="299" t="n"/>
      <c r="C166" s="306" t="inlineStr">
        <is>
          <t>What happened</t>
        </is>
      </c>
      <c r="D166" s="298" t="n"/>
      <c r="E166" s="299" t="n"/>
      <c r="F166" s="306" t="inlineStr">
        <is>
          <t>Why it matters</t>
        </is>
      </c>
      <c r="G166" s="299" t="n"/>
      <c r="H166" s="306" t="inlineStr">
        <is>
          <t>Model / valuation implication</t>
        </is>
      </c>
      <c r="I166" s="298" t="n"/>
      <c r="J166" s="298" t="n"/>
      <c r="K166" s="298" t="n"/>
      <c r="L166" s="299" t="n"/>
      <c r="M166" s="306" t="inlineStr">
        <is>
          <t>Source / confidence</t>
        </is>
      </c>
      <c r="N166" s="298" t="n"/>
      <c r="O166" s="299" t="n"/>
    </row>
    <row r="167" ht="48" customHeight="1">
      <c r="A167" s="302" t="inlineStr">
        <is>
          <t>[Quarter note theme slot 167]</t>
        </is>
      </c>
      <c r="B167" s="299" t="n"/>
      <c r="C167" s="302" t="n"/>
      <c r="D167" s="298" t="n"/>
      <c r="E167" s="299" t="n"/>
      <c r="F167" s="302" t="n"/>
      <c r="G167" s="299" t="n"/>
      <c r="H167" s="302" t="n"/>
      <c r="I167" s="298" t="n"/>
      <c r="J167" s="298" t="n"/>
      <c r="K167" s="298" t="n"/>
      <c r="L167" s="299" t="n"/>
      <c r="M167" s="302" t="n"/>
      <c r="N167" s="298" t="n"/>
      <c r="O167" s="299" t="n"/>
    </row>
    <row r="168" ht="48" customHeight="1">
      <c r="A168" s="304" t="inlineStr">
        <is>
          <t>[Quarter note theme slot 168]</t>
        </is>
      </c>
      <c r="B168" s="299" t="n"/>
      <c r="C168" s="304" t="n"/>
      <c r="D168" s="298" t="n"/>
      <c r="E168" s="299" t="n"/>
      <c r="F168" s="304" t="n"/>
      <c r="G168" s="299" t="n"/>
      <c r="H168" s="304" t="n"/>
      <c r="I168" s="298" t="n"/>
      <c r="J168" s="298" t="n"/>
      <c r="K168" s="298" t="n"/>
      <c r="L168" s="299" t="n"/>
      <c r="M168" s="304" t="n"/>
      <c r="N168" s="298" t="n"/>
      <c r="O168" s="299" t="n"/>
    </row>
    <row r="169" ht="48" customHeight="1">
      <c r="A169" s="302" t="inlineStr">
        <is>
          <t>[Quarter note theme slot 169]</t>
        </is>
      </c>
      <c r="B169" s="299" t="n"/>
      <c r="C169" s="302" t="n"/>
      <c r="D169" s="298" t="n"/>
      <c r="E169" s="299" t="n"/>
      <c r="F169" s="302" t="n"/>
      <c r="G169" s="299" t="n"/>
      <c r="H169" s="302" t="n"/>
      <c r="I169" s="298" t="n"/>
      <c r="J169" s="298" t="n"/>
      <c r="K169" s="298" t="n"/>
      <c r="L169" s="299" t="n"/>
      <c r="M169" s="302" t="n"/>
      <c r="N169" s="298" t="n"/>
      <c r="O169" s="299" t="n"/>
    </row>
    <row r="170" ht="48" customHeight="1">
      <c r="A170" s="304" t="inlineStr">
        <is>
          <t>[Quarter note theme slot 170]</t>
        </is>
      </c>
      <c r="B170" s="299" t="n"/>
      <c r="C170" s="304" t="n"/>
      <c r="D170" s="298" t="n"/>
      <c r="E170" s="299" t="n"/>
      <c r="F170" s="304" t="n"/>
      <c r="G170" s="299" t="n"/>
      <c r="H170" s="304" t="n"/>
      <c r="I170" s="298" t="n"/>
      <c r="J170" s="298" t="n"/>
      <c r="K170" s="298" t="n"/>
      <c r="L170" s="299" t="n"/>
      <c r="M170" s="304" t="n"/>
      <c r="N170" s="298" t="n"/>
      <c r="O170" s="299" t="n"/>
    </row>
    <row r="171" ht="48" customHeight="1">
      <c r="A171" s="302" t="inlineStr">
        <is>
          <t>[Quarter note theme slot 171]</t>
        </is>
      </c>
      <c r="B171" s="299" t="n"/>
      <c r="C171" s="302" t="n"/>
      <c r="D171" s="298" t="n"/>
      <c r="E171" s="299" t="n"/>
      <c r="F171" s="302" t="n"/>
      <c r="G171" s="299" t="n"/>
      <c r="H171" s="302" t="n"/>
      <c r="I171" s="298" t="n"/>
      <c r="J171" s="298" t="n"/>
      <c r="K171" s="298" t="n"/>
      <c r="L171" s="299" t="n"/>
      <c r="M171" s="302" t="n"/>
      <c r="N171" s="298" t="n"/>
      <c r="O171" s="299" t="n"/>
    </row>
    <row r="172" ht="48" customHeight="1">
      <c r="A172" s="304" t="inlineStr">
        <is>
          <t>[Quarter note theme slot 172]</t>
        </is>
      </c>
      <c r="B172" s="299" t="n"/>
      <c r="C172" s="304" t="n"/>
      <c r="D172" s="298" t="n"/>
      <c r="E172" s="299" t="n"/>
      <c r="F172" s="304" t="n"/>
      <c r="G172" s="299" t="n"/>
      <c r="H172" s="304" t="n"/>
      <c r="I172" s="298" t="n"/>
      <c r="J172" s="298" t="n"/>
      <c r="K172" s="298" t="n"/>
      <c r="L172" s="299" t="n"/>
      <c r="M172" s="304" t="n"/>
      <c r="N172" s="298" t="n"/>
      <c r="O172" s="299" t="n"/>
    </row>
    <row r="173" ht="10" customHeight="1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</row>
    <row r="174" ht="25" customHeight="1">
      <c r="A174" s="300" t="inlineStr">
        <is>
          <t>Guidance / Promise interpretation</t>
        </is>
      </c>
      <c r="B174" s="298" t="n"/>
      <c r="C174" s="298" t="n"/>
      <c r="D174" s="298" t="n"/>
      <c r="E174" s="298" t="n"/>
      <c r="F174" s="298" t="n"/>
      <c r="G174" s="298" t="n"/>
      <c r="H174" s="298" t="n"/>
      <c r="I174" s="298" t="n"/>
      <c r="J174" s="298" t="n"/>
      <c r="K174" s="298" t="n"/>
      <c r="L174" s="298" t="n"/>
      <c r="M174" s="298" t="n"/>
      <c r="N174" s="298" t="n"/>
      <c r="O174" s="299" t="n"/>
    </row>
    <row r="175" ht="26" customHeight="1">
      <c r="A175" s="306" t="inlineStr">
        <is>
          <t>Promise / guidance item</t>
        </is>
      </c>
      <c r="B175" s="299" t="n"/>
      <c r="C175" s="306" t="inlineStr">
        <is>
          <t>Read</t>
        </is>
      </c>
      <c r="D175" s="298" t="n"/>
      <c r="E175" s="299" t="n"/>
      <c r="F175" s="306" t="inlineStr">
        <is>
          <t>Actual / progress interpretation</t>
        </is>
      </c>
      <c r="G175" s="298" t="n"/>
      <c r="H175" s="299" t="n"/>
      <c r="I175" s="306" t="inlineStr">
        <is>
          <t>Status / caveat</t>
        </is>
      </c>
      <c r="J175" s="298" t="n"/>
      <c r="K175" s="298" t="n"/>
      <c r="L175" s="299" t="n"/>
      <c r="M175" s="306" t="inlineStr">
        <is>
          <t>Source</t>
        </is>
      </c>
      <c r="N175" s="298" t="n"/>
      <c r="O175" s="299" t="n"/>
    </row>
    <row r="176" ht="48" customHeight="1">
      <c r="A176" s="302" t="inlineStr">
        <is>
          <t>[Quarter note theme slot 176]</t>
        </is>
      </c>
      <c r="B176" s="299" t="n"/>
      <c r="C176" s="302" t="n"/>
      <c r="D176" s="298" t="n"/>
      <c r="E176" s="299" t="n"/>
      <c r="F176" s="302" t="n"/>
      <c r="G176" s="298" t="n"/>
      <c r="H176" s="299" t="n"/>
      <c r="I176" s="302" t="n"/>
      <c r="J176" s="298" t="n"/>
      <c r="K176" s="298" t="n"/>
      <c r="L176" s="299" t="n"/>
      <c r="M176" s="302" t="n"/>
      <c r="N176" s="298" t="n"/>
      <c r="O176" s="299" t="n"/>
    </row>
    <row r="177" ht="34" customHeight="1">
      <c r="A177" s="304" t="inlineStr">
        <is>
          <t>[Quarter note theme slot 177]</t>
        </is>
      </c>
      <c r="B177" s="299" t="n"/>
      <c r="C177" s="304" t="n"/>
      <c r="D177" s="298" t="n"/>
      <c r="E177" s="299" t="n"/>
      <c r="F177" s="304" t="n"/>
      <c r="G177" s="298" t="n"/>
      <c r="H177" s="299" t="n"/>
      <c r="I177" s="304" t="n"/>
      <c r="J177" s="298" t="n"/>
      <c r="K177" s="298" t="n"/>
      <c r="L177" s="299" t="n"/>
      <c r="M177" s="304" t="n"/>
      <c r="N177" s="298" t="n"/>
      <c r="O177" s="299" t="n"/>
    </row>
    <row r="178" ht="34" customHeight="1">
      <c r="A178" s="302" t="inlineStr">
        <is>
          <t>[Quarter note theme slot 178]</t>
        </is>
      </c>
      <c r="B178" s="299" t="n"/>
      <c r="C178" s="302" t="n"/>
      <c r="D178" s="298" t="n"/>
      <c r="E178" s="299" t="n"/>
      <c r="F178" s="302" t="n"/>
      <c r="G178" s="298" t="n"/>
      <c r="H178" s="299" t="n"/>
      <c r="I178" s="302" t="n"/>
      <c r="J178" s="298" t="n"/>
      <c r="K178" s="298" t="n"/>
      <c r="L178" s="299" t="n"/>
      <c r="M178" s="302" t="n"/>
      <c r="N178" s="298" t="n"/>
      <c r="O178" s="299" t="n"/>
    </row>
    <row r="179" ht="10" customHeight="1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</row>
    <row r="180" ht="25" customHeight="1">
      <c r="A180" s="300" t="inlineStr">
        <is>
          <t>Model mapping / double-count guardrails</t>
        </is>
      </c>
      <c r="B180" s="298" t="n"/>
      <c r="C180" s="298" t="n"/>
      <c r="D180" s="298" t="n"/>
      <c r="E180" s="298" t="n"/>
      <c r="F180" s="298" t="n"/>
      <c r="G180" s="298" t="n"/>
      <c r="H180" s="298" t="n"/>
      <c r="I180" s="298" t="n"/>
      <c r="J180" s="298" t="n"/>
      <c r="K180" s="298" t="n"/>
      <c r="L180" s="298" t="n"/>
      <c r="M180" s="298" t="n"/>
      <c r="N180" s="298" t="n"/>
      <c r="O180" s="299" t="n"/>
    </row>
    <row r="181" ht="26" customHeight="1">
      <c r="A181" s="306" t="inlineStr">
        <is>
          <t>Driver</t>
        </is>
      </c>
      <c r="B181" s="299" t="n"/>
      <c r="C181" s="306" t="inlineStr">
        <is>
          <t>Model treatment</t>
        </is>
      </c>
      <c r="D181" s="298" t="n"/>
      <c r="E181" s="298" t="n"/>
      <c r="F181" s="299" t="n"/>
      <c r="G181" s="306" t="inlineStr">
        <is>
          <t>Double-count guardrail</t>
        </is>
      </c>
      <c r="H181" s="298" t="n"/>
      <c r="I181" s="298" t="n"/>
      <c r="J181" s="298" t="n"/>
      <c r="K181" s="298" t="n"/>
      <c r="L181" s="299" t="n"/>
      <c r="M181" s="306" t="inlineStr">
        <is>
          <t>Linked sheet / metric</t>
        </is>
      </c>
      <c r="N181" s="298" t="n"/>
      <c r="O181" s="299" t="n"/>
    </row>
    <row r="182" ht="48" customHeight="1">
      <c r="A182" s="302" t="inlineStr">
        <is>
          <t>[Quarter note theme slot 182]</t>
        </is>
      </c>
      <c r="B182" s="299" t="n"/>
      <c r="C182" s="302" t="n"/>
      <c r="D182" s="298" t="n"/>
      <c r="E182" s="298" t="n"/>
      <c r="F182" s="299" t="n"/>
      <c r="G182" s="302" t="n"/>
      <c r="H182" s="298" t="n"/>
      <c r="I182" s="298" t="n"/>
      <c r="J182" s="298" t="n"/>
      <c r="K182" s="298" t="n"/>
      <c r="L182" s="299" t="n"/>
      <c r="M182" s="302" t="n"/>
      <c r="N182" s="298" t="n"/>
      <c r="O182" s="299" t="n"/>
    </row>
    <row r="183" ht="48" customHeight="1">
      <c r="A183" s="304" t="inlineStr">
        <is>
          <t>[Quarter note theme slot 183]</t>
        </is>
      </c>
      <c r="B183" s="299" t="n"/>
      <c r="C183" s="304" t="n"/>
      <c r="D183" s="298" t="n"/>
      <c r="E183" s="298" t="n"/>
      <c r="F183" s="299" t="n"/>
      <c r="G183" s="304" t="n"/>
      <c r="H183" s="298" t="n"/>
      <c r="I183" s="298" t="n"/>
      <c r="J183" s="298" t="n"/>
      <c r="K183" s="298" t="n"/>
      <c r="L183" s="299" t="n"/>
      <c r="M183" s="304" t="n"/>
      <c r="N183" s="298" t="n"/>
      <c r="O183" s="299" t="n"/>
    </row>
    <row r="184" ht="34" customHeight="1">
      <c r="A184" s="302" t="inlineStr">
        <is>
          <t>[Quarter note theme slot 184]</t>
        </is>
      </c>
      <c r="B184" s="299" t="n"/>
      <c r="C184" s="302" t="n"/>
      <c r="D184" s="298" t="n"/>
      <c r="E184" s="298" t="n"/>
      <c r="F184" s="299" t="n"/>
      <c r="G184" s="302" t="n"/>
      <c r="H184" s="298" t="n"/>
      <c r="I184" s="298" t="n"/>
      <c r="J184" s="298" t="n"/>
      <c r="K184" s="298" t="n"/>
      <c r="L184" s="299" t="n"/>
      <c r="M184" s="302" t="n"/>
      <c r="N184" s="298" t="n"/>
      <c r="O184" s="299" t="n"/>
    </row>
    <row r="185" ht="34" customHeight="1">
      <c r="A185" s="304" t="inlineStr">
        <is>
          <t>[Quarter note theme slot 185]</t>
        </is>
      </c>
      <c r="B185" s="299" t="n"/>
      <c r="C185" s="304" t="n"/>
      <c r="D185" s="298" t="n"/>
      <c r="E185" s="298" t="n"/>
      <c r="F185" s="299" t="n"/>
      <c r="G185" s="304" t="n"/>
      <c r="H185" s="298" t="n"/>
      <c r="I185" s="298" t="n"/>
      <c r="J185" s="298" t="n"/>
      <c r="K185" s="298" t="n"/>
      <c r="L185" s="299" t="n"/>
      <c r="M185" s="304" t="n"/>
      <c r="N185" s="298" t="n"/>
      <c r="O185" s="299" t="n"/>
    </row>
    <row r="186" ht="34" customHeight="1">
      <c r="A186" s="302" t="inlineStr">
        <is>
          <t>[Quarter note theme slot 186]</t>
        </is>
      </c>
      <c r="B186" s="299" t="n"/>
      <c r="C186" s="302" t="n"/>
      <c r="D186" s="298" t="n"/>
      <c r="E186" s="298" t="n"/>
      <c r="F186" s="299" t="n"/>
      <c r="G186" s="302" t="n"/>
      <c r="H186" s="298" t="n"/>
      <c r="I186" s="298" t="n"/>
      <c r="J186" s="298" t="n"/>
      <c r="K186" s="298" t="n"/>
      <c r="L186" s="299" t="n"/>
      <c r="M186" s="302" t="n"/>
      <c r="N186" s="298" t="n"/>
      <c r="O186" s="299" t="n"/>
    </row>
    <row r="187" ht="34" customHeight="1">
      <c r="A187" s="304" t="inlineStr">
        <is>
          <t>[Quarter note theme slot 187]</t>
        </is>
      </c>
      <c r="B187" s="299" t="n"/>
      <c r="C187" s="304" t="n"/>
      <c r="D187" s="298" t="n"/>
      <c r="E187" s="298" t="n"/>
      <c r="F187" s="299" t="n"/>
      <c r="G187" s="304" t="n"/>
      <c r="H187" s="298" t="n"/>
      <c r="I187" s="298" t="n"/>
      <c r="J187" s="298" t="n"/>
      <c r="K187" s="298" t="n"/>
      <c r="L187" s="299" t="n"/>
      <c r="M187" s="304" t="n"/>
      <c r="N187" s="298" t="n"/>
      <c r="O187" s="299" t="n"/>
    </row>
    <row r="188" ht="24" customHeight="1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</row>
    <row r="189" ht="24" customHeight="1">
      <c r="A189" s="297" t="inlineStr">
        <is>
          <t>[Historical quarter block 6]</t>
        </is>
      </c>
      <c r="B189" s="298" t="n"/>
      <c r="C189" s="298" t="n"/>
      <c r="D189" s="298" t="n"/>
      <c r="E189" s="298" t="n"/>
      <c r="F189" s="298" t="n"/>
      <c r="G189" s="298" t="n"/>
      <c r="H189" s="298" t="n"/>
      <c r="I189" s="298" t="n"/>
      <c r="J189" s="298" t="n"/>
      <c r="K189" s="298" t="n"/>
      <c r="L189" s="298" t="n"/>
      <c r="M189" s="298" t="n"/>
      <c r="N189" s="298" t="n"/>
      <c r="O189" s="299" t="n"/>
    </row>
    <row r="190" ht="25" customHeight="1">
      <c r="A190" s="300" t="inlineStr">
        <is>
          <t>Quarter read</t>
        </is>
      </c>
      <c r="B190" s="298" t="n"/>
      <c r="C190" s="298" t="n"/>
      <c r="D190" s="298" t="n"/>
      <c r="E190" s="298" t="n"/>
      <c r="F190" s="298" t="n"/>
      <c r="G190" s="298" t="n"/>
      <c r="H190" s="298" t="n"/>
      <c r="I190" s="298" t="n"/>
      <c r="J190" s="298" t="n"/>
      <c r="K190" s="298" t="n"/>
      <c r="L190" s="298" t="n"/>
      <c r="M190" s="298" t="n"/>
      <c r="N190" s="298" t="n"/>
      <c r="O190" s="299" t="n"/>
    </row>
    <row r="191" ht="44" customHeight="1">
      <c r="A191" s="301" t="inlineStr">
        <is>
          <t>Model read</t>
        </is>
      </c>
      <c r="B191" s="302" t="n"/>
      <c r="C191" s="298" t="n"/>
      <c r="D191" s="298" t="n"/>
      <c r="E191" s="298" t="n"/>
      <c r="F191" s="298" t="n"/>
      <c r="G191" s="298" t="n"/>
      <c r="H191" s="298" t="n"/>
      <c r="I191" s="298" t="n"/>
      <c r="J191" s="298" t="n"/>
      <c r="K191" s="298" t="n"/>
      <c r="L191" s="298" t="n"/>
      <c r="M191" s="298" t="n"/>
      <c r="N191" s="298" t="n"/>
      <c r="O191" s="299" t="n"/>
    </row>
    <row r="192" ht="44" customHeight="1">
      <c r="A192" s="303" t="inlineStr">
        <is>
          <t>What changed</t>
        </is>
      </c>
      <c r="B192" s="304" t="n"/>
      <c r="C192" s="298" t="n"/>
      <c r="D192" s="298" t="n"/>
      <c r="E192" s="298" t="n"/>
      <c r="F192" s="298" t="n"/>
      <c r="G192" s="298" t="n"/>
      <c r="H192" s="298" t="n"/>
      <c r="I192" s="298" t="n"/>
      <c r="J192" s="298" t="n"/>
      <c r="K192" s="298" t="n"/>
      <c r="L192" s="298" t="n"/>
      <c r="M192" s="298" t="n"/>
      <c r="N192" s="298" t="n"/>
      <c r="O192" s="299" t="n"/>
    </row>
    <row r="193" ht="30" customHeight="1">
      <c r="A193" s="301" t="inlineStr">
        <is>
          <t>Watch next</t>
        </is>
      </c>
      <c r="B193" s="302" t="n"/>
      <c r="C193" s="298" t="n"/>
      <c r="D193" s="298" t="n"/>
      <c r="E193" s="298" t="n"/>
      <c r="F193" s="298" t="n"/>
      <c r="G193" s="298" t="n"/>
      <c r="H193" s="298" t="n"/>
      <c r="I193" s="298" t="n"/>
      <c r="J193" s="298" t="n"/>
      <c r="K193" s="298" t="n"/>
      <c r="L193" s="298" t="n"/>
      <c r="M193" s="298" t="n"/>
      <c r="N193" s="298" t="n"/>
      <c r="O193" s="299" t="n"/>
    </row>
    <row r="194" ht="44" customHeight="1">
      <c r="A194" s="303" t="inlineStr">
        <is>
          <t>Key caveat</t>
        </is>
      </c>
      <c r="B194" s="304" t="n"/>
      <c r="C194" s="298" t="n"/>
      <c r="D194" s="298" t="n"/>
      <c r="E194" s="298" t="n"/>
      <c r="F194" s="298" t="n"/>
      <c r="G194" s="298" t="n"/>
      <c r="H194" s="298" t="n"/>
      <c r="I194" s="298" t="n"/>
      <c r="J194" s="298" t="n"/>
      <c r="K194" s="298" t="n"/>
      <c r="L194" s="298" t="n"/>
      <c r="M194" s="298" t="n"/>
      <c r="N194" s="298" t="n"/>
      <c r="O194" s="299" t="n"/>
    </row>
    <row r="195" ht="10" customHeight="1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</row>
    <row r="196" ht="25" customHeight="1">
      <c r="A196" s="300" t="inlineStr">
        <is>
          <t>Key developments</t>
        </is>
      </c>
      <c r="B196" s="298" t="n"/>
      <c r="C196" s="298" t="n"/>
      <c r="D196" s="298" t="n"/>
      <c r="E196" s="298" t="n"/>
      <c r="F196" s="298" t="n"/>
      <c r="G196" s="298" t="n"/>
      <c r="H196" s="298" t="n"/>
      <c r="I196" s="298" t="n"/>
      <c r="J196" s="298" t="n"/>
      <c r="K196" s="298" t="n"/>
      <c r="L196" s="298" t="n"/>
      <c r="M196" s="298" t="n"/>
      <c r="N196" s="298" t="n"/>
      <c r="O196" s="299" t="n"/>
    </row>
    <row r="197" ht="26" customHeight="1">
      <c r="A197" s="306" t="inlineStr">
        <is>
          <t>Theme</t>
        </is>
      </c>
      <c r="B197" s="299" t="n"/>
      <c r="C197" s="306" t="inlineStr">
        <is>
          <t>What happened</t>
        </is>
      </c>
      <c r="D197" s="298" t="n"/>
      <c r="E197" s="299" t="n"/>
      <c r="F197" s="306" t="inlineStr">
        <is>
          <t>Why it matters</t>
        </is>
      </c>
      <c r="G197" s="299" t="n"/>
      <c r="H197" s="306" t="inlineStr">
        <is>
          <t>Model / valuation implication</t>
        </is>
      </c>
      <c r="I197" s="298" t="n"/>
      <c r="J197" s="298" t="n"/>
      <c r="K197" s="298" t="n"/>
      <c r="L197" s="299" t="n"/>
      <c r="M197" s="306" t="inlineStr">
        <is>
          <t>Source / confidence</t>
        </is>
      </c>
      <c r="N197" s="298" t="n"/>
      <c r="O197" s="299" t="n"/>
    </row>
    <row r="198" ht="48" customHeight="1">
      <c r="A198" s="302" t="inlineStr">
        <is>
          <t>[Quarter note theme slot 198]</t>
        </is>
      </c>
      <c r="B198" s="299" t="n"/>
      <c r="C198" s="302" t="n"/>
      <c r="D198" s="298" t="n"/>
      <c r="E198" s="299" t="n"/>
      <c r="F198" s="302" t="n"/>
      <c r="G198" s="299" t="n"/>
      <c r="H198" s="302" t="n"/>
      <c r="I198" s="298" t="n"/>
      <c r="J198" s="298" t="n"/>
      <c r="K198" s="298" t="n"/>
      <c r="L198" s="299" t="n"/>
      <c r="M198" s="302" t="n"/>
      <c r="N198" s="298" t="n"/>
      <c r="O198" s="299" t="n"/>
    </row>
    <row r="199" ht="48" customHeight="1">
      <c r="A199" s="304" t="inlineStr">
        <is>
          <t>[Quarter note theme slot 199]</t>
        </is>
      </c>
      <c r="B199" s="299" t="n"/>
      <c r="C199" s="304" t="n"/>
      <c r="D199" s="298" t="n"/>
      <c r="E199" s="299" t="n"/>
      <c r="F199" s="304" t="n"/>
      <c r="G199" s="299" t="n"/>
      <c r="H199" s="304" t="n"/>
      <c r="I199" s="298" t="n"/>
      <c r="J199" s="298" t="n"/>
      <c r="K199" s="298" t="n"/>
      <c r="L199" s="299" t="n"/>
      <c r="M199" s="304" t="n"/>
      <c r="N199" s="298" t="n"/>
      <c r="O199" s="299" t="n"/>
    </row>
    <row r="200" ht="48" customHeight="1">
      <c r="A200" s="302" t="inlineStr">
        <is>
          <t>[Quarter note theme slot 200]</t>
        </is>
      </c>
      <c r="B200" s="299" t="n"/>
      <c r="C200" s="302" t="n"/>
      <c r="D200" s="298" t="n"/>
      <c r="E200" s="299" t="n"/>
      <c r="F200" s="302" t="n"/>
      <c r="G200" s="299" t="n"/>
      <c r="H200" s="302" t="n"/>
      <c r="I200" s="298" t="n"/>
      <c r="J200" s="298" t="n"/>
      <c r="K200" s="298" t="n"/>
      <c r="L200" s="299" t="n"/>
      <c r="M200" s="302" t="n"/>
      <c r="N200" s="298" t="n"/>
      <c r="O200" s="299" t="n"/>
    </row>
    <row r="201" ht="48" customHeight="1">
      <c r="A201" s="304" t="inlineStr">
        <is>
          <t>[Quarter note theme slot 201]</t>
        </is>
      </c>
      <c r="B201" s="299" t="n"/>
      <c r="C201" s="304" t="n"/>
      <c r="D201" s="298" t="n"/>
      <c r="E201" s="299" t="n"/>
      <c r="F201" s="304" t="n"/>
      <c r="G201" s="299" t="n"/>
      <c r="H201" s="304" t="n"/>
      <c r="I201" s="298" t="n"/>
      <c r="J201" s="298" t="n"/>
      <c r="K201" s="298" t="n"/>
      <c r="L201" s="299" t="n"/>
      <c r="M201" s="304" t="n"/>
      <c r="N201" s="298" t="n"/>
      <c r="O201" s="299" t="n"/>
    </row>
    <row r="202" ht="48" customHeight="1">
      <c r="A202" s="302" t="inlineStr">
        <is>
          <t>[Quarter note theme slot 202]</t>
        </is>
      </c>
      <c r="B202" s="299" t="n"/>
      <c r="C202" s="302" t="n"/>
      <c r="D202" s="298" t="n"/>
      <c r="E202" s="299" t="n"/>
      <c r="F202" s="302" t="n"/>
      <c r="G202" s="299" t="n"/>
      <c r="H202" s="302" t="n"/>
      <c r="I202" s="298" t="n"/>
      <c r="J202" s="298" t="n"/>
      <c r="K202" s="298" t="n"/>
      <c r="L202" s="299" t="n"/>
      <c r="M202" s="302" t="n"/>
      <c r="N202" s="298" t="n"/>
      <c r="O202" s="299" t="n"/>
    </row>
    <row r="203" ht="48" customHeight="1">
      <c r="A203" s="304" t="inlineStr">
        <is>
          <t>[Quarter note theme slot 203]</t>
        </is>
      </c>
      <c r="B203" s="299" t="n"/>
      <c r="C203" s="304" t="n"/>
      <c r="D203" s="298" t="n"/>
      <c r="E203" s="299" t="n"/>
      <c r="F203" s="304" t="n"/>
      <c r="G203" s="299" t="n"/>
      <c r="H203" s="304" t="n"/>
      <c r="I203" s="298" t="n"/>
      <c r="J203" s="298" t="n"/>
      <c r="K203" s="298" t="n"/>
      <c r="L203" s="299" t="n"/>
      <c r="M203" s="304" t="n"/>
      <c r="N203" s="298" t="n"/>
      <c r="O203" s="299" t="n"/>
    </row>
    <row r="204" ht="10" customHeight="1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</row>
    <row r="205" ht="25" customHeight="1">
      <c r="A205" s="300" t="inlineStr">
        <is>
          <t>Guidance / Promise interpretation</t>
        </is>
      </c>
      <c r="B205" s="298" t="n"/>
      <c r="C205" s="298" t="n"/>
      <c r="D205" s="298" t="n"/>
      <c r="E205" s="298" t="n"/>
      <c r="F205" s="298" t="n"/>
      <c r="G205" s="298" t="n"/>
      <c r="H205" s="298" t="n"/>
      <c r="I205" s="298" t="n"/>
      <c r="J205" s="298" t="n"/>
      <c r="K205" s="298" t="n"/>
      <c r="L205" s="298" t="n"/>
      <c r="M205" s="298" t="n"/>
      <c r="N205" s="298" t="n"/>
      <c r="O205" s="299" t="n"/>
    </row>
    <row r="206" ht="26" customHeight="1">
      <c r="A206" s="306" t="inlineStr">
        <is>
          <t>Promise / guidance item</t>
        </is>
      </c>
      <c r="B206" s="299" t="n"/>
      <c r="C206" s="306" t="inlineStr">
        <is>
          <t>Read</t>
        </is>
      </c>
      <c r="D206" s="298" t="n"/>
      <c r="E206" s="299" t="n"/>
      <c r="F206" s="306" t="inlineStr">
        <is>
          <t>Actual / progress interpretation</t>
        </is>
      </c>
      <c r="G206" s="298" t="n"/>
      <c r="H206" s="299" t="n"/>
      <c r="I206" s="306" t="inlineStr">
        <is>
          <t>Status / caveat</t>
        </is>
      </c>
      <c r="J206" s="298" t="n"/>
      <c r="K206" s="298" t="n"/>
      <c r="L206" s="299" t="n"/>
      <c r="M206" s="306" t="inlineStr">
        <is>
          <t>Source</t>
        </is>
      </c>
      <c r="N206" s="298" t="n"/>
      <c r="O206" s="299" t="n"/>
    </row>
    <row r="207" ht="30" customHeight="1">
      <c r="A207" s="302" t="inlineStr">
        <is>
          <t>[Quarter note theme slot 207]</t>
        </is>
      </c>
      <c r="B207" s="299" t="n"/>
      <c r="C207" s="302" t="n"/>
      <c r="D207" s="298" t="n"/>
      <c r="E207" s="298" t="n"/>
      <c r="F207" s="298" t="n"/>
      <c r="G207" s="298" t="n"/>
      <c r="H207" s="298" t="n"/>
      <c r="I207" s="298" t="n"/>
      <c r="J207" s="298" t="n"/>
      <c r="K207" s="298" t="n"/>
      <c r="L207" s="299" t="n"/>
      <c r="M207" s="302" t="n"/>
      <c r="N207" s="298" t="n"/>
      <c r="O207" s="299" t="n"/>
    </row>
    <row r="208" ht="10" customHeight="1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</row>
    <row r="209" ht="25" customHeight="1">
      <c r="A209" s="300" t="inlineStr">
        <is>
          <t>Model mapping / double-count guardrails</t>
        </is>
      </c>
      <c r="B209" s="298" t="n"/>
      <c r="C209" s="298" t="n"/>
      <c r="D209" s="298" t="n"/>
      <c r="E209" s="298" t="n"/>
      <c r="F209" s="298" t="n"/>
      <c r="G209" s="298" t="n"/>
      <c r="H209" s="298" t="n"/>
      <c r="I209" s="298" t="n"/>
      <c r="J209" s="298" t="n"/>
      <c r="K209" s="298" t="n"/>
      <c r="L209" s="298" t="n"/>
      <c r="M209" s="298" t="n"/>
      <c r="N209" s="298" t="n"/>
      <c r="O209" s="299" t="n"/>
    </row>
    <row r="210" ht="26" customHeight="1">
      <c r="A210" s="306" t="inlineStr">
        <is>
          <t>Driver</t>
        </is>
      </c>
      <c r="B210" s="299" t="n"/>
      <c r="C210" s="306" t="inlineStr">
        <is>
          <t>Model treatment</t>
        </is>
      </c>
      <c r="D210" s="298" t="n"/>
      <c r="E210" s="298" t="n"/>
      <c r="F210" s="299" t="n"/>
      <c r="G210" s="306" t="inlineStr">
        <is>
          <t>Double-count guardrail</t>
        </is>
      </c>
      <c r="H210" s="298" t="n"/>
      <c r="I210" s="298" t="n"/>
      <c r="J210" s="298" t="n"/>
      <c r="K210" s="298" t="n"/>
      <c r="L210" s="299" t="n"/>
      <c r="M210" s="306" t="inlineStr">
        <is>
          <t>Linked sheet / metric</t>
        </is>
      </c>
      <c r="N210" s="298" t="n"/>
      <c r="O210" s="299" t="n"/>
    </row>
    <row r="211" ht="48" customHeight="1">
      <c r="A211" s="302" t="inlineStr">
        <is>
          <t>[Quarter note theme slot 211]</t>
        </is>
      </c>
      <c r="B211" s="299" t="n"/>
      <c r="C211" s="302" t="n"/>
      <c r="D211" s="298" t="n"/>
      <c r="E211" s="298" t="n"/>
      <c r="F211" s="299" t="n"/>
      <c r="G211" s="302" t="n"/>
      <c r="H211" s="298" t="n"/>
      <c r="I211" s="298" t="n"/>
      <c r="J211" s="298" t="n"/>
      <c r="K211" s="298" t="n"/>
      <c r="L211" s="299" t="n"/>
      <c r="M211" s="302" t="n"/>
      <c r="N211" s="298" t="n"/>
      <c r="O211" s="299" t="n"/>
    </row>
    <row r="212" ht="48" customHeight="1">
      <c r="A212" s="304" t="inlineStr">
        <is>
          <t>[Quarter note theme slot 212]</t>
        </is>
      </c>
      <c r="B212" s="299" t="n"/>
      <c r="C212" s="304" t="n"/>
      <c r="D212" s="298" t="n"/>
      <c r="E212" s="298" t="n"/>
      <c r="F212" s="299" t="n"/>
      <c r="G212" s="304" t="n"/>
      <c r="H212" s="298" t="n"/>
      <c r="I212" s="298" t="n"/>
      <c r="J212" s="298" t="n"/>
      <c r="K212" s="298" t="n"/>
      <c r="L212" s="299" t="n"/>
      <c r="M212" s="304" t="n"/>
      <c r="N212" s="298" t="n"/>
      <c r="O212" s="299" t="n"/>
    </row>
    <row r="213" ht="34" customHeight="1">
      <c r="A213" s="302" t="inlineStr">
        <is>
          <t>[Quarter note theme slot 213]</t>
        </is>
      </c>
      <c r="B213" s="299" t="n"/>
      <c r="C213" s="302" t="n"/>
      <c r="D213" s="298" t="n"/>
      <c r="E213" s="298" t="n"/>
      <c r="F213" s="299" t="n"/>
      <c r="G213" s="302" t="n"/>
      <c r="H213" s="298" t="n"/>
      <c r="I213" s="298" t="n"/>
      <c r="J213" s="298" t="n"/>
      <c r="K213" s="298" t="n"/>
      <c r="L213" s="299" t="n"/>
      <c r="M213" s="302" t="n"/>
      <c r="N213" s="298" t="n"/>
      <c r="O213" s="299" t="n"/>
    </row>
    <row r="214" ht="48" customHeight="1">
      <c r="A214" s="304" t="inlineStr">
        <is>
          <t>[Quarter note theme slot 214]</t>
        </is>
      </c>
      <c r="B214" s="299" t="n"/>
      <c r="C214" s="304" t="n"/>
      <c r="D214" s="298" t="n"/>
      <c r="E214" s="298" t="n"/>
      <c r="F214" s="299" t="n"/>
      <c r="G214" s="304" t="n"/>
      <c r="H214" s="298" t="n"/>
      <c r="I214" s="298" t="n"/>
      <c r="J214" s="298" t="n"/>
      <c r="K214" s="298" t="n"/>
      <c r="L214" s="299" t="n"/>
      <c r="M214" s="304" t="n"/>
      <c r="N214" s="298" t="n"/>
      <c r="O214" s="299" t="n"/>
    </row>
    <row r="215" ht="34" customHeight="1">
      <c r="A215" s="302" t="inlineStr">
        <is>
          <t>[Quarter note theme slot 215]</t>
        </is>
      </c>
      <c r="B215" s="299" t="n"/>
      <c r="C215" s="302" t="n"/>
      <c r="D215" s="298" t="n"/>
      <c r="E215" s="298" t="n"/>
      <c r="F215" s="299" t="n"/>
      <c r="G215" s="302" t="n"/>
      <c r="H215" s="298" t="n"/>
      <c r="I215" s="298" t="n"/>
      <c r="J215" s="298" t="n"/>
      <c r="K215" s="298" t="n"/>
      <c r="L215" s="299" t="n"/>
      <c r="M215" s="302" t="n"/>
      <c r="N215" s="298" t="n"/>
      <c r="O215" s="299" t="n"/>
    </row>
    <row r="216" ht="34" customHeight="1">
      <c r="A216" s="304" t="inlineStr">
        <is>
          <t>[Quarter note theme slot 216]</t>
        </is>
      </c>
      <c r="B216" s="299" t="n"/>
      <c r="C216" s="304" t="n"/>
      <c r="D216" s="298" t="n"/>
      <c r="E216" s="298" t="n"/>
      <c r="F216" s="299" t="n"/>
      <c r="G216" s="304" t="n"/>
      <c r="H216" s="298" t="n"/>
      <c r="I216" s="298" t="n"/>
      <c r="J216" s="298" t="n"/>
      <c r="K216" s="298" t="n"/>
      <c r="L216" s="299" t="n"/>
      <c r="M216" s="304" t="n"/>
      <c r="N216" s="298" t="n"/>
      <c r="O216" s="299" t="n"/>
    </row>
    <row r="217" ht="24" customHeight="1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</row>
    <row r="218" ht="24" customHeight="1">
      <c r="A218" s="297" t="inlineStr">
        <is>
          <t>[Historical quarter block 7]</t>
        </is>
      </c>
      <c r="B218" s="298" t="n"/>
      <c r="C218" s="298" t="n"/>
      <c r="D218" s="298" t="n"/>
      <c r="E218" s="298" t="n"/>
      <c r="F218" s="298" t="n"/>
      <c r="G218" s="298" t="n"/>
      <c r="H218" s="298" t="n"/>
      <c r="I218" s="298" t="n"/>
      <c r="J218" s="298" t="n"/>
      <c r="K218" s="298" t="n"/>
      <c r="L218" s="298" t="n"/>
      <c r="M218" s="298" t="n"/>
      <c r="N218" s="298" t="n"/>
      <c r="O218" s="299" t="n"/>
    </row>
    <row r="219" ht="25" customHeight="1">
      <c r="A219" s="300" t="inlineStr">
        <is>
          <t>Quarter read</t>
        </is>
      </c>
      <c r="B219" s="298" t="n"/>
      <c r="C219" s="298" t="n"/>
      <c r="D219" s="298" t="n"/>
      <c r="E219" s="298" t="n"/>
      <c r="F219" s="298" t="n"/>
      <c r="G219" s="298" t="n"/>
      <c r="H219" s="298" t="n"/>
      <c r="I219" s="298" t="n"/>
      <c r="J219" s="298" t="n"/>
      <c r="K219" s="298" t="n"/>
      <c r="L219" s="298" t="n"/>
      <c r="M219" s="298" t="n"/>
      <c r="N219" s="298" t="n"/>
      <c r="O219" s="299" t="n"/>
    </row>
    <row r="220" ht="58" customHeight="1">
      <c r="A220" s="301" t="inlineStr">
        <is>
          <t>Model read</t>
        </is>
      </c>
      <c r="B220" s="302" t="n"/>
      <c r="C220" s="298" t="n"/>
      <c r="D220" s="298" t="n"/>
      <c r="E220" s="298" t="n"/>
      <c r="F220" s="298" t="n"/>
      <c r="G220" s="298" t="n"/>
      <c r="H220" s="298" t="n"/>
      <c r="I220" s="298" t="n"/>
      <c r="J220" s="298" t="n"/>
      <c r="K220" s="298" t="n"/>
      <c r="L220" s="298" t="n"/>
      <c r="M220" s="298" t="n"/>
      <c r="N220" s="298" t="n"/>
      <c r="O220" s="299" t="n"/>
    </row>
    <row r="221" ht="58" customHeight="1">
      <c r="A221" s="303" t="inlineStr">
        <is>
          <t>What changed</t>
        </is>
      </c>
      <c r="B221" s="304" t="n"/>
      <c r="C221" s="298" t="n"/>
      <c r="D221" s="298" t="n"/>
      <c r="E221" s="298" t="n"/>
      <c r="F221" s="298" t="n"/>
      <c r="G221" s="298" t="n"/>
      <c r="H221" s="298" t="n"/>
      <c r="I221" s="298" t="n"/>
      <c r="J221" s="298" t="n"/>
      <c r="K221" s="298" t="n"/>
      <c r="L221" s="298" t="n"/>
      <c r="M221" s="298" t="n"/>
      <c r="N221" s="298" t="n"/>
      <c r="O221" s="299" t="n"/>
    </row>
    <row r="222" ht="30" customHeight="1">
      <c r="A222" s="301" t="inlineStr">
        <is>
          <t>Watch next</t>
        </is>
      </c>
      <c r="B222" s="302" t="n"/>
      <c r="C222" s="298" t="n"/>
      <c r="D222" s="298" t="n"/>
      <c r="E222" s="298" t="n"/>
      <c r="F222" s="298" t="n"/>
      <c r="G222" s="298" t="n"/>
      <c r="H222" s="298" t="n"/>
      <c r="I222" s="298" t="n"/>
      <c r="J222" s="298" t="n"/>
      <c r="K222" s="298" t="n"/>
      <c r="L222" s="298" t="n"/>
      <c r="M222" s="298" t="n"/>
      <c r="N222" s="298" t="n"/>
      <c r="O222" s="299" t="n"/>
    </row>
    <row r="223" ht="44" customHeight="1">
      <c r="A223" s="303" t="inlineStr">
        <is>
          <t>Key caveat</t>
        </is>
      </c>
      <c r="B223" s="304" t="n"/>
      <c r="C223" s="298" t="n"/>
      <c r="D223" s="298" t="n"/>
      <c r="E223" s="298" t="n"/>
      <c r="F223" s="298" t="n"/>
      <c r="G223" s="298" t="n"/>
      <c r="H223" s="298" t="n"/>
      <c r="I223" s="298" t="n"/>
      <c r="J223" s="298" t="n"/>
      <c r="K223" s="298" t="n"/>
      <c r="L223" s="298" t="n"/>
      <c r="M223" s="298" t="n"/>
      <c r="N223" s="298" t="n"/>
      <c r="O223" s="299" t="n"/>
    </row>
    <row r="224" ht="10" customHeight="1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</row>
    <row r="225" ht="25" customHeight="1">
      <c r="A225" s="300" t="inlineStr">
        <is>
          <t>Key developments</t>
        </is>
      </c>
      <c r="B225" s="298" t="n"/>
      <c r="C225" s="298" t="n"/>
      <c r="D225" s="298" t="n"/>
      <c r="E225" s="298" t="n"/>
      <c r="F225" s="298" t="n"/>
      <c r="G225" s="298" t="n"/>
      <c r="H225" s="298" t="n"/>
      <c r="I225" s="298" t="n"/>
      <c r="J225" s="298" t="n"/>
      <c r="K225" s="298" t="n"/>
      <c r="L225" s="298" t="n"/>
      <c r="M225" s="298" t="n"/>
      <c r="N225" s="298" t="n"/>
      <c r="O225" s="299" t="n"/>
    </row>
    <row r="226" ht="26" customHeight="1">
      <c r="A226" s="306" t="inlineStr">
        <is>
          <t>Theme</t>
        </is>
      </c>
      <c r="B226" s="299" t="n"/>
      <c r="C226" s="306" t="inlineStr">
        <is>
          <t>What happened</t>
        </is>
      </c>
      <c r="D226" s="298" t="n"/>
      <c r="E226" s="299" t="n"/>
      <c r="F226" s="306" t="inlineStr">
        <is>
          <t>Why it matters</t>
        </is>
      </c>
      <c r="G226" s="299" t="n"/>
      <c r="H226" s="306" t="inlineStr">
        <is>
          <t>Model / valuation implication</t>
        </is>
      </c>
      <c r="I226" s="298" t="n"/>
      <c r="J226" s="298" t="n"/>
      <c r="K226" s="298" t="n"/>
      <c r="L226" s="299" t="n"/>
      <c r="M226" s="306" t="inlineStr">
        <is>
          <t>Source / confidence</t>
        </is>
      </c>
      <c r="N226" s="298" t="n"/>
      <c r="O226" s="299" t="n"/>
    </row>
    <row r="227" ht="48" customHeight="1">
      <c r="A227" s="302" t="inlineStr">
        <is>
          <t>[Quarter note theme slot 227]</t>
        </is>
      </c>
      <c r="B227" s="299" t="n"/>
      <c r="C227" s="302" t="n"/>
      <c r="D227" s="298" t="n"/>
      <c r="E227" s="299" t="n"/>
      <c r="F227" s="302" t="n"/>
      <c r="G227" s="299" t="n"/>
      <c r="H227" s="302" t="n"/>
      <c r="I227" s="298" t="n"/>
      <c r="J227" s="298" t="n"/>
      <c r="K227" s="298" t="n"/>
      <c r="L227" s="299" t="n"/>
      <c r="M227" s="302" t="n"/>
      <c r="N227" s="298" t="n"/>
      <c r="O227" s="299" t="n"/>
    </row>
    <row r="228" ht="48" customHeight="1">
      <c r="A228" s="304" t="inlineStr">
        <is>
          <t>[Quarter note theme slot 228]</t>
        </is>
      </c>
      <c r="B228" s="299" t="n"/>
      <c r="C228" s="304" t="n"/>
      <c r="D228" s="298" t="n"/>
      <c r="E228" s="299" t="n"/>
      <c r="F228" s="304" t="n"/>
      <c r="G228" s="299" t="n"/>
      <c r="H228" s="304" t="n"/>
      <c r="I228" s="298" t="n"/>
      <c r="J228" s="298" t="n"/>
      <c r="K228" s="298" t="n"/>
      <c r="L228" s="299" t="n"/>
      <c r="M228" s="304" t="n"/>
      <c r="N228" s="298" t="n"/>
      <c r="O228" s="299" t="n"/>
    </row>
    <row r="229" ht="48" customHeight="1">
      <c r="A229" s="302" t="inlineStr">
        <is>
          <t>[Quarter note theme slot 229]</t>
        </is>
      </c>
      <c r="B229" s="299" t="n"/>
      <c r="C229" s="302" t="n"/>
      <c r="D229" s="298" t="n"/>
      <c r="E229" s="299" t="n"/>
      <c r="F229" s="302" t="n"/>
      <c r="G229" s="299" t="n"/>
      <c r="H229" s="302" t="n"/>
      <c r="I229" s="298" t="n"/>
      <c r="J229" s="298" t="n"/>
      <c r="K229" s="298" t="n"/>
      <c r="L229" s="299" t="n"/>
      <c r="M229" s="302" t="n"/>
      <c r="N229" s="298" t="n"/>
      <c r="O229" s="299" t="n"/>
    </row>
    <row r="230" ht="48" customHeight="1">
      <c r="A230" s="304" t="inlineStr">
        <is>
          <t>[Quarter note theme slot 230]</t>
        </is>
      </c>
      <c r="B230" s="299" t="n"/>
      <c r="C230" s="304" t="n"/>
      <c r="D230" s="298" t="n"/>
      <c r="E230" s="299" t="n"/>
      <c r="F230" s="304" t="n"/>
      <c r="G230" s="299" t="n"/>
      <c r="H230" s="304" t="n"/>
      <c r="I230" s="298" t="n"/>
      <c r="J230" s="298" t="n"/>
      <c r="K230" s="298" t="n"/>
      <c r="L230" s="299" t="n"/>
      <c r="M230" s="304" t="n"/>
      <c r="N230" s="298" t="n"/>
      <c r="O230" s="299" t="n"/>
    </row>
    <row r="231" ht="48" customHeight="1">
      <c r="A231" s="302" t="inlineStr">
        <is>
          <t>[Quarter note theme slot 231]</t>
        </is>
      </c>
      <c r="B231" s="299" t="n"/>
      <c r="C231" s="302" t="n"/>
      <c r="D231" s="298" t="n"/>
      <c r="E231" s="299" t="n"/>
      <c r="F231" s="302" t="n"/>
      <c r="G231" s="299" t="n"/>
      <c r="H231" s="302" t="n"/>
      <c r="I231" s="298" t="n"/>
      <c r="J231" s="298" t="n"/>
      <c r="K231" s="298" t="n"/>
      <c r="L231" s="299" t="n"/>
      <c r="M231" s="302" t="n"/>
      <c r="N231" s="298" t="n"/>
      <c r="O231" s="299" t="n"/>
    </row>
    <row r="232" ht="48" customHeight="1">
      <c r="A232" s="304" t="inlineStr">
        <is>
          <t>[Quarter note theme slot 232]</t>
        </is>
      </c>
      <c r="B232" s="299" t="n"/>
      <c r="C232" s="304" t="n"/>
      <c r="D232" s="298" t="n"/>
      <c r="E232" s="299" t="n"/>
      <c r="F232" s="304" t="n"/>
      <c r="G232" s="299" t="n"/>
      <c r="H232" s="304" t="n"/>
      <c r="I232" s="298" t="n"/>
      <c r="J232" s="298" t="n"/>
      <c r="K232" s="298" t="n"/>
      <c r="L232" s="299" t="n"/>
      <c r="M232" s="304" t="n"/>
      <c r="N232" s="298" t="n"/>
      <c r="O232" s="299" t="n"/>
    </row>
    <row r="233" ht="10" customHeight="1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</row>
    <row r="234" ht="25" customHeight="1">
      <c r="A234" s="300" t="inlineStr">
        <is>
          <t>Guidance / Promise interpretation</t>
        </is>
      </c>
      <c r="B234" s="298" t="n"/>
      <c r="C234" s="298" t="n"/>
      <c r="D234" s="298" t="n"/>
      <c r="E234" s="298" t="n"/>
      <c r="F234" s="298" t="n"/>
      <c r="G234" s="298" t="n"/>
      <c r="H234" s="298" t="n"/>
      <c r="I234" s="298" t="n"/>
      <c r="J234" s="298" t="n"/>
      <c r="K234" s="298" t="n"/>
      <c r="L234" s="298" t="n"/>
      <c r="M234" s="298" t="n"/>
      <c r="N234" s="298" t="n"/>
      <c r="O234" s="299" t="n"/>
    </row>
    <row r="235" ht="26" customHeight="1">
      <c r="A235" s="306" t="inlineStr">
        <is>
          <t>Promise / guidance item</t>
        </is>
      </c>
      <c r="B235" s="299" t="n"/>
      <c r="C235" s="306" t="inlineStr">
        <is>
          <t>Read</t>
        </is>
      </c>
      <c r="D235" s="298" t="n"/>
      <c r="E235" s="299" t="n"/>
      <c r="F235" s="306" t="inlineStr">
        <is>
          <t>Actual / progress interpretation</t>
        </is>
      </c>
      <c r="G235" s="298" t="n"/>
      <c r="H235" s="299" t="n"/>
      <c r="I235" s="306" t="inlineStr">
        <is>
          <t>Status / caveat</t>
        </is>
      </c>
      <c r="J235" s="298" t="n"/>
      <c r="K235" s="298" t="n"/>
      <c r="L235" s="299" t="n"/>
      <c r="M235" s="306" t="inlineStr">
        <is>
          <t>Source</t>
        </is>
      </c>
      <c r="N235" s="298" t="n"/>
      <c r="O235" s="299" t="n"/>
    </row>
    <row r="236" ht="30" customHeight="1">
      <c r="A236" s="302" t="inlineStr">
        <is>
          <t>[Quarter note theme slot 236]</t>
        </is>
      </c>
      <c r="B236" s="299" t="n"/>
      <c r="C236" s="302" t="n"/>
      <c r="D236" s="298" t="n"/>
      <c r="E236" s="298" t="n"/>
      <c r="F236" s="298" t="n"/>
      <c r="G236" s="298" t="n"/>
      <c r="H236" s="298" t="n"/>
      <c r="I236" s="298" t="n"/>
      <c r="J236" s="298" t="n"/>
      <c r="K236" s="298" t="n"/>
      <c r="L236" s="299" t="n"/>
      <c r="M236" s="302" t="n"/>
      <c r="N236" s="298" t="n"/>
      <c r="O236" s="299" t="n"/>
    </row>
    <row r="237" ht="10" customHeight="1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</row>
    <row r="238" ht="25" customHeight="1">
      <c r="A238" s="300" t="inlineStr">
        <is>
          <t>Model mapping / double-count guardrails</t>
        </is>
      </c>
      <c r="B238" s="298" t="n"/>
      <c r="C238" s="298" t="n"/>
      <c r="D238" s="298" t="n"/>
      <c r="E238" s="298" t="n"/>
      <c r="F238" s="298" t="n"/>
      <c r="G238" s="298" t="n"/>
      <c r="H238" s="298" t="n"/>
      <c r="I238" s="298" t="n"/>
      <c r="J238" s="298" t="n"/>
      <c r="K238" s="298" t="n"/>
      <c r="L238" s="298" t="n"/>
      <c r="M238" s="298" t="n"/>
      <c r="N238" s="298" t="n"/>
      <c r="O238" s="299" t="n"/>
    </row>
    <row r="239" ht="26" customHeight="1">
      <c r="A239" s="306" t="inlineStr">
        <is>
          <t>Driver</t>
        </is>
      </c>
      <c r="B239" s="299" t="n"/>
      <c r="C239" s="306" t="inlineStr">
        <is>
          <t>Model treatment</t>
        </is>
      </c>
      <c r="D239" s="298" t="n"/>
      <c r="E239" s="298" t="n"/>
      <c r="F239" s="299" t="n"/>
      <c r="G239" s="306" t="inlineStr">
        <is>
          <t>Double-count guardrail</t>
        </is>
      </c>
      <c r="H239" s="298" t="n"/>
      <c r="I239" s="298" t="n"/>
      <c r="J239" s="298" t="n"/>
      <c r="K239" s="298" t="n"/>
      <c r="L239" s="299" t="n"/>
      <c r="M239" s="306" t="inlineStr">
        <is>
          <t>Linked sheet / metric</t>
        </is>
      </c>
      <c r="N239" s="298" t="n"/>
      <c r="O239" s="299" t="n"/>
    </row>
    <row r="240" ht="48" customHeight="1">
      <c r="A240" s="302" t="inlineStr">
        <is>
          <t>[Quarter note theme slot 240]</t>
        </is>
      </c>
      <c r="B240" s="299" t="n"/>
      <c r="C240" s="302" t="n"/>
      <c r="D240" s="298" t="n"/>
      <c r="E240" s="298" t="n"/>
      <c r="F240" s="299" t="n"/>
      <c r="G240" s="302" t="n"/>
      <c r="H240" s="298" t="n"/>
      <c r="I240" s="298" t="n"/>
      <c r="J240" s="298" t="n"/>
      <c r="K240" s="298" t="n"/>
      <c r="L240" s="299" t="n"/>
      <c r="M240" s="302" t="n"/>
      <c r="N240" s="298" t="n"/>
      <c r="O240" s="299" t="n"/>
    </row>
    <row r="241" ht="48" customHeight="1">
      <c r="A241" s="304" t="inlineStr">
        <is>
          <t>[Quarter note theme slot 241]</t>
        </is>
      </c>
      <c r="B241" s="299" t="n"/>
      <c r="C241" s="304" t="n"/>
      <c r="D241" s="298" t="n"/>
      <c r="E241" s="298" t="n"/>
      <c r="F241" s="299" t="n"/>
      <c r="G241" s="304" t="n"/>
      <c r="H241" s="298" t="n"/>
      <c r="I241" s="298" t="n"/>
      <c r="J241" s="298" t="n"/>
      <c r="K241" s="298" t="n"/>
      <c r="L241" s="299" t="n"/>
      <c r="M241" s="304" t="n"/>
      <c r="N241" s="298" t="n"/>
      <c r="O241" s="299" t="n"/>
    </row>
    <row r="242" ht="48" customHeight="1">
      <c r="A242" s="302" t="inlineStr">
        <is>
          <t>[Quarter note theme slot 242]</t>
        </is>
      </c>
      <c r="B242" s="299" t="n"/>
      <c r="C242" s="302" t="n"/>
      <c r="D242" s="298" t="n"/>
      <c r="E242" s="298" t="n"/>
      <c r="F242" s="299" t="n"/>
      <c r="G242" s="302" t="n"/>
      <c r="H242" s="298" t="n"/>
      <c r="I242" s="298" t="n"/>
      <c r="J242" s="298" t="n"/>
      <c r="K242" s="298" t="n"/>
      <c r="L242" s="299" t="n"/>
      <c r="M242" s="302" t="n"/>
      <c r="N242" s="298" t="n"/>
      <c r="O242" s="299" t="n"/>
    </row>
    <row r="243" ht="48" customHeight="1">
      <c r="A243" s="304" t="inlineStr">
        <is>
          <t>[Quarter note theme slot 243]</t>
        </is>
      </c>
      <c r="B243" s="299" t="n"/>
      <c r="C243" s="304" t="n"/>
      <c r="D243" s="298" t="n"/>
      <c r="E243" s="298" t="n"/>
      <c r="F243" s="299" t="n"/>
      <c r="G243" s="304" t="n"/>
      <c r="H243" s="298" t="n"/>
      <c r="I243" s="298" t="n"/>
      <c r="J243" s="298" t="n"/>
      <c r="K243" s="298" t="n"/>
      <c r="L243" s="299" t="n"/>
      <c r="M243" s="304" t="n"/>
      <c r="N243" s="298" t="n"/>
      <c r="O243" s="299" t="n"/>
    </row>
    <row r="244" ht="34" customHeight="1">
      <c r="A244" s="302" t="inlineStr">
        <is>
          <t>[Quarter note theme slot 244]</t>
        </is>
      </c>
      <c r="B244" s="299" t="n"/>
      <c r="C244" s="302" t="n"/>
      <c r="D244" s="298" t="n"/>
      <c r="E244" s="298" t="n"/>
      <c r="F244" s="299" t="n"/>
      <c r="G244" s="302" t="n"/>
      <c r="H244" s="298" t="n"/>
      <c r="I244" s="298" t="n"/>
      <c r="J244" s="298" t="n"/>
      <c r="K244" s="298" t="n"/>
      <c r="L244" s="299" t="n"/>
      <c r="M244" s="302" t="n"/>
      <c r="N244" s="298" t="n"/>
      <c r="O244" s="299" t="n"/>
    </row>
    <row r="245" ht="34" customHeight="1">
      <c r="A245" s="304" t="inlineStr">
        <is>
          <t>[Quarter note theme slot 245]</t>
        </is>
      </c>
      <c r="B245" s="299" t="n"/>
      <c r="C245" s="304" t="n"/>
      <c r="D245" s="298" t="n"/>
      <c r="E245" s="298" t="n"/>
      <c r="F245" s="299" t="n"/>
      <c r="G245" s="304" t="n"/>
      <c r="H245" s="298" t="n"/>
      <c r="I245" s="298" t="n"/>
      <c r="J245" s="298" t="n"/>
      <c r="K245" s="298" t="n"/>
      <c r="L245" s="299" t="n"/>
      <c r="M245" s="304" t="n"/>
      <c r="N245" s="298" t="n"/>
      <c r="O245" s="299" t="n"/>
    </row>
    <row r="246" ht="24" customHeight="1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</row>
    <row r="247" ht="24" customHeight="1">
      <c r="A247" s="297" t="inlineStr">
        <is>
          <t>[Historical quarter block 8]</t>
        </is>
      </c>
      <c r="B247" s="298" t="n"/>
      <c r="C247" s="298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9" t="n"/>
    </row>
    <row r="248" ht="25" customHeight="1">
      <c r="A248" s="300" t="inlineStr">
        <is>
          <t>Quarter read</t>
        </is>
      </c>
      <c r="B248" s="298" t="n"/>
      <c r="C248" s="298" t="n"/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9" t="n"/>
    </row>
    <row r="249" ht="44" customHeight="1">
      <c r="A249" s="301" t="inlineStr">
        <is>
          <t>Model read</t>
        </is>
      </c>
      <c r="B249" s="302" t="n"/>
      <c r="C249" s="298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9" t="n"/>
    </row>
    <row r="250" ht="44" customHeight="1">
      <c r="A250" s="303" t="inlineStr">
        <is>
          <t>What changed</t>
        </is>
      </c>
      <c r="B250" s="304" t="n"/>
      <c r="C250" s="298" t="n"/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9" t="n"/>
    </row>
    <row r="251" ht="30" customHeight="1">
      <c r="A251" s="301" t="inlineStr">
        <is>
          <t>Watch next</t>
        </is>
      </c>
      <c r="B251" s="302" t="n"/>
      <c r="C251" s="298" t="n"/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9" t="n"/>
    </row>
    <row r="252" ht="44" customHeight="1">
      <c r="A252" s="303" t="inlineStr">
        <is>
          <t>Key caveat</t>
        </is>
      </c>
      <c r="B252" s="304" t="n"/>
      <c r="C252" s="298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9" t="n"/>
    </row>
    <row r="253" ht="10" customHeight="1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</row>
    <row r="254" ht="25" customHeight="1">
      <c r="A254" s="300" t="inlineStr">
        <is>
          <t>Key developments</t>
        </is>
      </c>
      <c r="B254" s="298" t="n"/>
      <c r="C254" s="298" t="n"/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9" t="n"/>
    </row>
    <row r="255" ht="26" customHeight="1">
      <c r="A255" s="306" t="inlineStr">
        <is>
          <t>Theme</t>
        </is>
      </c>
      <c r="B255" s="299" t="n"/>
      <c r="C255" s="306" t="inlineStr">
        <is>
          <t>What happened</t>
        </is>
      </c>
      <c r="D255" s="298" t="n"/>
      <c r="E255" s="299" t="n"/>
      <c r="F255" s="306" t="inlineStr">
        <is>
          <t>Why it matters</t>
        </is>
      </c>
      <c r="G255" s="299" t="n"/>
      <c r="H255" s="306" t="inlineStr">
        <is>
          <t>Model / valuation implication</t>
        </is>
      </c>
      <c r="I255" s="298" t="n"/>
      <c r="J255" s="298" t="n"/>
      <c r="K255" s="298" t="n"/>
      <c r="L255" s="299" t="n"/>
      <c r="M255" s="306" t="inlineStr">
        <is>
          <t>Source / confidence</t>
        </is>
      </c>
      <c r="N255" s="298" t="n"/>
      <c r="O255" s="299" t="n"/>
    </row>
    <row r="256" ht="48" customHeight="1">
      <c r="A256" s="302" t="inlineStr">
        <is>
          <t>[Quarter note theme slot 256]</t>
        </is>
      </c>
      <c r="B256" s="299" t="n"/>
      <c r="C256" s="302" t="n"/>
      <c r="D256" s="298" t="n"/>
      <c r="E256" s="299" t="n"/>
      <c r="F256" s="302" t="n"/>
      <c r="G256" s="299" t="n"/>
      <c r="H256" s="302" t="n"/>
      <c r="I256" s="298" t="n"/>
      <c r="J256" s="298" t="n"/>
      <c r="K256" s="298" t="n"/>
      <c r="L256" s="299" t="n"/>
      <c r="M256" s="302" t="n"/>
      <c r="N256" s="298" t="n"/>
      <c r="O256" s="299" t="n"/>
    </row>
    <row r="257" ht="48" customHeight="1">
      <c r="A257" s="304" t="inlineStr">
        <is>
          <t>[Quarter note theme slot 257]</t>
        </is>
      </c>
      <c r="B257" s="299" t="n"/>
      <c r="C257" s="304" t="n"/>
      <c r="D257" s="298" t="n"/>
      <c r="E257" s="299" t="n"/>
      <c r="F257" s="304" t="n"/>
      <c r="G257" s="299" t="n"/>
      <c r="H257" s="304" t="n"/>
      <c r="I257" s="298" t="n"/>
      <c r="J257" s="298" t="n"/>
      <c r="K257" s="298" t="n"/>
      <c r="L257" s="299" t="n"/>
      <c r="M257" s="304" t="n"/>
      <c r="N257" s="298" t="n"/>
      <c r="O257" s="299" t="n"/>
    </row>
    <row r="258" ht="48" customHeight="1">
      <c r="A258" s="302" t="inlineStr">
        <is>
          <t>[Quarter note theme slot 258]</t>
        </is>
      </c>
      <c r="B258" s="299" t="n"/>
      <c r="C258" s="302" t="n"/>
      <c r="D258" s="298" t="n"/>
      <c r="E258" s="299" t="n"/>
      <c r="F258" s="302" t="n"/>
      <c r="G258" s="299" t="n"/>
      <c r="H258" s="302" t="n"/>
      <c r="I258" s="298" t="n"/>
      <c r="J258" s="298" t="n"/>
      <c r="K258" s="298" t="n"/>
      <c r="L258" s="299" t="n"/>
      <c r="M258" s="302" t="n"/>
      <c r="N258" s="298" t="n"/>
      <c r="O258" s="299" t="n"/>
    </row>
    <row r="259" ht="48" customHeight="1">
      <c r="A259" s="304" t="inlineStr">
        <is>
          <t>[Quarter note theme slot 259]</t>
        </is>
      </c>
      <c r="B259" s="299" t="n"/>
      <c r="C259" s="304" t="n"/>
      <c r="D259" s="298" t="n"/>
      <c r="E259" s="299" t="n"/>
      <c r="F259" s="304" t="n"/>
      <c r="G259" s="299" t="n"/>
      <c r="H259" s="304" t="n"/>
      <c r="I259" s="298" t="n"/>
      <c r="J259" s="298" t="n"/>
      <c r="K259" s="298" t="n"/>
      <c r="L259" s="299" t="n"/>
      <c r="M259" s="304" t="n"/>
      <c r="N259" s="298" t="n"/>
      <c r="O259" s="299" t="n"/>
    </row>
    <row r="260" ht="48" customHeight="1">
      <c r="A260" s="302" t="inlineStr">
        <is>
          <t>[Quarter note theme slot 260]</t>
        </is>
      </c>
      <c r="B260" s="299" t="n"/>
      <c r="C260" s="302" t="n"/>
      <c r="D260" s="298" t="n"/>
      <c r="E260" s="299" t="n"/>
      <c r="F260" s="302" t="n"/>
      <c r="G260" s="299" t="n"/>
      <c r="H260" s="302" t="n"/>
      <c r="I260" s="298" t="n"/>
      <c r="J260" s="298" t="n"/>
      <c r="K260" s="298" t="n"/>
      <c r="L260" s="299" t="n"/>
      <c r="M260" s="302" t="n"/>
      <c r="N260" s="298" t="n"/>
      <c r="O260" s="299" t="n"/>
    </row>
    <row r="261" ht="10" customHeight="1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</row>
    <row r="262" ht="25" customHeight="1">
      <c r="A262" s="300" t="inlineStr">
        <is>
          <t>Guidance / Promise interpretation</t>
        </is>
      </c>
      <c r="B262" s="298" t="n"/>
      <c r="C262" s="298" t="n"/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9" t="n"/>
    </row>
    <row r="263" ht="26" customHeight="1">
      <c r="A263" s="306" t="inlineStr">
        <is>
          <t>Promise / guidance item</t>
        </is>
      </c>
      <c r="B263" s="299" t="n"/>
      <c r="C263" s="306" t="inlineStr">
        <is>
          <t>Read</t>
        </is>
      </c>
      <c r="D263" s="298" t="n"/>
      <c r="E263" s="299" t="n"/>
      <c r="F263" s="306" t="inlineStr">
        <is>
          <t>Actual / progress interpretation</t>
        </is>
      </c>
      <c r="G263" s="298" t="n"/>
      <c r="H263" s="299" t="n"/>
      <c r="I263" s="306" t="inlineStr">
        <is>
          <t>Status / caveat</t>
        </is>
      </c>
      <c r="J263" s="298" t="n"/>
      <c r="K263" s="298" t="n"/>
      <c r="L263" s="299" t="n"/>
      <c r="M263" s="306" t="inlineStr">
        <is>
          <t>Source</t>
        </is>
      </c>
      <c r="N263" s="298" t="n"/>
      <c r="O263" s="299" t="n"/>
    </row>
    <row r="264" ht="30" customHeight="1">
      <c r="A264" s="302" t="inlineStr">
        <is>
          <t>[Quarter note theme slot 264]</t>
        </is>
      </c>
      <c r="B264" s="299" t="n"/>
      <c r="C264" s="302" t="n"/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9" t="n"/>
      <c r="M264" s="302" t="n"/>
      <c r="N264" s="298" t="n"/>
      <c r="O264" s="299" t="n"/>
    </row>
    <row r="265" ht="10" customHeight="1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</row>
    <row r="266" ht="25" customHeight="1">
      <c r="A266" s="300" t="inlineStr">
        <is>
          <t>Model mapping / double-count guardrails</t>
        </is>
      </c>
      <c r="B266" s="298" t="n"/>
      <c r="C266" s="298" t="n"/>
      <c r="D266" s="298" t="n"/>
      <c r="E266" s="298" t="n"/>
      <c r="F266" s="298" t="n"/>
      <c r="G266" s="298" t="n"/>
      <c r="H266" s="298" t="n"/>
      <c r="I266" s="298" t="n"/>
      <c r="J266" s="298" t="n"/>
      <c r="K266" s="298" t="n"/>
      <c r="L266" s="298" t="n"/>
      <c r="M266" s="298" t="n"/>
      <c r="N266" s="298" t="n"/>
      <c r="O266" s="299" t="n"/>
    </row>
    <row r="267" ht="26" customHeight="1">
      <c r="A267" s="306" t="inlineStr">
        <is>
          <t>Driver</t>
        </is>
      </c>
      <c r="B267" s="299" t="n"/>
      <c r="C267" s="306" t="inlineStr">
        <is>
          <t>Model treatment</t>
        </is>
      </c>
      <c r="D267" s="298" t="n"/>
      <c r="E267" s="298" t="n"/>
      <c r="F267" s="299" t="n"/>
      <c r="G267" s="306" t="inlineStr">
        <is>
          <t>Double-count guardrail</t>
        </is>
      </c>
      <c r="H267" s="298" t="n"/>
      <c r="I267" s="298" t="n"/>
      <c r="J267" s="298" t="n"/>
      <c r="K267" s="298" t="n"/>
      <c r="L267" s="299" t="n"/>
      <c r="M267" s="306" t="inlineStr">
        <is>
          <t>Linked sheet / metric</t>
        </is>
      </c>
      <c r="N267" s="298" t="n"/>
      <c r="O267" s="299" t="n"/>
    </row>
    <row r="268" ht="48" customHeight="1">
      <c r="A268" s="302" t="inlineStr">
        <is>
          <t>[Quarter note theme slot 268]</t>
        </is>
      </c>
      <c r="B268" s="299" t="n"/>
      <c r="C268" s="302" t="n"/>
      <c r="D268" s="298" t="n"/>
      <c r="E268" s="298" t="n"/>
      <c r="F268" s="299" t="n"/>
      <c r="G268" s="302" t="n"/>
      <c r="H268" s="298" t="n"/>
      <c r="I268" s="298" t="n"/>
      <c r="J268" s="298" t="n"/>
      <c r="K268" s="298" t="n"/>
      <c r="L268" s="299" t="n"/>
      <c r="M268" s="302" t="n"/>
      <c r="N268" s="298" t="n"/>
      <c r="O268" s="299" t="n"/>
    </row>
    <row r="269" ht="48" customHeight="1">
      <c r="A269" s="304" t="inlineStr">
        <is>
          <t>[Quarter note theme slot 269]</t>
        </is>
      </c>
      <c r="B269" s="299" t="n"/>
      <c r="C269" s="304" t="n"/>
      <c r="D269" s="298" t="n"/>
      <c r="E269" s="298" t="n"/>
      <c r="F269" s="299" t="n"/>
      <c r="G269" s="304" t="n"/>
      <c r="H269" s="298" t="n"/>
      <c r="I269" s="298" t="n"/>
      <c r="J269" s="298" t="n"/>
      <c r="K269" s="298" t="n"/>
      <c r="L269" s="299" t="n"/>
      <c r="M269" s="304" t="n"/>
      <c r="N269" s="298" t="n"/>
      <c r="O269" s="299" t="n"/>
    </row>
    <row r="270" ht="34" customHeight="1">
      <c r="A270" s="302" t="inlineStr">
        <is>
          <t>[Quarter note theme slot 270]</t>
        </is>
      </c>
      <c r="B270" s="299" t="n"/>
      <c r="C270" s="302" t="n"/>
      <c r="D270" s="298" t="n"/>
      <c r="E270" s="298" t="n"/>
      <c r="F270" s="299" t="n"/>
      <c r="G270" s="302" t="n"/>
      <c r="H270" s="298" t="n"/>
      <c r="I270" s="298" t="n"/>
      <c r="J270" s="298" t="n"/>
      <c r="K270" s="298" t="n"/>
      <c r="L270" s="299" t="n"/>
      <c r="M270" s="302" t="n"/>
      <c r="N270" s="298" t="n"/>
      <c r="O270" s="299" t="n"/>
    </row>
    <row r="271" ht="34" customHeight="1">
      <c r="A271" s="304" t="inlineStr">
        <is>
          <t>[Quarter note theme slot 271]</t>
        </is>
      </c>
      <c r="B271" s="299" t="n"/>
      <c r="C271" s="304" t="n"/>
      <c r="D271" s="298" t="n"/>
      <c r="E271" s="298" t="n"/>
      <c r="F271" s="299" t="n"/>
      <c r="G271" s="304" t="n"/>
      <c r="H271" s="298" t="n"/>
      <c r="I271" s="298" t="n"/>
      <c r="J271" s="298" t="n"/>
      <c r="K271" s="298" t="n"/>
      <c r="L271" s="299" t="n"/>
      <c r="M271" s="304" t="n"/>
      <c r="N271" s="298" t="n"/>
      <c r="O271" s="299" t="n"/>
    </row>
    <row r="272" ht="34" customHeight="1">
      <c r="A272" s="302" t="inlineStr">
        <is>
          <t>[Quarter note theme slot 272]</t>
        </is>
      </c>
      <c r="B272" s="299" t="n"/>
      <c r="C272" s="302" t="n"/>
      <c r="D272" s="298" t="n"/>
      <c r="E272" s="298" t="n"/>
      <c r="F272" s="299" t="n"/>
      <c r="G272" s="302" t="n"/>
      <c r="H272" s="298" t="n"/>
      <c r="I272" s="298" t="n"/>
      <c r="J272" s="298" t="n"/>
      <c r="K272" s="298" t="n"/>
      <c r="L272" s="299" t="n"/>
      <c r="M272" s="302" t="n"/>
      <c r="N272" s="298" t="n"/>
      <c r="O272" s="299" t="n"/>
    </row>
    <row r="273" ht="24" customHeight="1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</row>
    <row r="274" ht="24" customHeight="1">
      <c r="A274" s="297" t="inlineStr">
        <is>
          <t>[Historical quarter block 9]</t>
        </is>
      </c>
      <c r="B274" s="298" t="n"/>
      <c r="C274" s="298" t="n"/>
      <c r="D274" s="298" t="n"/>
      <c r="E274" s="298" t="n"/>
      <c r="F274" s="298" t="n"/>
      <c r="G274" s="298" t="n"/>
      <c r="H274" s="298" t="n"/>
      <c r="I274" s="298" t="n"/>
      <c r="J274" s="298" t="n"/>
      <c r="K274" s="298" t="n"/>
      <c r="L274" s="298" t="n"/>
      <c r="M274" s="298" t="n"/>
      <c r="N274" s="298" t="n"/>
      <c r="O274" s="299" t="n"/>
    </row>
    <row r="275" ht="25" customHeight="1">
      <c r="A275" s="300" t="inlineStr">
        <is>
          <t>Quarter read</t>
        </is>
      </c>
      <c r="B275" s="298" t="n"/>
      <c r="C275" s="298" t="n"/>
      <c r="D275" s="298" t="n"/>
      <c r="E275" s="298" t="n"/>
      <c r="F275" s="298" t="n"/>
      <c r="G275" s="298" t="n"/>
      <c r="H275" s="298" t="n"/>
      <c r="I275" s="298" t="n"/>
      <c r="J275" s="298" t="n"/>
      <c r="K275" s="298" t="n"/>
      <c r="L275" s="298" t="n"/>
      <c r="M275" s="298" t="n"/>
      <c r="N275" s="298" t="n"/>
      <c r="O275" s="299" t="n"/>
    </row>
    <row r="276" ht="58" customHeight="1">
      <c r="A276" s="301" t="inlineStr">
        <is>
          <t>Model read</t>
        </is>
      </c>
      <c r="B276" s="302" t="n"/>
      <c r="C276" s="298" t="n"/>
      <c r="D276" s="298" t="n"/>
      <c r="E276" s="298" t="n"/>
      <c r="F276" s="298" t="n"/>
      <c r="G276" s="298" t="n"/>
      <c r="H276" s="298" t="n"/>
      <c r="I276" s="298" t="n"/>
      <c r="J276" s="298" t="n"/>
      <c r="K276" s="298" t="n"/>
      <c r="L276" s="298" t="n"/>
      <c r="M276" s="298" t="n"/>
      <c r="N276" s="298" t="n"/>
      <c r="O276" s="299" t="n"/>
    </row>
    <row r="277" ht="44" customHeight="1">
      <c r="A277" s="303" t="inlineStr">
        <is>
          <t>What changed</t>
        </is>
      </c>
      <c r="B277" s="304" t="n"/>
      <c r="C277" s="298" t="n"/>
      <c r="D277" s="298" t="n"/>
      <c r="E277" s="298" t="n"/>
      <c r="F277" s="298" t="n"/>
      <c r="G277" s="298" t="n"/>
      <c r="H277" s="298" t="n"/>
      <c r="I277" s="298" t="n"/>
      <c r="J277" s="298" t="n"/>
      <c r="K277" s="298" t="n"/>
      <c r="L277" s="298" t="n"/>
      <c r="M277" s="298" t="n"/>
      <c r="N277" s="298" t="n"/>
      <c r="O277" s="299" t="n"/>
    </row>
    <row r="278" ht="30" customHeight="1">
      <c r="A278" s="301" t="inlineStr">
        <is>
          <t>Watch next</t>
        </is>
      </c>
      <c r="B278" s="302" t="n"/>
      <c r="C278" s="298" t="n"/>
      <c r="D278" s="298" t="n"/>
      <c r="E278" s="298" t="n"/>
      <c r="F278" s="298" t="n"/>
      <c r="G278" s="298" t="n"/>
      <c r="H278" s="298" t="n"/>
      <c r="I278" s="298" t="n"/>
      <c r="J278" s="298" t="n"/>
      <c r="K278" s="298" t="n"/>
      <c r="L278" s="298" t="n"/>
      <c r="M278" s="298" t="n"/>
      <c r="N278" s="298" t="n"/>
      <c r="O278" s="299" t="n"/>
    </row>
    <row r="279" ht="44" customHeight="1">
      <c r="A279" s="303" t="inlineStr">
        <is>
          <t>Key caveat</t>
        </is>
      </c>
      <c r="B279" s="304" t="n"/>
      <c r="C279" s="298" t="n"/>
      <c r="D279" s="298" t="n"/>
      <c r="E279" s="298" t="n"/>
      <c r="F279" s="298" t="n"/>
      <c r="G279" s="298" t="n"/>
      <c r="H279" s="298" t="n"/>
      <c r="I279" s="298" t="n"/>
      <c r="J279" s="298" t="n"/>
      <c r="K279" s="298" t="n"/>
      <c r="L279" s="298" t="n"/>
      <c r="M279" s="298" t="n"/>
      <c r="N279" s="298" t="n"/>
      <c r="O279" s="299" t="n"/>
    </row>
    <row r="280" ht="10" customHeight="1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</row>
    <row r="281" ht="25" customHeight="1">
      <c r="A281" s="300" t="inlineStr">
        <is>
          <t>Key developments</t>
        </is>
      </c>
      <c r="B281" s="298" t="n"/>
      <c r="C281" s="298" t="n"/>
      <c r="D281" s="298" t="n"/>
      <c r="E281" s="298" t="n"/>
      <c r="F281" s="298" t="n"/>
      <c r="G281" s="298" t="n"/>
      <c r="H281" s="298" t="n"/>
      <c r="I281" s="298" t="n"/>
      <c r="J281" s="298" t="n"/>
      <c r="K281" s="298" t="n"/>
      <c r="L281" s="298" t="n"/>
      <c r="M281" s="298" t="n"/>
      <c r="N281" s="298" t="n"/>
      <c r="O281" s="299" t="n"/>
    </row>
    <row r="282" ht="26" customHeight="1">
      <c r="A282" s="306" t="inlineStr">
        <is>
          <t>Theme</t>
        </is>
      </c>
      <c r="B282" s="299" t="n"/>
      <c r="C282" s="306" t="inlineStr">
        <is>
          <t>What happened</t>
        </is>
      </c>
      <c r="D282" s="298" t="n"/>
      <c r="E282" s="299" t="n"/>
      <c r="F282" s="306" t="inlineStr">
        <is>
          <t>Why it matters</t>
        </is>
      </c>
      <c r="G282" s="299" t="n"/>
      <c r="H282" s="306" t="inlineStr">
        <is>
          <t>Model / valuation implication</t>
        </is>
      </c>
      <c r="I282" s="298" t="n"/>
      <c r="J282" s="298" t="n"/>
      <c r="K282" s="298" t="n"/>
      <c r="L282" s="299" t="n"/>
      <c r="M282" s="306" t="inlineStr">
        <is>
          <t>Source / confidence</t>
        </is>
      </c>
      <c r="N282" s="298" t="n"/>
      <c r="O282" s="299" t="n"/>
    </row>
    <row r="283" ht="48" customHeight="1">
      <c r="A283" s="302" t="inlineStr">
        <is>
          <t>[Quarter note theme slot 283]</t>
        </is>
      </c>
      <c r="B283" s="299" t="n"/>
      <c r="C283" s="302" t="n"/>
      <c r="D283" s="298" t="n"/>
      <c r="E283" s="299" t="n"/>
      <c r="F283" s="302" t="n"/>
      <c r="G283" s="299" t="n"/>
      <c r="H283" s="302" t="n"/>
      <c r="I283" s="298" t="n"/>
      <c r="J283" s="298" t="n"/>
      <c r="K283" s="298" t="n"/>
      <c r="L283" s="299" t="n"/>
      <c r="M283" s="302" t="n"/>
      <c r="N283" s="298" t="n"/>
      <c r="O283" s="299" t="n"/>
    </row>
    <row r="284" ht="48" customHeight="1">
      <c r="A284" s="304" t="inlineStr">
        <is>
          <t>[Quarter note theme slot 284]</t>
        </is>
      </c>
      <c r="B284" s="299" t="n"/>
      <c r="C284" s="304" t="n"/>
      <c r="D284" s="298" t="n"/>
      <c r="E284" s="299" t="n"/>
      <c r="F284" s="304" t="n"/>
      <c r="G284" s="299" t="n"/>
      <c r="H284" s="304" t="n"/>
      <c r="I284" s="298" t="n"/>
      <c r="J284" s="298" t="n"/>
      <c r="K284" s="298" t="n"/>
      <c r="L284" s="299" t="n"/>
      <c r="M284" s="304" t="n"/>
      <c r="N284" s="298" t="n"/>
      <c r="O284" s="299" t="n"/>
    </row>
    <row r="285" ht="48" customHeight="1">
      <c r="A285" s="302" t="inlineStr">
        <is>
          <t>[Quarter note theme slot 285]</t>
        </is>
      </c>
      <c r="B285" s="299" t="n"/>
      <c r="C285" s="302" t="n"/>
      <c r="D285" s="298" t="n"/>
      <c r="E285" s="299" t="n"/>
      <c r="F285" s="302" t="n"/>
      <c r="G285" s="299" t="n"/>
      <c r="H285" s="302" t="n"/>
      <c r="I285" s="298" t="n"/>
      <c r="J285" s="298" t="n"/>
      <c r="K285" s="298" t="n"/>
      <c r="L285" s="299" t="n"/>
      <c r="M285" s="302" t="n"/>
      <c r="N285" s="298" t="n"/>
      <c r="O285" s="299" t="n"/>
    </row>
    <row r="286" ht="48" customHeight="1">
      <c r="A286" s="304" t="inlineStr">
        <is>
          <t>[Quarter note theme slot 286]</t>
        </is>
      </c>
      <c r="B286" s="299" t="n"/>
      <c r="C286" s="304" t="n"/>
      <c r="D286" s="298" t="n"/>
      <c r="E286" s="299" t="n"/>
      <c r="F286" s="304" t="n"/>
      <c r="G286" s="299" t="n"/>
      <c r="H286" s="304" t="n"/>
      <c r="I286" s="298" t="n"/>
      <c r="J286" s="298" t="n"/>
      <c r="K286" s="298" t="n"/>
      <c r="L286" s="299" t="n"/>
      <c r="M286" s="304" t="n"/>
      <c r="N286" s="298" t="n"/>
      <c r="O286" s="299" t="n"/>
    </row>
    <row r="287" ht="48" customHeight="1">
      <c r="A287" s="302" t="inlineStr">
        <is>
          <t>[Quarter note theme slot 287]</t>
        </is>
      </c>
      <c r="B287" s="299" t="n"/>
      <c r="C287" s="302" t="n"/>
      <c r="D287" s="298" t="n"/>
      <c r="E287" s="299" t="n"/>
      <c r="F287" s="302" t="n"/>
      <c r="G287" s="299" t="n"/>
      <c r="H287" s="302" t="n"/>
      <c r="I287" s="298" t="n"/>
      <c r="J287" s="298" t="n"/>
      <c r="K287" s="298" t="n"/>
      <c r="L287" s="299" t="n"/>
      <c r="M287" s="302" t="n"/>
      <c r="N287" s="298" t="n"/>
      <c r="O287" s="299" t="n"/>
    </row>
    <row r="288" ht="10" customHeight="1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</row>
    <row r="289" ht="25" customHeight="1">
      <c r="A289" s="300" t="inlineStr">
        <is>
          <t>Guidance / Promise interpretation</t>
        </is>
      </c>
      <c r="B289" s="298" t="n"/>
      <c r="C289" s="298" t="n"/>
      <c r="D289" s="298" t="n"/>
      <c r="E289" s="298" t="n"/>
      <c r="F289" s="298" t="n"/>
      <c r="G289" s="298" t="n"/>
      <c r="H289" s="298" t="n"/>
      <c r="I289" s="298" t="n"/>
      <c r="J289" s="298" t="n"/>
      <c r="K289" s="298" t="n"/>
      <c r="L289" s="298" t="n"/>
      <c r="M289" s="298" t="n"/>
      <c r="N289" s="298" t="n"/>
      <c r="O289" s="299" t="n"/>
    </row>
    <row r="290" ht="26" customHeight="1">
      <c r="A290" s="306" t="inlineStr">
        <is>
          <t>Promise / guidance item</t>
        </is>
      </c>
      <c r="B290" s="299" t="n"/>
      <c r="C290" s="306" t="inlineStr">
        <is>
          <t>Read</t>
        </is>
      </c>
      <c r="D290" s="298" t="n"/>
      <c r="E290" s="299" t="n"/>
      <c r="F290" s="306" t="inlineStr">
        <is>
          <t>Actual / progress interpretation</t>
        </is>
      </c>
      <c r="G290" s="298" t="n"/>
      <c r="H290" s="299" t="n"/>
      <c r="I290" s="306" t="inlineStr">
        <is>
          <t>Status / caveat</t>
        </is>
      </c>
      <c r="J290" s="298" t="n"/>
      <c r="K290" s="298" t="n"/>
      <c r="L290" s="299" t="n"/>
      <c r="M290" s="306" t="inlineStr">
        <is>
          <t>Source</t>
        </is>
      </c>
      <c r="N290" s="298" t="n"/>
      <c r="O290" s="299" t="n"/>
    </row>
    <row r="291" ht="30" customHeight="1">
      <c r="A291" s="302" t="inlineStr">
        <is>
          <t>[Quarter note theme slot 291]</t>
        </is>
      </c>
      <c r="B291" s="299" t="n"/>
      <c r="C291" s="302" t="n"/>
      <c r="D291" s="298" t="n"/>
      <c r="E291" s="298" t="n"/>
      <c r="F291" s="298" t="n"/>
      <c r="G291" s="298" t="n"/>
      <c r="H291" s="298" t="n"/>
      <c r="I291" s="298" t="n"/>
      <c r="J291" s="298" t="n"/>
      <c r="K291" s="298" t="n"/>
      <c r="L291" s="299" t="n"/>
      <c r="M291" s="302" t="n"/>
      <c r="N291" s="298" t="n"/>
      <c r="O291" s="299" t="n"/>
    </row>
    <row r="292" ht="10" customHeight="1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</row>
    <row r="293" ht="25" customHeight="1">
      <c r="A293" s="300" t="inlineStr">
        <is>
          <t>Model mapping / double-count guardrails</t>
        </is>
      </c>
      <c r="B293" s="298" t="n"/>
      <c r="C293" s="298" t="n"/>
      <c r="D293" s="298" t="n"/>
      <c r="E293" s="298" t="n"/>
      <c r="F293" s="298" t="n"/>
      <c r="G293" s="298" t="n"/>
      <c r="H293" s="298" t="n"/>
      <c r="I293" s="298" t="n"/>
      <c r="J293" s="298" t="n"/>
      <c r="K293" s="298" t="n"/>
      <c r="L293" s="298" t="n"/>
      <c r="M293" s="298" t="n"/>
      <c r="N293" s="298" t="n"/>
      <c r="O293" s="299" t="n"/>
    </row>
    <row r="294" ht="26" customHeight="1">
      <c r="A294" s="306" t="inlineStr">
        <is>
          <t>Driver</t>
        </is>
      </c>
      <c r="B294" s="299" t="n"/>
      <c r="C294" s="306" t="inlineStr">
        <is>
          <t>Model treatment</t>
        </is>
      </c>
      <c r="D294" s="298" t="n"/>
      <c r="E294" s="298" t="n"/>
      <c r="F294" s="299" t="n"/>
      <c r="G294" s="306" t="inlineStr">
        <is>
          <t>Double-count guardrail</t>
        </is>
      </c>
      <c r="H294" s="298" t="n"/>
      <c r="I294" s="298" t="n"/>
      <c r="J294" s="298" t="n"/>
      <c r="K294" s="298" t="n"/>
      <c r="L294" s="299" t="n"/>
      <c r="M294" s="306" t="inlineStr">
        <is>
          <t>Linked sheet / metric</t>
        </is>
      </c>
      <c r="N294" s="298" t="n"/>
      <c r="O294" s="299" t="n"/>
    </row>
    <row r="295" ht="48" customHeight="1">
      <c r="A295" s="302" t="inlineStr">
        <is>
          <t>[Quarter note theme slot 295]</t>
        </is>
      </c>
      <c r="B295" s="299" t="n"/>
      <c r="C295" s="302" t="n"/>
      <c r="D295" s="298" t="n"/>
      <c r="E295" s="298" t="n"/>
      <c r="F295" s="299" t="n"/>
      <c r="G295" s="302" t="n"/>
      <c r="H295" s="298" t="n"/>
      <c r="I295" s="298" t="n"/>
      <c r="J295" s="298" t="n"/>
      <c r="K295" s="298" t="n"/>
      <c r="L295" s="299" t="n"/>
      <c r="M295" s="302" t="n"/>
      <c r="N295" s="298" t="n"/>
      <c r="O295" s="299" t="n"/>
    </row>
    <row r="296" ht="34" customHeight="1">
      <c r="A296" s="304" t="inlineStr">
        <is>
          <t>[Quarter note theme slot 296]</t>
        </is>
      </c>
      <c r="B296" s="299" t="n"/>
      <c r="C296" s="304" t="n"/>
      <c r="D296" s="298" t="n"/>
      <c r="E296" s="298" t="n"/>
      <c r="F296" s="299" t="n"/>
      <c r="G296" s="304" t="n"/>
      <c r="H296" s="298" t="n"/>
      <c r="I296" s="298" t="n"/>
      <c r="J296" s="298" t="n"/>
      <c r="K296" s="298" t="n"/>
      <c r="L296" s="299" t="n"/>
      <c r="M296" s="304" t="n"/>
      <c r="N296" s="298" t="n"/>
      <c r="O296" s="299" t="n"/>
    </row>
    <row r="297" ht="48" customHeight="1">
      <c r="A297" s="302" t="inlineStr">
        <is>
          <t>[Quarter note theme slot 297]</t>
        </is>
      </c>
      <c r="B297" s="299" t="n"/>
      <c r="C297" s="302" t="n"/>
      <c r="D297" s="298" t="n"/>
      <c r="E297" s="298" t="n"/>
      <c r="F297" s="299" t="n"/>
      <c r="G297" s="302" t="n"/>
      <c r="H297" s="298" t="n"/>
      <c r="I297" s="298" t="n"/>
      <c r="J297" s="298" t="n"/>
      <c r="K297" s="298" t="n"/>
      <c r="L297" s="299" t="n"/>
      <c r="M297" s="302" t="n"/>
      <c r="N297" s="298" t="n"/>
      <c r="O297" s="299" t="n"/>
    </row>
    <row r="298" ht="34" customHeight="1">
      <c r="A298" s="304" t="inlineStr">
        <is>
          <t>[Quarter note theme slot 298]</t>
        </is>
      </c>
      <c r="B298" s="299" t="n"/>
      <c r="C298" s="304" t="n"/>
      <c r="D298" s="298" t="n"/>
      <c r="E298" s="298" t="n"/>
      <c r="F298" s="299" t="n"/>
      <c r="G298" s="304" t="n"/>
      <c r="H298" s="298" t="n"/>
      <c r="I298" s="298" t="n"/>
      <c r="J298" s="298" t="n"/>
      <c r="K298" s="298" t="n"/>
      <c r="L298" s="299" t="n"/>
      <c r="M298" s="304" t="n"/>
      <c r="N298" s="298" t="n"/>
      <c r="O298" s="299" t="n"/>
    </row>
    <row r="299" ht="34" customHeight="1">
      <c r="A299" s="302" t="inlineStr">
        <is>
          <t>[Quarter note theme slot 299]</t>
        </is>
      </c>
      <c r="B299" s="299" t="n"/>
      <c r="C299" s="302" t="n"/>
      <c r="D299" s="298" t="n"/>
      <c r="E299" s="298" t="n"/>
      <c r="F299" s="299" t="n"/>
      <c r="G299" s="302" t="n"/>
      <c r="H299" s="298" t="n"/>
      <c r="I299" s="298" t="n"/>
      <c r="J299" s="298" t="n"/>
      <c r="K299" s="298" t="n"/>
      <c r="L299" s="299" t="n"/>
      <c r="M299" s="302" t="n"/>
      <c r="N299" s="298" t="n"/>
      <c r="O299" s="299" t="n"/>
    </row>
    <row r="300" ht="24" customHeight="1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</row>
    <row r="301" ht="24" customHeight="1">
      <c r="A301" s="297" t="inlineStr">
        <is>
          <t>[Historical quarter block 10]</t>
        </is>
      </c>
      <c r="B301" s="298" t="n"/>
      <c r="C301" s="298" t="n"/>
      <c r="D301" s="298" t="n"/>
      <c r="E301" s="298" t="n"/>
      <c r="F301" s="298" t="n"/>
      <c r="G301" s="298" t="n"/>
      <c r="H301" s="298" t="n"/>
      <c r="I301" s="298" t="n"/>
      <c r="J301" s="298" t="n"/>
      <c r="K301" s="298" t="n"/>
      <c r="L301" s="298" t="n"/>
      <c r="M301" s="298" t="n"/>
      <c r="N301" s="298" t="n"/>
      <c r="O301" s="299" t="n"/>
    </row>
    <row r="302" ht="25" customHeight="1">
      <c r="A302" s="300" t="inlineStr">
        <is>
          <t>Quarter read</t>
        </is>
      </c>
      <c r="B302" s="298" t="n"/>
      <c r="C302" s="298" t="n"/>
      <c r="D302" s="298" t="n"/>
      <c r="E302" s="298" t="n"/>
      <c r="F302" s="298" t="n"/>
      <c r="G302" s="298" t="n"/>
      <c r="H302" s="298" t="n"/>
      <c r="I302" s="298" t="n"/>
      <c r="J302" s="298" t="n"/>
      <c r="K302" s="298" t="n"/>
      <c r="L302" s="298" t="n"/>
      <c r="M302" s="298" t="n"/>
      <c r="N302" s="298" t="n"/>
      <c r="O302" s="299" t="n"/>
    </row>
    <row r="303" ht="58" customHeight="1">
      <c r="A303" s="301" t="inlineStr">
        <is>
          <t>Model read</t>
        </is>
      </c>
      <c r="B303" s="302" t="n"/>
      <c r="C303" s="298" t="n"/>
      <c r="D303" s="298" t="n"/>
      <c r="E303" s="298" t="n"/>
      <c r="F303" s="298" t="n"/>
      <c r="G303" s="298" t="n"/>
      <c r="H303" s="298" t="n"/>
      <c r="I303" s="298" t="n"/>
      <c r="J303" s="298" t="n"/>
      <c r="K303" s="298" t="n"/>
      <c r="L303" s="298" t="n"/>
      <c r="M303" s="298" t="n"/>
      <c r="N303" s="298" t="n"/>
      <c r="O303" s="299" t="n"/>
    </row>
    <row r="304" ht="44" customHeight="1">
      <c r="A304" s="303" t="inlineStr">
        <is>
          <t>What changed</t>
        </is>
      </c>
      <c r="B304" s="304" t="n"/>
      <c r="C304" s="298" t="n"/>
      <c r="D304" s="298" t="n"/>
      <c r="E304" s="298" t="n"/>
      <c r="F304" s="298" t="n"/>
      <c r="G304" s="298" t="n"/>
      <c r="H304" s="298" t="n"/>
      <c r="I304" s="298" t="n"/>
      <c r="J304" s="298" t="n"/>
      <c r="K304" s="298" t="n"/>
      <c r="L304" s="298" t="n"/>
      <c r="M304" s="298" t="n"/>
      <c r="N304" s="298" t="n"/>
      <c r="O304" s="299" t="n"/>
    </row>
    <row r="305" ht="30" customHeight="1">
      <c r="A305" s="301" t="inlineStr">
        <is>
          <t>Watch next</t>
        </is>
      </c>
      <c r="B305" s="302" t="n"/>
      <c r="C305" s="298" t="n"/>
      <c r="D305" s="298" t="n"/>
      <c r="E305" s="298" t="n"/>
      <c r="F305" s="298" t="n"/>
      <c r="G305" s="298" t="n"/>
      <c r="H305" s="298" t="n"/>
      <c r="I305" s="298" t="n"/>
      <c r="J305" s="298" t="n"/>
      <c r="K305" s="298" t="n"/>
      <c r="L305" s="298" t="n"/>
      <c r="M305" s="298" t="n"/>
      <c r="N305" s="298" t="n"/>
      <c r="O305" s="299" t="n"/>
    </row>
    <row r="306" ht="44" customHeight="1">
      <c r="A306" s="303" t="inlineStr">
        <is>
          <t>Key caveat</t>
        </is>
      </c>
      <c r="B306" s="304" t="n"/>
      <c r="C306" s="298" t="n"/>
      <c r="D306" s="298" t="n"/>
      <c r="E306" s="298" t="n"/>
      <c r="F306" s="298" t="n"/>
      <c r="G306" s="298" t="n"/>
      <c r="H306" s="298" t="n"/>
      <c r="I306" s="298" t="n"/>
      <c r="J306" s="298" t="n"/>
      <c r="K306" s="298" t="n"/>
      <c r="L306" s="298" t="n"/>
      <c r="M306" s="298" t="n"/>
      <c r="N306" s="298" t="n"/>
      <c r="O306" s="299" t="n"/>
    </row>
    <row r="307" ht="10" customHeight="1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</row>
    <row r="308" ht="25" customHeight="1">
      <c r="A308" s="300" t="inlineStr">
        <is>
          <t>Key developments</t>
        </is>
      </c>
      <c r="B308" s="298" t="n"/>
      <c r="C308" s="298" t="n"/>
      <c r="D308" s="298" t="n"/>
      <c r="E308" s="298" t="n"/>
      <c r="F308" s="298" t="n"/>
      <c r="G308" s="298" t="n"/>
      <c r="H308" s="298" t="n"/>
      <c r="I308" s="298" t="n"/>
      <c r="J308" s="298" t="n"/>
      <c r="K308" s="298" t="n"/>
      <c r="L308" s="298" t="n"/>
      <c r="M308" s="298" t="n"/>
      <c r="N308" s="298" t="n"/>
      <c r="O308" s="299" t="n"/>
    </row>
    <row r="309" ht="26" customHeight="1">
      <c r="A309" s="306" t="inlineStr">
        <is>
          <t>Theme</t>
        </is>
      </c>
      <c r="B309" s="299" t="n"/>
      <c r="C309" s="306" t="inlineStr">
        <is>
          <t>What happened</t>
        </is>
      </c>
      <c r="D309" s="298" t="n"/>
      <c r="E309" s="299" t="n"/>
      <c r="F309" s="306" t="inlineStr">
        <is>
          <t>Why it matters</t>
        </is>
      </c>
      <c r="G309" s="299" t="n"/>
      <c r="H309" s="306" t="inlineStr">
        <is>
          <t>Model / valuation implication</t>
        </is>
      </c>
      <c r="I309" s="298" t="n"/>
      <c r="J309" s="298" t="n"/>
      <c r="K309" s="298" t="n"/>
      <c r="L309" s="299" t="n"/>
      <c r="M309" s="306" t="inlineStr">
        <is>
          <t>Source / confidence</t>
        </is>
      </c>
      <c r="N309" s="298" t="n"/>
      <c r="O309" s="299" t="n"/>
    </row>
    <row r="310" ht="48" customHeight="1">
      <c r="A310" s="302" t="inlineStr">
        <is>
          <t>[Quarter note theme slot 310]</t>
        </is>
      </c>
      <c r="B310" s="299" t="n"/>
      <c r="C310" s="302" t="n"/>
      <c r="D310" s="298" t="n"/>
      <c r="E310" s="299" t="n"/>
      <c r="F310" s="302" t="n"/>
      <c r="G310" s="299" t="n"/>
      <c r="H310" s="302" t="n"/>
      <c r="I310" s="298" t="n"/>
      <c r="J310" s="298" t="n"/>
      <c r="K310" s="298" t="n"/>
      <c r="L310" s="299" t="n"/>
      <c r="M310" s="302" t="n"/>
      <c r="N310" s="298" t="n"/>
      <c r="O310" s="299" t="n"/>
    </row>
    <row r="311" ht="48" customHeight="1">
      <c r="A311" s="304" t="inlineStr">
        <is>
          <t>[Quarter note theme slot 311]</t>
        </is>
      </c>
      <c r="B311" s="299" t="n"/>
      <c r="C311" s="304" t="n"/>
      <c r="D311" s="298" t="n"/>
      <c r="E311" s="299" t="n"/>
      <c r="F311" s="304" t="n"/>
      <c r="G311" s="299" t="n"/>
      <c r="H311" s="304" t="n"/>
      <c r="I311" s="298" t="n"/>
      <c r="J311" s="298" t="n"/>
      <c r="K311" s="298" t="n"/>
      <c r="L311" s="299" t="n"/>
      <c r="M311" s="304" t="n"/>
      <c r="N311" s="298" t="n"/>
      <c r="O311" s="299" t="n"/>
    </row>
    <row r="312" ht="48" customHeight="1">
      <c r="A312" s="302" t="inlineStr">
        <is>
          <t>[Quarter note theme slot 312]</t>
        </is>
      </c>
      <c r="B312" s="299" t="n"/>
      <c r="C312" s="302" t="n"/>
      <c r="D312" s="298" t="n"/>
      <c r="E312" s="299" t="n"/>
      <c r="F312" s="302" t="n"/>
      <c r="G312" s="299" t="n"/>
      <c r="H312" s="302" t="n"/>
      <c r="I312" s="298" t="n"/>
      <c r="J312" s="298" t="n"/>
      <c r="K312" s="298" t="n"/>
      <c r="L312" s="299" t="n"/>
      <c r="M312" s="302" t="n"/>
      <c r="N312" s="298" t="n"/>
      <c r="O312" s="299" t="n"/>
    </row>
    <row r="313" ht="48" customHeight="1">
      <c r="A313" s="304" t="inlineStr">
        <is>
          <t>[Quarter note theme slot 313]</t>
        </is>
      </c>
      <c r="B313" s="299" t="n"/>
      <c r="C313" s="304" t="n"/>
      <c r="D313" s="298" t="n"/>
      <c r="E313" s="299" t="n"/>
      <c r="F313" s="304" t="n"/>
      <c r="G313" s="299" t="n"/>
      <c r="H313" s="304" t="n"/>
      <c r="I313" s="298" t="n"/>
      <c r="J313" s="298" t="n"/>
      <c r="K313" s="298" t="n"/>
      <c r="L313" s="299" t="n"/>
      <c r="M313" s="304" t="n"/>
      <c r="N313" s="298" t="n"/>
      <c r="O313" s="299" t="n"/>
    </row>
    <row r="314" ht="48" customHeight="1">
      <c r="A314" s="302" t="inlineStr">
        <is>
          <t>[Quarter note theme slot 314]</t>
        </is>
      </c>
      <c r="B314" s="299" t="n"/>
      <c r="C314" s="302" t="n"/>
      <c r="D314" s="298" t="n"/>
      <c r="E314" s="299" t="n"/>
      <c r="F314" s="302" t="n"/>
      <c r="G314" s="299" t="n"/>
      <c r="H314" s="302" t="n"/>
      <c r="I314" s="298" t="n"/>
      <c r="J314" s="298" t="n"/>
      <c r="K314" s="298" t="n"/>
      <c r="L314" s="299" t="n"/>
      <c r="M314" s="302" t="n"/>
      <c r="N314" s="298" t="n"/>
      <c r="O314" s="299" t="n"/>
    </row>
    <row r="315" ht="10" customHeight="1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</row>
    <row r="316" ht="25" customHeight="1">
      <c r="A316" s="300" t="inlineStr">
        <is>
          <t>Guidance / Promise interpretation</t>
        </is>
      </c>
      <c r="B316" s="298" t="n"/>
      <c r="C316" s="298" t="n"/>
      <c r="D316" s="298" t="n"/>
      <c r="E316" s="298" t="n"/>
      <c r="F316" s="298" t="n"/>
      <c r="G316" s="298" t="n"/>
      <c r="H316" s="298" t="n"/>
      <c r="I316" s="298" t="n"/>
      <c r="J316" s="298" t="n"/>
      <c r="K316" s="298" t="n"/>
      <c r="L316" s="298" t="n"/>
      <c r="M316" s="298" t="n"/>
      <c r="N316" s="298" t="n"/>
      <c r="O316" s="299" t="n"/>
    </row>
    <row r="317" ht="26" customHeight="1">
      <c r="A317" s="306" t="inlineStr">
        <is>
          <t>Promise / guidance item</t>
        </is>
      </c>
      <c r="B317" s="299" t="n"/>
      <c r="C317" s="306" t="inlineStr">
        <is>
          <t>Read</t>
        </is>
      </c>
      <c r="D317" s="298" t="n"/>
      <c r="E317" s="299" t="n"/>
      <c r="F317" s="306" t="inlineStr">
        <is>
          <t>Actual / progress interpretation</t>
        </is>
      </c>
      <c r="G317" s="298" t="n"/>
      <c r="H317" s="299" t="n"/>
      <c r="I317" s="306" t="inlineStr">
        <is>
          <t>Status / caveat</t>
        </is>
      </c>
      <c r="J317" s="298" t="n"/>
      <c r="K317" s="298" t="n"/>
      <c r="L317" s="299" t="n"/>
      <c r="M317" s="306" t="inlineStr">
        <is>
          <t>Source</t>
        </is>
      </c>
      <c r="N317" s="298" t="n"/>
      <c r="O317" s="299" t="n"/>
    </row>
    <row r="318" ht="30" customHeight="1">
      <c r="A318" s="302" t="inlineStr">
        <is>
          <t>[Quarter note theme slot 318]</t>
        </is>
      </c>
      <c r="B318" s="299" t="n"/>
      <c r="C318" s="302" t="n"/>
      <c r="D318" s="298" t="n"/>
      <c r="E318" s="298" t="n"/>
      <c r="F318" s="298" t="n"/>
      <c r="G318" s="298" t="n"/>
      <c r="H318" s="298" t="n"/>
      <c r="I318" s="298" t="n"/>
      <c r="J318" s="298" t="n"/>
      <c r="K318" s="298" t="n"/>
      <c r="L318" s="299" t="n"/>
      <c r="M318" s="302" t="n"/>
      <c r="N318" s="298" t="n"/>
      <c r="O318" s="299" t="n"/>
    </row>
    <row r="319" ht="10" customHeight="1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</row>
    <row r="320" ht="25" customHeight="1">
      <c r="A320" s="300" t="inlineStr">
        <is>
          <t>Model mapping / double-count guardrails</t>
        </is>
      </c>
      <c r="B320" s="298" t="n"/>
      <c r="C320" s="298" t="n"/>
      <c r="D320" s="298" t="n"/>
      <c r="E320" s="298" t="n"/>
      <c r="F320" s="298" t="n"/>
      <c r="G320" s="298" t="n"/>
      <c r="H320" s="298" t="n"/>
      <c r="I320" s="298" t="n"/>
      <c r="J320" s="298" t="n"/>
      <c r="K320" s="298" t="n"/>
      <c r="L320" s="298" t="n"/>
      <c r="M320" s="298" t="n"/>
      <c r="N320" s="298" t="n"/>
      <c r="O320" s="299" t="n"/>
    </row>
    <row r="321" ht="26" customHeight="1">
      <c r="A321" s="306" t="inlineStr">
        <is>
          <t>Driver</t>
        </is>
      </c>
      <c r="B321" s="299" t="n"/>
      <c r="C321" s="306" t="inlineStr">
        <is>
          <t>Model treatment</t>
        </is>
      </c>
      <c r="D321" s="298" t="n"/>
      <c r="E321" s="298" t="n"/>
      <c r="F321" s="299" t="n"/>
      <c r="G321" s="306" t="inlineStr">
        <is>
          <t>Double-count guardrail</t>
        </is>
      </c>
      <c r="H321" s="298" t="n"/>
      <c r="I321" s="298" t="n"/>
      <c r="J321" s="298" t="n"/>
      <c r="K321" s="298" t="n"/>
      <c r="L321" s="299" t="n"/>
      <c r="M321" s="306" t="inlineStr">
        <is>
          <t>Linked sheet / metric</t>
        </is>
      </c>
      <c r="N321" s="298" t="n"/>
      <c r="O321" s="299" t="n"/>
    </row>
    <row r="322" ht="48" customHeight="1">
      <c r="A322" s="302" t="inlineStr">
        <is>
          <t>[Quarter note theme slot 322]</t>
        </is>
      </c>
      <c r="B322" s="299" t="n"/>
      <c r="C322" s="302" t="n"/>
      <c r="D322" s="298" t="n"/>
      <c r="E322" s="298" t="n"/>
      <c r="F322" s="299" t="n"/>
      <c r="G322" s="302" t="n"/>
      <c r="H322" s="298" t="n"/>
      <c r="I322" s="298" t="n"/>
      <c r="J322" s="298" t="n"/>
      <c r="K322" s="298" t="n"/>
      <c r="L322" s="299" t="n"/>
      <c r="M322" s="302" t="n"/>
      <c r="N322" s="298" t="n"/>
      <c r="O322" s="299" t="n"/>
    </row>
    <row r="323" ht="34" customHeight="1">
      <c r="A323" s="304" t="inlineStr">
        <is>
          <t>[Quarter note theme slot 323]</t>
        </is>
      </c>
      <c r="B323" s="299" t="n"/>
      <c r="C323" s="304" t="n"/>
      <c r="D323" s="298" t="n"/>
      <c r="E323" s="298" t="n"/>
      <c r="F323" s="299" t="n"/>
      <c r="G323" s="304" t="n"/>
      <c r="H323" s="298" t="n"/>
      <c r="I323" s="298" t="n"/>
      <c r="J323" s="298" t="n"/>
      <c r="K323" s="298" t="n"/>
      <c r="L323" s="299" t="n"/>
      <c r="M323" s="304" t="n"/>
      <c r="N323" s="298" t="n"/>
      <c r="O323" s="299" t="n"/>
    </row>
    <row r="324" ht="48" customHeight="1">
      <c r="A324" s="302" t="inlineStr">
        <is>
          <t>[Quarter note theme slot 324]</t>
        </is>
      </c>
      <c r="B324" s="299" t="n"/>
      <c r="C324" s="302" t="n"/>
      <c r="D324" s="298" t="n"/>
      <c r="E324" s="298" t="n"/>
      <c r="F324" s="299" t="n"/>
      <c r="G324" s="302" t="n"/>
      <c r="H324" s="298" t="n"/>
      <c r="I324" s="298" t="n"/>
      <c r="J324" s="298" t="n"/>
      <c r="K324" s="298" t="n"/>
      <c r="L324" s="299" t="n"/>
      <c r="M324" s="302" t="n"/>
      <c r="N324" s="298" t="n"/>
      <c r="O324" s="299" t="n"/>
    </row>
    <row r="325" ht="34" customHeight="1">
      <c r="A325" s="304" t="inlineStr">
        <is>
          <t>[Quarter note theme slot 325]</t>
        </is>
      </c>
      <c r="B325" s="299" t="n"/>
      <c r="C325" s="304" t="n"/>
      <c r="D325" s="298" t="n"/>
      <c r="E325" s="298" t="n"/>
      <c r="F325" s="299" t="n"/>
      <c r="G325" s="304" t="n"/>
      <c r="H325" s="298" t="n"/>
      <c r="I325" s="298" t="n"/>
      <c r="J325" s="298" t="n"/>
      <c r="K325" s="298" t="n"/>
      <c r="L325" s="299" t="n"/>
      <c r="M325" s="304" t="n"/>
      <c r="N325" s="298" t="n"/>
      <c r="O325" s="299" t="n"/>
    </row>
    <row r="326" ht="34" customHeight="1">
      <c r="A326" s="302" t="inlineStr">
        <is>
          <t>[Quarter note theme slot 326]</t>
        </is>
      </c>
      <c r="B326" s="299" t="n"/>
      <c r="C326" s="302" t="n"/>
      <c r="D326" s="298" t="n"/>
      <c r="E326" s="298" t="n"/>
      <c r="F326" s="299" t="n"/>
      <c r="G326" s="302" t="n"/>
      <c r="H326" s="298" t="n"/>
      <c r="I326" s="298" t="n"/>
      <c r="J326" s="298" t="n"/>
      <c r="K326" s="298" t="n"/>
      <c r="L326" s="299" t="n"/>
      <c r="M326" s="302" t="n"/>
      <c r="N326" s="298" t="n"/>
      <c r="O326" s="299" t="n"/>
    </row>
    <row r="327" ht="24" customHeight="1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</row>
    <row r="328" ht="24" customHeight="1">
      <c r="A328" s="297" t="inlineStr">
        <is>
          <t>[Historical quarter block 11]</t>
        </is>
      </c>
      <c r="B328" s="298" t="n"/>
      <c r="C328" s="298" t="n"/>
      <c r="D328" s="298" t="n"/>
      <c r="E328" s="298" t="n"/>
      <c r="F328" s="298" t="n"/>
      <c r="G328" s="298" t="n"/>
      <c r="H328" s="298" t="n"/>
      <c r="I328" s="298" t="n"/>
      <c r="J328" s="298" t="n"/>
      <c r="K328" s="298" t="n"/>
      <c r="L328" s="298" t="n"/>
      <c r="M328" s="298" t="n"/>
      <c r="N328" s="298" t="n"/>
      <c r="O328" s="299" t="n"/>
    </row>
    <row r="329" ht="25" customHeight="1">
      <c r="A329" s="300" t="inlineStr">
        <is>
          <t>Quarter read</t>
        </is>
      </c>
      <c r="B329" s="298" t="n"/>
      <c r="C329" s="298" t="n"/>
      <c r="D329" s="298" t="n"/>
      <c r="E329" s="298" t="n"/>
      <c r="F329" s="298" t="n"/>
      <c r="G329" s="298" t="n"/>
      <c r="H329" s="298" t="n"/>
      <c r="I329" s="298" t="n"/>
      <c r="J329" s="298" t="n"/>
      <c r="K329" s="298" t="n"/>
      <c r="L329" s="298" t="n"/>
      <c r="M329" s="298" t="n"/>
      <c r="N329" s="298" t="n"/>
      <c r="O329" s="299" t="n"/>
    </row>
    <row r="330" ht="58" customHeight="1">
      <c r="A330" s="301" t="inlineStr">
        <is>
          <t>Model read</t>
        </is>
      </c>
      <c r="B330" s="302" t="n"/>
      <c r="C330" s="298" t="n"/>
      <c r="D330" s="298" t="n"/>
      <c r="E330" s="298" t="n"/>
      <c r="F330" s="298" t="n"/>
      <c r="G330" s="298" t="n"/>
      <c r="H330" s="298" t="n"/>
      <c r="I330" s="298" t="n"/>
      <c r="J330" s="298" t="n"/>
      <c r="K330" s="298" t="n"/>
      <c r="L330" s="298" t="n"/>
      <c r="M330" s="298" t="n"/>
      <c r="N330" s="298" t="n"/>
      <c r="O330" s="299" t="n"/>
    </row>
    <row r="331" ht="44" customHeight="1">
      <c r="A331" s="303" t="inlineStr">
        <is>
          <t>What changed</t>
        </is>
      </c>
      <c r="B331" s="304" t="n"/>
      <c r="C331" s="298" t="n"/>
      <c r="D331" s="298" t="n"/>
      <c r="E331" s="298" t="n"/>
      <c r="F331" s="298" t="n"/>
      <c r="G331" s="298" t="n"/>
      <c r="H331" s="298" t="n"/>
      <c r="I331" s="298" t="n"/>
      <c r="J331" s="298" t="n"/>
      <c r="K331" s="298" t="n"/>
      <c r="L331" s="298" t="n"/>
      <c r="M331" s="298" t="n"/>
      <c r="N331" s="298" t="n"/>
      <c r="O331" s="299" t="n"/>
    </row>
    <row r="332" ht="30" customHeight="1">
      <c r="A332" s="301" t="inlineStr">
        <is>
          <t>Watch next</t>
        </is>
      </c>
      <c r="B332" s="302" t="n"/>
      <c r="C332" s="298" t="n"/>
      <c r="D332" s="298" t="n"/>
      <c r="E332" s="298" t="n"/>
      <c r="F332" s="298" t="n"/>
      <c r="G332" s="298" t="n"/>
      <c r="H332" s="298" t="n"/>
      <c r="I332" s="298" t="n"/>
      <c r="J332" s="298" t="n"/>
      <c r="K332" s="298" t="n"/>
      <c r="L332" s="298" t="n"/>
      <c r="M332" s="298" t="n"/>
      <c r="N332" s="298" t="n"/>
      <c r="O332" s="299" t="n"/>
    </row>
    <row r="333" ht="44" customHeight="1">
      <c r="A333" s="303" t="inlineStr">
        <is>
          <t>Key caveat</t>
        </is>
      </c>
      <c r="B333" s="304" t="n"/>
      <c r="C333" s="298" t="n"/>
      <c r="D333" s="298" t="n"/>
      <c r="E333" s="298" t="n"/>
      <c r="F333" s="298" t="n"/>
      <c r="G333" s="298" t="n"/>
      <c r="H333" s="298" t="n"/>
      <c r="I333" s="298" t="n"/>
      <c r="J333" s="298" t="n"/>
      <c r="K333" s="298" t="n"/>
      <c r="L333" s="298" t="n"/>
      <c r="M333" s="298" t="n"/>
      <c r="N333" s="298" t="n"/>
      <c r="O333" s="299" t="n"/>
    </row>
    <row r="334" ht="10" customHeight="1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</row>
    <row r="335" ht="25" customHeight="1">
      <c r="A335" s="300" t="inlineStr">
        <is>
          <t>Key developments</t>
        </is>
      </c>
      <c r="B335" s="298" t="n"/>
      <c r="C335" s="298" t="n"/>
      <c r="D335" s="298" t="n"/>
      <c r="E335" s="298" t="n"/>
      <c r="F335" s="298" t="n"/>
      <c r="G335" s="298" t="n"/>
      <c r="H335" s="298" t="n"/>
      <c r="I335" s="298" t="n"/>
      <c r="J335" s="298" t="n"/>
      <c r="K335" s="298" t="n"/>
      <c r="L335" s="298" t="n"/>
      <c r="M335" s="298" t="n"/>
      <c r="N335" s="298" t="n"/>
      <c r="O335" s="299" t="n"/>
    </row>
    <row r="336" ht="26" customHeight="1">
      <c r="A336" s="306" t="inlineStr">
        <is>
          <t>Theme</t>
        </is>
      </c>
      <c r="B336" s="299" t="n"/>
      <c r="C336" s="306" t="inlineStr">
        <is>
          <t>What happened</t>
        </is>
      </c>
      <c r="D336" s="298" t="n"/>
      <c r="E336" s="299" t="n"/>
      <c r="F336" s="306" t="inlineStr">
        <is>
          <t>Why it matters</t>
        </is>
      </c>
      <c r="G336" s="299" t="n"/>
      <c r="H336" s="306" t="inlineStr">
        <is>
          <t>Model / valuation implication</t>
        </is>
      </c>
      <c r="I336" s="298" t="n"/>
      <c r="J336" s="298" t="n"/>
      <c r="K336" s="298" t="n"/>
      <c r="L336" s="299" t="n"/>
      <c r="M336" s="306" t="inlineStr">
        <is>
          <t>Source / confidence</t>
        </is>
      </c>
      <c r="N336" s="298" t="n"/>
      <c r="O336" s="299" t="n"/>
    </row>
    <row r="337" ht="48" customHeight="1">
      <c r="A337" s="302" t="inlineStr">
        <is>
          <t>[Quarter note theme slot 337]</t>
        </is>
      </c>
      <c r="B337" s="299" t="n"/>
      <c r="C337" s="302" t="n"/>
      <c r="D337" s="298" t="n"/>
      <c r="E337" s="299" t="n"/>
      <c r="F337" s="302" t="n"/>
      <c r="G337" s="299" t="n"/>
      <c r="H337" s="302" t="n"/>
      <c r="I337" s="298" t="n"/>
      <c r="J337" s="298" t="n"/>
      <c r="K337" s="298" t="n"/>
      <c r="L337" s="299" t="n"/>
      <c r="M337" s="302" t="n"/>
      <c r="N337" s="298" t="n"/>
      <c r="O337" s="299" t="n"/>
    </row>
    <row r="338" ht="48" customHeight="1">
      <c r="A338" s="304" t="inlineStr">
        <is>
          <t>[Quarter note theme slot 338]</t>
        </is>
      </c>
      <c r="B338" s="299" t="n"/>
      <c r="C338" s="304" t="n"/>
      <c r="D338" s="298" t="n"/>
      <c r="E338" s="299" t="n"/>
      <c r="F338" s="304" t="n"/>
      <c r="G338" s="299" t="n"/>
      <c r="H338" s="304" t="n"/>
      <c r="I338" s="298" t="n"/>
      <c r="J338" s="298" t="n"/>
      <c r="K338" s="298" t="n"/>
      <c r="L338" s="299" t="n"/>
      <c r="M338" s="304" t="n"/>
      <c r="N338" s="298" t="n"/>
      <c r="O338" s="299" t="n"/>
    </row>
    <row r="339" ht="48" customHeight="1">
      <c r="A339" s="302" t="inlineStr">
        <is>
          <t>[Quarter note theme slot 339]</t>
        </is>
      </c>
      <c r="B339" s="299" t="n"/>
      <c r="C339" s="302" t="n"/>
      <c r="D339" s="298" t="n"/>
      <c r="E339" s="299" t="n"/>
      <c r="F339" s="302" t="n"/>
      <c r="G339" s="299" t="n"/>
      <c r="H339" s="302" t="n"/>
      <c r="I339" s="298" t="n"/>
      <c r="J339" s="298" t="n"/>
      <c r="K339" s="298" t="n"/>
      <c r="L339" s="299" t="n"/>
      <c r="M339" s="302" t="n"/>
      <c r="N339" s="298" t="n"/>
      <c r="O339" s="299" t="n"/>
    </row>
    <row r="340" ht="48" customHeight="1">
      <c r="A340" s="304" t="inlineStr">
        <is>
          <t>[Quarter note theme slot 340]</t>
        </is>
      </c>
      <c r="B340" s="299" t="n"/>
      <c r="C340" s="304" t="n"/>
      <c r="D340" s="298" t="n"/>
      <c r="E340" s="299" t="n"/>
      <c r="F340" s="304" t="n"/>
      <c r="G340" s="299" t="n"/>
      <c r="H340" s="304" t="n"/>
      <c r="I340" s="298" t="n"/>
      <c r="J340" s="298" t="n"/>
      <c r="K340" s="298" t="n"/>
      <c r="L340" s="299" t="n"/>
      <c r="M340" s="304" t="n"/>
      <c r="N340" s="298" t="n"/>
      <c r="O340" s="299" t="n"/>
    </row>
    <row r="341" ht="48" customHeight="1">
      <c r="A341" s="302" t="inlineStr">
        <is>
          <t>[Quarter note theme slot 341]</t>
        </is>
      </c>
      <c r="B341" s="299" t="n"/>
      <c r="C341" s="302" t="n"/>
      <c r="D341" s="298" t="n"/>
      <c r="E341" s="299" t="n"/>
      <c r="F341" s="302" t="n"/>
      <c r="G341" s="299" t="n"/>
      <c r="H341" s="302" t="n"/>
      <c r="I341" s="298" t="n"/>
      <c r="J341" s="298" t="n"/>
      <c r="K341" s="298" t="n"/>
      <c r="L341" s="299" t="n"/>
      <c r="M341" s="302" t="n"/>
      <c r="N341" s="298" t="n"/>
      <c r="O341" s="299" t="n"/>
    </row>
    <row r="342" ht="10" customHeight="1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</row>
    <row r="343" ht="25" customHeight="1">
      <c r="A343" s="300" t="inlineStr">
        <is>
          <t>Guidance / Promise interpretation</t>
        </is>
      </c>
      <c r="B343" s="298" t="n"/>
      <c r="C343" s="298" t="n"/>
      <c r="D343" s="298" t="n"/>
      <c r="E343" s="298" t="n"/>
      <c r="F343" s="298" t="n"/>
      <c r="G343" s="298" t="n"/>
      <c r="H343" s="298" t="n"/>
      <c r="I343" s="298" t="n"/>
      <c r="J343" s="298" t="n"/>
      <c r="K343" s="298" t="n"/>
      <c r="L343" s="298" t="n"/>
      <c r="M343" s="298" t="n"/>
      <c r="N343" s="298" t="n"/>
      <c r="O343" s="299" t="n"/>
    </row>
    <row r="344" ht="26" customHeight="1">
      <c r="A344" s="306" t="inlineStr">
        <is>
          <t>Promise / guidance item</t>
        </is>
      </c>
      <c r="B344" s="299" t="n"/>
      <c r="C344" s="306" t="inlineStr">
        <is>
          <t>Read</t>
        </is>
      </c>
      <c r="D344" s="298" t="n"/>
      <c r="E344" s="299" t="n"/>
      <c r="F344" s="306" t="inlineStr">
        <is>
          <t>Actual / progress interpretation</t>
        </is>
      </c>
      <c r="G344" s="298" t="n"/>
      <c r="H344" s="299" t="n"/>
      <c r="I344" s="306" t="inlineStr">
        <is>
          <t>Status / caveat</t>
        </is>
      </c>
      <c r="J344" s="298" t="n"/>
      <c r="K344" s="298" t="n"/>
      <c r="L344" s="299" t="n"/>
      <c r="M344" s="306" t="inlineStr">
        <is>
          <t>Source</t>
        </is>
      </c>
      <c r="N344" s="298" t="n"/>
      <c r="O344" s="299" t="n"/>
    </row>
    <row r="345" ht="30" customHeight="1">
      <c r="A345" s="302" t="inlineStr">
        <is>
          <t>[Quarter note theme slot 345]</t>
        </is>
      </c>
      <c r="B345" s="299" t="n"/>
      <c r="C345" s="302" t="n"/>
      <c r="D345" s="298" t="n"/>
      <c r="E345" s="298" t="n"/>
      <c r="F345" s="298" t="n"/>
      <c r="G345" s="298" t="n"/>
      <c r="H345" s="298" t="n"/>
      <c r="I345" s="298" t="n"/>
      <c r="J345" s="298" t="n"/>
      <c r="K345" s="298" t="n"/>
      <c r="L345" s="299" t="n"/>
      <c r="M345" s="302" t="n"/>
      <c r="N345" s="298" t="n"/>
      <c r="O345" s="299" t="n"/>
    </row>
    <row r="346" ht="10" customHeight="1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</row>
    <row r="347" ht="25" customHeight="1">
      <c r="A347" s="300" t="inlineStr">
        <is>
          <t>Model mapping / double-count guardrails</t>
        </is>
      </c>
      <c r="B347" s="298" t="n"/>
      <c r="C347" s="298" t="n"/>
      <c r="D347" s="298" t="n"/>
      <c r="E347" s="298" t="n"/>
      <c r="F347" s="298" t="n"/>
      <c r="G347" s="298" t="n"/>
      <c r="H347" s="298" t="n"/>
      <c r="I347" s="298" t="n"/>
      <c r="J347" s="298" t="n"/>
      <c r="K347" s="298" t="n"/>
      <c r="L347" s="298" t="n"/>
      <c r="M347" s="298" t="n"/>
      <c r="N347" s="298" t="n"/>
      <c r="O347" s="299" t="n"/>
    </row>
    <row r="348" ht="26" customHeight="1">
      <c r="A348" s="306" t="inlineStr">
        <is>
          <t>Driver</t>
        </is>
      </c>
      <c r="B348" s="299" t="n"/>
      <c r="C348" s="306" t="inlineStr">
        <is>
          <t>Model treatment</t>
        </is>
      </c>
      <c r="D348" s="298" t="n"/>
      <c r="E348" s="298" t="n"/>
      <c r="F348" s="299" t="n"/>
      <c r="G348" s="306" t="inlineStr">
        <is>
          <t>Double-count guardrail</t>
        </is>
      </c>
      <c r="H348" s="298" t="n"/>
      <c r="I348" s="298" t="n"/>
      <c r="J348" s="298" t="n"/>
      <c r="K348" s="298" t="n"/>
      <c r="L348" s="299" t="n"/>
      <c r="M348" s="306" t="inlineStr">
        <is>
          <t>Linked sheet / metric</t>
        </is>
      </c>
      <c r="N348" s="298" t="n"/>
      <c r="O348" s="299" t="n"/>
    </row>
    <row r="349" ht="48" customHeight="1">
      <c r="A349" s="302" t="inlineStr">
        <is>
          <t>[Quarter note theme slot 349]</t>
        </is>
      </c>
      <c r="B349" s="299" t="n"/>
      <c r="C349" s="302" t="n"/>
      <c r="D349" s="298" t="n"/>
      <c r="E349" s="298" t="n"/>
      <c r="F349" s="299" t="n"/>
      <c r="G349" s="302" t="n"/>
      <c r="H349" s="298" t="n"/>
      <c r="I349" s="298" t="n"/>
      <c r="J349" s="298" t="n"/>
      <c r="K349" s="298" t="n"/>
      <c r="L349" s="299" t="n"/>
      <c r="M349" s="302" t="n"/>
      <c r="N349" s="298" t="n"/>
      <c r="O349" s="299" t="n"/>
    </row>
    <row r="350" ht="34" customHeight="1">
      <c r="A350" s="304" t="inlineStr">
        <is>
          <t>[Quarter note theme slot 350]</t>
        </is>
      </c>
      <c r="B350" s="299" t="n"/>
      <c r="C350" s="304" t="n"/>
      <c r="D350" s="298" t="n"/>
      <c r="E350" s="298" t="n"/>
      <c r="F350" s="299" t="n"/>
      <c r="G350" s="304" t="n"/>
      <c r="H350" s="298" t="n"/>
      <c r="I350" s="298" t="n"/>
      <c r="J350" s="298" t="n"/>
      <c r="K350" s="298" t="n"/>
      <c r="L350" s="299" t="n"/>
      <c r="M350" s="304" t="n"/>
      <c r="N350" s="298" t="n"/>
      <c r="O350" s="299" t="n"/>
    </row>
    <row r="351" ht="48" customHeight="1">
      <c r="A351" s="302" t="inlineStr">
        <is>
          <t>[Quarter note theme slot 351]</t>
        </is>
      </c>
      <c r="B351" s="299" t="n"/>
      <c r="C351" s="302" t="n"/>
      <c r="D351" s="298" t="n"/>
      <c r="E351" s="298" t="n"/>
      <c r="F351" s="299" t="n"/>
      <c r="G351" s="302" t="n"/>
      <c r="H351" s="298" t="n"/>
      <c r="I351" s="298" t="n"/>
      <c r="J351" s="298" t="n"/>
      <c r="K351" s="298" t="n"/>
      <c r="L351" s="299" t="n"/>
      <c r="M351" s="302" t="n"/>
      <c r="N351" s="298" t="n"/>
      <c r="O351" s="299" t="n"/>
    </row>
    <row r="352" ht="34" customHeight="1">
      <c r="A352" s="304" t="inlineStr">
        <is>
          <t>[Quarter note theme slot 352]</t>
        </is>
      </c>
      <c r="B352" s="299" t="n"/>
      <c r="C352" s="304" t="n"/>
      <c r="D352" s="298" t="n"/>
      <c r="E352" s="298" t="n"/>
      <c r="F352" s="299" t="n"/>
      <c r="G352" s="304" t="n"/>
      <c r="H352" s="298" t="n"/>
      <c r="I352" s="298" t="n"/>
      <c r="J352" s="298" t="n"/>
      <c r="K352" s="298" t="n"/>
      <c r="L352" s="299" t="n"/>
      <c r="M352" s="304" t="n"/>
      <c r="N352" s="298" t="n"/>
      <c r="O352" s="299" t="n"/>
    </row>
    <row r="353" ht="34" customHeight="1">
      <c r="A353" s="302" t="inlineStr">
        <is>
          <t>[Quarter note theme slot 353]</t>
        </is>
      </c>
      <c r="B353" s="299" t="n"/>
      <c r="C353" s="302" t="n"/>
      <c r="D353" s="298" t="n"/>
      <c r="E353" s="298" t="n"/>
      <c r="F353" s="299" t="n"/>
      <c r="G353" s="302" t="n"/>
      <c r="H353" s="298" t="n"/>
      <c r="I353" s="298" t="n"/>
      <c r="J353" s="298" t="n"/>
      <c r="K353" s="298" t="n"/>
      <c r="L353" s="299" t="n"/>
      <c r="M353" s="302" t="n"/>
      <c r="N353" s="298" t="n"/>
      <c r="O353" s="299" t="n"/>
    </row>
  </sheetData>
  <mergeCells count="1006">
    <mergeCell ref="A196:O196"/>
    <mergeCell ref="A15:B15"/>
    <mergeCell ref="A186:B186"/>
    <mergeCell ref="F18:H18"/>
    <mergeCell ref="C255:E255"/>
    <mergeCell ref="A257:B257"/>
    <mergeCell ref="G93:L93"/>
    <mergeCell ref="A51:B51"/>
    <mergeCell ref="A107:B107"/>
    <mergeCell ref="H171:L171"/>
    <mergeCell ref="A178:B178"/>
    <mergeCell ref="F108:G108"/>
    <mergeCell ref="A349:B349"/>
    <mergeCell ref="F168:G168"/>
    <mergeCell ref="B3:O3"/>
    <mergeCell ref="F339:G339"/>
    <mergeCell ref="C21:E21"/>
    <mergeCell ref="G124:L124"/>
    <mergeCell ref="G216:L216"/>
    <mergeCell ref="B303:O303"/>
    <mergeCell ref="M145:O145"/>
    <mergeCell ref="F317:H317"/>
    <mergeCell ref="C62:F62"/>
    <mergeCell ref="C24:F24"/>
    <mergeCell ref="G182:L182"/>
    <mergeCell ref="C322:F322"/>
    <mergeCell ref="A267:B267"/>
    <mergeCell ref="C89:F89"/>
    <mergeCell ref="M76:O76"/>
    <mergeCell ref="M147:O147"/>
    <mergeCell ref="C187:F187"/>
    <mergeCell ref="G119:L119"/>
    <mergeCell ref="C88:F88"/>
    <mergeCell ref="A274:O274"/>
    <mergeCell ref="C26:F26"/>
    <mergeCell ref="H287:L287"/>
    <mergeCell ref="G211:L211"/>
    <mergeCell ref="G295:L295"/>
    <mergeCell ref="C18:E18"/>
    <mergeCell ref="A269:B269"/>
    <mergeCell ref="M211:O211"/>
    <mergeCell ref="C285:E285"/>
    <mergeCell ref="C324:F324"/>
    <mergeCell ref="C349:F349"/>
    <mergeCell ref="A347:O347"/>
    <mergeCell ref="C318:L318"/>
    <mergeCell ref="C93:F93"/>
    <mergeCell ref="A231:B231"/>
    <mergeCell ref="A206:B206"/>
    <mergeCell ref="A62:B62"/>
    <mergeCell ref="C74:E74"/>
    <mergeCell ref="I146:L146"/>
    <mergeCell ref="B6:O6"/>
    <mergeCell ref="M236:O236"/>
    <mergeCell ref="A28:B28"/>
    <mergeCell ref="F177:H177"/>
    <mergeCell ref="A245:B245"/>
    <mergeCell ref="C113:E113"/>
    <mergeCell ref="B331:O331"/>
    <mergeCell ref="C309:E309"/>
    <mergeCell ref="B160:O160"/>
    <mergeCell ref="I344:L344"/>
    <mergeCell ref="A337:B337"/>
    <mergeCell ref="F235:H235"/>
    <mergeCell ref="I52:L52"/>
    <mergeCell ref="A30:B30"/>
    <mergeCell ref="M94:O94"/>
    <mergeCell ref="C168:E168"/>
    <mergeCell ref="B306:O306"/>
    <mergeCell ref="M287:O287"/>
    <mergeCell ref="F114:H114"/>
    <mergeCell ref="A59:B59"/>
    <mergeCell ref="C311:E311"/>
    <mergeCell ref="C167:E167"/>
    <mergeCell ref="C240:F240"/>
    <mergeCell ref="C232:E232"/>
    <mergeCell ref="A339:B339"/>
    <mergeCell ref="H255:L255"/>
    <mergeCell ref="A61:B61"/>
    <mergeCell ref="A153:B153"/>
    <mergeCell ref="C169:E169"/>
    <mergeCell ref="M239:O239"/>
    <mergeCell ref="M89:O89"/>
    <mergeCell ref="G353:L353"/>
    <mergeCell ref="M282:O282"/>
    <mergeCell ref="F45:G45"/>
    <mergeCell ref="F42:G42"/>
    <mergeCell ref="M26:O26"/>
    <mergeCell ref="A136:B136"/>
    <mergeCell ref="A262:O262"/>
    <mergeCell ref="C185:F185"/>
    <mergeCell ref="G213:L213"/>
    <mergeCell ref="F109:G109"/>
    <mergeCell ref="A72:O72"/>
    <mergeCell ref="C258:E258"/>
    <mergeCell ref="M184:O184"/>
    <mergeCell ref="F46:G46"/>
    <mergeCell ref="F290:H290"/>
    <mergeCell ref="G242:L242"/>
    <mergeCell ref="A181:B181"/>
    <mergeCell ref="M171:O171"/>
    <mergeCell ref="B304:O304"/>
    <mergeCell ref="C124:F124"/>
    <mergeCell ref="C260:E260"/>
    <mergeCell ref="A52:B52"/>
    <mergeCell ref="C116:E116"/>
    <mergeCell ref="M113:O113"/>
    <mergeCell ref="G244:L244"/>
    <mergeCell ref="C90:F90"/>
    <mergeCell ref="C259:E259"/>
    <mergeCell ref="C197:E197"/>
    <mergeCell ref="M311:O311"/>
    <mergeCell ref="A352:B352"/>
    <mergeCell ref="A83:B83"/>
    <mergeCell ref="H337:L337"/>
    <mergeCell ref="F73:G73"/>
    <mergeCell ref="A270:B270"/>
    <mergeCell ref="M212:O212"/>
    <mergeCell ref="C119:F119"/>
    <mergeCell ref="G348:L348"/>
    <mergeCell ref="H309:L309"/>
    <mergeCell ref="A49:B49"/>
    <mergeCell ref="G62:L62"/>
    <mergeCell ref="M108:O108"/>
    <mergeCell ref="G298:L298"/>
    <mergeCell ref="A207:B207"/>
    <mergeCell ref="F137:G137"/>
    <mergeCell ref="M227:O227"/>
    <mergeCell ref="H339:L339"/>
    <mergeCell ref="M214:O214"/>
    <mergeCell ref="A56:O56"/>
    <mergeCell ref="H311:L311"/>
    <mergeCell ref="H167:L167"/>
    <mergeCell ref="C115:E115"/>
    <mergeCell ref="A78:B78"/>
    <mergeCell ref="A271:B271"/>
    <mergeCell ref="F201:G201"/>
    <mergeCell ref="F139:G139"/>
    <mergeCell ref="M85:O85"/>
    <mergeCell ref="B161:O161"/>
    <mergeCell ref="H169:L169"/>
    <mergeCell ref="C144:E144"/>
    <mergeCell ref="M166:O166"/>
    <mergeCell ref="F203:G203"/>
    <mergeCell ref="F228:G228"/>
    <mergeCell ref="M337:O337"/>
    <mergeCell ref="C325:F325"/>
    <mergeCell ref="M309:O309"/>
    <mergeCell ref="F82:H82"/>
    <mergeCell ref="M230:O230"/>
    <mergeCell ref="F259:G259"/>
    <mergeCell ref="M240:O240"/>
    <mergeCell ref="M167:O167"/>
    <mergeCell ref="A143:O143"/>
    <mergeCell ref="C235:E235"/>
    <mergeCell ref="M232:O232"/>
    <mergeCell ref="A200:B200"/>
    <mergeCell ref="H258:L258"/>
    <mergeCell ref="C14:E14"/>
    <mergeCell ref="A156:B156"/>
    <mergeCell ref="F344:H344"/>
    <mergeCell ref="G296:L296"/>
    <mergeCell ref="A1:O1"/>
    <mergeCell ref="A202:B202"/>
    <mergeCell ref="A258:B258"/>
    <mergeCell ref="H260:L260"/>
    <mergeCell ref="C272:F272"/>
    <mergeCell ref="A24:B24"/>
    <mergeCell ref="A65:O65"/>
    <mergeCell ref="C137:E137"/>
    <mergeCell ref="H197:L197"/>
    <mergeCell ref="F256:G256"/>
    <mergeCell ref="A60:B60"/>
    <mergeCell ref="A260:B260"/>
    <mergeCell ref="C201:E201"/>
    <mergeCell ref="C139:E139"/>
    <mergeCell ref="M187:O187"/>
    <mergeCell ref="A197:B197"/>
    <mergeCell ref="M258:O258"/>
    <mergeCell ref="A124:B124"/>
    <mergeCell ref="B193:O193"/>
    <mergeCell ref="F285:G285"/>
    <mergeCell ref="B220:O220"/>
    <mergeCell ref="M350:O350"/>
    <mergeCell ref="C138:E138"/>
    <mergeCell ref="G24:L24"/>
    <mergeCell ref="M27:O27"/>
    <mergeCell ref="C76:E76"/>
    <mergeCell ref="C267:F267"/>
    <mergeCell ref="C203:E203"/>
    <mergeCell ref="G89:L89"/>
    <mergeCell ref="A302:O302"/>
    <mergeCell ref="M18:O18"/>
    <mergeCell ref="G322:L322"/>
    <mergeCell ref="M45:O45"/>
    <mergeCell ref="M116:O116"/>
    <mergeCell ref="A84:B84"/>
    <mergeCell ref="M352:O352"/>
    <mergeCell ref="G88:L88"/>
    <mergeCell ref="M91:O91"/>
    <mergeCell ref="G26:L26"/>
    <mergeCell ref="C269:F269"/>
    <mergeCell ref="B101:O101"/>
    <mergeCell ref="G153:L153"/>
    <mergeCell ref="G324:L324"/>
    <mergeCell ref="G349:L349"/>
    <mergeCell ref="A50:B50"/>
    <mergeCell ref="H108:L108"/>
    <mergeCell ref="M345:O345"/>
    <mergeCell ref="A213:B213"/>
    <mergeCell ref="A151:B151"/>
    <mergeCell ref="G90:L90"/>
    <mergeCell ref="M93:O93"/>
    <mergeCell ref="M155:O155"/>
    <mergeCell ref="M264:O264"/>
    <mergeCell ref="A293:O293"/>
    <mergeCell ref="A150:B150"/>
    <mergeCell ref="A321:B321"/>
    <mergeCell ref="F140:G140"/>
    <mergeCell ref="A144:B144"/>
    <mergeCell ref="C108:E108"/>
    <mergeCell ref="A215:B215"/>
    <mergeCell ref="C270:F270"/>
    <mergeCell ref="F338:G338"/>
    <mergeCell ref="F54:H54"/>
    <mergeCell ref="F19:H19"/>
    <mergeCell ref="F146:H146"/>
    <mergeCell ref="C45:E45"/>
    <mergeCell ref="A152:B152"/>
    <mergeCell ref="A323:B323"/>
    <mergeCell ref="C59:F59"/>
    <mergeCell ref="H14:L14"/>
    <mergeCell ref="C295:F295"/>
    <mergeCell ref="F83:H83"/>
    <mergeCell ref="M182:O182"/>
    <mergeCell ref="C109:E109"/>
    <mergeCell ref="G240:L240"/>
    <mergeCell ref="M169:O169"/>
    <mergeCell ref="B35:O35"/>
    <mergeCell ref="C61:F61"/>
    <mergeCell ref="B277:O277"/>
    <mergeCell ref="I290:L290"/>
    <mergeCell ref="A226:B226"/>
    <mergeCell ref="H43:L43"/>
    <mergeCell ref="F85:H85"/>
    <mergeCell ref="C153:F153"/>
    <mergeCell ref="C122:F122"/>
    <mergeCell ref="C40:E40"/>
    <mergeCell ref="M40:O40"/>
    <mergeCell ref="C282:E282"/>
    <mergeCell ref="A291:B291"/>
    <mergeCell ref="H137:L137"/>
    <mergeCell ref="H259:L259"/>
    <mergeCell ref="B252:O252"/>
    <mergeCell ref="C125:F125"/>
    <mergeCell ref="A241:B241"/>
    <mergeCell ref="C257:E257"/>
    <mergeCell ref="M12:O12"/>
    <mergeCell ref="M183:O183"/>
    <mergeCell ref="C186:F186"/>
    <mergeCell ref="C51:E51"/>
    <mergeCell ref="A228:B228"/>
    <mergeCell ref="M104:O104"/>
    <mergeCell ref="H74:L74"/>
    <mergeCell ref="M297:O297"/>
    <mergeCell ref="H201:L201"/>
    <mergeCell ref="M235:O235"/>
    <mergeCell ref="A248:O248"/>
    <mergeCell ref="M340:O340"/>
    <mergeCell ref="A172:B172"/>
    <mergeCell ref="C323:F323"/>
    <mergeCell ref="A243:B243"/>
    <mergeCell ref="B130:O130"/>
    <mergeCell ref="M41:O41"/>
    <mergeCell ref="A286:B286"/>
    <mergeCell ref="M106:O106"/>
    <mergeCell ref="A74:B74"/>
    <mergeCell ref="M24:O24"/>
    <mergeCell ref="F135:G135"/>
    <mergeCell ref="A236:B236"/>
    <mergeCell ref="M322:O322"/>
    <mergeCell ref="B132:O132"/>
    <mergeCell ref="I145:L145"/>
    <mergeCell ref="A81:O81"/>
    <mergeCell ref="A294:B294"/>
    <mergeCell ref="C140:E140"/>
    <mergeCell ref="A76:B76"/>
    <mergeCell ref="M259:O259"/>
    <mergeCell ref="F199:G199"/>
    <mergeCell ref="M197:O197"/>
    <mergeCell ref="M53:O53"/>
    <mergeCell ref="M324:O324"/>
    <mergeCell ref="C229:E229"/>
    <mergeCell ref="A289:O289"/>
    <mergeCell ref="M351:O351"/>
    <mergeCell ref="I147:L147"/>
    <mergeCell ref="C212:F212"/>
    <mergeCell ref="C77:E77"/>
    <mergeCell ref="A140:B140"/>
    <mergeCell ref="H198:L198"/>
    <mergeCell ref="A311:B311"/>
    <mergeCell ref="I18:L18"/>
    <mergeCell ref="M353:O353"/>
    <mergeCell ref="C141:E141"/>
    <mergeCell ref="C214:F214"/>
    <mergeCell ref="C206:E206"/>
    <mergeCell ref="M119:O119"/>
    <mergeCell ref="C120:F120"/>
    <mergeCell ref="G267:L267"/>
    <mergeCell ref="G156:L156"/>
    <mergeCell ref="A45:B45"/>
    <mergeCell ref="A216:B216"/>
    <mergeCell ref="A287:B287"/>
    <mergeCell ref="G187:L187"/>
    <mergeCell ref="C46:E46"/>
    <mergeCell ref="H40:L40"/>
    <mergeCell ref="B276:O276"/>
    <mergeCell ref="A2:O2"/>
    <mergeCell ref="A345:B345"/>
    <mergeCell ref="A46:B46"/>
    <mergeCell ref="A89:B89"/>
    <mergeCell ref="A254:O254"/>
    <mergeCell ref="M272:O272"/>
    <mergeCell ref="A282:B282"/>
    <mergeCell ref="M210:O210"/>
    <mergeCell ref="B278:O278"/>
    <mergeCell ref="H340:L340"/>
    <mergeCell ref="G91:L91"/>
    <mergeCell ref="A105:B105"/>
    <mergeCell ref="M14:O14"/>
    <mergeCell ref="M185:O185"/>
    <mergeCell ref="A26:B26"/>
    <mergeCell ref="M256:O256"/>
    <mergeCell ref="C283:E283"/>
    <mergeCell ref="M318:O318"/>
    <mergeCell ref="H138:L138"/>
    <mergeCell ref="A112:O112"/>
    <mergeCell ref="A242:B242"/>
    <mergeCell ref="A313:B313"/>
    <mergeCell ref="M122:O122"/>
    <mergeCell ref="F230:G230"/>
    <mergeCell ref="M43:O43"/>
    <mergeCell ref="M314:O314"/>
    <mergeCell ref="M285:O285"/>
    <mergeCell ref="A127:O127"/>
    <mergeCell ref="H140:L140"/>
    <mergeCell ref="A320:O320"/>
    <mergeCell ref="M338:O338"/>
    <mergeCell ref="F9:G9"/>
    <mergeCell ref="A184:B184"/>
    <mergeCell ref="A244:B244"/>
    <mergeCell ref="M186:O186"/>
    <mergeCell ref="F167:G167"/>
    <mergeCell ref="G151:L151"/>
    <mergeCell ref="A171:B171"/>
    <mergeCell ref="H229:L229"/>
    <mergeCell ref="A336:B336"/>
    <mergeCell ref="M107:O107"/>
    <mergeCell ref="H77:L77"/>
    <mergeCell ref="C236:L236"/>
    <mergeCell ref="A10:B10"/>
    <mergeCell ref="A115:B115"/>
    <mergeCell ref="F136:G136"/>
    <mergeCell ref="M201:O201"/>
    <mergeCell ref="G272:L272"/>
    <mergeCell ref="A344:B344"/>
    <mergeCell ref="A229:B229"/>
    <mergeCell ref="H141:L141"/>
    <mergeCell ref="A77:B77"/>
    <mergeCell ref="H135:L135"/>
    <mergeCell ref="M138:O138"/>
    <mergeCell ref="C268:F268"/>
    <mergeCell ref="B4:O4"/>
    <mergeCell ref="M203:O203"/>
    <mergeCell ref="A166:B166"/>
    <mergeCell ref="C230:E230"/>
    <mergeCell ref="A310:B310"/>
    <mergeCell ref="I82:L82"/>
    <mergeCell ref="C91:F91"/>
    <mergeCell ref="F227:G227"/>
    <mergeCell ref="C9:E9"/>
    <mergeCell ref="M140:O140"/>
    <mergeCell ref="M25:O25"/>
    <mergeCell ref="F202:G202"/>
    <mergeCell ref="M267:O267"/>
    <mergeCell ref="C57:F57"/>
    <mergeCell ref="I19:L19"/>
    <mergeCell ref="A168:B168"/>
    <mergeCell ref="C155:F155"/>
    <mergeCell ref="C264:L264"/>
    <mergeCell ref="M77:O77"/>
    <mergeCell ref="C11:E11"/>
    <mergeCell ref="F283:G283"/>
    <mergeCell ref="G269:L269"/>
    <mergeCell ref="M198:O198"/>
    <mergeCell ref="B70:O70"/>
    <mergeCell ref="M269:O269"/>
    <mergeCell ref="A33:O33"/>
    <mergeCell ref="H46:L46"/>
    <mergeCell ref="H282:L282"/>
    <mergeCell ref="C151:F151"/>
    <mergeCell ref="A8:O8"/>
    <mergeCell ref="A255:B255"/>
    <mergeCell ref="A326:B326"/>
    <mergeCell ref="M135:O135"/>
    <mergeCell ref="C58:F58"/>
    <mergeCell ref="A120:B120"/>
    <mergeCell ref="M62:O62"/>
    <mergeCell ref="C294:F294"/>
    <mergeCell ref="A239:B239"/>
    <mergeCell ref="A21:B21"/>
    <mergeCell ref="C215:F215"/>
    <mergeCell ref="G270:L270"/>
    <mergeCell ref="A57:B57"/>
    <mergeCell ref="A113:B113"/>
    <mergeCell ref="A308:O308"/>
    <mergeCell ref="H283:L283"/>
    <mergeCell ref="C152:F152"/>
    <mergeCell ref="G351:L351"/>
    <mergeCell ref="A290:B290"/>
    <mergeCell ref="G59:L59"/>
    <mergeCell ref="A39:O39"/>
    <mergeCell ref="M59:O59"/>
    <mergeCell ref="M295:O295"/>
    <mergeCell ref="B192:O192"/>
    <mergeCell ref="A103:O103"/>
    <mergeCell ref="G61:L61"/>
    <mergeCell ref="B222:O222"/>
    <mergeCell ref="M257:O257"/>
    <mergeCell ref="C297:F297"/>
    <mergeCell ref="G122:L122"/>
    <mergeCell ref="M88:O88"/>
    <mergeCell ref="M51:O51"/>
    <mergeCell ref="M82:O82"/>
    <mergeCell ref="C227:E227"/>
    <mergeCell ref="M153:O153"/>
    <mergeCell ref="B221:O221"/>
    <mergeCell ref="M349:O349"/>
    <mergeCell ref="C241:F241"/>
    <mergeCell ref="F11:G11"/>
    <mergeCell ref="G125:L125"/>
    <mergeCell ref="H166:L166"/>
    <mergeCell ref="M54:O54"/>
    <mergeCell ref="C177:E177"/>
    <mergeCell ref="G186:L186"/>
    <mergeCell ref="C226:E226"/>
    <mergeCell ref="C299:F299"/>
    <mergeCell ref="M90:O90"/>
    <mergeCell ref="A128:O128"/>
    <mergeCell ref="A123:B123"/>
    <mergeCell ref="C243:F243"/>
    <mergeCell ref="G152:L152"/>
    <mergeCell ref="A110:B110"/>
    <mergeCell ref="F40:G40"/>
    <mergeCell ref="H168:L168"/>
    <mergeCell ref="H230:L230"/>
    <mergeCell ref="G323:L323"/>
    <mergeCell ref="H9:L9"/>
    <mergeCell ref="I50:L50"/>
    <mergeCell ref="F12:G12"/>
    <mergeCell ref="A187:B187"/>
    <mergeCell ref="F104:G104"/>
    <mergeCell ref="A108:B108"/>
    <mergeCell ref="H232:L232"/>
    <mergeCell ref="F340:G340"/>
    <mergeCell ref="A23:O23"/>
    <mergeCell ref="H172:L172"/>
    <mergeCell ref="A18:B18"/>
    <mergeCell ref="C82:E82"/>
    <mergeCell ref="F41:G41"/>
    <mergeCell ref="F176:H176"/>
    <mergeCell ref="F106:G106"/>
    <mergeCell ref="G212:L212"/>
    <mergeCell ref="C19:E19"/>
    <mergeCell ref="I116:L116"/>
    <mergeCell ref="M141:O141"/>
    <mergeCell ref="C317:E317"/>
    <mergeCell ref="H336:L336"/>
    <mergeCell ref="M206:O206"/>
    <mergeCell ref="B249:O249"/>
    <mergeCell ref="I85:L85"/>
    <mergeCell ref="C25:F25"/>
    <mergeCell ref="A263:B263"/>
    <mergeCell ref="F147:H147"/>
    <mergeCell ref="C83:E83"/>
    <mergeCell ref="M83:O83"/>
    <mergeCell ref="G214:L214"/>
    <mergeCell ref="C183:F183"/>
    <mergeCell ref="M270:O270"/>
    <mergeCell ref="C175:E175"/>
    <mergeCell ref="G120:L120"/>
    <mergeCell ref="A29:B29"/>
    <mergeCell ref="M49:O49"/>
    <mergeCell ref="A121:B121"/>
    <mergeCell ref="M207:O207"/>
    <mergeCell ref="A44:B44"/>
    <mergeCell ref="H285:L285"/>
    <mergeCell ref="A58:B58"/>
    <mergeCell ref="M78:O78"/>
    <mergeCell ref="A174:O174"/>
    <mergeCell ref="A205:O205"/>
    <mergeCell ref="F172:G172"/>
    <mergeCell ref="B129:O129"/>
    <mergeCell ref="A73:B73"/>
    <mergeCell ref="H227:L227"/>
    <mergeCell ref="B194:O194"/>
    <mergeCell ref="A118:O118"/>
    <mergeCell ref="A238:O238"/>
    <mergeCell ref="M296:O296"/>
    <mergeCell ref="B131:O131"/>
    <mergeCell ref="M283:O283"/>
    <mergeCell ref="B223:O223"/>
    <mergeCell ref="F115:H115"/>
    <mergeCell ref="M298:O298"/>
    <mergeCell ref="C228:E228"/>
    <mergeCell ref="M154:O154"/>
    <mergeCell ref="M325:O325"/>
    <mergeCell ref="F287:G287"/>
    <mergeCell ref="M156:O156"/>
    <mergeCell ref="H11:L11"/>
    <mergeCell ref="C184:F184"/>
    <mergeCell ref="H109:L109"/>
    <mergeCell ref="F312:G312"/>
    <mergeCell ref="A42:B42"/>
    <mergeCell ref="A309:B309"/>
    <mergeCell ref="C121:F121"/>
    <mergeCell ref="F13:G13"/>
    <mergeCell ref="H75:L75"/>
    <mergeCell ref="A259:B259"/>
    <mergeCell ref="A329:O329"/>
    <mergeCell ref="A53:B53"/>
    <mergeCell ref="F105:G105"/>
    <mergeCell ref="A109:B109"/>
    <mergeCell ref="F43:G43"/>
    <mergeCell ref="F178:H178"/>
    <mergeCell ref="A240:B240"/>
    <mergeCell ref="F170:G170"/>
    <mergeCell ref="A324:B324"/>
    <mergeCell ref="F341:G341"/>
    <mergeCell ref="H12:L12"/>
    <mergeCell ref="I53:L53"/>
    <mergeCell ref="A266:O266"/>
    <mergeCell ref="A19:B19"/>
    <mergeCell ref="M9:O9"/>
    <mergeCell ref="H104:L104"/>
    <mergeCell ref="F313:G313"/>
    <mergeCell ref="G268:L268"/>
    <mergeCell ref="F107:G107"/>
    <mergeCell ref="A353:B353"/>
    <mergeCell ref="F21:H21"/>
    <mergeCell ref="M20:O20"/>
    <mergeCell ref="C20:E20"/>
    <mergeCell ref="B305:O305"/>
    <mergeCell ref="C85:E85"/>
    <mergeCell ref="M11:O11"/>
    <mergeCell ref="F113:H113"/>
    <mergeCell ref="H106:L106"/>
    <mergeCell ref="C256:E256"/>
    <mergeCell ref="M109:O109"/>
    <mergeCell ref="F171:G171"/>
    <mergeCell ref="G57:L57"/>
    <mergeCell ref="C84:E84"/>
    <mergeCell ref="M84:O84"/>
    <mergeCell ref="F50:H50"/>
    <mergeCell ref="C198:E198"/>
    <mergeCell ref="M75:O75"/>
    <mergeCell ref="C176:E176"/>
    <mergeCell ref="M271:O271"/>
    <mergeCell ref="C114:E114"/>
    <mergeCell ref="G121:L121"/>
    <mergeCell ref="A79:B79"/>
    <mergeCell ref="A149:O149"/>
    <mergeCell ref="C28:F28"/>
    <mergeCell ref="M15:O15"/>
    <mergeCell ref="M286:O286"/>
    <mergeCell ref="C326:F326"/>
    <mergeCell ref="G58:L58"/>
    <mergeCell ref="C178:E178"/>
    <mergeCell ref="C239:F239"/>
    <mergeCell ref="H226:L226"/>
    <mergeCell ref="G123:L123"/>
    <mergeCell ref="A137:B137"/>
    <mergeCell ref="C92:F92"/>
    <mergeCell ref="C30:F30"/>
    <mergeCell ref="A268:B268"/>
    <mergeCell ref="F198:G198"/>
    <mergeCell ref="G215:L215"/>
    <mergeCell ref="A145:B145"/>
    <mergeCell ref="F75:G75"/>
    <mergeCell ref="H228:L228"/>
    <mergeCell ref="A139:B139"/>
    <mergeCell ref="F231:G231"/>
    <mergeCell ref="A210:B210"/>
    <mergeCell ref="A272:B272"/>
    <mergeCell ref="A190:O190"/>
    <mergeCell ref="C13:E13"/>
    <mergeCell ref="F49:H49"/>
    <mergeCell ref="B333:O333"/>
    <mergeCell ref="I54:L54"/>
    <mergeCell ref="A203:B203"/>
    <mergeCell ref="B34:O34"/>
    <mergeCell ref="C338:E338"/>
    <mergeCell ref="F116:H116"/>
    <mergeCell ref="B99:O99"/>
    <mergeCell ref="C15:E15"/>
    <mergeCell ref="A48:O48"/>
    <mergeCell ref="C321:F321"/>
    <mergeCell ref="C313:E313"/>
    <mergeCell ref="M177:O177"/>
    <mergeCell ref="M299:O299"/>
    <mergeCell ref="G297:L297"/>
    <mergeCell ref="C104:E104"/>
    <mergeCell ref="M226:O226"/>
    <mergeCell ref="F337:G337"/>
    <mergeCell ref="M291:O291"/>
    <mergeCell ref="C340:E340"/>
    <mergeCell ref="A63:B63"/>
    <mergeCell ref="C79:E79"/>
    <mergeCell ref="I176:L176"/>
    <mergeCell ref="I114:L114"/>
    <mergeCell ref="C73:E73"/>
    <mergeCell ref="M170:O170"/>
    <mergeCell ref="G241:L241"/>
    <mergeCell ref="M241:O241"/>
    <mergeCell ref="B5:O5"/>
    <mergeCell ref="C231:E231"/>
    <mergeCell ref="G299:L299"/>
    <mergeCell ref="M228:O228"/>
    <mergeCell ref="C123:F123"/>
    <mergeCell ref="C10:E10"/>
    <mergeCell ref="F257:G257"/>
    <mergeCell ref="A92:B92"/>
    <mergeCell ref="G243:L243"/>
    <mergeCell ref="C181:F181"/>
    <mergeCell ref="M172:O172"/>
    <mergeCell ref="A350:B350"/>
    <mergeCell ref="F263:H263"/>
    <mergeCell ref="H256:L256"/>
    <mergeCell ref="A325:B325"/>
    <mergeCell ref="A119:B119"/>
    <mergeCell ref="A94:B94"/>
    <mergeCell ref="M30:O30"/>
    <mergeCell ref="G294:L294"/>
    <mergeCell ref="A256:B256"/>
    <mergeCell ref="H314:L314"/>
    <mergeCell ref="M46:O46"/>
    <mergeCell ref="M317:O317"/>
    <mergeCell ref="A183:B183"/>
    <mergeCell ref="C135:E135"/>
    <mergeCell ref="M61:O61"/>
    <mergeCell ref="G154:L154"/>
    <mergeCell ref="A264:B264"/>
    <mergeCell ref="F52:H52"/>
    <mergeCell ref="G325:L325"/>
    <mergeCell ref="F110:G110"/>
    <mergeCell ref="M175:O175"/>
    <mergeCell ref="G25:L25"/>
    <mergeCell ref="M150:O150"/>
    <mergeCell ref="M125:O125"/>
    <mergeCell ref="C199:E199"/>
    <mergeCell ref="M321:O321"/>
    <mergeCell ref="G183:L183"/>
    <mergeCell ref="M312:O312"/>
    <mergeCell ref="G60:L60"/>
    <mergeCell ref="M348:O348"/>
    <mergeCell ref="C29:F29"/>
    <mergeCell ref="F141:G141"/>
    <mergeCell ref="H203:L203"/>
    <mergeCell ref="C136:E136"/>
    <mergeCell ref="C271:F271"/>
    <mergeCell ref="C94:F94"/>
    <mergeCell ref="C263:E263"/>
    <mergeCell ref="H13:L13"/>
    <mergeCell ref="F53:H53"/>
    <mergeCell ref="M152:O152"/>
    <mergeCell ref="M323:O323"/>
    <mergeCell ref="M176:O176"/>
    <mergeCell ref="G185:L185"/>
    <mergeCell ref="M114:O114"/>
    <mergeCell ref="A147:B147"/>
    <mergeCell ref="H338:L338"/>
    <mergeCell ref="M216:O216"/>
    <mergeCell ref="H15:L15"/>
    <mergeCell ref="H313:L313"/>
    <mergeCell ref="F84:H84"/>
    <mergeCell ref="A343:O343"/>
    <mergeCell ref="F14:G14"/>
    <mergeCell ref="A281:O281"/>
    <mergeCell ref="A40:B40"/>
    <mergeCell ref="A211:B211"/>
    <mergeCell ref="C60:F60"/>
    <mergeCell ref="B36:O36"/>
    <mergeCell ref="A338:B338"/>
    <mergeCell ref="B163:O163"/>
    <mergeCell ref="C54:E54"/>
    <mergeCell ref="A87:O87"/>
    <mergeCell ref="A218:O218"/>
    <mergeCell ref="C41:E41"/>
    <mergeCell ref="F78:G78"/>
    <mergeCell ref="A82:B82"/>
    <mergeCell ref="C146:E146"/>
    <mergeCell ref="H231:L231"/>
    <mergeCell ref="A316:O316"/>
    <mergeCell ref="F314:G314"/>
    <mergeCell ref="B100:O100"/>
    <mergeCell ref="A340:B340"/>
    <mergeCell ref="H10:L10"/>
    <mergeCell ref="I51:L51"/>
    <mergeCell ref="M13:O13"/>
    <mergeCell ref="C105:E105"/>
    <mergeCell ref="M105:O105"/>
    <mergeCell ref="C43:E43"/>
    <mergeCell ref="F144:H144"/>
    <mergeCell ref="A146:B146"/>
    <mergeCell ref="M243:O243"/>
    <mergeCell ref="C341:E341"/>
    <mergeCell ref="M341:O341"/>
    <mergeCell ref="M120:O120"/>
    <mergeCell ref="M242:O242"/>
    <mergeCell ref="C245:F245"/>
    <mergeCell ref="C110:E110"/>
    <mergeCell ref="F169:G169"/>
    <mergeCell ref="A234:O234"/>
    <mergeCell ref="M244:O244"/>
    <mergeCell ref="A351:B351"/>
    <mergeCell ref="A209:O209"/>
    <mergeCell ref="M231:O231"/>
    <mergeCell ref="M336:O336"/>
    <mergeCell ref="H257:L257"/>
    <mergeCell ref="F200:G200"/>
    <mergeCell ref="A165:O165"/>
    <mergeCell ref="M115:O115"/>
    <mergeCell ref="B191:O191"/>
    <mergeCell ref="A141:B141"/>
    <mergeCell ref="H199:L199"/>
    <mergeCell ref="A135:B135"/>
    <mergeCell ref="F258:G258"/>
    <mergeCell ref="A122:B122"/>
    <mergeCell ref="C345:L345"/>
    <mergeCell ref="I317:L317"/>
    <mergeCell ref="I206:L206"/>
    <mergeCell ref="A275:O275"/>
    <mergeCell ref="G155:L155"/>
    <mergeCell ref="A199:B199"/>
    <mergeCell ref="F260:G260"/>
    <mergeCell ref="C213:F213"/>
    <mergeCell ref="C200:E200"/>
    <mergeCell ref="I235:L235"/>
    <mergeCell ref="F197:G197"/>
    <mergeCell ref="C336:E336"/>
    <mergeCell ref="B330:O330"/>
    <mergeCell ref="M178:O178"/>
    <mergeCell ref="C44:E44"/>
    <mergeCell ref="C150:F150"/>
    <mergeCell ref="G28:L28"/>
    <mergeCell ref="C202:E202"/>
    <mergeCell ref="G326:L326"/>
    <mergeCell ref="A66:O66"/>
    <mergeCell ref="M255:O255"/>
    <mergeCell ref="A158:O158"/>
    <mergeCell ref="H41:L41"/>
    <mergeCell ref="A88:B88"/>
    <mergeCell ref="G239:L239"/>
    <mergeCell ref="M168:O168"/>
    <mergeCell ref="C352:F352"/>
    <mergeCell ref="G92:L92"/>
    <mergeCell ref="M21:O21"/>
    <mergeCell ref="G30:L30"/>
    <mergeCell ref="A301:O301"/>
    <mergeCell ref="A54:B54"/>
    <mergeCell ref="F15:G15"/>
    <mergeCell ref="A41:B41"/>
    <mergeCell ref="A90:B90"/>
    <mergeCell ref="A212:B212"/>
    <mergeCell ref="A283:B283"/>
    <mergeCell ref="C210:F210"/>
    <mergeCell ref="H341:L341"/>
    <mergeCell ref="A32:O32"/>
    <mergeCell ref="A159:O159"/>
    <mergeCell ref="A97:O97"/>
    <mergeCell ref="A27:B27"/>
    <mergeCell ref="F79:G79"/>
    <mergeCell ref="H110:L110"/>
    <mergeCell ref="A154:B154"/>
    <mergeCell ref="A219:O219"/>
    <mergeCell ref="A214:B214"/>
    <mergeCell ref="H310:L310"/>
    <mergeCell ref="A285:B285"/>
    <mergeCell ref="B250:O250"/>
    <mergeCell ref="M313:O313"/>
    <mergeCell ref="A341:B341"/>
    <mergeCell ref="A96:O96"/>
    <mergeCell ref="G150:L150"/>
    <mergeCell ref="G321:L321"/>
    <mergeCell ref="A85:B85"/>
    <mergeCell ref="C49:E49"/>
    <mergeCell ref="M146:O146"/>
    <mergeCell ref="B37:O37"/>
    <mergeCell ref="C63:F63"/>
    <mergeCell ref="B279:O279"/>
    <mergeCell ref="M181:O181"/>
    <mergeCell ref="C42:E42"/>
    <mergeCell ref="C284:E284"/>
    <mergeCell ref="C344:E344"/>
    <mergeCell ref="M344:O344"/>
    <mergeCell ref="M52:O52"/>
    <mergeCell ref="M123:O123"/>
    <mergeCell ref="M245:O245"/>
    <mergeCell ref="F226:G226"/>
    <mergeCell ref="A230:B230"/>
    <mergeCell ref="G181:L181"/>
    <mergeCell ref="M110:O110"/>
    <mergeCell ref="A295:B295"/>
    <mergeCell ref="H136:L136"/>
    <mergeCell ref="C350:F350"/>
    <mergeCell ref="A9:B9"/>
    <mergeCell ref="C27:F27"/>
    <mergeCell ref="A167:B167"/>
    <mergeCell ref="F51:H51"/>
    <mergeCell ref="I83:L83"/>
    <mergeCell ref="A232:B232"/>
    <mergeCell ref="G245:L245"/>
    <mergeCell ref="F284:G284"/>
    <mergeCell ref="H78:L78"/>
    <mergeCell ref="F145:H145"/>
    <mergeCell ref="F10:G10"/>
    <mergeCell ref="H200:L200"/>
    <mergeCell ref="M339:O339"/>
    <mergeCell ref="A11:B11"/>
    <mergeCell ref="C75:E75"/>
    <mergeCell ref="A182:B182"/>
    <mergeCell ref="I20:L20"/>
    <mergeCell ref="A169:B169"/>
    <mergeCell ref="H44:L44"/>
    <mergeCell ref="A296:B296"/>
    <mergeCell ref="F286:G286"/>
    <mergeCell ref="A189:O189"/>
    <mergeCell ref="C12:E12"/>
    <mergeCell ref="F74:G74"/>
    <mergeCell ref="H202:L202"/>
    <mergeCell ref="M28:O28"/>
    <mergeCell ref="M199:O199"/>
    <mergeCell ref="F310:G310"/>
    <mergeCell ref="I84:L84"/>
    <mergeCell ref="M326:O326"/>
    <mergeCell ref="B332:O332"/>
    <mergeCell ref="A227:B227"/>
    <mergeCell ref="C52:E52"/>
    <mergeCell ref="H73:L73"/>
    <mergeCell ref="F138:G138"/>
    <mergeCell ref="F76:G76"/>
    <mergeCell ref="M136:O136"/>
    <mergeCell ref="A177:B177"/>
    <mergeCell ref="M263:O263"/>
    <mergeCell ref="C312:E312"/>
    <mergeCell ref="C337:E337"/>
    <mergeCell ref="B98:O98"/>
    <mergeCell ref="M57:O57"/>
    <mergeCell ref="C106:E106"/>
    <mergeCell ref="G29:L29"/>
    <mergeCell ref="C216:F216"/>
    <mergeCell ref="G271:L271"/>
    <mergeCell ref="M29:O29"/>
    <mergeCell ref="G94:L94"/>
    <mergeCell ref="M200:O200"/>
    <mergeCell ref="C339:E339"/>
    <mergeCell ref="B162:O162"/>
    <mergeCell ref="M121:O121"/>
    <mergeCell ref="A134:O134"/>
    <mergeCell ref="C170:E170"/>
    <mergeCell ref="C353:F353"/>
    <mergeCell ref="I144:L144"/>
    <mergeCell ref="A298:B298"/>
    <mergeCell ref="C145:E145"/>
    <mergeCell ref="A322:B322"/>
    <mergeCell ref="F206:H206"/>
    <mergeCell ref="A116:B116"/>
    <mergeCell ref="M202:O202"/>
    <mergeCell ref="M58:O58"/>
    <mergeCell ref="M294:O294"/>
    <mergeCell ref="A91:B91"/>
    <mergeCell ref="C211:F211"/>
    <mergeCell ref="M260:O260"/>
    <mergeCell ref="A299:B299"/>
    <mergeCell ref="A225:O225"/>
    <mergeCell ref="A155:B155"/>
    <mergeCell ref="H42:L42"/>
    <mergeCell ref="A93:B93"/>
    <mergeCell ref="B251:O251"/>
    <mergeCell ref="I177:L177"/>
    <mergeCell ref="C207:L207"/>
    <mergeCell ref="C50:E50"/>
    <mergeCell ref="A284:B284"/>
    <mergeCell ref="C286:E286"/>
    <mergeCell ref="G184:L184"/>
    <mergeCell ref="A335:O335"/>
    <mergeCell ref="F309:G309"/>
    <mergeCell ref="M124:O124"/>
    <mergeCell ref="C351:F351"/>
    <mergeCell ref="C287:E287"/>
    <mergeCell ref="M42:O42"/>
    <mergeCell ref="M213:O213"/>
    <mergeCell ref="M151:O151"/>
    <mergeCell ref="A75:B75"/>
    <mergeCell ref="A317:B317"/>
    <mergeCell ref="A17:O17"/>
    <mergeCell ref="H79:L79"/>
    <mergeCell ref="A12:B12"/>
    <mergeCell ref="A180:O180"/>
    <mergeCell ref="M19:O19"/>
    <mergeCell ref="A104:B104"/>
    <mergeCell ref="H45:L45"/>
    <mergeCell ref="A175:B175"/>
    <mergeCell ref="A235:B235"/>
    <mergeCell ref="A297:B297"/>
    <mergeCell ref="F336:G336"/>
    <mergeCell ref="A14:B14"/>
    <mergeCell ref="C78:E78"/>
    <mergeCell ref="I175:L175"/>
    <mergeCell ref="A185:B185"/>
    <mergeCell ref="F311:G311"/>
    <mergeCell ref="A312:B312"/>
    <mergeCell ref="C314:E314"/>
    <mergeCell ref="A106:B106"/>
    <mergeCell ref="F229:G229"/>
    <mergeCell ref="A328:O328"/>
    <mergeCell ref="M44:O44"/>
    <mergeCell ref="F77:G77"/>
    <mergeCell ref="H139:L139"/>
    <mergeCell ref="C242:F242"/>
    <mergeCell ref="A43:B43"/>
    <mergeCell ref="C107:E107"/>
    <mergeCell ref="I21:L21"/>
    <mergeCell ref="B68:O68"/>
    <mergeCell ref="F166:G166"/>
    <mergeCell ref="A170:B170"/>
    <mergeCell ref="C172:E172"/>
    <mergeCell ref="I263:L263"/>
    <mergeCell ref="C291:L291"/>
    <mergeCell ref="H76:L76"/>
    <mergeCell ref="M79:O79"/>
    <mergeCell ref="C147:E147"/>
    <mergeCell ref="M73:O73"/>
    <mergeCell ref="M144:O144"/>
    <mergeCell ref="C171:E171"/>
    <mergeCell ref="C244:F244"/>
    <mergeCell ref="M60:O60"/>
    <mergeCell ref="F20:H20"/>
    <mergeCell ref="A201:B201"/>
    <mergeCell ref="H284:L284"/>
    <mergeCell ref="M10:O10"/>
    <mergeCell ref="G352:L352"/>
    <mergeCell ref="M137:O137"/>
    <mergeCell ref="M268:O268"/>
    <mergeCell ref="C296:F296"/>
    <mergeCell ref="A138:B138"/>
    <mergeCell ref="M74:O74"/>
    <mergeCell ref="F255:G255"/>
    <mergeCell ref="H286:L286"/>
    <mergeCell ref="G210:L210"/>
    <mergeCell ref="C348:F348"/>
    <mergeCell ref="M139:O139"/>
    <mergeCell ref="M310:O310"/>
    <mergeCell ref="C298:F298"/>
    <mergeCell ref="C154:F154"/>
    <mergeCell ref="A25:B25"/>
    <mergeCell ref="I178:L178"/>
    <mergeCell ref="A247:O247"/>
    <mergeCell ref="F282:G282"/>
    <mergeCell ref="F232:G232"/>
    <mergeCell ref="B67:O67"/>
    <mergeCell ref="C156:F156"/>
    <mergeCell ref="I49:L49"/>
    <mergeCell ref="A198:B198"/>
    <mergeCell ref="M284:O284"/>
    <mergeCell ref="G63:L63"/>
    <mergeCell ref="M63:O63"/>
    <mergeCell ref="C53:E53"/>
    <mergeCell ref="B69:O69"/>
    <mergeCell ref="M50:O50"/>
    <mergeCell ref="I113:L113"/>
    <mergeCell ref="M215:O215"/>
    <mergeCell ref="F175:H175"/>
    <mergeCell ref="H312:L312"/>
    <mergeCell ref="C310:E310"/>
    <mergeCell ref="C166:E166"/>
    <mergeCell ref="M92:O92"/>
    <mergeCell ref="G350:L350"/>
    <mergeCell ref="I115:L115"/>
    <mergeCell ref="A20:B20"/>
    <mergeCell ref="A125:B125"/>
    <mergeCell ref="G27:L27"/>
    <mergeCell ref="H105:L105"/>
    <mergeCell ref="A318:B318"/>
    <mergeCell ref="H170:L170"/>
    <mergeCell ref="M229:O229"/>
    <mergeCell ref="A348:B348"/>
    <mergeCell ref="C290:E290"/>
    <mergeCell ref="M290:O290"/>
    <mergeCell ref="A13:B13"/>
    <mergeCell ref="C182:F182"/>
    <mergeCell ref="H107:L107"/>
    <mergeCell ref="A176:B176"/>
    <mergeCell ref="A314:B314"/>
    <mergeCell ref="A114:B114"/>
    <mergeCell ref="F44:G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5"/>
  <sheetViews>
    <sheetView zoomScale="112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32" customWidth="1" min="3" max="3"/>
    <col width="15" customWidth="1" min="4" max="4"/>
    <col width="22" customWidth="1" min="5" max="5"/>
    <col width="28" customWidth="1" min="6" max="6"/>
    <col width="15" customWidth="1" min="7" max="7"/>
    <col width="14" customWidth="1" min="8" max="8"/>
    <col width="16" customWidth="1" min="9" max="9"/>
    <col width="14" customWidth="1" min="10" max="10"/>
    <col width="42" customWidth="1" min="11" max="11"/>
    <col width="42" customWidth="1" min="12" max="12"/>
    <col hidden="1" width="4" customWidth="1" min="13" max="13"/>
    <col hidden="1" width="4" customWidth="1" min="14" max="14"/>
    <col hidden="1" width="13" customWidth="1" min="15" max="15"/>
  </cols>
  <sheetData>
    <row r="1" ht="24" customHeight="1">
      <c r="A1" s="439" t="inlineStr">
        <is>
          <t>Promise Progress</t>
        </is>
      </c>
      <c r="B1" s="308" t="n"/>
      <c r="C1" s="308" t="n"/>
      <c r="D1" s="308" t="n"/>
      <c r="E1" s="308" t="n"/>
      <c r="F1" s="308" t="n"/>
      <c r="G1" s="308" t="n"/>
      <c r="H1" s="308" t="n"/>
      <c r="I1" s="308" t="n"/>
      <c r="J1" s="308" t="n"/>
      <c r="K1" s="308" t="n"/>
      <c r="L1" s="308" t="n"/>
    </row>
    <row r="2" ht="24" customHeight="1">
      <c r="A2" s="419" t="n"/>
      <c r="B2" s="419" t="n"/>
      <c r="C2" s="419" t="n"/>
      <c r="D2" s="419" t="n"/>
      <c r="E2" s="419" t="n"/>
      <c r="F2" s="419" t="n"/>
      <c r="G2" s="419" t="n"/>
      <c r="H2" s="419" t="n"/>
      <c r="I2" s="419" t="n"/>
      <c r="J2" s="419" t="n"/>
      <c r="K2" s="310" t="n"/>
      <c r="L2" s="310" t="n"/>
    </row>
    <row r="3" ht="22" customHeight="1">
      <c r="A3" s="439" t="inlineStr">
        <is>
          <t>Management Credibility Scorecard</t>
        </is>
      </c>
      <c r="B3" s="308" t="n"/>
      <c r="C3" s="308" t="n"/>
      <c r="D3" s="308" t="n"/>
      <c r="E3" s="308" t="n"/>
      <c r="F3" s="308" t="n"/>
      <c r="G3" s="308" t="n"/>
      <c r="H3" s="308" t="n"/>
      <c r="I3" s="308" t="n"/>
      <c r="J3" s="308" t="n"/>
      <c r="K3" s="308" t="n"/>
      <c r="L3" s="308" t="n"/>
    </row>
    <row r="4" ht="22" customHeight="1">
      <c r="A4" s="420" t="inlineStr">
        <is>
          <t>Category</t>
        </is>
      </c>
      <c r="B4" s="420" t="inlineStr">
        <is>
          <t>Score</t>
        </is>
      </c>
      <c r="C4" s="420" t="inlineStr">
        <is>
          <t>Evidence</t>
        </is>
      </c>
      <c r="D4" s="420" t="n"/>
      <c r="E4" s="420" t="n"/>
      <c r="F4" s="420" t="n"/>
      <c r="G4" s="420" t="inlineStr">
        <is>
          <t>Read</t>
        </is>
      </c>
      <c r="H4" s="420" t="n"/>
      <c r="I4" s="420" t="n"/>
      <c r="J4" s="420" t="n"/>
      <c r="K4" s="420" t="n"/>
      <c r="L4" s="420" t="n"/>
    </row>
    <row r="5" ht="24" customHeight="1">
      <c r="A5" s="419" t="inlineStr">
        <is>
          <t>[Credibility category slot 1]</t>
        </is>
      </c>
      <c r="B5" s="419" t="n"/>
      <c r="C5" s="464" t="n"/>
      <c r="D5" s="308" t="n"/>
      <c r="E5" s="308" t="n"/>
      <c r="F5" s="308" t="n"/>
      <c r="G5" s="464" t="n"/>
      <c r="H5" s="308" t="n"/>
      <c r="I5" s="308" t="n"/>
      <c r="J5" s="308" t="n"/>
      <c r="K5" s="308" t="n"/>
      <c r="L5" s="308" t="n"/>
    </row>
    <row r="6" ht="24" customHeight="1">
      <c r="A6" s="421" t="inlineStr">
        <is>
          <t>[Credibility category slot 2]</t>
        </is>
      </c>
      <c r="B6" s="421" t="n"/>
      <c r="C6" s="465" t="n"/>
      <c r="D6" s="308" t="n"/>
      <c r="E6" s="308" t="n"/>
      <c r="F6" s="308" t="n"/>
      <c r="G6" s="465" t="n"/>
      <c r="H6" s="308" t="n"/>
      <c r="I6" s="308" t="n"/>
      <c r="J6" s="308" t="n"/>
      <c r="K6" s="308" t="n"/>
      <c r="L6" s="308" t="n"/>
    </row>
    <row r="7" ht="24" customHeight="1">
      <c r="A7" s="419" t="inlineStr">
        <is>
          <t>[Credibility category slot 3]</t>
        </is>
      </c>
      <c r="B7" s="419" t="n"/>
      <c r="C7" s="464" t="n"/>
      <c r="D7" s="308" t="n"/>
      <c r="E7" s="308" t="n"/>
      <c r="F7" s="308" t="n"/>
      <c r="G7" s="464" t="n"/>
      <c r="H7" s="308" t="n"/>
      <c r="I7" s="308" t="n"/>
      <c r="J7" s="308" t="n"/>
      <c r="K7" s="308" t="n"/>
      <c r="L7" s="308" t="n"/>
    </row>
    <row r="8" ht="24" customHeight="1">
      <c r="A8" s="421" t="inlineStr">
        <is>
          <t>[Credibility category slot 4]</t>
        </is>
      </c>
      <c r="B8" s="421" t="n"/>
      <c r="C8" s="465" t="n"/>
      <c r="D8" s="308" t="n"/>
      <c r="E8" s="308" t="n"/>
      <c r="F8" s="308" t="n"/>
      <c r="G8" s="465" t="n"/>
      <c r="H8" s="308" t="n"/>
      <c r="I8" s="308" t="n"/>
      <c r="J8" s="308" t="n"/>
      <c r="K8" s="308" t="n"/>
      <c r="L8" s="308" t="n"/>
    </row>
    <row r="9" ht="24" customHeight="1">
      <c r="A9" s="419" t="inlineStr">
        <is>
          <t>[Credibility category slot 5]</t>
        </is>
      </c>
      <c r="B9" s="419" t="n"/>
      <c r="C9" s="464" t="n"/>
      <c r="D9" s="308" t="n"/>
      <c r="E9" s="308" t="n"/>
      <c r="F9" s="308" t="n"/>
      <c r="G9" s="464" t="n"/>
      <c r="H9" s="308" t="n"/>
      <c r="I9" s="308" t="n"/>
      <c r="J9" s="308" t="n"/>
      <c r="K9" s="308" t="n"/>
      <c r="L9" s="308" t="n"/>
    </row>
    <row r="10" ht="18" customHeight="1">
      <c r="A10" s="314" t="n"/>
      <c r="B10" s="314" t="n"/>
      <c r="C10" s="314" t="n"/>
      <c r="D10" s="314" t="n"/>
      <c r="E10" s="314" t="n"/>
      <c r="F10" s="314" t="n"/>
      <c r="G10" s="314" t="n"/>
      <c r="H10" s="314" t="n"/>
      <c r="I10" s="314" t="n"/>
      <c r="J10" s="314" t="n"/>
      <c r="K10" s="314" t="n"/>
      <c r="L10" s="314" t="n"/>
    </row>
    <row r="11" ht="22" customHeight="1">
      <c r="A11" s="439" t="inlineStr">
        <is>
          <t>Guidance progression - period block 1</t>
        </is>
      </c>
      <c r="B11" s="308" t="n"/>
      <c r="C11" s="308" t="n"/>
      <c r="D11" s="308" t="n"/>
      <c r="E11" s="308" t="n"/>
      <c r="F11" s="308" t="n"/>
      <c r="G11" s="308" t="n"/>
      <c r="H11" s="308" t="n"/>
      <c r="I11" s="308" t="n"/>
      <c r="J11" s="308" t="n"/>
      <c r="K11" s="308" t="n"/>
      <c r="L11" s="308" t="n"/>
    </row>
    <row r="12" ht="22" customHeight="1">
      <c r="A12" s="420" t="inlineStr">
        <is>
          <t>Metric</t>
        </is>
      </c>
      <c r="B12" s="420" t="inlineStr">
        <is>
          <t>Initial guide</t>
        </is>
      </c>
      <c r="C12" s="420" t="inlineStr">
        <is>
          <t>Q1 update</t>
        </is>
      </c>
      <c r="D12" s="420" t="inlineStr">
        <is>
          <t>Q2 update</t>
        </is>
      </c>
      <c r="E12" s="420" t="inlineStr">
        <is>
          <t>Q3 update</t>
        </is>
      </c>
      <c r="F12" s="420" t="inlineStr">
        <is>
          <t>Q4 update</t>
        </is>
      </c>
      <c r="G12" s="420" t="inlineStr">
        <is>
          <t>Actual</t>
        </is>
      </c>
      <c r="H12" s="420" t="inlineStr">
        <is>
          <t>Status</t>
        </is>
      </c>
      <c r="I12" s="440" t="inlineStr">
        <is>
          <t>Notes/source</t>
        </is>
      </c>
      <c r="J12" s="308" t="n"/>
      <c r="K12" s="308" t="n"/>
      <c r="L12" s="308" t="n"/>
    </row>
    <row r="13" ht="24" customHeight="1">
      <c r="A13" s="419" t="inlineStr">
        <is>
          <t>[Guidance metric slot 13]</t>
        </is>
      </c>
      <c r="B13" s="419" t="n"/>
      <c r="C13" s="419" t="n"/>
      <c r="D13" s="419" t="n"/>
      <c r="E13" s="419" t="n"/>
      <c r="F13" s="419" t="n"/>
      <c r="G13" s="419" t="n"/>
      <c r="H13" s="466" t="n"/>
      <c r="I13" s="464" t="n"/>
      <c r="J13" s="308" t="n"/>
      <c r="K13" s="308" t="n"/>
      <c r="L13" s="308" t="n"/>
    </row>
    <row r="14" ht="24" customHeight="1">
      <c r="A14" s="421" t="inlineStr">
        <is>
          <t>[Guidance metric slot 14]</t>
        </is>
      </c>
      <c r="B14" s="421" t="n"/>
      <c r="C14" s="421" t="n"/>
      <c r="D14" s="421" t="n"/>
      <c r="E14" s="421" t="n"/>
      <c r="F14" s="421" t="n"/>
      <c r="G14" s="421" t="n"/>
      <c r="H14" s="466" t="n"/>
      <c r="I14" s="465" t="n"/>
      <c r="J14" s="308" t="n"/>
      <c r="K14" s="308" t="n"/>
      <c r="L14" s="308" t="n"/>
    </row>
    <row r="15" ht="24" customHeight="1">
      <c r="A15" s="419" t="inlineStr">
        <is>
          <t>[Guidance metric slot 15]</t>
        </is>
      </c>
      <c r="B15" s="419" t="n"/>
      <c r="C15" s="419" t="n"/>
      <c r="D15" s="419" t="n"/>
      <c r="E15" s="419" t="n"/>
      <c r="F15" s="419" t="n"/>
      <c r="G15" s="419" t="n"/>
      <c r="H15" s="466" t="n"/>
      <c r="I15" s="464" t="n"/>
      <c r="J15" s="308" t="n"/>
      <c r="K15" s="308" t="n"/>
      <c r="L15" s="308" t="n"/>
    </row>
    <row r="16" ht="24" customHeight="1">
      <c r="A16" s="421" t="inlineStr">
        <is>
          <t>[Guidance metric slot 16]</t>
        </is>
      </c>
      <c r="B16" s="421" t="n"/>
      <c r="C16" s="421" t="n"/>
      <c r="D16" s="421" t="n"/>
      <c r="E16" s="421" t="n"/>
      <c r="F16" s="421" t="n"/>
      <c r="G16" s="421" t="n"/>
      <c r="H16" s="466" t="n"/>
      <c r="I16" s="465" t="n"/>
      <c r="J16" s="308" t="n"/>
      <c r="K16" s="308" t="n"/>
      <c r="L16" s="308" t="n"/>
    </row>
    <row r="17" ht="24" customHeight="1">
      <c r="A17" s="419" t="inlineStr">
        <is>
          <t>[Guidance metric slot 17]</t>
        </is>
      </c>
      <c r="B17" s="419" t="n"/>
      <c r="C17" s="419" t="n"/>
      <c r="D17" s="419" t="n"/>
      <c r="E17" s="419" t="n"/>
      <c r="F17" s="419" t="n"/>
      <c r="G17" s="419" t="n"/>
      <c r="H17" s="466" t="n"/>
      <c r="I17" s="464" t="n"/>
      <c r="J17" s="308" t="n"/>
      <c r="K17" s="308" t="n"/>
      <c r="L17" s="308" t="n"/>
    </row>
    <row r="18" ht="24" customHeight="1">
      <c r="A18" s="421" t="inlineStr">
        <is>
          <t>[Guidance metric slot 18]</t>
        </is>
      </c>
      <c r="B18" s="421" t="n"/>
      <c r="C18" s="421" t="n"/>
      <c r="D18" s="421" t="n"/>
      <c r="E18" s="421" t="n"/>
      <c r="F18" s="421" t="n"/>
      <c r="G18" s="421" t="n"/>
      <c r="H18" s="466" t="n"/>
      <c r="I18" s="465" t="n"/>
      <c r="J18" s="308" t="n"/>
      <c r="K18" s="308" t="n"/>
      <c r="L18" s="308" t="n"/>
    </row>
    <row r="19" ht="24" customHeight="1">
      <c r="A19" s="419" t="inlineStr">
        <is>
          <t>[Guidance metric slot 19]</t>
        </is>
      </c>
      <c r="B19" s="419" t="n"/>
      <c r="C19" s="419" t="n"/>
      <c r="D19" s="419" t="n"/>
      <c r="E19" s="419" t="n"/>
      <c r="F19" s="419" t="n"/>
      <c r="G19" s="419" t="n"/>
      <c r="H19" s="466" t="n"/>
      <c r="I19" s="464" t="n"/>
      <c r="J19" s="308" t="n"/>
      <c r="K19" s="308" t="n"/>
      <c r="L19" s="308" t="n"/>
    </row>
    <row r="20" ht="24" customHeight="1">
      <c r="A20" s="421" t="inlineStr">
        <is>
          <t>[Guidance metric slot 20]</t>
        </is>
      </c>
      <c r="B20" s="421" t="n"/>
      <c r="C20" s="421" t="n"/>
      <c r="D20" s="421" t="n"/>
      <c r="E20" s="421" t="n"/>
      <c r="F20" s="421" t="n"/>
      <c r="G20" s="421" t="n"/>
      <c r="H20" s="466" t="n"/>
      <c r="I20" s="465" t="n"/>
      <c r="J20" s="308" t="n"/>
      <c r="K20" s="308" t="n"/>
      <c r="L20" s="308" t="n"/>
    </row>
    <row r="21" ht="18" customHeight="1">
      <c r="A21" s="314" t="n"/>
      <c r="B21" s="314" t="n"/>
      <c r="C21" s="314" t="n"/>
      <c r="D21" s="314" t="n"/>
      <c r="E21" s="314" t="n"/>
      <c r="F21" s="314" t="n"/>
      <c r="G21" s="314" t="n"/>
      <c r="H21" s="314" t="n"/>
      <c r="I21" s="314" t="n"/>
      <c r="J21" s="314" t="n"/>
      <c r="K21" s="314" t="n"/>
      <c r="L21" s="314" t="n"/>
    </row>
    <row r="22" ht="22" customHeight="1">
      <c r="A22" s="439" t="inlineStr">
        <is>
          <t>Guidance progression - period block 2</t>
        </is>
      </c>
      <c r="B22" s="308" t="n"/>
      <c r="C22" s="308" t="n"/>
      <c r="D22" s="308" t="n"/>
      <c r="E22" s="308" t="n"/>
      <c r="F22" s="308" t="n"/>
      <c r="G22" s="308" t="n"/>
      <c r="H22" s="308" t="n"/>
      <c r="I22" s="308" t="n"/>
      <c r="J22" s="308" t="n"/>
      <c r="K22" s="308" t="n"/>
      <c r="L22" s="308" t="n"/>
    </row>
    <row r="23" ht="22" customHeight="1">
      <c r="A23" s="420" t="inlineStr">
        <is>
          <t>Metric</t>
        </is>
      </c>
      <c r="B23" s="420" t="inlineStr">
        <is>
          <t>Initial guide</t>
        </is>
      </c>
      <c r="C23" s="420" t="inlineStr">
        <is>
          <t>Q1 update</t>
        </is>
      </c>
      <c r="D23" s="420" t="inlineStr">
        <is>
          <t>Q2 update</t>
        </is>
      </c>
      <c r="E23" s="420" t="inlineStr">
        <is>
          <t>Q3 update</t>
        </is>
      </c>
      <c r="F23" s="420" t="inlineStr">
        <is>
          <t>Q4 update</t>
        </is>
      </c>
      <c r="G23" s="420" t="inlineStr">
        <is>
          <t>Actual</t>
        </is>
      </c>
      <c r="H23" s="420" t="inlineStr">
        <is>
          <t>Status</t>
        </is>
      </c>
      <c r="I23" s="440" t="inlineStr">
        <is>
          <t>Notes/source</t>
        </is>
      </c>
      <c r="J23" s="308" t="n"/>
      <c r="K23" s="308" t="n"/>
      <c r="L23" s="308" t="n"/>
    </row>
    <row r="24" ht="24" customHeight="1">
      <c r="A24" s="419" t="inlineStr">
        <is>
          <t>[Guidance metric slot 24]</t>
        </is>
      </c>
      <c r="B24" s="419" t="n"/>
      <c r="C24" s="419" t="n"/>
      <c r="D24" s="419" t="n"/>
      <c r="E24" s="419" t="n"/>
      <c r="F24" s="419" t="n"/>
      <c r="G24" s="419" t="n"/>
      <c r="H24" s="466" t="n"/>
      <c r="I24" s="464" t="n"/>
      <c r="J24" s="308" t="n"/>
      <c r="K24" s="308" t="n"/>
      <c r="L24" s="308" t="n"/>
    </row>
    <row r="25" ht="24" customHeight="1">
      <c r="A25" s="421" t="inlineStr">
        <is>
          <t>[Guidance metric slot 25]</t>
        </is>
      </c>
      <c r="B25" s="421" t="n"/>
      <c r="C25" s="421" t="n"/>
      <c r="D25" s="421" t="n"/>
      <c r="E25" s="421" t="n"/>
      <c r="F25" s="421" t="n"/>
      <c r="G25" s="421" t="n"/>
      <c r="H25" s="466" t="n"/>
      <c r="I25" s="465" t="n"/>
      <c r="J25" s="308" t="n"/>
      <c r="K25" s="308" t="n"/>
      <c r="L25" s="308" t="n"/>
    </row>
    <row r="26" ht="24" customHeight="1">
      <c r="A26" s="419" t="inlineStr">
        <is>
          <t>[Guidance metric slot 26]</t>
        </is>
      </c>
      <c r="B26" s="419" t="n"/>
      <c r="C26" s="419" t="n"/>
      <c r="D26" s="419" t="n"/>
      <c r="E26" s="419" t="n"/>
      <c r="F26" s="419" t="n"/>
      <c r="G26" s="419" t="n"/>
      <c r="H26" s="466" t="n"/>
      <c r="I26" s="464" t="n"/>
      <c r="J26" s="308" t="n"/>
      <c r="K26" s="308" t="n"/>
      <c r="L26" s="308" t="n"/>
    </row>
    <row r="27" ht="18" customHeight="1">
      <c r="A27" s="314" t="n"/>
      <c r="B27" s="314" t="n"/>
      <c r="C27" s="314" t="n"/>
      <c r="D27" s="314" t="n"/>
      <c r="E27" s="314" t="n"/>
      <c r="F27" s="314" t="n"/>
      <c r="G27" s="314" t="n"/>
      <c r="H27" s="314" t="n"/>
      <c r="I27" s="314" t="n"/>
      <c r="J27" s="314" t="n"/>
      <c r="K27" s="314" t="n"/>
      <c r="L27" s="314" t="n"/>
    </row>
    <row r="28" ht="22" customHeight="1">
      <c r="A28" s="439" t="inlineStr">
        <is>
          <t>Guidance progression - period block 3</t>
        </is>
      </c>
      <c r="B28" s="308" t="n"/>
      <c r="C28" s="308" t="n"/>
      <c r="D28" s="308" t="n"/>
      <c r="E28" s="308" t="n"/>
      <c r="F28" s="308" t="n"/>
      <c r="G28" s="308" t="n"/>
      <c r="H28" s="308" t="n"/>
      <c r="I28" s="308" t="n"/>
      <c r="J28" s="308" t="n"/>
      <c r="K28" s="308" t="n"/>
      <c r="L28" s="308" t="n"/>
    </row>
    <row r="29" ht="22" customHeight="1">
      <c r="A29" s="420" t="inlineStr">
        <is>
          <t>Metric</t>
        </is>
      </c>
      <c r="B29" s="420" t="inlineStr">
        <is>
          <t>Initial guide</t>
        </is>
      </c>
      <c r="C29" s="420" t="inlineStr">
        <is>
          <t>Q1 update</t>
        </is>
      </c>
      <c r="D29" s="420" t="inlineStr">
        <is>
          <t>Q2 update</t>
        </is>
      </c>
      <c r="E29" s="420" t="inlineStr">
        <is>
          <t>Q3 update</t>
        </is>
      </c>
      <c r="F29" s="420" t="inlineStr">
        <is>
          <t>Q4 update</t>
        </is>
      </c>
      <c r="G29" s="420" t="inlineStr">
        <is>
          <t>Actual</t>
        </is>
      </c>
      <c r="H29" s="420" t="inlineStr">
        <is>
          <t>Status</t>
        </is>
      </c>
      <c r="I29" s="440" t="inlineStr">
        <is>
          <t>Notes/source</t>
        </is>
      </c>
      <c r="J29" s="308" t="n"/>
      <c r="K29" s="308" t="n"/>
      <c r="L29" s="308" t="n"/>
    </row>
    <row r="30" ht="24" customHeight="1">
      <c r="A30" s="419" t="inlineStr">
        <is>
          <t>[Guidance metric slot 30]</t>
        </is>
      </c>
      <c r="B30" s="419" t="n"/>
      <c r="C30" s="419" t="n"/>
      <c r="D30" s="419" t="n"/>
      <c r="E30" s="419" t="n"/>
      <c r="F30" s="419" t="n"/>
      <c r="G30" s="419" t="n"/>
      <c r="H30" s="466" t="n"/>
      <c r="I30" s="464" t="n"/>
      <c r="J30" s="308" t="n"/>
      <c r="K30" s="308" t="n"/>
      <c r="L30" s="308" t="n"/>
    </row>
    <row r="31" ht="24" customHeight="1">
      <c r="A31" s="421" t="inlineStr">
        <is>
          <t>[Guidance metric slot 31]</t>
        </is>
      </c>
      <c r="B31" s="421" t="n"/>
      <c r="C31" s="421" t="n"/>
      <c r="D31" s="421" t="n"/>
      <c r="E31" s="421" t="n"/>
      <c r="F31" s="421" t="n"/>
      <c r="G31" s="421" t="n"/>
      <c r="H31" s="466" t="n"/>
      <c r="I31" s="465" t="n"/>
      <c r="J31" s="308" t="n"/>
      <c r="K31" s="308" t="n"/>
      <c r="L31" s="308" t="n"/>
    </row>
    <row r="32" ht="18" customHeight="1">
      <c r="A32" s="314" t="n"/>
      <c r="B32" s="314" t="n"/>
      <c r="C32" s="314" t="n"/>
      <c r="D32" s="314" t="n"/>
      <c r="E32" s="314" t="n"/>
      <c r="F32" s="314" t="n"/>
      <c r="G32" s="314" t="n"/>
      <c r="H32" s="314" t="n"/>
      <c r="I32" s="314" t="n"/>
      <c r="J32" s="314" t="n"/>
      <c r="K32" s="314" t="n"/>
      <c r="L32" s="314" t="n"/>
    </row>
    <row r="33" ht="22" customHeight="1">
      <c r="A33" s="439" t="inlineStr">
        <is>
          <t>Guidance progression - period block 4</t>
        </is>
      </c>
      <c r="B33" s="30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</row>
    <row r="34" ht="22" customHeight="1">
      <c r="A34" s="420" t="inlineStr">
        <is>
          <t>Metric</t>
        </is>
      </c>
      <c r="B34" s="420" t="inlineStr">
        <is>
          <t>Initial guide</t>
        </is>
      </c>
      <c r="C34" s="420" t="inlineStr">
        <is>
          <t>Q1 update</t>
        </is>
      </c>
      <c r="D34" s="420" t="inlineStr">
        <is>
          <t>Q2 update</t>
        </is>
      </c>
      <c r="E34" s="420" t="inlineStr">
        <is>
          <t>Q3 update</t>
        </is>
      </c>
      <c r="F34" s="420" t="inlineStr">
        <is>
          <t>Q4 update</t>
        </is>
      </c>
      <c r="G34" s="420" t="inlineStr">
        <is>
          <t>Actual</t>
        </is>
      </c>
      <c r="H34" s="420" t="inlineStr">
        <is>
          <t>Status</t>
        </is>
      </c>
      <c r="I34" s="440" t="inlineStr">
        <is>
          <t>Notes/source</t>
        </is>
      </c>
      <c r="J34" s="308" t="n"/>
      <c r="K34" s="308" t="n"/>
      <c r="L34" s="308" t="n"/>
    </row>
    <row r="35" ht="24" customHeight="1">
      <c r="A35" s="419" t="inlineStr">
        <is>
          <t>[Guidance metric slot 35]</t>
        </is>
      </c>
      <c r="B35" s="419" t="n"/>
      <c r="C35" s="419" t="n"/>
      <c r="D35" s="419" t="n"/>
      <c r="E35" s="419" t="n"/>
      <c r="F35" s="419" t="n"/>
      <c r="G35" s="419" t="n"/>
      <c r="H35" s="466" t="n"/>
      <c r="I35" s="464" t="n"/>
      <c r="J35" s="308" t="n"/>
      <c r="K35" s="308" t="n"/>
      <c r="L35" s="308" t="n"/>
    </row>
    <row r="36" ht="18" customHeight="1">
      <c r="A36" s="314" t="n"/>
      <c r="B36" s="314" t="n"/>
      <c r="C36" s="314" t="n"/>
      <c r="D36" s="314" t="n"/>
      <c r="E36" s="314" t="n"/>
      <c r="F36" s="314" t="n"/>
      <c r="G36" s="314" t="n"/>
      <c r="H36" s="314" t="n"/>
      <c r="I36" s="314" t="n"/>
      <c r="J36" s="314" t="n"/>
      <c r="K36" s="314" t="n"/>
      <c r="L36" s="314" t="n"/>
    </row>
    <row r="37" ht="22" customHeight="1">
      <c r="A37" s="439" t="inlineStr">
        <is>
          <t>Current open guidance</t>
        </is>
      </c>
      <c r="B37" s="308" t="n"/>
      <c r="C37" s="308" t="n"/>
      <c r="D37" s="308" t="n"/>
      <c r="E37" s="308" t="n"/>
      <c r="F37" s="308" t="n"/>
      <c r="G37" s="308" t="n"/>
      <c r="H37" s="308" t="n"/>
      <c r="I37" s="308" t="n"/>
      <c r="J37" s="308" t="n"/>
      <c r="K37" s="308" t="n"/>
      <c r="L37" s="308" t="n"/>
    </row>
    <row r="38" ht="22" customHeight="1">
      <c r="A38" s="420" t="inlineStr">
        <is>
          <t>Metric</t>
        </is>
      </c>
      <c r="B38" s="420" t="inlineStr">
        <is>
          <t>Current guide</t>
        </is>
      </c>
      <c r="C38" s="420" t="inlineStr">
        <is>
          <t>Horizon</t>
        </is>
      </c>
      <c r="D38" s="420" t="inlineStr">
        <is>
          <t>Status</t>
        </is>
      </c>
      <c r="E38" s="440" t="inlineStr">
        <is>
          <t>Notes/source</t>
        </is>
      </c>
      <c r="F38" s="308" t="n"/>
      <c r="G38" s="308" t="n"/>
      <c r="H38" s="308" t="n"/>
      <c r="I38" s="308" t="n"/>
      <c r="J38" s="308" t="n"/>
      <c r="K38" s="308" t="n"/>
      <c r="L38" s="308" t="n"/>
    </row>
    <row r="39" ht="24" customHeight="1">
      <c r="A39" s="419" t="inlineStr">
        <is>
          <t>[Guidance metric slot 39]</t>
        </is>
      </c>
      <c r="B39" s="419" t="n"/>
      <c r="C39" s="419" t="n"/>
      <c r="D39" s="427" t="n"/>
      <c r="E39" s="464" t="n"/>
      <c r="F39" s="308" t="n"/>
      <c r="G39" s="308" t="n"/>
      <c r="H39" s="308" t="n"/>
      <c r="I39" s="308" t="n"/>
      <c r="J39" s="308" t="n"/>
      <c r="K39" s="308" t="n"/>
      <c r="L39" s="308" t="n"/>
    </row>
    <row r="40" ht="24" customHeight="1">
      <c r="A40" s="421" t="inlineStr">
        <is>
          <t>[Guidance metric slot 40]</t>
        </is>
      </c>
      <c r="B40" s="421" t="n"/>
      <c r="C40" s="421" t="n"/>
      <c r="D40" s="427" t="n"/>
      <c r="E40" s="465" t="n"/>
      <c r="F40" s="308" t="n"/>
      <c r="G40" s="308" t="n"/>
      <c r="H40" s="308" t="n"/>
      <c r="I40" s="308" t="n"/>
      <c r="J40" s="308" t="n"/>
      <c r="K40" s="308" t="n"/>
      <c r="L40" s="308" t="n"/>
    </row>
    <row r="41" ht="24" customHeight="1">
      <c r="A41" s="419" t="inlineStr">
        <is>
          <t>[Guidance metric slot 41]</t>
        </is>
      </c>
      <c r="B41" s="419" t="n"/>
      <c r="C41" s="419" t="n"/>
      <c r="D41" s="427" t="n"/>
      <c r="E41" s="464" t="n"/>
      <c r="F41" s="308" t="n"/>
      <c r="G41" s="308" t="n"/>
      <c r="H41" s="308" t="n"/>
      <c r="I41" s="308" t="n"/>
      <c r="J41" s="308" t="n"/>
      <c r="K41" s="308" t="n"/>
      <c r="L41" s="308" t="n"/>
    </row>
    <row r="42" ht="24" customHeight="1">
      <c r="A42" s="421" t="inlineStr">
        <is>
          <t>[Guidance metric slot 42]</t>
        </is>
      </c>
      <c r="B42" s="421" t="n"/>
      <c r="C42" s="421" t="n"/>
      <c r="D42" s="427" t="n"/>
      <c r="E42" s="465" t="n"/>
      <c r="F42" s="308" t="n"/>
      <c r="G42" s="308" t="n"/>
      <c r="H42" s="308" t="n"/>
      <c r="I42" s="308" t="n"/>
      <c r="J42" s="308" t="n"/>
      <c r="K42" s="308" t="n"/>
      <c r="L42" s="308" t="n"/>
    </row>
    <row r="43" ht="24" customHeight="1">
      <c r="A43" s="419" t="inlineStr">
        <is>
          <t>[Guidance metric slot 43]</t>
        </is>
      </c>
      <c r="B43" s="419" t="n"/>
      <c r="C43" s="419" t="n"/>
      <c r="D43" s="427" t="n"/>
      <c r="E43" s="464" t="n"/>
      <c r="F43" s="308" t="n"/>
      <c r="G43" s="308" t="n"/>
      <c r="H43" s="308" t="n"/>
      <c r="I43" s="308" t="n"/>
      <c r="J43" s="308" t="n"/>
      <c r="K43" s="308" t="n"/>
      <c r="L43" s="308" t="n"/>
    </row>
    <row r="44" ht="24" customHeight="1">
      <c r="A44" s="421" t="inlineStr">
        <is>
          <t>[Guidance metric slot 44]</t>
        </is>
      </c>
      <c r="B44" s="421" t="n"/>
      <c r="C44" s="421" t="n"/>
      <c r="D44" s="427" t="n"/>
      <c r="E44" s="465" t="n"/>
      <c r="F44" s="308" t="n"/>
      <c r="G44" s="308" t="n"/>
      <c r="H44" s="308" t="n"/>
      <c r="I44" s="308" t="n"/>
      <c r="J44" s="308" t="n"/>
      <c r="K44" s="308" t="n"/>
      <c r="L44" s="308" t="n"/>
    </row>
    <row r="45" ht="24" customHeight="1">
      <c r="A45" s="419" t="inlineStr">
        <is>
          <t>[Guidance metric slot 45]</t>
        </is>
      </c>
      <c r="B45" s="419" t="n"/>
      <c r="C45" s="419" t="n"/>
      <c r="D45" s="427" t="n"/>
      <c r="E45" s="464" t="n"/>
      <c r="F45" s="308" t="n"/>
      <c r="G45" s="308" t="n"/>
      <c r="H45" s="308" t="n"/>
      <c r="I45" s="308" t="n"/>
      <c r="J45" s="308" t="n"/>
      <c r="K45" s="308" t="n"/>
      <c r="L45" s="308" t="n"/>
    </row>
    <row r="46" ht="24" customHeight="1">
      <c r="A46" s="421" t="inlineStr">
        <is>
          <t>[Guidance metric slot 46]</t>
        </is>
      </c>
      <c r="B46" s="421" t="n"/>
      <c r="C46" s="421" t="n"/>
      <c r="D46" s="427" t="n"/>
      <c r="E46" s="465" t="n"/>
      <c r="F46" s="308" t="n"/>
      <c r="G46" s="308" t="n"/>
      <c r="H46" s="308" t="n"/>
      <c r="I46" s="308" t="n"/>
      <c r="J46" s="308" t="n"/>
      <c r="K46" s="308" t="n"/>
      <c r="L46" s="308" t="n"/>
    </row>
    <row r="47" ht="18" customHeight="1">
      <c r="A47" s="314" t="n"/>
      <c r="B47" s="314" t="n"/>
      <c r="C47" s="314" t="n"/>
      <c r="D47" s="314" t="n"/>
      <c r="E47" s="314" t="n"/>
      <c r="F47" s="314" t="n"/>
      <c r="G47" s="314" t="n"/>
      <c r="H47" s="314" t="n"/>
      <c r="I47" s="314" t="n"/>
      <c r="J47" s="314" t="n"/>
      <c r="K47" s="314" t="n"/>
      <c r="L47" s="314" t="n"/>
    </row>
    <row r="48" ht="24" customHeight="1">
      <c r="A48" s="419" t="inlineStr">
        <is>
          <t>[Guidance metric slot 48]</t>
        </is>
      </c>
      <c r="B48" s="419" t="n"/>
      <c r="C48" s="419" t="n"/>
      <c r="D48" s="427" t="n"/>
      <c r="E48" s="464" t="n"/>
      <c r="F48" s="308" t="n"/>
      <c r="G48" s="308" t="n"/>
      <c r="H48" s="308" t="n"/>
      <c r="I48" s="308" t="n"/>
      <c r="J48" s="308" t="n"/>
      <c r="K48" s="308" t="n"/>
      <c r="L48" s="308" t="n"/>
    </row>
    <row r="49" ht="24" customHeight="1">
      <c r="A49" s="421" t="inlineStr">
        <is>
          <t>[Guidance metric slot 49]</t>
        </is>
      </c>
      <c r="B49" s="421" t="n"/>
      <c r="C49" s="421" t="n"/>
      <c r="D49" s="427" t="n"/>
      <c r="E49" s="465" t="n"/>
      <c r="F49" s="308" t="n"/>
      <c r="G49" s="308" t="n"/>
      <c r="H49" s="308" t="n"/>
      <c r="I49" s="308" t="n"/>
      <c r="J49" s="308" t="n"/>
      <c r="K49" s="308" t="n"/>
      <c r="L49" s="308" t="n"/>
    </row>
    <row r="50" ht="24" customHeight="1">
      <c r="A50" s="419" t="inlineStr">
        <is>
          <t>[Guidance metric slot 50]</t>
        </is>
      </c>
      <c r="B50" s="419" t="n"/>
      <c r="C50" s="419" t="n"/>
      <c r="D50" s="427" t="n"/>
      <c r="E50" s="464" t="n"/>
      <c r="F50" s="308" t="n"/>
      <c r="G50" s="308" t="n"/>
      <c r="H50" s="308" t="n"/>
      <c r="I50" s="308" t="n"/>
      <c r="J50" s="308" t="n"/>
      <c r="K50" s="308" t="n"/>
      <c r="L50" s="308" t="n"/>
    </row>
    <row r="51" ht="24" customHeight="1">
      <c r="A51" s="421" t="inlineStr">
        <is>
          <t>[Guidance metric slot 51]</t>
        </is>
      </c>
      <c r="B51" s="421" t="n"/>
      <c r="C51" s="421" t="n"/>
      <c r="D51" s="427" t="n"/>
      <c r="E51" s="465" t="n"/>
      <c r="F51" s="308" t="n"/>
      <c r="G51" s="308" t="n"/>
      <c r="H51" s="308" t="n"/>
      <c r="I51" s="308" t="n"/>
      <c r="J51" s="308" t="n"/>
      <c r="K51" s="308" t="n"/>
      <c r="L51" s="308" t="n"/>
    </row>
    <row r="52" ht="24" customHeight="1">
      <c r="A52" s="419" t="inlineStr">
        <is>
          <t>[Guidance metric slot 52]</t>
        </is>
      </c>
      <c r="B52" s="419" t="n"/>
      <c r="C52" s="419" t="n"/>
      <c r="D52" s="427" t="n"/>
      <c r="E52" s="464" t="n"/>
      <c r="F52" s="308" t="n"/>
      <c r="G52" s="308" t="n"/>
      <c r="H52" s="308" t="n"/>
      <c r="I52" s="308" t="n"/>
      <c r="J52" s="308" t="n"/>
      <c r="K52" s="308" t="n"/>
      <c r="L52" s="308" t="n"/>
    </row>
    <row r="53" ht="24" customHeight="1">
      <c r="A53" s="421" t="inlineStr">
        <is>
          <t>[Guidance metric slot 53]</t>
        </is>
      </c>
      <c r="B53" s="421" t="n"/>
      <c r="C53" s="421" t="n"/>
      <c r="D53" s="427" t="n"/>
      <c r="E53" s="465" t="n"/>
      <c r="F53" s="308" t="n"/>
      <c r="G53" s="308" t="n"/>
      <c r="H53" s="308" t="n"/>
      <c r="I53" s="308" t="n"/>
      <c r="J53" s="308" t="n"/>
      <c r="K53" s="308" t="n"/>
      <c r="L53" s="308" t="n"/>
    </row>
    <row r="54" ht="24" customHeight="1">
      <c r="A54" s="419" t="inlineStr">
        <is>
          <t>[Guidance metric slot 54]</t>
        </is>
      </c>
      <c r="B54" s="419" t="n"/>
      <c r="C54" s="419" t="n"/>
      <c r="D54" s="427" t="n"/>
      <c r="E54" s="464" t="n"/>
      <c r="F54" s="308" t="n"/>
      <c r="G54" s="308" t="n"/>
      <c r="H54" s="308" t="n"/>
      <c r="I54" s="308" t="n"/>
      <c r="J54" s="308" t="n"/>
      <c r="K54" s="308" t="n"/>
      <c r="L54" s="308" t="n"/>
    </row>
    <row r="55" ht="24" customHeight="1">
      <c r="A55" s="421" t="inlineStr">
        <is>
          <t>[Guidance metric slot 55]</t>
        </is>
      </c>
      <c r="B55" s="421" t="n"/>
      <c r="C55" s="421" t="n"/>
      <c r="D55" s="427" t="n"/>
      <c r="E55" s="465" t="n"/>
      <c r="F55" s="308" t="n"/>
      <c r="G55" s="308" t="n"/>
      <c r="H55" s="308" t="n"/>
      <c r="I55" s="308" t="n"/>
      <c r="J55" s="308" t="n"/>
      <c r="K55" s="308" t="n"/>
      <c r="L55" s="308" t="n"/>
    </row>
    <row r="56" ht="24" customHeight="1">
      <c r="A56" s="419" t="inlineStr">
        <is>
          <t>[Guidance metric slot 56]</t>
        </is>
      </c>
      <c r="B56" s="419" t="n"/>
      <c r="C56" s="419" t="n"/>
      <c r="D56" s="427" t="n"/>
      <c r="E56" s="464" t="n"/>
      <c r="F56" s="308" t="n"/>
      <c r="G56" s="308" t="n"/>
      <c r="H56" s="308" t="n"/>
      <c r="I56" s="308" t="n"/>
      <c r="J56" s="308" t="n"/>
      <c r="K56" s="308" t="n"/>
      <c r="L56" s="308" t="n"/>
    </row>
    <row r="57" ht="18" customHeight="1">
      <c r="A57" s="314" t="n"/>
      <c r="B57" s="314" t="n"/>
      <c r="C57" s="314" t="n"/>
      <c r="D57" s="314" t="n"/>
      <c r="E57" s="314" t="n"/>
      <c r="F57" s="314" t="n"/>
      <c r="G57" s="314" t="n"/>
      <c r="H57" s="314" t="n"/>
      <c r="I57" s="314" t="n"/>
      <c r="J57" s="314" t="n"/>
      <c r="K57" s="314" t="n"/>
      <c r="L57" s="314" t="n"/>
    </row>
    <row r="58" ht="22" customHeight="1">
      <c r="A58" s="439" t="inlineStr">
        <is>
          <t>[Guidance metric slot 58]</t>
        </is>
      </c>
      <c r="B58" s="308" t="n"/>
      <c r="C58" s="308" t="n"/>
      <c r="D58" s="308" t="n"/>
      <c r="E58" s="308" t="n"/>
      <c r="F58" s="308" t="n"/>
      <c r="G58" s="308" t="n"/>
      <c r="H58" s="308" t="n"/>
      <c r="I58" s="308" t="n"/>
      <c r="J58" s="308" t="n"/>
      <c r="K58" s="308" t="n"/>
      <c r="L58" s="308" t="n"/>
    </row>
    <row r="59" ht="22" customHeight="1">
      <c r="A59" s="439" t="n"/>
      <c r="B59" s="308" t="n"/>
      <c r="C59" s="308" t="n"/>
      <c r="D59" s="308" t="n"/>
      <c r="E59" s="308" t="n"/>
      <c r="F59" s="308" t="n"/>
      <c r="G59" s="308" t="n"/>
      <c r="H59" s="308" t="n"/>
      <c r="I59" s="308" t="n"/>
      <c r="J59" s="308" t="n"/>
      <c r="K59" s="308" t="n"/>
      <c r="L59" s="308" t="n"/>
    </row>
    <row r="60" ht="22" customHeight="1">
      <c r="A60" s="420" t="inlineStr">
        <is>
          <t>Metric</t>
        </is>
      </c>
      <c r="B60" s="420" t="inlineStr">
        <is>
          <t>Previous guide</t>
        </is>
      </c>
      <c r="C60" s="420" t="inlineStr">
        <is>
          <t>New/current guide</t>
        </is>
      </c>
      <c r="D60" s="420" t="inlineStr">
        <is>
          <t>Change type</t>
        </is>
      </c>
      <c r="E60" s="420" t="inlineStr">
        <is>
          <t>Actual</t>
        </is>
      </c>
      <c r="F60" s="420" t="inlineStr">
        <is>
          <t>Progress / run-rate</t>
        </is>
      </c>
      <c r="G60" s="420" t="inlineStr">
        <is>
          <t>Status</t>
        </is>
      </c>
      <c r="H60" s="420" t="inlineStr">
        <is>
          <t>Horizon</t>
        </is>
      </c>
      <c r="I60" s="420" t="inlineStr">
        <is>
          <t>Stated in</t>
        </is>
      </c>
      <c r="J60" s="420" t="inlineStr">
        <is>
          <t>Source date</t>
        </is>
      </c>
      <c r="K60" s="440" t="inlineStr">
        <is>
          <t>Source / note</t>
        </is>
      </c>
      <c r="L60" s="308" t="n"/>
    </row>
    <row r="61" ht="24" customHeight="1">
      <c r="A61" s="419" t="n"/>
      <c r="B61" s="419" t="n"/>
      <c r="C61" s="419" t="n"/>
      <c r="D61" s="419" t="n"/>
      <c r="E61" s="419" t="n"/>
      <c r="F61" s="419" t="n"/>
      <c r="G61" s="427" t="n"/>
      <c r="H61" s="419" t="n"/>
      <c r="I61" s="419" t="n"/>
      <c r="J61" s="419" t="n"/>
      <c r="K61" s="310" t="n"/>
      <c r="L61" s="310" t="n"/>
    </row>
    <row r="62" ht="24" customHeight="1">
      <c r="A62" s="421" t="n"/>
      <c r="B62" s="421" t="n"/>
      <c r="C62" s="421" t="n"/>
      <c r="D62" s="421" t="n"/>
      <c r="E62" s="421" t="n"/>
      <c r="F62" s="421" t="n"/>
      <c r="G62" s="427" t="n"/>
      <c r="H62" s="421" t="n"/>
      <c r="I62" s="421" t="n"/>
      <c r="J62" s="421" t="n"/>
      <c r="K62" s="313" t="n"/>
      <c r="L62" s="313" t="n"/>
    </row>
    <row r="63" ht="24" customHeight="1">
      <c r="A63" s="419" t="n"/>
      <c r="B63" s="419" t="n"/>
      <c r="C63" s="419" t="n"/>
      <c r="D63" s="419" t="n"/>
      <c r="E63" s="419" t="n"/>
      <c r="F63" s="419" t="n"/>
      <c r="G63" s="427" t="n"/>
      <c r="H63" s="419" t="n"/>
      <c r="I63" s="419" t="n"/>
      <c r="J63" s="419" t="n"/>
      <c r="K63" s="310" t="n"/>
      <c r="L63" s="310" t="n"/>
    </row>
    <row r="64" ht="24" customHeight="1">
      <c r="A64" s="421" t="n"/>
      <c r="B64" s="421" t="n"/>
      <c r="C64" s="421" t="n"/>
      <c r="D64" s="421" t="n"/>
      <c r="E64" s="421" t="n"/>
      <c r="F64" s="421" t="n"/>
      <c r="G64" s="427" t="n"/>
      <c r="H64" s="421" t="n"/>
      <c r="I64" s="421" t="n"/>
      <c r="J64" s="421" t="n"/>
      <c r="K64" s="313" t="n"/>
      <c r="L64" s="313" t="n"/>
    </row>
    <row r="65" ht="24" customHeight="1">
      <c r="A65" s="419" t="n"/>
      <c r="B65" s="419" t="n"/>
      <c r="C65" s="419" t="n"/>
      <c r="D65" s="419" t="n"/>
      <c r="E65" s="419" t="n"/>
      <c r="F65" s="419" t="n"/>
      <c r="G65" s="427" t="n"/>
      <c r="H65" s="419" t="n"/>
      <c r="I65" s="419" t="n"/>
      <c r="J65" s="419" t="n"/>
      <c r="K65" s="310" t="n"/>
      <c r="L65" s="310" t="n"/>
    </row>
    <row r="66" ht="24" customHeight="1">
      <c r="A66" s="421" t="n"/>
      <c r="B66" s="421" t="n"/>
      <c r="C66" s="421" t="n"/>
      <c r="D66" s="421" t="n"/>
      <c r="E66" s="421" t="n"/>
      <c r="F66" s="421" t="n"/>
      <c r="G66" s="427" t="n"/>
      <c r="H66" s="421" t="n"/>
      <c r="I66" s="421" t="n"/>
      <c r="J66" s="421" t="n"/>
      <c r="K66" s="313" t="n"/>
      <c r="L66" s="313" t="n"/>
    </row>
    <row r="67" ht="24" customHeight="1">
      <c r="A67" s="419" t="n"/>
      <c r="B67" s="419" t="n"/>
      <c r="C67" s="419" t="n"/>
      <c r="D67" s="419" t="n"/>
      <c r="E67" s="419" t="n"/>
      <c r="F67" s="419" t="n"/>
      <c r="G67" s="427" t="n"/>
      <c r="H67" s="419" t="n"/>
      <c r="I67" s="419" t="n"/>
      <c r="J67" s="419" t="n"/>
      <c r="K67" s="310" t="n"/>
      <c r="L67" s="310" t="n"/>
    </row>
    <row r="68" ht="18" customHeight="1">
      <c r="A68" s="314" t="n"/>
      <c r="B68" s="314" t="n"/>
      <c r="C68" s="314" t="n"/>
      <c r="D68" s="314" t="n"/>
      <c r="E68" s="314" t="n"/>
      <c r="F68" s="314" t="n"/>
      <c r="G68" s="314" t="n"/>
      <c r="H68" s="314" t="n"/>
      <c r="I68" s="314" t="n"/>
      <c r="J68" s="314" t="n"/>
      <c r="K68" s="314" t="n"/>
      <c r="L68" s="314" t="n"/>
    </row>
    <row r="69" ht="22" customHeight="1">
      <c r="A69" s="439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  <c r="K69" s="308" t="n"/>
      <c r="L69" s="308" t="n"/>
    </row>
    <row r="70" ht="22" customHeight="1">
      <c r="A70" s="420" t="inlineStr">
        <is>
          <t>Metric</t>
        </is>
      </c>
      <c r="B70" s="420" t="inlineStr">
        <is>
          <t>Previous guide</t>
        </is>
      </c>
      <c r="C70" s="420" t="inlineStr">
        <is>
          <t>New/current guide</t>
        </is>
      </c>
      <c r="D70" s="420" t="inlineStr">
        <is>
          <t>Change type</t>
        </is>
      </c>
      <c r="E70" s="420" t="inlineStr">
        <is>
          <t>Actual</t>
        </is>
      </c>
      <c r="F70" s="420" t="inlineStr">
        <is>
          <t>Progress / run-rate</t>
        </is>
      </c>
      <c r="G70" s="420" t="inlineStr">
        <is>
          <t>Status</t>
        </is>
      </c>
      <c r="H70" s="420" t="inlineStr">
        <is>
          <t>Horizon</t>
        </is>
      </c>
      <c r="I70" s="420" t="inlineStr">
        <is>
          <t>Stated in</t>
        </is>
      </c>
      <c r="J70" s="420" t="inlineStr">
        <is>
          <t>Source date</t>
        </is>
      </c>
      <c r="K70" s="440" t="inlineStr">
        <is>
          <t>Source / note</t>
        </is>
      </c>
      <c r="L70" s="308" t="n"/>
    </row>
    <row r="71" ht="24" customHeight="1">
      <c r="A71" s="419" t="inlineStr">
        <is>
          <t>[Guidance metric slot 71]</t>
        </is>
      </c>
      <c r="B71" s="419" t="n"/>
      <c r="C71" s="419" t="n"/>
      <c r="D71" s="419" t="n"/>
      <c r="E71" s="419" t="n"/>
      <c r="F71" s="419" t="n"/>
      <c r="G71" s="466" t="n"/>
      <c r="H71" s="419" t="n"/>
      <c r="I71" s="419" t="n"/>
      <c r="J71" s="419" t="n"/>
      <c r="K71" s="310" t="n"/>
      <c r="L71" s="310" t="n"/>
    </row>
    <row r="72" ht="24" customHeight="1">
      <c r="A72" s="421" t="inlineStr">
        <is>
          <t>[Guidance metric slot 72]</t>
        </is>
      </c>
      <c r="B72" s="421" t="n"/>
      <c r="C72" s="421" t="n"/>
      <c r="D72" s="421" t="n"/>
      <c r="E72" s="421" t="n"/>
      <c r="F72" s="421" t="n"/>
      <c r="G72" s="466" t="n"/>
      <c r="H72" s="421" t="n"/>
      <c r="I72" s="421" t="n"/>
      <c r="J72" s="421" t="n"/>
      <c r="K72" s="313" t="n"/>
      <c r="L72" s="313" t="n"/>
    </row>
    <row r="73" ht="24" customHeight="1">
      <c r="A73" s="419" t="inlineStr">
        <is>
          <t>[Guidance metric slot 73]</t>
        </is>
      </c>
      <c r="B73" s="419" t="n"/>
      <c r="C73" s="419" t="n"/>
      <c r="D73" s="419" t="n"/>
      <c r="E73" s="419" t="n"/>
      <c r="F73" s="419" t="n"/>
      <c r="G73" s="466" t="n"/>
      <c r="H73" s="419" t="n"/>
      <c r="I73" s="419" t="n"/>
      <c r="J73" s="419" t="n"/>
      <c r="K73" s="310" t="n"/>
      <c r="L73" s="310" t="n"/>
    </row>
    <row r="74" ht="24" customHeight="1">
      <c r="A74" s="421" t="inlineStr">
        <is>
          <t>[Guidance metric slot 74]</t>
        </is>
      </c>
      <c r="B74" s="421" t="n"/>
      <c r="C74" s="421" t="n"/>
      <c r="D74" s="421" t="n"/>
      <c r="E74" s="421" t="n"/>
      <c r="F74" s="421" t="n"/>
      <c r="G74" s="466" t="n"/>
      <c r="H74" s="421" t="n"/>
      <c r="I74" s="421" t="n"/>
      <c r="J74" s="421" t="n"/>
      <c r="K74" s="313" t="n"/>
      <c r="L74" s="313" t="n"/>
    </row>
    <row r="75" ht="18" customHeight="1">
      <c r="A75" s="314" t="n"/>
      <c r="B75" s="314" t="n"/>
      <c r="C75" s="314" t="n"/>
      <c r="D75" s="314" t="n"/>
      <c r="E75" s="314" t="n"/>
      <c r="F75" s="314" t="n"/>
      <c r="G75" s="314" t="n"/>
      <c r="H75" s="314" t="n"/>
      <c r="I75" s="314" t="n"/>
      <c r="J75" s="314" t="n"/>
      <c r="K75" s="314" t="n"/>
      <c r="L75" s="314" t="n"/>
    </row>
    <row r="76" ht="22" customHeight="1">
      <c r="A76" s="439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  <c r="K76" s="308" t="n"/>
      <c r="L76" s="308" t="n"/>
    </row>
    <row r="77" ht="22" customHeight="1">
      <c r="A77" s="420" t="inlineStr">
        <is>
          <t>Metric</t>
        </is>
      </c>
      <c r="B77" s="420" t="inlineStr">
        <is>
          <t>Previous guide</t>
        </is>
      </c>
      <c r="C77" s="420" t="inlineStr">
        <is>
          <t>New/current guide</t>
        </is>
      </c>
      <c r="D77" s="420" t="inlineStr">
        <is>
          <t>Change type</t>
        </is>
      </c>
      <c r="E77" s="420" t="inlineStr">
        <is>
          <t>Actual</t>
        </is>
      </c>
      <c r="F77" s="420" t="inlineStr">
        <is>
          <t>Progress / run-rate</t>
        </is>
      </c>
      <c r="G77" s="420" t="inlineStr">
        <is>
          <t>Status</t>
        </is>
      </c>
      <c r="H77" s="420" t="inlineStr">
        <is>
          <t>Horizon</t>
        </is>
      </c>
      <c r="I77" s="420" t="inlineStr">
        <is>
          <t>Stated in</t>
        </is>
      </c>
      <c r="J77" s="420" t="inlineStr">
        <is>
          <t>Source date</t>
        </is>
      </c>
      <c r="K77" s="440" t="inlineStr">
        <is>
          <t>Source / note</t>
        </is>
      </c>
      <c r="L77" s="308" t="n"/>
    </row>
    <row r="78" ht="24" customHeight="1">
      <c r="A78" s="419" t="inlineStr">
        <is>
          <t>[Guidance metric slot 78]</t>
        </is>
      </c>
      <c r="B78" s="419" t="n"/>
      <c r="C78" s="419" t="n"/>
      <c r="D78" s="419" t="n"/>
      <c r="E78" s="419" t="n"/>
      <c r="F78" s="419" t="n"/>
      <c r="G78" s="466" t="n"/>
      <c r="H78" s="419" t="n"/>
      <c r="I78" s="419" t="n"/>
      <c r="J78" s="419" t="n"/>
      <c r="K78" s="310" t="n"/>
      <c r="L78" s="310" t="n"/>
    </row>
    <row r="79" ht="24" customHeight="1">
      <c r="A79" s="421" t="inlineStr">
        <is>
          <t>[Guidance metric slot 79]</t>
        </is>
      </c>
      <c r="B79" s="421" t="n"/>
      <c r="C79" s="421" t="n"/>
      <c r="D79" s="421" t="n"/>
      <c r="E79" s="421" t="n"/>
      <c r="F79" s="421" t="n"/>
      <c r="G79" s="466" t="n"/>
      <c r="H79" s="421" t="n"/>
      <c r="I79" s="421" t="n"/>
      <c r="J79" s="421" t="n"/>
      <c r="K79" s="313" t="n"/>
      <c r="L79" s="313" t="n"/>
    </row>
    <row r="80" ht="24" customHeight="1">
      <c r="A80" s="419" t="inlineStr">
        <is>
          <t>[Guidance metric slot 80]</t>
        </is>
      </c>
      <c r="B80" s="419" t="n"/>
      <c r="C80" s="419" t="n"/>
      <c r="D80" s="419" t="n"/>
      <c r="E80" s="419" t="n"/>
      <c r="F80" s="419" t="n"/>
      <c r="G80" s="466" t="n"/>
      <c r="H80" s="419" t="n"/>
      <c r="I80" s="419" t="n"/>
      <c r="J80" s="419" t="n"/>
      <c r="K80" s="310" t="n"/>
      <c r="L80" s="310" t="n"/>
    </row>
    <row r="81" ht="24" customHeight="1">
      <c r="A81" s="421" t="inlineStr">
        <is>
          <t>[Guidance metric slot 81]</t>
        </is>
      </c>
      <c r="B81" s="421" t="n"/>
      <c r="C81" s="421" t="n"/>
      <c r="D81" s="421" t="n"/>
      <c r="E81" s="421" t="n"/>
      <c r="F81" s="421" t="n"/>
      <c r="G81" s="466" t="n"/>
      <c r="H81" s="421" t="n"/>
      <c r="I81" s="421" t="n"/>
      <c r="J81" s="421" t="n"/>
      <c r="K81" s="313" t="n"/>
      <c r="L81" s="313" t="n"/>
    </row>
    <row r="82" ht="24" customHeight="1">
      <c r="A82" s="419" t="inlineStr">
        <is>
          <t>[Guidance metric slot 82]</t>
        </is>
      </c>
      <c r="B82" s="419" t="n"/>
      <c r="C82" s="419" t="n"/>
      <c r="D82" s="419" t="n"/>
      <c r="E82" s="419" t="n"/>
      <c r="F82" s="419" t="n"/>
      <c r="G82" s="466" t="n"/>
      <c r="H82" s="419" t="n"/>
      <c r="I82" s="419" t="n"/>
      <c r="J82" s="419" t="n"/>
      <c r="K82" s="310" t="n"/>
      <c r="L82" s="310" t="n"/>
    </row>
    <row r="83" ht="24" customHeight="1">
      <c r="A83" s="421" t="inlineStr">
        <is>
          <t>[Guidance metric slot 83]</t>
        </is>
      </c>
      <c r="B83" s="421" t="n"/>
      <c r="C83" s="421" t="n"/>
      <c r="D83" s="421" t="n"/>
      <c r="E83" s="421" t="n"/>
      <c r="F83" s="421" t="n"/>
      <c r="G83" s="466" t="n"/>
      <c r="H83" s="421" t="n"/>
      <c r="I83" s="421" t="n"/>
      <c r="J83" s="421" t="n"/>
      <c r="K83" s="313" t="n"/>
      <c r="L83" s="313" t="n"/>
    </row>
    <row r="84" ht="22" customHeight="1">
      <c r="A84" s="439" t="n"/>
      <c r="B84" s="308" t="n"/>
      <c r="C84" s="308" t="n"/>
      <c r="D84" s="308" t="n"/>
      <c r="E84" s="308" t="n"/>
      <c r="F84" s="308" t="n"/>
      <c r="G84" s="308" t="n"/>
      <c r="H84" s="308" t="n"/>
      <c r="I84" s="308" t="n"/>
      <c r="J84" s="308" t="n"/>
      <c r="K84" s="308" t="n"/>
      <c r="L84" s="308" t="n"/>
    </row>
    <row r="85" ht="22" customHeight="1">
      <c r="A85" s="420" t="inlineStr">
        <is>
          <t>Metric</t>
        </is>
      </c>
      <c r="B85" s="420" t="inlineStr">
        <is>
          <t>Previous guide</t>
        </is>
      </c>
      <c r="C85" s="420" t="inlineStr">
        <is>
          <t>New/current guide</t>
        </is>
      </c>
      <c r="D85" s="420" t="inlineStr">
        <is>
          <t>Change type</t>
        </is>
      </c>
      <c r="E85" s="420" t="inlineStr">
        <is>
          <t>Actual</t>
        </is>
      </c>
      <c r="F85" s="420" t="inlineStr">
        <is>
          <t>Progress / run-rate</t>
        </is>
      </c>
      <c r="G85" s="420" t="inlineStr">
        <is>
          <t>Status</t>
        </is>
      </c>
      <c r="H85" s="420" t="inlineStr">
        <is>
          <t>Horizon</t>
        </is>
      </c>
      <c r="I85" s="420" t="inlineStr">
        <is>
          <t>Stated in</t>
        </is>
      </c>
      <c r="J85" s="420" t="inlineStr">
        <is>
          <t>Source date</t>
        </is>
      </c>
      <c r="K85" s="440" t="inlineStr">
        <is>
          <t>Source / note</t>
        </is>
      </c>
      <c r="L85" s="308" t="n"/>
    </row>
    <row r="86" ht="24" customHeight="1">
      <c r="A86" s="419" t="inlineStr">
        <is>
          <t>[Guidance metric slot 86]</t>
        </is>
      </c>
      <c r="B86" s="419" t="n"/>
      <c r="C86" s="419" t="n"/>
      <c r="D86" s="419" t="n"/>
      <c r="E86" s="419" t="n"/>
      <c r="F86" s="419" t="n"/>
      <c r="G86" s="466" t="n"/>
      <c r="H86" s="419" t="n"/>
      <c r="I86" s="419" t="n"/>
      <c r="J86" s="419" t="n"/>
      <c r="K86" s="310" t="n"/>
      <c r="L86" s="310" t="n"/>
    </row>
    <row r="87" ht="24" customHeight="1">
      <c r="A87" s="421" t="inlineStr">
        <is>
          <t>[Guidance metric slot 87]</t>
        </is>
      </c>
      <c r="B87" s="421" t="n"/>
      <c r="C87" s="421" t="n"/>
      <c r="D87" s="421" t="n"/>
      <c r="E87" s="421" t="n"/>
      <c r="F87" s="421" t="n"/>
      <c r="G87" s="466" t="n"/>
      <c r="H87" s="421" t="n"/>
      <c r="I87" s="421" t="n"/>
      <c r="J87" s="421" t="n"/>
      <c r="K87" s="313" t="n"/>
      <c r="L87" s="313" t="n"/>
    </row>
    <row r="88" ht="24" customHeight="1">
      <c r="A88" s="419" t="inlineStr">
        <is>
          <t>[Guidance metric slot 88]</t>
        </is>
      </c>
      <c r="B88" s="419" t="n"/>
      <c r="C88" s="419" t="n"/>
      <c r="D88" s="419" t="n"/>
      <c r="E88" s="419" t="n"/>
      <c r="F88" s="419" t="n"/>
      <c r="G88" s="466" t="n"/>
      <c r="H88" s="419" t="n"/>
      <c r="I88" s="419" t="n"/>
      <c r="J88" s="419" t="n"/>
      <c r="K88" s="310" t="n"/>
      <c r="L88" s="310" t="n"/>
    </row>
    <row r="89" ht="18" customHeight="1">
      <c r="A89" s="314" t="n"/>
      <c r="B89" s="314" t="n"/>
      <c r="C89" s="314" t="n"/>
      <c r="D89" s="314" t="n"/>
      <c r="E89" s="314" t="n"/>
      <c r="F89" s="314" t="n"/>
      <c r="G89" s="314" t="n"/>
      <c r="H89" s="314" t="n"/>
      <c r="I89" s="314" t="n"/>
      <c r="J89" s="314" t="n"/>
      <c r="K89" s="314" t="n"/>
      <c r="L89" s="314" t="n"/>
    </row>
    <row r="90" ht="22" customHeight="1">
      <c r="A90" s="439" t="n"/>
      <c r="B90" s="308" t="n"/>
      <c r="C90" s="308" t="n"/>
      <c r="D90" s="308" t="n"/>
      <c r="E90" s="308" t="n"/>
      <c r="F90" s="308" t="n"/>
      <c r="G90" s="308" t="n"/>
      <c r="H90" s="308" t="n"/>
      <c r="I90" s="308" t="n"/>
      <c r="J90" s="308" t="n"/>
      <c r="K90" s="308" t="n"/>
      <c r="L90" s="308" t="n"/>
    </row>
    <row r="91" ht="22" customHeight="1">
      <c r="A91" s="420" t="inlineStr">
        <is>
          <t>Metric</t>
        </is>
      </c>
      <c r="B91" s="420" t="inlineStr">
        <is>
          <t>Previous guide</t>
        </is>
      </c>
      <c r="C91" s="420" t="inlineStr">
        <is>
          <t>New/current guide</t>
        </is>
      </c>
      <c r="D91" s="420" t="inlineStr">
        <is>
          <t>Change type</t>
        </is>
      </c>
      <c r="E91" s="420" t="inlineStr">
        <is>
          <t>Actual</t>
        </is>
      </c>
      <c r="F91" s="420" t="inlineStr">
        <is>
          <t>Progress / run-rate</t>
        </is>
      </c>
      <c r="G91" s="420" t="inlineStr">
        <is>
          <t>Status</t>
        </is>
      </c>
      <c r="H91" s="420" t="inlineStr">
        <is>
          <t>Horizon</t>
        </is>
      </c>
      <c r="I91" s="420" t="inlineStr">
        <is>
          <t>Stated in</t>
        </is>
      </c>
      <c r="J91" s="420" t="inlineStr">
        <is>
          <t>Source date</t>
        </is>
      </c>
      <c r="K91" s="440" t="inlineStr">
        <is>
          <t>Source / note</t>
        </is>
      </c>
      <c r="L91" s="308" t="n"/>
    </row>
    <row r="92" ht="24" customHeight="1">
      <c r="A92" s="419" t="inlineStr">
        <is>
          <t>[Guidance metric slot 92]</t>
        </is>
      </c>
      <c r="B92" s="419" t="n"/>
      <c r="C92" s="419" t="n"/>
      <c r="D92" s="419" t="n"/>
      <c r="E92" s="419" t="n"/>
      <c r="F92" s="419" t="n"/>
      <c r="G92" s="466" t="n"/>
      <c r="H92" s="419" t="n"/>
      <c r="I92" s="419" t="n"/>
      <c r="J92" s="419" t="n"/>
      <c r="K92" s="310" t="n"/>
      <c r="L92" s="310" t="n"/>
    </row>
    <row r="93" ht="24" customHeight="1">
      <c r="A93" s="421" t="inlineStr">
        <is>
          <t>[Guidance metric slot 93]</t>
        </is>
      </c>
      <c r="B93" s="421" t="n"/>
      <c r="C93" s="421" t="n"/>
      <c r="D93" s="421" t="n"/>
      <c r="E93" s="421" t="n"/>
      <c r="F93" s="421" t="n"/>
      <c r="G93" s="466" t="n"/>
      <c r="H93" s="421" t="n"/>
      <c r="I93" s="421" t="n"/>
      <c r="J93" s="421" t="n"/>
      <c r="K93" s="313" t="n"/>
      <c r="L93" s="313" t="n"/>
    </row>
    <row r="94" ht="24" customHeight="1">
      <c r="A94" s="419" t="inlineStr">
        <is>
          <t>[Guidance metric slot 94]</t>
        </is>
      </c>
      <c r="B94" s="419" t="n"/>
      <c r="C94" s="419" t="n"/>
      <c r="D94" s="419" t="n"/>
      <c r="E94" s="419" t="n"/>
      <c r="F94" s="419" t="n"/>
      <c r="G94" s="466" t="n"/>
      <c r="H94" s="419" t="n"/>
      <c r="I94" s="419" t="n"/>
      <c r="J94" s="419" t="n"/>
      <c r="K94" s="310" t="n"/>
      <c r="L94" s="310" t="n"/>
    </row>
    <row r="95" ht="24" customHeight="1">
      <c r="A95" s="421" t="inlineStr">
        <is>
          <t>[Guidance metric slot 95]</t>
        </is>
      </c>
      <c r="B95" s="421" t="n"/>
      <c r="C95" s="421" t="n"/>
      <c r="D95" s="421" t="n"/>
      <c r="E95" s="421" t="n"/>
      <c r="F95" s="421" t="n"/>
      <c r="G95" s="466" t="n"/>
      <c r="H95" s="421" t="n"/>
      <c r="I95" s="421" t="n"/>
      <c r="J95" s="421" t="n"/>
      <c r="K95" s="313" t="n"/>
      <c r="L95" s="313" t="n"/>
    </row>
    <row r="96" ht="18" customHeight="1">
      <c r="A96" s="314" t="n"/>
      <c r="B96" s="314" t="n"/>
      <c r="C96" s="314" t="n"/>
      <c r="D96" s="314" t="n"/>
      <c r="E96" s="314" t="n"/>
      <c r="F96" s="314" t="n"/>
      <c r="G96" s="314" t="n"/>
      <c r="H96" s="314" t="n"/>
      <c r="I96" s="314" t="n"/>
      <c r="J96" s="314" t="n"/>
      <c r="K96" s="314" t="n"/>
      <c r="L96" s="314" t="n"/>
    </row>
    <row r="97" ht="22" customHeight="1">
      <c r="A97" s="439" t="n"/>
      <c r="B97" s="308" t="n"/>
      <c r="C97" s="308" t="n"/>
      <c r="D97" s="308" t="n"/>
      <c r="E97" s="308" t="n"/>
      <c r="F97" s="308" t="n"/>
      <c r="G97" s="308" t="n"/>
      <c r="H97" s="308" t="n"/>
      <c r="I97" s="308" t="n"/>
      <c r="J97" s="308" t="n"/>
      <c r="K97" s="308" t="n"/>
      <c r="L97" s="308" t="n"/>
    </row>
    <row r="98" ht="22" customHeight="1">
      <c r="A98" s="420" t="inlineStr">
        <is>
          <t>Metric</t>
        </is>
      </c>
      <c r="B98" s="420" t="inlineStr">
        <is>
          <t>Previous guide</t>
        </is>
      </c>
      <c r="C98" s="420" t="inlineStr">
        <is>
          <t>New/current guide</t>
        </is>
      </c>
      <c r="D98" s="420" t="inlineStr">
        <is>
          <t>Change type</t>
        </is>
      </c>
      <c r="E98" s="420" t="inlineStr">
        <is>
          <t>Actual</t>
        </is>
      </c>
      <c r="F98" s="420" t="inlineStr">
        <is>
          <t>Progress / run-rate</t>
        </is>
      </c>
      <c r="G98" s="420" t="inlineStr">
        <is>
          <t>Status</t>
        </is>
      </c>
      <c r="H98" s="420" t="inlineStr">
        <is>
          <t>Horizon</t>
        </is>
      </c>
      <c r="I98" s="420" t="inlineStr">
        <is>
          <t>Stated in</t>
        </is>
      </c>
      <c r="J98" s="420" t="inlineStr">
        <is>
          <t>Source date</t>
        </is>
      </c>
      <c r="K98" s="440" t="inlineStr">
        <is>
          <t>Source / note</t>
        </is>
      </c>
      <c r="L98" s="308" t="n"/>
    </row>
    <row r="99" ht="24" customHeight="1">
      <c r="A99" s="419" t="inlineStr">
        <is>
          <t>[Guidance metric slot 99]</t>
        </is>
      </c>
      <c r="B99" s="419" t="n"/>
      <c r="C99" s="419" t="n"/>
      <c r="D99" s="419" t="n"/>
      <c r="E99" s="419" t="n"/>
      <c r="F99" s="419" t="n"/>
      <c r="G99" s="466" t="n"/>
      <c r="H99" s="419" t="n"/>
      <c r="I99" s="419" t="n"/>
      <c r="J99" s="419" t="n"/>
      <c r="K99" s="310" t="n"/>
      <c r="L99" s="310" t="n"/>
    </row>
    <row r="100" ht="24" customHeight="1">
      <c r="A100" s="421" t="inlineStr">
        <is>
          <t>[Guidance metric slot 100]</t>
        </is>
      </c>
      <c r="B100" s="421" t="n"/>
      <c r="C100" s="421" t="n"/>
      <c r="D100" s="421" t="n"/>
      <c r="E100" s="421" t="n"/>
      <c r="F100" s="421" t="n"/>
      <c r="G100" s="466" t="n"/>
      <c r="H100" s="421" t="n"/>
      <c r="I100" s="421" t="n"/>
      <c r="J100" s="421" t="n"/>
      <c r="K100" s="313" t="n"/>
      <c r="L100" s="313" t="n"/>
    </row>
    <row r="101" ht="24" customHeight="1">
      <c r="A101" s="419" t="inlineStr">
        <is>
          <t>[Guidance metric slot 101]</t>
        </is>
      </c>
      <c r="B101" s="419" t="n"/>
      <c r="C101" s="419" t="n"/>
      <c r="D101" s="419" t="n"/>
      <c r="E101" s="419" t="n"/>
      <c r="F101" s="419" t="n"/>
      <c r="G101" s="466" t="n"/>
      <c r="H101" s="419" t="n"/>
      <c r="I101" s="419" t="n"/>
      <c r="J101" s="419" t="n"/>
      <c r="K101" s="310" t="n"/>
      <c r="L101" s="310" t="n"/>
    </row>
    <row r="102" ht="24" customHeight="1">
      <c r="A102" s="421" t="inlineStr">
        <is>
          <t>[Guidance metric slot 102]</t>
        </is>
      </c>
      <c r="B102" s="421" t="n"/>
      <c r="C102" s="421" t="n"/>
      <c r="D102" s="421" t="n"/>
      <c r="E102" s="421" t="n"/>
      <c r="F102" s="421" t="n"/>
      <c r="G102" s="466" t="n"/>
      <c r="H102" s="421" t="n"/>
      <c r="I102" s="421" t="n"/>
      <c r="J102" s="421" t="n"/>
      <c r="K102" s="313" t="n"/>
      <c r="L102" s="313" t="n"/>
    </row>
    <row r="103" ht="24" customHeight="1"/>
    <row r="104" ht="24" customHeight="1"/>
    <row r="105" ht="24" customHeight="1"/>
    <row r="106" ht="22" customHeight="1"/>
    <row r="107" ht="22" customHeight="1"/>
    <row r="108" ht="24" customHeight="1"/>
    <row r="109" ht="22" customHeight="1"/>
    <row r="110" ht="24" customHeight="1"/>
    <row r="111" ht="24" customHeight="1"/>
    <row r="112" ht="24" customHeight="1"/>
    <row r="113" ht="22" customHeight="1"/>
    <row r="114" ht="22" customHeight="1"/>
    <row r="115"/>
  </sheetData>
  <mergeCells count="66">
    <mergeCell ref="E43:L43"/>
    <mergeCell ref="E50:L50"/>
    <mergeCell ref="I14:L14"/>
    <mergeCell ref="E56:L56"/>
    <mergeCell ref="I17:L17"/>
    <mergeCell ref="C8:F8"/>
    <mergeCell ref="A90:L90"/>
    <mergeCell ref="G6:L6"/>
    <mergeCell ref="A37:L37"/>
    <mergeCell ref="I35:L35"/>
    <mergeCell ref="A84:L84"/>
    <mergeCell ref="I20:L20"/>
    <mergeCell ref="E42:L42"/>
    <mergeCell ref="E55:L55"/>
    <mergeCell ref="C7:F7"/>
    <mergeCell ref="I29:L29"/>
    <mergeCell ref="E52:L52"/>
    <mergeCell ref="A69:L69"/>
    <mergeCell ref="A3:L3"/>
    <mergeCell ref="I19:L19"/>
    <mergeCell ref="E39:L39"/>
    <mergeCell ref="K60:L60"/>
    <mergeCell ref="I13:L13"/>
    <mergeCell ref="E48:L48"/>
    <mergeCell ref="G5:L5"/>
    <mergeCell ref="E44:L44"/>
    <mergeCell ref="K91:L91"/>
    <mergeCell ref="I31:L31"/>
    <mergeCell ref="A76:L76"/>
    <mergeCell ref="E51:L51"/>
    <mergeCell ref="A33:L33"/>
    <mergeCell ref="K85:L85"/>
    <mergeCell ref="I34:L34"/>
    <mergeCell ref="E38:L38"/>
    <mergeCell ref="C6:F6"/>
    <mergeCell ref="I30:L30"/>
    <mergeCell ref="A97:L97"/>
    <mergeCell ref="I15:L15"/>
    <mergeCell ref="A22:L22"/>
    <mergeCell ref="C5:F5"/>
    <mergeCell ref="E40:L40"/>
    <mergeCell ref="I26:L26"/>
    <mergeCell ref="K77:L77"/>
    <mergeCell ref="A28:L28"/>
    <mergeCell ref="E49:L49"/>
    <mergeCell ref="E46:L46"/>
    <mergeCell ref="G9:L9"/>
    <mergeCell ref="I16:L16"/>
    <mergeCell ref="A58:L58"/>
    <mergeCell ref="K98:L98"/>
    <mergeCell ref="I25:L25"/>
    <mergeCell ref="E45:L45"/>
    <mergeCell ref="K70:L70"/>
    <mergeCell ref="A59:L59"/>
    <mergeCell ref="C9:F9"/>
    <mergeCell ref="I18:L18"/>
    <mergeCell ref="A11:L11"/>
    <mergeCell ref="E41:L41"/>
    <mergeCell ref="E54:L54"/>
    <mergeCell ref="A1:L1"/>
    <mergeCell ref="I12:L12"/>
    <mergeCell ref="G8:L8"/>
    <mergeCell ref="I24:L24"/>
    <mergeCell ref="E53:L53"/>
    <mergeCell ref="G7:L7"/>
    <mergeCell ref="I23:L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7" customWidth="1" min="1" max="1"/>
    <col width="14" customWidth="1" min="2" max="2"/>
    <col width="30" customWidth="1" min="3" max="3"/>
    <col width="14" customWidth="1" min="4" max="4"/>
    <col width="14" customWidth="1" min="5" max="5"/>
    <col width="14" customWidth="1" min="6" max="6"/>
    <col width="34" customWidth="1" min="7" max="7"/>
    <col width="34" customWidth="1" min="8" max="8"/>
    <col width="34" customWidth="1" min="9" max="9"/>
    <col width="14" customWidth="1" min="10" max="10"/>
    <col width="34" customWidth="1" min="11" max="11"/>
    <col width="14" customWidth="1" min="12" max="12"/>
  </cols>
  <sheetData>
    <row r="1">
      <c r="A1" s="322" t="inlineStr">
        <is>
          <t>field</t>
        </is>
      </c>
      <c r="B1" s="322" t="inlineStr">
        <is>
          <t>display_name</t>
        </is>
      </c>
      <c r="C1" s="322" t="inlineStr">
        <is>
          <t>metric_type</t>
        </is>
      </c>
      <c r="D1" s="322" t="inlineStr">
        <is>
          <t>source_policy</t>
        </is>
      </c>
      <c r="E1" s="322" t="inlineStr">
        <is>
          <t>status</t>
        </is>
      </c>
      <c r="F1" s="322" t="inlineStr">
        <is>
          <t>reason</t>
        </is>
      </c>
      <c r="G1" s="322" t="inlineStr">
        <is>
          <t>sheet</t>
        </is>
      </c>
      <c r="H1" s="322" t="inlineStr">
        <is>
          <t>target</t>
        </is>
      </c>
      <c r="I1" s="322" t="inlineStr">
        <is>
          <t>binding_id</t>
        </is>
      </c>
      <c r="J1" s="322" t="inlineStr">
        <is>
          <t>review_status</t>
        </is>
      </c>
      <c r="K1" s="322" t="inlineStr">
        <is>
          <t>reserved</t>
        </is>
      </c>
      <c r="L1" s="322" t="inlineStr">
        <is>
          <t>has_hidden_value_issue</t>
        </is>
      </c>
    </row>
    <row r="2" ht="32" customHeight="1">
      <c r="G2" s="323" t="n"/>
      <c r="H2" s="323" t="n"/>
      <c r="I2" s="323" t="n"/>
    </row>
    <row r="3" ht="32" customHeight="1">
      <c r="G3" s="323" t="n"/>
      <c r="H3" s="323" t="n"/>
      <c r="I3" s="323" t="n"/>
    </row>
    <row r="4" ht="32" customHeight="1">
      <c r="G4" s="323" t="n"/>
      <c r="H4" s="323" t="n"/>
      <c r="I4" s="323" t="n"/>
    </row>
    <row r="5" ht="32" customHeight="1">
      <c r="G5" s="323" t="n"/>
      <c r="H5" s="323" t="n"/>
      <c r="I5" s="323" t="n"/>
    </row>
    <row r="6" ht="32" customHeight="1">
      <c r="G6" s="323" t="n"/>
      <c r="H6" s="323" t="n"/>
      <c r="I6" s="323" t="n"/>
    </row>
    <row r="7" ht="32" customHeight="1">
      <c r="G7" s="323" t="n"/>
      <c r="H7" s="323" t="n"/>
      <c r="I7" s="323" t="n"/>
    </row>
    <row r="8" ht="32" customHeight="1">
      <c r="G8" s="323" t="n"/>
      <c r="H8" s="323" t="n"/>
      <c r="I8" s="32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1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322" t="inlineStr">
        <is>
          <t>period</t>
        </is>
      </c>
      <c r="B1" s="322" t="inlineStr">
        <is>
          <t>capacity</t>
        </is>
      </c>
      <c r="C1" s="322" t="inlineStr">
        <is>
          <t>drawn</t>
        </is>
      </c>
      <c r="D1" s="322" t="inlineStr">
        <is>
          <t>availability</t>
        </is>
      </c>
      <c r="E1" s="322" t="inlineStr">
        <is>
          <t>covenant_status</t>
        </is>
      </c>
      <c r="F1" s="322" t="inlineStr">
        <is>
          <t>source_ref</t>
        </is>
      </c>
      <c r="G1" s="322" t="inlineStr">
        <is>
          <t>status</t>
        </is>
      </c>
      <c r="H1" s="322" t="n"/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</t>
        </is>
      </c>
      <c r="B1" t="inlineStr">
        <is>
          <t>principal</t>
        </is>
      </c>
      <c r="C1" t="inlineStr">
        <is>
          <t>coupon</t>
        </is>
      </c>
      <c r="D1" t="inlineStr">
        <is>
          <t>maturity</t>
        </is>
      </c>
      <c r="E1" t="inlineStr">
        <is>
          <t>secured</t>
        </is>
      </c>
      <c r="F1" t="inlineStr">
        <is>
          <t>source_ref</t>
        </is>
      </c>
      <c r="G1" t="inlineStr">
        <is>
          <t>status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322" t="inlineStr">
        <is>
          <t>metric</t>
        </is>
      </c>
      <c r="B1" s="322" t="inlineStr">
        <is>
          <t>value</t>
        </is>
      </c>
      <c r="C1" s="322" t="inlineStr">
        <is>
          <t>period</t>
        </is>
      </c>
      <c r="D1" s="322" t="inlineStr">
        <is>
          <t>unit</t>
        </is>
      </c>
      <c r="E1" s="322" t="inlineStr">
        <is>
          <t>source_ref</t>
        </is>
      </c>
      <c r="F1" t="inlineStr">
        <is>
          <t>status</t>
        </is>
      </c>
    </row>
    <row r="2">
      <c r="A2" s="324" t="n"/>
      <c r="B2" s="22" t="n"/>
      <c r="C2" s="22" t="n"/>
      <c r="D2" s="22" t="n"/>
      <c r="E2" s="22" t="n"/>
    </row>
    <row r="3">
      <c r="A3" s="324" t="n"/>
      <c r="B3" s="22" t="n"/>
      <c r="C3" s="22" t="n"/>
      <c r="D3" s="22" t="n"/>
      <c r="E3" s="2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O68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</cols>
  <sheetData>
    <row r="1">
      <c r="A1" s="322" t="inlineStr">
        <is>
          <t>period</t>
        </is>
      </c>
      <c r="B1" s="322" t="inlineStr">
        <is>
          <t>theme</t>
        </is>
      </c>
      <c r="C1" s="322" t="inlineStr">
        <is>
          <t>metric</t>
        </is>
      </c>
      <c r="D1" s="322" t="inlineStr">
        <is>
          <t>note</t>
        </is>
      </c>
      <c r="E1" s="322" t="inlineStr">
        <is>
          <t>source_ref</t>
        </is>
      </c>
      <c r="F1" s="322" t="inlineStr">
        <is>
          <t>status</t>
        </is>
      </c>
      <c r="G1" s="322" t="n"/>
      <c r="H1" s="322" t="n"/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  <c r="Y1" s="322" t="n"/>
      <c r="Z1" s="322" t="n"/>
      <c r="AA1" s="322" t="n"/>
      <c r="AB1" s="322" t="n"/>
      <c r="AC1" s="322" t="n"/>
      <c r="AD1" s="322" t="n"/>
      <c r="AE1" s="322" t="n"/>
      <c r="AF1" s="322" t="n"/>
      <c r="AG1" s="322" t="n"/>
      <c r="AH1" s="322" t="n"/>
      <c r="AI1" s="322" t="n"/>
      <c r="AJ1" s="322" t="n"/>
      <c r="AK1" s="322" t="n"/>
      <c r="AL1" s="322" t="n"/>
      <c r="AM1" s="322" t="n"/>
      <c r="AN1" s="322" t="n"/>
      <c r="AO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324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  <c r="AG2" s="22" t="n"/>
      <c r="AH2" s="22" t="n"/>
      <c r="AI2" s="22" t="n"/>
      <c r="AJ2" s="22" t="n"/>
      <c r="AK2" s="22" t="n"/>
      <c r="AL2" s="22" t="n"/>
      <c r="AM2" s="22" t="n"/>
      <c r="AN2" s="22" t="n"/>
      <c r="AO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324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  <c r="AI3" s="22" t="n"/>
      <c r="AJ3" s="22" t="n"/>
      <c r="AK3" s="22" t="n"/>
      <c r="AL3" s="22" t="n"/>
      <c r="AM3" s="22" t="n"/>
      <c r="AN3" s="22" t="n"/>
      <c r="AO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324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  <c r="AG4" s="22" t="n"/>
      <c r="AH4" s="22" t="n"/>
      <c r="AI4" s="22" t="n"/>
      <c r="AJ4" s="22" t="n"/>
      <c r="AK4" s="22" t="n"/>
      <c r="AL4" s="22" t="n"/>
      <c r="AM4" s="22" t="n"/>
      <c r="AN4" s="22" t="n"/>
      <c r="AO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324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  <c r="AI5" s="22" t="n"/>
      <c r="AJ5" s="22" t="n"/>
      <c r="AK5" s="22" t="n"/>
      <c r="AL5" s="22" t="n"/>
      <c r="AM5" s="22" t="n"/>
      <c r="AN5" s="22" t="n"/>
      <c r="AO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324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  <c r="AG6" s="22" t="n"/>
      <c r="AH6" s="22" t="n"/>
      <c r="AI6" s="22" t="n"/>
      <c r="AJ6" s="22" t="n"/>
      <c r="AK6" s="22" t="n"/>
      <c r="AL6" s="22" t="n"/>
      <c r="AM6" s="22" t="n"/>
      <c r="AN6" s="22" t="n"/>
      <c r="AO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324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324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324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  <c r="AI9" s="22" t="n"/>
      <c r="AJ9" s="22" t="n"/>
      <c r="AK9" s="22" t="n"/>
      <c r="AL9" s="22" t="n"/>
      <c r="AM9" s="22" t="n"/>
      <c r="AN9" s="22" t="n"/>
      <c r="AO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324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324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324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324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324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324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324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324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2" t="n"/>
      <c r="AO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324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324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324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324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324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2" t="n"/>
      <c r="AO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324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22" t="n"/>
      <c r="AJ23" s="22" t="n"/>
      <c r="AK23" s="22" t="n"/>
      <c r="AL23" s="22" t="n"/>
      <c r="AM23" s="22" t="n"/>
      <c r="AN23" s="22" t="n"/>
      <c r="AO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324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324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2" t="n"/>
      <c r="AO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324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324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324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2" t="n"/>
      <c r="AO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324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324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  <c r="AI30" s="22" t="n"/>
      <c r="AJ30" s="22" t="n"/>
      <c r="AK30" s="22" t="n"/>
      <c r="AL30" s="22" t="n"/>
      <c r="AM30" s="22" t="n"/>
      <c r="AN30" s="22" t="n"/>
      <c r="AO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324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2" t="n"/>
      <c r="AI31" s="22" t="n"/>
      <c r="AJ31" s="22" t="n"/>
      <c r="AK31" s="22" t="n"/>
      <c r="AL31" s="22" t="n"/>
      <c r="AM31" s="22" t="n"/>
      <c r="AN31" s="22" t="n"/>
      <c r="AO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324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  <c r="AI32" s="22" t="n"/>
      <c r="AJ32" s="22" t="n"/>
      <c r="AK32" s="22" t="n"/>
      <c r="AL32" s="22" t="n"/>
      <c r="AM32" s="22" t="n"/>
      <c r="AN32" s="22" t="n"/>
      <c r="AO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324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324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324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2" t="n"/>
      <c r="AI35" s="22" t="n"/>
      <c r="AJ35" s="22" t="n"/>
      <c r="AK35" s="22" t="n"/>
      <c r="AL35" s="22" t="n"/>
      <c r="AM35" s="22" t="n"/>
      <c r="AN35" s="22" t="n"/>
      <c r="AO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324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  <c r="AI36" s="22" t="n"/>
      <c r="AJ36" s="22" t="n"/>
      <c r="AK36" s="22" t="n"/>
      <c r="AL36" s="22" t="n"/>
      <c r="AM36" s="22" t="n"/>
      <c r="AN36" s="22" t="n"/>
      <c r="AO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324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2" t="n"/>
      <c r="AI37" s="22" t="n"/>
      <c r="AJ37" s="22" t="n"/>
      <c r="AK37" s="22" t="n"/>
      <c r="AL37" s="22" t="n"/>
      <c r="AM37" s="22" t="n"/>
      <c r="AN37" s="22" t="n"/>
      <c r="AO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324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324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2" t="n"/>
      <c r="AI39" s="22" t="n"/>
      <c r="AJ39" s="22" t="n"/>
      <c r="AK39" s="22" t="n"/>
      <c r="AL39" s="22" t="n"/>
      <c r="AM39" s="22" t="n"/>
      <c r="AN39" s="22" t="n"/>
      <c r="AO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324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  <c r="AI40" s="22" t="n"/>
      <c r="AJ40" s="22" t="n"/>
      <c r="AK40" s="22" t="n"/>
      <c r="AL40" s="22" t="n"/>
      <c r="AM40" s="22" t="n"/>
      <c r="AN40" s="22" t="n"/>
      <c r="AO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324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2" t="n"/>
      <c r="AI41" s="22" t="n"/>
      <c r="AJ41" s="22" t="n"/>
      <c r="AK41" s="22" t="n"/>
      <c r="AL41" s="22" t="n"/>
      <c r="AM41" s="22" t="n"/>
      <c r="AN41" s="22" t="n"/>
      <c r="AO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324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  <c r="AI42" s="22" t="n"/>
      <c r="AJ42" s="22" t="n"/>
      <c r="AK42" s="22" t="n"/>
      <c r="AL42" s="22" t="n"/>
      <c r="AM42" s="22" t="n"/>
      <c r="AN42" s="22" t="n"/>
      <c r="AO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324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22" t="n"/>
      <c r="AM43" s="22" t="n"/>
      <c r="AN43" s="22" t="n"/>
      <c r="AO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324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  <c r="AI44" s="22" t="n"/>
      <c r="AJ44" s="22" t="n"/>
      <c r="AK44" s="22" t="n"/>
      <c r="AL44" s="22" t="n"/>
      <c r="AM44" s="22" t="n"/>
      <c r="AN44" s="22" t="n"/>
      <c r="AO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324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2" t="n"/>
      <c r="AI45" s="22" t="n"/>
      <c r="AJ45" s="22" t="n"/>
      <c r="AK45" s="22" t="n"/>
      <c r="AL45" s="22" t="n"/>
      <c r="AM45" s="22" t="n"/>
      <c r="AN45" s="22" t="n"/>
      <c r="AO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324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  <c r="AI46" s="22" t="n"/>
      <c r="AJ46" s="22" t="n"/>
      <c r="AK46" s="22" t="n"/>
      <c r="AL46" s="22" t="n"/>
      <c r="AM46" s="22" t="n"/>
      <c r="AN46" s="22" t="n"/>
      <c r="AO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324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2" t="n"/>
      <c r="AI47" s="22" t="n"/>
      <c r="AJ47" s="22" t="n"/>
      <c r="AK47" s="22" t="n"/>
      <c r="AL47" s="22" t="n"/>
      <c r="AM47" s="22" t="n"/>
      <c r="AN47" s="22" t="n"/>
      <c r="AO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324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  <c r="AI48" s="22" t="n"/>
      <c r="AJ48" s="22" t="n"/>
      <c r="AK48" s="22" t="n"/>
      <c r="AL48" s="22" t="n"/>
      <c r="AM48" s="22" t="n"/>
      <c r="AN48" s="22" t="n"/>
      <c r="AO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324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2" t="n"/>
      <c r="AI49" s="22" t="n"/>
      <c r="AJ49" s="22" t="n"/>
      <c r="AK49" s="22" t="n"/>
      <c r="AL49" s="22" t="n"/>
      <c r="AM49" s="22" t="n"/>
      <c r="AN49" s="22" t="n"/>
      <c r="AO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324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2" t="n"/>
      <c r="AI50" s="22" t="n"/>
      <c r="AJ50" s="22" t="n"/>
      <c r="AK50" s="22" t="n"/>
      <c r="AL50" s="22" t="n"/>
      <c r="AM50" s="22" t="n"/>
      <c r="AN50" s="22" t="n"/>
      <c r="AO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324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Y51" s="22" t="n"/>
      <c r="Z51" s="22" t="n"/>
      <c r="AA51" s="22" t="n"/>
      <c r="AB51" s="22" t="n"/>
      <c r="AC51" s="22" t="n"/>
      <c r="AD51" s="22" t="n"/>
      <c r="AE51" s="22" t="n"/>
      <c r="AF51" s="22" t="n"/>
      <c r="AG51" s="22" t="n"/>
      <c r="AH51" s="22" t="n"/>
      <c r="AI51" s="22" t="n"/>
      <c r="AJ51" s="22" t="n"/>
      <c r="AK51" s="22" t="n"/>
      <c r="AL51" s="22" t="n"/>
      <c r="AM51" s="22" t="n"/>
      <c r="AN51" s="22" t="n"/>
      <c r="AO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324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B52" s="22" t="n"/>
      <c r="AC52" s="22" t="n"/>
      <c r="AD52" s="22" t="n"/>
      <c r="AE52" s="22" t="n"/>
      <c r="AF52" s="22" t="n"/>
      <c r="AG52" s="22" t="n"/>
      <c r="AH52" s="22" t="n"/>
      <c r="AI52" s="22" t="n"/>
      <c r="AJ52" s="22" t="n"/>
      <c r="AK52" s="22" t="n"/>
      <c r="AL52" s="22" t="n"/>
      <c r="AM52" s="22" t="n"/>
      <c r="AN52" s="22" t="n"/>
      <c r="AO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324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B53" s="22" t="n"/>
      <c r="AC53" s="22" t="n"/>
      <c r="AD53" s="22" t="n"/>
      <c r="AE53" s="22" t="n"/>
      <c r="AF53" s="22" t="n"/>
      <c r="AG53" s="22" t="n"/>
      <c r="AH53" s="22" t="n"/>
      <c r="AI53" s="22" t="n"/>
      <c r="AJ53" s="22" t="n"/>
      <c r="AK53" s="22" t="n"/>
      <c r="AL53" s="22" t="n"/>
      <c r="AM53" s="22" t="n"/>
      <c r="AN53" s="22" t="n"/>
      <c r="AO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324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B54" s="22" t="n"/>
      <c r="AC54" s="22" t="n"/>
      <c r="AD54" s="22" t="n"/>
      <c r="AE54" s="22" t="n"/>
      <c r="AF54" s="22" t="n"/>
      <c r="AG54" s="22" t="n"/>
      <c r="AH54" s="22" t="n"/>
      <c r="AI54" s="22" t="n"/>
      <c r="AJ54" s="22" t="n"/>
      <c r="AK54" s="22" t="n"/>
      <c r="AL54" s="22" t="n"/>
      <c r="AM54" s="22" t="n"/>
      <c r="AN54" s="22" t="n"/>
      <c r="AO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324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B55" s="22" t="n"/>
      <c r="AC55" s="22" t="n"/>
      <c r="AD55" s="22" t="n"/>
      <c r="AE55" s="22" t="n"/>
      <c r="AF55" s="22" t="n"/>
      <c r="AG55" s="22" t="n"/>
      <c r="AH55" s="22" t="n"/>
      <c r="AI55" s="22" t="n"/>
      <c r="AJ55" s="22" t="n"/>
      <c r="AK55" s="22" t="n"/>
      <c r="AL55" s="22" t="n"/>
      <c r="AM55" s="22" t="n"/>
      <c r="AN55" s="22" t="n"/>
      <c r="AO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324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B56" s="22" t="n"/>
      <c r="AC56" s="22" t="n"/>
      <c r="AD56" s="22" t="n"/>
      <c r="AE56" s="22" t="n"/>
      <c r="AF56" s="22" t="n"/>
      <c r="AG56" s="22" t="n"/>
      <c r="AH56" s="22" t="n"/>
      <c r="AI56" s="22" t="n"/>
      <c r="AJ56" s="22" t="n"/>
      <c r="AK56" s="22" t="n"/>
      <c r="AL56" s="22" t="n"/>
      <c r="AM56" s="22" t="n"/>
      <c r="AN56" s="22" t="n"/>
      <c r="AO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324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B57" s="22" t="n"/>
      <c r="AC57" s="22" t="n"/>
      <c r="AD57" s="22" t="n"/>
      <c r="AE57" s="22" t="n"/>
      <c r="AF57" s="22" t="n"/>
      <c r="AG57" s="22" t="n"/>
      <c r="AH57" s="22" t="n"/>
      <c r="AI57" s="22" t="n"/>
      <c r="AJ57" s="22" t="n"/>
      <c r="AK57" s="22" t="n"/>
      <c r="AL57" s="22" t="n"/>
      <c r="AM57" s="22" t="n"/>
      <c r="AN57" s="22" t="n"/>
      <c r="AO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324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B58" s="22" t="n"/>
      <c r="AC58" s="22" t="n"/>
      <c r="AD58" s="22" t="n"/>
      <c r="AE58" s="22" t="n"/>
      <c r="AF58" s="22" t="n"/>
      <c r="AG58" s="22" t="n"/>
      <c r="AH58" s="22" t="n"/>
      <c r="AI58" s="22" t="n"/>
      <c r="AJ58" s="22" t="n"/>
      <c r="AK58" s="22" t="n"/>
      <c r="AL58" s="22" t="n"/>
      <c r="AM58" s="22" t="n"/>
      <c r="AN58" s="22" t="n"/>
      <c r="AO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324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B59" s="22" t="n"/>
      <c r="AC59" s="22" t="n"/>
      <c r="AD59" s="22" t="n"/>
      <c r="AE59" s="22" t="n"/>
      <c r="AF59" s="22" t="n"/>
      <c r="AG59" s="22" t="n"/>
      <c r="AH59" s="22" t="n"/>
      <c r="AI59" s="22" t="n"/>
      <c r="AJ59" s="22" t="n"/>
      <c r="AK59" s="22" t="n"/>
      <c r="AL59" s="22" t="n"/>
      <c r="AM59" s="22" t="n"/>
      <c r="AN59" s="22" t="n"/>
      <c r="AO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324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B60" s="22" t="n"/>
      <c r="AC60" s="22" t="n"/>
      <c r="AD60" s="22" t="n"/>
      <c r="AE60" s="22" t="n"/>
      <c r="AF60" s="22" t="n"/>
      <c r="AG60" s="22" t="n"/>
      <c r="AH60" s="22" t="n"/>
      <c r="AI60" s="22" t="n"/>
      <c r="AJ60" s="22" t="n"/>
      <c r="AK60" s="22" t="n"/>
      <c r="AL60" s="22" t="n"/>
      <c r="AM60" s="22" t="n"/>
      <c r="AN60" s="22" t="n"/>
      <c r="AO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324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  <c r="Y61" s="22" t="n"/>
      <c r="Z61" s="22" t="n"/>
      <c r="AA61" s="22" t="n"/>
      <c r="AB61" s="22" t="n"/>
      <c r="AC61" s="22" t="n"/>
      <c r="AD61" s="22" t="n"/>
      <c r="AE61" s="22" t="n"/>
      <c r="AF61" s="22" t="n"/>
      <c r="AG61" s="22" t="n"/>
      <c r="AH61" s="22" t="n"/>
      <c r="AI61" s="22" t="n"/>
      <c r="AJ61" s="22" t="n"/>
      <c r="AK61" s="22" t="n"/>
      <c r="AL61" s="22" t="n"/>
      <c r="AM61" s="22" t="n"/>
      <c r="AN61" s="22" t="n"/>
      <c r="AO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324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B62" s="22" t="n"/>
      <c r="AC62" s="22" t="n"/>
      <c r="AD62" s="22" t="n"/>
      <c r="AE62" s="22" t="n"/>
      <c r="AF62" s="22" t="n"/>
      <c r="AG62" s="22" t="n"/>
      <c r="AH62" s="22" t="n"/>
      <c r="AI62" s="22" t="n"/>
      <c r="AJ62" s="22" t="n"/>
      <c r="AK62" s="22" t="n"/>
      <c r="AL62" s="22" t="n"/>
      <c r="AM62" s="22" t="n"/>
      <c r="AN62" s="22" t="n"/>
      <c r="AO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324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B63" s="22" t="n"/>
      <c r="AC63" s="22" t="n"/>
      <c r="AD63" s="22" t="n"/>
      <c r="AE63" s="22" t="n"/>
      <c r="AF63" s="22" t="n"/>
      <c r="AG63" s="22" t="n"/>
      <c r="AH63" s="22" t="n"/>
      <c r="AI63" s="22" t="n"/>
      <c r="AJ63" s="22" t="n"/>
      <c r="AK63" s="22" t="n"/>
      <c r="AL63" s="22" t="n"/>
      <c r="AM63" s="22" t="n"/>
      <c r="AN63" s="22" t="n"/>
      <c r="AO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324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B64" s="22" t="n"/>
      <c r="AC64" s="22" t="n"/>
      <c r="AD64" s="22" t="n"/>
      <c r="AE64" s="22" t="n"/>
      <c r="AF64" s="22" t="n"/>
      <c r="AG64" s="22" t="n"/>
      <c r="AH64" s="22" t="n"/>
      <c r="AI64" s="22" t="n"/>
      <c r="AJ64" s="22" t="n"/>
      <c r="AK64" s="22" t="n"/>
      <c r="AL64" s="22" t="n"/>
      <c r="AM64" s="22" t="n"/>
      <c r="AN64" s="22" t="n"/>
      <c r="AO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324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B65" s="22" t="n"/>
      <c r="AC65" s="22" t="n"/>
      <c r="AD65" s="22" t="n"/>
      <c r="AE65" s="22" t="n"/>
      <c r="AF65" s="22" t="n"/>
      <c r="AG65" s="22" t="n"/>
      <c r="AH65" s="22" t="n"/>
      <c r="AI65" s="22" t="n"/>
      <c r="AJ65" s="22" t="n"/>
      <c r="AK65" s="22" t="n"/>
      <c r="AL65" s="22" t="n"/>
      <c r="AM65" s="22" t="n"/>
      <c r="AN65" s="22" t="n"/>
      <c r="AO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324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2" t="n"/>
      <c r="Z66" s="22" t="n"/>
      <c r="AA66" s="22" t="n"/>
      <c r="AB66" s="22" t="n"/>
      <c r="AC66" s="22" t="n"/>
      <c r="AD66" s="22" t="n"/>
      <c r="AE66" s="22" t="n"/>
      <c r="AF66" s="22" t="n"/>
      <c r="AG66" s="22" t="n"/>
      <c r="AH66" s="22" t="n"/>
      <c r="AI66" s="22" t="n"/>
      <c r="AJ66" s="22" t="n"/>
      <c r="AK66" s="22" t="n"/>
      <c r="AL66" s="22" t="n"/>
      <c r="AM66" s="22" t="n"/>
      <c r="AN66" s="22" t="n"/>
      <c r="AO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324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B67" s="22" t="n"/>
      <c r="AC67" s="22" t="n"/>
      <c r="AD67" s="22" t="n"/>
      <c r="AE67" s="22" t="n"/>
      <c r="AF67" s="22" t="n"/>
      <c r="AG67" s="22" t="n"/>
      <c r="AH67" s="22" t="n"/>
      <c r="AI67" s="22" t="n"/>
      <c r="AJ67" s="22" t="n"/>
      <c r="AK67" s="22" t="n"/>
      <c r="AL67" s="22" t="n"/>
      <c r="AM67" s="22" t="n"/>
      <c r="AN67" s="22" t="n"/>
      <c r="AO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324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2" t="n"/>
      <c r="Z68" s="22" t="n"/>
      <c r="AA68" s="22" t="n"/>
      <c r="AB68" s="22" t="n"/>
      <c r="AC68" s="22" t="n"/>
      <c r="AD68" s="22" t="n"/>
      <c r="AE68" s="22" t="n"/>
      <c r="AF68" s="22" t="n"/>
      <c r="AG68" s="22" t="n"/>
      <c r="AH68" s="22" t="n"/>
      <c r="AI68" s="22" t="n"/>
      <c r="AJ68" s="22" t="n"/>
      <c r="AK68" s="22" t="n"/>
      <c r="AL68" s="22" t="n"/>
      <c r="AM68" s="22" t="n"/>
      <c r="AN68" s="22" t="n"/>
      <c r="AO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324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  <c r="Y69" s="22" t="n"/>
      <c r="Z69" s="22" t="n"/>
      <c r="AA69" s="22" t="n"/>
      <c r="AB69" s="22" t="n"/>
      <c r="AC69" s="22" t="n"/>
      <c r="AD69" s="22" t="n"/>
      <c r="AE69" s="22" t="n"/>
      <c r="AF69" s="22" t="n"/>
      <c r="AG69" s="22" t="n"/>
      <c r="AH69" s="22" t="n"/>
      <c r="AI69" s="22" t="n"/>
      <c r="AJ69" s="22" t="n"/>
      <c r="AK69" s="22" t="n"/>
      <c r="AL69" s="22" t="n"/>
      <c r="AM69" s="22" t="n"/>
      <c r="AN69" s="22" t="n"/>
      <c r="AO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324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  <c r="Y70" s="22" t="n"/>
      <c r="Z70" s="22" t="n"/>
      <c r="AA70" s="22" t="n"/>
      <c r="AB70" s="22" t="n"/>
      <c r="AC70" s="22" t="n"/>
      <c r="AD70" s="22" t="n"/>
      <c r="AE70" s="22" t="n"/>
      <c r="AF70" s="22" t="n"/>
      <c r="AG70" s="22" t="n"/>
      <c r="AH70" s="22" t="n"/>
      <c r="AI70" s="22" t="n"/>
      <c r="AJ70" s="22" t="n"/>
      <c r="AK70" s="22" t="n"/>
      <c r="AL70" s="22" t="n"/>
      <c r="AM70" s="22" t="n"/>
      <c r="AN70" s="22" t="n"/>
      <c r="AO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324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  <c r="Y71" s="22" t="n"/>
      <c r="Z71" s="22" t="n"/>
      <c r="AA71" s="22" t="n"/>
      <c r="AB71" s="22" t="n"/>
      <c r="AC71" s="22" t="n"/>
      <c r="AD71" s="22" t="n"/>
      <c r="AE71" s="22" t="n"/>
      <c r="AF71" s="22" t="n"/>
      <c r="AG71" s="22" t="n"/>
      <c r="AH71" s="22" t="n"/>
      <c r="AI71" s="22" t="n"/>
      <c r="AJ71" s="22" t="n"/>
      <c r="AK71" s="22" t="n"/>
      <c r="AL71" s="22" t="n"/>
      <c r="AM71" s="22" t="n"/>
      <c r="AN71" s="22" t="n"/>
      <c r="AO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324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2" t="n"/>
      <c r="Z72" s="22" t="n"/>
      <c r="AA72" s="22" t="n"/>
      <c r="AB72" s="22" t="n"/>
      <c r="AC72" s="22" t="n"/>
      <c r="AD72" s="22" t="n"/>
      <c r="AE72" s="22" t="n"/>
      <c r="AF72" s="22" t="n"/>
      <c r="AG72" s="22" t="n"/>
      <c r="AH72" s="22" t="n"/>
      <c r="AI72" s="22" t="n"/>
      <c r="AJ72" s="22" t="n"/>
      <c r="AK72" s="22" t="n"/>
      <c r="AL72" s="22" t="n"/>
      <c r="AM72" s="22" t="n"/>
      <c r="AN72" s="22" t="n"/>
      <c r="AO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324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  <c r="Y73" s="22" t="n"/>
      <c r="Z73" s="22" t="n"/>
      <c r="AA73" s="22" t="n"/>
      <c r="AB73" s="22" t="n"/>
      <c r="AC73" s="22" t="n"/>
      <c r="AD73" s="22" t="n"/>
      <c r="AE73" s="22" t="n"/>
      <c r="AF73" s="22" t="n"/>
      <c r="AG73" s="22" t="n"/>
      <c r="AH73" s="22" t="n"/>
      <c r="AI73" s="22" t="n"/>
      <c r="AJ73" s="22" t="n"/>
      <c r="AK73" s="22" t="n"/>
      <c r="AL73" s="22" t="n"/>
      <c r="AM73" s="22" t="n"/>
      <c r="AN73" s="22" t="n"/>
      <c r="AO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324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2" t="n"/>
      <c r="Z74" s="22" t="n"/>
      <c r="AA74" s="22" t="n"/>
      <c r="AB74" s="22" t="n"/>
      <c r="AC74" s="22" t="n"/>
      <c r="AD74" s="22" t="n"/>
      <c r="AE74" s="22" t="n"/>
      <c r="AF74" s="22" t="n"/>
      <c r="AG74" s="22" t="n"/>
      <c r="AH74" s="22" t="n"/>
      <c r="AI74" s="22" t="n"/>
      <c r="AJ74" s="22" t="n"/>
      <c r="AK74" s="22" t="n"/>
      <c r="AL74" s="22" t="n"/>
      <c r="AM74" s="22" t="n"/>
      <c r="AN74" s="22" t="n"/>
      <c r="AO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324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  <c r="Y75" s="22" t="n"/>
      <c r="Z75" s="22" t="n"/>
      <c r="AA75" s="22" t="n"/>
      <c r="AB75" s="22" t="n"/>
      <c r="AC75" s="22" t="n"/>
      <c r="AD75" s="22" t="n"/>
      <c r="AE75" s="22" t="n"/>
      <c r="AF75" s="22" t="n"/>
      <c r="AG75" s="22" t="n"/>
      <c r="AH75" s="22" t="n"/>
      <c r="AI75" s="22" t="n"/>
      <c r="AJ75" s="22" t="n"/>
      <c r="AK75" s="22" t="n"/>
      <c r="AL75" s="22" t="n"/>
      <c r="AM75" s="22" t="n"/>
      <c r="AN75" s="22" t="n"/>
      <c r="AO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324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  <c r="Y76" s="22" t="n"/>
      <c r="Z76" s="22" t="n"/>
      <c r="AA76" s="22" t="n"/>
      <c r="AB76" s="22" t="n"/>
      <c r="AC76" s="22" t="n"/>
      <c r="AD76" s="22" t="n"/>
      <c r="AE76" s="22" t="n"/>
      <c r="AF76" s="22" t="n"/>
      <c r="AG76" s="22" t="n"/>
      <c r="AH76" s="22" t="n"/>
      <c r="AI76" s="22" t="n"/>
      <c r="AJ76" s="22" t="n"/>
      <c r="AK76" s="22" t="n"/>
      <c r="AL76" s="22" t="n"/>
      <c r="AM76" s="22" t="n"/>
      <c r="AN76" s="22" t="n"/>
      <c r="AO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324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  <c r="Y77" s="22" t="n"/>
      <c r="Z77" s="22" t="n"/>
      <c r="AA77" s="22" t="n"/>
      <c r="AB77" s="22" t="n"/>
      <c r="AC77" s="22" t="n"/>
      <c r="AD77" s="22" t="n"/>
      <c r="AE77" s="22" t="n"/>
      <c r="AF77" s="22" t="n"/>
      <c r="AG77" s="22" t="n"/>
      <c r="AH77" s="22" t="n"/>
      <c r="AI77" s="22" t="n"/>
      <c r="AJ77" s="22" t="n"/>
      <c r="AK77" s="22" t="n"/>
      <c r="AL77" s="22" t="n"/>
      <c r="AM77" s="22" t="n"/>
      <c r="AN77" s="22" t="n"/>
      <c r="AO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324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  <c r="Y78" s="22" t="n"/>
      <c r="Z78" s="22" t="n"/>
      <c r="AA78" s="22" t="n"/>
      <c r="AB78" s="22" t="n"/>
      <c r="AC78" s="22" t="n"/>
      <c r="AD78" s="22" t="n"/>
      <c r="AE78" s="22" t="n"/>
      <c r="AF78" s="22" t="n"/>
      <c r="AG78" s="22" t="n"/>
      <c r="AH78" s="22" t="n"/>
      <c r="AI78" s="22" t="n"/>
      <c r="AJ78" s="22" t="n"/>
      <c r="AK78" s="22" t="n"/>
      <c r="AL78" s="22" t="n"/>
      <c r="AM78" s="22" t="n"/>
      <c r="AN78" s="22" t="n"/>
      <c r="AO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324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  <c r="Y79" s="22" t="n"/>
      <c r="Z79" s="22" t="n"/>
      <c r="AA79" s="22" t="n"/>
      <c r="AB79" s="22" t="n"/>
      <c r="AC79" s="22" t="n"/>
      <c r="AD79" s="22" t="n"/>
      <c r="AE79" s="22" t="n"/>
      <c r="AF79" s="22" t="n"/>
      <c r="AG79" s="22" t="n"/>
      <c r="AH79" s="22" t="n"/>
      <c r="AI79" s="22" t="n"/>
      <c r="AJ79" s="22" t="n"/>
      <c r="AK79" s="22" t="n"/>
      <c r="AL79" s="22" t="n"/>
      <c r="AM79" s="22" t="n"/>
      <c r="AN79" s="22" t="n"/>
      <c r="AO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324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  <c r="Y80" s="22" t="n"/>
      <c r="Z80" s="22" t="n"/>
      <c r="AA80" s="22" t="n"/>
      <c r="AB80" s="22" t="n"/>
      <c r="AC80" s="22" t="n"/>
      <c r="AD80" s="22" t="n"/>
      <c r="AE80" s="22" t="n"/>
      <c r="AF80" s="22" t="n"/>
      <c r="AG80" s="22" t="n"/>
      <c r="AH80" s="22" t="n"/>
      <c r="AI80" s="22" t="n"/>
      <c r="AJ80" s="22" t="n"/>
      <c r="AK80" s="22" t="n"/>
      <c r="AL80" s="22" t="n"/>
      <c r="AM80" s="22" t="n"/>
      <c r="AN80" s="22" t="n"/>
      <c r="AO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324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  <c r="Y81" s="22" t="n"/>
      <c r="Z81" s="22" t="n"/>
      <c r="AA81" s="22" t="n"/>
      <c r="AB81" s="22" t="n"/>
      <c r="AC81" s="22" t="n"/>
      <c r="AD81" s="22" t="n"/>
      <c r="AE81" s="22" t="n"/>
      <c r="AF81" s="22" t="n"/>
      <c r="AG81" s="22" t="n"/>
      <c r="AH81" s="22" t="n"/>
      <c r="AI81" s="22" t="n"/>
      <c r="AJ81" s="22" t="n"/>
      <c r="AK81" s="22" t="n"/>
      <c r="AL81" s="22" t="n"/>
      <c r="AM81" s="22" t="n"/>
      <c r="AN81" s="22" t="n"/>
      <c r="AO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324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  <c r="Y82" s="22" t="n"/>
      <c r="Z82" s="22" t="n"/>
      <c r="AA82" s="22" t="n"/>
      <c r="AB82" s="22" t="n"/>
      <c r="AC82" s="22" t="n"/>
      <c r="AD82" s="22" t="n"/>
      <c r="AE82" s="22" t="n"/>
      <c r="AF82" s="22" t="n"/>
      <c r="AG82" s="22" t="n"/>
      <c r="AH82" s="22" t="n"/>
      <c r="AI82" s="22" t="n"/>
      <c r="AJ82" s="22" t="n"/>
      <c r="AK82" s="22" t="n"/>
      <c r="AL82" s="22" t="n"/>
      <c r="AM82" s="22" t="n"/>
      <c r="AN82" s="22" t="n"/>
      <c r="AO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324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  <c r="Y83" s="22" t="n"/>
      <c r="Z83" s="22" t="n"/>
      <c r="AA83" s="22" t="n"/>
      <c r="AB83" s="22" t="n"/>
      <c r="AC83" s="22" t="n"/>
      <c r="AD83" s="22" t="n"/>
      <c r="AE83" s="22" t="n"/>
      <c r="AF83" s="22" t="n"/>
      <c r="AG83" s="22" t="n"/>
      <c r="AH83" s="22" t="n"/>
      <c r="AI83" s="22" t="n"/>
      <c r="AJ83" s="22" t="n"/>
      <c r="AK83" s="22" t="n"/>
      <c r="AL83" s="22" t="n"/>
      <c r="AM83" s="22" t="n"/>
      <c r="AN83" s="22" t="n"/>
      <c r="AO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324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  <c r="Y84" s="22" t="n"/>
      <c r="Z84" s="22" t="n"/>
      <c r="AA84" s="22" t="n"/>
      <c r="AB84" s="22" t="n"/>
      <c r="AC84" s="22" t="n"/>
      <c r="AD84" s="22" t="n"/>
      <c r="AE84" s="22" t="n"/>
      <c r="AF84" s="22" t="n"/>
      <c r="AG84" s="22" t="n"/>
      <c r="AH84" s="22" t="n"/>
      <c r="AI84" s="22" t="n"/>
      <c r="AJ84" s="22" t="n"/>
      <c r="AK84" s="22" t="n"/>
      <c r="AL84" s="22" t="n"/>
      <c r="AM84" s="22" t="n"/>
      <c r="AN84" s="22" t="n"/>
      <c r="AO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324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  <c r="Y85" s="22" t="n"/>
      <c r="Z85" s="22" t="n"/>
      <c r="AA85" s="22" t="n"/>
      <c r="AB85" s="22" t="n"/>
      <c r="AC85" s="22" t="n"/>
      <c r="AD85" s="22" t="n"/>
      <c r="AE85" s="22" t="n"/>
      <c r="AF85" s="22" t="n"/>
      <c r="AG85" s="22" t="n"/>
      <c r="AH85" s="22" t="n"/>
      <c r="AI85" s="22" t="n"/>
      <c r="AJ85" s="22" t="n"/>
      <c r="AK85" s="22" t="n"/>
      <c r="AL85" s="22" t="n"/>
      <c r="AM85" s="22" t="n"/>
      <c r="AN85" s="22" t="n"/>
      <c r="AO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324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  <c r="Y86" s="22" t="n"/>
      <c r="Z86" s="22" t="n"/>
      <c r="AA86" s="22" t="n"/>
      <c r="AB86" s="22" t="n"/>
      <c r="AC86" s="22" t="n"/>
      <c r="AD86" s="22" t="n"/>
      <c r="AE86" s="22" t="n"/>
      <c r="AF86" s="22" t="n"/>
      <c r="AG86" s="22" t="n"/>
      <c r="AH86" s="22" t="n"/>
      <c r="AI86" s="22" t="n"/>
      <c r="AJ86" s="22" t="n"/>
      <c r="AK86" s="22" t="n"/>
      <c r="AL86" s="22" t="n"/>
      <c r="AM86" s="22" t="n"/>
      <c r="AN86" s="22" t="n"/>
      <c r="AO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324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  <c r="Y87" s="22" t="n"/>
      <c r="Z87" s="22" t="n"/>
      <c r="AA87" s="22" t="n"/>
      <c r="AB87" s="22" t="n"/>
      <c r="AC87" s="22" t="n"/>
      <c r="AD87" s="22" t="n"/>
      <c r="AE87" s="22" t="n"/>
      <c r="AF87" s="22" t="n"/>
      <c r="AG87" s="22" t="n"/>
      <c r="AH87" s="22" t="n"/>
      <c r="AI87" s="22" t="n"/>
      <c r="AJ87" s="22" t="n"/>
      <c r="AK87" s="22" t="n"/>
      <c r="AL87" s="22" t="n"/>
      <c r="AM87" s="22" t="n"/>
      <c r="AN87" s="22" t="n"/>
      <c r="AO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324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  <c r="Y88" s="22" t="n"/>
      <c r="Z88" s="22" t="n"/>
      <c r="AA88" s="22" t="n"/>
      <c r="AB88" s="22" t="n"/>
      <c r="AC88" s="22" t="n"/>
      <c r="AD88" s="22" t="n"/>
      <c r="AE88" s="22" t="n"/>
      <c r="AF88" s="22" t="n"/>
      <c r="AG88" s="22" t="n"/>
      <c r="AH88" s="22" t="n"/>
      <c r="AI88" s="22" t="n"/>
      <c r="AJ88" s="22" t="n"/>
      <c r="AK88" s="22" t="n"/>
      <c r="AL88" s="22" t="n"/>
      <c r="AM88" s="22" t="n"/>
      <c r="AN88" s="22" t="n"/>
      <c r="AO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324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  <c r="Y89" s="22" t="n"/>
      <c r="Z89" s="22" t="n"/>
      <c r="AA89" s="22" t="n"/>
      <c r="AB89" s="22" t="n"/>
      <c r="AC89" s="22" t="n"/>
      <c r="AD89" s="22" t="n"/>
      <c r="AE89" s="22" t="n"/>
      <c r="AF89" s="22" t="n"/>
      <c r="AG89" s="22" t="n"/>
      <c r="AH89" s="22" t="n"/>
      <c r="AI89" s="22" t="n"/>
      <c r="AJ89" s="22" t="n"/>
      <c r="AK89" s="22" t="n"/>
      <c r="AL89" s="22" t="n"/>
      <c r="AM89" s="22" t="n"/>
      <c r="AN89" s="22" t="n"/>
      <c r="AO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324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Y90" s="22" t="n"/>
      <c r="Z90" s="22" t="n"/>
      <c r="AA90" s="22" t="n"/>
      <c r="AB90" s="22" t="n"/>
      <c r="AC90" s="22" t="n"/>
      <c r="AD90" s="22" t="n"/>
      <c r="AE90" s="22" t="n"/>
      <c r="AF90" s="22" t="n"/>
      <c r="AG90" s="22" t="n"/>
      <c r="AH90" s="22" t="n"/>
      <c r="AI90" s="22" t="n"/>
      <c r="AJ90" s="22" t="n"/>
      <c r="AK90" s="22" t="n"/>
      <c r="AL90" s="22" t="n"/>
      <c r="AM90" s="22" t="n"/>
      <c r="AN90" s="22" t="n"/>
      <c r="AO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324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  <c r="Y91" s="22" t="n"/>
      <c r="Z91" s="22" t="n"/>
      <c r="AA91" s="22" t="n"/>
      <c r="AB91" s="22" t="n"/>
      <c r="AC91" s="22" t="n"/>
      <c r="AD91" s="22" t="n"/>
      <c r="AE91" s="22" t="n"/>
      <c r="AF91" s="22" t="n"/>
      <c r="AG91" s="22" t="n"/>
      <c r="AH91" s="22" t="n"/>
      <c r="AI91" s="22" t="n"/>
      <c r="AJ91" s="22" t="n"/>
      <c r="AK91" s="22" t="n"/>
      <c r="AL91" s="22" t="n"/>
      <c r="AM91" s="22" t="n"/>
      <c r="AN91" s="22" t="n"/>
      <c r="AO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324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  <c r="Y92" s="22" t="n"/>
      <c r="Z92" s="22" t="n"/>
      <c r="AA92" s="22" t="n"/>
      <c r="AB92" s="22" t="n"/>
      <c r="AC92" s="22" t="n"/>
      <c r="AD92" s="22" t="n"/>
      <c r="AE92" s="22" t="n"/>
      <c r="AF92" s="22" t="n"/>
      <c r="AG92" s="22" t="n"/>
      <c r="AH92" s="22" t="n"/>
      <c r="AI92" s="22" t="n"/>
      <c r="AJ92" s="22" t="n"/>
      <c r="AK92" s="22" t="n"/>
      <c r="AL92" s="22" t="n"/>
      <c r="AM92" s="22" t="n"/>
      <c r="AN92" s="22" t="n"/>
      <c r="AO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324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  <c r="Y93" s="22" t="n"/>
      <c r="Z93" s="22" t="n"/>
      <c r="AA93" s="22" t="n"/>
      <c r="AB93" s="22" t="n"/>
      <c r="AC93" s="22" t="n"/>
      <c r="AD93" s="22" t="n"/>
      <c r="AE93" s="22" t="n"/>
      <c r="AF93" s="22" t="n"/>
      <c r="AG93" s="22" t="n"/>
      <c r="AH93" s="22" t="n"/>
      <c r="AI93" s="22" t="n"/>
      <c r="AJ93" s="22" t="n"/>
      <c r="AK93" s="22" t="n"/>
      <c r="AL93" s="22" t="n"/>
      <c r="AM93" s="22" t="n"/>
      <c r="AN93" s="22" t="n"/>
      <c r="AO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324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  <c r="Y94" s="22" t="n"/>
      <c r="Z94" s="22" t="n"/>
      <c r="AA94" s="22" t="n"/>
      <c r="AB94" s="22" t="n"/>
      <c r="AC94" s="22" t="n"/>
      <c r="AD94" s="22" t="n"/>
      <c r="AE94" s="22" t="n"/>
      <c r="AF94" s="22" t="n"/>
      <c r="AG94" s="22" t="n"/>
      <c r="AH94" s="22" t="n"/>
      <c r="AI94" s="22" t="n"/>
      <c r="AJ94" s="22" t="n"/>
      <c r="AK94" s="22" t="n"/>
      <c r="AL94" s="22" t="n"/>
      <c r="AM94" s="22" t="n"/>
      <c r="AN94" s="22" t="n"/>
      <c r="AO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324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  <c r="Y95" s="22" t="n"/>
      <c r="Z95" s="22" t="n"/>
      <c r="AA95" s="22" t="n"/>
      <c r="AB95" s="22" t="n"/>
      <c r="AC95" s="22" t="n"/>
      <c r="AD95" s="22" t="n"/>
      <c r="AE95" s="22" t="n"/>
      <c r="AF95" s="22" t="n"/>
      <c r="AG95" s="22" t="n"/>
      <c r="AH95" s="22" t="n"/>
      <c r="AI95" s="22" t="n"/>
      <c r="AJ95" s="22" t="n"/>
      <c r="AK95" s="22" t="n"/>
      <c r="AL95" s="22" t="n"/>
      <c r="AM95" s="22" t="n"/>
      <c r="AN95" s="22" t="n"/>
      <c r="AO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324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  <c r="Y96" s="22" t="n"/>
      <c r="Z96" s="22" t="n"/>
      <c r="AA96" s="22" t="n"/>
      <c r="AB96" s="22" t="n"/>
      <c r="AC96" s="22" t="n"/>
      <c r="AD96" s="22" t="n"/>
      <c r="AE96" s="22" t="n"/>
      <c r="AF96" s="22" t="n"/>
      <c r="AG96" s="22" t="n"/>
      <c r="AH96" s="22" t="n"/>
      <c r="AI96" s="22" t="n"/>
      <c r="AJ96" s="22" t="n"/>
      <c r="AK96" s="22" t="n"/>
      <c r="AL96" s="22" t="n"/>
      <c r="AM96" s="22" t="n"/>
      <c r="AN96" s="22" t="n"/>
      <c r="AO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324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  <c r="Y97" s="22" t="n"/>
      <c r="Z97" s="22" t="n"/>
      <c r="AA97" s="22" t="n"/>
      <c r="AB97" s="22" t="n"/>
      <c r="AC97" s="22" t="n"/>
      <c r="AD97" s="22" t="n"/>
      <c r="AE97" s="22" t="n"/>
      <c r="AF97" s="22" t="n"/>
      <c r="AG97" s="22" t="n"/>
      <c r="AH97" s="22" t="n"/>
      <c r="AI97" s="22" t="n"/>
      <c r="AJ97" s="22" t="n"/>
      <c r="AK97" s="22" t="n"/>
      <c r="AL97" s="22" t="n"/>
      <c r="AM97" s="22" t="n"/>
      <c r="AN97" s="22" t="n"/>
      <c r="AO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324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  <c r="Y98" s="22" t="n"/>
      <c r="Z98" s="22" t="n"/>
      <c r="AA98" s="22" t="n"/>
      <c r="AB98" s="22" t="n"/>
      <c r="AC98" s="22" t="n"/>
      <c r="AD98" s="22" t="n"/>
      <c r="AE98" s="22" t="n"/>
      <c r="AF98" s="22" t="n"/>
      <c r="AG98" s="22" t="n"/>
      <c r="AH98" s="22" t="n"/>
      <c r="AI98" s="22" t="n"/>
      <c r="AJ98" s="22" t="n"/>
      <c r="AK98" s="22" t="n"/>
      <c r="AL98" s="22" t="n"/>
      <c r="AM98" s="22" t="n"/>
      <c r="AN98" s="22" t="n"/>
      <c r="AO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324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  <c r="Y99" s="22" t="n"/>
      <c r="Z99" s="22" t="n"/>
      <c r="AA99" s="22" t="n"/>
      <c r="AB99" s="22" t="n"/>
      <c r="AC99" s="22" t="n"/>
      <c r="AD99" s="22" t="n"/>
      <c r="AE99" s="22" t="n"/>
      <c r="AF99" s="22" t="n"/>
      <c r="AG99" s="22" t="n"/>
      <c r="AH99" s="22" t="n"/>
      <c r="AI99" s="22" t="n"/>
      <c r="AJ99" s="22" t="n"/>
      <c r="AK99" s="22" t="n"/>
      <c r="AL99" s="22" t="n"/>
      <c r="AM99" s="22" t="n"/>
      <c r="AN99" s="22" t="n"/>
      <c r="AO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324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  <c r="Y100" s="22" t="n"/>
      <c r="Z100" s="22" t="n"/>
      <c r="AA100" s="22" t="n"/>
      <c r="AB100" s="22" t="n"/>
      <c r="AC100" s="22" t="n"/>
      <c r="AD100" s="22" t="n"/>
      <c r="AE100" s="22" t="n"/>
      <c r="AF100" s="22" t="n"/>
      <c r="AG100" s="22" t="n"/>
      <c r="AH100" s="22" t="n"/>
      <c r="AI100" s="22" t="n"/>
      <c r="AJ100" s="22" t="n"/>
      <c r="AK100" s="22" t="n"/>
      <c r="AL100" s="22" t="n"/>
      <c r="AM100" s="22" t="n"/>
      <c r="AN100" s="22" t="n"/>
      <c r="AO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324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  <c r="Y101" s="22" t="n"/>
      <c r="Z101" s="22" t="n"/>
      <c r="AA101" s="22" t="n"/>
      <c r="AB101" s="22" t="n"/>
      <c r="AC101" s="22" t="n"/>
      <c r="AD101" s="22" t="n"/>
      <c r="AE101" s="22" t="n"/>
      <c r="AF101" s="22" t="n"/>
      <c r="AG101" s="22" t="n"/>
      <c r="AH101" s="22" t="n"/>
      <c r="AI101" s="22" t="n"/>
      <c r="AJ101" s="22" t="n"/>
      <c r="AK101" s="22" t="n"/>
      <c r="AL101" s="22" t="n"/>
      <c r="AM101" s="22" t="n"/>
      <c r="AN101" s="22" t="n"/>
      <c r="AO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324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  <c r="Y102" s="22" t="n"/>
      <c r="Z102" s="22" t="n"/>
      <c r="AA102" s="22" t="n"/>
      <c r="AB102" s="22" t="n"/>
      <c r="AC102" s="22" t="n"/>
      <c r="AD102" s="22" t="n"/>
      <c r="AE102" s="22" t="n"/>
      <c r="AF102" s="22" t="n"/>
      <c r="AG102" s="22" t="n"/>
      <c r="AH102" s="22" t="n"/>
      <c r="AI102" s="22" t="n"/>
      <c r="AJ102" s="22" t="n"/>
      <c r="AK102" s="22" t="n"/>
      <c r="AL102" s="22" t="n"/>
      <c r="AM102" s="22" t="n"/>
      <c r="AN102" s="22" t="n"/>
      <c r="AO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324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  <c r="Y103" s="22" t="n"/>
      <c r="Z103" s="22" t="n"/>
      <c r="AA103" s="22" t="n"/>
      <c r="AB103" s="22" t="n"/>
      <c r="AC103" s="22" t="n"/>
      <c r="AD103" s="22" t="n"/>
      <c r="AE103" s="22" t="n"/>
      <c r="AF103" s="22" t="n"/>
      <c r="AG103" s="22" t="n"/>
      <c r="AH103" s="22" t="n"/>
      <c r="AI103" s="22" t="n"/>
      <c r="AJ103" s="22" t="n"/>
      <c r="AK103" s="22" t="n"/>
      <c r="AL103" s="22" t="n"/>
      <c r="AM103" s="22" t="n"/>
      <c r="AN103" s="22" t="n"/>
      <c r="AO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324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  <c r="Y104" s="22" t="n"/>
      <c r="Z104" s="22" t="n"/>
      <c r="AA104" s="22" t="n"/>
      <c r="AB104" s="22" t="n"/>
      <c r="AC104" s="22" t="n"/>
      <c r="AD104" s="22" t="n"/>
      <c r="AE104" s="22" t="n"/>
      <c r="AF104" s="22" t="n"/>
      <c r="AG104" s="22" t="n"/>
      <c r="AH104" s="22" t="n"/>
      <c r="AI104" s="22" t="n"/>
      <c r="AJ104" s="22" t="n"/>
      <c r="AK104" s="22" t="n"/>
      <c r="AL104" s="22" t="n"/>
      <c r="AM104" s="22" t="n"/>
      <c r="AN104" s="22" t="n"/>
      <c r="AO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324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  <c r="Y105" s="22" t="n"/>
      <c r="Z105" s="22" t="n"/>
      <c r="AA105" s="22" t="n"/>
      <c r="AB105" s="22" t="n"/>
      <c r="AC105" s="22" t="n"/>
      <c r="AD105" s="22" t="n"/>
      <c r="AE105" s="22" t="n"/>
      <c r="AF105" s="22" t="n"/>
      <c r="AG105" s="22" t="n"/>
      <c r="AH105" s="22" t="n"/>
      <c r="AI105" s="22" t="n"/>
      <c r="AJ105" s="22" t="n"/>
      <c r="AK105" s="22" t="n"/>
      <c r="AL105" s="22" t="n"/>
      <c r="AM105" s="22" t="n"/>
      <c r="AN105" s="22" t="n"/>
      <c r="AO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324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  <c r="Y106" s="22" t="n"/>
      <c r="Z106" s="22" t="n"/>
      <c r="AA106" s="22" t="n"/>
      <c r="AB106" s="22" t="n"/>
      <c r="AC106" s="22" t="n"/>
      <c r="AD106" s="22" t="n"/>
      <c r="AE106" s="22" t="n"/>
      <c r="AF106" s="22" t="n"/>
      <c r="AG106" s="22" t="n"/>
      <c r="AH106" s="22" t="n"/>
      <c r="AI106" s="22" t="n"/>
      <c r="AJ106" s="22" t="n"/>
      <c r="AK106" s="22" t="n"/>
      <c r="AL106" s="22" t="n"/>
      <c r="AM106" s="22" t="n"/>
      <c r="AN106" s="22" t="n"/>
      <c r="AO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324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  <c r="Y107" s="22" t="n"/>
      <c r="Z107" s="22" t="n"/>
      <c r="AA107" s="22" t="n"/>
      <c r="AB107" s="22" t="n"/>
      <c r="AC107" s="22" t="n"/>
      <c r="AD107" s="22" t="n"/>
      <c r="AE107" s="22" t="n"/>
      <c r="AF107" s="22" t="n"/>
      <c r="AG107" s="22" t="n"/>
      <c r="AH107" s="22" t="n"/>
      <c r="AI107" s="22" t="n"/>
      <c r="AJ107" s="22" t="n"/>
      <c r="AK107" s="22" t="n"/>
      <c r="AL107" s="22" t="n"/>
      <c r="AM107" s="22" t="n"/>
      <c r="AN107" s="22" t="n"/>
      <c r="AO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324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  <c r="Y108" s="22" t="n"/>
      <c r="Z108" s="22" t="n"/>
      <c r="AA108" s="22" t="n"/>
      <c r="AB108" s="22" t="n"/>
      <c r="AC108" s="22" t="n"/>
      <c r="AD108" s="22" t="n"/>
      <c r="AE108" s="22" t="n"/>
      <c r="AF108" s="22" t="n"/>
      <c r="AG108" s="22" t="n"/>
      <c r="AH108" s="22" t="n"/>
      <c r="AI108" s="22" t="n"/>
      <c r="AJ108" s="22" t="n"/>
      <c r="AK108" s="22" t="n"/>
      <c r="AL108" s="22" t="n"/>
      <c r="AM108" s="22" t="n"/>
      <c r="AN108" s="22" t="n"/>
      <c r="AO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324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  <c r="Y109" s="22" t="n"/>
      <c r="Z109" s="22" t="n"/>
      <c r="AA109" s="22" t="n"/>
      <c r="AB109" s="22" t="n"/>
      <c r="AC109" s="22" t="n"/>
      <c r="AD109" s="22" t="n"/>
      <c r="AE109" s="22" t="n"/>
      <c r="AF109" s="22" t="n"/>
      <c r="AG109" s="22" t="n"/>
      <c r="AH109" s="22" t="n"/>
      <c r="AI109" s="22" t="n"/>
      <c r="AJ109" s="22" t="n"/>
      <c r="AK109" s="22" t="n"/>
      <c r="AL109" s="22" t="n"/>
      <c r="AM109" s="22" t="n"/>
      <c r="AN109" s="22" t="n"/>
      <c r="AO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324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  <c r="Y110" s="22" t="n"/>
      <c r="Z110" s="22" t="n"/>
      <c r="AA110" s="22" t="n"/>
      <c r="AB110" s="22" t="n"/>
      <c r="AC110" s="22" t="n"/>
      <c r="AD110" s="22" t="n"/>
      <c r="AE110" s="22" t="n"/>
      <c r="AF110" s="22" t="n"/>
      <c r="AG110" s="22" t="n"/>
      <c r="AH110" s="22" t="n"/>
      <c r="AI110" s="22" t="n"/>
      <c r="AJ110" s="22" t="n"/>
      <c r="AK110" s="22" t="n"/>
      <c r="AL110" s="22" t="n"/>
      <c r="AM110" s="22" t="n"/>
      <c r="AN110" s="22" t="n"/>
      <c r="AO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324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  <c r="Y111" s="22" t="n"/>
      <c r="Z111" s="22" t="n"/>
      <c r="AA111" s="22" t="n"/>
      <c r="AB111" s="22" t="n"/>
      <c r="AC111" s="22" t="n"/>
      <c r="AD111" s="22" t="n"/>
      <c r="AE111" s="22" t="n"/>
      <c r="AF111" s="22" t="n"/>
      <c r="AG111" s="22" t="n"/>
      <c r="AH111" s="22" t="n"/>
      <c r="AI111" s="22" t="n"/>
      <c r="AJ111" s="22" t="n"/>
      <c r="AK111" s="22" t="n"/>
      <c r="AL111" s="22" t="n"/>
      <c r="AM111" s="22" t="n"/>
      <c r="AN111" s="22" t="n"/>
      <c r="AO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324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  <c r="Y112" s="22" t="n"/>
      <c r="Z112" s="22" t="n"/>
      <c r="AA112" s="22" t="n"/>
      <c r="AB112" s="22" t="n"/>
      <c r="AC112" s="22" t="n"/>
      <c r="AD112" s="22" t="n"/>
      <c r="AE112" s="22" t="n"/>
      <c r="AF112" s="22" t="n"/>
      <c r="AG112" s="22" t="n"/>
      <c r="AH112" s="22" t="n"/>
      <c r="AI112" s="22" t="n"/>
      <c r="AJ112" s="22" t="n"/>
      <c r="AK112" s="22" t="n"/>
      <c r="AL112" s="22" t="n"/>
      <c r="AM112" s="22" t="n"/>
      <c r="AN112" s="22" t="n"/>
      <c r="AO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324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  <c r="Y113" s="22" t="n"/>
      <c r="Z113" s="22" t="n"/>
      <c r="AA113" s="22" t="n"/>
      <c r="AB113" s="22" t="n"/>
      <c r="AC113" s="22" t="n"/>
      <c r="AD113" s="22" t="n"/>
      <c r="AE113" s="22" t="n"/>
      <c r="AF113" s="22" t="n"/>
      <c r="AG113" s="22" t="n"/>
      <c r="AH113" s="22" t="n"/>
      <c r="AI113" s="22" t="n"/>
      <c r="AJ113" s="22" t="n"/>
      <c r="AK113" s="22" t="n"/>
      <c r="AL113" s="22" t="n"/>
      <c r="AM113" s="22" t="n"/>
      <c r="AN113" s="22" t="n"/>
      <c r="AO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324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  <c r="Y114" s="22" t="n"/>
      <c r="Z114" s="22" t="n"/>
      <c r="AA114" s="22" t="n"/>
      <c r="AB114" s="22" t="n"/>
      <c r="AC114" s="22" t="n"/>
      <c r="AD114" s="22" t="n"/>
      <c r="AE114" s="22" t="n"/>
      <c r="AF114" s="22" t="n"/>
      <c r="AG114" s="22" t="n"/>
      <c r="AH114" s="22" t="n"/>
      <c r="AI114" s="22" t="n"/>
      <c r="AJ114" s="22" t="n"/>
      <c r="AK114" s="22" t="n"/>
      <c r="AL114" s="22" t="n"/>
      <c r="AM114" s="22" t="n"/>
      <c r="AN114" s="22" t="n"/>
      <c r="AO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324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  <c r="Y115" s="22" t="n"/>
      <c r="Z115" s="22" t="n"/>
      <c r="AA115" s="22" t="n"/>
      <c r="AB115" s="22" t="n"/>
      <c r="AC115" s="22" t="n"/>
      <c r="AD115" s="22" t="n"/>
      <c r="AE115" s="22" t="n"/>
      <c r="AF115" s="22" t="n"/>
      <c r="AG115" s="22" t="n"/>
      <c r="AH115" s="22" t="n"/>
      <c r="AI115" s="22" t="n"/>
      <c r="AJ115" s="22" t="n"/>
      <c r="AK115" s="22" t="n"/>
      <c r="AL115" s="22" t="n"/>
      <c r="AM115" s="22" t="n"/>
      <c r="AN115" s="22" t="n"/>
      <c r="AO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324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  <c r="Y116" s="22" t="n"/>
      <c r="Z116" s="22" t="n"/>
      <c r="AA116" s="22" t="n"/>
      <c r="AB116" s="22" t="n"/>
      <c r="AC116" s="22" t="n"/>
      <c r="AD116" s="22" t="n"/>
      <c r="AE116" s="22" t="n"/>
      <c r="AF116" s="22" t="n"/>
      <c r="AG116" s="22" t="n"/>
      <c r="AH116" s="22" t="n"/>
      <c r="AI116" s="22" t="n"/>
      <c r="AJ116" s="22" t="n"/>
      <c r="AK116" s="22" t="n"/>
      <c r="AL116" s="22" t="n"/>
      <c r="AM116" s="22" t="n"/>
      <c r="AN116" s="22" t="n"/>
      <c r="AO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324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  <c r="Y117" s="22" t="n"/>
      <c r="Z117" s="22" t="n"/>
      <c r="AA117" s="22" t="n"/>
      <c r="AB117" s="22" t="n"/>
      <c r="AC117" s="22" t="n"/>
      <c r="AD117" s="22" t="n"/>
      <c r="AE117" s="22" t="n"/>
      <c r="AF117" s="22" t="n"/>
      <c r="AG117" s="22" t="n"/>
      <c r="AH117" s="22" t="n"/>
      <c r="AI117" s="22" t="n"/>
      <c r="AJ117" s="22" t="n"/>
      <c r="AK117" s="22" t="n"/>
      <c r="AL117" s="22" t="n"/>
      <c r="AM117" s="22" t="n"/>
      <c r="AN117" s="22" t="n"/>
      <c r="AO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324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  <c r="Y118" s="22" t="n"/>
      <c r="Z118" s="22" t="n"/>
      <c r="AA118" s="22" t="n"/>
      <c r="AB118" s="22" t="n"/>
      <c r="AC118" s="22" t="n"/>
      <c r="AD118" s="22" t="n"/>
      <c r="AE118" s="22" t="n"/>
      <c r="AF118" s="22" t="n"/>
      <c r="AG118" s="22" t="n"/>
      <c r="AH118" s="22" t="n"/>
      <c r="AI118" s="22" t="n"/>
      <c r="AJ118" s="22" t="n"/>
      <c r="AK118" s="22" t="n"/>
      <c r="AL118" s="22" t="n"/>
      <c r="AM118" s="22" t="n"/>
      <c r="AN118" s="22" t="n"/>
      <c r="AO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324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  <c r="Y119" s="22" t="n"/>
      <c r="Z119" s="22" t="n"/>
      <c r="AA119" s="22" t="n"/>
      <c r="AB119" s="22" t="n"/>
      <c r="AC119" s="22" t="n"/>
      <c r="AD119" s="22" t="n"/>
      <c r="AE119" s="22" t="n"/>
      <c r="AF119" s="22" t="n"/>
      <c r="AG119" s="22" t="n"/>
      <c r="AH119" s="22" t="n"/>
      <c r="AI119" s="22" t="n"/>
      <c r="AJ119" s="22" t="n"/>
      <c r="AK119" s="22" t="n"/>
      <c r="AL119" s="22" t="n"/>
      <c r="AM119" s="22" t="n"/>
      <c r="AN119" s="22" t="n"/>
      <c r="AO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324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  <c r="Y120" s="22" t="n"/>
      <c r="Z120" s="22" t="n"/>
      <c r="AA120" s="22" t="n"/>
      <c r="AB120" s="22" t="n"/>
      <c r="AC120" s="22" t="n"/>
      <c r="AD120" s="22" t="n"/>
      <c r="AE120" s="22" t="n"/>
      <c r="AF120" s="22" t="n"/>
      <c r="AG120" s="22" t="n"/>
      <c r="AH120" s="22" t="n"/>
      <c r="AI120" s="22" t="n"/>
      <c r="AJ120" s="22" t="n"/>
      <c r="AK120" s="22" t="n"/>
      <c r="AL120" s="22" t="n"/>
      <c r="AM120" s="22" t="n"/>
      <c r="AN120" s="22" t="n"/>
      <c r="AO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324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  <c r="Y121" s="22" t="n"/>
      <c r="Z121" s="22" t="n"/>
      <c r="AA121" s="22" t="n"/>
      <c r="AB121" s="22" t="n"/>
      <c r="AC121" s="22" t="n"/>
      <c r="AD121" s="22" t="n"/>
      <c r="AE121" s="22" t="n"/>
      <c r="AF121" s="22" t="n"/>
      <c r="AG121" s="22" t="n"/>
      <c r="AH121" s="22" t="n"/>
      <c r="AI121" s="22" t="n"/>
      <c r="AJ121" s="22" t="n"/>
      <c r="AK121" s="22" t="n"/>
      <c r="AL121" s="22" t="n"/>
      <c r="AM121" s="22" t="n"/>
      <c r="AN121" s="22" t="n"/>
      <c r="AO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324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  <c r="Y122" s="22" t="n"/>
      <c r="Z122" s="22" t="n"/>
      <c r="AA122" s="22" t="n"/>
      <c r="AB122" s="22" t="n"/>
      <c r="AC122" s="22" t="n"/>
      <c r="AD122" s="22" t="n"/>
      <c r="AE122" s="22" t="n"/>
      <c r="AF122" s="22" t="n"/>
      <c r="AG122" s="22" t="n"/>
      <c r="AH122" s="22" t="n"/>
      <c r="AI122" s="22" t="n"/>
      <c r="AJ122" s="22" t="n"/>
      <c r="AK122" s="22" t="n"/>
      <c r="AL122" s="22" t="n"/>
      <c r="AM122" s="22" t="n"/>
      <c r="AN122" s="22" t="n"/>
      <c r="AO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324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  <c r="Y123" s="22" t="n"/>
      <c r="Z123" s="22" t="n"/>
      <c r="AA123" s="22" t="n"/>
      <c r="AB123" s="22" t="n"/>
      <c r="AC123" s="22" t="n"/>
      <c r="AD123" s="22" t="n"/>
      <c r="AE123" s="22" t="n"/>
      <c r="AF123" s="22" t="n"/>
      <c r="AG123" s="22" t="n"/>
      <c r="AH123" s="22" t="n"/>
      <c r="AI123" s="22" t="n"/>
      <c r="AJ123" s="22" t="n"/>
      <c r="AK123" s="22" t="n"/>
      <c r="AL123" s="22" t="n"/>
      <c r="AM123" s="22" t="n"/>
      <c r="AN123" s="22" t="n"/>
      <c r="AO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324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  <c r="Y124" s="22" t="n"/>
      <c r="Z124" s="22" t="n"/>
      <c r="AA124" s="22" t="n"/>
      <c r="AB124" s="22" t="n"/>
      <c r="AC124" s="22" t="n"/>
      <c r="AD124" s="22" t="n"/>
      <c r="AE124" s="22" t="n"/>
      <c r="AF124" s="22" t="n"/>
      <c r="AG124" s="22" t="n"/>
      <c r="AH124" s="22" t="n"/>
      <c r="AI124" s="22" t="n"/>
      <c r="AJ124" s="22" t="n"/>
      <c r="AK124" s="22" t="n"/>
      <c r="AL124" s="22" t="n"/>
      <c r="AM124" s="22" t="n"/>
      <c r="AN124" s="22" t="n"/>
      <c r="AO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324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  <c r="Y125" s="22" t="n"/>
      <c r="Z125" s="22" t="n"/>
      <c r="AA125" s="22" t="n"/>
      <c r="AB125" s="22" t="n"/>
      <c r="AC125" s="22" t="n"/>
      <c r="AD125" s="22" t="n"/>
      <c r="AE125" s="22" t="n"/>
      <c r="AF125" s="22" t="n"/>
      <c r="AG125" s="22" t="n"/>
      <c r="AH125" s="22" t="n"/>
      <c r="AI125" s="22" t="n"/>
      <c r="AJ125" s="22" t="n"/>
      <c r="AK125" s="22" t="n"/>
      <c r="AL125" s="22" t="n"/>
      <c r="AM125" s="22" t="n"/>
      <c r="AN125" s="22" t="n"/>
      <c r="AO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324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  <c r="AJ126" s="22" t="n"/>
      <c r="AK126" s="22" t="n"/>
      <c r="AL126" s="22" t="n"/>
      <c r="AM126" s="22" t="n"/>
      <c r="AN126" s="22" t="n"/>
      <c r="AO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324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  <c r="AJ127" s="22" t="n"/>
      <c r="AK127" s="22" t="n"/>
      <c r="AL127" s="22" t="n"/>
      <c r="AM127" s="22" t="n"/>
      <c r="AN127" s="22" t="n"/>
      <c r="AO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324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  <c r="AJ128" s="22" t="n"/>
      <c r="AK128" s="22" t="n"/>
      <c r="AL128" s="22" t="n"/>
      <c r="AM128" s="22" t="n"/>
      <c r="AN128" s="22" t="n"/>
      <c r="AO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324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  <c r="AJ129" s="22" t="n"/>
      <c r="AK129" s="22" t="n"/>
      <c r="AL129" s="22" t="n"/>
      <c r="AM129" s="22" t="n"/>
      <c r="AN129" s="22" t="n"/>
      <c r="AO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  <c r="AJ130" s="22" t="n"/>
      <c r="AK130" s="22" t="n"/>
      <c r="AL130" s="22" t="n"/>
      <c r="AM130" s="22" t="n"/>
      <c r="AN130" s="22" t="n"/>
      <c r="AO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  <c r="AJ131" s="22" t="n"/>
      <c r="AK131" s="22" t="n"/>
      <c r="AL131" s="22" t="n"/>
      <c r="AM131" s="22" t="n"/>
      <c r="AN131" s="22" t="n"/>
      <c r="AO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  <c r="AJ132" s="22" t="n"/>
      <c r="AK132" s="22" t="n"/>
      <c r="AL132" s="22" t="n"/>
      <c r="AM132" s="22" t="n"/>
      <c r="AN132" s="22" t="n"/>
      <c r="AO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  <c r="AJ133" s="22" t="n"/>
      <c r="AK133" s="22" t="n"/>
      <c r="AL133" s="22" t="n"/>
      <c r="AM133" s="22" t="n"/>
      <c r="AN133" s="22" t="n"/>
      <c r="AO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  <c r="AJ134" s="22" t="n"/>
      <c r="AK134" s="22" t="n"/>
      <c r="AL134" s="22" t="n"/>
      <c r="AM134" s="22" t="n"/>
      <c r="AN134" s="22" t="n"/>
      <c r="AO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  <c r="AJ135" s="22" t="n"/>
      <c r="AK135" s="22" t="n"/>
      <c r="AL135" s="22" t="n"/>
      <c r="AM135" s="22" t="n"/>
      <c r="AN135" s="22" t="n"/>
      <c r="AO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  <c r="AJ136" s="22" t="n"/>
      <c r="AK136" s="22" t="n"/>
      <c r="AL136" s="22" t="n"/>
      <c r="AM136" s="22" t="n"/>
      <c r="AN136" s="22" t="n"/>
      <c r="AO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  <c r="AJ137" s="22" t="n"/>
      <c r="AK137" s="22" t="n"/>
      <c r="AL137" s="22" t="n"/>
      <c r="AM137" s="22" t="n"/>
      <c r="AN137" s="22" t="n"/>
      <c r="AO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  <c r="Y138" s="22" t="n"/>
      <c r="Z138" s="22" t="n"/>
      <c r="AA138" s="22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  <c r="AJ138" s="22" t="n"/>
      <c r="AK138" s="22" t="n"/>
      <c r="AL138" s="22" t="n"/>
      <c r="AM138" s="22" t="n"/>
      <c r="AN138" s="22" t="n"/>
      <c r="AO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  <c r="Y139" s="22" t="n"/>
      <c r="Z139" s="22" t="n"/>
      <c r="AA139" s="22" t="n"/>
      <c r="AB139" s="22" t="n"/>
      <c r="AC139" s="22" t="n"/>
      <c r="AD139" s="22" t="n"/>
      <c r="AE139" s="22" t="n"/>
      <c r="AF139" s="22" t="n"/>
      <c r="AG139" s="22" t="n"/>
      <c r="AH139" s="22" t="n"/>
      <c r="AI139" s="22" t="n"/>
      <c r="AJ139" s="22" t="n"/>
      <c r="AK139" s="22" t="n"/>
      <c r="AL139" s="22" t="n"/>
      <c r="AM139" s="22" t="n"/>
      <c r="AN139" s="22" t="n"/>
      <c r="AO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  <c r="Y140" s="22" t="n"/>
      <c r="Z140" s="22" t="n"/>
      <c r="AA140" s="22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  <c r="AJ140" s="22" t="n"/>
      <c r="AK140" s="22" t="n"/>
      <c r="AL140" s="22" t="n"/>
      <c r="AM140" s="22" t="n"/>
      <c r="AN140" s="22" t="n"/>
      <c r="AO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  <c r="Y141" s="22" t="n"/>
      <c r="Z141" s="22" t="n"/>
      <c r="AA141" s="22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  <c r="AJ141" s="22" t="n"/>
      <c r="AK141" s="22" t="n"/>
      <c r="AL141" s="22" t="n"/>
      <c r="AM141" s="22" t="n"/>
      <c r="AN141" s="22" t="n"/>
      <c r="AO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  <c r="Y142" s="22" t="n"/>
      <c r="Z142" s="22" t="n"/>
      <c r="AA142" s="22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  <c r="AJ142" s="22" t="n"/>
      <c r="AK142" s="22" t="n"/>
      <c r="AL142" s="22" t="n"/>
      <c r="AM142" s="22" t="n"/>
      <c r="AN142" s="22" t="n"/>
      <c r="AO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  <c r="Y143" s="22" t="n"/>
      <c r="Z143" s="22" t="n"/>
      <c r="AA143" s="22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  <c r="AJ143" s="22" t="n"/>
      <c r="AK143" s="22" t="n"/>
      <c r="AL143" s="22" t="n"/>
      <c r="AM143" s="22" t="n"/>
      <c r="AN143" s="22" t="n"/>
      <c r="AO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  <c r="AJ144" s="22" t="n"/>
      <c r="AK144" s="22" t="n"/>
      <c r="AL144" s="22" t="n"/>
      <c r="AM144" s="22" t="n"/>
      <c r="AN144" s="22" t="n"/>
      <c r="AO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  <c r="AJ145" s="22" t="n"/>
      <c r="AK145" s="22" t="n"/>
      <c r="AL145" s="22" t="n"/>
      <c r="AM145" s="22" t="n"/>
      <c r="AN145" s="22" t="n"/>
      <c r="AO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  <c r="AJ146" s="22" t="n"/>
      <c r="AK146" s="22" t="n"/>
      <c r="AL146" s="22" t="n"/>
      <c r="AM146" s="22" t="n"/>
      <c r="AN146" s="22" t="n"/>
      <c r="AO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  <c r="AJ147" s="22" t="n"/>
      <c r="AK147" s="22" t="n"/>
      <c r="AL147" s="22" t="n"/>
      <c r="AM147" s="22" t="n"/>
      <c r="AN147" s="22" t="n"/>
      <c r="AO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  <c r="AJ148" s="22" t="n"/>
      <c r="AK148" s="22" t="n"/>
      <c r="AL148" s="22" t="n"/>
      <c r="AM148" s="22" t="n"/>
      <c r="AN148" s="22" t="n"/>
      <c r="AO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  <c r="AJ149" s="22" t="n"/>
      <c r="AK149" s="22" t="n"/>
      <c r="AL149" s="22" t="n"/>
      <c r="AM149" s="22" t="n"/>
      <c r="AN149" s="22" t="n"/>
      <c r="AO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  <c r="AJ150" s="22" t="n"/>
      <c r="AK150" s="22" t="n"/>
      <c r="AL150" s="22" t="n"/>
      <c r="AM150" s="22" t="n"/>
      <c r="AN150" s="22" t="n"/>
      <c r="AO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  <c r="AJ151" s="22" t="n"/>
      <c r="AK151" s="22" t="n"/>
      <c r="AL151" s="22" t="n"/>
      <c r="AM151" s="22" t="n"/>
      <c r="AN151" s="22" t="n"/>
      <c r="AO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  <c r="AJ152" s="22" t="n"/>
      <c r="AK152" s="22" t="n"/>
      <c r="AL152" s="22" t="n"/>
      <c r="AM152" s="22" t="n"/>
      <c r="AN152" s="22" t="n"/>
      <c r="AO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  <c r="AJ153" s="22" t="n"/>
      <c r="AK153" s="22" t="n"/>
      <c r="AL153" s="22" t="n"/>
      <c r="AM153" s="22" t="n"/>
      <c r="AN153" s="22" t="n"/>
      <c r="AO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  <c r="AJ154" s="22" t="n"/>
      <c r="AK154" s="22" t="n"/>
      <c r="AL154" s="22" t="n"/>
      <c r="AM154" s="22" t="n"/>
      <c r="AN154" s="22" t="n"/>
      <c r="AO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  <c r="AJ155" s="22" t="n"/>
      <c r="AK155" s="22" t="n"/>
      <c r="AL155" s="22" t="n"/>
      <c r="AM155" s="22" t="n"/>
      <c r="AN155" s="22" t="n"/>
      <c r="AO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  <c r="AJ156" s="22" t="n"/>
      <c r="AK156" s="22" t="n"/>
      <c r="AL156" s="22" t="n"/>
      <c r="AM156" s="22" t="n"/>
      <c r="AN156" s="22" t="n"/>
      <c r="AO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  <c r="AJ157" s="22" t="n"/>
      <c r="AK157" s="22" t="n"/>
      <c r="AL157" s="22" t="n"/>
      <c r="AM157" s="22" t="n"/>
      <c r="AN157" s="22" t="n"/>
      <c r="AO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  <c r="AJ158" s="22" t="n"/>
      <c r="AK158" s="22" t="n"/>
      <c r="AL158" s="22" t="n"/>
      <c r="AM158" s="22" t="n"/>
      <c r="AN158" s="22" t="n"/>
      <c r="AO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  <c r="AJ159" s="22" t="n"/>
      <c r="AK159" s="22" t="n"/>
      <c r="AL159" s="22" t="n"/>
      <c r="AM159" s="22" t="n"/>
      <c r="AN159" s="22" t="n"/>
      <c r="AO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  <c r="AJ160" s="22" t="n"/>
      <c r="AK160" s="22" t="n"/>
      <c r="AL160" s="22" t="n"/>
      <c r="AM160" s="22" t="n"/>
      <c r="AN160" s="22" t="n"/>
      <c r="AO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  <c r="AJ161" s="22" t="n"/>
      <c r="AK161" s="22" t="n"/>
      <c r="AL161" s="22" t="n"/>
      <c r="AM161" s="22" t="n"/>
      <c r="AN161" s="22" t="n"/>
      <c r="AO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  <c r="AJ162" s="22" t="n"/>
      <c r="AK162" s="22" t="n"/>
      <c r="AL162" s="22" t="n"/>
      <c r="AM162" s="22" t="n"/>
      <c r="AN162" s="22" t="n"/>
      <c r="AO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  <c r="AJ163" s="22" t="n"/>
      <c r="AK163" s="22" t="n"/>
      <c r="AL163" s="22" t="n"/>
      <c r="AM163" s="22" t="n"/>
      <c r="AN163" s="22" t="n"/>
      <c r="AO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  <c r="AJ164" s="22" t="n"/>
      <c r="AK164" s="22" t="n"/>
      <c r="AL164" s="22" t="n"/>
      <c r="AM164" s="22" t="n"/>
      <c r="AN164" s="22" t="n"/>
      <c r="AO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  <c r="AJ165" s="22" t="n"/>
      <c r="AK165" s="22" t="n"/>
      <c r="AL165" s="22" t="n"/>
      <c r="AM165" s="22" t="n"/>
      <c r="AN165" s="22" t="n"/>
      <c r="AO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  <c r="AJ166" s="22" t="n"/>
      <c r="AK166" s="22" t="n"/>
      <c r="AL166" s="22" t="n"/>
      <c r="AM166" s="22" t="n"/>
      <c r="AN166" s="22" t="n"/>
      <c r="AO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  <c r="AJ167" s="22" t="n"/>
      <c r="AK167" s="22" t="n"/>
      <c r="AL167" s="22" t="n"/>
      <c r="AM167" s="22" t="n"/>
      <c r="AN167" s="22" t="n"/>
      <c r="AO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  <c r="AJ168" s="22" t="n"/>
      <c r="AK168" s="22" t="n"/>
      <c r="AL168" s="22" t="n"/>
      <c r="AM168" s="22" t="n"/>
      <c r="AN168" s="22" t="n"/>
      <c r="AO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  <c r="AJ169" s="22" t="n"/>
      <c r="AK169" s="22" t="n"/>
      <c r="AL169" s="22" t="n"/>
      <c r="AM169" s="22" t="n"/>
      <c r="AN169" s="22" t="n"/>
      <c r="AO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  <c r="AJ170" s="22" t="n"/>
      <c r="AK170" s="22" t="n"/>
      <c r="AL170" s="22" t="n"/>
      <c r="AM170" s="22" t="n"/>
      <c r="AN170" s="22" t="n"/>
      <c r="AO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  <c r="AJ171" s="22" t="n"/>
      <c r="AK171" s="22" t="n"/>
      <c r="AL171" s="22" t="n"/>
      <c r="AM171" s="22" t="n"/>
      <c r="AN171" s="22" t="n"/>
      <c r="AO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  <c r="AJ172" s="22" t="n"/>
      <c r="AK172" s="22" t="n"/>
      <c r="AL172" s="22" t="n"/>
      <c r="AM172" s="22" t="n"/>
      <c r="AN172" s="22" t="n"/>
      <c r="AO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  <c r="AJ173" s="22" t="n"/>
      <c r="AK173" s="22" t="n"/>
      <c r="AL173" s="22" t="n"/>
      <c r="AM173" s="22" t="n"/>
      <c r="AN173" s="22" t="n"/>
      <c r="AO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  <c r="AJ174" s="22" t="n"/>
      <c r="AK174" s="22" t="n"/>
      <c r="AL174" s="22" t="n"/>
      <c r="AM174" s="22" t="n"/>
      <c r="AN174" s="22" t="n"/>
      <c r="AO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  <c r="AJ175" s="22" t="n"/>
      <c r="AK175" s="22" t="n"/>
      <c r="AL175" s="22" t="n"/>
      <c r="AM175" s="22" t="n"/>
      <c r="AN175" s="22" t="n"/>
      <c r="AO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  <c r="AJ176" s="22" t="n"/>
      <c r="AK176" s="22" t="n"/>
      <c r="AL176" s="22" t="n"/>
      <c r="AM176" s="22" t="n"/>
      <c r="AN176" s="22" t="n"/>
      <c r="AO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  <c r="AJ177" s="22" t="n"/>
      <c r="AK177" s="22" t="n"/>
      <c r="AL177" s="22" t="n"/>
      <c r="AM177" s="22" t="n"/>
      <c r="AN177" s="22" t="n"/>
      <c r="AO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  <c r="AJ178" s="22" t="n"/>
      <c r="AK178" s="22" t="n"/>
      <c r="AL178" s="22" t="n"/>
      <c r="AM178" s="22" t="n"/>
      <c r="AN178" s="22" t="n"/>
      <c r="AO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  <c r="AJ179" s="22" t="n"/>
      <c r="AK179" s="22" t="n"/>
      <c r="AL179" s="22" t="n"/>
      <c r="AM179" s="22" t="n"/>
      <c r="AN179" s="22" t="n"/>
      <c r="AO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  <c r="AJ180" s="22" t="n"/>
      <c r="AK180" s="22" t="n"/>
      <c r="AL180" s="22" t="n"/>
      <c r="AM180" s="22" t="n"/>
      <c r="AN180" s="22" t="n"/>
      <c r="AO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  <c r="AJ181" s="22" t="n"/>
      <c r="AK181" s="22" t="n"/>
      <c r="AL181" s="22" t="n"/>
      <c r="AM181" s="22" t="n"/>
      <c r="AN181" s="22" t="n"/>
      <c r="AO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  <c r="AJ182" s="22" t="n"/>
      <c r="AK182" s="22" t="n"/>
      <c r="AL182" s="22" t="n"/>
      <c r="AM182" s="22" t="n"/>
      <c r="AN182" s="22" t="n"/>
      <c r="AO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  <c r="AJ183" s="22" t="n"/>
      <c r="AK183" s="22" t="n"/>
      <c r="AL183" s="22" t="n"/>
      <c r="AM183" s="22" t="n"/>
      <c r="AN183" s="22" t="n"/>
      <c r="AO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  <c r="AJ184" s="22" t="n"/>
      <c r="AK184" s="22" t="n"/>
      <c r="AL184" s="22" t="n"/>
      <c r="AM184" s="22" t="n"/>
      <c r="AN184" s="22" t="n"/>
      <c r="AO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  <c r="AJ185" s="22" t="n"/>
      <c r="AK185" s="22" t="n"/>
      <c r="AL185" s="22" t="n"/>
      <c r="AM185" s="22" t="n"/>
      <c r="AN185" s="22" t="n"/>
      <c r="AO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  <c r="AJ186" s="22" t="n"/>
      <c r="AK186" s="22" t="n"/>
      <c r="AL186" s="22" t="n"/>
      <c r="AM186" s="22" t="n"/>
      <c r="AN186" s="22" t="n"/>
      <c r="AO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  <c r="AJ187" s="22" t="n"/>
      <c r="AK187" s="22" t="n"/>
      <c r="AL187" s="22" t="n"/>
      <c r="AM187" s="22" t="n"/>
      <c r="AN187" s="22" t="n"/>
      <c r="AO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  <c r="AJ188" s="22" t="n"/>
      <c r="AK188" s="22" t="n"/>
      <c r="AL188" s="22" t="n"/>
      <c r="AM188" s="22" t="n"/>
      <c r="AN188" s="22" t="n"/>
      <c r="AO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  <c r="AJ189" s="22" t="n"/>
      <c r="AK189" s="22" t="n"/>
      <c r="AL189" s="22" t="n"/>
      <c r="AM189" s="22" t="n"/>
      <c r="AN189" s="22" t="n"/>
      <c r="AO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  <c r="AJ190" s="22" t="n"/>
      <c r="AK190" s="22" t="n"/>
      <c r="AL190" s="22" t="n"/>
      <c r="AM190" s="22" t="n"/>
      <c r="AN190" s="22" t="n"/>
      <c r="AO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  <c r="AJ191" s="22" t="n"/>
      <c r="AK191" s="22" t="n"/>
      <c r="AL191" s="22" t="n"/>
      <c r="AM191" s="22" t="n"/>
      <c r="AN191" s="22" t="n"/>
      <c r="AO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  <c r="AJ192" s="22" t="n"/>
      <c r="AK192" s="22" t="n"/>
      <c r="AL192" s="22" t="n"/>
      <c r="AM192" s="22" t="n"/>
      <c r="AN192" s="22" t="n"/>
      <c r="AO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  <c r="AJ193" s="22" t="n"/>
      <c r="AK193" s="22" t="n"/>
      <c r="AL193" s="22" t="n"/>
      <c r="AM193" s="22" t="n"/>
      <c r="AN193" s="22" t="n"/>
      <c r="AO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  <c r="AJ194" s="22" t="n"/>
      <c r="AK194" s="22" t="n"/>
      <c r="AL194" s="22" t="n"/>
      <c r="AM194" s="22" t="n"/>
      <c r="AN194" s="22" t="n"/>
      <c r="AO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  <c r="AJ195" s="22" t="n"/>
      <c r="AK195" s="22" t="n"/>
      <c r="AL195" s="22" t="n"/>
      <c r="AM195" s="22" t="n"/>
      <c r="AN195" s="22" t="n"/>
      <c r="AO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  <c r="AJ196" s="22" t="n"/>
      <c r="AK196" s="22" t="n"/>
      <c r="AL196" s="22" t="n"/>
      <c r="AM196" s="22" t="n"/>
      <c r="AN196" s="22" t="n"/>
      <c r="AO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  <c r="AJ197" s="22" t="n"/>
      <c r="AK197" s="22" t="n"/>
      <c r="AL197" s="22" t="n"/>
      <c r="AM197" s="22" t="n"/>
      <c r="AN197" s="22" t="n"/>
      <c r="AO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  <c r="AJ198" s="22" t="n"/>
      <c r="AK198" s="22" t="n"/>
      <c r="AL198" s="22" t="n"/>
      <c r="AM198" s="22" t="n"/>
      <c r="AN198" s="22" t="n"/>
      <c r="AO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  <c r="AJ199" s="22" t="n"/>
      <c r="AK199" s="22" t="n"/>
      <c r="AL199" s="22" t="n"/>
      <c r="AM199" s="22" t="n"/>
      <c r="AN199" s="22" t="n"/>
      <c r="AO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  <c r="AJ200" s="22" t="n"/>
      <c r="AK200" s="22" t="n"/>
      <c r="AL200" s="22" t="n"/>
      <c r="AM200" s="22" t="n"/>
      <c r="AN200" s="22" t="n"/>
      <c r="AO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  <c r="AJ201" s="22" t="n"/>
      <c r="AK201" s="22" t="n"/>
      <c r="AL201" s="22" t="n"/>
      <c r="AM201" s="22" t="n"/>
      <c r="AN201" s="22" t="n"/>
      <c r="AO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  <c r="AJ202" s="22" t="n"/>
      <c r="AK202" s="22" t="n"/>
      <c r="AL202" s="22" t="n"/>
      <c r="AM202" s="22" t="n"/>
      <c r="AN202" s="22" t="n"/>
      <c r="AO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  <c r="AJ203" s="22" t="n"/>
      <c r="AK203" s="22" t="n"/>
      <c r="AL203" s="22" t="n"/>
      <c r="AM203" s="22" t="n"/>
      <c r="AN203" s="22" t="n"/>
      <c r="AO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  <c r="AJ204" s="22" t="n"/>
      <c r="AK204" s="22" t="n"/>
      <c r="AL204" s="22" t="n"/>
      <c r="AM204" s="22" t="n"/>
      <c r="AN204" s="22" t="n"/>
      <c r="AO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  <c r="AJ205" s="22" t="n"/>
      <c r="AK205" s="22" t="n"/>
      <c r="AL205" s="22" t="n"/>
      <c r="AM205" s="22" t="n"/>
      <c r="AN205" s="22" t="n"/>
      <c r="AO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  <c r="AJ206" s="22" t="n"/>
      <c r="AK206" s="22" t="n"/>
      <c r="AL206" s="22" t="n"/>
      <c r="AM206" s="22" t="n"/>
      <c r="AN206" s="22" t="n"/>
      <c r="AO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  <c r="AJ207" s="22" t="n"/>
      <c r="AK207" s="22" t="n"/>
      <c r="AL207" s="22" t="n"/>
      <c r="AM207" s="22" t="n"/>
      <c r="AN207" s="22" t="n"/>
      <c r="AO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  <c r="AJ208" s="22" t="n"/>
      <c r="AK208" s="22" t="n"/>
      <c r="AL208" s="22" t="n"/>
      <c r="AM208" s="22" t="n"/>
      <c r="AN208" s="22" t="n"/>
      <c r="AO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  <c r="AJ209" s="22" t="n"/>
      <c r="AK209" s="22" t="n"/>
      <c r="AL209" s="22" t="n"/>
      <c r="AM209" s="22" t="n"/>
      <c r="AN209" s="22" t="n"/>
      <c r="AO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  <c r="AJ210" s="22" t="n"/>
      <c r="AK210" s="22" t="n"/>
      <c r="AL210" s="22" t="n"/>
      <c r="AM210" s="22" t="n"/>
      <c r="AN210" s="22" t="n"/>
      <c r="AO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  <c r="AJ211" s="22" t="n"/>
      <c r="AK211" s="22" t="n"/>
      <c r="AL211" s="22" t="n"/>
      <c r="AM211" s="22" t="n"/>
      <c r="AN211" s="22" t="n"/>
      <c r="AO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  <c r="AJ212" s="22" t="n"/>
      <c r="AK212" s="22" t="n"/>
      <c r="AL212" s="22" t="n"/>
      <c r="AM212" s="22" t="n"/>
      <c r="AN212" s="22" t="n"/>
      <c r="AO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  <c r="AJ213" s="22" t="n"/>
      <c r="AK213" s="22" t="n"/>
      <c r="AL213" s="22" t="n"/>
      <c r="AM213" s="22" t="n"/>
      <c r="AN213" s="22" t="n"/>
      <c r="AO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  <c r="AJ214" s="22" t="n"/>
      <c r="AK214" s="22" t="n"/>
      <c r="AL214" s="22" t="n"/>
      <c r="AM214" s="22" t="n"/>
      <c r="AN214" s="22" t="n"/>
      <c r="AO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  <c r="AJ215" s="22" t="n"/>
      <c r="AK215" s="22" t="n"/>
      <c r="AL215" s="22" t="n"/>
      <c r="AM215" s="22" t="n"/>
      <c r="AN215" s="22" t="n"/>
      <c r="AO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  <c r="AJ216" s="22" t="n"/>
      <c r="AK216" s="22" t="n"/>
      <c r="AL216" s="22" t="n"/>
      <c r="AM216" s="22" t="n"/>
      <c r="AN216" s="22" t="n"/>
      <c r="AO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  <c r="AJ217" s="22" t="n"/>
      <c r="AK217" s="22" t="n"/>
      <c r="AL217" s="22" t="n"/>
      <c r="AM217" s="22" t="n"/>
      <c r="AN217" s="22" t="n"/>
      <c r="AO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  <c r="AJ218" s="22" t="n"/>
      <c r="AK218" s="22" t="n"/>
      <c r="AL218" s="22" t="n"/>
      <c r="AM218" s="22" t="n"/>
      <c r="AN218" s="22" t="n"/>
      <c r="AO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  <c r="AJ219" s="22" t="n"/>
      <c r="AK219" s="22" t="n"/>
      <c r="AL219" s="22" t="n"/>
      <c r="AM219" s="22" t="n"/>
      <c r="AN219" s="22" t="n"/>
      <c r="AO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  <c r="AJ220" s="22" t="n"/>
      <c r="AK220" s="22" t="n"/>
      <c r="AL220" s="22" t="n"/>
      <c r="AM220" s="22" t="n"/>
      <c r="AN220" s="22" t="n"/>
      <c r="AO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  <c r="AJ221" s="22" t="n"/>
      <c r="AK221" s="22" t="n"/>
      <c r="AL221" s="22" t="n"/>
      <c r="AM221" s="22" t="n"/>
      <c r="AN221" s="22" t="n"/>
      <c r="AO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  <c r="AJ222" s="22" t="n"/>
      <c r="AK222" s="22" t="n"/>
      <c r="AL222" s="22" t="n"/>
      <c r="AM222" s="22" t="n"/>
      <c r="AN222" s="22" t="n"/>
      <c r="AO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  <c r="AJ223" s="22" t="n"/>
      <c r="AK223" s="22" t="n"/>
      <c r="AL223" s="22" t="n"/>
      <c r="AM223" s="22" t="n"/>
      <c r="AN223" s="22" t="n"/>
      <c r="AO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  <c r="AC224" s="22" t="n"/>
      <c r="AD224" s="22" t="n"/>
      <c r="AE224" s="22" t="n"/>
      <c r="AF224" s="22" t="n"/>
      <c r="AG224" s="22" t="n"/>
      <c r="AH224" s="22" t="n"/>
      <c r="AI224" s="22" t="n"/>
      <c r="AJ224" s="22" t="n"/>
      <c r="AK224" s="22" t="n"/>
      <c r="AL224" s="22" t="n"/>
      <c r="AM224" s="22" t="n"/>
      <c r="AN224" s="22" t="n"/>
      <c r="AO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2" t="n"/>
      <c r="AH225" s="22" t="n"/>
      <c r="AI225" s="22" t="n"/>
      <c r="AJ225" s="22" t="n"/>
      <c r="AK225" s="22" t="n"/>
      <c r="AL225" s="22" t="n"/>
      <c r="AM225" s="22" t="n"/>
      <c r="AN225" s="22" t="n"/>
      <c r="AO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  <c r="AJ226" s="22" t="n"/>
      <c r="AK226" s="22" t="n"/>
      <c r="AL226" s="22" t="n"/>
      <c r="AM226" s="22" t="n"/>
      <c r="AN226" s="22" t="n"/>
      <c r="AO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  <c r="AC227" s="22" t="n"/>
      <c r="AD227" s="22" t="n"/>
      <c r="AE227" s="22" t="n"/>
      <c r="AF227" s="22" t="n"/>
      <c r="AG227" s="22" t="n"/>
      <c r="AH227" s="22" t="n"/>
      <c r="AI227" s="22" t="n"/>
      <c r="AJ227" s="22" t="n"/>
      <c r="AK227" s="22" t="n"/>
      <c r="AL227" s="22" t="n"/>
      <c r="AM227" s="22" t="n"/>
      <c r="AN227" s="22" t="n"/>
      <c r="AO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  <c r="AC228" s="22" t="n"/>
      <c r="AD228" s="22" t="n"/>
      <c r="AE228" s="22" t="n"/>
      <c r="AF228" s="22" t="n"/>
      <c r="AG228" s="22" t="n"/>
      <c r="AH228" s="22" t="n"/>
      <c r="AI228" s="22" t="n"/>
      <c r="AJ228" s="22" t="n"/>
      <c r="AK228" s="22" t="n"/>
      <c r="AL228" s="22" t="n"/>
      <c r="AM228" s="22" t="n"/>
      <c r="AN228" s="22" t="n"/>
      <c r="AO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  <c r="AJ229" s="22" t="n"/>
      <c r="AK229" s="22" t="n"/>
      <c r="AL229" s="22" t="n"/>
      <c r="AM229" s="22" t="n"/>
      <c r="AN229" s="22" t="n"/>
      <c r="AO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  <c r="AJ230" s="22" t="n"/>
      <c r="AK230" s="22" t="n"/>
      <c r="AL230" s="22" t="n"/>
      <c r="AM230" s="22" t="n"/>
      <c r="AN230" s="22" t="n"/>
      <c r="AO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  <c r="AG231" s="22" t="n"/>
      <c r="AH231" s="22" t="n"/>
      <c r="AI231" s="22" t="n"/>
      <c r="AJ231" s="22" t="n"/>
      <c r="AK231" s="22" t="n"/>
      <c r="AL231" s="22" t="n"/>
      <c r="AM231" s="22" t="n"/>
      <c r="AN231" s="22" t="n"/>
      <c r="AO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  <c r="AJ232" s="22" t="n"/>
      <c r="AK232" s="22" t="n"/>
      <c r="AL232" s="22" t="n"/>
      <c r="AM232" s="22" t="n"/>
      <c r="AN232" s="22" t="n"/>
      <c r="AO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2" t="n"/>
      <c r="AI233" s="22" t="n"/>
      <c r="AJ233" s="22" t="n"/>
      <c r="AK233" s="22" t="n"/>
      <c r="AL233" s="22" t="n"/>
      <c r="AM233" s="22" t="n"/>
      <c r="AN233" s="22" t="n"/>
      <c r="AO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  <c r="AJ234" s="22" t="n"/>
      <c r="AK234" s="22" t="n"/>
      <c r="AL234" s="22" t="n"/>
      <c r="AM234" s="22" t="n"/>
      <c r="AN234" s="22" t="n"/>
      <c r="AO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  <c r="AJ235" s="22" t="n"/>
      <c r="AK235" s="22" t="n"/>
      <c r="AL235" s="22" t="n"/>
      <c r="AM235" s="22" t="n"/>
      <c r="AN235" s="22" t="n"/>
      <c r="AO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  <c r="AJ236" s="22" t="n"/>
      <c r="AK236" s="22" t="n"/>
      <c r="AL236" s="22" t="n"/>
      <c r="AM236" s="22" t="n"/>
      <c r="AN236" s="22" t="n"/>
      <c r="AO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  <c r="AJ237" s="22" t="n"/>
      <c r="AK237" s="22" t="n"/>
      <c r="AL237" s="22" t="n"/>
      <c r="AM237" s="22" t="n"/>
      <c r="AN237" s="22" t="n"/>
      <c r="AO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  <c r="AJ238" s="22" t="n"/>
      <c r="AK238" s="22" t="n"/>
      <c r="AL238" s="22" t="n"/>
      <c r="AM238" s="22" t="n"/>
      <c r="AN238" s="22" t="n"/>
      <c r="AO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  <c r="AJ239" s="22" t="n"/>
      <c r="AK239" s="22" t="n"/>
      <c r="AL239" s="22" t="n"/>
      <c r="AM239" s="22" t="n"/>
      <c r="AN239" s="22" t="n"/>
      <c r="AO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  <c r="AJ240" s="22" t="n"/>
      <c r="AK240" s="22" t="n"/>
      <c r="AL240" s="22" t="n"/>
      <c r="AM240" s="22" t="n"/>
      <c r="AN240" s="22" t="n"/>
      <c r="AO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  <c r="AJ241" s="22" t="n"/>
      <c r="AK241" s="22" t="n"/>
      <c r="AL241" s="22" t="n"/>
      <c r="AM241" s="22" t="n"/>
      <c r="AN241" s="22" t="n"/>
      <c r="AO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  <c r="AJ242" s="22" t="n"/>
      <c r="AK242" s="22" t="n"/>
      <c r="AL242" s="22" t="n"/>
      <c r="AM242" s="22" t="n"/>
      <c r="AN242" s="22" t="n"/>
      <c r="AO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  <c r="AJ243" s="22" t="n"/>
      <c r="AK243" s="22" t="n"/>
      <c r="AL243" s="22" t="n"/>
      <c r="AM243" s="22" t="n"/>
      <c r="AN243" s="22" t="n"/>
      <c r="AO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  <c r="AJ244" s="22" t="n"/>
      <c r="AK244" s="22" t="n"/>
      <c r="AL244" s="22" t="n"/>
      <c r="AM244" s="22" t="n"/>
      <c r="AN244" s="22" t="n"/>
      <c r="AO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  <c r="AJ245" s="22" t="n"/>
      <c r="AK245" s="22" t="n"/>
      <c r="AL245" s="22" t="n"/>
      <c r="AM245" s="22" t="n"/>
      <c r="AN245" s="22" t="n"/>
      <c r="AO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Y246" s="22" t="n"/>
      <c r="Z246" s="22" t="n"/>
      <c r="AA246" s="22" t="n"/>
      <c r="AB246" s="22" t="n"/>
      <c r="AC246" s="22" t="n"/>
      <c r="AD246" s="22" t="n"/>
      <c r="AE246" s="22" t="n"/>
      <c r="AF246" s="22" t="n"/>
      <c r="AG246" s="22" t="n"/>
      <c r="AH246" s="22" t="n"/>
      <c r="AI246" s="22" t="n"/>
      <c r="AJ246" s="22" t="n"/>
      <c r="AK246" s="22" t="n"/>
      <c r="AL246" s="22" t="n"/>
      <c r="AM246" s="22" t="n"/>
      <c r="AN246" s="22" t="n"/>
      <c r="AO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  <c r="Y247" s="22" t="n"/>
      <c r="Z247" s="22" t="n"/>
      <c r="AA247" s="22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  <c r="AJ247" s="22" t="n"/>
      <c r="AK247" s="22" t="n"/>
      <c r="AL247" s="22" t="n"/>
      <c r="AM247" s="22" t="n"/>
      <c r="AN247" s="22" t="n"/>
      <c r="AO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  <c r="Y248" s="22" t="n"/>
      <c r="Z248" s="22" t="n"/>
      <c r="AA248" s="22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  <c r="AJ248" s="22" t="n"/>
      <c r="AK248" s="22" t="n"/>
      <c r="AL248" s="22" t="n"/>
      <c r="AM248" s="22" t="n"/>
      <c r="AN248" s="22" t="n"/>
      <c r="AO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  <c r="AJ249" s="22" t="n"/>
      <c r="AK249" s="22" t="n"/>
      <c r="AL249" s="22" t="n"/>
      <c r="AM249" s="22" t="n"/>
      <c r="AN249" s="22" t="n"/>
      <c r="AO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  <c r="Y250" s="22" t="n"/>
      <c r="Z250" s="22" t="n"/>
      <c r="AA250" s="22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  <c r="AJ250" s="22" t="n"/>
      <c r="AK250" s="22" t="n"/>
      <c r="AL250" s="22" t="n"/>
      <c r="AM250" s="22" t="n"/>
      <c r="AN250" s="22" t="n"/>
      <c r="AO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  <c r="AJ251" s="22" t="n"/>
      <c r="AK251" s="22" t="n"/>
      <c r="AL251" s="22" t="n"/>
      <c r="AM251" s="22" t="n"/>
      <c r="AN251" s="22" t="n"/>
      <c r="AO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  <c r="AJ252" s="22" t="n"/>
      <c r="AK252" s="22" t="n"/>
      <c r="AL252" s="22" t="n"/>
      <c r="AM252" s="22" t="n"/>
      <c r="AN252" s="22" t="n"/>
      <c r="AO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2" t="n"/>
      <c r="AI253" s="22" t="n"/>
      <c r="AJ253" s="22" t="n"/>
      <c r="AK253" s="22" t="n"/>
      <c r="AL253" s="22" t="n"/>
      <c r="AM253" s="22" t="n"/>
      <c r="AN253" s="22" t="n"/>
      <c r="AO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  <c r="AJ254" s="22" t="n"/>
      <c r="AK254" s="22" t="n"/>
      <c r="AL254" s="22" t="n"/>
      <c r="AM254" s="22" t="n"/>
      <c r="AN254" s="22" t="n"/>
      <c r="AO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  <c r="AJ255" s="22" t="n"/>
      <c r="AK255" s="22" t="n"/>
      <c r="AL255" s="22" t="n"/>
      <c r="AM255" s="22" t="n"/>
      <c r="AN255" s="22" t="n"/>
      <c r="AO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  <c r="AJ256" s="22" t="n"/>
      <c r="AK256" s="22" t="n"/>
      <c r="AL256" s="22" t="n"/>
      <c r="AM256" s="22" t="n"/>
      <c r="AN256" s="22" t="n"/>
      <c r="AO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  <c r="AJ257" s="22" t="n"/>
      <c r="AK257" s="22" t="n"/>
      <c r="AL257" s="22" t="n"/>
      <c r="AM257" s="22" t="n"/>
      <c r="AN257" s="22" t="n"/>
      <c r="AO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  <c r="AJ258" s="22" t="n"/>
      <c r="AK258" s="22" t="n"/>
      <c r="AL258" s="22" t="n"/>
      <c r="AM258" s="22" t="n"/>
      <c r="AN258" s="22" t="n"/>
      <c r="AO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  <c r="AJ259" s="22" t="n"/>
      <c r="AK259" s="22" t="n"/>
      <c r="AL259" s="22" t="n"/>
      <c r="AM259" s="22" t="n"/>
      <c r="AN259" s="22" t="n"/>
      <c r="AO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2" t="n"/>
      <c r="AI260" s="22" t="n"/>
      <c r="AJ260" s="22" t="n"/>
      <c r="AK260" s="22" t="n"/>
      <c r="AL260" s="22" t="n"/>
      <c r="AM260" s="22" t="n"/>
      <c r="AN260" s="22" t="n"/>
      <c r="AO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  <c r="AJ261" s="22" t="n"/>
      <c r="AK261" s="22" t="n"/>
      <c r="AL261" s="22" t="n"/>
      <c r="AM261" s="22" t="n"/>
      <c r="AN261" s="22" t="n"/>
      <c r="AO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22" t="n"/>
      <c r="AI262" s="22" t="n"/>
      <c r="AJ262" s="22" t="n"/>
      <c r="AK262" s="22" t="n"/>
      <c r="AL262" s="22" t="n"/>
      <c r="AM262" s="22" t="n"/>
      <c r="AN262" s="22" t="n"/>
      <c r="AO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2" t="n"/>
      <c r="AH263" s="22" t="n"/>
      <c r="AI263" s="22" t="n"/>
      <c r="AJ263" s="22" t="n"/>
      <c r="AK263" s="22" t="n"/>
      <c r="AL263" s="22" t="n"/>
      <c r="AM263" s="22" t="n"/>
      <c r="AN263" s="22" t="n"/>
      <c r="AO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2" t="n"/>
      <c r="AH264" s="22" t="n"/>
      <c r="AI264" s="22" t="n"/>
      <c r="AJ264" s="22" t="n"/>
      <c r="AK264" s="22" t="n"/>
      <c r="AL264" s="22" t="n"/>
      <c r="AM264" s="22" t="n"/>
      <c r="AN264" s="22" t="n"/>
      <c r="AO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2" t="n"/>
      <c r="AH265" s="22" t="n"/>
      <c r="AI265" s="22" t="n"/>
      <c r="AJ265" s="22" t="n"/>
      <c r="AK265" s="22" t="n"/>
      <c r="AL265" s="22" t="n"/>
      <c r="AM265" s="22" t="n"/>
      <c r="AN265" s="22" t="n"/>
      <c r="AO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  <c r="AG266" s="22" t="n"/>
      <c r="AH266" s="22" t="n"/>
      <c r="AI266" s="22" t="n"/>
      <c r="AJ266" s="22" t="n"/>
      <c r="AK266" s="22" t="n"/>
      <c r="AL266" s="22" t="n"/>
      <c r="AM266" s="22" t="n"/>
      <c r="AN266" s="22" t="n"/>
      <c r="AO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22" t="n"/>
      <c r="AI267" s="22" t="n"/>
      <c r="AJ267" s="22" t="n"/>
      <c r="AK267" s="22" t="n"/>
      <c r="AL267" s="22" t="n"/>
      <c r="AM267" s="22" t="n"/>
      <c r="AN267" s="22" t="n"/>
      <c r="AO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  <c r="Y268" s="22" t="n"/>
      <c r="Z268" s="22" t="n"/>
      <c r="AA268" s="22" t="n"/>
      <c r="AB268" s="22" t="n"/>
      <c r="AC268" s="22" t="n"/>
      <c r="AD268" s="22" t="n"/>
      <c r="AE268" s="22" t="n"/>
      <c r="AF268" s="22" t="n"/>
      <c r="AG268" s="22" t="n"/>
      <c r="AH268" s="22" t="n"/>
      <c r="AI268" s="22" t="n"/>
      <c r="AJ268" s="22" t="n"/>
      <c r="AK268" s="22" t="n"/>
      <c r="AL268" s="22" t="n"/>
      <c r="AM268" s="22" t="n"/>
      <c r="AN268" s="22" t="n"/>
      <c r="AO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  <c r="Y269" s="22" t="n"/>
      <c r="Z269" s="22" t="n"/>
      <c r="AA269" s="22" t="n"/>
      <c r="AB269" s="22" t="n"/>
      <c r="AC269" s="22" t="n"/>
      <c r="AD269" s="22" t="n"/>
      <c r="AE269" s="22" t="n"/>
      <c r="AF269" s="22" t="n"/>
      <c r="AG269" s="22" t="n"/>
      <c r="AH269" s="22" t="n"/>
      <c r="AI269" s="22" t="n"/>
      <c r="AJ269" s="22" t="n"/>
      <c r="AK269" s="22" t="n"/>
      <c r="AL269" s="22" t="n"/>
      <c r="AM269" s="22" t="n"/>
      <c r="AN269" s="22" t="n"/>
      <c r="AO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  <c r="Y270" s="22" t="n"/>
      <c r="Z270" s="22" t="n"/>
      <c r="AA270" s="22" t="n"/>
      <c r="AB270" s="22" t="n"/>
      <c r="AC270" s="22" t="n"/>
      <c r="AD270" s="22" t="n"/>
      <c r="AE270" s="22" t="n"/>
      <c r="AF270" s="22" t="n"/>
      <c r="AG270" s="22" t="n"/>
      <c r="AH270" s="22" t="n"/>
      <c r="AI270" s="22" t="n"/>
      <c r="AJ270" s="22" t="n"/>
      <c r="AK270" s="22" t="n"/>
      <c r="AL270" s="22" t="n"/>
      <c r="AM270" s="22" t="n"/>
      <c r="AN270" s="22" t="n"/>
      <c r="AO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  <c r="Y271" s="22" t="n"/>
      <c r="Z271" s="22" t="n"/>
      <c r="AA271" s="22" t="n"/>
      <c r="AB271" s="22" t="n"/>
      <c r="AC271" s="22" t="n"/>
      <c r="AD271" s="22" t="n"/>
      <c r="AE271" s="22" t="n"/>
      <c r="AF271" s="22" t="n"/>
      <c r="AG271" s="22" t="n"/>
      <c r="AH271" s="22" t="n"/>
      <c r="AI271" s="22" t="n"/>
      <c r="AJ271" s="22" t="n"/>
      <c r="AK271" s="22" t="n"/>
      <c r="AL271" s="22" t="n"/>
      <c r="AM271" s="22" t="n"/>
      <c r="AN271" s="22" t="n"/>
      <c r="AO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  <c r="Y272" s="22" t="n"/>
      <c r="Z272" s="22" t="n"/>
      <c r="AA272" s="22" t="n"/>
      <c r="AB272" s="22" t="n"/>
      <c r="AC272" s="22" t="n"/>
      <c r="AD272" s="22" t="n"/>
      <c r="AE272" s="22" t="n"/>
      <c r="AF272" s="22" t="n"/>
      <c r="AG272" s="22" t="n"/>
      <c r="AH272" s="22" t="n"/>
      <c r="AI272" s="22" t="n"/>
      <c r="AJ272" s="22" t="n"/>
      <c r="AK272" s="22" t="n"/>
      <c r="AL272" s="22" t="n"/>
      <c r="AM272" s="22" t="n"/>
      <c r="AN272" s="22" t="n"/>
      <c r="AO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  <c r="Y273" s="22" t="n"/>
      <c r="Z273" s="22" t="n"/>
      <c r="AA273" s="22" t="n"/>
      <c r="AB273" s="22" t="n"/>
      <c r="AC273" s="22" t="n"/>
      <c r="AD273" s="22" t="n"/>
      <c r="AE273" s="22" t="n"/>
      <c r="AF273" s="22" t="n"/>
      <c r="AG273" s="22" t="n"/>
      <c r="AH273" s="22" t="n"/>
      <c r="AI273" s="22" t="n"/>
      <c r="AJ273" s="22" t="n"/>
      <c r="AK273" s="22" t="n"/>
      <c r="AL273" s="22" t="n"/>
      <c r="AM273" s="22" t="n"/>
      <c r="AN273" s="22" t="n"/>
      <c r="AO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  <c r="Y274" s="22" t="n"/>
      <c r="Z274" s="22" t="n"/>
      <c r="AA274" s="22" t="n"/>
      <c r="AB274" s="22" t="n"/>
      <c r="AC274" s="22" t="n"/>
      <c r="AD274" s="22" t="n"/>
      <c r="AE274" s="22" t="n"/>
      <c r="AF274" s="22" t="n"/>
      <c r="AG274" s="22" t="n"/>
      <c r="AH274" s="22" t="n"/>
      <c r="AI274" s="22" t="n"/>
      <c r="AJ274" s="22" t="n"/>
      <c r="AK274" s="22" t="n"/>
      <c r="AL274" s="22" t="n"/>
      <c r="AM274" s="22" t="n"/>
      <c r="AN274" s="22" t="n"/>
      <c r="AO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  <c r="Y275" s="22" t="n"/>
      <c r="Z275" s="22" t="n"/>
      <c r="AA275" s="22" t="n"/>
      <c r="AB275" s="22" t="n"/>
      <c r="AC275" s="22" t="n"/>
      <c r="AD275" s="22" t="n"/>
      <c r="AE275" s="22" t="n"/>
      <c r="AF275" s="22" t="n"/>
      <c r="AG275" s="22" t="n"/>
      <c r="AH275" s="22" t="n"/>
      <c r="AI275" s="22" t="n"/>
      <c r="AJ275" s="22" t="n"/>
      <c r="AK275" s="22" t="n"/>
      <c r="AL275" s="22" t="n"/>
      <c r="AM275" s="22" t="n"/>
      <c r="AN275" s="22" t="n"/>
      <c r="AO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  <c r="Y276" s="22" t="n"/>
      <c r="Z276" s="22" t="n"/>
      <c r="AA276" s="22" t="n"/>
      <c r="AB276" s="22" t="n"/>
      <c r="AC276" s="22" t="n"/>
      <c r="AD276" s="22" t="n"/>
      <c r="AE276" s="22" t="n"/>
      <c r="AF276" s="22" t="n"/>
      <c r="AG276" s="22" t="n"/>
      <c r="AH276" s="22" t="n"/>
      <c r="AI276" s="22" t="n"/>
      <c r="AJ276" s="22" t="n"/>
      <c r="AK276" s="22" t="n"/>
      <c r="AL276" s="22" t="n"/>
      <c r="AM276" s="22" t="n"/>
      <c r="AN276" s="22" t="n"/>
      <c r="AO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  <c r="Y277" s="22" t="n"/>
      <c r="Z277" s="22" t="n"/>
      <c r="AA277" s="22" t="n"/>
      <c r="AB277" s="22" t="n"/>
      <c r="AC277" s="22" t="n"/>
      <c r="AD277" s="22" t="n"/>
      <c r="AE277" s="22" t="n"/>
      <c r="AF277" s="22" t="n"/>
      <c r="AG277" s="22" t="n"/>
      <c r="AH277" s="22" t="n"/>
      <c r="AI277" s="22" t="n"/>
      <c r="AJ277" s="22" t="n"/>
      <c r="AK277" s="22" t="n"/>
      <c r="AL277" s="22" t="n"/>
      <c r="AM277" s="22" t="n"/>
      <c r="AN277" s="22" t="n"/>
      <c r="AO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  <c r="Y278" s="22" t="n"/>
      <c r="Z278" s="22" t="n"/>
      <c r="AA278" s="22" t="n"/>
      <c r="AB278" s="22" t="n"/>
      <c r="AC278" s="22" t="n"/>
      <c r="AD278" s="22" t="n"/>
      <c r="AE278" s="22" t="n"/>
      <c r="AF278" s="22" t="n"/>
      <c r="AG278" s="22" t="n"/>
      <c r="AH278" s="22" t="n"/>
      <c r="AI278" s="22" t="n"/>
      <c r="AJ278" s="22" t="n"/>
      <c r="AK278" s="22" t="n"/>
      <c r="AL278" s="22" t="n"/>
      <c r="AM278" s="22" t="n"/>
      <c r="AN278" s="22" t="n"/>
      <c r="AO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  <c r="Y279" s="22" t="n"/>
      <c r="Z279" s="22" t="n"/>
      <c r="AA279" s="22" t="n"/>
      <c r="AB279" s="22" t="n"/>
      <c r="AC279" s="22" t="n"/>
      <c r="AD279" s="22" t="n"/>
      <c r="AE279" s="22" t="n"/>
      <c r="AF279" s="22" t="n"/>
      <c r="AG279" s="22" t="n"/>
      <c r="AH279" s="22" t="n"/>
      <c r="AI279" s="22" t="n"/>
      <c r="AJ279" s="22" t="n"/>
      <c r="AK279" s="22" t="n"/>
      <c r="AL279" s="22" t="n"/>
      <c r="AM279" s="22" t="n"/>
      <c r="AN279" s="22" t="n"/>
      <c r="AO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  <c r="Y280" s="22" t="n"/>
      <c r="Z280" s="22" t="n"/>
      <c r="AA280" s="22" t="n"/>
      <c r="AB280" s="22" t="n"/>
      <c r="AC280" s="22" t="n"/>
      <c r="AD280" s="22" t="n"/>
      <c r="AE280" s="22" t="n"/>
      <c r="AF280" s="22" t="n"/>
      <c r="AG280" s="22" t="n"/>
      <c r="AH280" s="22" t="n"/>
      <c r="AI280" s="22" t="n"/>
      <c r="AJ280" s="22" t="n"/>
      <c r="AK280" s="22" t="n"/>
      <c r="AL280" s="22" t="n"/>
      <c r="AM280" s="22" t="n"/>
      <c r="AN280" s="22" t="n"/>
      <c r="AO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  <c r="Y281" s="22" t="n"/>
      <c r="Z281" s="22" t="n"/>
      <c r="AA281" s="22" t="n"/>
      <c r="AB281" s="22" t="n"/>
      <c r="AC281" s="22" t="n"/>
      <c r="AD281" s="22" t="n"/>
      <c r="AE281" s="22" t="n"/>
      <c r="AF281" s="22" t="n"/>
      <c r="AG281" s="22" t="n"/>
      <c r="AH281" s="22" t="n"/>
      <c r="AI281" s="22" t="n"/>
      <c r="AJ281" s="22" t="n"/>
      <c r="AK281" s="22" t="n"/>
      <c r="AL281" s="22" t="n"/>
      <c r="AM281" s="22" t="n"/>
      <c r="AN281" s="22" t="n"/>
      <c r="AO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  <c r="Y282" s="22" t="n"/>
      <c r="Z282" s="22" t="n"/>
      <c r="AA282" s="22" t="n"/>
      <c r="AB282" s="22" t="n"/>
      <c r="AC282" s="22" t="n"/>
      <c r="AD282" s="22" t="n"/>
      <c r="AE282" s="22" t="n"/>
      <c r="AF282" s="22" t="n"/>
      <c r="AG282" s="22" t="n"/>
      <c r="AH282" s="22" t="n"/>
      <c r="AI282" s="22" t="n"/>
      <c r="AJ282" s="22" t="n"/>
      <c r="AK282" s="22" t="n"/>
      <c r="AL282" s="22" t="n"/>
      <c r="AM282" s="22" t="n"/>
      <c r="AN282" s="22" t="n"/>
      <c r="AO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  <c r="Y283" s="22" t="n"/>
      <c r="Z283" s="22" t="n"/>
      <c r="AA283" s="22" t="n"/>
      <c r="AB283" s="22" t="n"/>
      <c r="AC283" s="22" t="n"/>
      <c r="AD283" s="22" t="n"/>
      <c r="AE283" s="22" t="n"/>
      <c r="AF283" s="22" t="n"/>
      <c r="AG283" s="22" t="n"/>
      <c r="AH283" s="22" t="n"/>
      <c r="AI283" s="22" t="n"/>
      <c r="AJ283" s="22" t="n"/>
      <c r="AK283" s="22" t="n"/>
      <c r="AL283" s="22" t="n"/>
      <c r="AM283" s="22" t="n"/>
      <c r="AN283" s="22" t="n"/>
      <c r="AO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  <c r="Y284" s="22" t="n"/>
      <c r="Z284" s="22" t="n"/>
      <c r="AA284" s="22" t="n"/>
      <c r="AB284" s="22" t="n"/>
      <c r="AC284" s="22" t="n"/>
      <c r="AD284" s="22" t="n"/>
      <c r="AE284" s="22" t="n"/>
      <c r="AF284" s="22" t="n"/>
      <c r="AG284" s="22" t="n"/>
      <c r="AH284" s="22" t="n"/>
      <c r="AI284" s="22" t="n"/>
      <c r="AJ284" s="22" t="n"/>
      <c r="AK284" s="22" t="n"/>
      <c r="AL284" s="22" t="n"/>
      <c r="AM284" s="22" t="n"/>
      <c r="AN284" s="22" t="n"/>
      <c r="AO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Y285" s="22" t="n"/>
      <c r="Z285" s="22" t="n"/>
      <c r="AA285" s="22" t="n"/>
      <c r="AB285" s="22" t="n"/>
      <c r="AC285" s="22" t="n"/>
      <c r="AD285" s="22" t="n"/>
      <c r="AE285" s="22" t="n"/>
      <c r="AF285" s="22" t="n"/>
      <c r="AG285" s="22" t="n"/>
      <c r="AH285" s="22" t="n"/>
      <c r="AI285" s="22" t="n"/>
      <c r="AJ285" s="22" t="n"/>
      <c r="AK285" s="22" t="n"/>
      <c r="AL285" s="22" t="n"/>
      <c r="AM285" s="22" t="n"/>
      <c r="AN285" s="22" t="n"/>
      <c r="AO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  <c r="Y286" s="22" t="n"/>
      <c r="Z286" s="22" t="n"/>
      <c r="AA286" s="22" t="n"/>
      <c r="AB286" s="22" t="n"/>
      <c r="AC286" s="22" t="n"/>
      <c r="AD286" s="22" t="n"/>
      <c r="AE286" s="22" t="n"/>
      <c r="AF286" s="22" t="n"/>
      <c r="AG286" s="22" t="n"/>
      <c r="AH286" s="22" t="n"/>
      <c r="AI286" s="22" t="n"/>
      <c r="AJ286" s="22" t="n"/>
      <c r="AK286" s="22" t="n"/>
      <c r="AL286" s="22" t="n"/>
      <c r="AM286" s="22" t="n"/>
      <c r="AN286" s="22" t="n"/>
      <c r="AO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  <c r="Y287" s="22" t="n"/>
      <c r="Z287" s="22" t="n"/>
      <c r="AA287" s="22" t="n"/>
      <c r="AB287" s="22" t="n"/>
      <c r="AC287" s="22" t="n"/>
      <c r="AD287" s="22" t="n"/>
      <c r="AE287" s="22" t="n"/>
      <c r="AF287" s="22" t="n"/>
      <c r="AG287" s="22" t="n"/>
      <c r="AH287" s="22" t="n"/>
      <c r="AI287" s="22" t="n"/>
      <c r="AJ287" s="22" t="n"/>
      <c r="AK287" s="22" t="n"/>
      <c r="AL287" s="22" t="n"/>
      <c r="AM287" s="22" t="n"/>
      <c r="AN287" s="22" t="n"/>
      <c r="AO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  <c r="Y288" s="22" t="n"/>
      <c r="Z288" s="22" t="n"/>
      <c r="AA288" s="22" t="n"/>
      <c r="AB288" s="22" t="n"/>
      <c r="AC288" s="22" t="n"/>
      <c r="AD288" s="22" t="n"/>
      <c r="AE288" s="22" t="n"/>
      <c r="AF288" s="22" t="n"/>
      <c r="AG288" s="22" t="n"/>
      <c r="AH288" s="22" t="n"/>
      <c r="AI288" s="22" t="n"/>
      <c r="AJ288" s="22" t="n"/>
      <c r="AK288" s="22" t="n"/>
      <c r="AL288" s="22" t="n"/>
      <c r="AM288" s="22" t="n"/>
      <c r="AN288" s="22" t="n"/>
      <c r="AO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  <c r="Y289" s="22" t="n"/>
      <c r="Z289" s="22" t="n"/>
      <c r="AA289" s="22" t="n"/>
      <c r="AB289" s="22" t="n"/>
      <c r="AC289" s="22" t="n"/>
      <c r="AD289" s="22" t="n"/>
      <c r="AE289" s="22" t="n"/>
      <c r="AF289" s="22" t="n"/>
      <c r="AG289" s="22" t="n"/>
      <c r="AH289" s="22" t="n"/>
      <c r="AI289" s="22" t="n"/>
      <c r="AJ289" s="22" t="n"/>
      <c r="AK289" s="22" t="n"/>
      <c r="AL289" s="22" t="n"/>
      <c r="AM289" s="22" t="n"/>
      <c r="AN289" s="22" t="n"/>
      <c r="AO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  <c r="Y290" s="22" t="n"/>
      <c r="Z290" s="22" t="n"/>
      <c r="AA290" s="22" t="n"/>
      <c r="AB290" s="22" t="n"/>
      <c r="AC290" s="22" t="n"/>
      <c r="AD290" s="22" t="n"/>
      <c r="AE290" s="22" t="n"/>
      <c r="AF290" s="22" t="n"/>
      <c r="AG290" s="22" t="n"/>
      <c r="AH290" s="22" t="n"/>
      <c r="AI290" s="22" t="n"/>
      <c r="AJ290" s="22" t="n"/>
      <c r="AK290" s="22" t="n"/>
      <c r="AL290" s="22" t="n"/>
      <c r="AM290" s="22" t="n"/>
      <c r="AN290" s="22" t="n"/>
      <c r="AO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  <c r="Y291" s="22" t="n"/>
      <c r="Z291" s="22" t="n"/>
      <c r="AA291" s="22" t="n"/>
      <c r="AB291" s="22" t="n"/>
      <c r="AC291" s="22" t="n"/>
      <c r="AD291" s="22" t="n"/>
      <c r="AE291" s="22" t="n"/>
      <c r="AF291" s="22" t="n"/>
      <c r="AG291" s="22" t="n"/>
      <c r="AH291" s="22" t="n"/>
      <c r="AI291" s="22" t="n"/>
      <c r="AJ291" s="22" t="n"/>
      <c r="AK291" s="22" t="n"/>
      <c r="AL291" s="22" t="n"/>
      <c r="AM291" s="22" t="n"/>
      <c r="AN291" s="22" t="n"/>
      <c r="AO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  <c r="Y292" s="22" t="n"/>
      <c r="Z292" s="22" t="n"/>
      <c r="AA292" s="22" t="n"/>
      <c r="AB292" s="22" t="n"/>
      <c r="AC292" s="22" t="n"/>
      <c r="AD292" s="22" t="n"/>
      <c r="AE292" s="22" t="n"/>
      <c r="AF292" s="22" t="n"/>
      <c r="AG292" s="22" t="n"/>
      <c r="AH292" s="22" t="n"/>
      <c r="AI292" s="22" t="n"/>
      <c r="AJ292" s="22" t="n"/>
      <c r="AK292" s="22" t="n"/>
      <c r="AL292" s="22" t="n"/>
      <c r="AM292" s="22" t="n"/>
      <c r="AN292" s="22" t="n"/>
      <c r="AO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  <c r="Y293" s="22" t="n"/>
      <c r="Z293" s="22" t="n"/>
      <c r="AA293" s="22" t="n"/>
      <c r="AB293" s="22" t="n"/>
      <c r="AC293" s="22" t="n"/>
      <c r="AD293" s="22" t="n"/>
      <c r="AE293" s="22" t="n"/>
      <c r="AF293" s="22" t="n"/>
      <c r="AG293" s="22" t="n"/>
      <c r="AH293" s="22" t="n"/>
      <c r="AI293" s="22" t="n"/>
      <c r="AJ293" s="22" t="n"/>
      <c r="AK293" s="22" t="n"/>
      <c r="AL293" s="22" t="n"/>
      <c r="AM293" s="22" t="n"/>
      <c r="AN293" s="22" t="n"/>
      <c r="AO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  <c r="Y294" s="22" t="n"/>
      <c r="Z294" s="22" t="n"/>
      <c r="AA294" s="22" t="n"/>
      <c r="AB294" s="22" t="n"/>
      <c r="AC294" s="22" t="n"/>
      <c r="AD294" s="22" t="n"/>
      <c r="AE294" s="22" t="n"/>
      <c r="AF294" s="22" t="n"/>
      <c r="AG294" s="22" t="n"/>
      <c r="AH294" s="22" t="n"/>
      <c r="AI294" s="22" t="n"/>
      <c r="AJ294" s="22" t="n"/>
      <c r="AK294" s="22" t="n"/>
      <c r="AL294" s="22" t="n"/>
      <c r="AM294" s="22" t="n"/>
      <c r="AN294" s="22" t="n"/>
      <c r="AO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  <c r="Y295" s="22" t="n"/>
      <c r="Z295" s="22" t="n"/>
      <c r="AA295" s="22" t="n"/>
      <c r="AB295" s="22" t="n"/>
      <c r="AC295" s="22" t="n"/>
      <c r="AD295" s="22" t="n"/>
      <c r="AE295" s="22" t="n"/>
      <c r="AF295" s="22" t="n"/>
      <c r="AG295" s="22" t="n"/>
      <c r="AH295" s="22" t="n"/>
      <c r="AI295" s="22" t="n"/>
      <c r="AJ295" s="22" t="n"/>
      <c r="AK295" s="22" t="n"/>
      <c r="AL295" s="22" t="n"/>
      <c r="AM295" s="22" t="n"/>
      <c r="AN295" s="22" t="n"/>
      <c r="AO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  <c r="Y296" s="22" t="n"/>
      <c r="Z296" s="22" t="n"/>
      <c r="AA296" s="22" t="n"/>
      <c r="AB296" s="22" t="n"/>
      <c r="AC296" s="22" t="n"/>
      <c r="AD296" s="22" t="n"/>
      <c r="AE296" s="22" t="n"/>
      <c r="AF296" s="22" t="n"/>
      <c r="AG296" s="22" t="n"/>
      <c r="AH296" s="22" t="n"/>
      <c r="AI296" s="22" t="n"/>
      <c r="AJ296" s="22" t="n"/>
      <c r="AK296" s="22" t="n"/>
      <c r="AL296" s="22" t="n"/>
      <c r="AM296" s="22" t="n"/>
      <c r="AN296" s="22" t="n"/>
      <c r="AO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  <c r="Y297" s="22" t="n"/>
      <c r="Z297" s="22" t="n"/>
      <c r="AA297" s="22" t="n"/>
      <c r="AB297" s="22" t="n"/>
      <c r="AC297" s="22" t="n"/>
      <c r="AD297" s="22" t="n"/>
      <c r="AE297" s="22" t="n"/>
      <c r="AF297" s="22" t="n"/>
      <c r="AG297" s="22" t="n"/>
      <c r="AH297" s="22" t="n"/>
      <c r="AI297" s="22" t="n"/>
      <c r="AJ297" s="22" t="n"/>
      <c r="AK297" s="22" t="n"/>
      <c r="AL297" s="22" t="n"/>
      <c r="AM297" s="22" t="n"/>
      <c r="AN297" s="22" t="n"/>
      <c r="AO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  <c r="Y298" s="22" t="n"/>
      <c r="Z298" s="22" t="n"/>
      <c r="AA298" s="22" t="n"/>
      <c r="AB298" s="22" t="n"/>
      <c r="AC298" s="22" t="n"/>
      <c r="AD298" s="22" t="n"/>
      <c r="AE298" s="22" t="n"/>
      <c r="AF298" s="22" t="n"/>
      <c r="AG298" s="22" t="n"/>
      <c r="AH298" s="22" t="n"/>
      <c r="AI298" s="22" t="n"/>
      <c r="AJ298" s="22" t="n"/>
      <c r="AK298" s="22" t="n"/>
      <c r="AL298" s="22" t="n"/>
      <c r="AM298" s="22" t="n"/>
      <c r="AN298" s="22" t="n"/>
      <c r="AO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  <c r="Y299" s="22" t="n"/>
      <c r="Z299" s="22" t="n"/>
      <c r="AA299" s="22" t="n"/>
      <c r="AB299" s="22" t="n"/>
      <c r="AC299" s="22" t="n"/>
      <c r="AD299" s="22" t="n"/>
      <c r="AE299" s="22" t="n"/>
      <c r="AF299" s="22" t="n"/>
      <c r="AG299" s="22" t="n"/>
      <c r="AH299" s="22" t="n"/>
      <c r="AI299" s="22" t="n"/>
      <c r="AJ299" s="22" t="n"/>
      <c r="AK299" s="22" t="n"/>
      <c r="AL299" s="22" t="n"/>
      <c r="AM299" s="22" t="n"/>
      <c r="AN299" s="22" t="n"/>
      <c r="AO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  <c r="Y300" s="22" t="n"/>
      <c r="Z300" s="22" t="n"/>
      <c r="AA300" s="22" t="n"/>
      <c r="AB300" s="22" t="n"/>
      <c r="AC300" s="22" t="n"/>
      <c r="AD300" s="22" t="n"/>
      <c r="AE300" s="22" t="n"/>
      <c r="AF300" s="22" t="n"/>
      <c r="AG300" s="22" t="n"/>
      <c r="AH300" s="22" t="n"/>
      <c r="AI300" s="22" t="n"/>
      <c r="AJ300" s="22" t="n"/>
      <c r="AK300" s="22" t="n"/>
      <c r="AL300" s="22" t="n"/>
      <c r="AM300" s="22" t="n"/>
      <c r="AN300" s="22" t="n"/>
      <c r="AO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  <c r="Y301" s="22" t="n"/>
      <c r="Z301" s="22" t="n"/>
      <c r="AA301" s="22" t="n"/>
      <c r="AB301" s="22" t="n"/>
      <c r="AC301" s="22" t="n"/>
      <c r="AD301" s="22" t="n"/>
      <c r="AE301" s="22" t="n"/>
      <c r="AF301" s="22" t="n"/>
      <c r="AG301" s="22" t="n"/>
      <c r="AH301" s="22" t="n"/>
      <c r="AI301" s="22" t="n"/>
      <c r="AJ301" s="22" t="n"/>
      <c r="AK301" s="22" t="n"/>
      <c r="AL301" s="22" t="n"/>
      <c r="AM301" s="22" t="n"/>
      <c r="AN301" s="22" t="n"/>
      <c r="AO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  <c r="Y302" s="22" t="n"/>
      <c r="Z302" s="22" t="n"/>
      <c r="AA302" s="22" t="n"/>
      <c r="AB302" s="22" t="n"/>
      <c r="AC302" s="22" t="n"/>
      <c r="AD302" s="22" t="n"/>
      <c r="AE302" s="22" t="n"/>
      <c r="AF302" s="22" t="n"/>
      <c r="AG302" s="22" t="n"/>
      <c r="AH302" s="22" t="n"/>
      <c r="AI302" s="22" t="n"/>
      <c r="AJ302" s="22" t="n"/>
      <c r="AK302" s="22" t="n"/>
      <c r="AL302" s="22" t="n"/>
      <c r="AM302" s="22" t="n"/>
      <c r="AN302" s="22" t="n"/>
      <c r="AO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  <c r="Y303" s="22" t="n"/>
      <c r="Z303" s="22" t="n"/>
      <c r="AA303" s="22" t="n"/>
      <c r="AB303" s="22" t="n"/>
      <c r="AC303" s="22" t="n"/>
      <c r="AD303" s="22" t="n"/>
      <c r="AE303" s="22" t="n"/>
      <c r="AF303" s="22" t="n"/>
      <c r="AG303" s="22" t="n"/>
      <c r="AH303" s="22" t="n"/>
      <c r="AI303" s="22" t="n"/>
      <c r="AJ303" s="22" t="n"/>
      <c r="AK303" s="22" t="n"/>
      <c r="AL303" s="22" t="n"/>
      <c r="AM303" s="22" t="n"/>
      <c r="AN303" s="22" t="n"/>
      <c r="AO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  <c r="Y304" s="22" t="n"/>
      <c r="Z304" s="22" t="n"/>
      <c r="AA304" s="22" t="n"/>
      <c r="AB304" s="22" t="n"/>
      <c r="AC304" s="22" t="n"/>
      <c r="AD304" s="22" t="n"/>
      <c r="AE304" s="22" t="n"/>
      <c r="AF304" s="22" t="n"/>
      <c r="AG304" s="22" t="n"/>
      <c r="AH304" s="22" t="n"/>
      <c r="AI304" s="22" t="n"/>
      <c r="AJ304" s="22" t="n"/>
      <c r="AK304" s="22" t="n"/>
      <c r="AL304" s="22" t="n"/>
      <c r="AM304" s="22" t="n"/>
      <c r="AN304" s="22" t="n"/>
      <c r="AO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  <c r="Y305" s="22" t="n"/>
      <c r="Z305" s="22" t="n"/>
      <c r="AA305" s="22" t="n"/>
      <c r="AB305" s="22" t="n"/>
      <c r="AC305" s="22" t="n"/>
      <c r="AD305" s="22" t="n"/>
      <c r="AE305" s="22" t="n"/>
      <c r="AF305" s="22" t="n"/>
      <c r="AG305" s="22" t="n"/>
      <c r="AH305" s="22" t="n"/>
      <c r="AI305" s="22" t="n"/>
      <c r="AJ305" s="22" t="n"/>
      <c r="AK305" s="22" t="n"/>
      <c r="AL305" s="22" t="n"/>
      <c r="AM305" s="22" t="n"/>
      <c r="AN305" s="22" t="n"/>
      <c r="AO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  <c r="Y306" s="22" t="n"/>
      <c r="Z306" s="22" t="n"/>
      <c r="AA306" s="22" t="n"/>
      <c r="AB306" s="22" t="n"/>
      <c r="AC306" s="22" t="n"/>
      <c r="AD306" s="22" t="n"/>
      <c r="AE306" s="22" t="n"/>
      <c r="AF306" s="22" t="n"/>
      <c r="AG306" s="22" t="n"/>
      <c r="AH306" s="22" t="n"/>
      <c r="AI306" s="22" t="n"/>
      <c r="AJ306" s="22" t="n"/>
      <c r="AK306" s="22" t="n"/>
      <c r="AL306" s="22" t="n"/>
      <c r="AM306" s="22" t="n"/>
      <c r="AN306" s="22" t="n"/>
      <c r="AO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  <c r="Y307" s="22" t="n"/>
      <c r="Z307" s="22" t="n"/>
      <c r="AA307" s="22" t="n"/>
      <c r="AB307" s="22" t="n"/>
      <c r="AC307" s="22" t="n"/>
      <c r="AD307" s="22" t="n"/>
      <c r="AE307" s="22" t="n"/>
      <c r="AF307" s="22" t="n"/>
      <c r="AG307" s="22" t="n"/>
      <c r="AH307" s="22" t="n"/>
      <c r="AI307" s="22" t="n"/>
      <c r="AJ307" s="22" t="n"/>
      <c r="AK307" s="22" t="n"/>
      <c r="AL307" s="22" t="n"/>
      <c r="AM307" s="22" t="n"/>
      <c r="AN307" s="22" t="n"/>
      <c r="AO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  <c r="Y308" s="22" t="n"/>
      <c r="Z308" s="22" t="n"/>
      <c r="AA308" s="22" t="n"/>
      <c r="AB308" s="22" t="n"/>
      <c r="AC308" s="22" t="n"/>
      <c r="AD308" s="22" t="n"/>
      <c r="AE308" s="22" t="n"/>
      <c r="AF308" s="22" t="n"/>
      <c r="AG308" s="22" t="n"/>
      <c r="AH308" s="22" t="n"/>
      <c r="AI308" s="22" t="n"/>
      <c r="AJ308" s="22" t="n"/>
      <c r="AK308" s="22" t="n"/>
      <c r="AL308" s="22" t="n"/>
      <c r="AM308" s="22" t="n"/>
      <c r="AN308" s="22" t="n"/>
      <c r="AO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  <c r="Y309" s="22" t="n"/>
      <c r="Z309" s="22" t="n"/>
      <c r="AA309" s="22" t="n"/>
      <c r="AB309" s="22" t="n"/>
      <c r="AC309" s="22" t="n"/>
      <c r="AD309" s="22" t="n"/>
      <c r="AE309" s="22" t="n"/>
      <c r="AF309" s="22" t="n"/>
      <c r="AG309" s="22" t="n"/>
      <c r="AH309" s="22" t="n"/>
      <c r="AI309" s="22" t="n"/>
      <c r="AJ309" s="22" t="n"/>
      <c r="AK309" s="22" t="n"/>
      <c r="AL309" s="22" t="n"/>
      <c r="AM309" s="22" t="n"/>
      <c r="AN309" s="22" t="n"/>
      <c r="AO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  <c r="Y310" s="22" t="n"/>
      <c r="Z310" s="22" t="n"/>
      <c r="AA310" s="22" t="n"/>
      <c r="AB310" s="22" t="n"/>
      <c r="AC310" s="22" t="n"/>
      <c r="AD310" s="22" t="n"/>
      <c r="AE310" s="22" t="n"/>
      <c r="AF310" s="22" t="n"/>
      <c r="AG310" s="22" t="n"/>
      <c r="AH310" s="22" t="n"/>
      <c r="AI310" s="22" t="n"/>
      <c r="AJ310" s="22" t="n"/>
      <c r="AK310" s="22" t="n"/>
      <c r="AL310" s="22" t="n"/>
      <c r="AM310" s="22" t="n"/>
      <c r="AN310" s="22" t="n"/>
      <c r="AO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  <c r="Y311" s="22" t="n"/>
      <c r="Z311" s="22" t="n"/>
      <c r="AA311" s="22" t="n"/>
      <c r="AB311" s="22" t="n"/>
      <c r="AC311" s="22" t="n"/>
      <c r="AD311" s="22" t="n"/>
      <c r="AE311" s="22" t="n"/>
      <c r="AF311" s="22" t="n"/>
      <c r="AG311" s="22" t="n"/>
      <c r="AH311" s="22" t="n"/>
      <c r="AI311" s="22" t="n"/>
      <c r="AJ311" s="22" t="n"/>
      <c r="AK311" s="22" t="n"/>
      <c r="AL311" s="22" t="n"/>
      <c r="AM311" s="22" t="n"/>
      <c r="AN311" s="22" t="n"/>
      <c r="AO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  <c r="Y312" s="22" t="n"/>
      <c r="Z312" s="22" t="n"/>
      <c r="AA312" s="22" t="n"/>
      <c r="AB312" s="22" t="n"/>
      <c r="AC312" s="22" t="n"/>
      <c r="AD312" s="22" t="n"/>
      <c r="AE312" s="22" t="n"/>
      <c r="AF312" s="22" t="n"/>
      <c r="AG312" s="22" t="n"/>
      <c r="AH312" s="22" t="n"/>
      <c r="AI312" s="22" t="n"/>
      <c r="AJ312" s="22" t="n"/>
      <c r="AK312" s="22" t="n"/>
      <c r="AL312" s="22" t="n"/>
      <c r="AM312" s="22" t="n"/>
      <c r="AN312" s="22" t="n"/>
      <c r="AO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  <c r="Y313" s="22" t="n"/>
      <c r="Z313" s="22" t="n"/>
      <c r="AA313" s="22" t="n"/>
      <c r="AB313" s="22" t="n"/>
      <c r="AC313" s="22" t="n"/>
      <c r="AD313" s="22" t="n"/>
      <c r="AE313" s="22" t="n"/>
      <c r="AF313" s="22" t="n"/>
      <c r="AG313" s="22" t="n"/>
      <c r="AH313" s="22" t="n"/>
      <c r="AI313" s="22" t="n"/>
      <c r="AJ313" s="22" t="n"/>
      <c r="AK313" s="22" t="n"/>
      <c r="AL313" s="22" t="n"/>
      <c r="AM313" s="22" t="n"/>
      <c r="AN313" s="22" t="n"/>
      <c r="AO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  <c r="Y314" s="22" t="n"/>
      <c r="Z314" s="22" t="n"/>
      <c r="AA314" s="22" t="n"/>
      <c r="AB314" s="22" t="n"/>
      <c r="AC314" s="22" t="n"/>
      <c r="AD314" s="22" t="n"/>
      <c r="AE314" s="22" t="n"/>
      <c r="AF314" s="22" t="n"/>
      <c r="AG314" s="22" t="n"/>
      <c r="AH314" s="22" t="n"/>
      <c r="AI314" s="22" t="n"/>
      <c r="AJ314" s="22" t="n"/>
      <c r="AK314" s="22" t="n"/>
      <c r="AL314" s="22" t="n"/>
      <c r="AM314" s="22" t="n"/>
      <c r="AN314" s="22" t="n"/>
      <c r="AO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  <c r="Y315" s="22" t="n"/>
      <c r="Z315" s="22" t="n"/>
      <c r="AA315" s="22" t="n"/>
      <c r="AB315" s="22" t="n"/>
      <c r="AC315" s="22" t="n"/>
      <c r="AD315" s="22" t="n"/>
      <c r="AE315" s="22" t="n"/>
      <c r="AF315" s="22" t="n"/>
      <c r="AG315" s="22" t="n"/>
      <c r="AH315" s="22" t="n"/>
      <c r="AI315" s="22" t="n"/>
      <c r="AJ315" s="22" t="n"/>
      <c r="AK315" s="22" t="n"/>
      <c r="AL315" s="22" t="n"/>
      <c r="AM315" s="22" t="n"/>
      <c r="AN315" s="22" t="n"/>
      <c r="AO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  <c r="Y316" s="22" t="n"/>
      <c r="Z316" s="22" t="n"/>
      <c r="AA316" s="22" t="n"/>
      <c r="AB316" s="22" t="n"/>
      <c r="AC316" s="22" t="n"/>
      <c r="AD316" s="22" t="n"/>
      <c r="AE316" s="22" t="n"/>
      <c r="AF316" s="22" t="n"/>
      <c r="AG316" s="22" t="n"/>
      <c r="AH316" s="22" t="n"/>
      <c r="AI316" s="22" t="n"/>
      <c r="AJ316" s="22" t="n"/>
      <c r="AK316" s="22" t="n"/>
      <c r="AL316" s="22" t="n"/>
      <c r="AM316" s="22" t="n"/>
      <c r="AN316" s="22" t="n"/>
      <c r="AO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  <c r="Y317" s="22" t="n"/>
      <c r="Z317" s="22" t="n"/>
      <c r="AA317" s="22" t="n"/>
      <c r="AB317" s="22" t="n"/>
      <c r="AC317" s="22" t="n"/>
      <c r="AD317" s="22" t="n"/>
      <c r="AE317" s="22" t="n"/>
      <c r="AF317" s="22" t="n"/>
      <c r="AG317" s="22" t="n"/>
      <c r="AH317" s="22" t="n"/>
      <c r="AI317" s="22" t="n"/>
      <c r="AJ317" s="22" t="n"/>
      <c r="AK317" s="22" t="n"/>
      <c r="AL317" s="22" t="n"/>
      <c r="AM317" s="22" t="n"/>
      <c r="AN317" s="22" t="n"/>
      <c r="AO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  <c r="Y318" s="22" t="n"/>
      <c r="Z318" s="22" t="n"/>
      <c r="AA318" s="22" t="n"/>
      <c r="AB318" s="22" t="n"/>
      <c r="AC318" s="22" t="n"/>
      <c r="AD318" s="22" t="n"/>
      <c r="AE318" s="22" t="n"/>
      <c r="AF318" s="22" t="n"/>
      <c r="AG318" s="22" t="n"/>
      <c r="AH318" s="22" t="n"/>
      <c r="AI318" s="22" t="n"/>
      <c r="AJ318" s="22" t="n"/>
      <c r="AK318" s="22" t="n"/>
      <c r="AL318" s="22" t="n"/>
      <c r="AM318" s="22" t="n"/>
      <c r="AN318" s="22" t="n"/>
      <c r="AO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  <c r="Y319" s="22" t="n"/>
      <c r="Z319" s="22" t="n"/>
      <c r="AA319" s="22" t="n"/>
      <c r="AB319" s="22" t="n"/>
      <c r="AC319" s="22" t="n"/>
      <c r="AD319" s="22" t="n"/>
      <c r="AE319" s="22" t="n"/>
      <c r="AF319" s="22" t="n"/>
      <c r="AG319" s="22" t="n"/>
      <c r="AH319" s="22" t="n"/>
      <c r="AI319" s="22" t="n"/>
      <c r="AJ319" s="22" t="n"/>
      <c r="AK319" s="22" t="n"/>
      <c r="AL319" s="22" t="n"/>
      <c r="AM319" s="22" t="n"/>
      <c r="AN319" s="22" t="n"/>
      <c r="AO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  <c r="Y320" s="22" t="n"/>
      <c r="Z320" s="22" t="n"/>
      <c r="AA320" s="22" t="n"/>
      <c r="AB320" s="22" t="n"/>
      <c r="AC320" s="22" t="n"/>
      <c r="AD320" s="22" t="n"/>
      <c r="AE320" s="22" t="n"/>
      <c r="AF320" s="22" t="n"/>
      <c r="AG320" s="22" t="n"/>
      <c r="AH320" s="22" t="n"/>
      <c r="AI320" s="22" t="n"/>
      <c r="AJ320" s="22" t="n"/>
      <c r="AK320" s="22" t="n"/>
      <c r="AL320" s="22" t="n"/>
      <c r="AM320" s="22" t="n"/>
      <c r="AN320" s="22" t="n"/>
      <c r="AO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  <c r="Y321" s="22" t="n"/>
      <c r="Z321" s="22" t="n"/>
      <c r="AA321" s="22" t="n"/>
      <c r="AB321" s="22" t="n"/>
      <c r="AC321" s="22" t="n"/>
      <c r="AD321" s="22" t="n"/>
      <c r="AE321" s="22" t="n"/>
      <c r="AF321" s="22" t="n"/>
      <c r="AG321" s="22" t="n"/>
      <c r="AH321" s="22" t="n"/>
      <c r="AI321" s="22" t="n"/>
      <c r="AJ321" s="22" t="n"/>
      <c r="AK321" s="22" t="n"/>
      <c r="AL321" s="22" t="n"/>
      <c r="AM321" s="22" t="n"/>
      <c r="AN321" s="22" t="n"/>
      <c r="AO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  <c r="Y322" s="22" t="n"/>
      <c r="Z322" s="22" t="n"/>
      <c r="AA322" s="22" t="n"/>
      <c r="AB322" s="22" t="n"/>
      <c r="AC322" s="22" t="n"/>
      <c r="AD322" s="22" t="n"/>
      <c r="AE322" s="22" t="n"/>
      <c r="AF322" s="22" t="n"/>
      <c r="AG322" s="22" t="n"/>
      <c r="AH322" s="22" t="n"/>
      <c r="AI322" s="22" t="n"/>
      <c r="AJ322" s="22" t="n"/>
      <c r="AK322" s="22" t="n"/>
      <c r="AL322" s="22" t="n"/>
      <c r="AM322" s="22" t="n"/>
      <c r="AN322" s="22" t="n"/>
      <c r="AO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  <c r="Y323" s="22" t="n"/>
      <c r="Z323" s="22" t="n"/>
      <c r="AA323" s="22" t="n"/>
      <c r="AB323" s="22" t="n"/>
      <c r="AC323" s="22" t="n"/>
      <c r="AD323" s="22" t="n"/>
      <c r="AE323" s="22" t="n"/>
      <c r="AF323" s="22" t="n"/>
      <c r="AG323" s="22" t="n"/>
      <c r="AH323" s="22" t="n"/>
      <c r="AI323" s="22" t="n"/>
      <c r="AJ323" s="22" t="n"/>
      <c r="AK323" s="22" t="n"/>
      <c r="AL323" s="22" t="n"/>
      <c r="AM323" s="22" t="n"/>
      <c r="AN323" s="22" t="n"/>
      <c r="AO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Y324" s="22" t="n"/>
      <c r="Z324" s="22" t="n"/>
      <c r="AA324" s="22" t="n"/>
      <c r="AB324" s="22" t="n"/>
      <c r="AC324" s="22" t="n"/>
      <c r="AD324" s="22" t="n"/>
      <c r="AE324" s="22" t="n"/>
      <c r="AF324" s="22" t="n"/>
      <c r="AG324" s="22" t="n"/>
      <c r="AH324" s="22" t="n"/>
      <c r="AI324" s="22" t="n"/>
      <c r="AJ324" s="22" t="n"/>
      <c r="AK324" s="22" t="n"/>
      <c r="AL324" s="22" t="n"/>
      <c r="AM324" s="22" t="n"/>
      <c r="AN324" s="22" t="n"/>
      <c r="AO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  <c r="Y325" s="22" t="n"/>
      <c r="Z325" s="22" t="n"/>
      <c r="AA325" s="22" t="n"/>
      <c r="AB325" s="22" t="n"/>
      <c r="AC325" s="22" t="n"/>
      <c r="AD325" s="22" t="n"/>
      <c r="AE325" s="22" t="n"/>
      <c r="AF325" s="22" t="n"/>
      <c r="AG325" s="22" t="n"/>
      <c r="AH325" s="22" t="n"/>
      <c r="AI325" s="22" t="n"/>
      <c r="AJ325" s="22" t="n"/>
      <c r="AK325" s="22" t="n"/>
      <c r="AL325" s="22" t="n"/>
      <c r="AM325" s="22" t="n"/>
      <c r="AN325" s="22" t="n"/>
      <c r="AO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  <c r="Y326" s="22" t="n"/>
      <c r="Z326" s="22" t="n"/>
      <c r="AA326" s="22" t="n"/>
      <c r="AB326" s="22" t="n"/>
      <c r="AC326" s="22" t="n"/>
      <c r="AD326" s="22" t="n"/>
      <c r="AE326" s="22" t="n"/>
      <c r="AF326" s="22" t="n"/>
      <c r="AG326" s="22" t="n"/>
      <c r="AH326" s="22" t="n"/>
      <c r="AI326" s="22" t="n"/>
      <c r="AJ326" s="22" t="n"/>
      <c r="AK326" s="22" t="n"/>
      <c r="AL326" s="22" t="n"/>
      <c r="AM326" s="22" t="n"/>
      <c r="AN326" s="22" t="n"/>
      <c r="AO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  <c r="Y327" s="22" t="n"/>
      <c r="Z327" s="22" t="n"/>
      <c r="AA327" s="22" t="n"/>
      <c r="AB327" s="22" t="n"/>
      <c r="AC327" s="22" t="n"/>
      <c r="AD327" s="22" t="n"/>
      <c r="AE327" s="22" t="n"/>
      <c r="AF327" s="22" t="n"/>
      <c r="AG327" s="22" t="n"/>
      <c r="AH327" s="22" t="n"/>
      <c r="AI327" s="22" t="n"/>
      <c r="AJ327" s="22" t="n"/>
      <c r="AK327" s="22" t="n"/>
      <c r="AL327" s="22" t="n"/>
      <c r="AM327" s="22" t="n"/>
      <c r="AN327" s="22" t="n"/>
      <c r="AO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  <c r="Y328" s="22" t="n"/>
      <c r="Z328" s="22" t="n"/>
      <c r="AA328" s="22" t="n"/>
      <c r="AB328" s="22" t="n"/>
      <c r="AC328" s="22" t="n"/>
      <c r="AD328" s="22" t="n"/>
      <c r="AE328" s="22" t="n"/>
      <c r="AF328" s="22" t="n"/>
      <c r="AG328" s="22" t="n"/>
      <c r="AH328" s="22" t="n"/>
      <c r="AI328" s="22" t="n"/>
      <c r="AJ328" s="22" t="n"/>
      <c r="AK328" s="22" t="n"/>
      <c r="AL328" s="22" t="n"/>
      <c r="AM328" s="22" t="n"/>
      <c r="AN328" s="22" t="n"/>
      <c r="AO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  <c r="Y329" s="22" t="n"/>
      <c r="Z329" s="22" t="n"/>
      <c r="AA329" s="22" t="n"/>
      <c r="AB329" s="22" t="n"/>
      <c r="AC329" s="22" t="n"/>
      <c r="AD329" s="22" t="n"/>
      <c r="AE329" s="22" t="n"/>
      <c r="AF329" s="22" t="n"/>
      <c r="AG329" s="22" t="n"/>
      <c r="AH329" s="22" t="n"/>
      <c r="AI329" s="22" t="n"/>
      <c r="AJ329" s="22" t="n"/>
      <c r="AK329" s="22" t="n"/>
      <c r="AL329" s="22" t="n"/>
      <c r="AM329" s="22" t="n"/>
      <c r="AN329" s="22" t="n"/>
      <c r="AO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  <c r="Y330" s="22" t="n"/>
      <c r="Z330" s="22" t="n"/>
      <c r="AA330" s="22" t="n"/>
      <c r="AB330" s="22" t="n"/>
      <c r="AC330" s="22" t="n"/>
      <c r="AD330" s="22" t="n"/>
      <c r="AE330" s="22" t="n"/>
      <c r="AF330" s="22" t="n"/>
      <c r="AG330" s="22" t="n"/>
      <c r="AH330" s="22" t="n"/>
      <c r="AI330" s="22" t="n"/>
      <c r="AJ330" s="22" t="n"/>
      <c r="AK330" s="22" t="n"/>
      <c r="AL330" s="22" t="n"/>
      <c r="AM330" s="22" t="n"/>
      <c r="AN330" s="22" t="n"/>
      <c r="AO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  <c r="Y331" s="22" t="n"/>
      <c r="Z331" s="22" t="n"/>
      <c r="AA331" s="22" t="n"/>
      <c r="AB331" s="22" t="n"/>
      <c r="AC331" s="22" t="n"/>
      <c r="AD331" s="22" t="n"/>
      <c r="AE331" s="22" t="n"/>
      <c r="AF331" s="22" t="n"/>
      <c r="AG331" s="22" t="n"/>
      <c r="AH331" s="22" t="n"/>
      <c r="AI331" s="22" t="n"/>
      <c r="AJ331" s="22" t="n"/>
      <c r="AK331" s="22" t="n"/>
      <c r="AL331" s="22" t="n"/>
      <c r="AM331" s="22" t="n"/>
      <c r="AN331" s="22" t="n"/>
      <c r="AO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  <c r="Y332" s="22" t="n"/>
      <c r="Z332" s="22" t="n"/>
      <c r="AA332" s="22" t="n"/>
      <c r="AB332" s="22" t="n"/>
      <c r="AC332" s="22" t="n"/>
      <c r="AD332" s="22" t="n"/>
      <c r="AE332" s="22" t="n"/>
      <c r="AF332" s="22" t="n"/>
      <c r="AG332" s="22" t="n"/>
      <c r="AH332" s="22" t="n"/>
      <c r="AI332" s="22" t="n"/>
      <c r="AJ332" s="22" t="n"/>
      <c r="AK332" s="22" t="n"/>
      <c r="AL332" s="22" t="n"/>
      <c r="AM332" s="22" t="n"/>
      <c r="AN332" s="22" t="n"/>
      <c r="AO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  <c r="Y333" s="22" t="n"/>
      <c r="Z333" s="22" t="n"/>
      <c r="AA333" s="22" t="n"/>
      <c r="AB333" s="22" t="n"/>
      <c r="AC333" s="22" t="n"/>
      <c r="AD333" s="22" t="n"/>
      <c r="AE333" s="22" t="n"/>
      <c r="AF333" s="22" t="n"/>
      <c r="AG333" s="22" t="n"/>
      <c r="AH333" s="22" t="n"/>
      <c r="AI333" s="22" t="n"/>
      <c r="AJ333" s="22" t="n"/>
      <c r="AK333" s="22" t="n"/>
      <c r="AL333" s="22" t="n"/>
      <c r="AM333" s="22" t="n"/>
      <c r="AN333" s="22" t="n"/>
      <c r="AO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  <c r="Y334" s="22" t="n"/>
      <c r="Z334" s="22" t="n"/>
      <c r="AA334" s="22" t="n"/>
      <c r="AB334" s="22" t="n"/>
      <c r="AC334" s="22" t="n"/>
      <c r="AD334" s="22" t="n"/>
      <c r="AE334" s="22" t="n"/>
      <c r="AF334" s="22" t="n"/>
      <c r="AG334" s="22" t="n"/>
      <c r="AH334" s="22" t="n"/>
      <c r="AI334" s="22" t="n"/>
      <c r="AJ334" s="22" t="n"/>
      <c r="AK334" s="22" t="n"/>
      <c r="AL334" s="22" t="n"/>
      <c r="AM334" s="22" t="n"/>
      <c r="AN334" s="22" t="n"/>
      <c r="AO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  <c r="Y335" s="22" t="n"/>
      <c r="Z335" s="22" t="n"/>
      <c r="AA335" s="22" t="n"/>
      <c r="AB335" s="22" t="n"/>
      <c r="AC335" s="22" t="n"/>
      <c r="AD335" s="22" t="n"/>
      <c r="AE335" s="22" t="n"/>
      <c r="AF335" s="22" t="n"/>
      <c r="AG335" s="22" t="n"/>
      <c r="AH335" s="22" t="n"/>
      <c r="AI335" s="22" t="n"/>
      <c r="AJ335" s="22" t="n"/>
      <c r="AK335" s="22" t="n"/>
      <c r="AL335" s="22" t="n"/>
      <c r="AM335" s="22" t="n"/>
      <c r="AN335" s="22" t="n"/>
      <c r="AO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  <c r="Y336" s="22" t="n"/>
      <c r="Z336" s="22" t="n"/>
      <c r="AA336" s="22" t="n"/>
      <c r="AB336" s="22" t="n"/>
      <c r="AC336" s="22" t="n"/>
      <c r="AD336" s="22" t="n"/>
      <c r="AE336" s="22" t="n"/>
      <c r="AF336" s="22" t="n"/>
      <c r="AG336" s="22" t="n"/>
      <c r="AH336" s="22" t="n"/>
      <c r="AI336" s="22" t="n"/>
      <c r="AJ336" s="22" t="n"/>
      <c r="AK336" s="22" t="n"/>
      <c r="AL336" s="22" t="n"/>
      <c r="AM336" s="22" t="n"/>
      <c r="AN336" s="22" t="n"/>
      <c r="AO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  <c r="Y337" s="22" t="n"/>
      <c r="Z337" s="22" t="n"/>
      <c r="AA337" s="22" t="n"/>
      <c r="AB337" s="22" t="n"/>
      <c r="AC337" s="22" t="n"/>
      <c r="AD337" s="22" t="n"/>
      <c r="AE337" s="22" t="n"/>
      <c r="AF337" s="22" t="n"/>
      <c r="AG337" s="22" t="n"/>
      <c r="AH337" s="22" t="n"/>
      <c r="AI337" s="22" t="n"/>
      <c r="AJ337" s="22" t="n"/>
      <c r="AK337" s="22" t="n"/>
      <c r="AL337" s="22" t="n"/>
      <c r="AM337" s="22" t="n"/>
      <c r="AN337" s="22" t="n"/>
      <c r="AO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  <c r="Y338" s="22" t="n"/>
      <c r="Z338" s="22" t="n"/>
      <c r="AA338" s="22" t="n"/>
      <c r="AB338" s="22" t="n"/>
      <c r="AC338" s="22" t="n"/>
      <c r="AD338" s="22" t="n"/>
      <c r="AE338" s="22" t="n"/>
      <c r="AF338" s="22" t="n"/>
      <c r="AG338" s="22" t="n"/>
      <c r="AH338" s="22" t="n"/>
      <c r="AI338" s="22" t="n"/>
      <c r="AJ338" s="22" t="n"/>
      <c r="AK338" s="22" t="n"/>
      <c r="AL338" s="22" t="n"/>
      <c r="AM338" s="22" t="n"/>
      <c r="AN338" s="22" t="n"/>
      <c r="AO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  <c r="Y339" s="22" t="n"/>
      <c r="Z339" s="22" t="n"/>
      <c r="AA339" s="22" t="n"/>
      <c r="AB339" s="22" t="n"/>
      <c r="AC339" s="22" t="n"/>
      <c r="AD339" s="22" t="n"/>
      <c r="AE339" s="22" t="n"/>
      <c r="AF339" s="22" t="n"/>
      <c r="AG339" s="22" t="n"/>
      <c r="AH339" s="22" t="n"/>
      <c r="AI339" s="22" t="n"/>
      <c r="AJ339" s="22" t="n"/>
      <c r="AK339" s="22" t="n"/>
      <c r="AL339" s="22" t="n"/>
      <c r="AM339" s="22" t="n"/>
      <c r="AN339" s="22" t="n"/>
      <c r="AO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  <c r="Y340" s="22" t="n"/>
      <c r="Z340" s="22" t="n"/>
      <c r="AA340" s="22" t="n"/>
      <c r="AB340" s="22" t="n"/>
      <c r="AC340" s="22" t="n"/>
      <c r="AD340" s="22" t="n"/>
      <c r="AE340" s="22" t="n"/>
      <c r="AF340" s="22" t="n"/>
      <c r="AG340" s="22" t="n"/>
      <c r="AH340" s="22" t="n"/>
      <c r="AI340" s="22" t="n"/>
      <c r="AJ340" s="22" t="n"/>
      <c r="AK340" s="22" t="n"/>
      <c r="AL340" s="22" t="n"/>
      <c r="AM340" s="22" t="n"/>
      <c r="AN340" s="22" t="n"/>
      <c r="AO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  <c r="Y341" s="22" t="n"/>
      <c r="Z341" s="22" t="n"/>
      <c r="AA341" s="22" t="n"/>
      <c r="AB341" s="22" t="n"/>
      <c r="AC341" s="22" t="n"/>
      <c r="AD341" s="22" t="n"/>
      <c r="AE341" s="22" t="n"/>
      <c r="AF341" s="22" t="n"/>
      <c r="AG341" s="22" t="n"/>
      <c r="AH341" s="22" t="n"/>
      <c r="AI341" s="22" t="n"/>
      <c r="AJ341" s="22" t="n"/>
      <c r="AK341" s="22" t="n"/>
      <c r="AL341" s="22" t="n"/>
      <c r="AM341" s="22" t="n"/>
      <c r="AN341" s="22" t="n"/>
      <c r="AO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  <c r="Y342" s="22" t="n"/>
      <c r="Z342" s="22" t="n"/>
      <c r="AA342" s="22" t="n"/>
      <c r="AB342" s="22" t="n"/>
      <c r="AC342" s="22" t="n"/>
      <c r="AD342" s="22" t="n"/>
      <c r="AE342" s="22" t="n"/>
      <c r="AF342" s="22" t="n"/>
      <c r="AG342" s="22" t="n"/>
      <c r="AH342" s="22" t="n"/>
      <c r="AI342" s="22" t="n"/>
      <c r="AJ342" s="22" t="n"/>
      <c r="AK342" s="22" t="n"/>
      <c r="AL342" s="22" t="n"/>
      <c r="AM342" s="22" t="n"/>
      <c r="AN342" s="22" t="n"/>
      <c r="AO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  <c r="Y343" s="22" t="n"/>
      <c r="Z343" s="22" t="n"/>
      <c r="AA343" s="22" t="n"/>
      <c r="AB343" s="22" t="n"/>
      <c r="AC343" s="22" t="n"/>
      <c r="AD343" s="22" t="n"/>
      <c r="AE343" s="22" t="n"/>
      <c r="AF343" s="22" t="n"/>
      <c r="AG343" s="22" t="n"/>
      <c r="AH343" s="22" t="n"/>
      <c r="AI343" s="22" t="n"/>
      <c r="AJ343" s="22" t="n"/>
      <c r="AK343" s="22" t="n"/>
      <c r="AL343" s="22" t="n"/>
      <c r="AM343" s="22" t="n"/>
      <c r="AN343" s="22" t="n"/>
      <c r="AO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  <c r="Y344" s="22" t="n"/>
      <c r="Z344" s="22" t="n"/>
      <c r="AA344" s="22" t="n"/>
      <c r="AB344" s="22" t="n"/>
      <c r="AC344" s="22" t="n"/>
      <c r="AD344" s="22" t="n"/>
      <c r="AE344" s="22" t="n"/>
      <c r="AF344" s="22" t="n"/>
      <c r="AG344" s="22" t="n"/>
      <c r="AH344" s="22" t="n"/>
      <c r="AI344" s="22" t="n"/>
      <c r="AJ344" s="22" t="n"/>
      <c r="AK344" s="22" t="n"/>
      <c r="AL344" s="22" t="n"/>
      <c r="AM344" s="22" t="n"/>
      <c r="AN344" s="22" t="n"/>
      <c r="AO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  <c r="Y345" s="22" t="n"/>
      <c r="Z345" s="22" t="n"/>
      <c r="AA345" s="22" t="n"/>
      <c r="AB345" s="22" t="n"/>
      <c r="AC345" s="22" t="n"/>
      <c r="AD345" s="22" t="n"/>
      <c r="AE345" s="22" t="n"/>
      <c r="AF345" s="22" t="n"/>
      <c r="AG345" s="22" t="n"/>
      <c r="AH345" s="22" t="n"/>
      <c r="AI345" s="22" t="n"/>
      <c r="AJ345" s="22" t="n"/>
      <c r="AK345" s="22" t="n"/>
      <c r="AL345" s="22" t="n"/>
      <c r="AM345" s="22" t="n"/>
      <c r="AN345" s="22" t="n"/>
      <c r="AO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  <c r="Y346" s="22" t="n"/>
      <c r="Z346" s="22" t="n"/>
      <c r="AA346" s="22" t="n"/>
      <c r="AB346" s="22" t="n"/>
      <c r="AC346" s="22" t="n"/>
      <c r="AD346" s="22" t="n"/>
      <c r="AE346" s="22" t="n"/>
      <c r="AF346" s="22" t="n"/>
      <c r="AG346" s="22" t="n"/>
      <c r="AH346" s="22" t="n"/>
      <c r="AI346" s="22" t="n"/>
      <c r="AJ346" s="22" t="n"/>
      <c r="AK346" s="22" t="n"/>
      <c r="AL346" s="22" t="n"/>
      <c r="AM346" s="22" t="n"/>
      <c r="AN346" s="22" t="n"/>
      <c r="AO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  <c r="Y347" s="22" t="n"/>
      <c r="Z347" s="22" t="n"/>
      <c r="AA347" s="22" t="n"/>
      <c r="AB347" s="22" t="n"/>
      <c r="AC347" s="22" t="n"/>
      <c r="AD347" s="22" t="n"/>
      <c r="AE347" s="22" t="n"/>
      <c r="AF347" s="22" t="n"/>
      <c r="AG347" s="22" t="n"/>
      <c r="AH347" s="22" t="n"/>
      <c r="AI347" s="22" t="n"/>
      <c r="AJ347" s="22" t="n"/>
      <c r="AK347" s="22" t="n"/>
      <c r="AL347" s="22" t="n"/>
      <c r="AM347" s="22" t="n"/>
      <c r="AN347" s="22" t="n"/>
      <c r="AO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  <c r="Y348" s="22" t="n"/>
      <c r="Z348" s="22" t="n"/>
      <c r="AA348" s="22" t="n"/>
      <c r="AB348" s="22" t="n"/>
      <c r="AC348" s="22" t="n"/>
      <c r="AD348" s="22" t="n"/>
      <c r="AE348" s="22" t="n"/>
      <c r="AF348" s="22" t="n"/>
      <c r="AG348" s="22" t="n"/>
      <c r="AH348" s="22" t="n"/>
      <c r="AI348" s="22" t="n"/>
      <c r="AJ348" s="22" t="n"/>
      <c r="AK348" s="22" t="n"/>
      <c r="AL348" s="22" t="n"/>
      <c r="AM348" s="22" t="n"/>
      <c r="AN348" s="22" t="n"/>
      <c r="AO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  <c r="Y349" s="22" t="n"/>
      <c r="Z349" s="22" t="n"/>
      <c r="AA349" s="22" t="n"/>
      <c r="AB349" s="22" t="n"/>
      <c r="AC349" s="22" t="n"/>
      <c r="AD349" s="22" t="n"/>
      <c r="AE349" s="22" t="n"/>
      <c r="AF349" s="22" t="n"/>
      <c r="AG349" s="22" t="n"/>
      <c r="AH349" s="22" t="n"/>
      <c r="AI349" s="22" t="n"/>
      <c r="AJ349" s="22" t="n"/>
      <c r="AK349" s="22" t="n"/>
      <c r="AL349" s="22" t="n"/>
      <c r="AM349" s="22" t="n"/>
      <c r="AN349" s="22" t="n"/>
      <c r="AO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  <c r="Y350" s="22" t="n"/>
      <c r="Z350" s="22" t="n"/>
      <c r="AA350" s="22" t="n"/>
      <c r="AB350" s="22" t="n"/>
      <c r="AC350" s="22" t="n"/>
      <c r="AD350" s="22" t="n"/>
      <c r="AE350" s="22" t="n"/>
      <c r="AF350" s="22" t="n"/>
      <c r="AG350" s="22" t="n"/>
      <c r="AH350" s="22" t="n"/>
      <c r="AI350" s="22" t="n"/>
      <c r="AJ350" s="22" t="n"/>
      <c r="AK350" s="22" t="n"/>
      <c r="AL350" s="22" t="n"/>
      <c r="AM350" s="22" t="n"/>
      <c r="AN350" s="22" t="n"/>
      <c r="AO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  <c r="Y351" s="22" t="n"/>
      <c r="Z351" s="22" t="n"/>
      <c r="AA351" s="22" t="n"/>
      <c r="AB351" s="22" t="n"/>
      <c r="AC351" s="22" t="n"/>
      <c r="AD351" s="22" t="n"/>
      <c r="AE351" s="22" t="n"/>
      <c r="AF351" s="22" t="n"/>
      <c r="AG351" s="22" t="n"/>
      <c r="AH351" s="22" t="n"/>
      <c r="AI351" s="22" t="n"/>
      <c r="AJ351" s="22" t="n"/>
      <c r="AK351" s="22" t="n"/>
      <c r="AL351" s="22" t="n"/>
      <c r="AM351" s="22" t="n"/>
      <c r="AN351" s="22" t="n"/>
      <c r="AO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  <c r="Y352" s="22" t="n"/>
      <c r="Z352" s="22" t="n"/>
      <c r="AA352" s="22" t="n"/>
      <c r="AB352" s="22" t="n"/>
      <c r="AC352" s="22" t="n"/>
      <c r="AD352" s="22" t="n"/>
      <c r="AE352" s="22" t="n"/>
      <c r="AF352" s="22" t="n"/>
      <c r="AG352" s="22" t="n"/>
      <c r="AH352" s="22" t="n"/>
      <c r="AI352" s="22" t="n"/>
      <c r="AJ352" s="22" t="n"/>
      <c r="AK352" s="22" t="n"/>
      <c r="AL352" s="22" t="n"/>
      <c r="AM352" s="22" t="n"/>
      <c r="AN352" s="22" t="n"/>
      <c r="AO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  <c r="Y353" s="22" t="n"/>
      <c r="Z353" s="22" t="n"/>
      <c r="AA353" s="22" t="n"/>
      <c r="AB353" s="22" t="n"/>
      <c r="AC353" s="22" t="n"/>
      <c r="AD353" s="22" t="n"/>
      <c r="AE353" s="22" t="n"/>
      <c r="AF353" s="22" t="n"/>
      <c r="AG353" s="22" t="n"/>
      <c r="AH353" s="22" t="n"/>
      <c r="AI353" s="22" t="n"/>
      <c r="AJ353" s="22" t="n"/>
      <c r="AK353" s="22" t="n"/>
      <c r="AL353" s="22" t="n"/>
      <c r="AM353" s="22" t="n"/>
      <c r="AN353" s="22" t="n"/>
      <c r="AO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  <c r="Y354" s="22" t="n"/>
      <c r="Z354" s="22" t="n"/>
      <c r="AA354" s="22" t="n"/>
      <c r="AB354" s="22" t="n"/>
      <c r="AC354" s="22" t="n"/>
      <c r="AD354" s="22" t="n"/>
      <c r="AE354" s="22" t="n"/>
      <c r="AF354" s="22" t="n"/>
      <c r="AG354" s="22" t="n"/>
      <c r="AH354" s="22" t="n"/>
      <c r="AI354" s="22" t="n"/>
      <c r="AJ354" s="22" t="n"/>
      <c r="AK354" s="22" t="n"/>
      <c r="AL354" s="22" t="n"/>
      <c r="AM354" s="22" t="n"/>
      <c r="AN354" s="22" t="n"/>
      <c r="AO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  <c r="Y355" s="22" t="n"/>
      <c r="Z355" s="22" t="n"/>
      <c r="AA355" s="22" t="n"/>
      <c r="AB355" s="22" t="n"/>
      <c r="AC355" s="22" t="n"/>
      <c r="AD355" s="22" t="n"/>
      <c r="AE355" s="22" t="n"/>
      <c r="AF355" s="22" t="n"/>
      <c r="AG355" s="22" t="n"/>
      <c r="AH355" s="22" t="n"/>
      <c r="AI355" s="22" t="n"/>
      <c r="AJ355" s="22" t="n"/>
      <c r="AK355" s="22" t="n"/>
      <c r="AL355" s="22" t="n"/>
      <c r="AM355" s="22" t="n"/>
      <c r="AN355" s="22" t="n"/>
      <c r="AO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  <c r="Y356" s="22" t="n"/>
      <c r="Z356" s="22" t="n"/>
      <c r="AA356" s="22" t="n"/>
      <c r="AB356" s="22" t="n"/>
      <c r="AC356" s="22" t="n"/>
      <c r="AD356" s="22" t="n"/>
      <c r="AE356" s="22" t="n"/>
      <c r="AF356" s="22" t="n"/>
      <c r="AG356" s="22" t="n"/>
      <c r="AH356" s="22" t="n"/>
      <c r="AI356" s="22" t="n"/>
      <c r="AJ356" s="22" t="n"/>
      <c r="AK356" s="22" t="n"/>
      <c r="AL356" s="22" t="n"/>
      <c r="AM356" s="22" t="n"/>
      <c r="AN356" s="22" t="n"/>
      <c r="AO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  <c r="Y357" s="22" t="n"/>
      <c r="Z357" s="22" t="n"/>
      <c r="AA357" s="22" t="n"/>
      <c r="AB357" s="22" t="n"/>
      <c r="AC357" s="22" t="n"/>
      <c r="AD357" s="22" t="n"/>
      <c r="AE357" s="22" t="n"/>
      <c r="AF357" s="22" t="n"/>
      <c r="AG357" s="22" t="n"/>
      <c r="AH357" s="22" t="n"/>
      <c r="AI357" s="22" t="n"/>
      <c r="AJ357" s="22" t="n"/>
      <c r="AK357" s="22" t="n"/>
      <c r="AL357" s="22" t="n"/>
      <c r="AM357" s="22" t="n"/>
      <c r="AN357" s="22" t="n"/>
      <c r="AO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  <c r="Y358" s="22" t="n"/>
      <c r="Z358" s="22" t="n"/>
      <c r="AA358" s="22" t="n"/>
      <c r="AB358" s="22" t="n"/>
      <c r="AC358" s="22" t="n"/>
      <c r="AD358" s="22" t="n"/>
      <c r="AE358" s="22" t="n"/>
      <c r="AF358" s="22" t="n"/>
      <c r="AG358" s="22" t="n"/>
      <c r="AH358" s="22" t="n"/>
      <c r="AI358" s="22" t="n"/>
      <c r="AJ358" s="22" t="n"/>
      <c r="AK358" s="22" t="n"/>
      <c r="AL358" s="22" t="n"/>
      <c r="AM358" s="22" t="n"/>
      <c r="AN358" s="22" t="n"/>
      <c r="AO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  <c r="Y359" s="22" t="n"/>
      <c r="Z359" s="22" t="n"/>
      <c r="AA359" s="22" t="n"/>
      <c r="AB359" s="22" t="n"/>
      <c r="AC359" s="22" t="n"/>
      <c r="AD359" s="22" t="n"/>
      <c r="AE359" s="22" t="n"/>
      <c r="AF359" s="22" t="n"/>
      <c r="AG359" s="22" t="n"/>
      <c r="AH359" s="22" t="n"/>
      <c r="AI359" s="22" t="n"/>
      <c r="AJ359" s="22" t="n"/>
      <c r="AK359" s="22" t="n"/>
      <c r="AL359" s="22" t="n"/>
      <c r="AM359" s="22" t="n"/>
      <c r="AN359" s="22" t="n"/>
      <c r="AO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  <c r="Y360" s="22" t="n"/>
      <c r="Z360" s="22" t="n"/>
      <c r="AA360" s="22" t="n"/>
      <c r="AB360" s="22" t="n"/>
      <c r="AC360" s="22" t="n"/>
      <c r="AD360" s="22" t="n"/>
      <c r="AE360" s="22" t="n"/>
      <c r="AF360" s="22" t="n"/>
      <c r="AG360" s="22" t="n"/>
      <c r="AH360" s="22" t="n"/>
      <c r="AI360" s="22" t="n"/>
      <c r="AJ360" s="22" t="n"/>
      <c r="AK360" s="22" t="n"/>
      <c r="AL360" s="22" t="n"/>
      <c r="AM360" s="22" t="n"/>
      <c r="AN360" s="22" t="n"/>
      <c r="AO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  <c r="Y361" s="22" t="n"/>
      <c r="Z361" s="22" t="n"/>
      <c r="AA361" s="22" t="n"/>
      <c r="AB361" s="22" t="n"/>
      <c r="AC361" s="22" t="n"/>
      <c r="AD361" s="22" t="n"/>
      <c r="AE361" s="22" t="n"/>
      <c r="AF361" s="22" t="n"/>
      <c r="AG361" s="22" t="n"/>
      <c r="AH361" s="22" t="n"/>
      <c r="AI361" s="22" t="n"/>
      <c r="AJ361" s="22" t="n"/>
      <c r="AK361" s="22" t="n"/>
      <c r="AL361" s="22" t="n"/>
      <c r="AM361" s="22" t="n"/>
      <c r="AN361" s="22" t="n"/>
      <c r="AO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  <c r="Y362" s="22" t="n"/>
      <c r="Z362" s="22" t="n"/>
      <c r="AA362" s="22" t="n"/>
      <c r="AB362" s="22" t="n"/>
      <c r="AC362" s="22" t="n"/>
      <c r="AD362" s="22" t="n"/>
      <c r="AE362" s="22" t="n"/>
      <c r="AF362" s="22" t="n"/>
      <c r="AG362" s="22" t="n"/>
      <c r="AH362" s="22" t="n"/>
      <c r="AI362" s="22" t="n"/>
      <c r="AJ362" s="22" t="n"/>
      <c r="AK362" s="22" t="n"/>
      <c r="AL362" s="22" t="n"/>
      <c r="AM362" s="22" t="n"/>
      <c r="AN362" s="22" t="n"/>
      <c r="AO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Y363" s="22" t="n"/>
      <c r="Z363" s="22" t="n"/>
      <c r="AA363" s="22" t="n"/>
      <c r="AB363" s="22" t="n"/>
      <c r="AC363" s="22" t="n"/>
      <c r="AD363" s="22" t="n"/>
      <c r="AE363" s="22" t="n"/>
      <c r="AF363" s="22" t="n"/>
      <c r="AG363" s="22" t="n"/>
      <c r="AH363" s="22" t="n"/>
      <c r="AI363" s="22" t="n"/>
      <c r="AJ363" s="22" t="n"/>
      <c r="AK363" s="22" t="n"/>
      <c r="AL363" s="22" t="n"/>
      <c r="AM363" s="22" t="n"/>
      <c r="AN363" s="22" t="n"/>
      <c r="AO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  <c r="Y364" s="22" t="n"/>
      <c r="Z364" s="22" t="n"/>
      <c r="AA364" s="22" t="n"/>
      <c r="AB364" s="22" t="n"/>
      <c r="AC364" s="22" t="n"/>
      <c r="AD364" s="22" t="n"/>
      <c r="AE364" s="22" t="n"/>
      <c r="AF364" s="22" t="n"/>
      <c r="AG364" s="22" t="n"/>
      <c r="AH364" s="22" t="n"/>
      <c r="AI364" s="22" t="n"/>
      <c r="AJ364" s="22" t="n"/>
      <c r="AK364" s="22" t="n"/>
      <c r="AL364" s="22" t="n"/>
      <c r="AM364" s="22" t="n"/>
      <c r="AN364" s="22" t="n"/>
      <c r="AO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  <c r="Y365" s="22" t="n"/>
      <c r="Z365" s="22" t="n"/>
      <c r="AA365" s="22" t="n"/>
      <c r="AB365" s="22" t="n"/>
      <c r="AC365" s="22" t="n"/>
      <c r="AD365" s="22" t="n"/>
      <c r="AE365" s="22" t="n"/>
      <c r="AF365" s="22" t="n"/>
      <c r="AG365" s="22" t="n"/>
      <c r="AH365" s="22" t="n"/>
      <c r="AI365" s="22" t="n"/>
      <c r="AJ365" s="22" t="n"/>
      <c r="AK365" s="22" t="n"/>
      <c r="AL365" s="22" t="n"/>
      <c r="AM365" s="22" t="n"/>
      <c r="AN365" s="22" t="n"/>
      <c r="AO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  <c r="Y366" s="22" t="n"/>
      <c r="Z366" s="22" t="n"/>
      <c r="AA366" s="22" t="n"/>
      <c r="AB366" s="22" t="n"/>
      <c r="AC366" s="22" t="n"/>
      <c r="AD366" s="22" t="n"/>
      <c r="AE366" s="22" t="n"/>
      <c r="AF366" s="22" t="n"/>
      <c r="AG366" s="22" t="n"/>
      <c r="AH366" s="22" t="n"/>
      <c r="AI366" s="22" t="n"/>
      <c r="AJ366" s="22" t="n"/>
      <c r="AK366" s="22" t="n"/>
      <c r="AL366" s="22" t="n"/>
      <c r="AM366" s="22" t="n"/>
      <c r="AN366" s="22" t="n"/>
      <c r="AO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  <c r="Y367" s="22" t="n"/>
      <c r="Z367" s="22" t="n"/>
      <c r="AA367" s="22" t="n"/>
      <c r="AB367" s="22" t="n"/>
      <c r="AC367" s="22" t="n"/>
      <c r="AD367" s="22" t="n"/>
      <c r="AE367" s="22" t="n"/>
      <c r="AF367" s="22" t="n"/>
      <c r="AG367" s="22" t="n"/>
      <c r="AH367" s="22" t="n"/>
      <c r="AI367" s="22" t="n"/>
      <c r="AJ367" s="22" t="n"/>
      <c r="AK367" s="22" t="n"/>
      <c r="AL367" s="22" t="n"/>
      <c r="AM367" s="22" t="n"/>
      <c r="AN367" s="22" t="n"/>
      <c r="AO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  <c r="Y368" s="22" t="n"/>
      <c r="Z368" s="22" t="n"/>
      <c r="AA368" s="22" t="n"/>
      <c r="AB368" s="22" t="n"/>
      <c r="AC368" s="22" t="n"/>
      <c r="AD368" s="22" t="n"/>
      <c r="AE368" s="22" t="n"/>
      <c r="AF368" s="22" t="n"/>
      <c r="AG368" s="22" t="n"/>
      <c r="AH368" s="22" t="n"/>
      <c r="AI368" s="22" t="n"/>
      <c r="AJ368" s="22" t="n"/>
      <c r="AK368" s="22" t="n"/>
      <c r="AL368" s="22" t="n"/>
      <c r="AM368" s="22" t="n"/>
      <c r="AN368" s="22" t="n"/>
      <c r="AO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  <c r="Y369" s="22" t="n"/>
      <c r="Z369" s="22" t="n"/>
      <c r="AA369" s="22" t="n"/>
      <c r="AB369" s="22" t="n"/>
      <c r="AC369" s="22" t="n"/>
      <c r="AD369" s="22" t="n"/>
      <c r="AE369" s="22" t="n"/>
      <c r="AF369" s="22" t="n"/>
      <c r="AG369" s="22" t="n"/>
      <c r="AH369" s="22" t="n"/>
      <c r="AI369" s="22" t="n"/>
      <c r="AJ369" s="22" t="n"/>
      <c r="AK369" s="22" t="n"/>
      <c r="AL369" s="22" t="n"/>
      <c r="AM369" s="22" t="n"/>
      <c r="AN369" s="22" t="n"/>
      <c r="AO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  <c r="Y370" s="22" t="n"/>
      <c r="Z370" s="22" t="n"/>
      <c r="AA370" s="22" t="n"/>
      <c r="AB370" s="22" t="n"/>
      <c r="AC370" s="22" t="n"/>
      <c r="AD370" s="22" t="n"/>
      <c r="AE370" s="22" t="n"/>
      <c r="AF370" s="22" t="n"/>
      <c r="AG370" s="22" t="n"/>
      <c r="AH370" s="22" t="n"/>
      <c r="AI370" s="22" t="n"/>
      <c r="AJ370" s="22" t="n"/>
      <c r="AK370" s="22" t="n"/>
      <c r="AL370" s="22" t="n"/>
      <c r="AM370" s="22" t="n"/>
      <c r="AN370" s="22" t="n"/>
      <c r="AO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  <c r="Y371" s="22" t="n"/>
      <c r="Z371" s="22" t="n"/>
      <c r="AA371" s="22" t="n"/>
      <c r="AB371" s="22" t="n"/>
      <c r="AC371" s="22" t="n"/>
      <c r="AD371" s="22" t="n"/>
      <c r="AE371" s="22" t="n"/>
      <c r="AF371" s="22" t="n"/>
      <c r="AG371" s="22" t="n"/>
      <c r="AH371" s="22" t="n"/>
      <c r="AI371" s="22" t="n"/>
      <c r="AJ371" s="22" t="n"/>
      <c r="AK371" s="22" t="n"/>
      <c r="AL371" s="22" t="n"/>
      <c r="AM371" s="22" t="n"/>
      <c r="AN371" s="22" t="n"/>
      <c r="AO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  <c r="Y372" s="22" t="n"/>
      <c r="Z372" s="22" t="n"/>
      <c r="AA372" s="22" t="n"/>
      <c r="AB372" s="22" t="n"/>
      <c r="AC372" s="22" t="n"/>
      <c r="AD372" s="22" t="n"/>
      <c r="AE372" s="22" t="n"/>
      <c r="AF372" s="22" t="n"/>
      <c r="AG372" s="22" t="n"/>
      <c r="AH372" s="22" t="n"/>
      <c r="AI372" s="22" t="n"/>
      <c r="AJ372" s="22" t="n"/>
      <c r="AK372" s="22" t="n"/>
      <c r="AL372" s="22" t="n"/>
      <c r="AM372" s="22" t="n"/>
      <c r="AN372" s="22" t="n"/>
      <c r="AO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  <c r="Y373" s="22" t="n"/>
      <c r="Z373" s="22" t="n"/>
      <c r="AA373" s="22" t="n"/>
      <c r="AB373" s="22" t="n"/>
      <c r="AC373" s="22" t="n"/>
      <c r="AD373" s="22" t="n"/>
      <c r="AE373" s="22" t="n"/>
      <c r="AF373" s="22" t="n"/>
      <c r="AG373" s="22" t="n"/>
      <c r="AH373" s="22" t="n"/>
      <c r="AI373" s="22" t="n"/>
      <c r="AJ373" s="22" t="n"/>
      <c r="AK373" s="22" t="n"/>
      <c r="AL373" s="22" t="n"/>
      <c r="AM373" s="22" t="n"/>
      <c r="AN373" s="22" t="n"/>
      <c r="AO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  <c r="Y374" s="22" t="n"/>
      <c r="Z374" s="22" t="n"/>
      <c r="AA374" s="22" t="n"/>
      <c r="AB374" s="22" t="n"/>
      <c r="AC374" s="22" t="n"/>
      <c r="AD374" s="22" t="n"/>
      <c r="AE374" s="22" t="n"/>
      <c r="AF374" s="22" t="n"/>
      <c r="AG374" s="22" t="n"/>
      <c r="AH374" s="22" t="n"/>
      <c r="AI374" s="22" t="n"/>
      <c r="AJ374" s="22" t="n"/>
      <c r="AK374" s="22" t="n"/>
      <c r="AL374" s="22" t="n"/>
      <c r="AM374" s="22" t="n"/>
      <c r="AN374" s="22" t="n"/>
      <c r="AO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  <c r="Y375" s="22" t="n"/>
      <c r="Z375" s="22" t="n"/>
      <c r="AA375" s="22" t="n"/>
      <c r="AB375" s="22" t="n"/>
      <c r="AC375" s="22" t="n"/>
      <c r="AD375" s="22" t="n"/>
      <c r="AE375" s="22" t="n"/>
      <c r="AF375" s="22" t="n"/>
      <c r="AG375" s="22" t="n"/>
      <c r="AH375" s="22" t="n"/>
      <c r="AI375" s="22" t="n"/>
      <c r="AJ375" s="22" t="n"/>
      <c r="AK375" s="22" t="n"/>
      <c r="AL375" s="22" t="n"/>
      <c r="AM375" s="22" t="n"/>
      <c r="AN375" s="22" t="n"/>
      <c r="AO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  <c r="Y376" s="22" t="n"/>
      <c r="Z376" s="22" t="n"/>
      <c r="AA376" s="22" t="n"/>
      <c r="AB376" s="22" t="n"/>
      <c r="AC376" s="22" t="n"/>
      <c r="AD376" s="22" t="n"/>
      <c r="AE376" s="22" t="n"/>
      <c r="AF376" s="22" t="n"/>
      <c r="AG376" s="22" t="n"/>
      <c r="AH376" s="22" t="n"/>
      <c r="AI376" s="22" t="n"/>
      <c r="AJ376" s="22" t="n"/>
      <c r="AK376" s="22" t="n"/>
      <c r="AL376" s="22" t="n"/>
      <c r="AM376" s="22" t="n"/>
      <c r="AN376" s="22" t="n"/>
      <c r="AO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  <c r="Y377" s="22" t="n"/>
      <c r="Z377" s="22" t="n"/>
      <c r="AA377" s="22" t="n"/>
      <c r="AB377" s="22" t="n"/>
      <c r="AC377" s="22" t="n"/>
      <c r="AD377" s="22" t="n"/>
      <c r="AE377" s="22" t="n"/>
      <c r="AF377" s="22" t="n"/>
      <c r="AG377" s="22" t="n"/>
      <c r="AH377" s="22" t="n"/>
      <c r="AI377" s="22" t="n"/>
      <c r="AJ377" s="22" t="n"/>
      <c r="AK377" s="22" t="n"/>
      <c r="AL377" s="22" t="n"/>
      <c r="AM377" s="22" t="n"/>
      <c r="AN377" s="22" t="n"/>
      <c r="AO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  <c r="Y378" s="22" t="n"/>
      <c r="Z378" s="22" t="n"/>
      <c r="AA378" s="22" t="n"/>
      <c r="AB378" s="22" t="n"/>
      <c r="AC378" s="22" t="n"/>
      <c r="AD378" s="22" t="n"/>
      <c r="AE378" s="22" t="n"/>
      <c r="AF378" s="22" t="n"/>
      <c r="AG378" s="22" t="n"/>
      <c r="AH378" s="22" t="n"/>
      <c r="AI378" s="22" t="n"/>
      <c r="AJ378" s="22" t="n"/>
      <c r="AK378" s="22" t="n"/>
      <c r="AL378" s="22" t="n"/>
      <c r="AM378" s="22" t="n"/>
      <c r="AN378" s="22" t="n"/>
      <c r="AO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  <c r="Y379" s="22" t="n"/>
      <c r="Z379" s="22" t="n"/>
      <c r="AA379" s="22" t="n"/>
      <c r="AB379" s="22" t="n"/>
      <c r="AC379" s="22" t="n"/>
      <c r="AD379" s="22" t="n"/>
      <c r="AE379" s="22" t="n"/>
      <c r="AF379" s="22" t="n"/>
      <c r="AG379" s="22" t="n"/>
      <c r="AH379" s="22" t="n"/>
      <c r="AI379" s="22" t="n"/>
      <c r="AJ379" s="22" t="n"/>
      <c r="AK379" s="22" t="n"/>
      <c r="AL379" s="22" t="n"/>
      <c r="AM379" s="22" t="n"/>
      <c r="AN379" s="22" t="n"/>
      <c r="AO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  <c r="Y380" s="22" t="n"/>
      <c r="Z380" s="22" t="n"/>
      <c r="AA380" s="22" t="n"/>
      <c r="AB380" s="22" t="n"/>
      <c r="AC380" s="22" t="n"/>
      <c r="AD380" s="22" t="n"/>
      <c r="AE380" s="22" t="n"/>
      <c r="AF380" s="22" t="n"/>
      <c r="AG380" s="22" t="n"/>
      <c r="AH380" s="22" t="n"/>
      <c r="AI380" s="22" t="n"/>
      <c r="AJ380" s="22" t="n"/>
      <c r="AK380" s="22" t="n"/>
      <c r="AL380" s="22" t="n"/>
      <c r="AM380" s="22" t="n"/>
      <c r="AN380" s="22" t="n"/>
      <c r="AO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  <c r="Y381" s="22" t="n"/>
      <c r="Z381" s="22" t="n"/>
      <c r="AA381" s="22" t="n"/>
      <c r="AB381" s="22" t="n"/>
      <c r="AC381" s="22" t="n"/>
      <c r="AD381" s="22" t="n"/>
      <c r="AE381" s="22" t="n"/>
      <c r="AF381" s="22" t="n"/>
      <c r="AG381" s="22" t="n"/>
      <c r="AH381" s="22" t="n"/>
      <c r="AI381" s="22" t="n"/>
      <c r="AJ381" s="22" t="n"/>
      <c r="AK381" s="22" t="n"/>
      <c r="AL381" s="22" t="n"/>
      <c r="AM381" s="22" t="n"/>
      <c r="AN381" s="22" t="n"/>
      <c r="AO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  <c r="Y382" s="22" t="n"/>
      <c r="Z382" s="22" t="n"/>
      <c r="AA382" s="22" t="n"/>
      <c r="AB382" s="22" t="n"/>
      <c r="AC382" s="22" t="n"/>
      <c r="AD382" s="22" t="n"/>
      <c r="AE382" s="22" t="n"/>
      <c r="AF382" s="22" t="n"/>
      <c r="AG382" s="22" t="n"/>
      <c r="AH382" s="22" t="n"/>
      <c r="AI382" s="22" t="n"/>
      <c r="AJ382" s="22" t="n"/>
      <c r="AK382" s="22" t="n"/>
      <c r="AL382" s="22" t="n"/>
      <c r="AM382" s="22" t="n"/>
      <c r="AN382" s="22" t="n"/>
      <c r="AO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  <c r="Y383" s="22" t="n"/>
      <c r="Z383" s="22" t="n"/>
      <c r="AA383" s="22" t="n"/>
      <c r="AB383" s="22" t="n"/>
      <c r="AC383" s="22" t="n"/>
      <c r="AD383" s="22" t="n"/>
      <c r="AE383" s="22" t="n"/>
      <c r="AF383" s="22" t="n"/>
      <c r="AG383" s="22" t="n"/>
      <c r="AH383" s="22" t="n"/>
      <c r="AI383" s="22" t="n"/>
      <c r="AJ383" s="22" t="n"/>
      <c r="AK383" s="22" t="n"/>
      <c r="AL383" s="22" t="n"/>
      <c r="AM383" s="22" t="n"/>
      <c r="AN383" s="22" t="n"/>
      <c r="AO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  <c r="Y384" s="22" t="n"/>
      <c r="Z384" s="22" t="n"/>
      <c r="AA384" s="22" t="n"/>
      <c r="AB384" s="22" t="n"/>
      <c r="AC384" s="22" t="n"/>
      <c r="AD384" s="22" t="n"/>
      <c r="AE384" s="22" t="n"/>
      <c r="AF384" s="22" t="n"/>
      <c r="AG384" s="22" t="n"/>
      <c r="AH384" s="22" t="n"/>
      <c r="AI384" s="22" t="n"/>
      <c r="AJ384" s="22" t="n"/>
      <c r="AK384" s="22" t="n"/>
      <c r="AL384" s="22" t="n"/>
      <c r="AM384" s="22" t="n"/>
      <c r="AN384" s="22" t="n"/>
      <c r="AO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  <c r="Y385" s="22" t="n"/>
      <c r="Z385" s="22" t="n"/>
      <c r="AA385" s="22" t="n"/>
      <c r="AB385" s="22" t="n"/>
      <c r="AC385" s="22" t="n"/>
      <c r="AD385" s="22" t="n"/>
      <c r="AE385" s="22" t="n"/>
      <c r="AF385" s="22" t="n"/>
      <c r="AG385" s="22" t="n"/>
      <c r="AH385" s="22" t="n"/>
      <c r="AI385" s="22" t="n"/>
      <c r="AJ385" s="22" t="n"/>
      <c r="AK385" s="22" t="n"/>
      <c r="AL385" s="22" t="n"/>
      <c r="AM385" s="22" t="n"/>
      <c r="AN385" s="22" t="n"/>
      <c r="AO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  <c r="Y386" s="22" t="n"/>
      <c r="Z386" s="22" t="n"/>
      <c r="AA386" s="22" t="n"/>
      <c r="AB386" s="22" t="n"/>
      <c r="AC386" s="22" t="n"/>
      <c r="AD386" s="22" t="n"/>
      <c r="AE386" s="22" t="n"/>
      <c r="AF386" s="22" t="n"/>
      <c r="AG386" s="22" t="n"/>
      <c r="AH386" s="22" t="n"/>
      <c r="AI386" s="22" t="n"/>
      <c r="AJ386" s="22" t="n"/>
      <c r="AK386" s="22" t="n"/>
      <c r="AL386" s="22" t="n"/>
      <c r="AM386" s="22" t="n"/>
      <c r="AN386" s="22" t="n"/>
      <c r="AO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  <c r="Y387" s="22" t="n"/>
      <c r="Z387" s="22" t="n"/>
      <c r="AA387" s="22" t="n"/>
      <c r="AB387" s="22" t="n"/>
      <c r="AC387" s="22" t="n"/>
      <c r="AD387" s="22" t="n"/>
      <c r="AE387" s="22" t="n"/>
      <c r="AF387" s="22" t="n"/>
      <c r="AG387" s="22" t="n"/>
      <c r="AH387" s="22" t="n"/>
      <c r="AI387" s="22" t="n"/>
      <c r="AJ387" s="22" t="n"/>
      <c r="AK387" s="22" t="n"/>
      <c r="AL387" s="22" t="n"/>
      <c r="AM387" s="22" t="n"/>
      <c r="AN387" s="22" t="n"/>
      <c r="AO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  <c r="Y388" s="22" t="n"/>
      <c r="Z388" s="22" t="n"/>
      <c r="AA388" s="22" t="n"/>
      <c r="AB388" s="22" t="n"/>
      <c r="AC388" s="22" t="n"/>
      <c r="AD388" s="22" t="n"/>
      <c r="AE388" s="22" t="n"/>
      <c r="AF388" s="22" t="n"/>
      <c r="AG388" s="22" t="n"/>
      <c r="AH388" s="22" t="n"/>
      <c r="AI388" s="22" t="n"/>
      <c r="AJ388" s="22" t="n"/>
      <c r="AK388" s="22" t="n"/>
      <c r="AL388" s="22" t="n"/>
      <c r="AM388" s="22" t="n"/>
      <c r="AN388" s="22" t="n"/>
      <c r="AO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  <c r="Y389" s="22" t="n"/>
      <c r="Z389" s="22" t="n"/>
      <c r="AA389" s="22" t="n"/>
      <c r="AB389" s="22" t="n"/>
      <c r="AC389" s="22" t="n"/>
      <c r="AD389" s="22" t="n"/>
      <c r="AE389" s="22" t="n"/>
      <c r="AF389" s="22" t="n"/>
      <c r="AG389" s="22" t="n"/>
      <c r="AH389" s="22" t="n"/>
      <c r="AI389" s="22" t="n"/>
      <c r="AJ389" s="22" t="n"/>
      <c r="AK389" s="22" t="n"/>
      <c r="AL389" s="22" t="n"/>
      <c r="AM389" s="22" t="n"/>
      <c r="AN389" s="22" t="n"/>
      <c r="AO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  <c r="Y390" s="22" t="n"/>
      <c r="Z390" s="22" t="n"/>
      <c r="AA390" s="22" t="n"/>
      <c r="AB390" s="22" t="n"/>
      <c r="AC390" s="22" t="n"/>
      <c r="AD390" s="22" t="n"/>
      <c r="AE390" s="22" t="n"/>
      <c r="AF390" s="22" t="n"/>
      <c r="AG390" s="22" t="n"/>
      <c r="AH390" s="22" t="n"/>
      <c r="AI390" s="22" t="n"/>
      <c r="AJ390" s="22" t="n"/>
      <c r="AK390" s="22" t="n"/>
      <c r="AL390" s="22" t="n"/>
      <c r="AM390" s="22" t="n"/>
      <c r="AN390" s="22" t="n"/>
      <c r="AO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  <c r="Y391" s="22" t="n"/>
      <c r="Z391" s="22" t="n"/>
      <c r="AA391" s="22" t="n"/>
      <c r="AB391" s="22" t="n"/>
      <c r="AC391" s="22" t="n"/>
      <c r="AD391" s="22" t="n"/>
      <c r="AE391" s="22" t="n"/>
      <c r="AF391" s="22" t="n"/>
      <c r="AG391" s="22" t="n"/>
      <c r="AH391" s="22" t="n"/>
      <c r="AI391" s="22" t="n"/>
      <c r="AJ391" s="22" t="n"/>
      <c r="AK391" s="22" t="n"/>
      <c r="AL391" s="22" t="n"/>
      <c r="AM391" s="22" t="n"/>
      <c r="AN391" s="22" t="n"/>
      <c r="AO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  <c r="Y392" s="22" t="n"/>
      <c r="Z392" s="22" t="n"/>
      <c r="AA392" s="22" t="n"/>
      <c r="AB392" s="22" t="n"/>
      <c r="AC392" s="22" t="n"/>
      <c r="AD392" s="22" t="n"/>
      <c r="AE392" s="22" t="n"/>
      <c r="AF392" s="22" t="n"/>
      <c r="AG392" s="22" t="n"/>
      <c r="AH392" s="22" t="n"/>
      <c r="AI392" s="22" t="n"/>
      <c r="AJ392" s="22" t="n"/>
      <c r="AK392" s="22" t="n"/>
      <c r="AL392" s="22" t="n"/>
      <c r="AM392" s="22" t="n"/>
      <c r="AN392" s="22" t="n"/>
      <c r="AO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  <c r="Y393" s="22" t="n"/>
      <c r="Z393" s="22" t="n"/>
      <c r="AA393" s="22" t="n"/>
      <c r="AB393" s="22" t="n"/>
      <c r="AC393" s="22" t="n"/>
      <c r="AD393" s="22" t="n"/>
      <c r="AE393" s="22" t="n"/>
      <c r="AF393" s="22" t="n"/>
      <c r="AG393" s="22" t="n"/>
      <c r="AH393" s="22" t="n"/>
      <c r="AI393" s="22" t="n"/>
      <c r="AJ393" s="22" t="n"/>
      <c r="AK393" s="22" t="n"/>
      <c r="AL393" s="22" t="n"/>
      <c r="AM393" s="22" t="n"/>
      <c r="AN393" s="22" t="n"/>
      <c r="AO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  <c r="Y394" s="22" t="n"/>
      <c r="Z394" s="22" t="n"/>
      <c r="AA394" s="22" t="n"/>
      <c r="AB394" s="22" t="n"/>
      <c r="AC394" s="22" t="n"/>
      <c r="AD394" s="22" t="n"/>
      <c r="AE394" s="22" t="n"/>
      <c r="AF394" s="22" t="n"/>
      <c r="AG394" s="22" t="n"/>
      <c r="AH394" s="22" t="n"/>
      <c r="AI394" s="22" t="n"/>
      <c r="AJ394" s="22" t="n"/>
      <c r="AK394" s="22" t="n"/>
      <c r="AL394" s="22" t="n"/>
      <c r="AM394" s="22" t="n"/>
      <c r="AN394" s="22" t="n"/>
      <c r="AO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  <c r="Y395" s="22" t="n"/>
      <c r="Z395" s="22" t="n"/>
      <c r="AA395" s="22" t="n"/>
      <c r="AB395" s="22" t="n"/>
      <c r="AC395" s="22" t="n"/>
      <c r="AD395" s="22" t="n"/>
      <c r="AE395" s="22" t="n"/>
      <c r="AF395" s="22" t="n"/>
      <c r="AG395" s="22" t="n"/>
      <c r="AH395" s="22" t="n"/>
      <c r="AI395" s="22" t="n"/>
      <c r="AJ395" s="22" t="n"/>
      <c r="AK395" s="22" t="n"/>
      <c r="AL395" s="22" t="n"/>
      <c r="AM395" s="22" t="n"/>
      <c r="AN395" s="22" t="n"/>
      <c r="AO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  <c r="Y396" s="22" t="n"/>
      <c r="Z396" s="22" t="n"/>
      <c r="AA396" s="22" t="n"/>
      <c r="AB396" s="22" t="n"/>
      <c r="AC396" s="22" t="n"/>
      <c r="AD396" s="22" t="n"/>
      <c r="AE396" s="22" t="n"/>
      <c r="AF396" s="22" t="n"/>
      <c r="AG396" s="22" t="n"/>
      <c r="AH396" s="22" t="n"/>
      <c r="AI396" s="22" t="n"/>
      <c r="AJ396" s="22" t="n"/>
      <c r="AK396" s="22" t="n"/>
      <c r="AL396" s="22" t="n"/>
      <c r="AM396" s="22" t="n"/>
      <c r="AN396" s="22" t="n"/>
      <c r="AO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  <c r="Y397" s="22" t="n"/>
      <c r="Z397" s="22" t="n"/>
      <c r="AA397" s="22" t="n"/>
      <c r="AB397" s="22" t="n"/>
      <c r="AC397" s="22" t="n"/>
      <c r="AD397" s="22" t="n"/>
      <c r="AE397" s="22" t="n"/>
      <c r="AF397" s="22" t="n"/>
      <c r="AG397" s="22" t="n"/>
      <c r="AH397" s="22" t="n"/>
      <c r="AI397" s="22" t="n"/>
      <c r="AJ397" s="22" t="n"/>
      <c r="AK397" s="22" t="n"/>
      <c r="AL397" s="22" t="n"/>
      <c r="AM397" s="22" t="n"/>
      <c r="AN397" s="22" t="n"/>
      <c r="AO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  <c r="Y398" s="22" t="n"/>
      <c r="Z398" s="22" t="n"/>
      <c r="AA398" s="22" t="n"/>
      <c r="AB398" s="22" t="n"/>
      <c r="AC398" s="22" t="n"/>
      <c r="AD398" s="22" t="n"/>
      <c r="AE398" s="22" t="n"/>
      <c r="AF398" s="22" t="n"/>
      <c r="AG398" s="22" t="n"/>
      <c r="AH398" s="22" t="n"/>
      <c r="AI398" s="22" t="n"/>
      <c r="AJ398" s="22" t="n"/>
      <c r="AK398" s="22" t="n"/>
      <c r="AL398" s="22" t="n"/>
      <c r="AM398" s="22" t="n"/>
      <c r="AN398" s="22" t="n"/>
      <c r="AO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  <c r="Y399" s="22" t="n"/>
      <c r="Z399" s="22" t="n"/>
      <c r="AA399" s="22" t="n"/>
      <c r="AB399" s="22" t="n"/>
      <c r="AC399" s="22" t="n"/>
      <c r="AD399" s="22" t="n"/>
      <c r="AE399" s="22" t="n"/>
      <c r="AF399" s="22" t="n"/>
      <c r="AG399" s="22" t="n"/>
      <c r="AH399" s="22" t="n"/>
      <c r="AI399" s="22" t="n"/>
      <c r="AJ399" s="22" t="n"/>
      <c r="AK399" s="22" t="n"/>
      <c r="AL399" s="22" t="n"/>
      <c r="AM399" s="22" t="n"/>
      <c r="AN399" s="22" t="n"/>
      <c r="AO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  <c r="Y400" s="22" t="n"/>
      <c r="Z400" s="22" t="n"/>
      <c r="AA400" s="22" t="n"/>
      <c r="AB400" s="22" t="n"/>
      <c r="AC400" s="22" t="n"/>
      <c r="AD400" s="22" t="n"/>
      <c r="AE400" s="22" t="n"/>
      <c r="AF400" s="22" t="n"/>
      <c r="AG400" s="22" t="n"/>
      <c r="AH400" s="22" t="n"/>
      <c r="AI400" s="22" t="n"/>
      <c r="AJ400" s="22" t="n"/>
      <c r="AK400" s="22" t="n"/>
      <c r="AL400" s="22" t="n"/>
      <c r="AM400" s="22" t="n"/>
      <c r="AN400" s="22" t="n"/>
      <c r="AO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  <c r="Y401" s="22" t="n"/>
      <c r="Z401" s="22" t="n"/>
      <c r="AA401" s="22" t="n"/>
      <c r="AB401" s="22" t="n"/>
      <c r="AC401" s="22" t="n"/>
      <c r="AD401" s="22" t="n"/>
      <c r="AE401" s="22" t="n"/>
      <c r="AF401" s="22" t="n"/>
      <c r="AG401" s="22" t="n"/>
      <c r="AH401" s="22" t="n"/>
      <c r="AI401" s="22" t="n"/>
      <c r="AJ401" s="22" t="n"/>
      <c r="AK401" s="22" t="n"/>
      <c r="AL401" s="22" t="n"/>
      <c r="AM401" s="22" t="n"/>
      <c r="AN401" s="22" t="n"/>
      <c r="AO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  <c r="Y402" s="22" t="n"/>
      <c r="Z402" s="22" t="n"/>
      <c r="AA402" s="22" t="n"/>
      <c r="AB402" s="22" t="n"/>
      <c r="AC402" s="22" t="n"/>
      <c r="AD402" s="22" t="n"/>
      <c r="AE402" s="22" t="n"/>
      <c r="AF402" s="22" t="n"/>
      <c r="AG402" s="22" t="n"/>
      <c r="AH402" s="22" t="n"/>
      <c r="AI402" s="22" t="n"/>
      <c r="AJ402" s="22" t="n"/>
      <c r="AK402" s="22" t="n"/>
      <c r="AL402" s="22" t="n"/>
      <c r="AM402" s="22" t="n"/>
      <c r="AN402" s="22" t="n"/>
      <c r="AO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  <c r="Y403" s="22" t="n"/>
      <c r="Z403" s="22" t="n"/>
      <c r="AA403" s="22" t="n"/>
      <c r="AB403" s="22" t="n"/>
      <c r="AC403" s="22" t="n"/>
      <c r="AD403" s="22" t="n"/>
      <c r="AE403" s="22" t="n"/>
      <c r="AF403" s="22" t="n"/>
      <c r="AG403" s="22" t="n"/>
      <c r="AH403" s="22" t="n"/>
      <c r="AI403" s="22" t="n"/>
      <c r="AJ403" s="22" t="n"/>
      <c r="AK403" s="22" t="n"/>
      <c r="AL403" s="22" t="n"/>
      <c r="AM403" s="22" t="n"/>
      <c r="AN403" s="22" t="n"/>
      <c r="AO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  <c r="Y404" s="22" t="n"/>
      <c r="Z404" s="22" t="n"/>
      <c r="AA404" s="22" t="n"/>
      <c r="AB404" s="22" t="n"/>
      <c r="AC404" s="22" t="n"/>
      <c r="AD404" s="22" t="n"/>
      <c r="AE404" s="22" t="n"/>
      <c r="AF404" s="22" t="n"/>
      <c r="AG404" s="22" t="n"/>
      <c r="AH404" s="22" t="n"/>
      <c r="AI404" s="22" t="n"/>
      <c r="AJ404" s="22" t="n"/>
      <c r="AK404" s="22" t="n"/>
      <c r="AL404" s="22" t="n"/>
      <c r="AM404" s="22" t="n"/>
      <c r="AN404" s="22" t="n"/>
      <c r="AO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  <c r="Y405" s="22" t="n"/>
      <c r="Z405" s="22" t="n"/>
      <c r="AA405" s="22" t="n"/>
      <c r="AB405" s="22" t="n"/>
      <c r="AC405" s="22" t="n"/>
      <c r="AD405" s="22" t="n"/>
      <c r="AE405" s="22" t="n"/>
      <c r="AF405" s="22" t="n"/>
      <c r="AG405" s="22" t="n"/>
      <c r="AH405" s="22" t="n"/>
      <c r="AI405" s="22" t="n"/>
      <c r="AJ405" s="22" t="n"/>
      <c r="AK405" s="22" t="n"/>
      <c r="AL405" s="22" t="n"/>
      <c r="AM405" s="22" t="n"/>
      <c r="AN405" s="22" t="n"/>
      <c r="AO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  <c r="Y406" s="22" t="n"/>
      <c r="Z406" s="22" t="n"/>
      <c r="AA406" s="22" t="n"/>
      <c r="AB406" s="22" t="n"/>
      <c r="AC406" s="22" t="n"/>
      <c r="AD406" s="22" t="n"/>
      <c r="AE406" s="22" t="n"/>
      <c r="AF406" s="22" t="n"/>
      <c r="AG406" s="22" t="n"/>
      <c r="AH406" s="22" t="n"/>
      <c r="AI406" s="22" t="n"/>
      <c r="AJ406" s="22" t="n"/>
      <c r="AK406" s="22" t="n"/>
      <c r="AL406" s="22" t="n"/>
      <c r="AM406" s="22" t="n"/>
      <c r="AN406" s="22" t="n"/>
      <c r="AO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  <c r="Y407" s="22" t="n"/>
      <c r="Z407" s="22" t="n"/>
      <c r="AA407" s="22" t="n"/>
      <c r="AB407" s="22" t="n"/>
      <c r="AC407" s="22" t="n"/>
      <c r="AD407" s="22" t="n"/>
      <c r="AE407" s="22" t="n"/>
      <c r="AF407" s="22" t="n"/>
      <c r="AG407" s="22" t="n"/>
      <c r="AH407" s="22" t="n"/>
      <c r="AI407" s="22" t="n"/>
      <c r="AJ407" s="22" t="n"/>
      <c r="AK407" s="22" t="n"/>
      <c r="AL407" s="22" t="n"/>
      <c r="AM407" s="22" t="n"/>
      <c r="AN407" s="22" t="n"/>
      <c r="AO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  <c r="Y408" s="22" t="n"/>
      <c r="Z408" s="22" t="n"/>
      <c r="AA408" s="22" t="n"/>
      <c r="AB408" s="22" t="n"/>
      <c r="AC408" s="22" t="n"/>
      <c r="AD408" s="22" t="n"/>
      <c r="AE408" s="22" t="n"/>
      <c r="AF408" s="22" t="n"/>
      <c r="AG408" s="22" t="n"/>
      <c r="AH408" s="22" t="n"/>
      <c r="AI408" s="22" t="n"/>
      <c r="AJ408" s="22" t="n"/>
      <c r="AK408" s="22" t="n"/>
      <c r="AL408" s="22" t="n"/>
      <c r="AM408" s="22" t="n"/>
      <c r="AN408" s="22" t="n"/>
      <c r="AO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  <c r="Y409" s="22" t="n"/>
      <c r="Z409" s="22" t="n"/>
      <c r="AA409" s="22" t="n"/>
      <c r="AB409" s="22" t="n"/>
      <c r="AC409" s="22" t="n"/>
      <c r="AD409" s="22" t="n"/>
      <c r="AE409" s="22" t="n"/>
      <c r="AF409" s="22" t="n"/>
      <c r="AG409" s="22" t="n"/>
      <c r="AH409" s="22" t="n"/>
      <c r="AI409" s="22" t="n"/>
      <c r="AJ409" s="22" t="n"/>
      <c r="AK409" s="22" t="n"/>
      <c r="AL409" s="22" t="n"/>
      <c r="AM409" s="22" t="n"/>
      <c r="AN409" s="22" t="n"/>
      <c r="AO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  <c r="Y410" s="22" t="n"/>
      <c r="Z410" s="22" t="n"/>
      <c r="AA410" s="22" t="n"/>
      <c r="AB410" s="22" t="n"/>
      <c r="AC410" s="22" t="n"/>
      <c r="AD410" s="22" t="n"/>
      <c r="AE410" s="22" t="n"/>
      <c r="AF410" s="22" t="n"/>
      <c r="AG410" s="22" t="n"/>
      <c r="AH410" s="22" t="n"/>
      <c r="AI410" s="22" t="n"/>
      <c r="AJ410" s="22" t="n"/>
      <c r="AK410" s="22" t="n"/>
      <c r="AL410" s="22" t="n"/>
      <c r="AM410" s="22" t="n"/>
      <c r="AN410" s="22" t="n"/>
      <c r="AO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  <c r="Y411" s="22" t="n"/>
      <c r="Z411" s="22" t="n"/>
      <c r="AA411" s="22" t="n"/>
      <c r="AB411" s="22" t="n"/>
      <c r="AC411" s="22" t="n"/>
      <c r="AD411" s="22" t="n"/>
      <c r="AE411" s="22" t="n"/>
      <c r="AF411" s="22" t="n"/>
      <c r="AG411" s="22" t="n"/>
      <c r="AH411" s="22" t="n"/>
      <c r="AI411" s="22" t="n"/>
      <c r="AJ411" s="22" t="n"/>
      <c r="AK411" s="22" t="n"/>
      <c r="AL411" s="22" t="n"/>
      <c r="AM411" s="22" t="n"/>
      <c r="AN411" s="22" t="n"/>
      <c r="AO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  <c r="Y412" s="22" t="n"/>
      <c r="Z412" s="22" t="n"/>
      <c r="AA412" s="22" t="n"/>
      <c r="AB412" s="22" t="n"/>
      <c r="AC412" s="22" t="n"/>
      <c r="AD412" s="22" t="n"/>
      <c r="AE412" s="22" t="n"/>
      <c r="AF412" s="22" t="n"/>
      <c r="AG412" s="22" t="n"/>
      <c r="AH412" s="22" t="n"/>
      <c r="AI412" s="22" t="n"/>
      <c r="AJ412" s="22" t="n"/>
      <c r="AK412" s="22" t="n"/>
      <c r="AL412" s="22" t="n"/>
      <c r="AM412" s="22" t="n"/>
      <c r="AN412" s="22" t="n"/>
      <c r="AO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  <c r="Y413" s="22" t="n"/>
      <c r="Z413" s="22" t="n"/>
      <c r="AA413" s="22" t="n"/>
      <c r="AB413" s="22" t="n"/>
      <c r="AC413" s="22" t="n"/>
      <c r="AD413" s="22" t="n"/>
      <c r="AE413" s="22" t="n"/>
      <c r="AF413" s="22" t="n"/>
      <c r="AG413" s="22" t="n"/>
      <c r="AH413" s="22" t="n"/>
      <c r="AI413" s="22" t="n"/>
      <c r="AJ413" s="22" t="n"/>
      <c r="AK413" s="22" t="n"/>
      <c r="AL413" s="22" t="n"/>
      <c r="AM413" s="22" t="n"/>
      <c r="AN413" s="22" t="n"/>
      <c r="AO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  <c r="Y414" s="22" t="n"/>
      <c r="Z414" s="22" t="n"/>
      <c r="AA414" s="22" t="n"/>
      <c r="AB414" s="22" t="n"/>
      <c r="AC414" s="22" t="n"/>
      <c r="AD414" s="22" t="n"/>
      <c r="AE414" s="22" t="n"/>
      <c r="AF414" s="22" t="n"/>
      <c r="AG414" s="22" t="n"/>
      <c r="AH414" s="22" t="n"/>
      <c r="AI414" s="22" t="n"/>
      <c r="AJ414" s="22" t="n"/>
      <c r="AK414" s="22" t="n"/>
      <c r="AL414" s="22" t="n"/>
      <c r="AM414" s="22" t="n"/>
      <c r="AN414" s="22" t="n"/>
      <c r="AO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  <c r="Y415" s="22" t="n"/>
      <c r="Z415" s="22" t="n"/>
      <c r="AA415" s="22" t="n"/>
      <c r="AB415" s="22" t="n"/>
      <c r="AC415" s="22" t="n"/>
      <c r="AD415" s="22" t="n"/>
      <c r="AE415" s="22" t="n"/>
      <c r="AF415" s="22" t="n"/>
      <c r="AG415" s="22" t="n"/>
      <c r="AH415" s="22" t="n"/>
      <c r="AI415" s="22" t="n"/>
      <c r="AJ415" s="22" t="n"/>
      <c r="AK415" s="22" t="n"/>
      <c r="AL415" s="22" t="n"/>
      <c r="AM415" s="22" t="n"/>
      <c r="AN415" s="22" t="n"/>
      <c r="AO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  <c r="Y416" s="22" t="n"/>
      <c r="Z416" s="22" t="n"/>
      <c r="AA416" s="22" t="n"/>
      <c r="AB416" s="22" t="n"/>
      <c r="AC416" s="22" t="n"/>
      <c r="AD416" s="22" t="n"/>
      <c r="AE416" s="22" t="n"/>
      <c r="AF416" s="22" t="n"/>
      <c r="AG416" s="22" t="n"/>
      <c r="AH416" s="22" t="n"/>
      <c r="AI416" s="22" t="n"/>
      <c r="AJ416" s="22" t="n"/>
      <c r="AK416" s="22" t="n"/>
      <c r="AL416" s="22" t="n"/>
      <c r="AM416" s="22" t="n"/>
      <c r="AN416" s="22" t="n"/>
      <c r="AO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  <c r="Y417" s="22" t="n"/>
      <c r="Z417" s="22" t="n"/>
      <c r="AA417" s="22" t="n"/>
      <c r="AB417" s="22" t="n"/>
      <c r="AC417" s="22" t="n"/>
      <c r="AD417" s="22" t="n"/>
      <c r="AE417" s="22" t="n"/>
      <c r="AF417" s="22" t="n"/>
      <c r="AG417" s="22" t="n"/>
      <c r="AH417" s="22" t="n"/>
      <c r="AI417" s="22" t="n"/>
      <c r="AJ417" s="22" t="n"/>
      <c r="AK417" s="22" t="n"/>
      <c r="AL417" s="22" t="n"/>
      <c r="AM417" s="22" t="n"/>
      <c r="AN417" s="22" t="n"/>
      <c r="AO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  <c r="Y418" s="22" t="n"/>
      <c r="Z418" s="22" t="n"/>
      <c r="AA418" s="22" t="n"/>
      <c r="AB418" s="22" t="n"/>
      <c r="AC418" s="22" t="n"/>
      <c r="AD418" s="22" t="n"/>
      <c r="AE418" s="22" t="n"/>
      <c r="AF418" s="22" t="n"/>
      <c r="AG418" s="22" t="n"/>
      <c r="AH418" s="22" t="n"/>
      <c r="AI418" s="22" t="n"/>
      <c r="AJ418" s="22" t="n"/>
      <c r="AK418" s="22" t="n"/>
      <c r="AL418" s="22" t="n"/>
      <c r="AM418" s="22" t="n"/>
      <c r="AN418" s="22" t="n"/>
      <c r="AO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  <c r="Y419" s="22" t="n"/>
      <c r="Z419" s="22" t="n"/>
      <c r="AA419" s="22" t="n"/>
      <c r="AB419" s="22" t="n"/>
      <c r="AC419" s="22" t="n"/>
      <c r="AD419" s="22" t="n"/>
      <c r="AE419" s="22" t="n"/>
      <c r="AF419" s="22" t="n"/>
      <c r="AG419" s="22" t="n"/>
      <c r="AH419" s="22" t="n"/>
      <c r="AI419" s="22" t="n"/>
      <c r="AJ419" s="22" t="n"/>
      <c r="AK419" s="22" t="n"/>
      <c r="AL419" s="22" t="n"/>
      <c r="AM419" s="22" t="n"/>
      <c r="AN419" s="22" t="n"/>
      <c r="AO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  <c r="Y420" s="22" t="n"/>
      <c r="Z420" s="22" t="n"/>
      <c r="AA420" s="22" t="n"/>
      <c r="AB420" s="22" t="n"/>
      <c r="AC420" s="22" t="n"/>
      <c r="AD420" s="22" t="n"/>
      <c r="AE420" s="22" t="n"/>
      <c r="AF420" s="22" t="n"/>
      <c r="AG420" s="22" t="n"/>
      <c r="AH420" s="22" t="n"/>
      <c r="AI420" s="22" t="n"/>
      <c r="AJ420" s="22" t="n"/>
      <c r="AK420" s="22" t="n"/>
      <c r="AL420" s="22" t="n"/>
      <c r="AM420" s="22" t="n"/>
      <c r="AN420" s="22" t="n"/>
      <c r="AO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  <c r="Y421" s="22" t="n"/>
      <c r="Z421" s="22" t="n"/>
      <c r="AA421" s="22" t="n"/>
      <c r="AB421" s="22" t="n"/>
      <c r="AC421" s="22" t="n"/>
      <c r="AD421" s="22" t="n"/>
      <c r="AE421" s="22" t="n"/>
      <c r="AF421" s="22" t="n"/>
      <c r="AG421" s="22" t="n"/>
      <c r="AH421" s="22" t="n"/>
      <c r="AI421" s="22" t="n"/>
      <c r="AJ421" s="22" t="n"/>
      <c r="AK421" s="22" t="n"/>
      <c r="AL421" s="22" t="n"/>
      <c r="AM421" s="22" t="n"/>
      <c r="AN421" s="22" t="n"/>
      <c r="AO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  <c r="Y422" s="22" t="n"/>
      <c r="Z422" s="22" t="n"/>
      <c r="AA422" s="22" t="n"/>
      <c r="AB422" s="22" t="n"/>
      <c r="AC422" s="22" t="n"/>
      <c r="AD422" s="22" t="n"/>
      <c r="AE422" s="22" t="n"/>
      <c r="AF422" s="22" t="n"/>
      <c r="AG422" s="22" t="n"/>
      <c r="AH422" s="22" t="n"/>
      <c r="AI422" s="22" t="n"/>
      <c r="AJ422" s="22" t="n"/>
      <c r="AK422" s="22" t="n"/>
      <c r="AL422" s="22" t="n"/>
      <c r="AM422" s="22" t="n"/>
      <c r="AN422" s="22" t="n"/>
      <c r="AO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  <c r="Y423" s="22" t="n"/>
      <c r="Z423" s="22" t="n"/>
      <c r="AA423" s="22" t="n"/>
      <c r="AB423" s="22" t="n"/>
      <c r="AC423" s="22" t="n"/>
      <c r="AD423" s="22" t="n"/>
      <c r="AE423" s="22" t="n"/>
      <c r="AF423" s="22" t="n"/>
      <c r="AG423" s="22" t="n"/>
      <c r="AH423" s="22" t="n"/>
      <c r="AI423" s="22" t="n"/>
      <c r="AJ423" s="22" t="n"/>
      <c r="AK423" s="22" t="n"/>
      <c r="AL423" s="22" t="n"/>
      <c r="AM423" s="22" t="n"/>
      <c r="AN423" s="22" t="n"/>
      <c r="AO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  <c r="Y424" s="22" t="n"/>
      <c r="Z424" s="22" t="n"/>
      <c r="AA424" s="22" t="n"/>
      <c r="AB424" s="22" t="n"/>
      <c r="AC424" s="22" t="n"/>
      <c r="AD424" s="22" t="n"/>
      <c r="AE424" s="22" t="n"/>
      <c r="AF424" s="22" t="n"/>
      <c r="AG424" s="22" t="n"/>
      <c r="AH424" s="22" t="n"/>
      <c r="AI424" s="22" t="n"/>
      <c r="AJ424" s="22" t="n"/>
      <c r="AK424" s="22" t="n"/>
      <c r="AL424" s="22" t="n"/>
      <c r="AM424" s="22" t="n"/>
      <c r="AN424" s="22" t="n"/>
      <c r="AO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  <c r="Y425" s="22" t="n"/>
      <c r="Z425" s="22" t="n"/>
      <c r="AA425" s="22" t="n"/>
      <c r="AB425" s="22" t="n"/>
      <c r="AC425" s="22" t="n"/>
      <c r="AD425" s="22" t="n"/>
      <c r="AE425" s="22" t="n"/>
      <c r="AF425" s="22" t="n"/>
      <c r="AG425" s="22" t="n"/>
      <c r="AH425" s="22" t="n"/>
      <c r="AI425" s="22" t="n"/>
      <c r="AJ425" s="22" t="n"/>
      <c r="AK425" s="22" t="n"/>
      <c r="AL425" s="22" t="n"/>
      <c r="AM425" s="22" t="n"/>
      <c r="AN425" s="22" t="n"/>
      <c r="AO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  <c r="Y426" s="22" t="n"/>
      <c r="Z426" s="22" t="n"/>
      <c r="AA426" s="22" t="n"/>
      <c r="AB426" s="22" t="n"/>
      <c r="AC426" s="22" t="n"/>
      <c r="AD426" s="22" t="n"/>
      <c r="AE426" s="22" t="n"/>
      <c r="AF426" s="22" t="n"/>
      <c r="AG426" s="22" t="n"/>
      <c r="AH426" s="22" t="n"/>
      <c r="AI426" s="22" t="n"/>
      <c r="AJ426" s="22" t="n"/>
      <c r="AK426" s="22" t="n"/>
      <c r="AL426" s="22" t="n"/>
      <c r="AM426" s="22" t="n"/>
      <c r="AN426" s="22" t="n"/>
      <c r="AO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  <c r="Y427" s="22" t="n"/>
      <c r="Z427" s="22" t="n"/>
      <c r="AA427" s="22" t="n"/>
      <c r="AB427" s="22" t="n"/>
      <c r="AC427" s="22" t="n"/>
      <c r="AD427" s="22" t="n"/>
      <c r="AE427" s="22" t="n"/>
      <c r="AF427" s="22" t="n"/>
      <c r="AG427" s="22" t="n"/>
      <c r="AH427" s="22" t="n"/>
      <c r="AI427" s="22" t="n"/>
      <c r="AJ427" s="22" t="n"/>
      <c r="AK427" s="22" t="n"/>
      <c r="AL427" s="22" t="n"/>
      <c r="AM427" s="22" t="n"/>
      <c r="AN427" s="22" t="n"/>
      <c r="AO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  <c r="Y428" s="22" t="n"/>
      <c r="Z428" s="22" t="n"/>
      <c r="AA428" s="22" t="n"/>
      <c r="AB428" s="22" t="n"/>
      <c r="AC428" s="22" t="n"/>
      <c r="AD428" s="22" t="n"/>
      <c r="AE428" s="22" t="n"/>
      <c r="AF428" s="22" t="n"/>
      <c r="AG428" s="22" t="n"/>
      <c r="AH428" s="22" t="n"/>
      <c r="AI428" s="22" t="n"/>
      <c r="AJ428" s="22" t="n"/>
      <c r="AK428" s="22" t="n"/>
      <c r="AL428" s="22" t="n"/>
      <c r="AM428" s="22" t="n"/>
      <c r="AN428" s="22" t="n"/>
      <c r="AO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  <c r="Y429" s="22" t="n"/>
      <c r="Z429" s="22" t="n"/>
      <c r="AA429" s="22" t="n"/>
      <c r="AB429" s="22" t="n"/>
      <c r="AC429" s="22" t="n"/>
      <c r="AD429" s="22" t="n"/>
      <c r="AE429" s="22" t="n"/>
      <c r="AF429" s="22" t="n"/>
      <c r="AG429" s="22" t="n"/>
      <c r="AH429" s="22" t="n"/>
      <c r="AI429" s="22" t="n"/>
      <c r="AJ429" s="22" t="n"/>
      <c r="AK429" s="22" t="n"/>
      <c r="AL429" s="22" t="n"/>
      <c r="AM429" s="22" t="n"/>
      <c r="AN429" s="22" t="n"/>
      <c r="AO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  <c r="Y430" s="22" t="n"/>
      <c r="Z430" s="22" t="n"/>
      <c r="AA430" s="22" t="n"/>
      <c r="AB430" s="22" t="n"/>
      <c r="AC430" s="22" t="n"/>
      <c r="AD430" s="22" t="n"/>
      <c r="AE430" s="22" t="n"/>
      <c r="AF430" s="22" t="n"/>
      <c r="AG430" s="22" t="n"/>
      <c r="AH430" s="22" t="n"/>
      <c r="AI430" s="22" t="n"/>
      <c r="AJ430" s="22" t="n"/>
      <c r="AK430" s="22" t="n"/>
      <c r="AL430" s="22" t="n"/>
      <c r="AM430" s="22" t="n"/>
      <c r="AN430" s="22" t="n"/>
      <c r="AO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  <c r="Y431" s="22" t="n"/>
      <c r="Z431" s="22" t="n"/>
      <c r="AA431" s="22" t="n"/>
      <c r="AB431" s="22" t="n"/>
      <c r="AC431" s="22" t="n"/>
      <c r="AD431" s="22" t="n"/>
      <c r="AE431" s="22" t="n"/>
      <c r="AF431" s="22" t="n"/>
      <c r="AG431" s="22" t="n"/>
      <c r="AH431" s="22" t="n"/>
      <c r="AI431" s="22" t="n"/>
      <c r="AJ431" s="22" t="n"/>
      <c r="AK431" s="22" t="n"/>
      <c r="AL431" s="22" t="n"/>
      <c r="AM431" s="22" t="n"/>
      <c r="AN431" s="22" t="n"/>
      <c r="AO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  <c r="Y432" s="22" t="n"/>
      <c r="Z432" s="22" t="n"/>
      <c r="AA432" s="22" t="n"/>
      <c r="AB432" s="22" t="n"/>
      <c r="AC432" s="22" t="n"/>
      <c r="AD432" s="22" t="n"/>
      <c r="AE432" s="22" t="n"/>
      <c r="AF432" s="22" t="n"/>
      <c r="AG432" s="22" t="n"/>
      <c r="AH432" s="22" t="n"/>
      <c r="AI432" s="22" t="n"/>
      <c r="AJ432" s="22" t="n"/>
      <c r="AK432" s="22" t="n"/>
      <c r="AL432" s="22" t="n"/>
      <c r="AM432" s="22" t="n"/>
      <c r="AN432" s="22" t="n"/>
      <c r="AO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  <c r="Y433" s="22" t="n"/>
      <c r="Z433" s="22" t="n"/>
      <c r="AA433" s="22" t="n"/>
      <c r="AB433" s="22" t="n"/>
      <c r="AC433" s="22" t="n"/>
      <c r="AD433" s="22" t="n"/>
      <c r="AE433" s="22" t="n"/>
      <c r="AF433" s="22" t="n"/>
      <c r="AG433" s="22" t="n"/>
      <c r="AH433" s="22" t="n"/>
      <c r="AI433" s="22" t="n"/>
      <c r="AJ433" s="22" t="n"/>
      <c r="AK433" s="22" t="n"/>
      <c r="AL433" s="22" t="n"/>
      <c r="AM433" s="22" t="n"/>
      <c r="AN433" s="22" t="n"/>
      <c r="AO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  <c r="Y434" s="22" t="n"/>
      <c r="Z434" s="22" t="n"/>
      <c r="AA434" s="22" t="n"/>
      <c r="AB434" s="22" t="n"/>
      <c r="AC434" s="22" t="n"/>
      <c r="AD434" s="22" t="n"/>
      <c r="AE434" s="22" t="n"/>
      <c r="AF434" s="22" t="n"/>
      <c r="AG434" s="22" t="n"/>
      <c r="AH434" s="22" t="n"/>
      <c r="AI434" s="22" t="n"/>
      <c r="AJ434" s="22" t="n"/>
      <c r="AK434" s="22" t="n"/>
      <c r="AL434" s="22" t="n"/>
      <c r="AM434" s="22" t="n"/>
      <c r="AN434" s="22" t="n"/>
      <c r="AO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  <c r="Y435" s="22" t="n"/>
      <c r="Z435" s="22" t="n"/>
      <c r="AA435" s="22" t="n"/>
      <c r="AB435" s="22" t="n"/>
      <c r="AC435" s="22" t="n"/>
      <c r="AD435" s="22" t="n"/>
      <c r="AE435" s="22" t="n"/>
      <c r="AF435" s="22" t="n"/>
      <c r="AG435" s="22" t="n"/>
      <c r="AH435" s="22" t="n"/>
      <c r="AI435" s="22" t="n"/>
      <c r="AJ435" s="22" t="n"/>
      <c r="AK435" s="22" t="n"/>
      <c r="AL435" s="22" t="n"/>
      <c r="AM435" s="22" t="n"/>
      <c r="AN435" s="22" t="n"/>
      <c r="AO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  <c r="Y436" s="22" t="n"/>
      <c r="Z436" s="22" t="n"/>
      <c r="AA436" s="22" t="n"/>
      <c r="AB436" s="22" t="n"/>
      <c r="AC436" s="22" t="n"/>
      <c r="AD436" s="22" t="n"/>
      <c r="AE436" s="22" t="n"/>
      <c r="AF436" s="22" t="n"/>
      <c r="AG436" s="22" t="n"/>
      <c r="AH436" s="22" t="n"/>
      <c r="AI436" s="22" t="n"/>
      <c r="AJ436" s="22" t="n"/>
      <c r="AK436" s="22" t="n"/>
      <c r="AL436" s="22" t="n"/>
      <c r="AM436" s="22" t="n"/>
      <c r="AN436" s="22" t="n"/>
      <c r="AO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  <c r="Y437" s="22" t="n"/>
      <c r="Z437" s="22" t="n"/>
      <c r="AA437" s="22" t="n"/>
      <c r="AB437" s="22" t="n"/>
      <c r="AC437" s="22" t="n"/>
      <c r="AD437" s="22" t="n"/>
      <c r="AE437" s="22" t="n"/>
      <c r="AF437" s="22" t="n"/>
      <c r="AG437" s="22" t="n"/>
      <c r="AH437" s="22" t="n"/>
      <c r="AI437" s="22" t="n"/>
      <c r="AJ437" s="22" t="n"/>
      <c r="AK437" s="22" t="n"/>
      <c r="AL437" s="22" t="n"/>
      <c r="AM437" s="22" t="n"/>
      <c r="AN437" s="22" t="n"/>
      <c r="AO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  <c r="Y438" s="22" t="n"/>
      <c r="Z438" s="22" t="n"/>
      <c r="AA438" s="22" t="n"/>
      <c r="AB438" s="22" t="n"/>
      <c r="AC438" s="22" t="n"/>
      <c r="AD438" s="22" t="n"/>
      <c r="AE438" s="22" t="n"/>
      <c r="AF438" s="22" t="n"/>
      <c r="AG438" s="22" t="n"/>
      <c r="AH438" s="22" t="n"/>
      <c r="AI438" s="22" t="n"/>
      <c r="AJ438" s="22" t="n"/>
      <c r="AK438" s="22" t="n"/>
      <c r="AL438" s="22" t="n"/>
      <c r="AM438" s="22" t="n"/>
      <c r="AN438" s="22" t="n"/>
      <c r="AO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  <c r="Y439" s="22" t="n"/>
      <c r="Z439" s="22" t="n"/>
      <c r="AA439" s="22" t="n"/>
      <c r="AB439" s="22" t="n"/>
      <c r="AC439" s="22" t="n"/>
      <c r="AD439" s="22" t="n"/>
      <c r="AE439" s="22" t="n"/>
      <c r="AF439" s="22" t="n"/>
      <c r="AG439" s="22" t="n"/>
      <c r="AH439" s="22" t="n"/>
      <c r="AI439" s="22" t="n"/>
      <c r="AJ439" s="22" t="n"/>
      <c r="AK439" s="22" t="n"/>
      <c r="AL439" s="22" t="n"/>
      <c r="AM439" s="22" t="n"/>
      <c r="AN439" s="22" t="n"/>
      <c r="AO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  <c r="Y440" s="22" t="n"/>
      <c r="Z440" s="22" t="n"/>
      <c r="AA440" s="22" t="n"/>
      <c r="AB440" s="22" t="n"/>
      <c r="AC440" s="22" t="n"/>
      <c r="AD440" s="22" t="n"/>
      <c r="AE440" s="22" t="n"/>
      <c r="AF440" s="22" t="n"/>
      <c r="AG440" s="22" t="n"/>
      <c r="AH440" s="22" t="n"/>
      <c r="AI440" s="22" t="n"/>
      <c r="AJ440" s="22" t="n"/>
      <c r="AK440" s="22" t="n"/>
      <c r="AL440" s="22" t="n"/>
      <c r="AM440" s="22" t="n"/>
      <c r="AN440" s="22" t="n"/>
      <c r="AO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  <c r="Y441" s="22" t="n"/>
      <c r="Z441" s="22" t="n"/>
      <c r="AA441" s="22" t="n"/>
      <c r="AB441" s="22" t="n"/>
      <c r="AC441" s="22" t="n"/>
      <c r="AD441" s="22" t="n"/>
      <c r="AE441" s="22" t="n"/>
      <c r="AF441" s="22" t="n"/>
      <c r="AG441" s="22" t="n"/>
      <c r="AH441" s="22" t="n"/>
      <c r="AI441" s="22" t="n"/>
      <c r="AJ441" s="22" t="n"/>
      <c r="AK441" s="22" t="n"/>
      <c r="AL441" s="22" t="n"/>
      <c r="AM441" s="22" t="n"/>
      <c r="AN441" s="22" t="n"/>
      <c r="AO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  <c r="Y442" s="22" t="n"/>
      <c r="Z442" s="22" t="n"/>
      <c r="AA442" s="22" t="n"/>
      <c r="AB442" s="22" t="n"/>
      <c r="AC442" s="22" t="n"/>
      <c r="AD442" s="22" t="n"/>
      <c r="AE442" s="22" t="n"/>
      <c r="AF442" s="22" t="n"/>
      <c r="AG442" s="22" t="n"/>
      <c r="AH442" s="22" t="n"/>
      <c r="AI442" s="22" t="n"/>
      <c r="AJ442" s="22" t="n"/>
      <c r="AK442" s="22" t="n"/>
      <c r="AL442" s="22" t="n"/>
      <c r="AM442" s="22" t="n"/>
      <c r="AN442" s="22" t="n"/>
      <c r="AO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  <c r="Y443" s="22" t="n"/>
      <c r="Z443" s="22" t="n"/>
      <c r="AA443" s="22" t="n"/>
      <c r="AB443" s="22" t="n"/>
      <c r="AC443" s="22" t="n"/>
      <c r="AD443" s="22" t="n"/>
      <c r="AE443" s="22" t="n"/>
      <c r="AF443" s="22" t="n"/>
      <c r="AG443" s="22" t="n"/>
      <c r="AH443" s="22" t="n"/>
      <c r="AI443" s="22" t="n"/>
      <c r="AJ443" s="22" t="n"/>
      <c r="AK443" s="22" t="n"/>
      <c r="AL443" s="22" t="n"/>
      <c r="AM443" s="22" t="n"/>
      <c r="AN443" s="22" t="n"/>
      <c r="AO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  <c r="Y444" s="22" t="n"/>
      <c r="Z444" s="22" t="n"/>
      <c r="AA444" s="22" t="n"/>
      <c r="AB444" s="22" t="n"/>
      <c r="AC444" s="22" t="n"/>
      <c r="AD444" s="22" t="n"/>
      <c r="AE444" s="22" t="n"/>
      <c r="AF444" s="22" t="n"/>
      <c r="AG444" s="22" t="n"/>
      <c r="AH444" s="22" t="n"/>
      <c r="AI444" s="22" t="n"/>
      <c r="AJ444" s="22" t="n"/>
      <c r="AK444" s="22" t="n"/>
      <c r="AL444" s="22" t="n"/>
      <c r="AM444" s="22" t="n"/>
      <c r="AN444" s="22" t="n"/>
      <c r="AO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  <c r="Y445" s="22" t="n"/>
      <c r="Z445" s="22" t="n"/>
      <c r="AA445" s="22" t="n"/>
      <c r="AB445" s="22" t="n"/>
      <c r="AC445" s="22" t="n"/>
      <c r="AD445" s="22" t="n"/>
      <c r="AE445" s="22" t="n"/>
      <c r="AF445" s="22" t="n"/>
      <c r="AG445" s="22" t="n"/>
      <c r="AH445" s="22" t="n"/>
      <c r="AI445" s="22" t="n"/>
      <c r="AJ445" s="22" t="n"/>
      <c r="AK445" s="22" t="n"/>
      <c r="AL445" s="22" t="n"/>
      <c r="AM445" s="22" t="n"/>
      <c r="AN445" s="22" t="n"/>
      <c r="AO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  <c r="Y446" s="22" t="n"/>
      <c r="Z446" s="22" t="n"/>
      <c r="AA446" s="22" t="n"/>
      <c r="AB446" s="22" t="n"/>
      <c r="AC446" s="22" t="n"/>
      <c r="AD446" s="22" t="n"/>
      <c r="AE446" s="22" t="n"/>
      <c r="AF446" s="22" t="n"/>
      <c r="AG446" s="22" t="n"/>
      <c r="AH446" s="22" t="n"/>
      <c r="AI446" s="22" t="n"/>
      <c r="AJ446" s="22" t="n"/>
      <c r="AK446" s="22" t="n"/>
      <c r="AL446" s="22" t="n"/>
      <c r="AM446" s="22" t="n"/>
      <c r="AN446" s="22" t="n"/>
      <c r="AO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  <c r="Y447" s="22" t="n"/>
      <c r="Z447" s="22" t="n"/>
      <c r="AA447" s="22" t="n"/>
      <c r="AB447" s="22" t="n"/>
      <c r="AC447" s="22" t="n"/>
      <c r="AD447" s="22" t="n"/>
      <c r="AE447" s="22" t="n"/>
      <c r="AF447" s="22" t="n"/>
      <c r="AG447" s="22" t="n"/>
      <c r="AH447" s="22" t="n"/>
      <c r="AI447" s="22" t="n"/>
      <c r="AJ447" s="22" t="n"/>
      <c r="AK447" s="22" t="n"/>
      <c r="AL447" s="22" t="n"/>
      <c r="AM447" s="22" t="n"/>
      <c r="AN447" s="22" t="n"/>
      <c r="AO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  <c r="Y448" s="22" t="n"/>
      <c r="Z448" s="22" t="n"/>
      <c r="AA448" s="22" t="n"/>
      <c r="AB448" s="22" t="n"/>
      <c r="AC448" s="22" t="n"/>
      <c r="AD448" s="22" t="n"/>
      <c r="AE448" s="22" t="n"/>
      <c r="AF448" s="22" t="n"/>
      <c r="AG448" s="22" t="n"/>
      <c r="AH448" s="22" t="n"/>
      <c r="AI448" s="22" t="n"/>
      <c r="AJ448" s="22" t="n"/>
      <c r="AK448" s="22" t="n"/>
      <c r="AL448" s="22" t="n"/>
      <c r="AM448" s="22" t="n"/>
      <c r="AN448" s="22" t="n"/>
      <c r="AO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  <c r="Y449" s="22" t="n"/>
      <c r="Z449" s="22" t="n"/>
      <c r="AA449" s="22" t="n"/>
      <c r="AB449" s="22" t="n"/>
      <c r="AC449" s="22" t="n"/>
      <c r="AD449" s="22" t="n"/>
      <c r="AE449" s="22" t="n"/>
      <c r="AF449" s="22" t="n"/>
      <c r="AG449" s="22" t="n"/>
      <c r="AH449" s="22" t="n"/>
      <c r="AI449" s="22" t="n"/>
      <c r="AJ449" s="22" t="n"/>
      <c r="AK449" s="22" t="n"/>
      <c r="AL449" s="22" t="n"/>
      <c r="AM449" s="22" t="n"/>
      <c r="AN449" s="22" t="n"/>
      <c r="AO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  <c r="Y450" s="22" t="n"/>
      <c r="Z450" s="22" t="n"/>
      <c r="AA450" s="22" t="n"/>
      <c r="AB450" s="22" t="n"/>
      <c r="AC450" s="22" t="n"/>
      <c r="AD450" s="22" t="n"/>
      <c r="AE450" s="22" t="n"/>
      <c r="AF450" s="22" t="n"/>
      <c r="AG450" s="22" t="n"/>
      <c r="AH450" s="22" t="n"/>
      <c r="AI450" s="22" t="n"/>
      <c r="AJ450" s="22" t="n"/>
      <c r="AK450" s="22" t="n"/>
      <c r="AL450" s="22" t="n"/>
      <c r="AM450" s="22" t="n"/>
      <c r="AN450" s="22" t="n"/>
      <c r="AO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  <c r="Y451" s="22" t="n"/>
      <c r="Z451" s="22" t="n"/>
      <c r="AA451" s="22" t="n"/>
      <c r="AB451" s="22" t="n"/>
      <c r="AC451" s="22" t="n"/>
      <c r="AD451" s="22" t="n"/>
      <c r="AE451" s="22" t="n"/>
      <c r="AF451" s="22" t="n"/>
      <c r="AG451" s="22" t="n"/>
      <c r="AH451" s="22" t="n"/>
      <c r="AI451" s="22" t="n"/>
      <c r="AJ451" s="22" t="n"/>
      <c r="AK451" s="22" t="n"/>
      <c r="AL451" s="22" t="n"/>
      <c r="AM451" s="22" t="n"/>
      <c r="AN451" s="22" t="n"/>
      <c r="AO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  <c r="Y452" s="22" t="n"/>
      <c r="Z452" s="22" t="n"/>
      <c r="AA452" s="22" t="n"/>
      <c r="AB452" s="22" t="n"/>
      <c r="AC452" s="22" t="n"/>
      <c r="AD452" s="22" t="n"/>
      <c r="AE452" s="22" t="n"/>
      <c r="AF452" s="22" t="n"/>
      <c r="AG452" s="22" t="n"/>
      <c r="AH452" s="22" t="n"/>
      <c r="AI452" s="22" t="n"/>
      <c r="AJ452" s="22" t="n"/>
      <c r="AK452" s="22" t="n"/>
      <c r="AL452" s="22" t="n"/>
      <c r="AM452" s="22" t="n"/>
      <c r="AN452" s="22" t="n"/>
      <c r="AO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  <c r="Y453" s="22" t="n"/>
      <c r="Z453" s="22" t="n"/>
      <c r="AA453" s="22" t="n"/>
      <c r="AB453" s="22" t="n"/>
      <c r="AC453" s="22" t="n"/>
      <c r="AD453" s="22" t="n"/>
      <c r="AE453" s="22" t="n"/>
      <c r="AF453" s="22" t="n"/>
      <c r="AG453" s="22" t="n"/>
      <c r="AH453" s="22" t="n"/>
      <c r="AI453" s="22" t="n"/>
      <c r="AJ453" s="22" t="n"/>
      <c r="AK453" s="22" t="n"/>
      <c r="AL453" s="22" t="n"/>
      <c r="AM453" s="22" t="n"/>
      <c r="AN453" s="22" t="n"/>
      <c r="AO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  <c r="Y454" s="22" t="n"/>
      <c r="Z454" s="22" t="n"/>
      <c r="AA454" s="22" t="n"/>
      <c r="AB454" s="22" t="n"/>
      <c r="AC454" s="22" t="n"/>
      <c r="AD454" s="22" t="n"/>
      <c r="AE454" s="22" t="n"/>
      <c r="AF454" s="22" t="n"/>
      <c r="AG454" s="22" t="n"/>
      <c r="AH454" s="22" t="n"/>
      <c r="AI454" s="22" t="n"/>
      <c r="AJ454" s="22" t="n"/>
      <c r="AK454" s="22" t="n"/>
      <c r="AL454" s="22" t="n"/>
      <c r="AM454" s="22" t="n"/>
      <c r="AN454" s="22" t="n"/>
      <c r="AO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  <c r="Y455" s="22" t="n"/>
      <c r="Z455" s="22" t="n"/>
      <c r="AA455" s="22" t="n"/>
      <c r="AB455" s="22" t="n"/>
      <c r="AC455" s="22" t="n"/>
      <c r="AD455" s="22" t="n"/>
      <c r="AE455" s="22" t="n"/>
      <c r="AF455" s="22" t="n"/>
      <c r="AG455" s="22" t="n"/>
      <c r="AH455" s="22" t="n"/>
      <c r="AI455" s="22" t="n"/>
      <c r="AJ455" s="22" t="n"/>
      <c r="AK455" s="22" t="n"/>
      <c r="AL455" s="22" t="n"/>
      <c r="AM455" s="22" t="n"/>
      <c r="AN455" s="22" t="n"/>
      <c r="AO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  <c r="Y456" s="22" t="n"/>
      <c r="Z456" s="22" t="n"/>
      <c r="AA456" s="22" t="n"/>
      <c r="AB456" s="22" t="n"/>
      <c r="AC456" s="22" t="n"/>
      <c r="AD456" s="22" t="n"/>
      <c r="AE456" s="22" t="n"/>
      <c r="AF456" s="22" t="n"/>
      <c r="AG456" s="22" t="n"/>
      <c r="AH456" s="22" t="n"/>
      <c r="AI456" s="22" t="n"/>
      <c r="AJ456" s="22" t="n"/>
      <c r="AK456" s="22" t="n"/>
      <c r="AL456" s="22" t="n"/>
      <c r="AM456" s="22" t="n"/>
      <c r="AN456" s="22" t="n"/>
      <c r="AO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  <c r="Y457" s="22" t="n"/>
      <c r="Z457" s="22" t="n"/>
      <c r="AA457" s="22" t="n"/>
      <c r="AB457" s="22" t="n"/>
      <c r="AC457" s="22" t="n"/>
      <c r="AD457" s="22" t="n"/>
      <c r="AE457" s="22" t="n"/>
      <c r="AF457" s="22" t="n"/>
      <c r="AG457" s="22" t="n"/>
      <c r="AH457" s="22" t="n"/>
      <c r="AI457" s="22" t="n"/>
      <c r="AJ457" s="22" t="n"/>
      <c r="AK457" s="22" t="n"/>
      <c r="AL457" s="22" t="n"/>
      <c r="AM457" s="22" t="n"/>
      <c r="AN457" s="22" t="n"/>
      <c r="AO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  <c r="Y458" s="22" t="n"/>
      <c r="Z458" s="22" t="n"/>
      <c r="AA458" s="22" t="n"/>
      <c r="AB458" s="22" t="n"/>
      <c r="AC458" s="22" t="n"/>
      <c r="AD458" s="22" t="n"/>
      <c r="AE458" s="22" t="n"/>
      <c r="AF458" s="22" t="n"/>
      <c r="AG458" s="22" t="n"/>
      <c r="AH458" s="22" t="n"/>
      <c r="AI458" s="22" t="n"/>
      <c r="AJ458" s="22" t="n"/>
      <c r="AK458" s="22" t="n"/>
      <c r="AL458" s="22" t="n"/>
      <c r="AM458" s="22" t="n"/>
      <c r="AN458" s="22" t="n"/>
      <c r="AO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  <c r="Y459" s="22" t="n"/>
      <c r="Z459" s="22" t="n"/>
      <c r="AA459" s="22" t="n"/>
      <c r="AB459" s="22" t="n"/>
      <c r="AC459" s="22" t="n"/>
      <c r="AD459" s="22" t="n"/>
      <c r="AE459" s="22" t="n"/>
      <c r="AF459" s="22" t="n"/>
      <c r="AG459" s="22" t="n"/>
      <c r="AH459" s="22" t="n"/>
      <c r="AI459" s="22" t="n"/>
      <c r="AJ459" s="22" t="n"/>
      <c r="AK459" s="22" t="n"/>
      <c r="AL459" s="22" t="n"/>
      <c r="AM459" s="22" t="n"/>
      <c r="AN459" s="22" t="n"/>
      <c r="AO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  <c r="Y460" s="22" t="n"/>
      <c r="Z460" s="22" t="n"/>
      <c r="AA460" s="22" t="n"/>
      <c r="AB460" s="22" t="n"/>
      <c r="AC460" s="22" t="n"/>
      <c r="AD460" s="22" t="n"/>
      <c r="AE460" s="22" t="n"/>
      <c r="AF460" s="22" t="n"/>
      <c r="AG460" s="22" t="n"/>
      <c r="AH460" s="22" t="n"/>
      <c r="AI460" s="22" t="n"/>
      <c r="AJ460" s="22" t="n"/>
      <c r="AK460" s="22" t="n"/>
      <c r="AL460" s="22" t="n"/>
      <c r="AM460" s="22" t="n"/>
      <c r="AN460" s="22" t="n"/>
      <c r="AO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  <c r="Y461" s="22" t="n"/>
      <c r="Z461" s="22" t="n"/>
      <c r="AA461" s="22" t="n"/>
      <c r="AB461" s="22" t="n"/>
      <c r="AC461" s="22" t="n"/>
      <c r="AD461" s="22" t="n"/>
      <c r="AE461" s="22" t="n"/>
      <c r="AF461" s="22" t="n"/>
      <c r="AG461" s="22" t="n"/>
      <c r="AH461" s="22" t="n"/>
      <c r="AI461" s="22" t="n"/>
      <c r="AJ461" s="22" t="n"/>
      <c r="AK461" s="22" t="n"/>
      <c r="AL461" s="22" t="n"/>
      <c r="AM461" s="22" t="n"/>
      <c r="AN461" s="22" t="n"/>
      <c r="AO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  <c r="Y462" s="22" t="n"/>
      <c r="Z462" s="22" t="n"/>
      <c r="AA462" s="22" t="n"/>
      <c r="AB462" s="22" t="n"/>
      <c r="AC462" s="22" t="n"/>
      <c r="AD462" s="22" t="n"/>
      <c r="AE462" s="22" t="n"/>
      <c r="AF462" s="22" t="n"/>
      <c r="AG462" s="22" t="n"/>
      <c r="AH462" s="22" t="n"/>
      <c r="AI462" s="22" t="n"/>
      <c r="AJ462" s="22" t="n"/>
      <c r="AK462" s="22" t="n"/>
      <c r="AL462" s="22" t="n"/>
      <c r="AM462" s="22" t="n"/>
      <c r="AN462" s="22" t="n"/>
      <c r="AO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  <c r="Y463" s="22" t="n"/>
      <c r="Z463" s="22" t="n"/>
      <c r="AA463" s="22" t="n"/>
      <c r="AB463" s="22" t="n"/>
      <c r="AC463" s="22" t="n"/>
      <c r="AD463" s="22" t="n"/>
      <c r="AE463" s="22" t="n"/>
      <c r="AF463" s="22" t="n"/>
      <c r="AG463" s="22" t="n"/>
      <c r="AH463" s="22" t="n"/>
      <c r="AI463" s="22" t="n"/>
      <c r="AJ463" s="22" t="n"/>
      <c r="AK463" s="22" t="n"/>
      <c r="AL463" s="22" t="n"/>
      <c r="AM463" s="22" t="n"/>
      <c r="AN463" s="22" t="n"/>
      <c r="AO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  <c r="Y464" s="22" t="n"/>
      <c r="Z464" s="22" t="n"/>
      <c r="AA464" s="22" t="n"/>
      <c r="AB464" s="22" t="n"/>
      <c r="AC464" s="22" t="n"/>
      <c r="AD464" s="22" t="n"/>
      <c r="AE464" s="22" t="n"/>
      <c r="AF464" s="22" t="n"/>
      <c r="AG464" s="22" t="n"/>
      <c r="AH464" s="22" t="n"/>
      <c r="AI464" s="22" t="n"/>
      <c r="AJ464" s="22" t="n"/>
      <c r="AK464" s="22" t="n"/>
      <c r="AL464" s="22" t="n"/>
      <c r="AM464" s="22" t="n"/>
      <c r="AN464" s="22" t="n"/>
      <c r="AO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  <c r="Y465" s="22" t="n"/>
      <c r="Z465" s="22" t="n"/>
      <c r="AA465" s="22" t="n"/>
      <c r="AB465" s="22" t="n"/>
      <c r="AC465" s="22" t="n"/>
      <c r="AD465" s="22" t="n"/>
      <c r="AE465" s="22" t="n"/>
      <c r="AF465" s="22" t="n"/>
      <c r="AG465" s="22" t="n"/>
      <c r="AH465" s="22" t="n"/>
      <c r="AI465" s="22" t="n"/>
      <c r="AJ465" s="22" t="n"/>
      <c r="AK465" s="22" t="n"/>
      <c r="AL465" s="22" t="n"/>
      <c r="AM465" s="22" t="n"/>
      <c r="AN465" s="22" t="n"/>
      <c r="AO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  <c r="Y466" s="22" t="n"/>
      <c r="Z466" s="22" t="n"/>
      <c r="AA466" s="22" t="n"/>
      <c r="AB466" s="22" t="n"/>
      <c r="AC466" s="22" t="n"/>
      <c r="AD466" s="22" t="n"/>
      <c r="AE466" s="22" t="n"/>
      <c r="AF466" s="22" t="n"/>
      <c r="AG466" s="22" t="n"/>
      <c r="AH466" s="22" t="n"/>
      <c r="AI466" s="22" t="n"/>
      <c r="AJ466" s="22" t="n"/>
      <c r="AK466" s="22" t="n"/>
      <c r="AL466" s="22" t="n"/>
      <c r="AM466" s="22" t="n"/>
      <c r="AN466" s="22" t="n"/>
      <c r="AO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  <c r="Y467" s="22" t="n"/>
      <c r="Z467" s="22" t="n"/>
      <c r="AA467" s="22" t="n"/>
      <c r="AB467" s="22" t="n"/>
      <c r="AC467" s="22" t="n"/>
      <c r="AD467" s="22" t="n"/>
      <c r="AE467" s="22" t="n"/>
      <c r="AF467" s="22" t="n"/>
      <c r="AG467" s="22" t="n"/>
      <c r="AH467" s="22" t="n"/>
      <c r="AI467" s="22" t="n"/>
      <c r="AJ467" s="22" t="n"/>
      <c r="AK467" s="22" t="n"/>
      <c r="AL467" s="22" t="n"/>
      <c r="AM467" s="22" t="n"/>
      <c r="AN467" s="22" t="n"/>
      <c r="AO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  <c r="Y468" s="22" t="n"/>
      <c r="Z468" s="22" t="n"/>
      <c r="AA468" s="22" t="n"/>
      <c r="AB468" s="22" t="n"/>
      <c r="AC468" s="22" t="n"/>
      <c r="AD468" s="22" t="n"/>
      <c r="AE468" s="22" t="n"/>
      <c r="AF468" s="22" t="n"/>
      <c r="AG468" s="22" t="n"/>
      <c r="AH468" s="22" t="n"/>
      <c r="AI468" s="22" t="n"/>
      <c r="AJ468" s="22" t="n"/>
      <c r="AK468" s="22" t="n"/>
      <c r="AL468" s="22" t="n"/>
      <c r="AM468" s="22" t="n"/>
      <c r="AN468" s="22" t="n"/>
      <c r="AO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  <c r="Y469" s="22" t="n"/>
      <c r="Z469" s="22" t="n"/>
      <c r="AA469" s="22" t="n"/>
      <c r="AB469" s="22" t="n"/>
      <c r="AC469" s="22" t="n"/>
      <c r="AD469" s="22" t="n"/>
      <c r="AE469" s="22" t="n"/>
      <c r="AF469" s="22" t="n"/>
      <c r="AG469" s="22" t="n"/>
      <c r="AH469" s="22" t="n"/>
      <c r="AI469" s="22" t="n"/>
      <c r="AJ469" s="22" t="n"/>
      <c r="AK469" s="22" t="n"/>
      <c r="AL469" s="22" t="n"/>
      <c r="AM469" s="22" t="n"/>
      <c r="AN469" s="22" t="n"/>
      <c r="AO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  <c r="Y470" s="22" t="n"/>
      <c r="Z470" s="22" t="n"/>
      <c r="AA470" s="22" t="n"/>
      <c r="AB470" s="22" t="n"/>
      <c r="AC470" s="22" t="n"/>
      <c r="AD470" s="22" t="n"/>
      <c r="AE470" s="22" t="n"/>
      <c r="AF470" s="22" t="n"/>
      <c r="AG470" s="22" t="n"/>
      <c r="AH470" s="22" t="n"/>
      <c r="AI470" s="22" t="n"/>
      <c r="AJ470" s="22" t="n"/>
      <c r="AK470" s="22" t="n"/>
      <c r="AL470" s="22" t="n"/>
      <c r="AM470" s="22" t="n"/>
      <c r="AN470" s="22" t="n"/>
      <c r="AO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  <c r="Y471" s="22" t="n"/>
      <c r="Z471" s="22" t="n"/>
      <c r="AA471" s="22" t="n"/>
      <c r="AB471" s="22" t="n"/>
      <c r="AC471" s="22" t="n"/>
      <c r="AD471" s="22" t="n"/>
      <c r="AE471" s="22" t="n"/>
      <c r="AF471" s="22" t="n"/>
      <c r="AG471" s="22" t="n"/>
      <c r="AH471" s="22" t="n"/>
      <c r="AI471" s="22" t="n"/>
      <c r="AJ471" s="22" t="n"/>
      <c r="AK471" s="22" t="n"/>
      <c r="AL471" s="22" t="n"/>
      <c r="AM471" s="22" t="n"/>
      <c r="AN471" s="22" t="n"/>
      <c r="AO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  <c r="Y472" s="22" t="n"/>
      <c r="Z472" s="22" t="n"/>
      <c r="AA472" s="22" t="n"/>
      <c r="AB472" s="22" t="n"/>
      <c r="AC472" s="22" t="n"/>
      <c r="AD472" s="22" t="n"/>
      <c r="AE472" s="22" t="n"/>
      <c r="AF472" s="22" t="n"/>
      <c r="AG472" s="22" t="n"/>
      <c r="AH472" s="22" t="n"/>
      <c r="AI472" s="22" t="n"/>
      <c r="AJ472" s="22" t="n"/>
      <c r="AK472" s="22" t="n"/>
      <c r="AL472" s="22" t="n"/>
      <c r="AM472" s="22" t="n"/>
      <c r="AN472" s="22" t="n"/>
      <c r="AO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  <c r="Y473" s="22" t="n"/>
      <c r="Z473" s="22" t="n"/>
      <c r="AA473" s="22" t="n"/>
      <c r="AB473" s="22" t="n"/>
      <c r="AC473" s="22" t="n"/>
      <c r="AD473" s="22" t="n"/>
      <c r="AE473" s="22" t="n"/>
      <c r="AF473" s="22" t="n"/>
      <c r="AG473" s="22" t="n"/>
      <c r="AH473" s="22" t="n"/>
      <c r="AI473" s="22" t="n"/>
      <c r="AJ473" s="22" t="n"/>
      <c r="AK473" s="22" t="n"/>
      <c r="AL473" s="22" t="n"/>
      <c r="AM473" s="22" t="n"/>
      <c r="AN473" s="22" t="n"/>
      <c r="AO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  <c r="Y474" s="22" t="n"/>
      <c r="Z474" s="22" t="n"/>
      <c r="AA474" s="22" t="n"/>
      <c r="AB474" s="22" t="n"/>
      <c r="AC474" s="22" t="n"/>
      <c r="AD474" s="22" t="n"/>
      <c r="AE474" s="22" t="n"/>
      <c r="AF474" s="22" t="n"/>
      <c r="AG474" s="22" t="n"/>
      <c r="AH474" s="22" t="n"/>
      <c r="AI474" s="22" t="n"/>
      <c r="AJ474" s="22" t="n"/>
      <c r="AK474" s="22" t="n"/>
      <c r="AL474" s="22" t="n"/>
      <c r="AM474" s="22" t="n"/>
      <c r="AN474" s="22" t="n"/>
      <c r="AO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  <c r="Y475" s="22" t="n"/>
      <c r="Z475" s="22" t="n"/>
      <c r="AA475" s="22" t="n"/>
      <c r="AB475" s="22" t="n"/>
      <c r="AC475" s="22" t="n"/>
      <c r="AD475" s="22" t="n"/>
      <c r="AE475" s="22" t="n"/>
      <c r="AF475" s="22" t="n"/>
      <c r="AG475" s="22" t="n"/>
      <c r="AH475" s="22" t="n"/>
      <c r="AI475" s="22" t="n"/>
      <c r="AJ475" s="22" t="n"/>
      <c r="AK475" s="22" t="n"/>
      <c r="AL475" s="22" t="n"/>
      <c r="AM475" s="22" t="n"/>
      <c r="AN475" s="22" t="n"/>
      <c r="AO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  <c r="Y476" s="22" t="n"/>
      <c r="Z476" s="22" t="n"/>
      <c r="AA476" s="22" t="n"/>
      <c r="AB476" s="22" t="n"/>
      <c r="AC476" s="22" t="n"/>
      <c r="AD476" s="22" t="n"/>
      <c r="AE476" s="22" t="n"/>
      <c r="AF476" s="22" t="n"/>
      <c r="AG476" s="22" t="n"/>
      <c r="AH476" s="22" t="n"/>
      <c r="AI476" s="22" t="n"/>
      <c r="AJ476" s="22" t="n"/>
      <c r="AK476" s="22" t="n"/>
      <c r="AL476" s="22" t="n"/>
      <c r="AM476" s="22" t="n"/>
      <c r="AN476" s="22" t="n"/>
      <c r="AO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  <c r="Y477" s="22" t="n"/>
      <c r="Z477" s="22" t="n"/>
      <c r="AA477" s="22" t="n"/>
      <c r="AB477" s="22" t="n"/>
      <c r="AC477" s="22" t="n"/>
      <c r="AD477" s="22" t="n"/>
      <c r="AE477" s="22" t="n"/>
      <c r="AF477" s="22" t="n"/>
      <c r="AG477" s="22" t="n"/>
      <c r="AH477" s="22" t="n"/>
      <c r="AI477" s="22" t="n"/>
      <c r="AJ477" s="22" t="n"/>
      <c r="AK477" s="22" t="n"/>
      <c r="AL477" s="22" t="n"/>
      <c r="AM477" s="22" t="n"/>
      <c r="AN477" s="22" t="n"/>
      <c r="AO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  <c r="Y478" s="22" t="n"/>
      <c r="Z478" s="22" t="n"/>
      <c r="AA478" s="22" t="n"/>
      <c r="AB478" s="22" t="n"/>
      <c r="AC478" s="22" t="n"/>
      <c r="AD478" s="22" t="n"/>
      <c r="AE478" s="22" t="n"/>
      <c r="AF478" s="22" t="n"/>
      <c r="AG478" s="22" t="n"/>
      <c r="AH478" s="22" t="n"/>
      <c r="AI478" s="22" t="n"/>
      <c r="AJ478" s="22" t="n"/>
      <c r="AK478" s="22" t="n"/>
      <c r="AL478" s="22" t="n"/>
      <c r="AM478" s="22" t="n"/>
      <c r="AN478" s="22" t="n"/>
      <c r="AO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  <c r="Y479" s="22" t="n"/>
      <c r="Z479" s="22" t="n"/>
      <c r="AA479" s="22" t="n"/>
      <c r="AB479" s="22" t="n"/>
      <c r="AC479" s="22" t="n"/>
      <c r="AD479" s="22" t="n"/>
      <c r="AE479" s="22" t="n"/>
      <c r="AF479" s="22" t="n"/>
      <c r="AG479" s="22" t="n"/>
      <c r="AH479" s="22" t="n"/>
      <c r="AI479" s="22" t="n"/>
      <c r="AJ479" s="22" t="n"/>
      <c r="AK479" s="22" t="n"/>
      <c r="AL479" s="22" t="n"/>
      <c r="AM479" s="22" t="n"/>
      <c r="AN479" s="22" t="n"/>
      <c r="AO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  <c r="Y480" s="22" t="n"/>
      <c r="Z480" s="22" t="n"/>
      <c r="AA480" s="22" t="n"/>
      <c r="AB480" s="22" t="n"/>
      <c r="AC480" s="22" t="n"/>
      <c r="AD480" s="22" t="n"/>
      <c r="AE480" s="22" t="n"/>
      <c r="AF480" s="22" t="n"/>
      <c r="AG480" s="22" t="n"/>
      <c r="AH480" s="22" t="n"/>
      <c r="AI480" s="22" t="n"/>
      <c r="AJ480" s="22" t="n"/>
      <c r="AK480" s="22" t="n"/>
      <c r="AL480" s="22" t="n"/>
      <c r="AM480" s="22" t="n"/>
      <c r="AN480" s="22" t="n"/>
      <c r="AO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  <c r="Y481" s="22" t="n"/>
      <c r="Z481" s="22" t="n"/>
      <c r="AA481" s="22" t="n"/>
      <c r="AB481" s="22" t="n"/>
      <c r="AC481" s="22" t="n"/>
      <c r="AD481" s="22" t="n"/>
      <c r="AE481" s="22" t="n"/>
      <c r="AF481" s="22" t="n"/>
      <c r="AG481" s="22" t="n"/>
      <c r="AH481" s="22" t="n"/>
      <c r="AI481" s="22" t="n"/>
      <c r="AJ481" s="22" t="n"/>
      <c r="AK481" s="22" t="n"/>
      <c r="AL481" s="22" t="n"/>
      <c r="AM481" s="22" t="n"/>
      <c r="AN481" s="22" t="n"/>
      <c r="AO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  <c r="Y482" s="22" t="n"/>
      <c r="Z482" s="22" t="n"/>
      <c r="AA482" s="22" t="n"/>
      <c r="AB482" s="22" t="n"/>
      <c r="AC482" s="22" t="n"/>
      <c r="AD482" s="22" t="n"/>
      <c r="AE482" s="22" t="n"/>
      <c r="AF482" s="22" t="n"/>
      <c r="AG482" s="22" t="n"/>
      <c r="AH482" s="22" t="n"/>
      <c r="AI482" s="22" t="n"/>
      <c r="AJ482" s="22" t="n"/>
      <c r="AK482" s="22" t="n"/>
      <c r="AL482" s="22" t="n"/>
      <c r="AM482" s="22" t="n"/>
      <c r="AN482" s="22" t="n"/>
      <c r="AO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  <c r="Y483" s="22" t="n"/>
      <c r="Z483" s="22" t="n"/>
      <c r="AA483" s="22" t="n"/>
      <c r="AB483" s="22" t="n"/>
      <c r="AC483" s="22" t="n"/>
      <c r="AD483" s="22" t="n"/>
      <c r="AE483" s="22" t="n"/>
      <c r="AF483" s="22" t="n"/>
      <c r="AG483" s="22" t="n"/>
      <c r="AH483" s="22" t="n"/>
      <c r="AI483" s="22" t="n"/>
      <c r="AJ483" s="22" t="n"/>
      <c r="AK483" s="22" t="n"/>
      <c r="AL483" s="22" t="n"/>
      <c r="AM483" s="22" t="n"/>
      <c r="AN483" s="22" t="n"/>
      <c r="AO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  <c r="Y484" s="22" t="n"/>
      <c r="Z484" s="22" t="n"/>
      <c r="AA484" s="22" t="n"/>
      <c r="AB484" s="22" t="n"/>
      <c r="AC484" s="22" t="n"/>
      <c r="AD484" s="22" t="n"/>
      <c r="AE484" s="22" t="n"/>
      <c r="AF484" s="22" t="n"/>
      <c r="AG484" s="22" t="n"/>
      <c r="AH484" s="22" t="n"/>
      <c r="AI484" s="22" t="n"/>
      <c r="AJ484" s="22" t="n"/>
      <c r="AK484" s="22" t="n"/>
      <c r="AL484" s="22" t="n"/>
      <c r="AM484" s="22" t="n"/>
      <c r="AN484" s="22" t="n"/>
      <c r="AO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  <c r="Y485" s="22" t="n"/>
      <c r="Z485" s="22" t="n"/>
      <c r="AA485" s="22" t="n"/>
      <c r="AB485" s="22" t="n"/>
      <c r="AC485" s="22" t="n"/>
      <c r="AD485" s="22" t="n"/>
      <c r="AE485" s="22" t="n"/>
      <c r="AF485" s="22" t="n"/>
      <c r="AG485" s="22" t="n"/>
      <c r="AH485" s="22" t="n"/>
      <c r="AI485" s="22" t="n"/>
      <c r="AJ485" s="22" t="n"/>
      <c r="AK485" s="22" t="n"/>
      <c r="AL485" s="22" t="n"/>
      <c r="AM485" s="22" t="n"/>
      <c r="AN485" s="22" t="n"/>
      <c r="AO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  <c r="Y486" s="22" t="n"/>
      <c r="Z486" s="22" t="n"/>
      <c r="AA486" s="22" t="n"/>
      <c r="AB486" s="22" t="n"/>
      <c r="AC486" s="22" t="n"/>
      <c r="AD486" s="22" t="n"/>
      <c r="AE486" s="22" t="n"/>
      <c r="AF486" s="22" t="n"/>
      <c r="AG486" s="22" t="n"/>
      <c r="AH486" s="22" t="n"/>
      <c r="AI486" s="22" t="n"/>
      <c r="AJ486" s="22" t="n"/>
      <c r="AK486" s="22" t="n"/>
      <c r="AL486" s="22" t="n"/>
      <c r="AM486" s="22" t="n"/>
      <c r="AN486" s="22" t="n"/>
      <c r="AO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  <c r="Y487" s="22" t="n"/>
      <c r="Z487" s="22" t="n"/>
      <c r="AA487" s="22" t="n"/>
      <c r="AB487" s="22" t="n"/>
      <c r="AC487" s="22" t="n"/>
      <c r="AD487" s="22" t="n"/>
      <c r="AE487" s="22" t="n"/>
      <c r="AF487" s="22" t="n"/>
      <c r="AG487" s="22" t="n"/>
      <c r="AH487" s="22" t="n"/>
      <c r="AI487" s="22" t="n"/>
      <c r="AJ487" s="22" t="n"/>
      <c r="AK487" s="22" t="n"/>
      <c r="AL487" s="22" t="n"/>
      <c r="AM487" s="22" t="n"/>
      <c r="AN487" s="22" t="n"/>
      <c r="AO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  <c r="Y488" s="22" t="n"/>
      <c r="Z488" s="22" t="n"/>
      <c r="AA488" s="22" t="n"/>
      <c r="AB488" s="22" t="n"/>
      <c r="AC488" s="22" t="n"/>
      <c r="AD488" s="22" t="n"/>
      <c r="AE488" s="22" t="n"/>
      <c r="AF488" s="22" t="n"/>
      <c r="AG488" s="22" t="n"/>
      <c r="AH488" s="22" t="n"/>
      <c r="AI488" s="22" t="n"/>
      <c r="AJ488" s="22" t="n"/>
      <c r="AK488" s="22" t="n"/>
      <c r="AL488" s="22" t="n"/>
      <c r="AM488" s="22" t="n"/>
      <c r="AN488" s="22" t="n"/>
      <c r="AO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  <c r="Y489" s="22" t="n"/>
      <c r="Z489" s="22" t="n"/>
      <c r="AA489" s="22" t="n"/>
      <c r="AB489" s="22" t="n"/>
      <c r="AC489" s="22" t="n"/>
      <c r="AD489" s="22" t="n"/>
      <c r="AE489" s="22" t="n"/>
      <c r="AF489" s="22" t="n"/>
      <c r="AG489" s="22" t="n"/>
      <c r="AH489" s="22" t="n"/>
      <c r="AI489" s="22" t="n"/>
      <c r="AJ489" s="22" t="n"/>
      <c r="AK489" s="22" t="n"/>
      <c r="AL489" s="22" t="n"/>
      <c r="AM489" s="22" t="n"/>
      <c r="AN489" s="22" t="n"/>
      <c r="AO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  <c r="Y490" s="22" t="n"/>
      <c r="Z490" s="22" t="n"/>
      <c r="AA490" s="22" t="n"/>
      <c r="AB490" s="22" t="n"/>
      <c r="AC490" s="22" t="n"/>
      <c r="AD490" s="22" t="n"/>
      <c r="AE490" s="22" t="n"/>
      <c r="AF490" s="22" t="n"/>
      <c r="AG490" s="22" t="n"/>
      <c r="AH490" s="22" t="n"/>
      <c r="AI490" s="22" t="n"/>
      <c r="AJ490" s="22" t="n"/>
      <c r="AK490" s="22" t="n"/>
      <c r="AL490" s="22" t="n"/>
      <c r="AM490" s="22" t="n"/>
      <c r="AN490" s="22" t="n"/>
      <c r="AO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  <c r="Y491" s="22" t="n"/>
      <c r="Z491" s="22" t="n"/>
      <c r="AA491" s="22" t="n"/>
      <c r="AB491" s="22" t="n"/>
      <c r="AC491" s="22" t="n"/>
      <c r="AD491" s="22" t="n"/>
      <c r="AE491" s="22" t="n"/>
      <c r="AF491" s="22" t="n"/>
      <c r="AG491" s="22" t="n"/>
      <c r="AH491" s="22" t="n"/>
      <c r="AI491" s="22" t="n"/>
      <c r="AJ491" s="22" t="n"/>
      <c r="AK491" s="22" t="n"/>
      <c r="AL491" s="22" t="n"/>
      <c r="AM491" s="22" t="n"/>
      <c r="AN491" s="22" t="n"/>
      <c r="AO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  <c r="Y492" s="22" t="n"/>
      <c r="Z492" s="22" t="n"/>
      <c r="AA492" s="22" t="n"/>
      <c r="AB492" s="22" t="n"/>
      <c r="AC492" s="22" t="n"/>
      <c r="AD492" s="22" t="n"/>
      <c r="AE492" s="22" t="n"/>
      <c r="AF492" s="22" t="n"/>
      <c r="AG492" s="22" t="n"/>
      <c r="AH492" s="22" t="n"/>
      <c r="AI492" s="22" t="n"/>
      <c r="AJ492" s="22" t="n"/>
      <c r="AK492" s="22" t="n"/>
      <c r="AL492" s="22" t="n"/>
      <c r="AM492" s="22" t="n"/>
      <c r="AN492" s="22" t="n"/>
      <c r="AO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  <c r="Y493" s="22" t="n"/>
      <c r="Z493" s="22" t="n"/>
      <c r="AA493" s="22" t="n"/>
      <c r="AB493" s="22" t="n"/>
      <c r="AC493" s="22" t="n"/>
      <c r="AD493" s="22" t="n"/>
      <c r="AE493" s="22" t="n"/>
      <c r="AF493" s="22" t="n"/>
      <c r="AG493" s="22" t="n"/>
      <c r="AH493" s="22" t="n"/>
      <c r="AI493" s="22" t="n"/>
      <c r="AJ493" s="22" t="n"/>
      <c r="AK493" s="22" t="n"/>
      <c r="AL493" s="22" t="n"/>
      <c r="AM493" s="22" t="n"/>
      <c r="AN493" s="22" t="n"/>
      <c r="AO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  <c r="Y494" s="22" t="n"/>
      <c r="Z494" s="22" t="n"/>
      <c r="AA494" s="22" t="n"/>
      <c r="AB494" s="22" t="n"/>
      <c r="AC494" s="22" t="n"/>
      <c r="AD494" s="22" t="n"/>
      <c r="AE494" s="22" t="n"/>
      <c r="AF494" s="22" t="n"/>
      <c r="AG494" s="22" t="n"/>
      <c r="AH494" s="22" t="n"/>
      <c r="AI494" s="22" t="n"/>
      <c r="AJ494" s="22" t="n"/>
      <c r="AK494" s="22" t="n"/>
      <c r="AL494" s="22" t="n"/>
      <c r="AM494" s="22" t="n"/>
      <c r="AN494" s="22" t="n"/>
      <c r="AO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  <c r="Y495" s="22" t="n"/>
      <c r="Z495" s="22" t="n"/>
      <c r="AA495" s="22" t="n"/>
      <c r="AB495" s="22" t="n"/>
      <c r="AC495" s="22" t="n"/>
      <c r="AD495" s="22" t="n"/>
      <c r="AE495" s="22" t="n"/>
      <c r="AF495" s="22" t="n"/>
      <c r="AG495" s="22" t="n"/>
      <c r="AH495" s="22" t="n"/>
      <c r="AI495" s="22" t="n"/>
      <c r="AJ495" s="22" t="n"/>
      <c r="AK495" s="22" t="n"/>
      <c r="AL495" s="22" t="n"/>
      <c r="AM495" s="22" t="n"/>
      <c r="AN495" s="22" t="n"/>
      <c r="AO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  <c r="Y496" s="22" t="n"/>
      <c r="Z496" s="22" t="n"/>
      <c r="AA496" s="22" t="n"/>
      <c r="AB496" s="22" t="n"/>
      <c r="AC496" s="22" t="n"/>
      <c r="AD496" s="22" t="n"/>
      <c r="AE496" s="22" t="n"/>
      <c r="AF496" s="22" t="n"/>
      <c r="AG496" s="22" t="n"/>
      <c r="AH496" s="22" t="n"/>
      <c r="AI496" s="22" t="n"/>
      <c r="AJ496" s="22" t="n"/>
      <c r="AK496" s="22" t="n"/>
      <c r="AL496" s="22" t="n"/>
      <c r="AM496" s="22" t="n"/>
      <c r="AN496" s="22" t="n"/>
      <c r="AO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  <c r="Y497" s="22" t="n"/>
      <c r="Z497" s="22" t="n"/>
      <c r="AA497" s="22" t="n"/>
      <c r="AB497" s="22" t="n"/>
      <c r="AC497" s="22" t="n"/>
      <c r="AD497" s="22" t="n"/>
      <c r="AE497" s="22" t="n"/>
      <c r="AF497" s="22" t="n"/>
      <c r="AG497" s="22" t="n"/>
      <c r="AH497" s="22" t="n"/>
      <c r="AI497" s="22" t="n"/>
      <c r="AJ497" s="22" t="n"/>
      <c r="AK497" s="22" t="n"/>
      <c r="AL497" s="22" t="n"/>
      <c r="AM497" s="22" t="n"/>
      <c r="AN497" s="22" t="n"/>
      <c r="AO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  <c r="Y498" s="22" t="n"/>
      <c r="Z498" s="22" t="n"/>
      <c r="AA498" s="22" t="n"/>
      <c r="AB498" s="22" t="n"/>
      <c r="AC498" s="22" t="n"/>
      <c r="AD498" s="22" t="n"/>
      <c r="AE498" s="22" t="n"/>
      <c r="AF498" s="22" t="n"/>
      <c r="AG498" s="22" t="n"/>
      <c r="AH498" s="22" t="n"/>
      <c r="AI498" s="22" t="n"/>
      <c r="AJ498" s="22" t="n"/>
      <c r="AK498" s="22" t="n"/>
      <c r="AL498" s="22" t="n"/>
      <c r="AM498" s="22" t="n"/>
      <c r="AN498" s="22" t="n"/>
      <c r="AO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  <c r="Y499" s="22" t="n"/>
      <c r="Z499" s="22" t="n"/>
      <c r="AA499" s="22" t="n"/>
      <c r="AB499" s="22" t="n"/>
      <c r="AC499" s="22" t="n"/>
      <c r="AD499" s="22" t="n"/>
      <c r="AE499" s="22" t="n"/>
      <c r="AF499" s="22" t="n"/>
      <c r="AG499" s="22" t="n"/>
      <c r="AH499" s="22" t="n"/>
      <c r="AI499" s="22" t="n"/>
      <c r="AJ499" s="22" t="n"/>
      <c r="AK499" s="22" t="n"/>
      <c r="AL499" s="22" t="n"/>
      <c r="AM499" s="22" t="n"/>
      <c r="AN499" s="22" t="n"/>
      <c r="AO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  <c r="Y500" s="22" t="n"/>
      <c r="Z500" s="22" t="n"/>
      <c r="AA500" s="22" t="n"/>
      <c r="AB500" s="22" t="n"/>
      <c r="AC500" s="22" t="n"/>
      <c r="AD500" s="22" t="n"/>
      <c r="AE500" s="22" t="n"/>
      <c r="AF500" s="22" t="n"/>
      <c r="AG500" s="22" t="n"/>
      <c r="AH500" s="22" t="n"/>
      <c r="AI500" s="22" t="n"/>
      <c r="AJ500" s="22" t="n"/>
      <c r="AK500" s="22" t="n"/>
      <c r="AL500" s="22" t="n"/>
      <c r="AM500" s="22" t="n"/>
      <c r="AN500" s="22" t="n"/>
      <c r="AO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  <c r="Y501" s="22" t="n"/>
      <c r="Z501" s="22" t="n"/>
      <c r="AA501" s="22" t="n"/>
      <c r="AB501" s="22" t="n"/>
      <c r="AC501" s="22" t="n"/>
      <c r="AD501" s="22" t="n"/>
      <c r="AE501" s="22" t="n"/>
      <c r="AF501" s="22" t="n"/>
      <c r="AG501" s="22" t="n"/>
      <c r="AH501" s="22" t="n"/>
      <c r="AI501" s="22" t="n"/>
      <c r="AJ501" s="22" t="n"/>
      <c r="AK501" s="22" t="n"/>
      <c r="AL501" s="22" t="n"/>
      <c r="AM501" s="22" t="n"/>
      <c r="AN501" s="22" t="n"/>
      <c r="AO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  <c r="Y502" s="22" t="n"/>
      <c r="Z502" s="22" t="n"/>
      <c r="AA502" s="22" t="n"/>
      <c r="AB502" s="22" t="n"/>
      <c r="AC502" s="22" t="n"/>
      <c r="AD502" s="22" t="n"/>
      <c r="AE502" s="22" t="n"/>
      <c r="AF502" s="22" t="n"/>
      <c r="AG502" s="22" t="n"/>
      <c r="AH502" s="22" t="n"/>
      <c r="AI502" s="22" t="n"/>
      <c r="AJ502" s="22" t="n"/>
      <c r="AK502" s="22" t="n"/>
      <c r="AL502" s="22" t="n"/>
      <c r="AM502" s="22" t="n"/>
      <c r="AN502" s="22" t="n"/>
      <c r="AO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  <c r="Y503" s="22" t="n"/>
      <c r="Z503" s="22" t="n"/>
      <c r="AA503" s="22" t="n"/>
      <c r="AB503" s="22" t="n"/>
      <c r="AC503" s="22" t="n"/>
      <c r="AD503" s="22" t="n"/>
      <c r="AE503" s="22" t="n"/>
      <c r="AF503" s="22" t="n"/>
      <c r="AG503" s="22" t="n"/>
      <c r="AH503" s="22" t="n"/>
      <c r="AI503" s="22" t="n"/>
      <c r="AJ503" s="22" t="n"/>
      <c r="AK503" s="22" t="n"/>
      <c r="AL503" s="22" t="n"/>
      <c r="AM503" s="22" t="n"/>
      <c r="AN503" s="22" t="n"/>
      <c r="AO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  <c r="Y504" s="22" t="n"/>
      <c r="Z504" s="22" t="n"/>
      <c r="AA504" s="22" t="n"/>
      <c r="AB504" s="22" t="n"/>
      <c r="AC504" s="22" t="n"/>
      <c r="AD504" s="22" t="n"/>
      <c r="AE504" s="22" t="n"/>
      <c r="AF504" s="22" t="n"/>
      <c r="AG504" s="22" t="n"/>
      <c r="AH504" s="22" t="n"/>
      <c r="AI504" s="22" t="n"/>
      <c r="AJ504" s="22" t="n"/>
      <c r="AK504" s="22" t="n"/>
      <c r="AL504" s="22" t="n"/>
      <c r="AM504" s="22" t="n"/>
      <c r="AN504" s="22" t="n"/>
      <c r="AO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  <c r="Y505" s="22" t="n"/>
      <c r="Z505" s="22" t="n"/>
      <c r="AA505" s="22" t="n"/>
      <c r="AB505" s="22" t="n"/>
      <c r="AC505" s="22" t="n"/>
      <c r="AD505" s="22" t="n"/>
      <c r="AE505" s="22" t="n"/>
      <c r="AF505" s="22" t="n"/>
      <c r="AG505" s="22" t="n"/>
      <c r="AH505" s="22" t="n"/>
      <c r="AI505" s="22" t="n"/>
      <c r="AJ505" s="22" t="n"/>
      <c r="AK505" s="22" t="n"/>
      <c r="AL505" s="22" t="n"/>
      <c r="AM505" s="22" t="n"/>
      <c r="AN505" s="22" t="n"/>
      <c r="AO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  <c r="Y506" s="22" t="n"/>
      <c r="Z506" s="22" t="n"/>
      <c r="AA506" s="22" t="n"/>
      <c r="AB506" s="22" t="n"/>
      <c r="AC506" s="22" t="n"/>
      <c r="AD506" s="22" t="n"/>
      <c r="AE506" s="22" t="n"/>
      <c r="AF506" s="22" t="n"/>
      <c r="AG506" s="22" t="n"/>
      <c r="AH506" s="22" t="n"/>
      <c r="AI506" s="22" t="n"/>
      <c r="AJ506" s="22" t="n"/>
      <c r="AK506" s="22" t="n"/>
      <c r="AL506" s="22" t="n"/>
      <c r="AM506" s="22" t="n"/>
      <c r="AN506" s="22" t="n"/>
      <c r="AO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  <c r="Y507" s="22" t="n"/>
      <c r="Z507" s="22" t="n"/>
      <c r="AA507" s="22" t="n"/>
      <c r="AB507" s="22" t="n"/>
      <c r="AC507" s="22" t="n"/>
      <c r="AD507" s="22" t="n"/>
      <c r="AE507" s="22" t="n"/>
      <c r="AF507" s="22" t="n"/>
      <c r="AG507" s="22" t="n"/>
      <c r="AH507" s="22" t="n"/>
      <c r="AI507" s="22" t="n"/>
      <c r="AJ507" s="22" t="n"/>
      <c r="AK507" s="22" t="n"/>
      <c r="AL507" s="22" t="n"/>
      <c r="AM507" s="22" t="n"/>
      <c r="AN507" s="22" t="n"/>
      <c r="AO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  <c r="Y508" s="22" t="n"/>
      <c r="Z508" s="22" t="n"/>
      <c r="AA508" s="22" t="n"/>
      <c r="AB508" s="22" t="n"/>
      <c r="AC508" s="22" t="n"/>
      <c r="AD508" s="22" t="n"/>
      <c r="AE508" s="22" t="n"/>
      <c r="AF508" s="22" t="n"/>
      <c r="AG508" s="22" t="n"/>
      <c r="AH508" s="22" t="n"/>
      <c r="AI508" s="22" t="n"/>
      <c r="AJ508" s="22" t="n"/>
      <c r="AK508" s="22" t="n"/>
      <c r="AL508" s="22" t="n"/>
      <c r="AM508" s="22" t="n"/>
      <c r="AN508" s="22" t="n"/>
      <c r="AO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  <c r="Y509" s="22" t="n"/>
      <c r="Z509" s="22" t="n"/>
      <c r="AA509" s="22" t="n"/>
      <c r="AB509" s="22" t="n"/>
      <c r="AC509" s="22" t="n"/>
      <c r="AD509" s="22" t="n"/>
      <c r="AE509" s="22" t="n"/>
      <c r="AF509" s="22" t="n"/>
      <c r="AG509" s="22" t="n"/>
      <c r="AH509" s="22" t="n"/>
      <c r="AI509" s="22" t="n"/>
      <c r="AJ509" s="22" t="n"/>
      <c r="AK509" s="22" t="n"/>
      <c r="AL509" s="22" t="n"/>
      <c r="AM509" s="22" t="n"/>
      <c r="AN509" s="22" t="n"/>
      <c r="AO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  <c r="Y510" s="22" t="n"/>
      <c r="Z510" s="22" t="n"/>
      <c r="AA510" s="22" t="n"/>
      <c r="AB510" s="22" t="n"/>
      <c r="AC510" s="22" t="n"/>
      <c r="AD510" s="22" t="n"/>
      <c r="AE510" s="22" t="n"/>
      <c r="AF510" s="22" t="n"/>
      <c r="AG510" s="22" t="n"/>
      <c r="AH510" s="22" t="n"/>
      <c r="AI510" s="22" t="n"/>
      <c r="AJ510" s="22" t="n"/>
      <c r="AK510" s="22" t="n"/>
      <c r="AL510" s="22" t="n"/>
      <c r="AM510" s="22" t="n"/>
      <c r="AN510" s="22" t="n"/>
      <c r="AO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  <c r="Y511" s="22" t="n"/>
      <c r="Z511" s="22" t="n"/>
      <c r="AA511" s="22" t="n"/>
      <c r="AB511" s="22" t="n"/>
      <c r="AC511" s="22" t="n"/>
      <c r="AD511" s="22" t="n"/>
      <c r="AE511" s="22" t="n"/>
      <c r="AF511" s="22" t="n"/>
      <c r="AG511" s="22" t="n"/>
      <c r="AH511" s="22" t="n"/>
      <c r="AI511" s="22" t="n"/>
      <c r="AJ511" s="22" t="n"/>
      <c r="AK511" s="22" t="n"/>
      <c r="AL511" s="22" t="n"/>
      <c r="AM511" s="22" t="n"/>
      <c r="AN511" s="22" t="n"/>
      <c r="AO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  <c r="Y512" s="22" t="n"/>
      <c r="Z512" s="22" t="n"/>
      <c r="AA512" s="22" t="n"/>
      <c r="AB512" s="22" t="n"/>
      <c r="AC512" s="22" t="n"/>
      <c r="AD512" s="22" t="n"/>
      <c r="AE512" s="22" t="n"/>
      <c r="AF512" s="22" t="n"/>
      <c r="AG512" s="22" t="n"/>
      <c r="AH512" s="22" t="n"/>
      <c r="AI512" s="22" t="n"/>
      <c r="AJ512" s="22" t="n"/>
      <c r="AK512" s="22" t="n"/>
      <c r="AL512" s="22" t="n"/>
      <c r="AM512" s="22" t="n"/>
      <c r="AN512" s="22" t="n"/>
      <c r="AO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  <c r="Y513" s="22" t="n"/>
      <c r="Z513" s="22" t="n"/>
      <c r="AA513" s="22" t="n"/>
      <c r="AB513" s="22" t="n"/>
      <c r="AC513" s="22" t="n"/>
      <c r="AD513" s="22" t="n"/>
      <c r="AE513" s="22" t="n"/>
      <c r="AF513" s="22" t="n"/>
      <c r="AG513" s="22" t="n"/>
      <c r="AH513" s="22" t="n"/>
      <c r="AI513" s="22" t="n"/>
      <c r="AJ513" s="22" t="n"/>
      <c r="AK513" s="22" t="n"/>
      <c r="AL513" s="22" t="n"/>
      <c r="AM513" s="22" t="n"/>
      <c r="AN513" s="22" t="n"/>
      <c r="AO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  <c r="Y514" s="22" t="n"/>
      <c r="Z514" s="22" t="n"/>
      <c r="AA514" s="22" t="n"/>
      <c r="AB514" s="22" t="n"/>
      <c r="AC514" s="22" t="n"/>
      <c r="AD514" s="22" t="n"/>
      <c r="AE514" s="22" t="n"/>
      <c r="AF514" s="22" t="n"/>
      <c r="AG514" s="22" t="n"/>
      <c r="AH514" s="22" t="n"/>
      <c r="AI514" s="22" t="n"/>
      <c r="AJ514" s="22" t="n"/>
      <c r="AK514" s="22" t="n"/>
      <c r="AL514" s="22" t="n"/>
      <c r="AM514" s="22" t="n"/>
      <c r="AN514" s="22" t="n"/>
      <c r="AO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  <c r="Y515" s="22" t="n"/>
      <c r="Z515" s="22" t="n"/>
      <c r="AA515" s="22" t="n"/>
      <c r="AB515" s="22" t="n"/>
      <c r="AC515" s="22" t="n"/>
      <c r="AD515" s="22" t="n"/>
      <c r="AE515" s="22" t="n"/>
      <c r="AF515" s="22" t="n"/>
      <c r="AG515" s="22" t="n"/>
      <c r="AH515" s="22" t="n"/>
      <c r="AI515" s="22" t="n"/>
      <c r="AJ515" s="22" t="n"/>
      <c r="AK515" s="22" t="n"/>
      <c r="AL515" s="22" t="n"/>
      <c r="AM515" s="22" t="n"/>
      <c r="AN515" s="22" t="n"/>
      <c r="AO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  <c r="Y516" s="22" t="n"/>
      <c r="Z516" s="22" t="n"/>
      <c r="AA516" s="22" t="n"/>
      <c r="AB516" s="22" t="n"/>
      <c r="AC516" s="22" t="n"/>
      <c r="AD516" s="22" t="n"/>
      <c r="AE516" s="22" t="n"/>
      <c r="AF516" s="22" t="n"/>
      <c r="AG516" s="22" t="n"/>
      <c r="AH516" s="22" t="n"/>
      <c r="AI516" s="22" t="n"/>
      <c r="AJ516" s="22" t="n"/>
      <c r="AK516" s="22" t="n"/>
      <c r="AL516" s="22" t="n"/>
      <c r="AM516" s="22" t="n"/>
      <c r="AN516" s="22" t="n"/>
      <c r="AO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  <c r="Y517" s="22" t="n"/>
      <c r="Z517" s="22" t="n"/>
      <c r="AA517" s="22" t="n"/>
      <c r="AB517" s="22" t="n"/>
      <c r="AC517" s="22" t="n"/>
      <c r="AD517" s="22" t="n"/>
      <c r="AE517" s="22" t="n"/>
      <c r="AF517" s="22" t="n"/>
      <c r="AG517" s="22" t="n"/>
      <c r="AH517" s="22" t="n"/>
      <c r="AI517" s="22" t="n"/>
      <c r="AJ517" s="22" t="n"/>
      <c r="AK517" s="22" t="n"/>
      <c r="AL517" s="22" t="n"/>
      <c r="AM517" s="22" t="n"/>
      <c r="AN517" s="22" t="n"/>
      <c r="AO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  <c r="Y518" s="22" t="n"/>
      <c r="Z518" s="22" t="n"/>
      <c r="AA518" s="22" t="n"/>
      <c r="AB518" s="22" t="n"/>
      <c r="AC518" s="22" t="n"/>
      <c r="AD518" s="22" t="n"/>
      <c r="AE518" s="22" t="n"/>
      <c r="AF518" s="22" t="n"/>
      <c r="AG518" s="22" t="n"/>
      <c r="AH518" s="22" t="n"/>
      <c r="AI518" s="22" t="n"/>
      <c r="AJ518" s="22" t="n"/>
      <c r="AK518" s="22" t="n"/>
      <c r="AL518" s="22" t="n"/>
      <c r="AM518" s="22" t="n"/>
      <c r="AN518" s="22" t="n"/>
      <c r="AO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  <c r="Y519" s="22" t="n"/>
      <c r="Z519" s="22" t="n"/>
      <c r="AA519" s="22" t="n"/>
      <c r="AB519" s="22" t="n"/>
      <c r="AC519" s="22" t="n"/>
      <c r="AD519" s="22" t="n"/>
      <c r="AE519" s="22" t="n"/>
      <c r="AF519" s="22" t="n"/>
      <c r="AG519" s="22" t="n"/>
      <c r="AH519" s="22" t="n"/>
      <c r="AI519" s="22" t="n"/>
      <c r="AJ519" s="22" t="n"/>
      <c r="AK519" s="22" t="n"/>
      <c r="AL519" s="22" t="n"/>
      <c r="AM519" s="22" t="n"/>
      <c r="AN519" s="22" t="n"/>
      <c r="AO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  <c r="Y520" s="22" t="n"/>
      <c r="Z520" s="22" t="n"/>
      <c r="AA520" s="22" t="n"/>
      <c r="AB520" s="22" t="n"/>
      <c r="AC520" s="22" t="n"/>
      <c r="AD520" s="22" t="n"/>
      <c r="AE520" s="22" t="n"/>
      <c r="AF520" s="22" t="n"/>
      <c r="AG520" s="22" t="n"/>
      <c r="AH520" s="22" t="n"/>
      <c r="AI520" s="22" t="n"/>
      <c r="AJ520" s="22" t="n"/>
      <c r="AK520" s="22" t="n"/>
      <c r="AL520" s="22" t="n"/>
      <c r="AM520" s="22" t="n"/>
      <c r="AN520" s="22" t="n"/>
      <c r="AO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  <c r="Y521" s="22" t="n"/>
      <c r="Z521" s="22" t="n"/>
      <c r="AA521" s="22" t="n"/>
      <c r="AB521" s="22" t="n"/>
      <c r="AC521" s="22" t="n"/>
      <c r="AD521" s="22" t="n"/>
      <c r="AE521" s="22" t="n"/>
      <c r="AF521" s="22" t="n"/>
      <c r="AG521" s="22" t="n"/>
      <c r="AH521" s="22" t="n"/>
      <c r="AI521" s="22" t="n"/>
      <c r="AJ521" s="22" t="n"/>
      <c r="AK521" s="22" t="n"/>
      <c r="AL521" s="22" t="n"/>
      <c r="AM521" s="22" t="n"/>
      <c r="AN521" s="22" t="n"/>
      <c r="AO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  <c r="Y522" s="22" t="n"/>
      <c r="Z522" s="22" t="n"/>
      <c r="AA522" s="22" t="n"/>
      <c r="AB522" s="22" t="n"/>
      <c r="AC522" s="22" t="n"/>
      <c r="AD522" s="22" t="n"/>
      <c r="AE522" s="22" t="n"/>
      <c r="AF522" s="22" t="n"/>
      <c r="AG522" s="22" t="n"/>
      <c r="AH522" s="22" t="n"/>
      <c r="AI522" s="22" t="n"/>
      <c r="AJ522" s="22" t="n"/>
      <c r="AK522" s="22" t="n"/>
      <c r="AL522" s="22" t="n"/>
      <c r="AM522" s="22" t="n"/>
      <c r="AN522" s="22" t="n"/>
      <c r="AO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  <c r="Y523" s="22" t="n"/>
      <c r="Z523" s="22" t="n"/>
      <c r="AA523" s="22" t="n"/>
      <c r="AB523" s="22" t="n"/>
      <c r="AC523" s="22" t="n"/>
      <c r="AD523" s="22" t="n"/>
      <c r="AE523" s="22" t="n"/>
      <c r="AF523" s="22" t="n"/>
      <c r="AG523" s="22" t="n"/>
      <c r="AH523" s="22" t="n"/>
      <c r="AI523" s="22" t="n"/>
      <c r="AJ523" s="22" t="n"/>
      <c r="AK523" s="22" t="n"/>
      <c r="AL523" s="22" t="n"/>
      <c r="AM523" s="22" t="n"/>
      <c r="AN523" s="22" t="n"/>
      <c r="AO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  <c r="Y524" s="22" t="n"/>
      <c r="Z524" s="22" t="n"/>
      <c r="AA524" s="22" t="n"/>
      <c r="AB524" s="22" t="n"/>
      <c r="AC524" s="22" t="n"/>
      <c r="AD524" s="22" t="n"/>
      <c r="AE524" s="22" t="n"/>
      <c r="AF524" s="22" t="n"/>
      <c r="AG524" s="22" t="n"/>
      <c r="AH524" s="22" t="n"/>
      <c r="AI524" s="22" t="n"/>
      <c r="AJ524" s="22" t="n"/>
      <c r="AK524" s="22" t="n"/>
      <c r="AL524" s="22" t="n"/>
      <c r="AM524" s="22" t="n"/>
      <c r="AN524" s="22" t="n"/>
      <c r="AO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  <c r="Y525" s="22" t="n"/>
      <c r="Z525" s="22" t="n"/>
      <c r="AA525" s="22" t="n"/>
      <c r="AB525" s="22" t="n"/>
      <c r="AC525" s="22" t="n"/>
      <c r="AD525" s="22" t="n"/>
      <c r="AE525" s="22" t="n"/>
      <c r="AF525" s="22" t="n"/>
      <c r="AG525" s="22" t="n"/>
      <c r="AH525" s="22" t="n"/>
      <c r="AI525" s="22" t="n"/>
      <c r="AJ525" s="22" t="n"/>
      <c r="AK525" s="22" t="n"/>
      <c r="AL525" s="22" t="n"/>
      <c r="AM525" s="22" t="n"/>
      <c r="AN525" s="22" t="n"/>
      <c r="AO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  <c r="Y526" s="22" t="n"/>
      <c r="Z526" s="22" t="n"/>
      <c r="AA526" s="22" t="n"/>
      <c r="AB526" s="22" t="n"/>
      <c r="AC526" s="22" t="n"/>
      <c r="AD526" s="22" t="n"/>
      <c r="AE526" s="22" t="n"/>
      <c r="AF526" s="22" t="n"/>
      <c r="AG526" s="22" t="n"/>
      <c r="AH526" s="22" t="n"/>
      <c r="AI526" s="22" t="n"/>
      <c r="AJ526" s="22" t="n"/>
      <c r="AK526" s="22" t="n"/>
      <c r="AL526" s="22" t="n"/>
      <c r="AM526" s="22" t="n"/>
      <c r="AN526" s="22" t="n"/>
      <c r="AO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  <c r="Y527" s="22" t="n"/>
      <c r="Z527" s="22" t="n"/>
      <c r="AA527" s="22" t="n"/>
      <c r="AB527" s="22" t="n"/>
      <c r="AC527" s="22" t="n"/>
      <c r="AD527" s="22" t="n"/>
      <c r="AE527" s="22" t="n"/>
      <c r="AF527" s="22" t="n"/>
      <c r="AG527" s="22" t="n"/>
      <c r="AH527" s="22" t="n"/>
      <c r="AI527" s="22" t="n"/>
      <c r="AJ527" s="22" t="n"/>
      <c r="AK527" s="22" t="n"/>
      <c r="AL527" s="22" t="n"/>
      <c r="AM527" s="22" t="n"/>
      <c r="AN527" s="22" t="n"/>
      <c r="AO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  <c r="Y528" s="22" t="n"/>
      <c r="Z528" s="22" t="n"/>
      <c r="AA528" s="22" t="n"/>
      <c r="AB528" s="22" t="n"/>
      <c r="AC528" s="22" t="n"/>
      <c r="AD528" s="22" t="n"/>
      <c r="AE528" s="22" t="n"/>
      <c r="AF528" s="22" t="n"/>
      <c r="AG528" s="22" t="n"/>
      <c r="AH528" s="22" t="n"/>
      <c r="AI528" s="22" t="n"/>
      <c r="AJ528" s="22" t="n"/>
      <c r="AK528" s="22" t="n"/>
      <c r="AL528" s="22" t="n"/>
      <c r="AM528" s="22" t="n"/>
      <c r="AN528" s="22" t="n"/>
      <c r="AO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  <c r="Y529" s="22" t="n"/>
      <c r="Z529" s="22" t="n"/>
      <c r="AA529" s="22" t="n"/>
      <c r="AB529" s="22" t="n"/>
      <c r="AC529" s="22" t="n"/>
      <c r="AD529" s="22" t="n"/>
      <c r="AE529" s="22" t="n"/>
      <c r="AF529" s="22" t="n"/>
      <c r="AG529" s="22" t="n"/>
      <c r="AH529" s="22" t="n"/>
      <c r="AI529" s="22" t="n"/>
      <c r="AJ529" s="22" t="n"/>
      <c r="AK529" s="22" t="n"/>
      <c r="AL529" s="22" t="n"/>
      <c r="AM529" s="22" t="n"/>
      <c r="AN529" s="22" t="n"/>
      <c r="AO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  <c r="Y530" s="22" t="n"/>
      <c r="Z530" s="22" t="n"/>
      <c r="AA530" s="22" t="n"/>
      <c r="AB530" s="22" t="n"/>
      <c r="AC530" s="22" t="n"/>
      <c r="AD530" s="22" t="n"/>
      <c r="AE530" s="22" t="n"/>
      <c r="AF530" s="22" t="n"/>
      <c r="AG530" s="22" t="n"/>
      <c r="AH530" s="22" t="n"/>
      <c r="AI530" s="22" t="n"/>
      <c r="AJ530" s="22" t="n"/>
      <c r="AK530" s="22" t="n"/>
      <c r="AL530" s="22" t="n"/>
      <c r="AM530" s="22" t="n"/>
      <c r="AN530" s="22" t="n"/>
      <c r="AO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  <c r="Y531" s="22" t="n"/>
      <c r="Z531" s="22" t="n"/>
      <c r="AA531" s="22" t="n"/>
      <c r="AB531" s="22" t="n"/>
      <c r="AC531" s="22" t="n"/>
      <c r="AD531" s="22" t="n"/>
      <c r="AE531" s="22" t="n"/>
      <c r="AF531" s="22" t="n"/>
      <c r="AG531" s="22" t="n"/>
      <c r="AH531" s="22" t="n"/>
      <c r="AI531" s="22" t="n"/>
      <c r="AJ531" s="22" t="n"/>
      <c r="AK531" s="22" t="n"/>
      <c r="AL531" s="22" t="n"/>
      <c r="AM531" s="22" t="n"/>
      <c r="AN531" s="22" t="n"/>
      <c r="AO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  <c r="Y532" s="22" t="n"/>
      <c r="Z532" s="22" t="n"/>
      <c r="AA532" s="22" t="n"/>
      <c r="AB532" s="22" t="n"/>
      <c r="AC532" s="22" t="n"/>
      <c r="AD532" s="22" t="n"/>
      <c r="AE532" s="22" t="n"/>
      <c r="AF532" s="22" t="n"/>
      <c r="AG532" s="22" t="n"/>
      <c r="AH532" s="22" t="n"/>
      <c r="AI532" s="22" t="n"/>
      <c r="AJ532" s="22" t="n"/>
      <c r="AK532" s="22" t="n"/>
      <c r="AL532" s="22" t="n"/>
      <c r="AM532" s="22" t="n"/>
      <c r="AN532" s="22" t="n"/>
      <c r="AO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  <c r="Y533" s="22" t="n"/>
      <c r="Z533" s="22" t="n"/>
      <c r="AA533" s="22" t="n"/>
      <c r="AB533" s="22" t="n"/>
      <c r="AC533" s="22" t="n"/>
      <c r="AD533" s="22" t="n"/>
      <c r="AE533" s="22" t="n"/>
      <c r="AF533" s="22" t="n"/>
      <c r="AG533" s="22" t="n"/>
      <c r="AH533" s="22" t="n"/>
      <c r="AI533" s="22" t="n"/>
      <c r="AJ533" s="22" t="n"/>
      <c r="AK533" s="22" t="n"/>
      <c r="AL533" s="22" t="n"/>
      <c r="AM533" s="22" t="n"/>
      <c r="AN533" s="22" t="n"/>
      <c r="AO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  <c r="Y534" s="22" t="n"/>
      <c r="Z534" s="22" t="n"/>
      <c r="AA534" s="22" t="n"/>
      <c r="AB534" s="22" t="n"/>
      <c r="AC534" s="22" t="n"/>
      <c r="AD534" s="22" t="n"/>
      <c r="AE534" s="22" t="n"/>
      <c r="AF534" s="22" t="n"/>
      <c r="AG534" s="22" t="n"/>
      <c r="AH534" s="22" t="n"/>
      <c r="AI534" s="22" t="n"/>
      <c r="AJ534" s="22" t="n"/>
      <c r="AK534" s="22" t="n"/>
      <c r="AL534" s="22" t="n"/>
      <c r="AM534" s="22" t="n"/>
      <c r="AN534" s="22" t="n"/>
      <c r="AO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  <c r="Y535" s="22" t="n"/>
      <c r="Z535" s="22" t="n"/>
      <c r="AA535" s="22" t="n"/>
      <c r="AB535" s="22" t="n"/>
      <c r="AC535" s="22" t="n"/>
      <c r="AD535" s="22" t="n"/>
      <c r="AE535" s="22" t="n"/>
      <c r="AF535" s="22" t="n"/>
      <c r="AG535" s="22" t="n"/>
      <c r="AH535" s="22" t="n"/>
      <c r="AI535" s="22" t="n"/>
      <c r="AJ535" s="22" t="n"/>
      <c r="AK535" s="22" t="n"/>
      <c r="AL535" s="22" t="n"/>
      <c r="AM535" s="22" t="n"/>
      <c r="AN535" s="22" t="n"/>
      <c r="AO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  <c r="Y536" s="22" t="n"/>
      <c r="Z536" s="22" t="n"/>
      <c r="AA536" s="22" t="n"/>
      <c r="AB536" s="22" t="n"/>
      <c r="AC536" s="22" t="n"/>
      <c r="AD536" s="22" t="n"/>
      <c r="AE536" s="22" t="n"/>
      <c r="AF536" s="22" t="n"/>
      <c r="AG536" s="22" t="n"/>
      <c r="AH536" s="22" t="n"/>
      <c r="AI536" s="22" t="n"/>
      <c r="AJ536" s="22" t="n"/>
      <c r="AK536" s="22" t="n"/>
      <c r="AL536" s="22" t="n"/>
      <c r="AM536" s="22" t="n"/>
      <c r="AN536" s="22" t="n"/>
      <c r="AO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  <c r="Y537" s="22" t="n"/>
      <c r="Z537" s="22" t="n"/>
      <c r="AA537" s="22" t="n"/>
      <c r="AB537" s="22" t="n"/>
      <c r="AC537" s="22" t="n"/>
      <c r="AD537" s="22" t="n"/>
      <c r="AE537" s="22" t="n"/>
      <c r="AF537" s="22" t="n"/>
      <c r="AG537" s="22" t="n"/>
      <c r="AH537" s="22" t="n"/>
      <c r="AI537" s="22" t="n"/>
      <c r="AJ537" s="22" t="n"/>
      <c r="AK537" s="22" t="n"/>
      <c r="AL537" s="22" t="n"/>
      <c r="AM537" s="22" t="n"/>
      <c r="AN537" s="22" t="n"/>
      <c r="AO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  <c r="Y538" s="22" t="n"/>
      <c r="Z538" s="22" t="n"/>
      <c r="AA538" s="22" t="n"/>
      <c r="AB538" s="22" t="n"/>
      <c r="AC538" s="22" t="n"/>
      <c r="AD538" s="22" t="n"/>
      <c r="AE538" s="22" t="n"/>
      <c r="AF538" s="22" t="n"/>
      <c r="AG538" s="22" t="n"/>
      <c r="AH538" s="22" t="n"/>
      <c r="AI538" s="22" t="n"/>
      <c r="AJ538" s="22" t="n"/>
      <c r="AK538" s="22" t="n"/>
      <c r="AL538" s="22" t="n"/>
      <c r="AM538" s="22" t="n"/>
      <c r="AN538" s="22" t="n"/>
      <c r="AO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  <c r="Y539" s="22" t="n"/>
      <c r="Z539" s="22" t="n"/>
      <c r="AA539" s="22" t="n"/>
      <c r="AB539" s="22" t="n"/>
      <c r="AC539" s="22" t="n"/>
      <c r="AD539" s="22" t="n"/>
      <c r="AE539" s="22" t="n"/>
      <c r="AF539" s="22" t="n"/>
      <c r="AG539" s="22" t="n"/>
      <c r="AH539" s="22" t="n"/>
      <c r="AI539" s="22" t="n"/>
      <c r="AJ539" s="22" t="n"/>
      <c r="AK539" s="22" t="n"/>
      <c r="AL539" s="22" t="n"/>
      <c r="AM539" s="22" t="n"/>
      <c r="AN539" s="22" t="n"/>
      <c r="AO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  <c r="Y540" s="22" t="n"/>
      <c r="Z540" s="22" t="n"/>
      <c r="AA540" s="22" t="n"/>
      <c r="AB540" s="22" t="n"/>
      <c r="AC540" s="22" t="n"/>
      <c r="AD540" s="22" t="n"/>
      <c r="AE540" s="22" t="n"/>
      <c r="AF540" s="22" t="n"/>
      <c r="AG540" s="22" t="n"/>
      <c r="AH540" s="22" t="n"/>
      <c r="AI540" s="22" t="n"/>
      <c r="AJ540" s="22" t="n"/>
      <c r="AK540" s="22" t="n"/>
      <c r="AL540" s="22" t="n"/>
      <c r="AM540" s="22" t="n"/>
      <c r="AN540" s="22" t="n"/>
      <c r="AO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  <c r="Y541" s="22" t="n"/>
      <c r="Z541" s="22" t="n"/>
      <c r="AA541" s="22" t="n"/>
      <c r="AB541" s="22" t="n"/>
      <c r="AC541" s="22" t="n"/>
      <c r="AD541" s="22" t="n"/>
      <c r="AE541" s="22" t="n"/>
      <c r="AF541" s="22" t="n"/>
      <c r="AG541" s="22" t="n"/>
      <c r="AH541" s="22" t="n"/>
      <c r="AI541" s="22" t="n"/>
      <c r="AJ541" s="22" t="n"/>
      <c r="AK541" s="22" t="n"/>
      <c r="AL541" s="22" t="n"/>
      <c r="AM541" s="22" t="n"/>
      <c r="AN541" s="22" t="n"/>
      <c r="AO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  <c r="Y542" s="22" t="n"/>
      <c r="Z542" s="22" t="n"/>
      <c r="AA542" s="22" t="n"/>
      <c r="AB542" s="22" t="n"/>
      <c r="AC542" s="22" t="n"/>
      <c r="AD542" s="22" t="n"/>
      <c r="AE542" s="22" t="n"/>
      <c r="AF542" s="22" t="n"/>
      <c r="AG542" s="22" t="n"/>
      <c r="AH542" s="22" t="n"/>
      <c r="AI542" s="22" t="n"/>
      <c r="AJ542" s="22" t="n"/>
      <c r="AK542" s="22" t="n"/>
      <c r="AL542" s="22" t="n"/>
      <c r="AM542" s="22" t="n"/>
      <c r="AN542" s="22" t="n"/>
      <c r="AO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  <c r="Y543" s="22" t="n"/>
      <c r="Z543" s="22" t="n"/>
      <c r="AA543" s="22" t="n"/>
      <c r="AB543" s="22" t="n"/>
      <c r="AC543" s="22" t="n"/>
      <c r="AD543" s="22" t="n"/>
      <c r="AE543" s="22" t="n"/>
      <c r="AF543" s="22" t="n"/>
      <c r="AG543" s="22" t="n"/>
      <c r="AH543" s="22" t="n"/>
      <c r="AI543" s="22" t="n"/>
      <c r="AJ543" s="22" t="n"/>
      <c r="AK543" s="22" t="n"/>
      <c r="AL543" s="22" t="n"/>
      <c r="AM543" s="22" t="n"/>
      <c r="AN543" s="22" t="n"/>
      <c r="AO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  <c r="Y544" s="22" t="n"/>
      <c r="Z544" s="22" t="n"/>
      <c r="AA544" s="22" t="n"/>
      <c r="AB544" s="22" t="n"/>
      <c r="AC544" s="22" t="n"/>
      <c r="AD544" s="22" t="n"/>
      <c r="AE544" s="22" t="n"/>
      <c r="AF544" s="22" t="n"/>
      <c r="AG544" s="22" t="n"/>
      <c r="AH544" s="22" t="n"/>
      <c r="AI544" s="22" t="n"/>
      <c r="AJ544" s="22" t="n"/>
      <c r="AK544" s="22" t="n"/>
      <c r="AL544" s="22" t="n"/>
      <c r="AM544" s="22" t="n"/>
      <c r="AN544" s="22" t="n"/>
      <c r="AO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  <c r="Y545" s="22" t="n"/>
      <c r="Z545" s="22" t="n"/>
      <c r="AA545" s="22" t="n"/>
      <c r="AB545" s="22" t="n"/>
      <c r="AC545" s="22" t="n"/>
      <c r="AD545" s="22" t="n"/>
      <c r="AE545" s="22" t="n"/>
      <c r="AF545" s="22" t="n"/>
      <c r="AG545" s="22" t="n"/>
      <c r="AH545" s="22" t="n"/>
      <c r="AI545" s="22" t="n"/>
      <c r="AJ545" s="22" t="n"/>
      <c r="AK545" s="22" t="n"/>
      <c r="AL545" s="22" t="n"/>
      <c r="AM545" s="22" t="n"/>
      <c r="AN545" s="22" t="n"/>
      <c r="AO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  <c r="Y546" s="22" t="n"/>
      <c r="Z546" s="22" t="n"/>
      <c r="AA546" s="22" t="n"/>
      <c r="AB546" s="22" t="n"/>
      <c r="AC546" s="22" t="n"/>
      <c r="AD546" s="22" t="n"/>
      <c r="AE546" s="22" t="n"/>
      <c r="AF546" s="22" t="n"/>
      <c r="AG546" s="22" t="n"/>
      <c r="AH546" s="22" t="n"/>
      <c r="AI546" s="22" t="n"/>
      <c r="AJ546" s="22" t="n"/>
      <c r="AK546" s="22" t="n"/>
      <c r="AL546" s="22" t="n"/>
      <c r="AM546" s="22" t="n"/>
      <c r="AN546" s="22" t="n"/>
      <c r="AO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  <c r="Y547" s="22" t="n"/>
      <c r="Z547" s="22" t="n"/>
      <c r="AA547" s="22" t="n"/>
      <c r="AB547" s="22" t="n"/>
      <c r="AC547" s="22" t="n"/>
      <c r="AD547" s="22" t="n"/>
      <c r="AE547" s="22" t="n"/>
      <c r="AF547" s="22" t="n"/>
      <c r="AG547" s="22" t="n"/>
      <c r="AH547" s="22" t="n"/>
      <c r="AI547" s="22" t="n"/>
      <c r="AJ547" s="22" t="n"/>
      <c r="AK547" s="22" t="n"/>
      <c r="AL547" s="22" t="n"/>
      <c r="AM547" s="22" t="n"/>
      <c r="AN547" s="22" t="n"/>
      <c r="AO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  <c r="Y548" s="22" t="n"/>
      <c r="Z548" s="22" t="n"/>
      <c r="AA548" s="22" t="n"/>
      <c r="AB548" s="22" t="n"/>
      <c r="AC548" s="22" t="n"/>
      <c r="AD548" s="22" t="n"/>
      <c r="AE548" s="22" t="n"/>
      <c r="AF548" s="22" t="n"/>
      <c r="AG548" s="22" t="n"/>
      <c r="AH548" s="22" t="n"/>
      <c r="AI548" s="22" t="n"/>
      <c r="AJ548" s="22" t="n"/>
      <c r="AK548" s="22" t="n"/>
      <c r="AL548" s="22" t="n"/>
      <c r="AM548" s="22" t="n"/>
      <c r="AN548" s="22" t="n"/>
      <c r="AO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  <c r="Y549" s="22" t="n"/>
      <c r="Z549" s="22" t="n"/>
      <c r="AA549" s="22" t="n"/>
      <c r="AB549" s="22" t="n"/>
      <c r="AC549" s="22" t="n"/>
      <c r="AD549" s="22" t="n"/>
      <c r="AE549" s="22" t="n"/>
      <c r="AF549" s="22" t="n"/>
      <c r="AG549" s="22" t="n"/>
      <c r="AH549" s="22" t="n"/>
      <c r="AI549" s="22" t="n"/>
      <c r="AJ549" s="22" t="n"/>
      <c r="AK549" s="22" t="n"/>
      <c r="AL549" s="22" t="n"/>
      <c r="AM549" s="22" t="n"/>
      <c r="AN549" s="22" t="n"/>
      <c r="AO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  <c r="Y550" s="22" t="n"/>
      <c r="Z550" s="22" t="n"/>
      <c r="AA550" s="22" t="n"/>
      <c r="AB550" s="22" t="n"/>
      <c r="AC550" s="22" t="n"/>
      <c r="AD550" s="22" t="n"/>
      <c r="AE550" s="22" t="n"/>
      <c r="AF550" s="22" t="n"/>
      <c r="AG550" s="22" t="n"/>
      <c r="AH550" s="22" t="n"/>
      <c r="AI550" s="22" t="n"/>
      <c r="AJ550" s="22" t="n"/>
      <c r="AK550" s="22" t="n"/>
      <c r="AL550" s="22" t="n"/>
      <c r="AM550" s="22" t="n"/>
      <c r="AN550" s="22" t="n"/>
      <c r="AO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  <c r="Y551" s="22" t="n"/>
      <c r="Z551" s="22" t="n"/>
      <c r="AA551" s="22" t="n"/>
      <c r="AB551" s="22" t="n"/>
      <c r="AC551" s="22" t="n"/>
      <c r="AD551" s="22" t="n"/>
      <c r="AE551" s="22" t="n"/>
      <c r="AF551" s="22" t="n"/>
      <c r="AG551" s="22" t="n"/>
      <c r="AH551" s="22" t="n"/>
      <c r="AI551" s="22" t="n"/>
      <c r="AJ551" s="22" t="n"/>
      <c r="AK551" s="22" t="n"/>
      <c r="AL551" s="22" t="n"/>
      <c r="AM551" s="22" t="n"/>
      <c r="AN551" s="22" t="n"/>
      <c r="AO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  <c r="Y552" s="22" t="n"/>
      <c r="Z552" s="22" t="n"/>
      <c r="AA552" s="22" t="n"/>
      <c r="AB552" s="22" t="n"/>
      <c r="AC552" s="22" t="n"/>
      <c r="AD552" s="22" t="n"/>
      <c r="AE552" s="22" t="n"/>
      <c r="AF552" s="22" t="n"/>
      <c r="AG552" s="22" t="n"/>
      <c r="AH552" s="22" t="n"/>
      <c r="AI552" s="22" t="n"/>
      <c r="AJ552" s="22" t="n"/>
      <c r="AK552" s="22" t="n"/>
      <c r="AL552" s="22" t="n"/>
      <c r="AM552" s="22" t="n"/>
      <c r="AN552" s="22" t="n"/>
      <c r="AO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  <c r="Y553" s="22" t="n"/>
      <c r="Z553" s="22" t="n"/>
      <c r="AA553" s="22" t="n"/>
      <c r="AB553" s="22" t="n"/>
      <c r="AC553" s="22" t="n"/>
      <c r="AD553" s="22" t="n"/>
      <c r="AE553" s="22" t="n"/>
      <c r="AF553" s="22" t="n"/>
      <c r="AG553" s="22" t="n"/>
      <c r="AH553" s="22" t="n"/>
      <c r="AI553" s="22" t="n"/>
      <c r="AJ553" s="22" t="n"/>
      <c r="AK553" s="22" t="n"/>
      <c r="AL553" s="22" t="n"/>
      <c r="AM553" s="22" t="n"/>
      <c r="AN553" s="22" t="n"/>
      <c r="AO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  <c r="Y554" s="22" t="n"/>
      <c r="Z554" s="22" t="n"/>
      <c r="AA554" s="22" t="n"/>
      <c r="AB554" s="22" t="n"/>
      <c r="AC554" s="22" t="n"/>
      <c r="AD554" s="22" t="n"/>
      <c r="AE554" s="22" t="n"/>
      <c r="AF554" s="22" t="n"/>
      <c r="AG554" s="22" t="n"/>
      <c r="AH554" s="22" t="n"/>
      <c r="AI554" s="22" t="n"/>
      <c r="AJ554" s="22" t="n"/>
      <c r="AK554" s="22" t="n"/>
      <c r="AL554" s="22" t="n"/>
      <c r="AM554" s="22" t="n"/>
      <c r="AN554" s="22" t="n"/>
      <c r="AO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  <c r="Y555" s="22" t="n"/>
      <c r="Z555" s="22" t="n"/>
      <c r="AA555" s="22" t="n"/>
      <c r="AB555" s="22" t="n"/>
      <c r="AC555" s="22" t="n"/>
      <c r="AD555" s="22" t="n"/>
      <c r="AE555" s="22" t="n"/>
      <c r="AF555" s="22" t="n"/>
      <c r="AG555" s="22" t="n"/>
      <c r="AH555" s="22" t="n"/>
      <c r="AI555" s="22" t="n"/>
      <c r="AJ555" s="22" t="n"/>
      <c r="AK555" s="22" t="n"/>
      <c r="AL555" s="22" t="n"/>
      <c r="AM555" s="22" t="n"/>
      <c r="AN555" s="22" t="n"/>
      <c r="AO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  <c r="Y556" s="22" t="n"/>
      <c r="Z556" s="22" t="n"/>
      <c r="AA556" s="22" t="n"/>
      <c r="AB556" s="22" t="n"/>
      <c r="AC556" s="22" t="n"/>
      <c r="AD556" s="22" t="n"/>
      <c r="AE556" s="22" t="n"/>
      <c r="AF556" s="22" t="n"/>
      <c r="AG556" s="22" t="n"/>
      <c r="AH556" s="22" t="n"/>
      <c r="AI556" s="22" t="n"/>
      <c r="AJ556" s="22" t="n"/>
      <c r="AK556" s="22" t="n"/>
      <c r="AL556" s="22" t="n"/>
      <c r="AM556" s="22" t="n"/>
      <c r="AN556" s="22" t="n"/>
      <c r="AO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  <c r="Y557" s="22" t="n"/>
      <c r="Z557" s="22" t="n"/>
      <c r="AA557" s="22" t="n"/>
      <c r="AB557" s="22" t="n"/>
      <c r="AC557" s="22" t="n"/>
      <c r="AD557" s="22" t="n"/>
      <c r="AE557" s="22" t="n"/>
      <c r="AF557" s="22" t="n"/>
      <c r="AG557" s="22" t="n"/>
      <c r="AH557" s="22" t="n"/>
      <c r="AI557" s="22" t="n"/>
      <c r="AJ557" s="22" t="n"/>
      <c r="AK557" s="22" t="n"/>
      <c r="AL557" s="22" t="n"/>
      <c r="AM557" s="22" t="n"/>
      <c r="AN557" s="22" t="n"/>
      <c r="AO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  <c r="Y558" s="22" t="n"/>
      <c r="Z558" s="22" t="n"/>
      <c r="AA558" s="22" t="n"/>
      <c r="AB558" s="22" t="n"/>
      <c r="AC558" s="22" t="n"/>
      <c r="AD558" s="22" t="n"/>
      <c r="AE558" s="22" t="n"/>
      <c r="AF558" s="22" t="n"/>
      <c r="AG558" s="22" t="n"/>
      <c r="AH558" s="22" t="n"/>
      <c r="AI558" s="22" t="n"/>
      <c r="AJ558" s="22" t="n"/>
      <c r="AK558" s="22" t="n"/>
      <c r="AL558" s="22" t="n"/>
      <c r="AM558" s="22" t="n"/>
      <c r="AN558" s="22" t="n"/>
      <c r="AO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  <c r="Y559" s="22" t="n"/>
      <c r="Z559" s="22" t="n"/>
      <c r="AA559" s="22" t="n"/>
      <c r="AB559" s="22" t="n"/>
      <c r="AC559" s="22" t="n"/>
      <c r="AD559" s="22" t="n"/>
      <c r="AE559" s="22" t="n"/>
      <c r="AF559" s="22" t="n"/>
      <c r="AG559" s="22" t="n"/>
      <c r="AH559" s="22" t="n"/>
      <c r="AI559" s="22" t="n"/>
      <c r="AJ559" s="22" t="n"/>
      <c r="AK559" s="22" t="n"/>
      <c r="AL559" s="22" t="n"/>
      <c r="AM559" s="22" t="n"/>
      <c r="AN559" s="22" t="n"/>
      <c r="AO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  <c r="Y560" s="22" t="n"/>
      <c r="Z560" s="22" t="n"/>
      <c r="AA560" s="22" t="n"/>
      <c r="AB560" s="22" t="n"/>
      <c r="AC560" s="22" t="n"/>
      <c r="AD560" s="22" t="n"/>
      <c r="AE560" s="22" t="n"/>
      <c r="AF560" s="22" t="n"/>
      <c r="AG560" s="22" t="n"/>
      <c r="AH560" s="22" t="n"/>
      <c r="AI560" s="22" t="n"/>
      <c r="AJ560" s="22" t="n"/>
      <c r="AK560" s="22" t="n"/>
      <c r="AL560" s="22" t="n"/>
      <c r="AM560" s="22" t="n"/>
      <c r="AN560" s="22" t="n"/>
      <c r="AO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  <c r="Y561" s="22" t="n"/>
      <c r="Z561" s="22" t="n"/>
      <c r="AA561" s="22" t="n"/>
      <c r="AB561" s="22" t="n"/>
      <c r="AC561" s="22" t="n"/>
      <c r="AD561" s="22" t="n"/>
      <c r="AE561" s="22" t="n"/>
      <c r="AF561" s="22" t="n"/>
      <c r="AG561" s="22" t="n"/>
      <c r="AH561" s="22" t="n"/>
      <c r="AI561" s="22" t="n"/>
      <c r="AJ561" s="22" t="n"/>
      <c r="AK561" s="22" t="n"/>
      <c r="AL561" s="22" t="n"/>
      <c r="AM561" s="22" t="n"/>
      <c r="AN561" s="22" t="n"/>
      <c r="AO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  <c r="Y562" s="22" t="n"/>
      <c r="Z562" s="22" t="n"/>
      <c r="AA562" s="22" t="n"/>
      <c r="AB562" s="22" t="n"/>
      <c r="AC562" s="22" t="n"/>
      <c r="AD562" s="22" t="n"/>
      <c r="AE562" s="22" t="n"/>
      <c r="AF562" s="22" t="n"/>
      <c r="AG562" s="22" t="n"/>
      <c r="AH562" s="22" t="n"/>
      <c r="AI562" s="22" t="n"/>
      <c r="AJ562" s="22" t="n"/>
      <c r="AK562" s="22" t="n"/>
      <c r="AL562" s="22" t="n"/>
      <c r="AM562" s="22" t="n"/>
      <c r="AN562" s="22" t="n"/>
      <c r="AO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  <c r="Y563" s="22" t="n"/>
      <c r="Z563" s="22" t="n"/>
      <c r="AA563" s="22" t="n"/>
      <c r="AB563" s="22" t="n"/>
      <c r="AC563" s="22" t="n"/>
      <c r="AD563" s="22" t="n"/>
      <c r="AE563" s="22" t="n"/>
      <c r="AF563" s="22" t="n"/>
      <c r="AG563" s="22" t="n"/>
      <c r="AH563" s="22" t="n"/>
      <c r="AI563" s="22" t="n"/>
      <c r="AJ563" s="22" t="n"/>
      <c r="AK563" s="22" t="n"/>
      <c r="AL563" s="22" t="n"/>
      <c r="AM563" s="22" t="n"/>
      <c r="AN563" s="22" t="n"/>
      <c r="AO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  <c r="Y564" s="22" t="n"/>
      <c r="Z564" s="22" t="n"/>
      <c r="AA564" s="22" t="n"/>
      <c r="AB564" s="22" t="n"/>
      <c r="AC564" s="22" t="n"/>
      <c r="AD564" s="22" t="n"/>
      <c r="AE564" s="22" t="n"/>
      <c r="AF564" s="22" t="n"/>
      <c r="AG564" s="22" t="n"/>
      <c r="AH564" s="22" t="n"/>
      <c r="AI564" s="22" t="n"/>
      <c r="AJ564" s="22" t="n"/>
      <c r="AK564" s="22" t="n"/>
      <c r="AL564" s="22" t="n"/>
      <c r="AM564" s="22" t="n"/>
      <c r="AN564" s="22" t="n"/>
      <c r="AO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  <c r="Y565" s="22" t="n"/>
      <c r="Z565" s="22" t="n"/>
      <c r="AA565" s="22" t="n"/>
      <c r="AB565" s="22" t="n"/>
      <c r="AC565" s="22" t="n"/>
      <c r="AD565" s="22" t="n"/>
      <c r="AE565" s="22" t="n"/>
      <c r="AF565" s="22" t="n"/>
      <c r="AG565" s="22" t="n"/>
      <c r="AH565" s="22" t="n"/>
      <c r="AI565" s="22" t="n"/>
      <c r="AJ565" s="22" t="n"/>
      <c r="AK565" s="22" t="n"/>
      <c r="AL565" s="22" t="n"/>
      <c r="AM565" s="22" t="n"/>
      <c r="AN565" s="22" t="n"/>
      <c r="AO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  <c r="Y566" s="22" t="n"/>
      <c r="Z566" s="22" t="n"/>
      <c r="AA566" s="22" t="n"/>
      <c r="AB566" s="22" t="n"/>
      <c r="AC566" s="22" t="n"/>
      <c r="AD566" s="22" t="n"/>
      <c r="AE566" s="22" t="n"/>
      <c r="AF566" s="22" t="n"/>
      <c r="AG566" s="22" t="n"/>
      <c r="AH566" s="22" t="n"/>
      <c r="AI566" s="22" t="n"/>
      <c r="AJ566" s="22" t="n"/>
      <c r="AK566" s="22" t="n"/>
      <c r="AL566" s="22" t="n"/>
      <c r="AM566" s="22" t="n"/>
      <c r="AN566" s="22" t="n"/>
      <c r="AO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  <c r="Y567" s="22" t="n"/>
      <c r="Z567" s="22" t="n"/>
      <c r="AA567" s="22" t="n"/>
      <c r="AB567" s="22" t="n"/>
      <c r="AC567" s="22" t="n"/>
      <c r="AD567" s="22" t="n"/>
      <c r="AE567" s="22" t="n"/>
      <c r="AF567" s="22" t="n"/>
      <c r="AG567" s="22" t="n"/>
      <c r="AH567" s="22" t="n"/>
      <c r="AI567" s="22" t="n"/>
      <c r="AJ567" s="22" t="n"/>
      <c r="AK567" s="22" t="n"/>
      <c r="AL567" s="22" t="n"/>
      <c r="AM567" s="22" t="n"/>
      <c r="AN567" s="22" t="n"/>
      <c r="AO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  <c r="Y568" s="22" t="n"/>
      <c r="Z568" s="22" t="n"/>
      <c r="AA568" s="22" t="n"/>
      <c r="AB568" s="22" t="n"/>
      <c r="AC568" s="22" t="n"/>
      <c r="AD568" s="22" t="n"/>
      <c r="AE568" s="22" t="n"/>
      <c r="AF568" s="22" t="n"/>
      <c r="AG568" s="22" t="n"/>
      <c r="AH568" s="22" t="n"/>
      <c r="AI568" s="22" t="n"/>
      <c r="AJ568" s="22" t="n"/>
      <c r="AK568" s="22" t="n"/>
      <c r="AL568" s="22" t="n"/>
      <c r="AM568" s="22" t="n"/>
      <c r="AN568" s="22" t="n"/>
      <c r="AO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  <c r="Y569" s="22" t="n"/>
      <c r="Z569" s="22" t="n"/>
      <c r="AA569" s="22" t="n"/>
      <c r="AB569" s="22" t="n"/>
      <c r="AC569" s="22" t="n"/>
      <c r="AD569" s="22" t="n"/>
      <c r="AE569" s="22" t="n"/>
      <c r="AF569" s="22" t="n"/>
      <c r="AG569" s="22" t="n"/>
      <c r="AH569" s="22" t="n"/>
      <c r="AI569" s="22" t="n"/>
      <c r="AJ569" s="22" t="n"/>
      <c r="AK569" s="22" t="n"/>
      <c r="AL569" s="22" t="n"/>
      <c r="AM569" s="22" t="n"/>
      <c r="AN569" s="22" t="n"/>
      <c r="AO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  <c r="Y570" s="22" t="n"/>
      <c r="Z570" s="22" t="n"/>
      <c r="AA570" s="22" t="n"/>
      <c r="AB570" s="22" t="n"/>
      <c r="AC570" s="22" t="n"/>
      <c r="AD570" s="22" t="n"/>
      <c r="AE570" s="22" t="n"/>
      <c r="AF570" s="22" t="n"/>
      <c r="AG570" s="22" t="n"/>
      <c r="AH570" s="22" t="n"/>
      <c r="AI570" s="22" t="n"/>
      <c r="AJ570" s="22" t="n"/>
      <c r="AK570" s="22" t="n"/>
      <c r="AL570" s="22" t="n"/>
      <c r="AM570" s="22" t="n"/>
      <c r="AN570" s="22" t="n"/>
      <c r="AO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  <c r="Y571" s="22" t="n"/>
      <c r="Z571" s="22" t="n"/>
      <c r="AA571" s="22" t="n"/>
      <c r="AB571" s="22" t="n"/>
      <c r="AC571" s="22" t="n"/>
      <c r="AD571" s="22" t="n"/>
      <c r="AE571" s="22" t="n"/>
      <c r="AF571" s="22" t="n"/>
      <c r="AG571" s="22" t="n"/>
      <c r="AH571" s="22" t="n"/>
      <c r="AI571" s="22" t="n"/>
      <c r="AJ571" s="22" t="n"/>
      <c r="AK571" s="22" t="n"/>
      <c r="AL571" s="22" t="n"/>
      <c r="AM571" s="22" t="n"/>
      <c r="AN571" s="22" t="n"/>
      <c r="AO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  <c r="Y572" s="22" t="n"/>
      <c r="Z572" s="22" t="n"/>
      <c r="AA572" s="22" t="n"/>
      <c r="AB572" s="22" t="n"/>
      <c r="AC572" s="22" t="n"/>
      <c r="AD572" s="22" t="n"/>
      <c r="AE572" s="22" t="n"/>
      <c r="AF572" s="22" t="n"/>
      <c r="AG572" s="22" t="n"/>
      <c r="AH572" s="22" t="n"/>
      <c r="AI572" s="22" t="n"/>
      <c r="AJ572" s="22" t="n"/>
      <c r="AK572" s="22" t="n"/>
      <c r="AL572" s="22" t="n"/>
      <c r="AM572" s="22" t="n"/>
      <c r="AN572" s="22" t="n"/>
      <c r="AO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  <c r="Y573" s="22" t="n"/>
      <c r="Z573" s="22" t="n"/>
      <c r="AA573" s="22" t="n"/>
      <c r="AB573" s="22" t="n"/>
      <c r="AC573" s="22" t="n"/>
      <c r="AD573" s="22" t="n"/>
      <c r="AE573" s="22" t="n"/>
      <c r="AF573" s="22" t="n"/>
      <c r="AG573" s="22" t="n"/>
      <c r="AH573" s="22" t="n"/>
      <c r="AI573" s="22" t="n"/>
      <c r="AJ573" s="22" t="n"/>
      <c r="AK573" s="22" t="n"/>
      <c r="AL573" s="22" t="n"/>
      <c r="AM573" s="22" t="n"/>
      <c r="AN573" s="22" t="n"/>
      <c r="AO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  <c r="Y574" s="22" t="n"/>
      <c r="Z574" s="22" t="n"/>
      <c r="AA574" s="22" t="n"/>
      <c r="AB574" s="22" t="n"/>
      <c r="AC574" s="22" t="n"/>
      <c r="AD574" s="22" t="n"/>
      <c r="AE574" s="22" t="n"/>
      <c r="AF574" s="22" t="n"/>
      <c r="AG574" s="22" t="n"/>
      <c r="AH574" s="22" t="n"/>
      <c r="AI574" s="22" t="n"/>
      <c r="AJ574" s="22" t="n"/>
      <c r="AK574" s="22" t="n"/>
      <c r="AL574" s="22" t="n"/>
      <c r="AM574" s="22" t="n"/>
      <c r="AN574" s="22" t="n"/>
      <c r="AO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  <c r="Y575" s="22" t="n"/>
      <c r="Z575" s="22" t="n"/>
      <c r="AA575" s="22" t="n"/>
      <c r="AB575" s="22" t="n"/>
      <c r="AC575" s="22" t="n"/>
      <c r="AD575" s="22" t="n"/>
      <c r="AE575" s="22" t="n"/>
      <c r="AF575" s="22" t="n"/>
      <c r="AG575" s="22" t="n"/>
      <c r="AH575" s="22" t="n"/>
      <c r="AI575" s="22" t="n"/>
      <c r="AJ575" s="22" t="n"/>
      <c r="AK575" s="22" t="n"/>
      <c r="AL575" s="22" t="n"/>
      <c r="AM575" s="22" t="n"/>
      <c r="AN575" s="22" t="n"/>
      <c r="AO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  <c r="Y576" s="22" t="n"/>
      <c r="Z576" s="22" t="n"/>
      <c r="AA576" s="22" t="n"/>
      <c r="AB576" s="22" t="n"/>
      <c r="AC576" s="22" t="n"/>
      <c r="AD576" s="22" t="n"/>
      <c r="AE576" s="22" t="n"/>
      <c r="AF576" s="22" t="n"/>
      <c r="AG576" s="22" t="n"/>
      <c r="AH576" s="22" t="n"/>
      <c r="AI576" s="22" t="n"/>
      <c r="AJ576" s="22" t="n"/>
      <c r="AK576" s="22" t="n"/>
      <c r="AL576" s="22" t="n"/>
      <c r="AM576" s="22" t="n"/>
      <c r="AN576" s="22" t="n"/>
      <c r="AO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  <c r="Y577" s="22" t="n"/>
      <c r="Z577" s="22" t="n"/>
      <c r="AA577" s="22" t="n"/>
      <c r="AB577" s="22" t="n"/>
      <c r="AC577" s="22" t="n"/>
      <c r="AD577" s="22" t="n"/>
      <c r="AE577" s="22" t="n"/>
      <c r="AF577" s="22" t="n"/>
      <c r="AG577" s="22" t="n"/>
      <c r="AH577" s="22" t="n"/>
      <c r="AI577" s="22" t="n"/>
      <c r="AJ577" s="22" t="n"/>
      <c r="AK577" s="22" t="n"/>
      <c r="AL577" s="22" t="n"/>
      <c r="AM577" s="22" t="n"/>
      <c r="AN577" s="22" t="n"/>
      <c r="AO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  <c r="Y578" s="22" t="n"/>
      <c r="Z578" s="22" t="n"/>
      <c r="AA578" s="22" t="n"/>
      <c r="AB578" s="22" t="n"/>
      <c r="AC578" s="22" t="n"/>
      <c r="AD578" s="22" t="n"/>
      <c r="AE578" s="22" t="n"/>
      <c r="AF578" s="22" t="n"/>
      <c r="AG578" s="22" t="n"/>
      <c r="AH578" s="22" t="n"/>
      <c r="AI578" s="22" t="n"/>
      <c r="AJ578" s="22" t="n"/>
      <c r="AK578" s="22" t="n"/>
      <c r="AL578" s="22" t="n"/>
      <c r="AM578" s="22" t="n"/>
      <c r="AN578" s="22" t="n"/>
      <c r="AO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  <c r="Y579" s="22" t="n"/>
      <c r="Z579" s="22" t="n"/>
      <c r="AA579" s="22" t="n"/>
      <c r="AB579" s="22" t="n"/>
      <c r="AC579" s="22" t="n"/>
      <c r="AD579" s="22" t="n"/>
      <c r="AE579" s="22" t="n"/>
      <c r="AF579" s="22" t="n"/>
      <c r="AG579" s="22" t="n"/>
      <c r="AH579" s="22" t="n"/>
      <c r="AI579" s="22" t="n"/>
      <c r="AJ579" s="22" t="n"/>
      <c r="AK579" s="22" t="n"/>
      <c r="AL579" s="22" t="n"/>
      <c r="AM579" s="22" t="n"/>
      <c r="AN579" s="22" t="n"/>
      <c r="AO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  <c r="Y580" s="22" t="n"/>
      <c r="Z580" s="22" t="n"/>
      <c r="AA580" s="22" t="n"/>
      <c r="AB580" s="22" t="n"/>
      <c r="AC580" s="22" t="n"/>
      <c r="AD580" s="22" t="n"/>
      <c r="AE580" s="22" t="n"/>
      <c r="AF580" s="22" t="n"/>
      <c r="AG580" s="22" t="n"/>
      <c r="AH580" s="22" t="n"/>
      <c r="AI580" s="22" t="n"/>
      <c r="AJ580" s="22" t="n"/>
      <c r="AK580" s="22" t="n"/>
      <c r="AL580" s="22" t="n"/>
      <c r="AM580" s="22" t="n"/>
      <c r="AN580" s="22" t="n"/>
      <c r="AO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  <c r="Y581" s="22" t="n"/>
      <c r="Z581" s="22" t="n"/>
      <c r="AA581" s="22" t="n"/>
      <c r="AB581" s="22" t="n"/>
      <c r="AC581" s="22" t="n"/>
      <c r="AD581" s="22" t="n"/>
      <c r="AE581" s="22" t="n"/>
      <c r="AF581" s="22" t="n"/>
      <c r="AG581" s="22" t="n"/>
      <c r="AH581" s="22" t="n"/>
      <c r="AI581" s="22" t="n"/>
      <c r="AJ581" s="22" t="n"/>
      <c r="AK581" s="22" t="n"/>
      <c r="AL581" s="22" t="n"/>
      <c r="AM581" s="22" t="n"/>
      <c r="AN581" s="22" t="n"/>
      <c r="AO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  <c r="Y582" s="22" t="n"/>
      <c r="Z582" s="22" t="n"/>
      <c r="AA582" s="22" t="n"/>
      <c r="AB582" s="22" t="n"/>
      <c r="AC582" s="22" t="n"/>
      <c r="AD582" s="22" t="n"/>
      <c r="AE582" s="22" t="n"/>
      <c r="AF582" s="22" t="n"/>
      <c r="AG582" s="22" t="n"/>
      <c r="AH582" s="22" t="n"/>
      <c r="AI582" s="22" t="n"/>
      <c r="AJ582" s="22" t="n"/>
      <c r="AK582" s="22" t="n"/>
      <c r="AL582" s="22" t="n"/>
      <c r="AM582" s="22" t="n"/>
      <c r="AN582" s="22" t="n"/>
      <c r="AO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  <c r="Y583" s="22" t="n"/>
      <c r="Z583" s="22" t="n"/>
      <c r="AA583" s="22" t="n"/>
      <c r="AB583" s="22" t="n"/>
      <c r="AC583" s="22" t="n"/>
      <c r="AD583" s="22" t="n"/>
      <c r="AE583" s="22" t="n"/>
      <c r="AF583" s="22" t="n"/>
      <c r="AG583" s="22" t="n"/>
      <c r="AH583" s="22" t="n"/>
      <c r="AI583" s="22" t="n"/>
      <c r="AJ583" s="22" t="n"/>
      <c r="AK583" s="22" t="n"/>
      <c r="AL583" s="22" t="n"/>
      <c r="AM583" s="22" t="n"/>
      <c r="AN583" s="22" t="n"/>
      <c r="AO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  <c r="Y584" s="22" t="n"/>
      <c r="Z584" s="22" t="n"/>
      <c r="AA584" s="22" t="n"/>
      <c r="AB584" s="22" t="n"/>
      <c r="AC584" s="22" t="n"/>
      <c r="AD584" s="22" t="n"/>
      <c r="AE584" s="22" t="n"/>
      <c r="AF584" s="22" t="n"/>
      <c r="AG584" s="22" t="n"/>
      <c r="AH584" s="22" t="n"/>
      <c r="AI584" s="22" t="n"/>
      <c r="AJ584" s="22" t="n"/>
      <c r="AK584" s="22" t="n"/>
      <c r="AL584" s="22" t="n"/>
      <c r="AM584" s="22" t="n"/>
      <c r="AN584" s="22" t="n"/>
      <c r="AO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  <c r="Y585" s="22" t="n"/>
      <c r="Z585" s="22" t="n"/>
      <c r="AA585" s="22" t="n"/>
      <c r="AB585" s="22" t="n"/>
      <c r="AC585" s="22" t="n"/>
      <c r="AD585" s="22" t="n"/>
      <c r="AE585" s="22" t="n"/>
      <c r="AF585" s="22" t="n"/>
      <c r="AG585" s="22" t="n"/>
      <c r="AH585" s="22" t="n"/>
      <c r="AI585" s="22" t="n"/>
      <c r="AJ585" s="22" t="n"/>
      <c r="AK585" s="22" t="n"/>
      <c r="AL585" s="22" t="n"/>
      <c r="AM585" s="22" t="n"/>
      <c r="AN585" s="22" t="n"/>
      <c r="AO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  <c r="Y586" s="22" t="n"/>
      <c r="Z586" s="22" t="n"/>
      <c r="AA586" s="22" t="n"/>
      <c r="AB586" s="22" t="n"/>
      <c r="AC586" s="22" t="n"/>
      <c r="AD586" s="22" t="n"/>
      <c r="AE586" s="22" t="n"/>
      <c r="AF586" s="22" t="n"/>
      <c r="AG586" s="22" t="n"/>
      <c r="AH586" s="22" t="n"/>
      <c r="AI586" s="22" t="n"/>
      <c r="AJ586" s="22" t="n"/>
      <c r="AK586" s="22" t="n"/>
      <c r="AL586" s="22" t="n"/>
      <c r="AM586" s="22" t="n"/>
      <c r="AN586" s="22" t="n"/>
      <c r="AO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  <c r="Y587" s="22" t="n"/>
      <c r="Z587" s="22" t="n"/>
      <c r="AA587" s="22" t="n"/>
      <c r="AB587" s="22" t="n"/>
      <c r="AC587" s="22" t="n"/>
      <c r="AD587" s="22" t="n"/>
      <c r="AE587" s="22" t="n"/>
      <c r="AF587" s="22" t="n"/>
      <c r="AG587" s="22" t="n"/>
      <c r="AH587" s="22" t="n"/>
      <c r="AI587" s="22" t="n"/>
      <c r="AJ587" s="22" t="n"/>
      <c r="AK587" s="22" t="n"/>
      <c r="AL587" s="22" t="n"/>
      <c r="AM587" s="22" t="n"/>
      <c r="AN587" s="22" t="n"/>
      <c r="AO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  <c r="Y588" s="22" t="n"/>
      <c r="Z588" s="22" t="n"/>
      <c r="AA588" s="22" t="n"/>
      <c r="AB588" s="22" t="n"/>
      <c r="AC588" s="22" t="n"/>
      <c r="AD588" s="22" t="n"/>
      <c r="AE588" s="22" t="n"/>
      <c r="AF588" s="22" t="n"/>
      <c r="AG588" s="22" t="n"/>
      <c r="AH588" s="22" t="n"/>
      <c r="AI588" s="22" t="n"/>
      <c r="AJ588" s="22" t="n"/>
      <c r="AK588" s="22" t="n"/>
      <c r="AL588" s="22" t="n"/>
      <c r="AM588" s="22" t="n"/>
      <c r="AN588" s="22" t="n"/>
      <c r="AO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  <c r="Y589" s="22" t="n"/>
      <c r="Z589" s="22" t="n"/>
      <c r="AA589" s="22" t="n"/>
      <c r="AB589" s="22" t="n"/>
      <c r="AC589" s="22" t="n"/>
      <c r="AD589" s="22" t="n"/>
      <c r="AE589" s="22" t="n"/>
      <c r="AF589" s="22" t="n"/>
      <c r="AG589" s="22" t="n"/>
      <c r="AH589" s="22" t="n"/>
      <c r="AI589" s="22" t="n"/>
      <c r="AJ589" s="22" t="n"/>
      <c r="AK589" s="22" t="n"/>
      <c r="AL589" s="22" t="n"/>
      <c r="AM589" s="22" t="n"/>
      <c r="AN589" s="22" t="n"/>
      <c r="AO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  <c r="Y590" s="22" t="n"/>
      <c r="Z590" s="22" t="n"/>
      <c r="AA590" s="22" t="n"/>
      <c r="AB590" s="22" t="n"/>
      <c r="AC590" s="22" t="n"/>
      <c r="AD590" s="22" t="n"/>
      <c r="AE590" s="22" t="n"/>
      <c r="AF590" s="22" t="n"/>
      <c r="AG590" s="22" t="n"/>
      <c r="AH590" s="22" t="n"/>
      <c r="AI590" s="22" t="n"/>
      <c r="AJ590" s="22" t="n"/>
      <c r="AK590" s="22" t="n"/>
      <c r="AL590" s="22" t="n"/>
      <c r="AM590" s="22" t="n"/>
      <c r="AN590" s="22" t="n"/>
      <c r="AO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  <c r="Y591" s="22" t="n"/>
      <c r="Z591" s="22" t="n"/>
      <c r="AA591" s="22" t="n"/>
      <c r="AB591" s="22" t="n"/>
      <c r="AC591" s="22" t="n"/>
      <c r="AD591" s="22" t="n"/>
      <c r="AE591" s="22" t="n"/>
      <c r="AF591" s="22" t="n"/>
      <c r="AG591" s="22" t="n"/>
      <c r="AH591" s="22" t="n"/>
      <c r="AI591" s="22" t="n"/>
      <c r="AJ591" s="22" t="n"/>
      <c r="AK591" s="22" t="n"/>
      <c r="AL591" s="22" t="n"/>
      <c r="AM591" s="22" t="n"/>
      <c r="AN591" s="22" t="n"/>
      <c r="AO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  <c r="Y592" s="22" t="n"/>
      <c r="Z592" s="22" t="n"/>
      <c r="AA592" s="22" t="n"/>
      <c r="AB592" s="22" t="n"/>
      <c r="AC592" s="22" t="n"/>
      <c r="AD592" s="22" t="n"/>
      <c r="AE592" s="22" t="n"/>
      <c r="AF592" s="22" t="n"/>
      <c r="AG592" s="22" t="n"/>
      <c r="AH592" s="22" t="n"/>
      <c r="AI592" s="22" t="n"/>
      <c r="AJ592" s="22" t="n"/>
      <c r="AK592" s="22" t="n"/>
      <c r="AL592" s="22" t="n"/>
      <c r="AM592" s="22" t="n"/>
      <c r="AN592" s="22" t="n"/>
      <c r="AO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  <c r="Y593" s="22" t="n"/>
      <c r="Z593" s="22" t="n"/>
      <c r="AA593" s="22" t="n"/>
      <c r="AB593" s="22" t="n"/>
      <c r="AC593" s="22" t="n"/>
      <c r="AD593" s="22" t="n"/>
      <c r="AE593" s="22" t="n"/>
      <c r="AF593" s="22" t="n"/>
      <c r="AG593" s="22" t="n"/>
      <c r="AH593" s="22" t="n"/>
      <c r="AI593" s="22" t="n"/>
      <c r="AJ593" s="22" t="n"/>
      <c r="AK593" s="22" t="n"/>
      <c r="AL593" s="22" t="n"/>
      <c r="AM593" s="22" t="n"/>
      <c r="AN593" s="22" t="n"/>
      <c r="AO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  <c r="Y594" s="22" t="n"/>
      <c r="Z594" s="22" t="n"/>
      <c r="AA594" s="22" t="n"/>
      <c r="AB594" s="22" t="n"/>
      <c r="AC594" s="22" t="n"/>
      <c r="AD594" s="22" t="n"/>
      <c r="AE594" s="22" t="n"/>
      <c r="AF594" s="22" t="n"/>
      <c r="AG594" s="22" t="n"/>
      <c r="AH594" s="22" t="n"/>
      <c r="AI594" s="22" t="n"/>
      <c r="AJ594" s="22" t="n"/>
      <c r="AK594" s="22" t="n"/>
      <c r="AL594" s="22" t="n"/>
      <c r="AM594" s="22" t="n"/>
      <c r="AN594" s="22" t="n"/>
      <c r="AO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  <c r="Y595" s="22" t="n"/>
      <c r="Z595" s="22" t="n"/>
      <c r="AA595" s="22" t="n"/>
      <c r="AB595" s="22" t="n"/>
      <c r="AC595" s="22" t="n"/>
      <c r="AD595" s="22" t="n"/>
      <c r="AE595" s="22" t="n"/>
      <c r="AF595" s="22" t="n"/>
      <c r="AG595" s="22" t="n"/>
      <c r="AH595" s="22" t="n"/>
      <c r="AI595" s="22" t="n"/>
      <c r="AJ595" s="22" t="n"/>
      <c r="AK595" s="22" t="n"/>
      <c r="AL595" s="22" t="n"/>
      <c r="AM595" s="22" t="n"/>
      <c r="AN595" s="22" t="n"/>
      <c r="AO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  <c r="Y596" s="22" t="n"/>
      <c r="Z596" s="22" t="n"/>
      <c r="AA596" s="22" t="n"/>
      <c r="AB596" s="22" t="n"/>
      <c r="AC596" s="22" t="n"/>
      <c r="AD596" s="22" t="n"/>
      <c r="AE596" s="22" t="n"/>
      <c r="AF596" s="22" t="n"/>
      <c r="AG596" s="22" t="n"/>
      <c r="AH596" s="22" t="n"/>
      <c r="AI596" s="22" t="n"/>
      <c r="AJ596" s="22" t="n"/>
      <c r="AK596" s="22" t="n"/>
      <c r="AL596" s="22" t="n"/>
      <c r="AM596" s="22" t="n"/>
      <c r="AN596" s="22" t="n"/>
      <c r="AO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  <c r="Y597" s="22" t="n"/>
      <c r="Z597" s="22" t="n"/>
      <c r="AA597" s="22" t="n"/>
      <c r="AB597" s="22" t="n"/>
      <c r="AC597" s="22" t="n"/>
      <c r="AD597" s="22" t="n"/>
      <c r="AE597" s="22" t="n"/>
      <c r="AF597" s="22" t="n"/>
      <c r="AG597" s="22" t="n"/>
      <c r="AH597" s="22" t="n"/>
      <c r="AI597" s="22" t="n"/>
      <c r="AJ597" s="22" t="n"/>
      <c r="AK597" s="22" t="n"/>
      <c r="AL597" s="22" t="n"/>
      <c r="AM597" s="22" t="n"/>
      <c r="AN597" s="22" t="n"/>
      <c r="AO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  <c r="Y598" s="22" t="n"/>
      <c r="Z598" s="22" t="n"/>
      <c r="AA598" s="22" t="n"/>
      <c r="AB598" s="22" t="n"/>
      <c r="AC598" s="22" t="n"/>
      <c r="AD598" s="22" t="n"/>
      <c r="AE598" s="22" t="n"/>
      <c r="AF598" s="22" t="n"/>
      <c r="AG598" s="22" t="n"/>
      <c r="AH598" s="22" t="n"/>
      <c r="AI598" s="22" t="n"/>
      <c r="AJ598" s="22" t="n"/>
      <c r="AK598" s="22" t="n"/>
      <c r="AL598" s="22" t="n"/>
      <c r="AM598" s="22" t="n"/>
      <c r="AN598" s="22" t="n"/>
      <c r="AO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  <c r="Y599" s="22" t="n"/>
      <c r="Z599" s="22" t="n"/>
      <c r="AA599" s="22" t="n"/>
      <c r="AB599" s="22" t="n"/>
      <c r="AC599" s="22" t="n"/>
      <c r="AD599" s="22" t="n"/>
      <c r="AE599" s="22" t="n"/>
      <c r="AF599" s="22" t="n"/>
      <c r="AG599" s="22" t="n"/>
      <c r="AH599" s="22" t="n"/>
      <c r="AI599" s="22" t="n"/>
      <c r="AJ599" s="22" t="n"/>
      <c r="AK599" s="22" t="n"/>
      <c r="AL599" s="22" t="n"/>
      <c r="AM599" s="22" t="n"/>
      <c r="AN599" s="22" t="n"/>
      <c r="AO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  <c r="Y600" s="22" t="n"/>
      <c r="Z600" s="22" t="n"/>
      <c r="AA600" s="22" t="n"/>
      <c r="AB600" s="22" t="n"/>
      <c r="AC600" s="22" t="n"/>
      <c r="AD600" s="22" t="n"/>
      <c r="AE600" s="22" t="n"/>
      <c r="AF600" s="22" t="n"/>
      <c r="AG600" s="22" t="n"/>
      <c r="AH600" s="22" t="n"/>
      <c r="AI600" s="22" t="n"/>
      <c r="AJ600" s="22" t="n"/>
      <c r="AK600" s="22" t="n"/>
      <c r="AL600" s="22" t="n"/>
      <c r="AM600" s="22" t="n"/>
      <c r="AN600" s="22" t="n"/>
      <c r="AO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  <c r="Y601" s="22" t="n"/>
      <c r="Z601" s="22" t="n"/>
      <c r="AA601" s="22" t="n"/>
      <c r="AB601" s="22" t="n"/>
      <c r="AC601" s="22" t="n"/>
      <c r="AD601" s="22" t="n"/>
      <c r="AE601" s="22" t="n"/>
      <c r="AF601" s="22" t="n"/>
      <c r="AG601" s="22" t="n"/>
      <c r="AH601" s="22" t="n"/>
      <c r="AI601" s="22" t="n"/>
      <c r="AJ601" s="22" t="n"/>
      <c r="AK601" s="22" t="n"/>
      <c r="AL601" s="22" t="n"/>
      <c r="AM601" s="22" t="n"/>
      <c r="AN601" s="22" t="n"/>
      <c r="AO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  <c r="Y602" s="22" t="n"/>
      <c r="Z602" s="22" t="n"/>
      <c r="AA602" s="22" t="n"/>
      <c r="AB602" s="22" t="n"/>
      <c r="AC602" s="22" t="n"/>
      <c r="AD602" s="22" t="n"/>
      <c r="AE602" s="22" t="n"/>
      <c r="AF602" s="22" t="n"/>
      <c r="AG602" s="22" t="n"/>
      <c r="AH602" s="22" t="n"/>
      <c r="AI602" s="22" t="n"/>
      <c r="AJ602" s="22" t="n"/>
      <c r="AK602" s="22" t="n"/>
      <c r="AL602" s="22" t="n"/>
      <c r="AM602" s="22" t="n"/>
      <c r="AN602" s="22" t="n"/>
      <c r="AO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  <c r="Y603" s="22" t="n"/>
      <c r="Z603" s="22" t="n"/>
      <c r="AA603" s="22" t="n"/>
      <c r="AB603" s="22" t="n"/>
      <c r="AC603" s="22" t="n"/>
      <c r="AD603" s="22" t="n"/>
      <c r="AE603" s="22" t="n"/>
      <c r="AF603" s="22" t="n"/>
      <c r="AG603" s="22" t="n"/>
      <c r="AH603" s="22" t="n"/>
      <c r="AI603" s="22" t="n"/>
      <c r="AJ603" s="22" t="n"/>
      <c r="AK603" s="22" t="n"/>
      <c r="AL603" s="22" t="n"/>
      <c r="AM603" s="22" t="n"/>
      <c r="AN603" s="22" t="n"/>
      <c r="AO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  <c r="Y604" s="22" t="n"/>
      <c r="Z604" s="22" t="n"/>
      <c r="AA604" s="22" t="n"/>
      <c r="AB604" s="22" t="n"/>
      <c r="AC604" s="22" t="n"/>
      <c r="AD604" s="22" t="n"/>
      <c r="AE604" s="22" t="n"/>
      <c r="AF604" s="22" t="n"/>
      <c r="AG604" s="22" t="n"/>
      <c r="AH604" s="22" t="n"/>
      <c r="AI604" s="22" t="n"/>
      <c r="AJ604" s="22" t="n"/>
      <c r="AK604" s="22" t="n"/>
      <c r="AL604" s="22" t="n"/>
      <c r="AM604" s="22" t="n"/>
      <c r="AN604" s="22" t="n"/>
      <c r="AO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  <c r="Y605" s="22" t="n"/>
      <c r="Z605" s="22" t="n"/>
      <c r="AA605" s="22" t="n"/>
      <c r="AB605" s="22" t="n"/>
      <c r="AC605" s="22" t="n"/>
      <c r="AD605" s="22" t="n"/>
      <c r="AE605" s="22" t="n"/>
      <c r="AF605" s="22" t="n"/>
      <c r="AG605" s="22" t="n"/>
      <c r="AH605" s="22" t="n"/>
      <c r="AI605" s="22" t="n"/>
      <c r="AJ605" s="22" t="n"/>
      <c r="AK605" s="22" t="n"/>
      <c r="AL605" s="22" t="n"/>
      <c r="AM605" s="22" t="n"/>
      <c r="AN605" s="22" t="n"/>
      <c r="AO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  <c r="Y606" s="22" t="n"/>
      <c r="Z606" s="22" t="n"/>
      <c r="AA606" s="22" t="n"/>
      <c r="AB606" s="22" t="n"/>
      <c r="AC606" s="22" t="n"/>
      <c r="AD606" s="22" t="n"/>
      <c r="AE606" s="22" t="n"/>
      <c r="AF606" s="22" t="n"/>
      <c r="AG606" s="22" t="n"/>
      <c r="AH606" s="22" t="n"/>
      <c r="AI606" s="22" t="n"/>
      <c r="AJ606" s="22" t="n"/>
      <c r="AK606" s="22" t="n"/>
      <c r="AL606" s="22" t="n"/>
      <c r="AM606" s="22" t="n"/>
      <c r="AN606" s="22" t="n"/>
      <c r="AO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  <c r="Y607" s="22" t="n"/>
      <c r="Z607" s="22" t="n"/>
      <c r="AA607" s="22" t="n"/>
      <c r="AB607" s="22" t="n"/>
      <c r="AC607" s="22" t="n"/>
      <c r="AD607" s="22" t="n"/>
      <c r="AE607" s="22" t="n"/>
      <c r="AF607" s="22" t="n"/>
      <c r="AG607" s="22" t="n"/>
      <c r="AH607" s="22" t="n"/>
      <c r="AI607" s="22" t="n"/>
      <c r="AJ607" s="22" t="n"/>
      <c r="AK607" s="22" t="n"/>
      <c r="AL607" s="22" t="n"/>
      <c r="AM607" s="22" t="n"/>
      <c r="AN607" s="22" t="n"/>
      <c r="AO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  <c r="Y608" s="22" t="n"/>
      <c r="Z608" s="22" t="n"/>
      <c r="AA608" s="22" t="n"/>
      <c r="AB608" s="22" t="n"/>
      <c r="AC608" s="22" t="n"/>
      <c r="AD608" s="22" t="n"/>
      <c r="AE608" s="22" t="n"/>
      <c r="AF608" s="22" t="n"/>
      <c r="AG608" s="22" t="n"/>
      <c r="AH608" s="22" t="n"/>
      <c r="AI608" s="22" t="n"/>
      <c r="AJ608" s="22" t="n"/>
      <c r="AK608" s="22" t="n"/>
      <c r="AL608" s="22" t="n"/>
      <c r="AM608" s="22" t="n"/>
      <c r="AN608" s="22" t="n"/>
      <c r="AO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  <c r="Y609" s="22" t="n"/>
      <c r="Z609" s="22" t="n"/>
      <c r="AA609" s="22" t="n"/>
      <c r="AB609" s="22" t="n"/>
      <c r="AC609" s="22" t="n"/>
      <c r="AD609" s="22" t="n"/>
      <c r="AE609" s="22" t="n"/>
      <c r="AF609" s="22" t="n"/>
      <c r="AG609" s="22" t="n"/>
      <c r="AH609" s="22" t="n"/>
      <c r="AI609" s="22" t="n"/>
      <c r="AJ609" s="22" t="n"/>
      <c r="AK609" s="22" t="n"/>
      <c r="AL609" s="22" t="n"/>
      <c r="AM609" s="22" t="n"/>
      <c r="AN609" s="22" t="n"/>
      <c r="AO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  <c r="Y610" s="22" t="n"/>
      <c r="Z610" s="22" t="n"/>
      <c r="AA610" s="22" t="n"/>
      <c r="AB610" s="22" t="n"/>
      <c r="AC610" s="22" t="n"/>
      <c r="AD610" s="22" t="n"/>
      <c r="AE610" s="22" t="n"/>
      <c r="AF610" s="22" t="n"/>
      <c r="AG610" s="22" t="n"/>
      <c r="AH610" s="22" t="n"/>
      <c r="AI610" s="22" t="n"/>
      <c r="AJ610" s="22" t="n"/>
      <c r="AK610" s="22" t="n"/>
      <c r="AL610" s="22" t="n"/>
      <c r="AM610" s="22" t="n"/>
      <c r="AN610" s="22" t="n"/>
      <c r="AO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  <c r="Y611" s="22" t="n"/>
      <c r="Z611" s="22" t="n"/>
      <c r="AA611" s="22" t="n"/>
      <c r="AB611" s="22" t="n"/>
      <c r="AC611" s="22" t="n"/>
      <c r="AD611" s="22" t="n"/>
      <c r="AE611" s="22" t="n"/>
      <c r="AF611" s="22" t="n"/>
      <c r="AG611" s="22" t="n"/>
      <c r="AH611" s="22" t="n"/>
      <c r="AI611" s="22" t="n"/>
      <c r="AJ611" s="22" t="n"/>
      <c r="AK611" s="22" t="n"/>
      <c r="AL611" s="22" t="n"/>
      <c r="AM611" s="22" t="n"/>
      <c r="AN611" s="22" t="n"/>
      <c r="AO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  <c r="Y612" s="22" t="n"/>
      <c r="Z612" s="22" t="n"/>
      <c r="AA612" s="22" t="n"/>
      <c r="AB612" s="22" t="n"/>
      <c r="AC612" s="22" t="n"/>
      <c r="AD612" s="22" t="n"/>
      <c r="AE612" s="22" t="n"/>
      <c r="AF612" s="22" t="n"/>
      <c r="AG612" s="22" t="n"/>
      <c r="AH612" s="22" t="n"/>
      <c r="AI612" s="22" t="n"/>
      <c r="AJ612" s="22" t="n"/>
      <c r="AK612" s="22" t="n"/>
      <c r="AL612" s="22" t="n"/>
      <c r="AM612" s="22" t="n"/>
      <c r="AN612" s="22" t="n"/>
      <c r="AO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  <c r="Y613" s="22" t="n"/>
      <c r="Z613" s="22" t="n"/>
      <c r="AA613" s="22" t="n"/>
      <c r="AB613" s="22" t="n"/>
      <c r="AC613" s="22" t="n"/>
      <c r="AD613" s="22" t="n"/>
      <c r="AE613" s="22" t="n"/>
      <c r="AF613" s="22" t="n"/>
      <c r="AG613" s="22" t="n"/>
      <c r="AH613" s="22" t="n"/>
      <c r="AI613" s="22" t="n"/>
      <c r="AJ613" s="22" t="n"/>
      <c r="AK613" s="22" t="n"/>
      <c r="AL613" s="22" t="n"/>
      <c r="AM613" s="22" t="n"/>
      <c r="AN613" s="22" t="n"/>
      <c r="AO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  <c r="Y614" s="22" t="n"/>
      <c r="Z614" s="22" t="n"/>
      <c r="AA614" s="22" t="n"/>
      <c r="AB614" s="22" t="n"/>
      <c r="AC614" s="22" t="n"/>
      <c r="AD614" s="22" t="n"/>
      <c r="AE614" s="22" t="n"/>
      <c r="AF614" s="22" t="n"/>
      <c r="AG614" s="22" t="n"/>
      <c r="AH614" s="22" t="n"/>
      <c r="AI614" s="22" t="n"/>
      <c r="AJ614" s="22" t="n"/>
      <c r="AK614" s="22" t="n"/>
      <c r="AL614" s="22" t="n"/>
      <c r="AM614" s="22" t="n"/>
      <c r="AN614" s="22" t="n"/>
      <c r="AO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  <c r="Y615" s="22" t="n"/>
      <c r="Z615" s="22" t="n"/>
      <c r="AA615" s="22" t="n"/>
      <c r="AB615" s="22" t="n"/>
      <c r="AC615" s="22" t="n"/>
      <c r="AD615" s="22" t="n"/>
      <c r="AE615" s="22" t="n"/>
      <c r="AF615" s="22" t="n"/>
      <c r="AG615" s="22" t="n"/>
      <c r="AH615" s="22" t="n"/>
      <c r="AI615" s="22" t="n"/>
      <c r="AJ615" s="22" t="n"/>
      <c r="AK615" s="22" t="n"/>
      <c r="AL615" s="22" t="n"/>
      <c r="AM615" s="22" t="n"/>
      <c r="AN615" s="22" t="n"/>
      <c r="AO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  <c r="Y616" s="22" t="n"/>
      <c r="Z616" s="22" t="n"/>
      <c r="AA616" s="22" t="n"/>
      <c r="AB616" s="22" t="n"/>
      <c r="AC616" s="22" t="n"/>
      <c r="AD616" s="22" t="n"/>
      <c r="AE616" s="22" t="n"/>
      <c r="AF616" s="22" t="n"/>
      <c r="AG616" s="22" t="n"/>
      <c r="AH616" s="22" t="n"/>
      <c r="AI616" s="22" t="n"/>
      <c r="AJ616" s="22" t="n"/>
      <c r="AK616" s="22" t="n"/>
      <c r="AL616" s="22" t="n"/>
      <c r="AM616" s="22" t="n"/>
      <c r="AN616" s="22" t="n"/>
      <c r="AO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  <c r="Y617" s="22" t="n"/>
      <c r="Z617" s="22" t="n"/>
      <c r="AA617" s="22" t="n"/>
      <c r="AB617" s="22" t="n"/>
      <c r="AC617" s="22" t="n"/>
      <c r="AD617" s="22" t="n"/>
      <c r="AE617" s="22" t="n"/>
      <c r="AF617" s="22" t="n"/>
      <c r="AG617" s="22" t="n"/>
      <c r="AH617" s="22" t="n"/>
      <c r="AI617" s="22" t="n"/>
      <c r="AJ617" s="22" t="n"/>
      <c r="AK617" s="22" t="n"/>
      <c r="AL617" s="22" t="n"/>
      <c r="AM617" s="22" t="n"/>
      <c r="AN617" s="22" t="n"/>
      <c r="AO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  <c r="Y618" s="22" t="n"/>
      <c r="Z618" s="22" t="n"/>
      <c r="AA618" s="22" t="n"/>
      <c r="AB618" s="22" t="n"/>
      <c r="AC618" s="22" t="n"/>
      <c r="AD618" s="22" t="n"/>
      <c r="AE618" s="22" t="n"/>
      <c r="AF618" s="22" t="n"/>
      <c r="AG618" s="22" t="n"/>
      <c r="AH618" s="22" t="n"/>
      <c r="AI618" s="22" t="n"/>
      <c r="AJ618" s="22" t="n"/>
      <c r="AK618" s="22" t="n"/>
      <c r="AL618" s="22" t="n"/>
      <c r="AM618" s="22" t="n"/>
      <c r="AN618" s="22" t="n"/>
      <c r="AO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  <c r="Y619" s="22" t="n"/>
      <c r="Z619" s="22" t="n"/>
      <c r="AA619" s="22" t="n"/>
      <c r="AB619" s="22" t="n"/>
      <c r="AC619" s="22" t="n"/>
      <c r="AD619" s="22" t="n"/>
      <c r="AE619" s="22" t="n"/>
      <c r="AF619" s="22" t="n"/>
      <c r="AG619" s="22" t="n"/>
      <c r="AH619" s="22" t="n"/>
      <c r="AI619" s="22" t="n"/>
      <c r="AJ619" s="22" t="n"/>
      <c r="AK619" s="22" t="n"/>
      <c r="AL619" s="22" t="n"/>
      <c r="AM619" s="22" t="n"/>
      <c r="AN619" s="22" t="n"/>
      <c r="AO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  <c r="Y620" s="22" t="n"/>
      <c r="Z620" s="22" t="n"/>
      <c r="AA620" s="22" t="n"/>
      <c r="AB620" s="22" t="n"/>
      <c r="AC620" s="22" t="n"/>
      <c r="AD620" s="22" t="n"/>
      <c r="AE620" s="22" t="n"/>
      <c r="AF620" s="22" t="n"/>
      <c r="AG620" s="22" t="n"/>
      <c r="AH620" s="22" t="n"/>
      <c r="AI620" s="22" t="n"/>
      <c r="AJ620" s="22" t="n"/>
      <c r="AK620" s="22" t="n"/>
      <c r="AL620" s="22" t="n"/>
      <c r="AM620" s="22" t="n"/>
      <c r="AN620" s="22" t="n"/>
      <c r="AO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  <c r="Y621" s="22" t="n"/>
      <c r="Z621" s="22" t="n"/>
      <c r="AA621" s="22" t="n"/>
      <c r="AB621" s="22" t="n"/>
      <c r="AC621" s="22" t="n"/>
      <c r="AD621" s="22" t="n"/>
      <c r="AE621" s="22" t="n"/>
      <c r="AF621" s="22" t="n"/>
      <c r="AG621" s="22" t="n"/>
      <c r="AH621" s="22" t="n"/>
      <c r="AI621" s="22" t="n"/>
      <c r="AJ621" s="22" t="n"/>
      <c r="AK621" s="22" t="n"/>
      <c r="AL621" s="22" t="n"/>
      <c r="AM621" s="22" t="n"/>
      <c r="AN621" s="22" t="n"/>
      <c r="AO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  <c r="Y622" s="22" t="n"/>
      <c r="Z622" s="22" t="n"/>
      <c r="AA622" s="22" t="n"/>
      <c r="AB622" s="22" t="n"/>
      <c r="AC622" s="22" t="n"/>
      <c r="AD622" s="22" t="n"/>
      <c r="AE622" s="22" t="n"/>
      <c r="AF622" s="22" t="n"/>
      <c r="AG622" s="22" t="n"/>
      <c r="AH622" s="22" t="n"/>
      <c r="AI622" s="22" t="n"/>
      <c r="AJ622" s="22" t="n"/>
      <c r="AK622" s="22" t="n"/>
      <c r="AL622" s="22" t="n"/>
      <c r="AM622" s="22" t="n"/>
      <c r="AN622" s="22" t="n"/>
      <c r="AO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  <c r="Y623" s="22" t="n"/>
      <c r="Z623" s="22" t="n"/>
      <c r="AA623" s="22" t="n"/>
      <c r="AB623" s="22" t="n"/>
      <c r="AC623" s="22" t="n"/>
      <c r="AD623" s="22" t="n"/>
      <c r="AE623" s="22" t="n"/>
      <c r="AF623" s="22" t="n"/>
      <c r="AG623" s="22" t="n"/>
      <c r="AH623" s="22" t="n"/>
      <c r="AI623" s="22" t="n"/>
      <c r="AJ623" s="22" t="n"/>
      <c r="AK623" s="22" t="n"/>
      <c r="AL623" s="22" t="n"/>
      <c r="AM623" s="22" t="n"/>
      <c r="AN623" s="22" t="n"/>
      <c r="AO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  <c r="Y624" s="22" t="n"/>
      <c r="Z624" s="22" t="n"/>
      <c r="AA624" s="22" t="n"/>
      <c r="AB624" s="22" t="n"/>
      <c r="AC624" s="22" t="n"/>
      <c r="AD624" s="22" t="n"/>
      <c r="AE624" s="22" t="n"/>
      <c r="AF624" s="22" t="n"/>
      <c r="AG624" s="22" t="n"/>
      <c r="AH624" s="22" t="n"/>
      <c r="AI624" s="22" t="n"/>
      <c r="AJ624" s="22" t="n"/>
      <c r="AK624" s="22" t="n"/>
      <c r="AL624" s="22" t="n"/>
      <c r="AM624" s="22" t="n"/>
      <c r="AN624" s="22" t="n"/>
      <c r="AO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  <c r="Y625" s="22" t="n"/>
      <c r="Z625" s="22" t="n"/>
      <c r="AA625" s="22" t="n"/>
      <c r="AB625" s="22" t="n"/>
      <c r="AC625" s="22" t="n"/>
      <c r="AD625" s="22" t="n"/>
      <c r="AE625" s="22" t="n"/>
      <c r="AF625" s="22" t="n"/>
      <c r="AG625" s="22" t="n"/>
      <c r="AH625" s="22" t="n"/>
      <c r="AI625" s="22" t="n"/>
      <c r="AJ625" s="22" t="n"/>
      <c r="AK625" s="22" t="n"/>
      <c r="AL625" s="22" t="n"/>
      <c r="AM625" s="22" t="n"/>
      <c r="AN625" s="22" t="n"/>
      <c r="AO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  <c r="Y626" s="22" t="n"/>
      <c r="Z626" s="22" t="n"/>
      <c r="AA626" s="22" t="n"/>
      <c r="AB626" s="22" t="n"/>
      <c r="AC626" s="22" t="n"/>
      <c r="AD626" s="22" t="n"/>
      <c r="AE626" s="22" t="n"/>
      <c r="AF626" s="22" t="n"/>
      <c r="AG626" s="22" t="n"/>
      <c r="AH626" s="22" t="n"/>
      <c r="AI626" s="22" t="n"/>
      <c r="AJ626" s="22" t="n"/>
      <c r="AK626" s="22" t="n"/>
      <c r="AL626" s="22" t="n"/>
      <c r="AM626" s="22" t="n"/>
      <c r="AN626" s="22" t="n"/>
      <c r="AO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  <c r="Y627" s="22" t="n"/>
      <c r="Z627" s="22" t="n"/>
      <c r="AA627" s="22" t="n"/>
      <c r="AB627" s="22" t="n"/>
      <c r="AC627" s="22" t="n"/>
      <c r="AD627" s="22" t="n"/>
      <c r="AE627" s="22" t="n"/>
      <c r="AF627" s="22" t="n"/>
      <c r="AG627" s="22" t="n"/>
      <c r="AH627" s="22" t="n"/>
      <c r="AI627" s="22" t="n"/>
      <c r="AJ627" s="22" t="n"/>
      <c r="AK627" s="22" t="n"/>
      <c r="AL627" s="22" t="n"/>
      <c r="AM627" s="22" t="n"/>
      <c r="AN627" s="22" t="n"/>
      <c r="AO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  <c r="Y628" s="22" t="n"/>
      <c r="Z628" s="22" t="n"/>
      <c r="AA628" s="22" t="n"/>
      <c r="AB628" s="22" t="n"/>
      <c r="AC628" s="22" t="n"/>
      <c r="AD628" s="22" t="n"/>
      <c r="AE628" s="22" t="n"/>
      <c r="AF628" s="22" t="n"/>
      <c r="AG628" s="22" t="n"/>
      <c r="AH628" s="22" t="n"/>
      <c r="AI628" s="22" t="n"/>
      <c r="AJ628" s="22" t="n"/>
      <c r="AK628" s="22" t="n"/>
      <c r="AL628" s="22" t="n"/>
      <c r="AM628" s="22" t="n"/>
      <c r="AN628" s="22" t="n"/>
      <c r="AO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  <c r="Y629" s="22" t="n"/>
      <c r="Z629" s="22" t="n"/>
      <c r="AA629" s="22" t="n"/>
      <c r="AB629" s="22" t="n"/>
      <c r="AC629" s="22" t="n"/>
      <c r="AD629" s="22" t="n"/>
      <c r="AE629" s="22" t="n"/>
      <c r="AF629" s="22" t="n"/>
      <c r="AG629" s="22" t="n"/>
      <c r="AH629" s="22" t="n"/>
      <c r="AI629" s="22" t="n"/>
      <c r="AJ629" s="22" t="n"/>
      <c r="AK629" s="22" t="n"/>
      <c r="AL629" s="22" t="n"/>
      <c r="AM629" s="22" t="n"/>
      <c r="AN629" s="22" t="n"/>
      <c r="AO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  <c r="Y630" s="22" t="n"/>
      <c r="Z630" s="22" t="n"/>
      <c r="AA630" s="22" t="n"/>
      <c r="AB630" s="22" t="n"/>
      <c r="AC630" s="22" t="n"/>
      <c r="AD630" s="22" t="n"/>
      <c r="AE630" s="22" t="n"/>
      <c r="AF630" s="22" t="n"/>
      <c r="AG630" s="22" t="n"/>
      <c r="AH630" s="22" t="n"/>
      <c r="AI630" s="22" t="n"/>
      <c r="AJ630" s="22" t="n"/>
      <c r="AK630" s="22" t="n"/>
      <c r="AL630" s="22" t="n"/>
      <c r="AM630" s="22" t="n"/>
      <c r="AN630" s="22" t="n"/>
      <c r="AO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  <c r="Y631" s="22" t="n"/>
      <c r="Z631" s="22" t="n"/>
      <c r="AA631" s="22" t="n"/>
      <c r="AB631" s="22" t="n"/>
      <c r="AC631" s="22" t="n"/>
      <c r="AD631" s="22" t="n"/>
      <c r="AE631" s="22" t="n"/>
      <c r="AF631" s="22" t="n"/>
      <c r="AG631" s="22" t="n"/>
      <c r="AH631" s="22" t="n"/>
      <c r="AI631" s="22" t="n"/>
      <c r="AJ631" s="22" t="n"/>
      <c r="AK631" s="22" t="n"/>
      <c r="AL631" s="22" t="n"/>
      <c r="AM631" s="22" t="n"/>
      <c r="AN631" s="22" t="n"/>
      <c r="AO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  <c r="Y632" s="22" t="n"/>
      <c r="Z632" s="22" t="n"/>
      <c r="AA632" s="22" t="n"/>
      <c r="AB632" s="22" t="n"/>
      <c r="AC632" s="22" t="n"/>
      <c r="AD632" s="22" t="n"/>
      <c r="AE632" s="22" t="n"/>
      <c r="AF632" s="22" t="n"/>
      <c r="AG632" s="22" t="n"/>
      <c r="AH632" s="22" t="n"/>
      <c r="AI632" s="22" t="n"/>
      <c r="AJ632" s="22" t="n"/>
      <c r="AK632" s="22" t="n"/>
      <c r="AL632" s="22" t="n"/>
      <c r="AM632" s="22" t="n"/>
      <c r="AN632" s="22" t="n"/>
      <c r="AO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  <c r="Y633" s="22" t="n"/>
      <c r="Z633" s="22" t="n"/>
      <c r="AA633" s="22" t="n"/>
      <c r="AB633" s="22" t="n"/>
      <c r="AC633" s="22" t="n"/>
      <c r="AD633" s="22" t="n"/>
      <c r="AE633" s="22" t="n"/>
      <c r="AF633" s="22" t="n"/>
      <c r="AG633" s="22" t="n"/>
      <c r="AH633" s="22" t="n"/>
      <c r="AI633" s="22" t="n"/>
      <c r="AJ633" s="22" t="n"/>
      <c r="AK633" s="22" t="n"/>
      <c r="AL633" s="22" t="n"/>
      <c r="AM633" s="22" t="n"/>
      <c r="AN633" s="22" t="n"/>
      <c r="AO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  <c r="Y634" s="22" t="n"/>
      <c r="Z634" s="22" t="n"/>
      <c r="AA634" s="22" t="n"/>
      <c r="AB634" s="22" t="n"/>
      <c r="AC634" s="22" t="n"/>
      <c r="AD634" s="22" t="n"/>
      <c r="AE634" s="22" t="n"/>
      <c r="AF634" s="22" t="n"/>
      <c r="AG634" s="22" t="n"/>
      <c r="AH634" s="22" t="n"/>
      <c r="AI634" s="22" t="n"/>
      <c r="AJ634" s="22" t="n"/>
      <c r="AK634" s="22" t="n"/>
      <c r="AL634" s="22" t="n"/>
      <c r="AM634" s="22" t="n"/>
      <c r="AN634" s="22" t="n"/>
      <c r="AO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  <c r="Y635" s="22" t="n"/>
      <c r="Z635" s="22" t="n"/>
      <c r="AA635" s="22" t="n"/>
      <c r="AB635" s="22" t="n"/>
      <c r="AC635" s="22" t="n"/>
      <c r="AD635" s="22" t="n"/>
      <c r="AE635" s="22" t="n"/>
      <c r="AF635" s="22" t="n"/>
      <c r="AG635" s="22" t="n"/>
      <c r="AH635" s="22" t="n"/>
      <c r="AI635" s="22" t="n"/>
      <c r="AJ635" s="22" t="n"/>
      <c r="AK635" s="22" t="n"/>
      <c r="AL635" s="22" t="n"/>
      <c r="AM635" s="22" t="n"/>
      <c r="AN635" s="22" t="n"/>
      <c r="AO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  <c r="Y636" s="22" t="n"/>
      <c r="Z636" s="22" t="n"/>
      <c r="AA636" s="22" t="n"/>
      <c r="AB636" s="22" t="n"/>
      <c r="AC636" s="22" t="n"/>
      <c r="AD636" s="22" t="n"/>
      <c r="AE636" s="22" t="n"/>
      <c r="AF636" s="22" t="n"/>
      <c r="AG636" s="22" t="n"/>
      <c r="AH636" s="22" t="n"/>
      <c r="AI636" s="22" t="n"/>
      <c r="AJ636" s="22" t="n"/>
      <c r="AK636" s="22" t="n"/>
      <c r="AL636" s="22" t="n"/>
      <c r="AM636" s="22" t="n"/>
      <c r="AN636" s="22" t="n"/>
      <c r="AO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  <c r="Y637" s="22" t="n"/>
      <c r="Z637" s="22" t="n"/>
      <c r="AA637" s="22" t="n"/>
      <c r="AB637" s="22" t="n"/>
      <c r="AC637" s="22" t="n"/>
      <c r="AD637" s="22" t="n"/>
      <c r="AE637" s="22" t="n"/>
      <c r="AF637" s="22" t="n"/>
      <c r="AG637" s="22" t="n"/>
      <c r="AH637" s="22" t="n"/>
      <c r="AI637" s="22" t="n"/>
      <c r="AJ637" s="22" t="n"/>
      <c r="AK637" s="22" t="n"/>
      <c r="AL637" s="22" t="n"/>
      <c r="AM637" s="22" t="n"/>
      <c r="AN637" s="22" t="n"/>
      <c r="AO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  <c r="Y638" s="22" t="n"/>
      <c r="Z638" s="22" t="n"/>
      <c r="AA638" s="22" t="n"/>
      <c r="AB638" s="22" t="n"/>
      <c r="AC638" s="22" t="n"/>
      <c r="AD638" s="22" t="n"/>
      <c r="AE638" s="22" t="n"/>
      <c r="AF638" s="22" t="n"/>
      <c r="AG638" s="22" t="n"/>
      <c r="AH638" s="22" t="n"/>
      <c r="AI638" s="22" t="n"/>
      <c r="AJ638" s="22" t="n"/>
      <c r="AK638" s="22" t="n"/>
      <c r="AL638" s="22" t="n"/>
      <c r="AM638" s="22" t="n"/>
      <c r="AN638" s="22" t="n"/>
      <c r="AO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  <c r="Y639" s="22" t="n"/>
      <c r="Z639" s="22" t="n"/>
      <c r="AA639" s="22" t="n"/>
      <c r="AB639" s="22" t="n"/>
      <c r="AC639" s="22" t="n"/>
      <c r="AD639" s="22" t="n"/>
      <c r="AE639" s="22" t="n"/>
      <c r="AF639" s="22" t="n"/>
      <c r="AG639" s="22" t="n"/>
      <c r="AH639" s="22" t="n"/>
      <c r="AI639" s="22" t="n"/>
      <c r="AJ639" s="22" t="n"/>
      <c r="AK639" s="22" t="n"/>
      <c r="AL639" s="22" t="n"/>
      <c r="AM639" s="22" t="n"/>
      <c r="AN639" s="22" t="n"/>
      <c r="AO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  <c r="Y640" s="22" t="n"/>
      <c r="Z640" s="22" t="n"/>
      <c r="AA640" s="22" t="n"/>
      <c r="AB640" s="22" t="n"/>
      <c r="AC640" s="22" t="n"/>
      <c r="AD640" s="22" t="n"/>
      <c r="AE640" s="22" t="n"/>
      <c r="AF640" s="22" t="n"/>
      <c r="AG640" s="22" t="n"/>
      <c r="AH640" s="22" t="n"/>
      <c r="AI640" s="22" t="n"/>
      <c r="AJ640" s="22" t="n"/>
      <c r="AK640" s="22" t="n"/>
      <c r="AL640" s="22" t="n"/>
      <c r="AM640" s="22" t="n"/>
      <c r="AN640" s="22" t="n"/>
      <c r="AO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  <c r="Y641" s="22" t="n"/>
      <c r="Z641" s="22" t="n"/>
      <c r="AA641" s="22" t="n"/>
      <c r="AB641" s="22" t="n"/>
      <c r="AC641" s="22" t="n"/>
      <c r="AD641" s="22" t="n"/>
      <c r="AE641" s="22" t="n"/>
      <c r="AF641" s="22" t="n"/>
      <c r="AG641" s="22" t="n"/>
      <c r="AH641" s="22" t="n"/>
      <c r="AI641" s="22" t="n"/>
      <c r="AJ641" s="22" t="n"/>
      <c r="AK641" s="22" t="n"/>
      <c r="AL641" s="22" t="n"/>
      <c r="AM641" s="22" t="n"/>
      <c r="AN641" s="22" t="n"/>
      <c r="AO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  <c r="Y642" s="22" t="n"/>
      <c r="Z642" s="22" t="n"/>
      <c r="AA642" s="22" t="n"/>
      <c r="AB642" s="22" t="n"/>
      <c r="AC642" s="22" t="n"/>
      <c r="AD642" s="22" t="n"/>
      <c r="AE642" s="22" t="n"/>
      <c r="AF642" s="22" t="n"/>
      <c r="AG642" s="22" t="n"/>
      <c r="AH642" s="22" t="n"/>
      <c r="AI642" s="22" t="n"/>
      <c r="AJ642" s="22" t="n"/>
      <c r="AK642" s="22" t="n"/>
      <c r="AL642" s="22" t="n"/>
      <c r="AM642" s="22" t="n"/>
      <c r="AN642" s="22" t="n"/>
      <c r="AO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  <c r="Y643" s="22" t="n"/>
      <c r="Z643" s="22" t="n"/>
      <c r="AA643" s="22" t="n"/>
      <c r="AB643" s="22" t="n"/>
      <c r="AC643" s="22" t="n"/>
      <c r="AD643" s="22" t="n"/>
      <c r="AE643" s="22" t="n"/>
      <c r="AF643" s="22" t="n"/>
      <c r="AG643" s="22" t="n"/>
      <c r="AH643" s="22" t="n"/>
      <c r="AI643" s="22" t="n"/>
      <c r="AJ643" s="22" t="n"/>
      <c r="AK643" s="22" t="n"/>
      <c r="AL643" s="22" t="n"/>
      <c r="AM643" s="22" t="n"/>
      <c r="AN643" s="22" t="n"/>
      <c r="AO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  <c r="Y644" s="22" t="n"/>
      <c r="Z644" s="22" t="n"/>
      <c r="AA644" s="22" t="n"/>
      <c r="AB644" s="22" t="n"/>
      <c r="AC644" s="22" t="n"/>
      <c r="AD644" s="22" t="n"/>
      <c r="AE644" s="22" t="n"/>
      <c r="AF644" s="22" t="n"/>
      <c r="AG644" s="22" t="n"/>
      <c r="AH644" s="22" t="n"/>
      <c r="AI644" s="22" t="n"/>
      <c r="AJ644" s="22" t="n"/>
      <c r="AK644" s="22" t="n"/>
      <c r="AL644" s="22" t="n"/>
      <c r="AM644" s="22" t="n"/>
      <c r="AN644" s="22" t="n"/>
      <c r="AO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  <c r="Y645" s="22" t="n"/>
      <c r="Z645" s="22" t="n"/>
      <c r="AA645" s="22" t="n"/>
      <c r="AB645" s="22" t="n"/>
      <c r="AC645" s="22" t="n"/>
      <c r="AD645" s="22" t="n"/>
      <c r="AE645" s="22" t="n"/>
      <c r="AF645" s="22" t="n"/>
      <c r="AG645" s="22" t="n"/>
      <c r="AH645" s="22" t="n"/>
      <c r="AI645" s="22" t="n"/>
      <c r="AJ645" s="22" t="n"/>
      <c r="AK645" s="22" t="n"/>
      <c r="AL645" s="22" t="n"/>
      <c r="AM645" s="22" t="n"/>
      <c r="AN645" s="22" t="n"/>
      <c r="AO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  <c r="Y646" s="22" t="n"/>
      <c r="Z646" s="22" t="n"/>
      <c r="AA646" s="22" t="n"/>
      <c r="AB646" s="22" t="n"/>
      <c r="AC646" s="22" t="n"/>
      <c r="AD646" s="22" t="n"/>
      <c r="AE646" s="22" t="n"/>
      <c r="AF646" s="22" t="n"/>
      <c r="AG646" s="22" t="n"/>
      <c r="AH646" s="22" t="n"/>
      <c r="AI646" s="22" t="n"/>
      <c r="AJ646" s="22" t="n"/>
      <c r="AK646" s="22" t="n"/>
      <c r="AL646" s="22" t="n"/>
      <c r="AM646" s="22" t="n"/>
      <c r="AN646" s="22" t="n"/>
      <c r="AO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  <c r="Y647" s="22" t="n"/>
      <c r="Z647" s="22" t="n"/>
      <c r="AA647" s="22" t="n"/>
      <c r="AB647" s="22" t="n"/>
      <c r="AC647" s="22" t="n"/>
      <c r="AD647" s="22" t="n"/>
      <c r="AE647" s="22" t="n"/>
      <c r="AF647" s="22" t="n"/>
      <c r="AG647" s="22" t="n"/>
      <c r="AH647" s="22" t="n"/>
      <c r="AI647" s="22" t="n"/>
      <c r="AJ647" s="22" t="n"/>
      <c r="AK647" s="22" t="n"/>
      <c r="AL647" s="22" t="n"/>
      <c r="AM647" s="22" t="n"/>
      <c r="AN647" s="22" t="n"/>
      <c r="AO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  <c r="Y648" s="22" t="n"/>
      <c r="Z648" s="22" t="n"/>
      <c r="AA648" s="22" t="n"/>
      <c r="AB648" s="22" t="n"/>
      <c r="AC648" s="22" t="n"/>
      <c r="AD648" s="22" t="n"/>
      <c r="AE648" s="22" t="n"/>
      <c r="AF648" s="22" t="n"/>
      <c r="AG648" s="22" t="n"/>
      <c r="AH648" s="22" t="n"/>
      <c r="AI648" s="22" t="n"/>
      <c r="AJ648" s="22" t="n"/>
      <c r="AK648" s="22" t="n"/>
      <c r="AL648" s="22" t="n"/>
      <c r="AM648" s="22" t="n"/>
      <c r="AN648" s="22" t="n"/>
      <c r="AO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  <c r="Y649" s="22" t="n"/>
      <c r="Z649" s="22" t="n"/>
      <c r="AA649" s="22" t="n"/>
      <c r="AB649" s="22" t="n"/>
      <c r="AC649" s="22" t="n"/>
      <c r="AD649" s="22" t="n"/>
      <c r="AE649" s="22" t="n"/>
      <c r="AF649" s="22" t="n"/>
      <c r="AG649" s="22" t="n"/>
      <c r="AH649" s="22" t="n"/>
      <c r="AI649" s="22" t="n"/>
      <c r="AJ649" s="22" t="n"/>
      <c r="AK649" s="22" t="n"/>
      <c r="AL649" s="22" t="n"/>
      <c r="AM649" s="22" t="n"/>
      <c r="AN649" s="22" t="n"/>
      <c r="AO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  <c r="Y650" s="22" t="n"/>
      <c r="Z650" s="22" t="n"/>
      <c r="AA650" s="22" t="n"/>
      <c r="AB650" s="22" t="n"/>
      <c r="AC650" s="22" t="n"/>
      <c r="AD650" s="22" t="n"/>
      <c r="AE650" s="22" t="n"/>
      <c r="AF650" s="22" t="n"/>
      <c r="AG650" s="22" t="n"/>
      <c r="AH650" s="22" t="n"/>
      <c r="AI650" s="22" t="n"/>
      <c r="AJ650" s="22" t="n"/>
      <c r="AK650" s="22" t="n"/>
      <c r="AL650" s="22" t="n"/>
      <c r="AM650" s="22" t="n"/>
      <c r="AN650" s="22" t="n"/>
      <c r="AO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  <c r="Y651" s="22" t="n"/>
      <c r="Z651" s="22" t="n"/>
      <c r="AA651" s="22" t="n"/>
      <c r="AB651" s="22" t="n"/>
      <c r="AC651" s="22" t="n"/>
      <c r="AD651" s="22" t="n"/>
      <c r="AE651" s="22" t="n"/>
      <c r="AF651" s="22" t="n"/>
      <c r="AG651" s="22" t="n"/>
      <c r="AH651" s="22" t="n"/>
      <c r="AI651" s="22" t="n"/>
      <c r="AJ651" s="22" t="n"/>
      <c r="AK651" s="22" t="n"/>
      <c r="AL651" s="22" t="n"/>
      <c r="AM651" s="22" t="n"/>
      <c r="AN651" s="22" t="n"/>
      <c r="AO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  <c r="Y652" s="22" t="n"/>
      <c r="Z652" s="22" t="n"/>
      <c r="AA652" s="22" t="n"/>
      <c r="AB652" s="22" t="n"/>
      <c r="AC652" s="22" t="n"/>
      <c r="AD652" s="22" t="n"/>
      <c r="AE652" s="22" t="n"/>
      <c r="AF652" s="22" t="n"/>
      <c r="AG652" s="22" t="n"/>
      <c r="AH652" s="22" t="n"/>
      <c r="AI652" s="22" t="n"/>
      <c r="AJ652" s="22" t="n"/>
      <c r="AK652" s="22" t="n"/>
      <c r="AL652" s="22" t="n"/>
      <c r="AM652" s="22" t="n"/>
      <c r="AN652" s="22" t="n"/>
      <c r="AO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  <c r="Y653" s="22" t="n"/>
      <c r="Z653" s="22" t="n"/>
      <c r="AA653" s="22" t="n"/>
      <c r="AB653" s="22" t="n"/>
      <c r="AC653" s="22" t="n"/>
      <c r="AD653" s="22" t="n"/>
      <c r="AE653" s="22" t="n"/>
      <c r="AF653" s="22" t="n"/>
      <c r="AG653" s="22" t="n"/>
      <c r="AH653" s="22" t="n"/>
      <c r="AI653" s="22" t="n"/>
      <c r="AJ653" s="22" t="n"/>
      <c r="AK653" s="22" t="n"/>
      <c r="AL653" s="22" t="n"/>
      <c r="AM653" s="22" t="n"/>
      <c r="AN653" s="22" t="n"/>
      <c r="AO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  <c r="Y654" s="22" t="n"/>
      <c r="Z654" s="22" t="n"/>
      <c r="AA654" s="22" t="n"/>
      <c r="AB654" s="22" t="n"/>
      <c r="AC654" s="22" t="n"/>
      <c r="AD654" s="22" t="n"/>
      <c r="AE654" s="22" t="n"/>
      <c r="AF654" s="22" t="n"/>
      <c r="AG654" s="22" t="n"/>
      <c r="AH654" s="22" t="n"/>
      <c r="AI654" s="22" t="n"/>
      <c r="AJ654" s="22" t="n"/>
      <c r="AK654" s="22" t="n"/>
      <c r="AL654" s="22" t="n"/>
      <c r="AM654" s="22" t="n"/>
      <c r="AN654" s="22" t="n"/>
      <c r="AO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  <c r="Y655" s="22" t="n"/>
      <c r="Z655" s="22" t="n"/>
      <c r="AA655" s="22" t="n"/>
      <c r="AB655" s="22" t="n"/>
      <c r="AC655" s="22" t="n"/>
      <c r="AD655" s="22" t="n"/>
      <c r="AE655" s="22" t="n"/>
      <c r="AF655" s="22" t="n"/>
      <c r="AG655" s="22" t="n"/>
      <c r="AH655" s="22" t="n"/>
      <c r="AI655" s="22" t="n"/>
      <c r="AJ655" s="22" t="n"/>
      <c r="AK655" s="22" t="n"/>
      <c r="AL655" s="22" t="n"/>
      <c r="AM655" s="22" t="n"/>
      <c r="AN655" s="22" t="n"/>
      <c r="AO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  <c r="Y656" s="22" t="n"/>
      <c r="Z656" s="22" t="n"/>
      <c r="AA656" s="22" t="n"/>
      <c r="AB656" s="22" t="n"/>
      <c r="AC656" s="22" t="n"/>
      <c r="AD656" s="22" t="n"/>
      <c r="AE656" s="22" t="n"/>
      <c r="AF656" s="22" t="n"/>
      <c r="AG656" s="22" t="n"/>
      <c r="AH656" s="22" t="n"/>
      <c r="AI656" s="22" t="n"/>
      <c r="AJ656" s="22" t="n"/>
      <c r="AK656" s="22" t="n"/>
      <c r="AL656" s="22" t="n"/>
      <c r="AM656" s="22" t="n"/>
      <c r="AN656" s="22" t="n"/>
      <c r="AO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  <c r="Y657" s="22" t="n"/>
      <c r="Z657" s="22" t="n"/>
      <c r="AA657" s="22" t="n"/>
      <c r="AB657" s="22" t="n"/>
      <c r="AC657" s="22" t="n"/>
      <c r="AD657" s="22" t="n"/>
      <c r="AE657" s="22" t="n"/>
      <c r="AF657" s="22" t="n"/>
      <c r="AG657" s="22" t="n"/>
      <c r="AH657" s="22" t="n"/>
      <c r="AI657" s="22" t="n"/>
      <c r="AJ657" s="22" t="n"/>
      <c r="AK657" s="22" t="n"/>
      <c r="AL657" s="22" t="n"/>
      <c r="AM657" s="22" t="n"/>
      <c r="AN657" s="22" t="n"/>
      <c r="AO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  <c r="Y658" s="22" t="n"/>
      <c r="Z658" s="22" t="n"/>
      <c r="AA658" s="22" t="n"/>
      <c r="AB658" s="22" t="n"/>
      <c r="AC658" s="22" t="n"/>
      <c r="AD658" s="22" t="n"/>
      <c r="AE658" s="22" t="n"/>
      <c r="AF658" s="22" t="n"/>
      <c r="AG658" s="22" t="n"/>
      <c r="AH658" s="22" t="n"/>
      <c r="AI658" s="22" t="n"/>
      <c r="AJ658" s="22" t="n"/>
      <c r="AK658" s="22" t="n"/>
      <c r="AL658" s="22" t="n"/>
      <c r="AM658" s="22" t="n"/>
      <c r="AN658" s="22" t="n"/>
      <c r="AO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  <c r="Y659" s="22" t="n"/>
      <c r="Z659" s="22" t="n"/>
      <c r="AA659" s="22" t="n"/>
      <c r="AB659" s="22" t="n"/>
      <c r="AC659" s="22" t="n"/>
      <c r="AD659" s="22" t="n"/>
      <c r="AE659" s="22" t="n"/>
      <c r="AF659" s="22" t="n"/>
      <c r="AG659" s="22" t="n"/>
      <c r="AH659" s="22" t="n"/>
      <c r="AI659" s="22" t="n"/>
      <c r="AJ659" s="22" t="n"/>
      <c r="AK659" s="22" t="n"/>
      <c r="AL659" s="22" t="n"/>
      <c r="AM659" s="22" t="n"/>
      <c r="AN659" s="22" t="n"/>
      <c r="AO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  <c r="Y660" s="22" t="n"/>
      <c r="Z660" s="22" t="n"/>
      <c r="AA660" s="22" t="n"/>
      <c r="AB660" s="22" t="n"/>
      <c r="AC660" s="22" t="n"/>
      <c r="AD660" s="22" t="n"/>
      <c r="AE660" s="22" t="n"/>
      <c r="AF660" s="22" t="n"/>
      <c r="AG660" s="22" t="n"/>
      <c r="AH660" s="22" t="n"/>
      <c r="AI660" s="22" t="n"/>
      <c r="AJ660" s="22" t="n"/>
      <c r="AK660" s="22" t="n"/>
      <c r="AL660" s="22" t="n"/>
      <c r="AM660" s="22" t="n"/>
      <c r="AN660" s="22" t="n"/>
      <c r="AO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  <c r="Y661" s="22" t="n"/>
      <c r="Z661" s="22" t="n"/>
      <c r="AA661" s="22" t="n"/>
      <c r="AB661" s="22" t="n"/>
      <c r="AC661" s="22" t="n"/>
      <c r="AD661" s="22" t="n"/>
      <c r="AE661" s="22" t="n"/>
      <c r="AF661" s="22" t="n"/>
      <c r="AG661" s="22" t="n"/>
      <c r="AH661" s="22" t="n"/>
      <c r="AI661" s="22" t="n"/>
      <c r="AJ661" s="22" t="n"/>
      <c r="AK661" s="22" t="n"/>
      <c r="AL661" s="22" t="n"/>
      <c r="AM661" s="22" t="n"/>
      <c r="AN661" s="22" t="n"/>
      <c r="AO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  <c r="Y662" s="22" t="n"/>
      <c r="Z662" s="22" t="n"/>
      <c r="AA662" s="22" t="n"/>
      <c r="AB662" s="22" t="n"/>
      <c r="AC662" s="22" t="n"/>
      <c r="AD662" s="22" t="n"/>
      <c r="AE662" s="22" t="n"/>
      <c r="AF662" s="22" t="n"/>
      <c r="AG662" s="22" t="n"/>
      <c r="AH662" s="22" t="n"/>
      <c r="AI662" s="22" t="n"/>
      <c r="AJ662" s="22" t="n"/>
      <c r="AK662" s="22" t="n"/>
      <c r="AL662" s="22" t="n"/>
      <c r="AM662" s="22" t="n"/>
      <c r="AN662" s="22" t="n"/>
      <c r="AO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  <c r="Y663" s="22" t="n"/>
      <c r="Z663" s="22" t="n"/>
      <c r="AA663" s="22" t="n"/>
      <c r="AB663" s="22" t="n"/>
      <c r="AC663" s="22" t="n"/>
      <c r="AD663" s="22" t="n"/>
      <c r="AE663" s="22" t="n"/>
      <c r="AF663" s="22" t="n"/>
      <c r="AG663" s="22" t="n"/>
      <c r="AH663" s="22" t="n"/>
      <c r="AI663" s="22" t="n"/>
      <c r="AJ663" s="22" t="n"/>
      <c r="AK663" s="22" t="n"/>
      <c r="AL663" s="22" t="n"/>
      <c r="AM663" s="22" t="n"/>
      <c r="AN663" s="22" t="n"/>
      <c r="AO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  <c r="Y664" s="22" t="n"/>
      <c r="Z664" s="22" t="n"/>
      <c r="AA664" s="22" t="n"/>
      <c r="AB664" s="22" t="n"/>
      <c r="AC664" s="22" t="n"/>
      <c r="AD664" s="22" t="n"/>
      <c r="AE664" s="22" t="n"/>
      <c r="AF664" s="22" t="n"/>
      <c r="AG664" s="22" t="n"/>
      <c r="AH664" s="22" t="n"/>
      <c r="AI664" s="22" t="n"/>
      <c r="AJ664" s="22" t="n"/>
      <c r="AK664" s="22" t="n"/>
      <c r="AL664" s="22" t="n"/>
      <c r="AM664" s="22" t="n"/>
      <c r="AN664" s="22" t="n"/>
      <c r="AO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  <c r="Y665" s="22" t="n"/>
      <c r="Z665" s="22" t="n"/>
      <c r="AA665" s="22" t="n"/>
      <c r="AB665" s="22" t="n"/>
      <c r="AC665" s="22" t="n"/>
      <c r="AD665" s="22" t="n"/>
      <c r="AE665" s="22" t="n"/>
      <c r="AF665" s="22" t="n"/>
      <c r="AG665" s="22" t="n"/>
      <c r="AH665" s="22" t="n"/>
      <c r="AI665" s="22" t="n"/>
      <c r="AJ665" s="22" t="n"/>
      <c r="AK665" s="22" t="n"/>
      <c r="AL665" s="22" t="n"/>
      <c r="AM665" s="22" t="n"/>
      <c r="AN665" s="22" t="n"/>
      <c r="AO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  <c r="Y666" s="22" t="n"/>
      <c r="Z666" s="22" t="n"/>
      <c r="AA666" s="22" t="n"/>
      <c r="AB666" s="22" t="n"/>
      <c r="AC666" s="22" t="n"/>
      <c r="AD666" s="22" t="n"/>
      <c r="AE666" s="22" t="n"/>
      <c r="AF666" s="22" t="n"/>
      <c r="AG666" s="22" t="n"/>
      <c r="AH666" s="22" t="n"/>
      <c r="AI666" s="22" t="n"/>
      <c r="AJ666" s="22" t="n"/>
      <c r="AK666" s="22" t="n"/>
      <c r="AL666" s="22" t="n"/>
      <c r="AM666" s="22" t="n"/>
      <c r="AN666" s="22" t="n"/>
      <c r="AO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  <c r="Y667" s="22" t="n"/>
      <c r="Z667" s="22" t="n"/>
      <c r="AA667" s="22" t="n"/>
      <c r="AB667" s="22" t="n"/>
      <c r="AC667" s="22" t="n"/>
      <c r="AD667" s="22" t="n"/>
      <c r="AE667" s="22" t="n"/>
      <c r="AF667" s="22" t="n"/>
      <c r="AG667" s="22" t="n"/>
      <c r="AH667" s="22" t="n"/>
      <c r="AI667" s="22" t="n"/>
      <c r="AJ667" s="22" t="n"/>
      <c r="AK667" s="22" t="n"/>
      <c r="AL667" s="22" t="n"/>
      <c r="AM667" s="22" t="n"/>
      <c r="AN667" s="22" t="n"/>
      <c r="AO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  <c r="Y668" s="22" t="n"/>
      <c r="Z668" s="22" t="n"/>
      <c r="AA668" s="22" t="n"/>
      <c r="AB668" s="22" t="n"/>
      <c r="AC668" s="22" t="n"/>
      <c r="AD668" s="22" t="n"/>
      <c r="AE668" s="22" t="n"/>
      <c r="AF668" s="22" t="n"/>
      <c r="AG668" s="22" t="n"/>
      <c r="AH668" s="22" t="n"/>
      <c r="AI668" s="22" t="n"/>
      <c r="AJ668" s="22" t="n"/>
      <c r="AK668" s="22" t="n"/>
      <c r="AL668" s="22" t="n"/>
      <c r="AM668" s="22" t="n"/>
      <c r="AN668" s="22" t="n"/>
      <c r="AO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  <c r="Y669" s="22" t="n"/>
      <c r="Z669" s="22" t="n"/>
      <c r="AA669" s="22" t="n"/>
      <c r="AB669" s="22" t="n"/>
      <c r="AC669" s="22" t="n"/>
      <c r="AD669" s="22" t="n"/>
      <c r="AE669" s="22" t="n"/>
      <c r="AF669" s="22" t="n"/>
      <c r="AG669" s="22" t="n"/>
      <c r="AH669" s="22" t="n"/>
      <c r="AI669" s="22" t="n"/>
      <c r="AJ669" s="22" t="n"/>
      <c r="AK669" s="22" t="n"/>
      <c r="AL669" s="22" t="n"/>
      <c r="AM669" s="22" t="n"/>
      <c r="AN669" s="22" t="n"/>
      <c r="AO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  <c r="Y670" s="22" t="n"/>
      <c r="Z670" s="22" t="n"/>
      <c r="AA670" s="22" t="n"/>
      <c r="AB670" s="22" t="n"/>
      <c r="AC670" s="22" t="n"/>
      <c r="AD670" s="22" t="n"/>
      <c r="AE670" s="22" t="n"/>
      <c r="AF670" s="22" t="n"/>
      <c r="AG670" s="22" t="n"/>
      <c r="AH670" s="22" t="n"/>
      <c r="AI670" s="22" t="n"/>
      <c r="AJ670" s="22" t="n"/>
      <c r="AK670" s="22" t="n"/>
      <c r="AL670" s="22" t="n"/>
      <c r="AM670" s="22" t="n"/>
      <c r="AN670" s="22" t="n"/>
      <c r="AO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  <c r="Y671" s="22" t="n"/>
      <c r="Z671" s="22" t="n"/>
      <c r="AA671" s="22" t="n"/>
      <c r="AB671" s="22" t="n"/>
      <c r="AC671" s="22" t="n"/>
      <c r="AD671" s="22" t="n"/>
      <c r="AE671" s="22" t="n"/>
      <c r="AF671" s="22" t="n"/>
      <c r="AG671" s="22" t="n"/>
      <c r="AH671" s="22" t="n"/>
      <c r="AI671" s="22" t="n"/>
      <c r="AJ671" s="22" t="n"/>
      <c r="AK671" s="22" t="n"/>
      <c r="AL671" s="22" t="n"/>
      <c r="AM671" s="22" t="n"/>
      <c r="AN671" s="22" t="n"/>
      <c r="AO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  <c r="Y672" s="22" t="n"/>
      <c r="Z672" s="22" t="n"/>
      <c r="AA672" s="22" t="n"/>
      <c r="AB672" s="22" t="n"/>
      <c r="AC672" s="22" t="n"/>
      <c r="AD672" s="22" t="n"/>
      <c r="AE672" s="22" t="n"/>
      <c r="AF672" s="22" t="n"/>
      <c r="AG672" s="22" t="n"/>
      <c r="AH672" s="22" t="n"/>
      <c r="AI672" s="22" t="n"/>
      <c r="AJ672" s="22" t="n"/>
      <c r="AK672" s="22" t="n"/>
      <c r="AL672" s="22" t="n"/>
      <c r="AM672" s="22" t="n"/>
      <c r="AN672" s="22" t="n"/>
      <c r="AO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  <c r="Y673" s="22" t="n"/>
      <c r="Z673" s="22" t="n"/>
      <c r="AA673" s="22" t="n"/>
      <c r="AB673" s="22" t="n"/>
      <c r="AC673" s="22" t="n"/>
      <c r="AD673" s="22" t="n"/>
      <c r="AE673" s="22" t="n"/>
      <c r="AF673" s="22" t="n"/>
      <c r="AG673" s="22" t="n"/>
      <c r="AH673" s="22" t="n"/>
      <c r="AI673" s="22" t="n"/>
      <c r="AJ673" s="22" t="n"/>
      <c r="AK673" s="22" t="n"/>
      <c r="AL673" s="22" t="n"/>
      <c r="AM673" s="22" t="n"/>
      <c r="AN673" s="22" t="n"/>
      <c r="AO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  <c r="Y674" s="22" t="n"/>
      <c r="Z674" s="22" t="n"/>
      <c r="AA674" s="22" t="n"/>
      <c r="AB674" s="22" t="n"/>
      <c r="AC674" s="22" t="n"/>
      <c r="AD674" s="22" t="n"/>
      <c r="AE674" s="22" t="n"/>
      <c r="AF674" s="22" t="n"/>
      <c r="AG674" s="22" t="n"/>
      <c r="AH674" s="22" t="n"/>
      <c r="AI674" s="22" t="n"/>
      <c r="AJ674" s="22" t="n"/>
      <c r="AK674" s="22" t="n"/>
      <c r="AL674" s="22" t="n"/>
      <c r="AM674" s="22" t="n"/>
      <c r="AN674" s="22" t="n"/>
      <c r="AO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  <c r="Y675" s="22" t="n"/>
      <c r="Z675" s="22" t="n"/>
      <c r="AA675" s="22" t="n"/>
      <c r="AB675" s="22" t="n"/>
      <c r="AC675" s="22" t="n"/>
      <c r="AD675" s="22" t="n"/>
      <c r="AE675" s="22" t="n"/>
      <c r="AF675" s="22" t="n"/>
      <c r="AG675" s="22" t="n"/>
      <c r="AH675" s="22" t="n"/>
      <c r="AI675" s="22" t="n"/>
      <c r="AJ675" s="22" t="n"/>
      <c r="AK675" s="22" t="n"/>
      <c r="AL675" s="22" t="n"/>
      <c r="AM675" s="22" t="n"/>
      <c r="AN675" s="22" t="n"/>
      <c r="AO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  <c r="Y676" s="22" t="n"/>
      <c r="Z676" s="22" t="n"/>
      <c r="AA676" s="22" t="n"/>
      <c r="AB676" s="22" t="n"/>
      <c r="AC676" s="22" t="n"/>
      <c r="AD676" s="22" t="n"/>
      <c r="AE676" s="22" t="n"/>
      <c r="AF676" s="22" t="n"/>
      <c r="AG676" s="22" t="n"/>
      <c r="AH676" s="22" t="n"/>
      <c r="AI676" s="22" t="n"/>
      <c r="AJ676" s="22" t="n"/>
      <c r="AK676" s="22" t="n"/>
      <c r="AL676" s="22" t="n"/>
      <c r="AM676" s="22" t="n"/>
      <c r="AN676" s="22" t="n"/>
      <c r="AO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  <c r="Y677" s="22" t="n"/>
      <c r="Z677" s="22" t="n"/>
      <c r="AA677" s="22" t="n"/>
      <c r="AB677" s="22" t="n"/>
      <c r="AC677" s="22" t="n"/>
      <c r="AD677" s="22" t="n"/>
      <c r="AE677" s="22" t="n"/>
      <c r="AF677" s="22" t="n"/>
      <c r="AG677" s="22" t="n"/>
      <c r="AH677" s="22" t="n"/>
      <c r="AI677" s="22" t="n"/>
      <c r="AJ677" s="22" t="n"/>
      <c r="AK677" s="22" t="n"/>
      <c r="AL677" s="22" t="n"/>
      <c r="AM677" s="22" t="n"/>
      <c r="AN677" s="22" t="n"/>
      <c r="AO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  <c r="Y678" s="22" t="n"/>
      <c r="Z678" s="22" t="n"/>
      <c r="AA678" s="22" t="n"/>
      <c r="AB678" s="22" t="n"/>
      <c r="AC678" s="22" t="n"/>
      <c r="AD678" s="22" t="n"/>
      <c r="AE678" s="22" t="n"/>
      <c r="AF678" s="22" t="n"/>
      <c r="AG678" s="22" t="n"/>
      <c r="AH678" s="22" t="n"/>
      <c r="AI678" s="22" t="n"/>
      <c r="AJ678" s="22" t="n"/>
      <c r="AK678" s="22" t="n"/>
      <c r="AL678" s="22" t="n"/>
      <c r="AM678" s="22" t="n"/>
      <c r="AN678" s="22" t="n"/>
      <c r="AO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  <c r="Y679" s="22" t="n"/>
      <c r="Z679" s="22" t="n"/>
      <c r="AA679" s="22" t="n"/>
      <c r="AB679" s="22" t="n"/>
      <c r="AC679" s="22" t="n"/>
      <c r="AD679" s="22" t="n"/>
      <c r="AE679" s="22" t="n"/>
      <c r="AF679" s="22" t="n"/>
      <c r="AG679" s="22" t="n"/>
      <c r="AH679" s="22" t="n"/>
      <c r="AI679" s="22" t="n"/>
      <c r="AJ679" s="22" t="n"/>
      <c r="AK679" s="22" t="n"/>
      <c r="AL679" s="22" t="n"/>
      <c r="AM679" s="22" t="n"/>
      <c r="AN679" s="22" t="n"/>
      <c r="AO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  <c r="Y680" s="22" t="n"/>
      <c r="Z680" s="22" t="n"/>
      <c r="AA680" s="22" t="n"/>
      <c r="AB680" s="22" t="n"/>
      <c r="AC680" s="22" t="n"/>
      <c r="AD680" s="22" t="n"/>
      <c r="AE680" s="22" t="n"/>
      <c r="AF680" s="22" t="n"/>
      <c r="AG680" s="22" t="n"/>
      <c r="AH680" s="22" t="n"/>
      <c r="AI680" s="22" t="n"/>
      <c r="AJ680" s="22" t="n"/>
      <c r="AK680" s="22" t="n"/>
      <c r="AL680" s="22" t="n"/>
      <c r="AM680" s="22" t="n"/>
      <c r="AN680" s="22" t="n"/>
      <c r="AO680" s="22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282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322" t="inlineStr">
        <is>
          <t>period</t>
        </is>
      </c>
      <c r="B1" s="322" t="inlineStr">
        <is>
          <t>metric</t>
        </is>
      </c>
      <c r="C1" s="322" t="inlineStr">
        <is>
          <t>previous_guide</t>
        </is>
      </c>
      <c r="D1" s="322" t="inlineStr">
        <is>
          <t>current_guide</t>
        </is>
      </c>
      <c r="E1" s="322" t="inlineStr">
        <is>
          <t>actual</t>
        </is>
      </c>
      <c r="F1" s="322" t="inlineStr">
        <is>
          <t>status</t>
        </is>
      </c>
      <c r="G1" s="322" t="inlineStr">
        <is>
          <t>source_ref</t>
        </is>
      </c>
      <c r="H1" s="322" t="n"/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</row>
    <row r="2">
      <c r="A2" s="22" t="n"/>
      <c r="B2" s="324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331" t="n"/>
      <c r="O2" s="331" t="n"/>
      <c r="P2" s="331" t="n"/>
      <c r="Q2" s="331" t="n"/>
      <c r="R2" s="22" t="n"/>
      <c r="S2" s="22" t="n"/>
      <c r="T2" s="22" t="n"/>
      <c r="U2" s="22" t="n"/>
      <c r="V2" s="331" t="n"/>
    </row>
    <row r="3">
      <c r="A3" s="22" t="n"/>
      <c r="B3" s="324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331" t="n"/>
      <c r="O3" s="331" t="n"/>
      <c r="P3" s="331" t="n"/>
      <c r="Q3" s="331" t="n"/>
      <c r="R3" s="22" t="n"/>
      <c r="S3" s="22" t="n"/>
      <c r="T3" s="22" t="n"/>
      <c r="U3" s="22" t="n"/>
      <c r="V3" s="331" t="n"/>
    </row>
    <row r="4">
      <c r="A4" s="22" t="n"/>
      <c r="B4" s="324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331" t="n"/>
      <c r="O4" s="331" t="n"/>
      <c r="P4" s="331" t="n"/>
      <c r="Q4" s="331" t="n"/>
      <c r="R4" s="22" t="n"/>
      <c r="S4" s="22" t="n"/>
      <c r="T4" s="22" t="n"/>
      <c r="U4" s="22" t="n"/>
      <c r="V4" s="331" t="n"/>
    </row>
    <row r="5">
      <c r="A5" s="22" t="n"/>
      <c r="B5" s="324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331" t="n"/>
      <c r="O5" s="331" t="n"/>
      <c r="P5" s="331" t="n"/>
      <c r="Q5" s="331" t="n"/>
      <c r="R5" s="22" t="n"/>
      <c r="S5" s="22" t="n"/>
      <c r="T5" s="22" t="n"/>
      <c r="U5" s="22" t="n"/>
      <c r="V5" s="331" t="n"/>
    </row>
    <row r="6">
      <c r="A6" s="22" t="n"/>
      <c r="B6" s="324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331" t="n"/>
      <c r="O6" s="331" t="n"/>
      <c r="P6" s="331" t="n"/>
      <c r="Q6" s="331" t="n"/>
      <c r="R6" s="22" t="n"/>
      <c r="S6" s="22" t="n"/>
      <c r="T6" s="22" t="n"/>
      <c r="U6" s="22" t="n"/>
      <c r="V6" s="331" t="n"/>
    </row>
    <row r="7">
      <c r="A7" s="22" t="n"/>
      <c r="B7" s="324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331" t="n"/>
      <c r="O7" s="331" t="n"/>
      <c r="P7" s="331" t="n"/>
      <c r="Q7" s="331" t="n"/>
      <c r="R7" s="22" t="n"/>
      <c r="S7" s="22" t="n"/>
      <c r="T7" s="22" t="n"/>
      <c r="U7" s="22" t="n"/>
      <c r="V7" s="331" t="n"/>
    </row>
    <row r="8">
      <c r="A8" s="22" t="n"/>
      <c r="B8" s="324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331" t="n"/>
      <c r="O8" s="331" t="n"/>
      <c r="P8" s="331" t="n"/>
      <c r="Q8" s="331" t="n"/>
      <c r="R8" s="22" t="n"/>
      <c r="S8" s="22" t="n"/>
      <c r="T8" s="22" t="n"/>
      <c r="U8" s="22" t="n"/>
      <c r="V8" s="331" t="n"/>
    </row>
    <row r="9">
      <c r="A9" s="22" t="n"/>
      <c r="B9" s="324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331" t="n"/>
      <c r="O9" s="331" t="n"/>
      <c r="P9" s="331" t="n"/>
      <c r="Q9" s="331" t="n"/>
      <c r="R9" s="22" t="n"/>
      <c r="S9" s="22" t="n"/>
      <c r="T9" s="22" t="n"/>
      <c r="U9" s="22" t="n"/>
      <c r="V9" s="331" t="n"/>
    </row>
    <row r="10">
      <c r="A10" s="22" t="n"/>
      <c r="B10" s="324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331" t="n"/>
      <c r="O10" s="331" t="n"/>
      <c r="P10" s="331" t="n"/>
      <c r="Q10" s="331" t="n"/>
      <c r="R10" s="22" t="n"/>
      <c r="S10" s="22" t="n"/>
      <c r="T10" s="22" t="n"/>
      <c r="U10" s="22" t="n"/>
      <c r="V10" s="331" t="n"/>
    </row>
    <row r="11">
      <c r="A11" s="22" t="n"/>
      <c r="B11" s="324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331" t="n"/>
      <c r="O11" s="331" t="n"/>
      <c r="P11" s="331" t="n"/>
      <c r="Q11" s="331" t="n"/>
      <c r="R11" s="22" t="n"/>
      <c r="S11" s="22" t="n"/>
      <c r="T11" s="22" t="n"/>
      <c r="U11" s="22" t="n"/>
      <c r="V11" s="331" t="n"/>
    </row>
    <row r="12">
      <c r="A12" s="22" t="n"/>
      <c r="B12" s="324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331" t="n"/>
      <c r="O12" s="331" t="n"/>
      <c r="P12" s="331" t="n"/>
      <c r="Q12" s="331" t="n"/>
      <c r="R12" s="22" t="n"/>
      <c r="S12" s="22" t="n"/>
      <c r="T12" s="22" t="n"/>
      <c r="U12" s="22" t="n"/>
      <c r="V12" s="331" t="n"/>
    </row>
    <row r="13">
      <c r="A13" s="22" t="n"/>
      <c r="B13" s="324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331" t="n"/>
      <c r="O13" s="331" t="n"/>
      <c r="P13" s="331" t="n"/>
      <c r="Q13" s="331" t="n"/>
      <c r="R13" s="22" t="n"/>
      <c r="S13" s="22" t="n"/>
      <c r="T13" s="22" t="n"/>
      <c r="U13" s="22" t="n"/>
      <c r="V13" s="331" t="n"/>
    </row>
    <row r="14">
      <c r="A14" s="22" t="n"/>
      <c r="B14" s="324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331" t="n"/>
      <c r="O14" s="331" t="n"/>
      <c r="P14" s="331" t="n"/>
      <c r="Q14" s="331" t="n"/>
      <c r="R14" s="22" t="n"/>
      <c r="S14" s="22" t="n"/>
      <c r="T14" s="22" t="n"/>
      <c r="U14" s="22" t="n"/>
      <c r="V14" s="331" t="n"/>
    </row>
    <row r="15">
      <c r="A15" s="22" t="n"/>
      <c r="B15" s="324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331" t="n"/>
      <c r="O15" s="331" t="n"/>
      <c r="P15" s="331" t="n"/>
      <c r="Q15" s="331" t="n"/>
      <c r="R15" s="22" t="n"/>
      <c r="S15" s="22" t="n"/>
      <c r="T15" s="22" t="n"/>
      <c r="U15" s="22" t="n"/>
      <c r="V15" s="331" t="n"/>
    </row>
    <row r="16">
      <c r="A16" s="22" t="n"/>
      <c r="B16" s="324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331" t="n"/>
      <c r="O16" s="331" t="n"/>
      <c r="P16" s="331" t="n"/>
      <c r="Q16" s="331" t="n"/>
      <c r="R16" s="22" t="n"/>
      <c r="S16" s="22" t="n"/>
      <c r="T16" s="22" t="n"/>
      <c r="U16" s="22" t="n"/>
      <c r="V16" s="331" t="n"/>
    </row>
    <row r="17">
      <c r="A17" s="22" t="n"/>
      <c r="B17" s="324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331" t="n"/>
      <c r="O17" s="331" t="n"/>
      <c r="P17" s="331" t="n"/>
      <c r="Q17" s="331" t="n"/>
      <c r="R17" s="22" t="n"/>
      <c r="S17" s="22" t="n"/>
      <c r="T17" s="22" t="n"/>
      <c r="U17" s="22" t="n"/>
      <c r="V17" s="331" t="n"/>
    </row>
    <row r="18">
      <c r="A18" s="22" t="n"/>
      <c r="B18" s="324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331" t="n"/>
      <c r="O18" s="331" t="n"/>
      <c r="P18" s="331" t="n"/>
      <c r="Q18" s="331" t="n"/>
      <c r="R18" s="22" t="n"/>
      <c r="S18" s="22" t="n"/>
      <c r="T18" s="22" t="n"/>
      <c r="U18" s="22" t="n"/>
      <c r="V18" s="331" t="n"/>
    </row>
    <row r="19">
      <c r="A19" s="22" t="n"/>
      <c r="B19" s="324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331" t="n"/>
      <c r="O19" s="331" t="n"/>
      <c r="P19" s="331" t="n"/>
      <c r="Q19" s="331" t="n"/>
      <c r="R19" s="22" t="n"/>
      <c r="S19" s="22" t="n"/>
      <c r="T19" s="22" t="n"/>
      <c r="U19" s="22" t="n"/>
      <c r="V19" s="331" t="n"/>
    </row>
    <row r="20">
      <c r="A20" s="22" t="n"/>
      <c r="B20" s="324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331" t="n"/>
      <c r="O20" s="331" t="n"/>
      <c r="P20" s="331" t="n"/>
      <c r="Q20" s="331" t="n"/>
      <c r="R20" s="22" t="n"/>
      <c r="S20" s="22" t="n"/>
      <c r="T20" s="22" t="n"/>
      <c r="U20" s="22" t="n"/>
      <c r="V20" s="331" t="n"/>
    </row>
    <row r="21">
      <c r="A21" s="22" t="n"/>
      <c r="B21" s="324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331" t="n"/>
      <c r="O21" s="331" t="n"/>
      <c r="P21" s="331" t="n"/>
      <c r="Q21" s="331" t="n"/>
      <c r="R21" s="22" t="n"/>
      <c r="S21" s="22" t="n"/>
      <c r="T21" s="22" t="n"/>
      <c r="U21" s="22" t="n"/>
      <c r="V21" s="331" t="n"/>
    </row>
    <row r="22">
      <c r="A22" s="22" t="n"/>
      <c r="B22" s="324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331" t="n"/>
      <c r="O22" s="331" t="n"/>
      <c r="P22" s="331" t="n"/>
      <c r="Q22" s="331" t="n"/>
      <c r="R22" s="22" t="n"/>
      <c r="S22" s="22" t="n"/>
      <c r="T22" s="22" t="n"/>
      <c r="U22" s="22" t="n"/>
      <c r="V22" s="331" t="n"/>
    </row>
    <row r="23">
      <c r="A23" s="22" t="n"/>
      <c r="B23" s="324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331" t="n"/>
      <c r="O23" s="331" t="n"/>
      <c r="P23" s="331" t="n"/>
      <c r="Q23" s="331" t="n"/>
      <c r="R23" s="22" t="n"/>
      <c r="S23" s="22" t="n"/>
      <c r="T23" s="22" t="n"/>
      <c r="U23" s="22" t="n"/>
      <c r="V23" s="331" t="n"/>
    </row>
    <row r="24">
      <c r="A24" s="22" t="n"/>
      <c r="B24" s="324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331" t="n"/>
      <c r="O24" s="331" t="n"/>
      <c r="P24" s="331" t="n"/>
      <c r="Q24" s="331" t="n"/>
      <c r="R24" s="22" t="n"/>
      <c r="S24" s="22" t="n"/>
      <c r="T24" s="22" t="n"/>
      <c r="U24" s="22" t="n"/>
      <c r="V24" s="331" t="n"/>
    </row>
    <row r="25">
      <c r="A25" s="22" t="n"/>
      <c r="B25" s="324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331" t="n"/>
      <c r="O25" s="331" t="n"/>
      <c r="P25" s="331" t="n"/>
      <c r="Q25" s="331" t="n"/>
      <c r="R25" s="22" t="n"/>
      <c r="S25" s="22" t="n"/>
      <c r="T25" s="22" t="n"/>
      <c r="U25" s="22" t="n"/>
      <c r="V25" s="331" t="n"/>
    </row>
    <row r="26">
      <c r="A26" s="22" t="n"/>
      <c r="B26" s="324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331" t="n"/>
      <c r="O26" s="331" t="n"/>
      <c r="P26" s="331" t="n"/>
      <c r="Q26" s="331" t="n"/>
      <c r="R26" s="22" t="n"/>
      <c r="S26" s="22" t="n"/>
      <c r="T26" s="22" t="n"/>
      <c r="U26" s="22" t="n"/>
      <c r="V26" s="331" t="n"/>
    </row>
    <row r="27">
      <c r="A27" s="22" t="n"/>
      <c r="B27" s="324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331" t="n"/>
      <c r="O27" s="331" t="n"/>
      <c r="P27" s="331" t="n"/>
      <c r="Q27" s="331" t="n"/>
      <c r="R27" s="22" t="n"/>
      <c r="S27" s="22" t="n"/>
      <c r="T27" s="22" t="n"/>
      <c r="U27" s="22" t="n"/>
      <c r="V27" s="331" t="n"/>
    </row>
    <row r="28">
      <c r="A28" s="22" t="n"/>
      <c r="B28" s="324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331" t="n"/>
      <c r="O28" s="331" t="n"/>
      <c r="P28" s="331" t="n"/>
      <c r="Q28" s="331" t="n"/>
      <c r="R28" s="22" t="n"/>
      <c r="S28" s="22" t="n"/>
      <c r="T28" s="22" t="n"/>
      <c r="U28" s="22" t="n"/>
      <c r="V28" s="331" t="n"/>
    </row>
    <row r="29">
      <c r="A29" s="22" t="n"/>
      <c r="B29" s="324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331" t="n"/>
      <c r="O29" s="331" t="n"/>
      <c r="P29" s="331" t="n"/>
      <c r="Q29" s="331" t="n"/>
      <c r="R29" s="22" t="n"/>
      <c r="S29" s="22" t="n"/>
      <c r="T29" s="22" t="n"/>
      <c r="U29" s="22" t="n"/>
      <c r="V29" s="331" t="n"/>
    </row>
    <row r="30">
      <c r="A30" s="22" t="n"/>
      <c r="B30" s="324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331" t="n"/>
      <c r="O30" s="331" t="n"/>
      <c r="P30" s="331" t="n"/>
      <c r="Q30" s="331" t="n"/>
      <c r="R30" s="22" t="n"/>
      <c r="S30" s="22" t="n"/>
      <c r="T30" s="22" t="n"/>
      <c r="U30" s="22" t="n"/>
      <c r="V30" s="331" t="n"/>
    </row>
    <row r="31">
      <c r="A31" s="22" t="n"/>
      <c r="B31" s="324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331" t="n"/>
      <c r="O31" s="331" t="n"/>
      <c r="P31" s="331" t="n"/>
      <c r="Q31" s="331" t="n"/>
      <c r="R31" s="22" t="n"/>
      <c r="S31" s="22" t="n"/>
      <c r="T31" s="22" t="n"/>
      <c r="U31" s="22" t="n"/>
      <c r="V31" s="331" t="n"/>
    </row>
    <row r="32">
      <c r="A32" s="22" t="n"/>
      <c r="B32" s="324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331" t="n"/>
      <c r="O32" s="331" t="n"/>
      <c r="P32" s="331" t="n"/>
      <c r="Q32" s="331" t="n"/>
      <c r="R32" s="22" t="n"/>
      <c r="S32" s="22" t="n"/>
      <c r="T32" s="22" t="n"/>
      <c r="U32" s="22" t="n"/>
      <c r="V32" s="331" t="n"/>
    </row>
    <row r="33">
      <c r="A33" s="22" t="n"/>
      <c r="B33" s="324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331" t="n"/>
      <c r="O33" s="331" t="n"/>
      <c r="P33" s="331" t="n"/>
      <c r="Q33" s="331" t="n"/>
      <c r="R33" s="22" t="n"/>
      <c r="S33" s="22" t="n"/>
      <c r="T33" s="22" t="n"/>
      <c r="U33" s="22" t="n"/>
      <c r="V33" s="331" t="n"/>
    </row>
    <row r="34">
      <c r="A34" s="22" t="n"/>
      <c r="B34" s="324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331" t="n"/>
      <c r="O34" s="331" t="n"/>
      <c r="P34" s="331" t="n"/>
      <c r="Q34" s="331" t="n"/>
      <c r="R34" s="22" t="n"/>
      <c r="S34" s="22" t="n"/>
      <c r="T34" s="22" t="n"/>
      <c r="U34" s="22" t="n"/>
      <c r="V34" s="331" t="n"/>
    </row>
    <row r="35">
      <c r="A35" s="22" t="n"/>
      <c r="B35" s="324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331" t="n"/>
      <c r="O35" s="331" t="n"/>
      <c r="P35" s="331" t="n"/>
      <c r="Q35" s="331" t="n"/>
      <c r="R35" s="22" t="n"/>
      <c r="S35" s="22" t="n"/>
      <c r="T35" s="22" t="n"/>
      <c r="U35" s="22" t="n"/>
      <c r="V35" s="331" t="n"/>
    </row>
    <row r="36">
      <c r="A36" s="22" t="n"/>
      <c r="B36" s="324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331" t="n"/>
      <c r="O36" s="331" t="n"/>
      <c r="P36" s="331" t="n"/>
      <c r="Q36" s="331" t="n"/>
      <c r="R36" s="22" t="n"/>
      <c r="S36" s="22" t="n"/>
      <c r="T36" s="22" t="n"/>
      <c r="U36" s="22" t="n"/>
      <c r="V36" s="331" t="n"/>
    </row>
    <row r="37">
      <c r="A37" s="22" t="n"/>
      <c r="B37" s="324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331" t="n"/>
      <c r="O37" s="331" t="n"/>
      <c r="P37" s="331" t="n"/>
      <c r="Q37" s="331" t="n"/>
      <c r="R37" s="22" t="n"/>
      <c r="S37" s="22" t="n"/>
      <c r="T37" s="22" t="n"/>
      <c r="U37" s="22" t="n"/>
      <c r="V37" s="331" t="n"/>
    </row>
    <row r="38">
      <c r="A38" s="22" t="n"/>
      <c r="B38" s="324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331" t="n"/>
      <c r="O38" s="331" t="n"/>
      <c r="P38" s="331" t="n"/>
      <c r="Q38" s="331" t="n"/>
      <c r="R38" s="22" t="n"/>
      <c r="S38" s="22" t="n"/>
      <c r="T38" s="22" t="n"/>
      <c r="U38" s="22" t="n"/>
      <c r="V38" s="331" t="n"/>
    </row>
    <row r="39">
      <c r="A39" s="22" t="n"/>
      <c r="B39" s="324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331" t="n"/>
      <c r="O39" s="331" t="n"/>
      <c r="P39" s="331" t="n"/>
      <c r="Q39" s="331" t="n"/>
      <c r="R39" s="22" t="n"/>
      <c r="S39" s="22" t="n"/>
      <c r="T39" s="22" t="n"/>
      <c r="U39" s="22" t="n"/>
      <c r="V39" s="331" t="n"/>
    </row>
    <row r="40">
      <c r="A40" s="22" t="n"/>
      <c r="B40" s="324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331" t="n"/>
      <c r="O40" s="331" t="n"/>
      <c r="P40" s="331" t="n"/>
      <c r="Q40" s="331" t="n"/>
      <c r="R40" s="22" t="n"/>
      <c r="S40" s="22" t="n"/>
      <c r="T40" s="22" t="n"/>
      <c r="U40" s="22" t="n"/>
      <c r="V40" s="331" t="n"/>
    </row>
    <row r="41">
      <c r="A41" s="22" t="n"/>
      <c r="B41" s="324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331" t="n"/>
      <c r="O41" s="331" t="n"/>
      <c r="P41" s="331" t="n"/>
      <c r="Q41" s="331" t="n"/>
      <c r="R41" s="22" t="n"/>
      <c r="S41" s="22" t="n"/>
      <c r="T41" s="22" t="n"/>
      <c r="U41" s="22" t="n"/>
      <c r="V41" s="331" t="n"/>
    </row>
    <row r="42">
      <c r="A42" s="22" t="n"/>
      <c r="B42" s="324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331" t="n"/>
      <c r="O42" s="331" t="n"/>
      <c r="P42" s="331" t="n"/>
      <c r="Q42" s="331" t="n"/>
      <c r="R42" s="22" t="n"/>
      <c r="S42" s="22" t="n"/>
      <c r="T42" s="22" t="n"/>
      <c r="U42" s="22" t="n"/>
      <c r="V42" s="331" t="n"/>
    </row>
    <row r="43">
      <c r="A43" s="22" t="n"/>
      <c r="B43" s="324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331" t="n"/>
      <c r="O43" s="331" t="n"/>
      <c r="P43" s="331" t="n"/>
      <c r="Q43" s="331" t="n"/>
      <c r="R43" s="22" t="n"/>
      <c r="S43" s="22" t="n"/>
      <c r="T43" s="22" t="n"/>
      <c r="U43" s="22" t="n"/>
      <c r="V43" s="331" t="n"/>
    </row>
    <row r="44">
      <c r="A44" s="22" t="n"/>
      <c r="B44" s="324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331" t="n"/>
      <c r="O44" s="331" t="n"/>
      <c r="P44" s="331" t="n"/>
      <c r="Q44" s="331" t="n"/>
      <c r="R44" s="22" t="n"/>
      <c r="S44" s="22" t="n"/>
      <c r="T44" s="22" t="n"/>
      <c r="U44" s="22" t="n"/>
      <c r="V44" s="331" t="n"/>
    </row>
    <row r="45">
      <c r="A45" s="22" t="n"/>
      <c r="B45" s="324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331" t="n"/>
      <c r="O45" s="331" t="n"/>
      <c r="P45" s="331" t="n"/>
      <c r="Q45" s="331" t="n"/>
      <c r="R45" s="22" t="n"/>
      <c r="S45" s="22" t="n"/>
      <c r="T45" s="22" t="n"/>
      <c r="U45" s="22" t="n"/>
      <c r="V45" s="331" t="n"/>
    </row>
    <row r="46">
      <c r="A46" s="22" t="n"/>
      <c r="B46" s="324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331" t="n"/>
      <c r="O46" s="331" t="n"/>
      <c r="P46" s="331" t="n"/>
      <c r="Q46" s="331" t="n"/>
      <c r="R46" s="22" t="n"/>
      <c r="S46" s="22" t="n"/>
      <c r="T46" s="22" t="n"/>
      <c r="U46" s="22" t="n"/>
      <c r="V46" s="331" t="n"/>
    </row>
    <row r="47">
      <c r="A47" s="22" t="n"/>
      <c r="B47" s="324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331" t="n"/>
      <c r="O47" s="331" t="n"/>
      <c r="P47" s="331" t="n"/>
      <c r="Q47" s="331" t="n"/>
      <c r="R47" s="22" t="n"/>
      <c r="S47" s="22" t="n"/>
      <c r="T47" s="22" t="n"/>
      <c r="U47" s="22" t="n"/>
      <c r="V47" s="331" t="n"/>
    </row>
    <row r="48">
      <c r="A48" s="22" t="n"/>
      <c r="B48" s="324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331" t="n"/>
      <c r="O48" s="331" t="n"/>
      <c r="P48" s="331" t="n"/>
      <c r="Q48" s="331" t="n"/>
      <c r="R48" s="22" t="n"/>
      <c r="S48" s="22" t="n"/>
      <c r="T48" s="22" t="n"/>
      <c r="U48" s="22" t="n"/>
      <c r="V48" s="331" t="n"/>
    </row>
    <row r="49">
      <c r="A49" s="22" t="n"/>
      <c r="B49" s="324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331" t="n"/>
      <c r="O49" s="331" t="n"/>
      <c r="P49" s="331" t="n"/>
      <c r="Q49" s="331" t="n"/>
      <c r="R49" s="22" t="n"/>
      <c r="S49" s="22" t="n"/>
      <c r="T49" s="22" t="n"/>
      <c r="U49" s="22" t="n"/>
      <c r="V49" s="331" t="n"/>
    </row>
    <row r="50">
      <c r="A50" s="22" t="n"/>
      <c r="B50" s="324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331" t="n"/>
      <c r="O50" s="331" t="n"/>
      <c r="P50" s="331" t="n"/>
      <c r="Q50" s="331" t="n"/>
      <c r="R50" s="22" t="n"/>
      <c r="S50" s="22" t="n"/>
      <c r="T50" s="22" t="n"/>
      <c r="U50" s="22" t="n"/>
      <c r="V50" s="331" t="n"/>
    </row>
    <row r="51">
      <c r="A51" s="22" t="n"/>
      <c r="B51" s="324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331" t="n"/>
      <c r="O51" s="331" t="n"/>
      <c r="P51" s="331" t="n"/>
      <c r="Q51" s="331" t="n"/>
      <c r="R51" s="22" t="n"/>
      <c r="S51" s="22" t="n"/>
      <c r="T51" s="22" t="n"/>
      <c r="U51" s="22" t="n"/>
      <c r="V51" s="331" t="n"/>
    </row>
    <row r="52">
      <c r="A52" s="22" t="n"/>
      <c r="B52" s="324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331" t="n"/>
      <c r="O52" s="331" t="n"/>
      <c r="P52" s="331" t="n"/>
      <c r="Q52" s="331" t="n"/>
      <c r="R52" s="22" t="n"/>
      <c r="S52" s="22" t="n"/>
      <c r="T52" s="22" t="n"/>
      <c r="U52" s="22" t="n"/>
      <c r="V52" s="331" t="n"/>
    </row>
    <row r="53">
      <c r="A53" s="22" t="n"/>
      <c r="B53" s="324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331" t="n"/>
      <c r="O53" s="331" t="n"/>
      <c r="P53" s="331" t="n"/>
      <c r="Q53" s="331" t="n"/>
      <c r="R53" s="22" t="n"/>
      <c r="S53" s="22" t="n"/>
      <c r="T53" s="22" t="n"/>
      <c r="U53" s="22" t="n"/>
      <c r="V53" s="331" t="n"/>
    </row>
    <row r="54">
      <c r="A54" s="22" t="n"/>
      <c r="B54" s="324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331" t="n"/>
      <c r="O54" s="331" t="n"/>
      <c r="P54" s="331" t="n"/>
      <c r="Q54" s="331" t="n"/>
      <c r="R54" s="22" t="n"/>
      <c r="S54" s="22" t="n"/>
      <c r="T54" s="22" t="n"/>
      <c r="U54" s="22" t="n"/>
      <c r="V54" s="331" t="n"/>
    </row>
    <row r="55">
      <c r="A55" s="22" t="n"/>
      <c r="B55" s="324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331" t="n"/>
      <c r="O55" s="331" t="n"/>
      <c r="P55" s="331" t="n"/>
      <c r="Q55" s="331" t="n"/>
      <c r="R55" s="22" t="n"/>
      <c r="S55" s="22" t="n"/>
      <c r="T55" s="22" t="n"/>
      <c r="U55" s="22" t="n"/>
      <c r="V55" s="331" t="n"/>
    </row>
    <row r="56">
      <c r="A56" s="22" t="n"/>
      <c r="B56" s="324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331" t="n"/>
      <c r="O56" s="331" t="n"/>
      <c r="P56" s="331" t="n"/>
      <c r="Q56" s="331" t="n"/>
      <c r="R56" s="22" t="n"/>
      <c r="S56" s="22" t="n"/>
      <c r="T56" s="22" t="n"/>
      <c r="U56" s="22" t="n"/>
      <c r="V56" s="331" t="n"/>
    </row>
    <row r="57">
      <c r="A57" s="22" t="n"/>
      <c r="B57" s="324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331" t="n"/>
      <c r="O57" s="331" t="n"/>
      <c r="P57" s="331" t="n"/>
      <c r="Q57" s="331" t="n"/>
      <c r="R57" s="22" t="n"/>
      <c r="S57" s="22" t="n"/>
      <c r="T57" s="22" t="n"/>
      <c r="U57" s="22" t="n"/>
      <c r="V57" s="331" t="n"/>
    </row>
    <row r="58">
      <c r="A58" s="22" t="n"/>
      <c r="B58" s="324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331" t="n"/>
      <c r="O58" s="331" t="n"/>
      <c r="P58" s="331" t="n"/>
      <c r="Q58" s="331" t="n"/>
      <c r="R58" s="22" t="n"/>
      <c r="S58" s="22" t="n"/>
      <c r="T58" s="22" t="n"/>
      <c r="U58" s="22" t="n"/>
      <c r="V58" s="331" t="n"/>
    </row>
    <row r="59">
      <c r="A59" s="22" t="n"/>
      <c r="B59" s="324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331" t="n"/>
      <c r="O59" s="331" t="n"/>
      <c r="P59" s="331" t="n"/>
      <c r="Q59" s="331" t="n"/>
      <c r="R59" s="22" t="n"/>
      <c r="S59" s="22" t="n"/>
      <c r="T59" s="22" t="n"/>
      <c r="U59" s="22" t="n"/>
      <c r="V59" s="331" t="n"/>
    </row>
    <row r="60">
      <c r="A60" s="22" t="n"/>
      <c r="B60" s="324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331" t="n"/>
      <c r="O60" s="331" t="n"/>
      <c r="P60" s="331" t="n"/>
      <c r="Q60" s="331" t="n"/>
      <c r="R60" s="22" t="n"/>
      <c r="S60" s="22" t="n"/>
      <c r="T60" s="22" t="n"/>
      <c r="U60" s="22" t="n"/>
      <c r="V60" s="331" t="n"/>
    </row>
    <row r="61">
      <c r="A61" s="22" t="n"/>
      <c r="B61" s="324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331" t="n"/>
      <c r="O61" s="331" t="n"/>
      <c r="P61" s="331" t="n"/>
      <c r="Q61" s="331" t="n"/>
      <c r="R61" s="22" t="n"/>
      <c r="S61" s="22" t="n"/>
      <c r="T61" s="22" t="n"/>
      <c r="U61" s="22" t="n"/>
      <c r="V61" s="331" t="n"/>
    </row>
    <row r="62">
      <c r="A62" s="22" t="n"/>
      <c r="B62" s="324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331" t="n"/>
      <c r="O62" s="331" t="n"/>
      <c r="P62" s="331" t="n"/>
      <c r="Q62" s="331" t="n"/>
      <c r="R62" s="22" t="n"/>
      <c r="S62" s="22" t="n"/>
      <c r="T62" s="22" t="n"/>
      <c r="U62" s="22" t="n"/>
      <c r="V62" s="331" t="n"/>
    </row>
    <row r="63">
      <c r="A63" s="22" t="n"/>
      <c r="B63" s="324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331" t="n"/>
      <c r="O63" s="331" t="n"/>
      <c r="P63" s="331" t="n"/>
      <c r="Q63" s="331" t="n"/>
      <c r="R63" s="22" t="n"/>
      <c r="S63" s="22" t="n"/>
      <c r="T63" s="22" t="n"/>
      <c r="U63" s="22" t="n"/>
      <c r="V63" s="331" t="n"/>
    </row>
    <row r="64">
      <c r="A64" s="22" t="n"/>
      <c r="B64" s="324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331" t="n"/>
      <c r="O64" s="331" t="n"/>
      <c r="P64" s="331" t="n"/>
      <c r="Q64" s="331" t="n"/>
      <c r="R64" s="22" t="n"/>
      <c r="S64" s="22" t="n"/>
      <c r="T64" s="22" t="n"/>
      <c r="U64" s="22" t="n"/>
      <c r="V64" s="331" t="n"/>
    </row>
    <row r="65">
      <c r="A65" s="22" t="n"/>
      <c r="B65" s="324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331" t="n"/>
      <c r="O65" s="331" t="n"/>
      <c r="P65" s="331" t="n"/>
      <c r="Q65" s="331" t="n"/>
      <c r="R65" s="22" t="n"/>
      <c r="S65" s="22" t="n"/>
      <c r="T65" s="22" t="n"/>
      <c r="U65" s="22" t="n"/>
      <c r="V65" s="331" t="n"/>
    </row>
    <row r="66">
      <c r="A66" s="22" t="n"/>
      <c r="B66" s="324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331" t="n"/>
      <c r="O66" s="331" t="n"/>
      <c r="P66" s="331" t="n"/>
      <c r="Q66" s="331" t="n"/>
      <c r="R66" s="22" t="n"/>
      <c r="S66" s="22" t="n"/>
      <c r="T66" s="22" t="n"/>
      <c r="U66" s="22" t="n"/>
      <c r="V66" s="331" t="n"/>
    </row>
    <row r="67">
      <c r="A67" s="22" t="n"/>
      <c r="B67" s="324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331" t="n"/>
      <c r="O67" s="331" t="n"/>
      <c r="P67" s="331" t="n"/>
      <c r="Q67" s="331" t="n"/>
      <c r="R67" s="22" t="n"/>
      <c r="S67" s="22" t="n"/>
      <c r="T67" s="22" t="n"/>
      <c r="U67" s="22" t="n"/>
      <c r="V67" s="331" t="n"/>
    </row>
    <row r="68">
      <c r="A68" s="22" t="n"/>
      <c r="B68" s="324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331" t="n"/>
      <c r="O68" s="331" t="n"/>
      <c r="P68" s="331" t="n"/>
      <c r="Q68" s="331" t="n"/>
      <c r="R68" s="22" t="n"/>
      <c r="S68" s="22" t="n"/>
      <c r="T68" s="22" t="n"/>
      <c r="U68" s="22" t="n"/>
      <c r="V68" s="331" t="n"/>
    </row>
    <row r="69">
      <c r="A69" s="22" t="n"/>
      <c r="B69" s="324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331" t="n"/>
      <c r="O69" s="331" t="n"/>
      <c r="P69" s="331" t="n"/>
      <c r="Q69" s="331" t="n"/>
      <c r="R69" s="22" t="n"/>
      <c r="S69" s="22" t="n"/>
      <c r="T69" s="22" t="n"/>
      <c r="U69" s="22" t="n"/>
      <c r="V69" s="331" t="n"/>
    </row>
    <row r="70">
      <c r="A70" s="22" t="n"/>
      <c r="B70" s="324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331" t="n"/>
      <c r="O70" s="331" t="n"/>
      <c r="P70" s="331" t="n"/>
      <c r="Q70" s="331" t="n"/>
      <c r="R70" s="22" t="n"/>
      <c r="S70" s="22" t="n"/>
      <c r="T70" s="22" t="n"/>
      <c r="U70" s="22" t="n"/>
      <c r="V70" s="331" t="n"/>
    </row>
    <row r="71">
      <c r="A71" s="22" t="n"/>
      <c r="B71" s="324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331" t="n"/>
      <c r="O71" s="331" t="n"/>
      <c r="P71" s="331" t="n"/>
      <c r="Q71" s="331" t="n"/>
      <c r="R71" s="22" t="n"/>
      <c r="S71" s="22" t="n"/>
      <c r="T71" s="22" t="n"/>
      <c r="U71" s="22" t="n"/>
      <c r="V71" s="331" t="n"/>
    </row>
    <row r="72">
      <c r="A72" s="22" t="n"/>
      <c r="B72" s="324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331" t="n"/>
      <c r="O72" s="331" t="n"/>
      <c r="P72" s="331" t="n"/>
      <c r="Q72" s="331" t="n"/>
      <c r="R72" s="22" t="n"/>
      <c r="S72" s="22" t="n"/>
      <c r="T72" s="22" t="n"/>
      <c r="U72" s="22" t="n"/>
      <c r="V72" s="331" t="n"/>
    </row>
    <row r="73">
      <c r="A73" s="22" t="n"/>
      <c r="B73" s="324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331" t="n"/>
      <c r="O73" s="331" t="n"/>
      <c r="P73" s="331" t="n"/>
      <c r="Q73" s="331" t="n"/>
      <c r="R73" s="22" t="n"/>
      <c r="S73" s="22" t="n"/>
      <c r="T73" s="22" t="n"/>
      <c r="U73" s="22" t="n"/>
      <c r="V73" s="331" t="n"/>
    </row>
    <row r="74">
      <c r="A74" s="22" t="n"/>
      <c r="B74" s="324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331" t="n"/>
      <c r="O74" s="331" t="n"/>
      <c r="P74" s="331" t="n"/>
      <c r="Q74" s="331" t="n"/>
      <c r="R74" s="22" t="n"/>
      <c r="S74" s="22" t="n"/>
      <c r="T74" s="22" t="n"/>
      <c r="U74" s="22" t="n"/>
      <c r="V74" s="331" t="n"/>
    </row>
    <row r="75">
      <c r="A75" s="22" t="n"/>
      <c r="B75" s="324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331" t="n"/>
      <c r="O75" s="331" t="n"/>
      <c r="P75" s="331" t="n"/>
      <c r="Q75" s="331" t="n"/>
      <c r="R75" s="22" t="n"/>
      <c r="S75" s="22" t="n"/>
      <c r="T75" s="22" t="n"/>
      <c r="U75" s="22" t="n"/>
      <c r="V75" s="331" t="n"/>
    </row>
    <row r="76">
      <c r="A76" s="22" t="n"/>
      <c r="B76" s="324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331" t="n"/>
      <c r="O76" s="331" t="n"/>
      <c r="P76" s="331" t="n"/>
      <c r="Q76" s="331" t="n"/>
      <c r="R76" s="22" t="n"/>
      <c r="S76" s="22" t="n"/>
      <c r="T76" s="22" t="n"/>
      <c r="U76" s="22" t="n"/>
      <c r="V76" s="331" t="n"/>
    </row>
    <row r="77">
      <c r="A77" s="22" t="n"/>
      <c r="B77" s="324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331" t="n"/>
      <c r="O77" s="331" t="n"/>
      <c r="P77" s="331" t="n"/>
      <c r="Q77" s="331" t="n"/>
      <c r="R77" s="22" t="n"/>
      <c r="S77" s="22" t="n"/>
      <c r="T77" s="22" t="n"/>
      <c r="U77" s="22" t="n"/>
      <c r="V77" s="331" t="n"/>
    </row>
    <row r="78">
      <c r="A78" s="22" t="n"/>
      <c r="B78" s="324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331" t="n"/>
      <c r="O78" s="331" t="n"/>
      <c r="P78" s="331" t="n"/>
      <c r="Q78" s="331" t="n"/>
      <c r="R78" s="22" t="n"/>
      <c r="S78" s="22" t="n"/>
      <c r="T78" s="22" t="n"/>
      <c r="U78" s="22" t="n"/>
      <c r="V78" s="331" t="n"/>
    </row>
    <row r="79">
      <c r="A79" s="22" t="n"/>
      <c r="B79" s="324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331" t="n"/>
      <c r="O79" s="331" t="n"/>
      <c r="P79" s="331" t="n"/>
      <c r="Q79" s="331" t="n"/>
      <c r="R79" s="22" t="n"/>
      <c r="S79" s="22" t="n"/>
      <c r="T79" s="22" t="n"/>
      <c r="U79" s="22" t="n"/>
      <c r="V79" s="331" t="n"/>
    </row>
    <row r="80">
      <c r="A80" s="22" t="n"/>
      <c r="B80" s="324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331" t="n"/>
      <c r="O80" s="331" t="n"/>
      <c r="P80" s="331" t="n"/>
      <c r="Q80" s="331" t="n"/>
      <c r="R80" s="22" t="n"/>
      <c r="S80" s="22" t="n"/>
      <c r="T80" s="22" t="n"/>
      <c r="U80" s="22" t="n"/>
      <c r="V80" s="331" t="n"/>
    </row>
    <row r="81">
      <c r="A81" s="22" t="n"/>
      <c r="B81" s="324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331" t="n"/>
      <c r="O81" s="331" t="n"/>
      <c r="P81" s="331" t="n"/>
      <c r="Q81" s="331" t="n"/>
      <c r="R81" s="22" t="n"/>
      <c r="S81" s="22" t="n"/>
      <c r="T81" s="22" t="n"/>
      <c r="U81" s="22" t="n"/>
      <c r="V81" s="331" t="n"/>
    </row>
    <row r="82">
      <c r="A82" s="22" t="n"/>
      <c r="B82" s="324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331" t="n"/>
      <c r="O82" s="331" t="n"/>
      <c r="P82" s="331" t="n"/>
      <c r="Q82" s="331" t="n"/>
      <c r="R82" s="22" t="n"/>
      <c r="S82" s="22" t="n"/>
      <c r="T82" s="22" t="n"/>
      <c r="U82" s="22" t="n"/>
      <c r="V82" s="331" t="n"/>
    </row>
    <row r="83">
      <c r="A83" s="22" t="n"/>
      <c r="B83" s="324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331" t="n"/>
      <c r="O83" s="331" t="n"/>
      <c r="P83" s="331" t="n"/>
      <c r="Q83" s="331" t="n"/>
      <c r="R83" s="22" t="n"/>
      <c r="S83" s="22" t="n"/>
      <c r="T83" s="22" t="n"/>
      <c r="U83" s="22" t="n"/>
      <c r="V83" s="331" t="n"/>
    </row>
    <row r="84">
      <c r="A84" s="22" t="n"/>
      <c r="B84" s="324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331" t="n"/>
      <c r="O84" s="331" t="n"/>
      <c r="P84" s="331" t="n"/>
      <c r="Q84" s="331" t="n"/>
      <c r="R84" s="22" t="n"/>
      <c r="S84" s="22" t="n"/>
      <c r="T84" s="22" t="n"/>
      <c r="U84" s="22" t="n"/>
      <c r="V84" s="331" t="n"/>
    </row>
    <row r="85">
      <c r="A85" s="22" t="n"/>
      <c r="B85" s="324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331" t="n"/>
      <c r="O85" s="331" t="n"/>
      <c r="P85" s="331" t="n"/>
      <c r="Q85" s="331" t="n"/>
      <c r="R85" s="22" t="n"/>
      <c r="S85" s="22" t="n"/>
      <c r="T85" s="22" t="n"/>
      <c r="U85" s="22" t="n"/>
      <c r="V85" s="331" t="n"/>
    </row>
    <row r="86">
      <c r="A86" s="22" t="n"/>
      <c r="B86" s="324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331" t="n"/>
      <c r="O86" s="331" t="n"/>
      <c r="P86" s="331" t="n"/>
      <c r="Q86" s="331" t="n"/>
      <c r="R86" s="22" t="n"/>
      <c r="S86" s="22" t="n"/>
      <c r="T86" s="22" t="n"/>
      <c r="U86" s="22" t="n"/>
      <c r="V86" s="331" t="n"/>
    </row>
    <row r="87">
      <c r="A87" s="22" t="n"/>
      <c r="B87" s="324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331" t="n"/>
      <c r="O87" s="331" t="n"/>
      <c r="P87" s="331" t="n"/>
      <c r="Q87" s="331" t="n"/>
      <c r="R87" s="22" t="n"/>
      <c r="S87" s="22" t="n"/>
      <c r="T87" s="22" t="n"/>
      <c r="U87" s="22" t="n"/>
      <c r="V87" s="331" t="n"/>
    </row>
    <row r="88">
      <c r="A88" s="22" t="n"/>
      <c r="B88" s="324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331" t="n"/>
      <c r="O88" s="331" t="n"/>
      <c r="P88" s="331" t="n"/>
      <c r="Q88" s="331" t="n"/>
      <c r="R88" s="22" t="n"/>
      <c r="S88" s="22" t="n"/>
      <c r="T88" s="22" t="n"/>
      <c r="U88" s="22" t="n"/>
      <c r="V88" s="331" t="n"/>
    </row>
    <row r="89">
      <c r="A89" s="22" t="n"/>
      <c r="B89" s="324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331" t="n"/>
      <c r="O89" s="331" t="n"/>
      <c r="P89" s="331" t="n"/>
      <c r="Q89" s="331" t="n"/>
      <c r="R89" s="22" t="n"/>
      <c r="S89" s="22" t="n"/>
      <c r="T89" s="22" t="n"/>
      <c r="U89" s="22" t="n"/>
      <c r="V89" s="331" t="n"/>
    </row>
    <row r="90">
      <c r="A90" s="22" t="n"/>
      <c r="B90" s="324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331" t="n"/>
      <c r="O90" s="331" t="n"/>
      <c r="P90" s="331" t="n"/>
      <c r="Q90" s="331" t="n"/>
      <c r="R90" s="22" t="n"/>
      <c r="S90" s="22" t="n"/>
      <c r="T90" s="22" t="n"/>
      <c r="U90" s="22" t="n"/>
      <c r="V90" s="331" t="n"/>
    </row>
    <row r="91">
      <c r="A91" s="22" t="n"/>
      <c r="B91" s="324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331" t="n"/>
      <c r="O91" s="331" t="n"/>
      <c r="P91" s="331" t="n"/>
      <c r="Q91" s="331" t="n"/>
      <c r="R91" s="22" t="n"/>
      <c r="S91" s="22" t="n"/>
      <c r="T91" s="22" t="n"/>
      <c r="U91" s="22" t="n"/>
      <c r="V91" s="331" t="n"/>
    </row>
    <row r="92">
      <c r="A92" s="22" t="n"/>
      <c r="B92" s="324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331" t="n"/>
      <c r="O92" s="331" t="n"/>
      <c r="P92" s="331" t="n"/>
      <c r="Q92" s="331" t="n"/>
      <c r="R92" s="22" t="n"/>
      <c r="S92" s="22" t="n"/>
      <c r="T92" s="22" t="n"/>
      <c r="U92" s="22" t="n"/>
      <c r="V92" s="331" t="n"/>
    </row>
    <row r="93">
      <c r="A93" s="22" t="n"/>
      <c r="B93" s="324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331" t="n"/>
      <c r="O93" s="331" t="n"/>
      <c r="P93" s="331" t="n"/>
      <c r="Q93" s="331" t="n"/>
      <c r="R93" s="22" t="n"/>
      <c r="S93" s="22" t="n"/>
      <c r="T93" s="22" t="n"/>
      <c r="U93" s="22" t="n"/>
      <c r="V93" s="331" t="n"/>
    </row>
    <row r="94">
      <c r="A94" s="22" t="n"/>
      <c r="B94" s="324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331" t="n"/>
      <c r="O94" s="331" t="n"/>
      <c r="P94" s="331" t="n"/>
      <c r="Q94" s="331" t="n"/>
      <c r="R94" s="22" t="n"/>
      <c r="S94" s="22" t="n"/>
      <c r="T94" s="22" t="n"/>
      <c r="U94" s="22" t="n"/>
      <c r="V94" s="331" t="n"/>
    </row>
    <row r="95">
      <c r="A95" s="22" t="n"/>
      <c r="B95" s="324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331" t="n"/>
      <c r="O95" s="331" t="n"/>
      <c r="P95" s="331" t="n"/>
      <c r="Q95" s="331" t="n"/>
      <c r="R95" s="22" t="n"/>
      <c r="S95" s="22" t="n"/>
      <c r="T95" s="22" t="n"/>
      <c r="U95" s="22" t="n"/>
      <c r="V95" s="331" t="n"/>
    </row>
    <row r="96">
      <c r="A96" s="22" t="n"/>
      <c r="B96" s="324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331" t="n"/>
      <c r="O96" s="331" t="n"/>
      <c r="P96" s="331" t="n"/>
      <c r="Q96" s="331" t="n"/>
      <c r="R96" s="22" t="n"/>
      <c r="S96" s="22" t="n"/>
      <c r="T96" s="22" t="n"/>
      <c r="U96" s="22" t="n"/>
      <c r="V96" s="331" t="n"/>
    </row>
    <row r="97">
      <c r="A97" s="22" t="n"/>
      <c r="B97" s="324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331" t="n"/>
      <c r="O97" s="331" t="n"/>
      <c r="P97" s="331" t="n"/>
      <c r="Q97" s="331" t="n"/>
      <c r="R97" s="22" t="n"/>
      <c r="S97" s="22" t="n"/>
      <c r="T97" s="22" t="n"/>
      <c r="U97" s="22" t="n"/>
      <c r="V97" s="331" t="n"/>
    </row>
    <row r="98">
      <c r="A98" s="22" t="n"/>
      <c r="B98" s="324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331" t="n"/>
      <c r="O98" s="331" t="n"/>
      <c r="P98" s="331" t="n"/>
      <c r="Q98" s="331" t="n"/>
      <c r="R98" s="22" t="n"/>
      <c r="S98" s="22" t="n"/>
      <c r="T98" s="22" t="n"/>
      <c r="U98" s="22" t="n"/>
      <c r="V98" s="331" t="n"/>
    </row>
    <row r="99">
      <c r="A99" s="22" t="n"/>
      <c r="B99" s="324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331" t="n"/>
      <c r="O99" s="331" t="n"/>
      <c r="P99" s="331" t="n"/>
      <c r="Q99" s="331" t="n"/>
      <c r="R99" s="22" t="n"/>
      <c r="S99" s="22" t="n"/>
      <c r="T99" s="22" t="n"/>
      <c r="U99" s="22" t="n"/>
      <c r="V99" s="331" t="n"/>
    </row>
    <row r="100">
      <c r="A100" s="22" t="n"/>
      <c r="B100" s="324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331" t="n"/>
      <c r="O100" s="331" t="n"/>
      <c r="P100" s="331" t="n"/>
      <c r="Q100" s="331" t="n"/>
      <c r="R100" s="22" t="n"/>
      <c r="S100" s="22" t="n"/>
      <c r="T100" s="22" t="n"/>
      <c r="U100" s="22" t="n"/>
      <c r="V100" s="331" t="n"/>
    </row>
    <row r="101">
      <c r="A101" s="22" t="n"/>
      <c r="B101" s="324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331" t="n"/>
      <c r="O101" s="331" t="n"/>
      <c r="P101" s="331" t="n"/>
      <c r="Q101" s="331" t="n"/>
      <c r="R101" s="22" t="n"/>
      <c r="S101" s="22" t="n"/>
      <c r="T101" s="22" t="n"/>
      <c r="U101" s="22" t="n"/>
      <c r="V101" s="331" t="n"/>
    </row>
    <row r="102">
      <c r="A102" s="22" t="n"/>
      <c r="B102" s="324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331" t="n"/>
      <c r="O102" s="331" t="n"/>
      <c r="P102" s="331" t="n"/>
      <c r="Q102" s="331" t="n"/>
      <c r="R102" s="22" t="n"/>
      <c r="S102" s="22" t="n"/>
      <c r="T102" s="22" t="n"/>
      <c r="U102" s="22" t="n"/>
      <c r="V102" s="331" t="n"/>
    </row>
    <row r="103">
      <c r="A103" s="22" t="n"/>
      <c r="B103" s="324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331" t="n"/>
      <c r="O103" s="331" t="n"/>
      <c r="P103" s="331" t="n"/>
      <c r="Q103" s="331" t="n"/>
      <c r="R103" s="22" t="n"/>
      <c r="S103" s="22" t="n"/>
      <c r="T103" s="22" t="n"/>
      <c r="U103" s="22" t="n"/>
      <c r="V103" s="331" t="n"/>
    </row>
    <row r="104">
      <c r="A104" s="22" t="n"/>
      <c r="B104" s="324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331" t="n"/>
      <c r="O104" s="331" t="n"/>
      <c r="P104" s="331" t="n"/>
      <c r="Q104" s="331" t="n"/>
      <c r="R104" s="22" t="n"/>
      <c r="S104" s="22" t="n"/>
      <c r="T104" s="22" t="n"/>
      <c r="U104" s="22" t="n"/>
      <c r="V104" s="331" t="n"/>
    </row>
    <row r="105">
      <c r="A105" s="22" t="n"/>
      <c r="B105" s="324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331" t="n"/>
      <c r="O105" s="331" t="n"/>
      <c r="P105" s="331" t="n"/>
      <c r="Q105" s="331" t="n"/>
      <c r="R105" s="22" t="n"/>
      <c r="S105" s="22" t="n"/>
      <c r="T105" s="22" t="n"/>
      <c r="U105" s="22" t="n"/>
      <c r="V105" s="331" t="n"/>
    </row>
    <row r="106">
      <c r="A106" s="22" t="n"/>
      <c r="B106" s="324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331" t="n"/>
      <c r="O106" s="331" t="n"/>
      <c r="P106" s="331" t="n"/>
      <c r="Q106" s="331" t="n"/>
      <c r="R106" s="22" t="n"/>
      <c r="S106" s="22" t="n"/>
      <c r="T106" s="22" t="n"/>
      <c r="U106" s="22" t="n"/>
      <c r="V106" s="331" t="n"/>
    </row>
    <row r="107">
      <c r="A107" s="22" t="n"/>
      <c r="B107" s="324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331" t="n"/>
      <c r="O107" s="331" t="n"/>
      <c r="P107" s="331" t="n"/>
      <c r="Q107" s="331" t="n"/>
      <c r="R107" s="22" t="n"/>
      <c r="S107" s="22" t="n"/>
      <c r="T107" s="22" t="n"/>
      <c r="U107" s="22" t="n"/>
      <c r="V107" s="331" t="n"/>
    </row>
    <row r="108">
      <c r="A108" s="22" t="n"/>
      <c r="B108" s="324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331" t="n"/>
      <c r="O108" s="331" t="n"/>
      <c r="P108" s="331" t="n"/>
      <c r="Q108" s="331" t="n"/>
      <c r="R108" s="22" t="n"/>
      <c r="S108" s="22" t="n"/>
      <c r="T108" s="22" t="n"/>
      <c r="U108" s="22" t="n"/>
      <c r="V108" s="331" t="n"/>
    </row>
    <row r="109">
      <c r="A109" s="22" t="n"/>
      <c r="B109" s="324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331" t="n"/>
      <c r="O109" s="331" t="n"/>
      <c r="P109" s="331" t="n"/>
      <c r="Q109" s="331" t="n"/>
      <c r="R109" s="22" t="n"/>
      <c r="S109" s="22" t="n"/>
      <c r="T109" s="22" t="n"/>
      <c r="U109" s="22" t="n"/>
      <c r="V109" s="331" t="n"/>
    </row>
    <row r="110">
      <c r="A110" s="22" t="n"/>
      <c r="B110" s="324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331" t="n"/>
      <c r="O110" s="331" t="n"/>
      <c r="P110" s="331" t="n"/>
      <c r="Q110" s="331" t="n"/>
      <c r="R110" s="22" t="n"/>
      <c r="S110" s="22" t="n"/>
      <c r="T110" s="22" t="n"/>
      <c r="U110" s="22" t="n"/>
      <c r="V110" s="331" t="n"/>
    </row>
    <row r="111">
      <c r="A111" s="22" t="n"/>
      <c r="B111" s="324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331" t="n"/>
      <c r="O111" s="331" t="n"/>
      <c r="P111" s="331" t="n"/>
      <c r="Q111" s="331" t="n"/>
      <c r="R111" s="22" t="n"/>
      <c r="S111" s="22" t="n"/>
      <c r="T111" s="22" t="n"/>
      <c r="U111" s="22" t="n"/>
      <c r="V111" s="331" t="n"/>
    </row>
    <row r="112">
      <c r="A112" s="22" t="n"/>
      <c r="B112" s="324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331" t="n"/>
      <c r="O112" s="331" t="n"/>
      <c r="P112" s="331" t="n"/>
      <c r="Q112" s="331" t="n"/>
      <c r="R112" s="22" t="n"/>
      <c r="S112" s="22" t="n"/>
      <c r="T112" s="22" t="n"/>
      <c r="U112" s="22" t="n"/>
      <c r="V112" s="331" t="n"/>
    </row>
    <row r="113">
      <c r="A113" s="22" t="n"/>
      <c r="B113" s="324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331" t="n"/>
      <c r="O113" s="331" t="n"/>
      <c r="P113" s="331" t="n"/>
      <c r="Q113" s="331" t="n"/>
      <c r="R113" s="22" t="n"/>
      <c r="S113" s="22" t="n"/>
      <c r="T113" s="22" t="n"/>
      <c r="U113" s="22" t="n"/>
      <c r="V113" s="331" t="n"/>
    </row>
    <row r="114">
      <c r="A114" s="22" t="n"/>
      <c r="B114" s="324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331" t="n"/>
      <c r="O114" s="331" t="n"/>
      <c r="P114" s="331" t="n"/>
      <c r="Q114" s="331" t="n"/>
      <c r="R114" s="22" t="n"/>
      <c r="S114" s="22" t="n"/>
      <c r="T114" s="22" t="n"/>
      <c r="U114" s="22" t="n"/>
      <c r="V114" s="331" t="n"/>
    </row>
    <row r="115">
      <c r="A115" s="22" t="n"/>
      <c r="B115" s="324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331" t="n"/>
      <c r="O115" s="331" t="n"/>
      <c r="P115" s="331" t="n"/>
      <c r="Q115" s="331" t="n"/>
      <c r="R115" s="22" t="n"/>
      <c r="S115" s="22" t="n"/>
      <c r="T115" s="22" t="n"/>
      <c r="U115" s="22" t="n"/>
      <c r="V115" s="331" t="n"/>
    </row>
    <row r="116">
      <c r="A116" s="22" t="n"/>
      <c r="B116" s="324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331" t="n"/>
      <c r="O116" s="331" t="n"/>
      <c r="P116" s="331" t="n"/>
      <c r="Q116" s="331" t="n"/>
      <c r="R116" s="22" t="n"/>
      <c r="S116" s="22" t="n"/>
      <c r="T116" s="22" t="n"/>
      <c r="U116" s="22" t="n"/>
      <c r="V116" s="331" t="n"/>
    </row>
    <row r="117">
      <c r="A117" s="22" t="n"/>
      <c r="B117" s="324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331" t="n"/>
      <c r="O117" s="331" t="n"/>
      <c r="P117" s="331" t="n"/>
      <c r="Q117" s="331" t="n"/>
      <c r="R117" s="22" t="n"/>
      <c r="S117" s="22" t="n"/>
      <c r="T117" s="22" t="n"/>
      <c r="U117" s="22" t="n"/>
      <c r="V117" s="331" t="n"/>
    </row>
    <row r="118">
      <c r="A118" s="22" t="n"/>
      <c r="B118" s="324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331" t="n"/>
      <c r="O118" s="331" t="n"/>
      <c r="P118" s="331" t="n"/>
      <c r="Q118" s="331" t="n"/>
      <c r="R118" s="22" t="n"/>
      <c r="S118" s="22" t="n"/>
      <c r="T118" s="22" t="n"/>
      <c r="U118" s="22" t="n"/>
      <c r="V118" s="331" t="n"/>
    </row>
    <row r="119">
      <c r="A119" s="22" t="n"/>
      <c r="B119" s="324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331" t="n"/>
      <c r="O119" s="331" t="n"/>
      <c r="P119" s="331" t="n"/>
      <c r="Q119" s="331" t="n"/>
      <c r="R119" s="22" t="n"/>
      <c r="S119" s="22" t="n"/>
      <c r="T119" s="22" t="n"/>
      <c r="U119" s="22" t="n"/>
      <c r="V119" s="331" t="n"/>
    </row>
    <row r="120">
      <c r="A120" s="22" t="n"/>
      <c r="B120" s="324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331" t="n"/>
      <c r="O120" s="331" t="n"/>
      <c r="P120" s="331" t="n"/>
      <c r="Q120" s="331" t="n"/>
      <c r="R120" s="22" t="n"/>
      <c r="S120" s="22" t="n"/>
      <c r="T120" s="22" t="n"/>
      <c r="U120" s="22" t="n"/>
      <c r="V120" s="331" t="n"/>
    </row>
    <row r="121">
      <c r="A121" s="22" t="n"/>
      <c r="B121" s="324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331" t="n"/>
      <c r="O121" s="331" t="n"/>
      <c r="P121" s="331" t="n"/>
      <c r="Q121" s="331" t="n"/>
      <c r="R121" s="22" t="n"/>
      <c r="S121" s="22" t="n"/>
      <c r="T121" s="22" t="n"/>
      <c r="U121" s="22" t="n"/>
      <c r="V121" s="331" t="n"/>
    </row>
    <row r="122">
      <c r="A122" s="22" t="n"/>
      <c r="B122" s="324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331" t="n"/>
      <c r="O122" s="331" t="n"/>
      <c r="P122" s="331" t="n"/>
      <c r="Q122" s="331" t="n"/>
      <c r="R122" s="22" t="n"/>
      <c r="S122" s="22" t="n"/>
      <c r="T122" s="22" t="n"/>
      <c r="U122" s="22" t="n"/>
      <c r="V122" s="331" t="n"/>
    </row>
    <row r="123">
      <c r="A123" s="22" t="n"/>
      <c r="B123" s="324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331" t="n"/>
      <c r="O123" s="331" t="n"/>
      <c r="P123" s="331" t="n"/>
      <c r="Q123" s="331" t="n"/>
      <c r="R123" s="22" t="n"/>
      <c r="S123" s="22" t="n"/>
      <c r="T123" s="22" t="n"/>
      <c r="U123" s="22" t="n"/>
      <c r="V123" s="331" t="n"/>
    </row>
    <row r="124">
      <c r="A124" s="22" t="n"/>
      <c r="B124" s="324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331" t="n"/>
      <c r="O124" s="331" t="n"/>
      <c r="P124" s="331" t="n"/>
      <c r="Q124" s="331" t="n"/>
      <c r="R124" s="22" t="n"/>
      <c r="S124" s="22" t="n"/>
      <c r="T124" s="22" t="n"/>
      <c r="U124" s="22" t="n"/>
      <c r="V124" s="331" t="n"/>
    </row>
    <row r="125">
      <c r="A125" s="22" t="n"/>
      <c r="B125" s="324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331" t="n"/>
      <c r="O125" s="331" t="n"/>
      <c r="P125" s="331" t="n"/>
      <c r="Q125" s="331" t="n"/>
      <c r="R125" s="22" t="n"/>
      <c r="S125" s="22" t="n"/>
      <c r="T125" s="22" t="n"/>
      <c r="U125" s="22" t="n"/>
      <c r="V125" s="331" t="n"/>
    </row>
    <row r="126">
      <c r="A126" s="22" t="n"/>
      <c r="B126" s="324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331" t="n"/>
      <c r="O126" s="331" t="n"/>
      <c r="P126" s="331" t="n"/>
      <c r="Q126" s="331" t="n"/>
      <c r="R126" s="22" t="n"/>
      <c r="S126" s="22" t="n"/>
      <c r="T126" s="22" t="n"/>
      <c r="U126" s="22" t="n"/>
      <c r="V126" s="331" t="n"/>
    </row>
    <row r="127">
      <c r="A127" s="22" t="n"/>
      <c r="B127" s="324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331" t="n"/>
      <c r="O127" s="331" t="n"/>
      <c r="P127" s="331" t="n"/>
      <c r="Q127" s="331" t="n"/>
      <c r="R127" s="22" t="n"/>
      <c r="S127" s="22" t="n"/>
      <c r="T127" s="22" t="n"/>
      <c r="U127" s="22" t="n"/>
      <c r="V127" s="331" t="n"/>
    </row>
    <row r="128">
      <c r="A128" s="22" t="n"/>
      <c r="B128" s="324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331" t="n"/>
      <c r="O128" s="331" t="n"/>
      <c r="P128" s="331" t="n"/>
      <c r="Q128" s="331" t="n"/>
      <c r="R128" s="22" t="n"/>
      <c r="S128" s="22" t="n"/>
      <c r="T128" s="22" t="n"/>
      <c r="U128" s="22" t="n"/>
      <c r="V128" s="331" t="n"/>
    </row>
    <row r="129">
      <c r="A129" s="22" t="n"/>
      <c r="B129" s="324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331" t="n"/>
      <c r="O129" s="331" t="n"/>
      <c r="P129" s="331" t="n"/>
      <c r="Q129" s="331" t="n"/>
      <c r="R129" s="22" t="n"/>
      <c r="S129" s="22" t="n"/>
      <c r="T129" s="22" t="n"/>
      <c r="U129" s="22" t="n"/>
      <c r="V129" s="331" t="n"/>
    </row>
    <row r="130">
      <c r="A130" s="22" t="n"/>
      <c r="B130" s="324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331" t="n"/>
      <c r="O130" s="331" t="n"/>
      <c r="P130" s="331" t="n"/>
      <c r="Q130" s="331" t="n"/>
      <c r="R130" s="22" t="n"/>
      <c r="S130" s="22" t="n"/>
      <c r="T130" s="22" t="n"/>
      <c r="U130" s="22" t="n"/>
      <c r="V130" s="331" t="n"/>
    </row>
    <row r="131">
      <c r="A131" s="22" t="n"/>
      <c r="B131" s="324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331" t="n"/>
      <c r="O131" s="331" t="n"/>
      <c r="P131" s="331" t="n"/>
      <c r="Q131" s="331" t="n"/>
      <c r="R131" s="22" t="n"/>
      <c r="S131" s="22" t="n"/>
      <c r="T131" s="22" t="n"/>
      <c r="U131" s="22" t="n"/>
      <c r="V131" s="331" t="n"/>
    </row>
    <row r="132">
      <c r="A132" s="22" t="n"/>
      <c r="B132" s="324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331" t="n"/>
      <c r="O132" s="331" t="n"/>
      <c r="P132" s="331" t="n"/>
      <c r="Q132" s="331" t="n"/>
      <c r="R132" s="22" t="n"/>
      <c r="S132" s="22" t="n"/>
      <c r="T132" s="22" t="n"/>
      <c r="U132" s="22" t="n"/>
      <c r="V132" s="331" t="n"/>
    </row>
    <row r="133">
      <c r="A133" s="22" t="n"/>
      <c r="B133" s="324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331" t="n"/>
      <c r="O133" s="331" t="n"/>
      <c r="P133" s="331" t="n"/>
      <c r="Q133" s="331" t="n"/>
      <c r="R133" s="22" t="n"/>
      <c r="S133" s="22" t="n"/>
      <c r="T133" s="22" t="n"/>
      <c r="U133" s="22" t="n"/>
      <c r="V133" s="331" t="n"/>
    </row>
    <row r="134">
      <c r="A134" s="22" t="n"/>
      <c r="B134" s="324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331" t="n"/>
      <c r="O134" s="331" t="n"/>
      <c r="P134" s="331" t="n"/>
      <c r="Q134" s="331" t="n"/>
      <c r="R134" s="22" t="n"/>
      <c r="S134" s="22" t="n"/>
      <c r="T134" s="22" t="n"/>
      <c r="U134" s="22" t="n"/>
      <c r="V134" s="331" t="n"/>
    </row>
    <row r="135">
      <c r="A135" s="22" t="n"/>
      <c r="B135" s="324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331" t="n"/>
      <c r="O135" s="331" t="n"/>
      <c r="P135" s="331" t="n"/>
      <c r="Q135" s="331" t="n"/>
      <c r="R135" s="22" t="n"/>
      <c r="S135" s="22" t="n"/>
      <c r="T135" s="22" t="n"/>
      <c r="U135" s="22" t="n"/>
      <c r="V135" s="331" t="n"/>
    </row>
    <row r="136">
      <c r="A136" s="22" t="n"/>
      <c r="B136" s="324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331" t="n"/>
      <c r="O136" s="331" t="n"/>
      <c r="P136" s="331" t="n"/>
      <c r="Q136" s="331" t="n"/>
      <c r="R136" s="22" t="n"/>
      <c r="S136" s="22" t="n"/>
      <c r="T136" s="22" t="n"/>
      <c r="U136" s="22" t="n"/>
      <c r="V136" s="331" t="n"/>
    </row>
    <row r="137">
      <c r="A137" s="22" t="n"/>
      <c r="B137" s="324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331" t="n"/>
      <c r="O137" s="331" t="n"/>
      <c r="P137" s="331" t="n"/>
      <c r="Q137" s="331" t="n"/>
      <c r="R137" s="22" t="n"/>
      <c r="S137" s="22" t="n"/>
      <c r="T137" s="22" t="n"/>
      <c r="U137" s="22" t="n"/>
      <c r="V137" s="331" t="n"/>
    </row>
    <row r="138">
      <c r="A138" s="22" t="n"/>
      <c r="B138" s="324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331" t="n"/>
      <c r="O138" s="331" t="n"/>
      <c r="P138" s="331" t="n"/>
      <c r="Q138" s="331" t="n"/>
      <c r="R138" s="22" t="n"/>
      <c r="S138" s="22" t="n"/>
      <c r="T138" s="22" t="n"/>
      <c r="U138" s="22" t="n"/>
      <c r="V138" s="331" t="n"/>
    </row>
    <row r="139">
      <c r="A139" s="22" t="n"/>
      <c r="B139" s="324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331" t="n"/>
      <c r="O139" s="331" t="n"/>
      <c r="P139" s="331" t="n"/>
      <c r="Q139" s="331" t="n"/>
      <c r="R139" s="22" t="n"/>
      <c r="S139" s="22" t="n"/>
      <c r="T139" s="22" t="n"/>
      <c r="U139" s="22" t="n"/>
      <c r="V139" s="331" t="n"/>
    </row>
    <row r="140">
      <c r="A140" s="22" t="n"/>
      <c r="B140" s="324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331" t="n"/>
      <c r="O140" s="331" t="n"/>
      <c r="P140" s="331" t="n"/>
      <c r="Q140" s="331" t="n"/>
      <c r="R140" s="22" t="n"/>
      <c r="S140" s="22" t="n"/>
      <c r="T140" s="22" t="n"/>
      <c r="U140" s="22" t="n"/>
      <c r="V140" s="331" t="n"/>
    </row>
    <row r="141">
      <c r="A141" s="22" t="n"/>
      <c r="B141" s="324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331" t="n"/>
      <c r="O141" s="331" t="n"/>
      <c r="P141" s="331" t="n"/>
      <c r="Q141" s="331" t="n"/>
      <c r="R141" s="22" t="n"/>
      <c r="S141" s="22" t="n"/>
      <c r="T141" s="22" t="n"/>
      <c r="U141" s="22" t="n"/>
      <c r="V141" s="331" t="n"/>
    </row>
    <row r="142">
      <c r="A142" s="22" t="n"/>
      <c r="B142" s="324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331" t="n"/>
      <c r="O142" s="331" t="n"/>
      <c r="P142" s="331" t="n"/>
      <c r="Q142" s="331" t="n"/>
      <c r="R142" s="22" t="n"/>
      <c r="S142" s="22" t="n"/>
      <c r="T142" s="22" t="n"/>
      <c r="U142" s="22" t="n"/>
      <c r="V142" s="331" t="n"/>
    </row>
    <row r="143">
      <c r="A143" s="22" t="n"/>
      <c r="B143" s="324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331" t="n"/>
      <c r="O143" s="331" t="n"/>
      <c r="P143" s="331" t="n"/>
      <c r="Q143" s="331" t="n"/>
      <c r="R143" s="22" t="n"/>
      <c r="S143" s="22" t="n"/>
      <c r="T143" s="22" t="n"/>
      <c r="U143" s="22" t="n"/>
      <c r="V143" s="331" t="n"/>
    </row>
    <row r="144">
      <c r="A144" s="22" t="n"/>
      <c r="B144" s="324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331" t="n"/>
      <c r="O144" s="331" t="n"/>
      <c r="P144" s="331" t="n"/>
      <c r="Q144" s="331" t="n"/>
      <c r="R144" s="22" t="n"/>
      <c r="S144" s="22" t="n"/>
      <c r="T144" s="22" t="n"/>
      <c r="U144" s="22" t="n"/>
      <c r="V144" s="331" t="n"/>
    </row>
    <row r="145">
      <c r="A145" s="22" t="n"/>
      <c r="B145" s="324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331" t="n"/>
      <c r="O145" s="331" t="n"/>
      <c r="P145" s="331" t="n"/>
      <c r="Q145" s="331" t="n"/>
      <c r="R145" s="22" t="n"/>
      <c r="S145" s="22" t="n"/>
      <c r="T145" s="22" t="n"/>
      <c r="U145" s="22" t="n"/>
      <c r="V145" s="331" t="n"/>
    </row>
    <row r="146">
      <c r="A146" s="22" t="n"/>
      <c r="B146" s="324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331" t="n"/>
      <c r="O146" s="331" t="n"/>
      <c r="P146" s="331" t="n"/>
      <c r="Q146" s="331" t="n"/>
      <c r="R146" s="22" t="n"/>
      <c r="S146" s="22" t="n"/>
      <c r="T146" s="22" t="n"/>
      <c r="U146" s="22" t="n"/>
      <c r="V146" s="331" t="n"/>
    </row>
    <row r="147">
      <c r="A147" s="22" t="n"/>
      <c r="B147" s="324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331" t="n"/>
      <c r="O147" s="331" t="n"/>
      <c r="P147" s="331" t="n"/>
      <c r="Q147" s="331" t="n"/>
      <c r="R147" s="22" t="n"/>
      <c r="S147" s="22" t="n"/>
      <c r="T147" s="22" t="n"/>
      <c r="U147" s="22" t="n"/>
      <c r="V147" s="331" t="n"/>
    </row>
    <row r="148">
      <c r="A148" s="22" t="n"/>
      <c r="B148" s="324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331" t="n"/>
      <c r="O148" s="331" t="n"/>
      <c r="P148" s="331" t="n"/>
      <c r="Q148" s="331" t="n"/>
      <c r="R148" s="22" t="n"/>
      <c r="S148" s="22" t="n"/>
      <c r="T148" s="22" t="n"/>
      <c r="U148" s="22" t="n"/>
      <c r="V148" s="331" t="n"/>
    </row>
    <row r="149">
      <c r="A149" s="22" t="n"/>
      <c r="B149" s="324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331" t="n"/>
      <c r="O149" s="331" t="n"/>
      <c r="P149" s="331" t="n"/>
      <c r="Q149" s="331" t="n"/>
      <c r="R149" s="22" t="n"/>
      <c r="S149" s="22" t="n"/>
      <c r="T149" s="22" t="n"/>
      <c r="U149" s="22" t="n"/>
      <c r="V149" s="331" t="n"/>
    </row>
    <row r="150">
      <c r="A150" s="22" t="n"/>
      <c r="B150" s="324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331" t="n"/>
      <c r="O150" s="331" t="n"/>
      <c r="P150" s="331" t="n"/>
      <c r="Q150" s="331" t="n"/>
      <c r="R150" s="22" t="n"/>
      <c r="S150" s="22" t="n"/>
      <c r="T150" s="22" t="n"/>
      <c r="U150" s="22" t="n"/>
      <c r="V150" s="331" t="n"/>
    </row>
    <row r="151">
      <c r="A151" s="22" t="n"/>
      <c r="B151" s="324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331" t="n"/>
      <c r="O151" s="331" t="n"/>
      <c r="P151" s="331" t="n"/>
      <c r="Q151" s="331" t="n"/>
      <c r="R151" s="22" t="n"/>
      <c r="S151" s="22" t="n"/>
      <c r="T151" s="22" t="n"/>
      <c r="U151" s="22" t="n"/>
      <c r="V151" s="331" t="n"/>
    </row>
    <row r="152">
      <c r="A152" s="22" t="n"/>
      <c r="B152" s="324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331" t="n"/>
      <c r="O152" s="331" t="n"/>
      <c r="P152" s="331" t="n"/>
      <c r="Q152" s="331" t="n"/>
      <c r="R152" s="22" t="n"/>
      <c r="S152" s="22" t="n"/>
      <c r="T152" s="22" t="n"/>
      <c r="U152" s="22" t="n"/>
      <c r="V152" s="331" t="n"/>
    </row>
    <row r="153">
      <c r="A153" s="22" t="n"/>
      <c r="B153" s="324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331" t="n"/>
      <c r="O153" s="331" t="n"/>
      <c r="P153" s="331" t="n"/>
      <c r="Q153" s="331" t="n"/>
      <c r="R153" s="22" t="n"/>
      <c r="S153" s="22" t="n"/>
      <c r="T153" s="22" t="n"/>
      <c r="U153" s="22" t="n"/>
      <c r="V153" s="331" t="n"/>
    </row>
    <row r="154">
      <c r="A154" s="22" t="n"/>
      <c r="B154" s="324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331" t="n"/>
      <c r="O154" s="331" t="n"/>
      <c r="P154" s="331" t="n"/>
      <c r="Q154" s="331" t="n"/>
      <c r="R154" s="22" t="n"/>
      <c r="S154" s="22" t="n"/>
      <c r="T154" s="22" t="n"/>
      <c r="U154" s="22" t="n"/>
      <c r="V154" s="331" t="n"/>
    </row>
    <row r="155">
      <c r="A155" s="22" t="n"/>
      <c r="B155" s="324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331" t="n"/>
      <c r="O155" s="331" t="n"/>
      <c r="P155" s="331" t="n"/>
      <c r="Q155" s="331" t="n"/>
      <c r="R155" s="22" t="n"/>
      <c r="S155" s="22" t="n"/>
      <c r="T155" s="22" t="n"/>
      <c r="U155" s="22" t="n"/>
      <c r="V155" s="331" t="n"/>
    </row>
    <row r="156">
      <c r="A156" s="22" t="n"/>
      <c r="B156" s="324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331" t="n"/>
      <c r="O156" s="331" t="n"/>
      <c r="P156" s="331" t="n"/>
      <c r="Q156" s="331" t="n"/>
      <c r="R156" s="22" t="n"/>
      <c r="S156" s="22" t="n"/>
      <c r="T156" s="22" t="n"/>
      <c r="U156" s="22" t="n"/>
      <c r="V156" s="331" t="n"/>
    </row>
    <row r="157">
      <c r="A157" s="22" t="n"/>
      <c r="B157" s="324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331" t="n"/>
      <c r="O157" s="331" t="n"/>
      <c r="P157" s="331" t="n"/>
      <c r="Q157" s="331" t="n"/>
      <c r="R157" s="22" t="n"/>
      <c r="S157" s="22" t="n"/>
      <c r="T157" s="22" t="n"/>
      <c r="U157" s="22" t="n"/>
      <c r="V157" s="331" t="n"/>
    </row>
    <row r="158">
      <c r="A158" s="22" t="n"/>
      <c r="B158" s="324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331" t="n"/>
      <c r="O158" s="331" t="n"/>
      <c r="P158" s="331" t="n"/>
      <c r="Q158" s="331" t="n"/>
      <c r="R158" s="22" t="n"/>
      <c r="S158" s="22" t="n"/>
      <c r="T158" s="22" t="n"/>
      <c r="U158" s="22" t="n"/>
      <c r="V158" s="331" t="n"/>
    </row>
    <row r="159">
      <c r="A159" s="22" t="n"/>
      <c r="B159" s="324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331" t="n"/>
      <c r="O159" s="331" t="n"/>
      <c r="P159" s="331" t="n"/>
      <c r="Q159" s="331" t="n"/>
      <c r="R159" s="22" t="n"/>
      <c r="S159" s="22" t="n"/>
      <c r="T159" s="22" t="n"/>
      <c r="U159" s="22" t="n"/>
      <c r="V159" s="331" t="n"/>
    </row>
    <row r="160">
      <c r="A160" s="22" t="n"/>
      <c r="B160" s="324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331" t="n"/>
      <c r="O160" s="331" t="n"/>
      <c r="P160" s="331" t="n"/>
      <c r="Q160" s="331" t="n"/>
      <c r="R160" s="22" t="n"/>
      <c r="S160" s="22" t="n"/>
      <c r="T160" s="22" t="n"/>
      <c r="U160" s="22" t="n"/>
      <c r="V160" s="331" t="n"/>
    </row>
    <row r="161">
      <c r="A161" s="22" t="n"/>
      <c r="B161" s="324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331" t="n"/>
      <c r="O161" s="331" t="n"/>
      <c r="P161" s="331" t="n"/>
      <c r="Q161" s="331" t="n"/>
      <c r="R161" s="22" t="n"/>
      <c r="S161" s="22" t="n"/>
      <c r="T161" s="22" t="n"/>
      <c r="U161" s="22" t="n"/>
      <c r="V161" s="331" t="n"/>
    </row>
    <row r="162">
      <c r="A162" s="22" t="n"/>
      <c r="B162" s="324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331" t="n"/>
      <c r="O162" s="331" t="n"/>
      <c r="P162" s="331" t="n"/>
      <c r="Q162" s="331" t="n"/>
      <c r="R162" s="22" t="n"/>
      <c r="S162" s="22" t="n"/>
      <c r="T162" s="22" t="n"/>
      <c r="U162" s="22" t="n"/>
      <c r="V162" s="331" t="n"/>
    </row>
    <row r="163">
      <c r="A163" s="22" t="n"/>
      <c r="B163" s="324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331" t="n"/>
      <c r="O163" s="331" t="n"/>
      <c r="P163" s="331" t="n"/>
      <c r="Q163" s="331" t="n"/>
      <c r="R163" s="22" t="n"/>
      <c r="S163" s="22" t="n"/>
      <c r="T163" s="22" t="n"/>
      <c r="U163" s="22" t="n"/>
      <c r="V163" s="331" t="n"/>
    </row>
    <row r="164">
      <c r="A164" s="22" t="n"/>
      <c r="B164" s="324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331" t="n"/>
      <c r="O164" s="331" t="n"/>
      <c r="P164" s="331" t="n"/>
      <c r="Q164" s="331" t="n"/>
      <c r="R164" s="22" t="n"/>
      <c r="S164" s="22" t="n"/>
      <c r="T164" s="22" t="n"/>
      <c r="U164" s="22" t="n"/>
      <c r="V164" s="331" t="n"/>
    </row>
    <row r="165">
      <c r="A165" s="22" t="n"/>
      <c r="B165" s="324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331" t="n"/>
      <c r="O165" s="331" t="n"/>
      <c r="P165" s="331" t="n"/>
      <c r="Q165" s="331" t="n"/>
      <c r="R165" s="22" t="n"/>
      <c r="S165" s="22" t="n"/>
      <c r="T165" s="22" t="n"/>
      <c r="U165" s="22" t="n"/>
      <c r="V165" s="331" t="n"/>
    </row>
    <row r="166">
      <c r="A166" s="22" t="n"/>
      <c r="B166" s="324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331" t="n"/>
      <c r="O166" s="331" t="n"/>
      <c r="P166" s="331" t="n"/>
      <c r="Q166" s="331" t="n"/>
      <c r="R166" s="22" t="n"/>
      <c r="S166" s="22" t="n"/>
      <c r="T166" s="22" t="n"/>
      <c r="U166" s="22" t="n"/>
      <c r="V166" s="331" t="n"/>
    </row>
    <row r="167">
      <c r="A167" s="22" t="n"/>
      <c r="B167" s="324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331" t="n"/>
      <c r="O167" s="331" t="n"/>
      <c r="P167" s="331" t="n"/>
      <c r="Q167" s="331" t="n"/>
      <c r="R167" s="22" t="n"/>
      <c r="S167" s="22" t="n"/>
      <c r="T167" s="22" t="n"/>
      <c r="U167" s="22" t="n"/>
      <c r="V167" s="331" t="n"/>
    </row>
    <row r="168">
      <c r="A168" s="22" t="n"/>
      <c r="B168" s="324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331" t="n"/>
      <c r="O168" s="331" t="n"/>
      <c r="P168" s="331" t="n"/>
      <c r="Q168" s="331" t="n"/>
      <c r="R168" s="22" t="n"/>
      <c r="S168" s="22" t="n"/>
      <c r="T168" s="22" t="n"/>
      <c r="U168" s="22" t="n"/>
      <c r="V168" s="331" t="n"/>
    </row>
    <row r="169">
      <c r="A169" s="22" t="n"/>
      <c r="B169" s="324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331" t="n"/>
      <c r="O169" s="331" t="n"/>
      <c r="P169" s="331" t="n"/>
      <c r="Q169" s="331" t="n"/>
      <c r="R169" s="22" t="n"/>
      <c r="S169" s="22" t="n"/>
      <c r="T169" s="22" t="n"/>
      <c r="U169" s="22" t="n"/>
      <c r="V169" s="331" t="n"/>
    </row>
    <row r="170">
      <c r="A170" s="22" t="n"/>
      <c r="B170" s="324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331" t="n"/>
      <c r="O170" s="331" t="n"/>
      <c r="P170" s="331" t="n"/>
      <c r="Q170" s="331" t="n"/>
      <c r="R170" s="22" t="n"/>
      <c r="S170" s="22" t="n"/>
      <c r="T170" s="22" t="n"/>
      <c r="U170" s="22" t="n"/>
      <c r="V170" s="331" t="n"/>
    </row>
    <row r="171">
      <c r="A171" s="22" t="n"/>
      <c r="B171" s="324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331" t="n"/>
      <c r="O171" s="331" t="n"/>
      <c r="P171" s="331" t="n"/>
      <c r="Q171" s="331" t="n"/>
      <c r="R171" s="22" t="n"/>
      <c r="S171" s="22" t="n"/>
      <c r="T171" s="22" t="n"/>
      <c r="U171" s="22" t="n"/>
      <c r="V171" s="331" t="n"/>
    </row>
    <row r="172">
      <c r="A172" s="22" t="n"/>
      <c r="B172" s="324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331" t="n"/>
      <c r="O172" s="331" t="n"/>
      <c r="P172" s="331" t="n"/>
      <c r="Q172" s="331" t="n"/>
      <c r="R172" s="22" t="n"/>
      <c r="S172" s="22" t="n"/>
      <c r="T172" s="22" t="n"/>
      <c r="U172" s="22" t="n"/>
      <c r="V172" s="331" t="n"/>
    </row>
    <row r="173">
      <c r="A173" s="22" t="n"/>
      <c r="B173" s="324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331" t="n"/>
      <c r="O173" s="331" t="n"/>
      <c r="P173" s="331" t="n"/>
      <c r="Q173" s="331" t="n"/>
      <c r="R173" s="22" t="n"/>
      <c r="S173" s="22" t="n"/>
      <c r="T173" s="22" t="n"/>
      <c r="U173" s="22" t="n"/>
      <c r="V173" s="331" t="n"/>
    </row>
    <row r="174">
      <c r="A174" s="22" t="n"/>
      <c r="B174" s="324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331" t="n"/>
      <c r="O174" s="331" t="n"/>
      <c r="P174" s="331" t="n"/>
      <c r="Q174" s="331" t="n"/>
      <c r="R174" s="22" t="n"/>
      <c r="S174" s="22" t="n"/>
      <c r="T174" s="22" t="n"/>
      <c r="U174" s="22" t="n"/>
      <c r="V174" s="331" t="n"/>
    </row>
    <row r="175">
      <c r="A175" s="22" t="n"/>
      <c r="B175" s="324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331" t="n"/>
      <c r="O175" s="331" t="n"/>
      <c r="P175" s="331" t="n"/>
      <c r="Q175" s="331" t="n"/>
      <c r="R175" s="22" t="n"/>
      <c r="S175" s="22" t="n"/>
      <c r="T175" s="22" t="n"/>
      <c r="U175" s="22" t="n"/>
      <c r="V175" s="331" t="n"/>
    </row>
    <row r="176">
      <c r="A176" s="22" t="n"/>
      <c r="B176" s="324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331" t="n"/>
      <c r="O176" s="331" t="n"/>
      <c r="P176" s="331" t="n"/>
      <c r="Q176" s="331" t="n"/>
      <c r="R176" s="22" t="n"/>
      <c r="S176" s="22" t="n"/>
      <c r="T176" s="22" t="n"/>
      <c r="U176" s="22" t="n"/>
      <c r="V176" s="331" t="n"/>
    </row>
    <row r="177">
      <c r="A177" s="22" t="n"/>
      <c r="B177" s="324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331" t="n"/>
      <c r="O177" s="331" t="n"/>
      <c r="P177" s="331" t="n"/>
      <c r="Q177" s="331" t="n"/>
      <c r="R177" s="22" t="n"/>
      <c r="S177" s="22" t="n"/>
      <c r="T177" s="22" t="n"/>
      <c r="U177" s="22" t="n"/>
      <c r="V177" s="331" t="n"/>
    </row>
    <row r="178">
      <c r="A178" s="22" t="n"/>
      <c r="B178" s="324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331" t="n"/>
      <c r="O178" s="331" t="n"/>
      <c r="P178" s="331" t="n"/>
      <c r="Q178" s="331" t="n"/>
      <c r="R178" s="22" t="n"/>
      <c r="S178" s="22" t="n"/>
      <c r="T178" s="22" t="n"/>
      <c r="U178" s="22" t="n"/>
      <c r="V178" s="331" t="n"/>
    </row>
    <row r="179">
      <c r="A179" s="22" t="n"/>
      <c r="B179" s="324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331" t="n"/>
      <c r="O179" s="331" t="n"/>
      <c r="P179" s="331" t="n"/>
      <c r="Q179" s="331" t="n"/>
      <c r="R179" s="22" t="n"/>
      <c r="S179" s="22" t="n"/>
      <c r="T179" s="22" t="n"/>
      <c r="U179" s="22" t="n"/>
      <c r="V179" s="331" t="n"/>
    </row>
    <row r="180">
      <c r="A180" s="22" t="n"/>
      <c r="B180" s="324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331" t="n"/>
      <c r="O180" s="331" t="n"/>
      <c r="P180" s="331" t="n"/>
      <c r="Q180" s="331" t="n"/>
      <c r="R180" s="22" t="n"/>
      <c r="S180" s="22" t="n"/>
      <c r="T180" s="22" t="n"/>
      <c r="U180" s="22" t="n"/>
      <c r="V180" s="331" t="n"/>
    </row>
    <row r="181">
      <c r="A181" s="22" t="n"/>
      <c r="B181" s="324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331" t="n"/>
      <c r="O181" s="331" t="n"/>
      <c r="P181" s="331" t="n"/>
      <c r="Q181" s="331" t="n"/>
      <c r="R181" s="22" t="n"/>
      <c r="S181" s="22" t="n"/>
      <c r="T181" s="22" t="n"/>
      <c r="U181" s="22" t="n"/>
      <c r="V181" s="331" t="n"/>
    </row>
    <row r="182">
      <c r="A182" s="22" t="n"/>
      <c r="B182" s="324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331" t="n"/>
      <c r="O182" s="331" t="n"/>
      <c r="P182" s="331" t="n"/>
      <c r="Q182" s="331" t="n"/>
      <c r="R182" s="22" t="n"/>
      <c r="S182" s="22" t="n"/>
      <c r="T182" s="22" t="n"/>
      <c r="U182" s="22" t="n"/>
      <c r="V182" s="331" t="n"/>
    </row>
    <row r="183">
      <c r="A183" s="22" t="n"/>
      <c r="B183" s="324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331" t="n"/>
      <c r="O183" s="331" t="n"/>
      <c r="P183" s="331" t="n"/>
      <c r="Q183" s="331" t="n"/>
      <c r="R183" s="22" t="n"/>
      <c r="S183" s="22" t="n"/>
      <c r="T183" s="22" t="n"/>
      <c r="U183" s="22" t="n"/>
      <c r="V183" s="331" t="n"/>
    </row>
    <row r="184">
      <c r="A184" s="22" t="n"/>
      <c r="B184" s="324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331" t="n"/>
      <c r="O184" s="331" t="n"/>
      <c r="P184" s="331" t="n"/>
      <c r="Q184" s="331" t="n"/>
      <c r="R184" s="22" t="n"/>
      <c r="S184" s="22" t="n"/>
      <c r="T184" s="22" t="n"/>
      <c r="U184" s="22" t="n"/>
      <c r="V184" s="331" t="n"/>
    </row>
    <row r="185">
      <c r="A185" s="22" t="n"/>
      <c r="B185" s="324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331" t="n"/>
      <c r="O185" s="331" t="n"/>
      <c r="P185" s="331" t="n"/>
      <c r="Q185" s="331" t="n"/>
      <c r="R185" s="22" t="n"/>
      <c r="S185" s="22" t="n"/>
      <c r="T185" s="22" t="n"/>
      <c r="U185" s="22" t="n"/>
      <c r="V185" s="331" t="n"/>
    </row>
    <row r="186">
      <c r="A186" s="22" t="n"/>
      <c r="B186" s="324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331" t="n"/>
      <c r="O186" s="331" t="n"/>
      <c r="P186" s="331" t="n"/>
      <c r="Q186" s="331" t="n"/>
      <c r="R186" s="22" t="n"/>
      <c r="S186" s="22" t="n"/>
      <c r="T186" s="22" t="n"/>
      <c r="U186" s="22" t="n"/>
      <c r="V186" s="331" t="n"/>
    </row>
    <row r="187">
      <c r="A187" s="22" t="n"/>
      <c r="B187" s="324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331" t="n"/>
      <c r="O187" s="331" t="n"/>
      <c r="P187" s="331" t="n"/>
      <c r="Q187" s="331" t="n"/>
      <c r="R187" s="22" t="n"/>
      <c r="S187" s="22" t="n"/>
      <c r="T187" s="22" t="n"/>
      <c r="U187" s="22" t="n"/>
      <c r="V187" s="331" t="n"/>
    </row>
    <row r="188">
      <c r="A188" s="22" t="n"/>
      <c r="B188" s="324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331" t="n"/>
      <c r="O188" s="331" t="n"/>
      <c r="P188" s="331" t="n"/>
      <c r="Q188" s="331" t="n"/>
      <c r="R188" s="22" t="n"/>
      <c r="S188" s="22" t="n"/>
      <c r="T188" s="22" t="n"/>
      <c r="U188" s="22" t="n"/>
      <c r="V188" s="331" t="n"/>
    </row>
    <row r="189">
      <c r="A189" s="22" t="n"/>
      <c r="B189" s="324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331" t="n"/>
      <c r="O189" s="331" t="n"/>
      <c r="P189" s="331" t="n"/>
      <c r="Q189" s="331" t="n"/>
      <c r="R189" s="22" t="n"/>
      <c r="S189" s="22" t="n"/>
      <c r="T189" s="22" t="n"/>
      <c r="U189" s="22" t="n"/>
      <c r="V189" s="331" t="n"/>
    </row>
    <row r="190">
      <c r="A190" s="22" t="n"/>
      <c r="B190" s="324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331" t="n"/>
      <c r="O190" s="331" t="n"/>
      <c r="P190" s="331" t="n"/>
      <c r="Q190" s="331" t="n"/>
      <c r="R190" s="22" t="n"/>
      <c r="S190" s="22" t="n"/>
      <c r="T190" s="22" t="n"/>
      <c r="U190" s="22" t="n"/>
      <c r="V190" s="331" t="n"/>
    </row>
    <row r="191">
      <c r="A191" s="22" t="n"/>
      <c r="B191" s="324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331" t="n"/>
      <c r="O191" s="331" t="n"/>
      <c r="P191" s="331" t="n"/>
      <c r="Q191" s="331" t="n"/>
      <c r="R191" s="22" t="n"/>
      <c r="S191" s="22" t="n"/>
      <c r="T191" s="22" t="n"/>
      <c r="U191" s="22" t="n"/>
      <c r="V191" s="331" t="n"/>
    </row>
    <row r="192">
      <c r="A192" s="22" t="n"/>
      <c r="B192" s="324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331" t="n"/>
      <c r="O192" s="331" t="n"/>
      <c r="P192" s="331" t="n"/>
      <c r="Q192" s="331" t="n"/>
      <c r="R192" s="22" t="n"/>
      <c r="S192" s="22" t="n"/>
      <c r="T192" s="22" t="n"/>
      <c r="U192" s="22" t="n"/>
      <c r="V192" s="331" t="n"/>
    </row>
    <row r="193">
      <c r="A193" s="22" t="n"/>
      <c r="B193" s="324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331" t="n"/>
      <c r="O193" s="331" t="n"/>
      <c r="P193" s="331" t="n"/>
      <c r="Q193" s="331" t="n"/>
      <c r="R193" s="22" t="n"/>
      <c r="S193" s="22" t="n"/>
      <c r="T193" s="22" t="n"/>
      <c r="U193" s="22" t="n"/>
      <c r="V193" s="331" t="n"/>
    </row>
    <row r="194">
      <c r="A194" s="22" t="n"/>
      <c r="B194" s="324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331" t="n"/>
      <c r="O194" s="331" t="n"/>
      <c r="P194" s="331" t="n"/>
      <c r="Q194" s="331" t="n"/>
      <c r="R194" s="22" t="n"/>
      <c r="S194" s="22" t="n"/>
      <c r="T194" s="22" t="n"/>
      <c r="U194" s="22" t="n"/>
      <c r="V194" s="331" t="n"/>
    </row>
    <row r="195">
      <c r="A195" s="22" t="n"/>
      <c r="B195" s="324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331" t="n"/>
      <c r="O195" s="331" t="n"/>
      <c r="P195" s="331" t="n"/>
      <c r="Q195" s="331" t="n"/>
      <c r="R195" s="22" t="n"/>
      <c r="S195" s="22" t="n"/>
      <c r="T195" s="22" t="n"/>
      <c r="U195" s="22" t="n"/>
      <c r="V195" s="331" t="n"/>
    </row>
    <row r="196">
      <c r="A196" s="22" t="n"/>
      <c r="B196" s="324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331" t="n"/>
      <c r="O196" s="331" t="n"/>
      <c r="P196" s="331" t="n"/>
      <c r="Q196" s="331" t="n"/>
      <c r="R196" s="22" t="n"/>
      <c r="S196" s="22" t="n"/>
      <c r="T196" s="22" t="n"/>
      <c r="U196" s="22" t="n"/>
      <c r="V196" s="331" t="n"/>
    </row>
    <row r="197">
      <c r="A197" s="22" t="n"/>
      <c r="B197" s="324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331" t="n"/>
      <c r="O197" s="331" t="n"/>
      <c r="P197" s="331" t="n"/>
      <c r="Q197" s="331" t="n"/>
      <c r="R197" s="22" t="n"/>
      <c r="S197" s="22" t="n"/>
      <c r="T197" s="22" t="n"/>
      <c r="U197" s="22" t="n"/>
      <c r="V197" s="331" t="n"/>
    </row>
    <row r="198">
      <c r="A198" s="22" t="n"/>
      <c r="B198" s="324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331" t="n"/>
      <c r="O198" s="331" t="n"/>
      <c r="P198" s="331" t="n"/>
      <c r="Q198" s="331" t="n"/>
      <c r="R198" s="22" t="n"/>
      <c r="S198" s="22" t="n"/>
      <c r="T198" s="22" t="n"/>
      <c r="U198" s="22" t="n"/>
      <c r="V198" s="331" t="n"/>
    </row>
    <row r="199">
      <c r="A199" s="22" t="n"/>
      <c r="B199" s="324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331" t="n"/>
      <c r="O199" s="331" t="n"/>
      <c r="P199" s="331" t="n"/>
      <c r="Q199" s="331" t="n"/>
      <c r="R199" s="22" t="n"/>
      <c r="S199" s="22" t="n"/>
      <c r="T199" s="22" t="n"/>
      <c r="U199" s="22" t="n"/>
      <c r="V199" s="331" t="n"/>
    </row>
    <row r="200">
      <c r="A200" s="22" t="n"/>
      <c r="B200" s="324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331" t="n"/>
      <c r="O200" s="331" t="n"/>
      <c r="P200" s="331" t="n"/>
      <c r="Q200" s="331" t="n"/>
      <c r="R200" s="22" t="n"/>
      <c r="S200" s="22" t="n"/>
      <c r="T200" s="22" t="n"/>
      <c r="U200" s="22" t="n"/>
      <c r="V200" s="331" t="n"/>
    </row>
    <row r="201">
      <c r="A201" s="22" t="n"/>
      <c r="B201" s="324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331" t="n"/>
      <c r="O201" s="331" t="n"/>
      <c r="P201" s="331" t="n"/>
      <c r="Q201" s="331" t="n"/>
      <c r="R201" s="22" t="n"/>
      <c r="S201" s="22" t="n"/>
      <c r="T201" s="22" t="n"/>
      <c r="U201" s="22" t="n"/>
      <c r="V201" s="331" t="n"/>
    </row>
    <row r="202">
      <c r="A202" s="22" t="n"/>
      <c r="B202" s="324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331" t="n"/>
      <c r="O202" s="331" t="n"/>
      <c r="P202" s="331" t="n"/>
      <c r="Q202" s="331" t="n"/>
      <c r="R202" s="22" t="n"/>
      <c r="S202" s="22" t="n"/>
      <c r="T202" s="22" t="n"/>
      <c r="U202" s="22" t="n"/>
      <c r="V202" s="331" t="n"/>
    </row>
    <row r="203">
      <c r="A203" s="22" t="n"/>
      <c r="B203" s="324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331" t="n"/>
      <c r="O203" s="331" t="n"/>
      <c r="P203" s="331" t="n"/>
      <c r="Q203" s="331" t="n"/>
      <c r="R203" s="22" t="n"/>
      <c r="S203" s="22" t="n"/>
      <c r="T203" s="22" t="n"/>
      <c r="U203" s="22" t="n"/>
      <c r="V203" s="331" t="n"/>
    </row>
    <row r="204">
      <c r="A204" s="22" t="n"/>
      <c r="B204" s="324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331" t="n"/>
      <c r="O204" s="331" t="n"/>
      <c r="P204" s="331" t="n"/>
      <c r="Q204" s="331" t="n"/>
      <c r="R204" s="22" t="n"/>
      <c r="S204" s="22" t="n"/>
      <c r="T204" s="22" t="n"/>
      <c r="U204" s="22" t="n"/>
      <c r="V204" s="331" t="n"/>
    </row>
    <row r="205">
      <c r="A205" s="22" t="n"/>
      <c r="B205" s="324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331" t="n"/>
      <c r="O205" s="331" t="n"/>
      <c r="P205" s="331" t="n"/>
      <c r="Q205" s="331" t="n"/>
      <c r="R205" s="22" t="n"/>
      <c r="S205" s="22" t="n"/>
      <c r="T205" s="22" t="n"/>
      <c r="U205" s="22" t="n"/>
      <c r="V205" s="331" t="n"/>
    </row>
    <row r="206">
      <c r="A206" s="22" t="n"/>
      <c r="B206" s="324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331" t="n"/>
      <c r="O206" s="331" t="n"/>
      <c r="P206" s="331" t="n"/>
      <c r="Q206" s="331" t="n"/>
      <c r="R206" s="22" t="n"/>
      <c r="S206" s="22" t="n"/>
      <c r="T206" s="22" t="n"/>
      <c r="U206" s="22" t="n"/>
      <c r="V206" s="331" t="n"/>
    </row>
    <row r="207">
      <c r="A207" s="22" t="n"/>
      <c r="B207" s="324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331" t="n"/>
      <c r="O207" s="331" t="n"/>
      <c r="P207" s="331" t="n"/>
      <c r="Q207" s="331" t="n"/>
      <c r="R207" s="22" t="n"/>
      <c r="S207" s="22" t="n"/>
      <c r="T207" s="22" t="n"/>
      <c r="U207" s="22" t="n"/>
      <c r="V207" s="331" t="n"/>
    </row>
    <row r="208">
      <c r="A208" s="22" t="n"/>
      <c r="B208" s="324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331" t="n"/>
      <c r="O208" s="331" t="n"/>
      <c r="P208" s="331" t="n"/>
      <c r="Q208" s="331" t="n"/>
      <c r="R208" s="22" t="n"/>
      <c r="S208" s="22" t="n"/>
      <c r="T208" s="22" t="n"/>
      <c r="U208" s="22" t="n"/>
      <c r="V208" s="331" t="n"/>
    </row>
    <row r="209">
      <c r="A209" s="22" t="n"/>
      <c r="B209" s="324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331" t="n"/>
      <c r="O209" s="331" t="n"/>
      <c r="P209" s="331" t="n"/>
      <c r="Q209" s="331" t="n"/>
      <c r="R209" s="22" t="n"/>
      <c r="S209" s="22" t="n"/>
      <c r="T209" s="22" t="n"/>
      <c r="U209" s="22" t="n"/>
      <c r="V209" s="331" t="n"/>
    </row>
    <row r="210">
      <c r="A210" s="22" t="n"/>
      <c r="B210" s="324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331" t="n"/>
      <c r="O210" s="331" t="n"/>
      <c r="P210" s="331" t="n"/>
      <c r="Q210" s="331" t="n"/>
      <c r="R210" s="22" t="n"/>
      <c r="S210" s="22" t="n"/>
      <c r="T210" s="22" t="n"/>
      <c r="U210" s="22" t="n"/>
      <c r="V210" s="331" t="n"/>
    </row>
    <row r="211">
      <c r="A211" s="22" t="n"/>
      <c r="B211" s="324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331" t="n"/>
      <c r="O211" s="331" t="n"/>
      <c r="P211" s="331" t="n"/>
      <c r="Q211" s="331" t="n"/>
      <c r="R211" s="22" t="n"/>
      <c r="S211" s="22" t="n"/>
      <c r="T211" s="22" t="n"/>
      <c r="U211" s="22" t="n"/>
      <c r="V211" s="331" t="n"/>
    </row>
    <row r="212">
      <c r="A212" s="22" t="n"/>
      <c r="B212" s="324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331" t="n"/>
      <c r="O212" s="331" t="n"/>
      <c r="P212" s="331" t="n"/>
      <c r="Q212" s="331" t="n"/>
      <c r="R212" s="22" t="n"/>
      <c r="S212" s="22" t="n"/>
      <c r="T212" s="22" t="n"/>
      <c r="U212" s="22" t="n"/>
      <c r="V212" s="331" t="n"/>
    </row>
    <row r="213">
      <c r="A213" s="22" t="n"/>
      <c r="B213" s="324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331" t="n"/>
      <c r="O213" s="331" t="n"/>
      <c r="P213" s="331" t="n"/>
      <c r="Q213" s="331" t="n"/>
      <c r="R213" s="22" t="n"/>
      <c r="S213" s="22" t="n"/>
      <c r="T213" s="22" t="n"/>
      <c r="U213" s="22" t="n"/>
      <c r="V213" s="331" t="n"/>
    </row>
    <row r="214">
      <c r="A214" s="22" t="n"/>
      <c r="B214" s="324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331" t="n"/>
      <c r="O214" s="331" t="n"/>
      <c r="P214" s="331" t="n"/>
      <c r="Q214" s="331" t="n"/>
      <c r="R214" s="22" t="n"/>
      <c r="S214" s="22" t="n"/>
      <c r="T214" s="22" t="n"/>
      <c r="U214" s="22" t="n"/>
      <c r="V214" s="331" t="n"/>
    </row>
    <row r="215">
      <c r="A215" s="22" t="n"/>
      <c r="B215" s="324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331" t="n"/>
      <c r="O215" s="331" t="n"/>
      <c r="P215" s="331" t="n"/>
      <c r="Q215" s="331" t="n"/>
      <c r="R215" s="22" t="n"/>
      <c r="S215" s="22" t="n"/>
      <c r="T215" s="22" t="n"/>
      <c r="U215" s="22" t="n"/>
      <c r="V215" s="331" t="n"/>
    </row>
    <row r="216">
      <c r="A216" s="22" t="n"/>
      <c r="B216" s="324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331" t="n"/>
      <c r="O216" s="331" t="n"/>
      <c r="P216" s="331" t="n"/>
      <c r="Q216" s="331" t="n"/>
      <c r="R216" s="22" t="n"/>
      <c r="S216" s="22" t="n"/>
      <c r="T216" s="22" t="n"/>
      <c r="U216" s="22" t="n"/>
      <c r="V216" s="331" t="n"/>
    </row>
    <row r="217">
      <c r="A217" s="22" t="n"/>
      <c r="B217" s="324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331" t="n"/>
      <c r="O217" s="331" t="n"/>
      <c r="P217" s="331" t="n"/>
      <c r="Q217" s="331" t="n"/>
      <c r="R217" s="22" t="n"/>
      <c r="S217" s="22" t="n"/>
      <c r="T217" s="22" t="n"/>
      <c r="U217" s="22" t="n"/>
      <c r="V217" s="331" t="n"/>
    </row>
    <row r="218">
      <c r="A218" s="22" t="n"/>
      <c r="B218" s="324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331" t="n"/>
      <c r="O218" s="331" t="n"/>
      <c r="P218" s="331" t="n"/>
      <c r="Q218" s="331" t="n"/>
      <c r="R218" s="22" t="n"/>
      <c r="S218" s="22" t="n"/>
      <c r="T218" s="22" t="n"/>
      <c r="U218" s="22" t="n"/>
      <c r="V218" s="331" t="n"/>
    </row>
    <row r="219">
      <c r="A219" s="22" t="n"/>
      <c r="B219" s="324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331" t="n"/>
      <c r="O219" s="331" t="n"/>
      <c r="P219" s="331" t="n"/>
      <c r="Q219" s="331" t="n"/>
      <c r="R219" s="22" t="n"/>
      <c r="S219" s="22" t="n"/>
      <c r="T219" s="22" t="n"/>
      <c r="U219" s="22" t="n"/>
      <c r="V219" s="331" t="n"/>
    </row>
    <row r="220">
      <c r="A220" s="22" t="n"/>
      <c r="B220" s="324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331" t="n"/>
      <c r="O220" s="331" t="n"/>
      <c r="P220" s="331" t="n"/>
      <c r="Q220" s="331" t="n"/>
      <c r="R220" s="22" t="n"/>
      <c r="S220" s="22" t="n"/>
      <c r="T220" s="22" t="n"/>
      <c r="U220" s="22" t="n"/>
      <c r="V220" s="331" t="n"/>
    </row>
    <row r="221">
      <c r="A221" s="22" t="n"/>
      <c r="B221" s="324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331" t="n"/>
      <c r="O221" s="331" t="n"/>
      <c r="P221" s="331" t="n"/>
      <c r="Q221" s="331" t="n"/>
      <c r="R221" s="22" t="n"/>
      <c r="S221" s="22" t="n"/>
      <c r="T221" s="22" t="n"/>
      <c r="U221" s="22" t="n"/>
      <c r="V221" s="331" t="n"/>
    </row>
    <row r="222">
      <c r="A222" s="22" t="n"/>
      <c r="B222" s="324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331" t="n"/>
      <c r="O222" s="331" t="n"/>
      <c r="P222" s="331" t="n"/>
      <c r="Q222" s="331" t="n"/>
      <c r="R222" s="22" t="n"/>
      <c r="S222" s="22" t="n"/>
      <c r="T222" s="22" t="n"/>
      <c r="U222" s="22" t="n"/>
      <c r="V222" s="331" t="n"/>
    </row>
    <row r="223">
      <c r="A223" s="22" t="n"/>
      <c r="B223" s="324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331" t="n"/>
      <c r="O223" s="331" t="n"/>
      <c r="P223" s="331" t="n"/>
      <c r="Q223" s="331" t="n"/>
      <c r="R223" s="22" t="n"/>
      <c r="S223" s="22" t="n"/>
      <c r="T223" s="22" t="n"/>
      <c r="U223" s="22" t="n"/>
      <c r="V223" s="331" t="n"/>
    </row>
    <row r="224">
      <c r="A224" s="22" t="n"/>
      <c r="B224" s="324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331" t="n"/>
      <c r="O224" s="331" t="n"/>
      <c r="P224" s="331" t="n"/>
      <c r="Q224" s="331" t="n"/>
      <c r="R224" s="22" t="n"/>
      <c r="S224" s="22" t="n"/>
      <c r="T224" s="22" t="n"/>
      <c r="U224" s="22" t="n"/>
      <c r="V224" s="331" t="n"/>
    </row>
    <row r="225">
      <c r="A225" s="22" t="n"/>
      <c r="B225" s="324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331" t="n"/>
      <c r="O225" s="331" t="n"/>
      <c r="P225" s="331" t="n"/>
      <c r="Q225" s="331" t="n"/>
      <c r="R225" s="22" t="n"/>
      <c r="S225" s="22" t="n"/>
      <c r="T225" s="22" t="n"/>
      <c r="U225" s="22" t="n"/>
      <c r="V225" s="331" t="n"/>
    </row>
    <row r="226">
      <c r="A226" s="22" t="n"/>
      <c r="B226" s="324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331" t="n"/>
      <c r="O226" s="331" t="n"/>
      <c r="P226" s="331" t="n"/>
      <c r="Q226" s="331" t="n"/>
      <c r="R226" s="22" t="n"/>
      <c r="S226" s="22" t="n"/>
      <c r="T226" s="22" t="n"/>
      <c r="U226" s="22" t="n"/>
      <c r="V226" s="331" t="n"/>
    </row>
    <row r="227">
      <c r="A227" s="22" t="n"/>
      <c r="B227" s="324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331" t="n"/>
      <c r="O227" s="331" t="n"/>
      <c r="P227" s="331" t="n"/>
      <c r="Q227" s="331" t="n"/>
      <c r="R227" s="22" t="n"/>
      <c r="S227" s="22" t="n"/>
      <c r="T227" s="22" t="n"/>
      <c r="U227" s="22" t="n"/>
      <c r="V227" s="331" t="n"/>
    </row>
    <row r="228">
      <c r="A228" s="22" t="n"/>
      <c r="B228" s="324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331" t="n"/>
      <c r="O228" s="331" t="n"/>
      <c r="P228" s="331" t="n"/>
      <c r="Q228" s="331" t="n"/>
      <c r="R228" s="22" t="n"/>
      <c r="S228" s="22" t="n"/>
      <c r="T228" s="22" t="n"/>
      <c r="U228" s="22" t="n"/>
      <c r="V228" s="331" t="n"/>
    </row>
    <row r="229">
      <c r="A229" s="22" t="n"/>
      <c r="B229" s="324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331" t="n"/>
      <c r="O229" s="331" t="n"/>
      <c r="P229" s="331" t="n"/>
      <c r="Q229" s="331" t="n"/>
      <c r="R229" s="22" t="n"/>
      <c r="S229" s="22" t="n"/>
      <c r="T229" s="22" t="n"/>
      <c r="U229" s="22" t="n"/>
      <c r="V229" s="331" t="n"/>
    </row>
    <row r="230">
      <c r="A230" s="22" t="n"/>
      <c r="B230" s="324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331" t="n"/>
      <c r="O230" s="331" t="n"/>
      <c r="P230" s="331" t="n"/>
      <c r="Q230" s="331" t="n"/>
      <c r="R230" s="22" t="n"/>
      <c r="S230" s="22" t="n"/>
      <c r="T230" s="22" t="n"/>
      <c r="U230" s="22" t="n"/>
      <c r="V230" s="331" t="n"/>
    </row>
    <row r="231">
      <c r="A231" s="22" t="n"/>
      <c r="B231" s="324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331" t="n"/>
      <c r="O231" s="331" t="n"/>
      <c r="P231" s="331" t="n"/>
      <c r="Q231" s="331" t="n"/>
      <c r="R231" s="22" t="n"/>
      <c r="S231" s="22" t="n"/>
      <c r="T231" s="22" t="n"/>
      <c r="U231" s="22" t="n"/>
      <c r="V231" s="331" t="n"/>
    </row>
    <row r="232">
      <c r="A232" s="22" t="n"/>
      <c r="B232" s="324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331" t="n"/>
      <c r="O232" s="331" t="n"/>
      <c r="P232" s="331" t="n"/>
      <c r="Q232" s="331" t="n"/>
      <c r="R232" s="22" t="n"/>
      <c r="S232" s="22" t="n"/>
      <c r="T232" s="22" t="n"/>
      <c r="U232" s="22" t="n"/>
      <c r="V232" s="331" t="n"/>
    </row>
    <row r="233">
      <c r="A233" s="22" t="n"/>
      <c r="B233" s="324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331" t="n"/>
      <c r="O233" s="331" t="n"/>
      <c r="P233" s="331" t="n"/>
      <c r="Q233" s="331" t="n"/>
      <c r="R233" s="22" t="n"/>
      <c r="S233" s="22" t="n"/>
      <c r="T233" s="22" t="n"/>
      <c r="U233" s="22" t="n"/>
      <c r="V233" s="331" t="n"/>
    </row>
    <row r="234">
      <c r="A234" s="22" t="n"/>
      <c r="B234" s="324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331" t="n"/>
      <c r="O234" s="331" t="n"/>
      <c r="P234" s="331" t="n"/>
      <c r="Q234" s="331" t="n"/>
      <c r="R234" s="22" t="n"/>
      <c r="S234" s="22" t="n"/>
      <c r="T234" s="22" t="n"/>
      <c r="U234" s="22" t="n"/>
      <c r="V234" s="331" t="n"/>
    </row>
    <row r="235">
      <c r="A235" s="22" t="n"/>
      <c r="B235" s="324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331" t="n"/>
      <c r="O235" s="331" t="n"/>
      <c r="P235" s="331" t="n"/>
      <c r="Q235" s="331" t="n"/>
      <c r="R235" s="22" t="n"/>
      <c r="S235" s="22" t="n"/>
      <c r="T235" s="22" t="n"/>
      <c r="U235" s="22" t="n"/>
      <c r="V235" s="331" t="n"/>
    </row>
    <row r="236">
      <c r="A236" s="22" t="n"/>
      <c r="B236" s="324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331" t="n"/>
      <c r="O236" s="331" t="n"/>
      <c r="P236" s="331" t="n"/>
      <c r="Q236" s="331" t="n"/>
      <c r="R236" s="22" t="n"/>
      <c r="S236" s="22" t="n"/>
      <c r="T236" s="22" t="n"/>
      <c r="U236" s="22" t="n"/>
      <c r="V236" s="331" t="n"/>
    </row>
    <row r="237">
      <c r="A237" s="22" t="n"/>
      <c r="B237" s="324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331" t="n"/>
      <c r="O237" s="331" t="n"/>
      <c r="P237" s="331" t="n"/>
      <c r="Q237" s="331" t="n"/>
      <c r="R237" s="22" t="n"/>
      <c r="S237" s="22" t="n"/>
      <c r="T237" s="22" t="n"/>
      <c r="U237" s="22" t="n"/>
      <c r="V237" s="331" t="n"/>
    </row>
    <row r="238">
      <c r="A238" s="22" t="n"/>
      <c r="B238" s="324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331" t="n"/>
      <c r="O238" s="331" t="n"/>
      <c r="P238" s="331" t="n"/>
      <c r="Q238" s="331" t="n"/>
      <c r="R238" s="22" t="n"/>
      <c r="S238" s="22" t="n"/>
      <c r="T238" s="22" t="n"/>
      <c r="U238" s="22" t="n"/>
      <c r="V238" s="331" t="n"/>
    </row>
    <row r="239">
      <c r="A239" s="22" t="n"/>
      <c r="B239" s="324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331" t="n"/>
      <c r="O239" s="331" t="n"/>
      <c r="P239" s="331" t="n"/>
      <c r="Q239" s="331" t="n"/>
      <c r="R239" s="22" t="n"/>
      <c r="S239" s="22" t="n"/>
      <c r="T239" s="22" t="n"/>
      <c r="U239" s="22" t="n"/>
      <c r="V239" s="331" t="n"/>
    </row>
    <row r="240">
      <c r="A240" s="22" t="n"/>
      <c r="B240" s="324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331" t="n"/>
      <c r="O240" s="331" t="n"/>
      <c r="P240" s="331" t="n"/>
      <c r="Q240" s="331" t="n"/>
      <c r="R240" s="22" t="n"/>
      <c r="S240" s="22" t="n"/>
      <c r="T240" s="22" t="n"/>
      <c r="U240" s="22" t="n"/>
      <c r="V240" s="331" t="n"/>
    </row>
    <row r="241">
      <c r="A241" s="22" t="n"/>
      <c r="B241" s="324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331" t="n"/>
      <c r="O241" s="331" t="n"/>
      <c r="P241" s="331" t="n"/>
      <c r="Q241" s="331" t="n"/>
      <c r="R241" s="22" t="n"/>
      <c r="S241" s="22" t="n"/>
      <c r="T241" s="22" t="n"/>
      <c r="U241" s="22" t="n"/>
      <c r="V241" s="331" t="n"/>
    </row>
    <row r="242">
      <c r="A242" s="22" t="n"/>
      <c r="B242" s="324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331" t="n"/>
      <c r="O242" s="331" t="n"/>
      <c r="P242" s="331" t="n"/>
      <c r="Q242" s="331" t="n"/>
      <c r="R242" s="22" t="n"/>
      <c r="S242" s="22" t="n"/>
      <c r="T242" s="22" t="n"/>
      <c r="U242" s="22" t="n"/>
      <c r="V242" s="331" t="n"/>
    </row>
    <row r="243">
      <c r="A243" s="22" t="n"/>
      <c r="B243" s="324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331" t="n"/>
      <c r="O243" s="331" t="n"/>
      <c r="P243" s="331" t="n"/>
      <c r="Q243" s="331" t="n"/>
      <c r="R243" s="22" t="n"/>
      <c r="S243" s="22" t="n"/>
      <c r="T243" s="22" t="n"/>
      <c r="U243" s="22" t="n"/>
      <c r="V243" s="331" t="n"/>
    </row>
    <row r="244">
      <c r="A244" s="22" t="n"/>
      <c r="B244" s="324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331" t="n"/>
      <c r="O244" s="331" t="n"/>
      <c r="P244" s="331" t="n"/>
      <c r="Q244" s="331" t="n"/>
      <c r="R244" s="22" t="n"/>
      <c r="S244" s="22" t="n"/>
      <c r="T244" s="22" t="n"/>
      <c r="U244" s="22" t="n"/>
      <c r="V244" s="331" t="n"/>
    </row>
    <row r="245">
      <c r="A245" s="22" t="n"/>
      <c r="B245" s="324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331" t="n"/>
      <c r="O245" s="331" t="n"/>
      <c r="P245" s="331" t="n"/>
      <c r="Q245" s="331" t="n"/>
      <c r="R245" s="22" t="n"/>
      <c r="S245" s="22" t="n"/>
      <c r="T245" s="22" t="n"/>
      <c r="U245" s="22" t="n"/>
      <c r="V245" s="331" t="n"/>
    </row>
    <row r="246">
      <c r="A246" s="22" t="n"/>
      <c r="B246" s="324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331" t="n"/>
      <c r="O246" s="331" t="n"/>
      <c r="P246" s="331" t="n"/>
      <c r="Q246" s="331" t="n"/>
      <c r="R246" s="22" t="n"/>
      <c r="S246" s="22" t="n"/>
      <c r="T246" s="22" t="n"/>
      <c r="U246" s="22" t="n"/>
      <c r="V246" s="331" t="n"/>
    </row>
    <row r="247">
      <c r="A247" s="22" t="n"/>
      <c r="B247" s="324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331" t="n"/>
      <c r="O247" s="331" t="n"/>
      <c r="P247" s="331" t="n"/>
      <c r="Q247" s="331" t="n"/>
      <c r="R247" s="22" t="n"/>
      <c r="S247" s="22" t="n"/>
      <c r="T247" s="22" t="n"/>
      <c r="U247" s="22" t="n"/>
      <c r="V247" s="331" t="n"/>
    </row>
    <row r="248">
      <c r="A248" s="22" t="n"/>
      <c r="B248" s="324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331" t="n"/>
      <c r="O248" s="331" t="n"/>
      <c r="P248" s="331" t="n"/>
      <c r="Q248" s="331" t="n"/>
      <c r="R248" s="22" t="n"/>
      <c r="S248" s="22" t="n"/>
      <c r="T248" s="22" t="n"/>
      <c r="U248" s="22" t="n"/>
      <c r="V248" s="331" t="n"/>
    </row>
    <row r="249">
      <c r="A249" s="22" t="n"/>
      <c r="B249" s="324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331" t="n"/>
      <c r="O249" s="331" t="n"/>
      <c r="P249" s="331" t="n"/>
      <c r="Q249" s="331" t="n"/>
      <c r="R249" s="22" t="n"/>
      <c r="S249" s="22" t="n"/>
      <c r="T249" s="22" t="n"/>
      <c r="U249" s="22" t="n"/>
      <c r="V249" s="331" t="n"/>
    </row>
    <row r="250">
      <c r="A250" s="22" t="n"/>
      <c r="B250" s="324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331" t="n"/>
      <c r="O250" s="331" t="n"/>
      <c r="P250" s="331" t="n"/>
      <c r="Q250" s="331" t="n"/>
      <c r="R250" s="22" t="n"/>
      <c r="S250" s="22" t="n"/>
      <c r="T250" s="22" t="n"/>
      <c r="U250" s="22" t="n"/>
      <c r="V250" s="331" t="n"/>
    </row>
    <row r="251">
      <c r="A251" s="22" t="n"/>
      <c r="B251" s="324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331" t="n"/>
      <c r="O251" s="331" t="n"/>
      <c r="P251" s="331" t="n"/>
      <c r="Q251" s="331" t="n"/>
      <c r="R251" s="22" t="n"/>
      <c r="S251" s="22" t="n"/>
      <c r="T251" s="22" t="n"/>
      <c r="U251" s="22" t="n"/>
      <c r="V251" s="331" t="n"/>
    </row>
    <row r="252">
      <c r="A252" s="22" t="n"/>
      <c r="B252" s="324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331" t="n"/>
      <c r="O252" s="331" t="n"/>
      <c r="P252" s="331" t="n"/>
      <c r="Q252" s="331" t="n"/>
      <c r="R252" s="22" t="n"/>
      <c r="S252" s="22" t="n"/>
      <c r="T252" s="22" t="n"/>
      <c r="U252" s="22" t="n"/>
      <c r="V252" s="331" t="n"/>
    </row>
    <row r="253">
      <c r="A253" s="22" t="n"/>
      <c r="B253" s="324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331" t="n"/>
      <c r="O253" s="331" t="n"/>
      <c r="P253" s="331" t="n"/>
      <c r="Q253" s="331" t="n"/>
      <c r="R253" s="22" t="n"/>
      <c r="S253" s="22" t="n"/>
      <c r="T253" s="22" t="n"/>
      <c r="U253" s="22" t="n"/>
      <c r="V253" s="331" t="n"/>
    </row>
    <row r="254">
      <c r="A254" s="22" t="n"/>
      <c r="B254" s="324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331" t="n"/>
      <c r="O254" s="331" t="n"/>
      <c r="P254" s="331" t="n"/>
      <c r="Q254" s="331" t="n"/>
      <c r="R254" s="22" t="n"/>
      <c r="S254" s="22" t="n"/>
      <c r="T254" s="22" t="n"/>
      <c r="U254" s="22" t="n"/>
      <c r="V254" s="331" t="n"/>
    </row>
    <row r="255">
      <c r="A255" s="22" t="n"/>
      <c r="B255" s="324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331" t="n"/>
      <c r="O255" s="331" t="n"/>
      <c r="P255" s="331" t="n"/>
      <c r="Q255" s="331" t="n"/>
      <c r="R255" s="22" t="n"/>
      <c r="S255" s="22" t="n"/>
      <c r="T255" s="22" t="n"/>
      <c r="U255" s="22" t="n"/>
      <c r="V255" s="331" t="n"/>
    </row>
    <row r="256">
      <c r="A256" s="22" t="n"/>
      <c r="B256" s="324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331" t="n"/>
      <c r="O256" s="331" t="n"/>
      <c r="P256" s="331" t="n"/>
      <c r="Q256" s="331" t="n"/>
      <c r="R256" s="22" t="n"/>
      <c r="S256" s="22" t="n"/>
      <c r="T256" s="22" t="n"/>
      <c r="U256" s="22" t="n"/>
      <c r="V256" s="331" t="n"/>
    </row>
    <row r="257">
      <c r="A257" s="22" t="n"/>
      <c r="B257" s="324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331" t="n"/>
      <c r="O257" s="331" t="n"/>
      <c r="P257" s="331" t="n"/>
      <c r="Q257" s="331" t="n"/>
      <c r="R257" s="22" t="n"/>
      <c r="S257" s="22" t="n"/>
      <c r="T257" s="22" t="n"/>
      <c r="U257" s="22" t="n"/>
      <c r="V257" s="331" t="n"/>
    </row>
    <row r="258">
      <c r="A258" s="22" t="n"/>
      <c r="B258" s="324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331" t="n"/>
      <c r="O258" s="331" t="n"/>
      <c r="P258" s="331" t="n"/>
      <c r="Q258" s="331" t="n"/>
      <c r="R258" s="22" t="n"/>
      <c r="S258" s="22" t="n"/>
      <c r="T258" s="22" t="n"/>
      <c r="U258" s="22" t="n"/>
      <c r="V258" s="331" t="n"/>
    </row>
    <row r="259">
      <c r="A259" s="22" t="n"/>
      <c r="B259" s="324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331" t="n"/>
      <c r="O259" s="331" t="n"/>
      <c r="P259" s="331" t="n"/>
      <c r="Q259" s="331" t="n"/>
      <c r="R259" s="22" t="n"/>
      <c r="S259" s="22" t="n"/>
      <c r="T259" s="22" t="n"/>
      <c r="U259" s="22" t="n"/>
      <c r="V259" s="331" t="n"/>
    </row>
    <row r="260">
      <c r="A260" s="22" t="n"/>
      <c r="B260" s="324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331" t="n"/>
      <c r="O260" s="331" t="n"/>
      <c r="P260" s="331" t="n"/>
      <c r="Q260" s="331" t="n"/>
      <c r="R260" s="22" t="n"/>
      <c r="S260" s="22" t="n"/>
      <c r="T260" s="22" t="n"/>
      <c r="U260" s="22" t="n"/>
      <c r="V260" s="331" t="n"/>
    </row>
    <row r="261">
      <c r="A261" s="22" t="n"/>
      <c r="B261" s="324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331" t="n"/>
      <c r="O261" s="331" t="n"/>
      <c r="P261" s="331" t="n"/>
      <c r="Q261" s="331" t="n"/>
      <c r="R261" s="22" t="n"/>
      <c r="S261" s="22" t="n"/>
      <c r="T261" s="22" t="n"/>
      <c r="U261" s="22" t="n"/>
      <c r="V261" s="331" t="n"/>
    </row>
    <row r="262">
      <c r="A262" s="22" t="n"/>
      <c r="B262" s="324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331" t="n"/>
      <c r="O262" s="331" t="n"/>
      <c r="P262" s="331" t="n"/>
      <c r="Q262" s="331" t="n"/>
      <c r="R262" s="22" t="n"/>
      <c r="S262" s="22" t="n"/>
      <c r="T262" s="22" t="n"/>
      <c r="U262" s="22" t="n"/>
      <c r="V262" s="331" t="n"/>
    </row>
    <row r="263">
      <c r="A263" s="22" t="n"/>
      <c r="B263" s="324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331" t="n"/>
      <c r="O263" s="331" t="n"/>
      <c r="P263" s="331" t="n"/>
      <c r="Q263" s="331" t="n"/>
      <c r="R263" s="22" t="n"/>
      <c r="S263" s="22" t="n"/>
      <c r="T263" s="22" t="n"/>
      <c r="U263" s="22" t="n"/>
      <c r="V263" s="331" t="n"/>
    </row>
    <row r="264">
      <c r="A264" s="22" t="n"/>
      <c r="B264" s="324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331" t="n"/>
      <c r="O264" s="331" t="n"/>
      <c r="P264" s="331" t="n"/>
      <c r="Q264" s="331" t="n"/>
      <c r="R264" s="22" t="n"/>
      <c r="S264" s="22" t="n"/>
      <c r="T264" s="22" t="n"/>
      <c r="U264" s="22" t="n"/>
      <c r="V264" s="331" t="n"/>
    </row>
    <row r="265">
      <c r="A265" s="22" t="n"/>
      <c r="B265" s="324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331" t="n"/>
      <c r="O265" s="331" t="n"/>
      <c r="P265" s="331" t="n"/>
      <c r="Q265" s="331" t="n"/>
      <c r="R265" s="22" t="n"/>
      <c r="S265" s="22" t="n"/>
      <c r="T265" s="22" t="n"/>
      <c r="U265" s="22" t="n"/>
      <c r="V265" s="331" t="n"/>
    </row>
    <row r="266">
      <c r="A266" s="22" t="n"/>
      <c r="B266" s="324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331" t="n"/>
      <c r="O266" s="331" t="n"/>
      <c r="P266" s="331" t="n"/>
      <c r="Q266" s="331" t="n"/>
      <c r="R266" s="22" t="n"/>
      <c r="S266" s="22" t="n"/>
      <c r="T266" s="22" t="n"/>
      <c r="U266" s="22" t="n"/>
      <c r="V266" s="331" t="n"/>
    </row>
    <row r="267">
      <c r="A267" s="22" t="n"/>
      <c r="B267" s="324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331" t="n"/>
      <c r="O267" s="331" t="n"/>
      <c r="P267" s="331" t="n"/>
      <c r="Q267" s="331" t="n"/>
      <c r="R267" s="22" t="n"/>
      <c r="S267" s="22" t="n"/>
      <c r="T267" s="22" t="n"/>
      <c r="U267" s="22" t="n"/>
      <c r="V267" s="331" t="n"/>
    </row>
    <row r="268">
      <c r="A268" s="22" t="n"/>
      <c r="B268" s="324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331" t="n"/>
      <c r="O268" s="331" t="n"/>
      <c r="P268" s="331" t="n"/>
      <c r="Q268" s="331" t="n"/>
      <c r="R268" s="22" t="n"/>
      <c r="S268" s="22" t="n"/>
      <c r="T268" s="22" t="n"/>
      <c r="U268" s="22" t="n"/>
      <c r="V268" s="331" t="n"/>
    </row>
    <row r="269">
      <c r="A269" s="22" t="n"/>
      <c r="B269" s="324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331" t="n"/>
      <c r="O269" s="331" t="n"/>
      <c r="P269" s="331" t="n"/>
      <c r="Q269" s="331" t="n"/>
      <c r="R269" s="22" t="n"/>
      <c r="S269" s="22" t="n"/>
      <c r="T269" s="22" t="n"/>
      <c r="U269" s="22" t="n"/>
      <c r="V269" s="331" t="n"/>
    </row>
    <row r="270">
      <c r="A270" s="22" t="n"/>
      <c r="B270" s="324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331" t="n"/>
      <c r="O270" s="331" t="n"/>
      <c r="P270" s="331" t="n"/>
      <c r="Q270" s="331" t="n"/>
      <c r="R270" s="22" t="n"/>
      <c r="S270" s="22" t="n"/>
      <c r="T270" s="22" t="n"/>
      <c r="U270" s="22" t="n"/>
      <c r="V270" s="331" t="n"/>
    </row>
    <row r="271">
      <c r="A271" s="22" t="n"/>
      <c r="B271" s="324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331" t="n"/>
      <c r="O271" s="331" t="n"/>
      <c r="P271" s="331" t="n"/>
      <c r="Q271" s="331" t="n"/>
      <c r="R271" s="22" t="n"/>
      <c r="S271" s="22" t="n"/>
      <c r="T271" s="22" t="n"/>
      <c r="U271" s="22" t="n"/>
      <c r="V271" s="331" t="n"/>
    </row>
    <row r="272">
      <c r="A272" s="22" t="n"/>
      <c r="B272" s="324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331" t="n"/>
      <c r="O272" s="331" t="n"/>
      <c r="P272" s="331" t="n"/>
      <c r="Q272" s="331" t="n"/>
      <c r="R272" s="22" t="n"/>
      <c r="S272" s="22" t="n"/>
      <c r="T272" s="22" t="n"/>
      <c r="U272" s="22" t="n"/>
      <c r="V272" s="331" t="n"/>
    </row>
    <row r="273">
      <c r="A273" s="22" t="n"/>
      <c r="B273" s="324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331" t="n"/>
      <c r="O273" s="331" t="n"/>
      <c r="P273" s="331" t="n"/>
      <c r="Q273" s="331" t="n"/>
      <c r="R273" s="22" t="n"/>
      <c r="S273" s="22" t="n"/>
      <c r="T273" s="22" t="n"/>
      <c r="U273" s="22" t="n"/>
      <c r="V273" s="331" t="n"/>
    </row>
    <row r="274">
      <c r="A274" s="22" t="n"/>
      <c r="B274" s="324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331" t="n"/>
      <c r="O274" s="331" t="n"/>
      <c r="P274" s="331" t="n"/>
      <c r="Q274" s="331" t="n"/>
      <c r="R274" s="22" t="n"/>
      <c r="S274" s="22" t="n"/>
      <c r="T274" s="22" t="n"/>
      <c r="U274" s="22" t="n"/>
      <c r="V274" s="331" t="n"/>
    </row>
    <row r="275">
      <c r="A275" s="22" t="n"/>
      <c r="B275" s="324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331" t="n"/>
      <c r="O275" s="331" t="n"/>
      <c r="P275" s="331" t="n"/>
      <c r="Q275" s="331" t="n"/>
      <c r="R275" s="22" t="n"/>
      <c r="S275" s="22" t="n"/>
      <c r="T275" s="22" t="n"/>
      <c r="U275" s="22" t="n"/>
      <c r="V275" s="331" t="n"/>
    </row>
    <row r="276">
      <c r="A276" s="22" t="n"/>
      <c r="B276" s="324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331" t="n"/>
      <c r="O276" s="331" t="n"/>
      <c r="P276" s="331" t="n"/>
      <c r="Q276" s="331" t="n"/>
      <c r="R276" s="22" t="n"/>
      <c r="S276" s="22" t="n"/>
      <c r="T276" s="22" t="n"/>
      <c r="U276" s="22" t="n"/>
      <c r="V276" s="331" t="n"/>
    </row>
    <row r="277">
      <c r="A277" s="22" t="n"/>
      <c r="B277" s="324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331" t="n"/>
      <c r="O277" s="331" t="n"/>
      <c r="P277" s="331" t="n"/>
      <c r="Q277" s="331" t="n"/>
      <c r="R277" s="22" t="n"/>
      <c r="S277" s="22" t="n"/>
      <c r="T277" s="22" t="n"/>
      <c r="U277" s="22" t="n"/>
      <c r="V277" s="331" t="n"/>
    </row>
    <row r="278">
      <c r="A278" s="22" t="n"/>
      <c r="B278" s="324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331" t="n"/>
      <c r="O278" s="331" t="n"/>
      <c r="P278" s="331" t="n"/>
      <c r="Q278" s="331" t="n"/>
      <c r="R278" s="22" t="n"/>
      <c r="S278" s="22" t="n"/>
      <c r="T278" s="22" t="n"/>
      <c r="U278" s="22" t="n"/>
      <c r="V278" s="331" t="n"/>
    </row>
    <row r="279">
      <c r="A279" s="22" t="n"/>
      <c r="B279" s="324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331" t="n"/>
      <c r="O279" s="331" t="n"/>
      <c r="P279" s="331" t="n"/>
      <c r="Q279" s="331" t="n"/>
      <c r="R279" s="22" t="n"/>
      <c r="S279" s="22" t="n"/>
      <c r="T279" s="22" t="n"/>
      <c r="U279" s="22" t="n"/>
      <c r="V279" s="331" t="n"/>
    </row>
    <row r="280">
      <c r="A280" s="22" t="n"/>
      <c r="B280" s="324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331" t="n"/>
      <c r="O280" s="331" t="n"/>
      <c r="P280" s="331" t="n"/>
      <c r="Q280" s="331" t="n"/>
      <c r="R280" s="22" t="n"/>
      <c r="S280" s="22" t="n"/>
      <c r="T280" s="22" t="n"/>
      <c r="U280" s="22" t="n"/>
      <c r="V280" s="331" t="n"/>
    </row>
    <row r="281">
      <c r="A281" s="22" t="n"/>
      <c r="B281" s="324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331" t="n"/>
      <c r="O281" s="331" t="n"/>
      <c r="P281" s="331" t="n"/>
      <c r="Q281" s="331" t="n"/>
      <c r="R281" s="22" t="n"/>
      <c r="S281" s="22" t="n"/>
      <c r="T281" s="22" t="n"/>
      <c r="U281" s="22" t="n"/>
      <c r="V281" s="331" t="n"/>
    </row>
    <row r="282">
      <c r="A282" s="22" t="n"/>
      <c r="B282" s="324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331" t="n"/>
      <c r="O282" s="331" t="n"/>
      <c r="P282" s="331" t="n"/>
      <c r="Q282" s="331" t="n"/>
      <c r="R282" s="22" t="n"/>
      <c r="S282" s="22" t="n"/>
      <c r="T282" s="22" t="n"/>
      <c r="U282" s="22" t="n"/>
      <c r="V282" s="331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97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322" t="inlineStr">
        <is>
          <t>metric</t>
        </is>
      </c>
      <c r="B1" s="322" t="inlineStr">
        <is>
          <t>horizon</t>
        </is>
      </c>
      <c r="C1" s="322" t="inlineStr">
        <is>
          <t>period</t>
        </is>
      </c>
      <c r="D1" s="322" t="inlineStr">
        <is>
          <t>value</t>
        </is>
      </c>
      <c r="E1" s="322" t="inlineStr">
        <is>
          <t>unit</t>
        </is>
      </c>
      <c r="F1" s="322" t="inlineStr">
        <is>
          <t>status</t>
        </is>
      </c>
      <c r="G1" s="322" t="inlineStr">
        <is>
          <t>source_ref</t>
        </is>
      </c>
      <c r="H1" s="322" t="inlineStr">
        <is>
          <t>notes</t>
        </is>
      </c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B5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</cols>
  <sheetData>
    <row r="1">
      <c r="A1" s="322" t="inlineStr">
        <is>
          <t>period</t>
        </is>
      </c>
      <c r="B1" s="322" t="inlineStr">
        <is>
          <t>metric</t>
        </is>
      </c>
      <c r="C1" s="322" t="inlineStr">
        <is>
          <t>value</t>
        </is>
      </c>
      <c r="D1" s="322" t="inlineStr">
        <is>
          <t>unit</t>
        </is>
      </c>
      <c r="E1" s="322" t="inlineStr">
        <is>
          <t>source_ref</t>
        </is>
      </c>
      <c r="F1" s="322" t="inlineStr">
        <is>
          <t>status</t>
        </is>
      </c>
      <c r="G1" s="322" t="n"/>
      <c r="H1" s="322" t="n"/>
      <c r="I1" s="322" t="n"/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  <c r="Y1" s="322" t="n"/>
      <c r="Z1" s="322" t="n"/>
      <c r="AA1" s="322" t="n"/>
      <c r="AB1" s="322" t="n"/>
      <c r="AC1" s="322" t="n"/>
      <c r="AD1" s="322" t="n"/>
      <c r="AE1" s="322" t="n"/>
      <c r="AF1" s="322" t="n"/>
      <c r="AG1" s="322" t="n"/>
      <c r="AH1" s="322" t="n"/>
      <c r="AI1" s="322" t="n"/>
      <c r="AJ1" s="322" t="n"/>
      <c r="AK1" s="322" t="n"/>
      <c r="AL1" s="322" t="n"/>
      <c r="AM1" s="322" t="n"/>
      <c r="AN1" s="322" t="n"/>
      <c r="AO1" s="322" t="n"/>
      <c r="AP1" s="322" t="n"/>
      <c r="AQ1" s="322" t="n"/>
      <c r="AR1" s="322" t="n"/>
      <c r="AS1" s="322" t="n"/>
      <c r="AT1" s="322" t="n"/>
      <c r="AU1" s="322" t="n"/>
      <c r="AV1" s="322" t="n"/>
      <c r="AW1" s="322" t="n"/>
      <c r="AX1" s="322" t="n"/>
      <c r="AY1" s="322" t="n"/>
      <c r="AZ1" s="322" t="n"/>
      <c r="BA1" s="322" t="n"/>
      <c r="BB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  <c r="Y2" s="22" t="n"/>
      <c r="Z2" s="22" t="n"/>
      <c r="AA2" s="22" t="n"/>
      <c r="AB2" s="22" t="n"/>
      <c r="AC2" s="22" t="n"/>
      <c r="AD2" s="22" t="n"/>
      <c r="AE2" s="22" t="n"/>
      <c r="AF2" s="22" t="n"/>
      <c r="AG2" s="22" t="n"/>
      <c r="AH2" s="22" t="n"/>
      <c r="AI2" s="22" t="n"/>
      <c r="AJ2" s="22" t="n"/>
      <c r="AK2" s="22" t="n"/>
      <c r="AL2" s="22" t="n"/>
      <c r="AM2" s="22" t="n"/>
      <c r="AN2" s="22" t="n"/>
      <c r="AO2" s="22" t="n"/>
      <c r="AP2" s="22" t="n"/>
      <c r="AQ2" s="22" t="n"/>
      <c r="AR2" s="22" t="n"/>
      <c r="AS2" s="22" t="n"/>
      <c r="AT2" s="22" t="n"/>
      <c r="AU2" s="22" t="n"/>
      <c r="AV2" s="22" t="n"/>
      <c r="AW2" s="22" t="n"/>
      <c r="AX2" s="22" t="n"/>
      <c r="AY2" s="22" t="n"/>
      <c r="AZ2" s="22" t="n"/>
      <c r="BA2" s="22" t="n"/>
      <c r="BB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  <c r="AI3" s="22" t="n"/>
      <c r="AJ3" s="22" t="n"/>
      <c r="AK3" s="22" t="n"/>
      <c r="AL3" s="22" t="n"/>
      <c r="AM3" s="22" t="n"/>
      <c r="AN3" s="22" t="n"/>
      <c r="AO3" s="22" t="n"/>
      <c r="AP3" s="22" t="n"/>
      <c r="AQ3" s="22" t="n"/>
      <c r="AR3" s="22" t="n"/>
      <c r="AS3" s="22" t="n"/>
      <c r="AT3" s="22" t="n"/>
      <c r="AU3" s="22" t="n"/>
      <c r="AV3" s="22" t="n"/>
      <c r="AW3" s="22" t="n"/>
      <c r="AX3" s="22" t="n"/>
      <c r="AY3" s="22" t="n"/>
      <c r="AZ3" s="22" t="n"/>
      <c r="BA3" s="22" t="n"/>
      <c r="BB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  <c r="Y4" s="22" t="n"/>
      <c r="Z4" s="22" t="n"/>
      <c r="AA4" s="22" t="n"/>
      <c r="AB4" s="22" t="n"/>
      <c r="AC4" s="22" t="n"/>
      <c r="AD4" s="22" t="n"/>
      <c r="AE4" s="22" t="n"/>
      <c r="AF4" s="22" t="n"/>
      <c r="AG4" s="22" t="n"/>
      <c r="AH4" s="22" t="n"/>
      <c r="AI4" s="22" t="n"/>
      <c r="AJ4" s="22" t="n"/>
      <c r="AK4" s="22" t="n"/>
      <c r="AL4" s="22" t="n"/>
      <c r="AM4" s="22" t="n"/>
      <c r="AN4" s="22" t="n"/>
      <c r="AO4" s="22" t="n"/>
      <c r="AP4" s="22" t="n"/>
      <c r="AQ4" s="22" t="n"/>
      <c r="AR4" s="22" t="n"/>
      <c r="AS4" s="22" t="n"/>
      <c r="AT4" s="22" t="n"/>
      <c r="AU4" s="22" t="n"/>
      <c r="AV4" s="22" t="n"/>
      <c r="AW4" s="22" t="n"/>
      <c r="AX4" s="22" t="n"/>
      <c r="AY4" s="22" t="n"/>
      <c r="AZ4" s="22" t="n"/>
      <c r="BA4" s="22" t="n"/>
      <c r="BB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  <c r="AI5" s="22" t="n"/>
      <c r="AJ5" s="22" t="n"/>
      <c r="AK5" s="22" t="n"/>
      <c r="AL5" s="22" t="n"/>
      <c r="AM5" s="22" t="n"/>
      <c r="AN5" s="22" t="n"/>
      <c r="AO5" s="22" t="n"/>
      <c r="AP5" s="22" t="n"/>
      <c r="AQ5" s="22" t="n"/>
      <c r="AR5" s="22" t="n"/>
      <c r="AS5" s="22" t="n"/>
      <c r="AT5" s="22" t="n"/>
      <c r="AU5" s="22" t="n"/>
      <c r="AV5" s="22" t="n"/>
      <c r="AW5" s="22" t="n"/>
      <c r="AX5" s="22" t="n"/>
      <c r="AY5" s="22" t="n"/>
      <c r="AZ5" s="22" t="n"/>
      <c r="BA5" s="22" t="n"/>
      <c r="BB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  <c r="AE6" s="22" t="n"/>
      <c r="AF6" s="22" t="n"/>
      <c r="AG6" s="22" t="n"/>
      <c r="AH6" s="22" t="n"/>
      <c r="AI6" s="22" t="n"/>
      <c r="AJ6" s="22" t="n"/>
      <c r="AK6" s="22" t="n"/>
      <c r="AL6" s="22" t="n"/>
      <c r="AM6" s="22" t="n"/>
      <c r="AN6" s="22" t="n"/>
      <c r="AO6" s="22" t="n"/>
      <c r="AP6" s="22" t="n"/>
      <c r="AQ6" s="22" t="n"/>
      <c r="AR6" s="22" t="n"/>
      <c r="AS6" s="22" t="n"/>
      <c r="AT6" s="22" t="n"/>
      <c r="AU6" s="22" t="n"/>
      <c r="AV6" s="22" t="n"/>
      <c r="AW6" s="22" t="n"/>
      <c r="AX6" s="22" t="n"/>
      <c r="AY6" s="22" t="n"/>
      <c r="AZ6" s="22" t="n"/>
      <c r="BA6" s="22" t="n"/>
      <c r="BB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  <c r="AI9" s="22" t="n"/>
      <c r="AJ9" s="22" t="n"/>
      <c r="AK9" s="22" t="n"/>
      <c r="AL9" s="22" t="n"/>
      <c r="AM9" s="22" t="n"/>
      <c r="AN9" s="22" t="n"/>
      <c r="AO9" s="22" t="n"/>
      <c r="AP9" s="22" t="n"/>
      <c r="AQ9" s="22" t="n"/>
      <c r="AR9" s="22" t="n"/>
      <c r="AS9" s="22" t="n"/>
      <c r="AT9" s="22" t="n"/>
      <c r="AU9" s="22" t="n"/>
      <c r="AV9" s="22" t="n"/>
      <c r="AW9" s="22" t="n"/>
      <c r="AX9" s="22" t="n"/>
      <c r="AY9" s="22" t="n"/>
      <c r="AZ9" s="22" t="n"/>
      <c r="BA9" s="22" t="n"/>
      <c r="BB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  <c r="AP13" s="22" t="n"/>
      <c r="AQ13" s="22" t="n"/>
      <c r="AR13" s="22" t="n"/>
      <c r="AS13" s="22" t="n"/>
      <c r="AT13" s="22" t="n"/>
      <c r="AU13" s="22" t="n"/>
      <c r="AV13" s="22" t="n"/>
      <c r="AW13" s="22" t="n"/>
      <c r="AX13" s="22" t="n"/>
      <c r="AY13" s="22" t="n"/>
      <c r="AZ13" s="22" t="n"/>
      <c r="BA13" s="22" t="n"/>
      <c r="BB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2" t="n"/>
      <c r="AS15" s="22" t="n"/>
      <c r="AT15" s="22" t="n"/>
      <c r="AU15" s="22" t="n"/>
      <c r="AV15" s="22" t="n"/>
      <c r="AW15" s="22" t="n"/>
      <c r="AX15" s="22" t="n"/>
      <c r="AY15" s="22" t="n"/>
      <c r="AZ15" s="22" t="n"/>
      <c r="BA15" s="22" t="n"/>
      <c r="BB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  <c r="AP16" s="22" t="n"/>
      <c r="AQ16" s="22" t="n"/>
      <c r="AR16" s="22" t="n"/>
      <c r="AS16" s="22" t="n"/>
      <c r="AT16" s="22" t="n"/>
      <c r="AU16" s="22" t="n"/>
      <c r="AV16" s="22" t="n"/>
      <c r="AW16" s="22" t="n"/>
      <c r="AX16" s="22" t="n"/>
      <c r="AY16" s="22" t="n"/>
      <c r="AZ16" s="22" t="n"/>
      <c r="BA16" s="22" t="n"/>
      <c r="BB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2" t="n"/>
      <c r="AO17" s="22" t="n"/>
      <c r="AP17" s="22" t="n"/>
      <c r="AQ17" s="22" t="n"/>
      <c r="AR17" s="22" t="n"/>
      <c r="AS17" s="22" t="n"/>
      <c r="AT17" s="22" t="n"/>
      <c r="AU17" s="22" t="n"/>
      <c r="AV17" s="22" t="n"/>
      <c r="AW17" s="22" t="n"/>
      <c r="AX17" s="22" t="n"/>
      <c r="AY17" s="22" t="n"/>
      <c r="AZ17" s="22" t="n"/>
      <c r="BA17" s="22" t="n"/>
      <c r="BB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2" t="n"/>
      <c r="AO21" s="22" t="n"/>
      <c r="AP21" s="22" t="n"/>
      <c r="AQ21" s="22" t="n"/>
      <c r="AR21" s="22" t="n"/>
      <c r="AS21" s="22" t="n"/>
      <c r="AT21" s="22" t="n"/>
      <c r="AU21" s="22" t="n"/>
      <c r="AV21" s="22" t="n"/>
      <c r="AW21" s="22" t="n"/>
      <c r="AX21" s="22" t="n"/>
      <c r="AY21" s="22" t="n"/>
      <c r="AZ21" s="22" t="n"/>
      <c r="BA21" s="22" t="n"/>
      <c r="BB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2" t="n"/>
      <c r="AO22" s="22" t="n"/>
      <c r="AP22" s="22" t="n"/>
      <c r="AQ22" s="22" t="n"/>
      <c r="AR22" s="22" t="n"/>
      <c r="AS22" s="22" t="n"/>
      <c r="AT22" s="22" t="n"/>
      <c r="AU22" s="22" t="n"/>
      <c r="AV22" s="22" t="n"/>
      <c r="AW22" s="22" t="n"/>
      <c r="AX22" s="22" t="n"/>
      <c r="AY22" s="22" t="n"/>
      <c r="AZ22" s="22" t="n"/>
      <c r="BA22" s="22" t="n"/>
      <c r="BB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22" t="n"/>
      <c r="AJ23" s="22" t="n"/>
      <c r="AK23" s="22" t="n"/>
      <c r="AL23" s="22" t="n"/>
      <c r="AM23" s="22" t="n"/>
      <c r="AN23" s="22" t="n"/>
      <c r="AO23" s="22" t="n"/>
      <c r="AP23" s="22" t="n"/>
      <c r="AQ23" s="22" t="n"/>
      <c r="AR23" s="22" t="n"/>
      <c r="AS23" s="22" t="n"/>
      <c r="AT23" s="22" t="n"/>
      <c r="AU23" s="22" t="n"/>
      <c r="AV23" s="22" t="n"/>
      <c r="AW23" s="22" t="n"/>
      <c r="AX23" s="22" t="n"/>
      <c r="AY23" s="22" t="n"/>
      <c r="AZ23" s="22" t="n"/>
      <c r="BA23" s="22" t="n"/>
      <c r="BB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2" t="n"/>
      <c r="AO25" s="22" t="n"/>
      <c r="AP25" s="22" t="n"/>
      <c r="AQ25" s="22" t="n"/>
      <c r="AR25" s="22" t="n"/>
      <c r="AS25" s="22" t="n"/>
      <c r="AT25" s="22" t="n"/>
      <c r="AU25" s="22" t="n"/>
      <c r="AV25" s="22" t="n"/>
      <c r="AW25" s="22" t="n"/>
      <c r="AX25" s="22" t="n"/>
      <c r="AY25" s="22" t="n"/>
      <c r="AZ25" s="22" t="n"/>
      <c r="BA25" s="22" t="n"/>
      <c r="BB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  <c r="AJ28" s="22" t="n"/>
      <c r="AK28" s="22" t="n"/>
      <c r="AL28" s="22" t="n"/>
      <c r="AM28" s="22" t="n"/>
      <c r="AN28" s="22" t="n"/>
      <c r="AO28" s="22" t="n"/>
      <c r="AP28" s="22" t="n"/>
      <c r="AQ28" s="22" t="n"/>
      <c r="AR28" s="22" t="n"/>
      <c r="AS28" s="22" t="n"/>
      <c r="AT28" s="22" t="n"/>
      <c r="AU28" s="22" t="n"/>
      <c r="AV28" s="22" t="n"/>
      <c r="AW28" s="22" t="n"/>
      <c r="AX28" s="22" t="n"/>
      <c r="AY28" s="22" t="n"/>
      <c r="AZ28" s="22" t="n"/>
      <c r="BA28" s="22" t="n"/>
      <c r="BB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  <c r="AI30" s="22" t="n"/>
      <c r="AJ30" s="22" t="n"/>
      <c r="AK30" s="22" t="n"/>
      <c r="AL30" s="22" t="n"/>
      <c r="AM30" s="22" t="n"/>
      <c r="AN30" s="22" t="n"/>
      <c r="AO30" s="22" t="n"/>
      <c r="AP30" s="22" t="n"/>
      <c r="AQ30" s="22" t="n"/>
      <c r="AR30" s="22" t="n"/>
      <c r="AS30" s="22" t="n"/>
      <c r="AT30" s="22" t="n"/>
      <c r="AU30" s="22" t="n"/>
      <c r="AV30" s="22" t="n"/>
      <c r="AW30" s="22" t="n"/>
      <c r="AX30" s="22" t="n"/>
      <c r="AY30" s="22" t="n"/>
      <c r="AZ30" s="22" t="n"/>
      <c r="BA30" s="22" t="n"/>
      <c r="BB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B31" s="22" t="n"/>
      <c r="AC31" s="22" t="n"/>
      <c r="AD31" s="22" t="n"/>
      <c r="AE31" s="22" t="n"/>
      <c r="AF31" s="22" t="n"/>
      <c r="AG31" s="22" t="n"/>
      <c r="AH31" s="22" t="n"/>
      <c r="AI31" s="22" t="n"/>
      <c r="AJ31" s="22" t="n"/>
      <c r="AK31" s="22" t="n"/>
      <c r="AL31" s="22" t="n"/>
      <c r="AM31" s="22" t="n"/>
      <c r="AN31" s="22" t="n"/>
      <c r="AO31" s="22" t="n"/>
      <c r="AP31" s="22" t="n"/>
      <c r="AQ31" s="22" t="n"/>
      <c r="AR31" s="22" t="n"/>
      <c r="AS31" s="22" t="n"/>
      <c r="AT31" s="22" t="n"/>
      <c r="AU31" s="22" t="n"/>
      <c r="AV31" s="22" t="n"/>
      <c r="AW31" s="22" t="n"/>
      <c r="AX31" s="22" t="n"/>
      <c r="AY31" s="22" t="n"/>
      <c r="AZ31" s="22" t="n"/>
      <c r="BA31" s="22" t="n"/>
      <c r="BB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  <c r="AI32" s="22" t="n"/>
      <c r="AJ32" s="22" t="n"/>
      <c r="AK32" s="22" t="n"/>
      <c r="AL32" s="22" t="n"/>
      <c r="AM32" s="22" t="n"/>
      <c r="AN32" s="22" t="n"/>
      <c r="AO32" s="22" t="n"/>
      <c r="AP32" s="22" t="n"/>
      <c r="AQ32" s="22" t="n"/>
      <c r="AR32" s="22" t="n"/>
      <c r="AS32" s="22" t="n"/>
      <c r="AT32" s="22" t="n"/>
      <c r="AU32" s="22" t="n"/>
      <c r="AV32" s="22" t="n"/>
      <c r="AW32" s="22" t="n"/>
      <c r="AX32" s="22" t="n"/>
      <c r="AY32" s="22" t="n"/>
      <c r="AZ32" s="22" t="n"/>
      <c r="BA32" s="22" t="n"/>
      <c r="BB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B35" s="22" t="n"/>
      <c r="AC35" s="22" t="n"/>
      <c r="AD35" s="22" t="n"/>
      <c r="AE35" s="22" t="n"/>
      <c r="AF35" s="22" t="n"/>
      <c r="AG35" s="22" t="n"/>
      <c r="AH35" s="22" t="n"/>
      <c r="AI35" s="22" t="n"/>
      <c r="AJ35" s="22" t="n"/>
      <c r="AK35" s="22" t="n"/>
      <c r="AL35" s="22" t="n"/>
      <c r="AM35" s="22" t="n"/>
      <c r="AN35" s="22" t="n"/>
      <c r="AO35" s="22" t="n"/>
      <c r="AP35" s="22" t="n"/>
      <c r="AQ35" s="22" t="n"/>
      <c r="AR35" s="22" t="n"/>
      <c r="AS35" s="22" t="n"/>
      <c r="AT35" s="22" t="n"/>
      <c r="AU35" s="22" t="n"/>
      <c r="AV35" s="22" t="n"/>
      <c r="AW35" s="22" t="n"/>
      <c r="AX35" s="22" t="n"/>
      <c r="AY35" s="22" t="n"/>
      <c r="AZ35" s="22" t="n"/>
      <c r="BA35" s="22" t="n"/>
      <c r="BB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  <c r="AI36" s="22" t="n"/>
      <c r="AJ36" s="22" t="n"/>
      <c r="AK36" s="22" t="n"/>
      <c r="AL36" s="22" t="n"/>
      <c r="AM36" s="22" t="n"/>
      <c r="AN36" s="22" t="n"/>
      <c r="AO36" s="22" t="n"/>
      <c r="AP36" s="22" t="n"/>
      <c r="AQ36" s="22" t="n"/>
      <c r="AR36" s="22" t="n"/>
      <c r="AS36" s="22" t="n"/>
      <c r="AT36" s="22" t="n"/>
      <c r="AU36" s="22" t="n"/>
      <c r="AV36" s="22" t="n"/>
      <c r="AW36" s="22" t="n"/>
      <c r="AX36" s="22" t="n"/>
      <c r="AY36" s="22" t="n"/>
      <c r="AZ36" s="22" t="n"/>
      <c r="BA36" s="22" t="n"/>
      <c r="BB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B37" s="22" t="n"/>
      <c r="AC37" s="22" t="n"/>
      <c r="AD37" s="22" t="n"/>
      <c r="AE37" s="22" t="n"/>
      <c r="AF37" s="22" t="n"/>
      <c r="AG37" s="22" t="n"/>
      <c r="AH37" s="22" t="n"/>
      <c r="AI37" s="22" t="n"/>
      <c r="AJ37" s="22" t="n"/>
      <c r="AK37" s="22" t="n"/>
      <c r="AL37" s="22" t="n"/>
      <c r="AM37" s="22" t="n"/>
      <c r="AN37" s="22" t="n"/>
      <c r="AO37" s="22" t="n"/>
      <c r="AP37" s="22" t="n"/>
      <c r="AQ37" s="22" t="n"/>
      <c r="AR37" s="22" t="n"/>
      <c r="AS37" s="22" t="n"/>
      <c r="AT37" s="22" t="n"/>
      <c r="AU37" s="22" t="n"/>
      <c r="AV37" s="22" t="n"/>
      <c r="AW37" s="22" t="n"/>
      <c r="AX37" s="22" t="n"/>
      <c r="AY37" s="22" t="n"/>
      <c r="AZ37" s="22" t="n"/>
      <c r="BA37" s="22" t="n"/>
      <c r="BB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B39" s="22" t="n"/>
      <c r="AC39" s="22" t="n"/>
      <c r="AD39" s="22" t="n"/>
      <c r="AE39" s="22" t="n"/>
      <c r="AF39" s="22" t="n"/>
      <c r="AG39" s="22" t="n"/>
      <c r="AH39" s="22" t="n"/>
      <c r="AI39" s="22" t="n"/>
      <c r="AJ39" s="22" t="n"/>
      <c r="AK39" s="22" t="n"/>
      <c r="AL39" s="22" t="n"/>
      <c r="AM39" s="22" t="n"/>
      <c r="AN39" s="22" t="n"/>
      <c r="AO39" s="22" t="n"/>
      <c r="AP39" s="22" t="n"/>
      <c r="AQ39" s="22" t="n"/>
      <c r="AR39" s="22" t="n"/>
      <c r="AS39" s="22" t="n"/>
      <c r="AT39" s="22" t="n"/>
      <c r="AU39" s="22" t="n"/>
      <c r="AV39" s="22" t="n"/>
      <c r="AW39" s="22" t="n"/>
      <c r="AX39" s="22" t="n"/>
      <c r="AY39" s="22" t="n"/>
      <c r="AZ39" s="22" t="n"/>
      <c r="BA39" s="22" t="n"/>
      <c r="BB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  <c r="AI40" s="22" t="n"/>
      <c r="AJ40" s="22" t="n"/>
      <c r="AK40" s="22" t="n"/>
      <c r="AL40" s="22" t="n"/>
      <c r="AM40" s="22" t="n"/>
      <c r="AN40" s="22" t="n"/>
      <c r="AO40" s="22" t="n"/>
      <c r="AP40" s="22" t="n"/>
      <c r="AQ40" s="22" t="n"/>
      <c r="AR40" s="22" t="n"/>
      <c r="AS40" s="22" t="n"/>
      <c r="AT40" s="22" t="n"/>
      <c r="AU40" s="22" t="n"/>
      <c r="AV40" s="22" t="n"/>
      <c r="AW40" s="22" t="n"/>
      <c r="AX40" s="22" t="n"/>
      <c r="AY40" s="22" t="n"/>
      <c r="AZ40" s="22" t="n"/>
      <c r="BA40" s="22" t="n"/>
      <c r="BB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B41" s="22" t="n"/>
      <c r="AC41" s="22" t="n"/>
      <c r="AD41" s="22" t="n"/>
      <c r="AE41" s="22" t="n"/>
      <c r="AF41" s="22" t="n"/>
      <c r="AG41" s="22" t="n"/>
      <c r="AH41" s="22" t="n"/>
      <c r="AI41" s="22" t="n"/>
      <c r="AJ41" s="22" t="n"/>
      <c r="AK41" s="22" t="n"/>
      <c r="AL41" s="22" t="n"/>
      <c r="AM41" s="22" t="n"/>
      <c r="AN41" s="22" t="n"/>
      <c r="AO41" s="22" t="n"/>
      <c r="AP41" s="22" t="n"/>
      <c r="AQ41" s="22" t="n"/>
      <c r="AR41" s="22" t="n"/>
      <c r="AS41" s="22" t="n"/>
      <c r="AT41" s="22" t="n"/>
      <c r="AU41" s="22" t="n"/>
      <c r="AV41" s="22" t="n"/>
      <c r="AW41" s="22" t="n"/>
      <c r="AX41" s="22" t="n"/>
      <c r="AY41" s="22" t="n"/>
      <c r="AZ41" s="22" t="n"/>
      <c r="BA41" s="22" t="n"/>
      <c r="BB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  <c r="AI42" s="22" t="n"/>
      <c r="AJ42" s="22" t="n"/>
      <c r="AK42" s="22" t="n"/>
      <c r="AL42" s="22" t="n"/>
      <c r="AM42" s="22" t="n"/>
      <c r="AN42" s="22" t="n"/>
      <c r="AO42" s="22" t="n"/>
      <c r="AP42" s="22" t="n"/>
      <c r="AQ42" s="22" t="n"/>
      <c r="AR42" s="22" t="n"/>
      <c r="AS42" s="22" t="n"/>
      <c r="AT42" s="22" t="n"/>
      <c r="AU42" s="22" t="n"/>
      <c r="AV42" s="22" t="n"/>
      <c r="AW42" s="22" t="n"/>
      <c r="AX42" s="22" t="n"/>
      <c r="AY42" s="22" t="n"/>
      <c r="AZ42" s="22" t="n"/>
      <c r="BA42" s="22" t="n"/>
      <c r="BB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B43" s="22" t="n"/>
      <c r="AC43" s="22" t="n"/>
      <c r="AD43" s="22" t="n"/>
      <c r="AE43" s="22" t="n"/>
      <c r="AF43" s="22" t="n"/>
      <c r="AG43" s="22" t="n"/>
      <c r="AH43" s="22" t="n"/>
      <c r="AI43" s="22" t="n"/>
      <c r="AJ43" s="22" t="n"/>
      <c r="AK43" s="22" t="n"/>
      <c r="AL43" s="22" t="n"/>
      <c r="AM43" s="22" t="n"/>
      <c r="AN43" s="22" t="n"/>
      <c r="AO43" s="22" t="n"/>
      <c r="AP43" s="22" t="n"/>
      <c r="AQ43" s="22" t="n"/>
      <c r="AR43" s="22" t="n"/>
      <c r="AS43" s="22" t="n"/>
      <c r="AT43" s="22" t="n"/>
      <c r="AU43" s="22" t="n"/>
      <c r="AV43" s="22" t="n"/>
      <c r="AW43" s="22" t="n"/>
      <c r="AX43" s="22" t="n"/>
      <c r="AY43" s="22" t="n"/>
      <c r="AZ43" s="22" t="n"/>
      <c r="BA43" s="22" t="n"/>
      <c r="BB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  <c r="AI44" s="22" t="n"/>
      <c r="AJ44" s="22" t="n"/>
      <c r="AK44" s="22" t="n"/>
      <c r="AL44" s="22" t="n"/>
      <c r="AM44" s="22" t="n"/>
      <c r="AN44" s="22" t="n"/>
      <c r="AO44" s="22" t="n"/>
      <c r="AP44" s="22" t="n"/>
      <c r="AQ44" s="22" t="n"/>
      <c r="AR44" s="22" t="n"/>
      <c r="AS44" s="22" t="n"/>
      <c r="AT44" s="22" t="n"/>
      <c r="AU44" s="22" t="n"/>
      <c r="AV44" s="22" t="n"/>
      <c r="AW44" s="22" t="n"/>
      <c r="AX44" s="22" t="n"/>
      <c r="AY44" s="22" t="n"/>
      <c r="AZ44" s="22" t="n"/>
      <c r="BA44" s="22" t="n"/>
      <c r="BB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B45" s="22" t="n"/>
      <c r="AC45" s="22" t="n"/>
      <c r="AD45" s="22" t="n"/>
      <c r="AE45" s="22" t="n"/>
      <c r="AF45" s="22" t="n"/>
      <c r="AG45" s="22" t="n"/>
      <c r="AH45" s="22" t="n"/>
      <c r="AI45" s="22" t="n"/>
      <c r="AJ45" s="22" t="n"/>
      <c r="AK45" s="22" t="n"/>
      <c r="AL45" s="22" t="n"/>
      <c r="AM45" s="22" t="n"/>
      <c r="AN45" s="22" t="n"/>
      <c r="AO45" s="22" t="n"/>
      <c r="AP45" s="22" t="n"/>
      <c r="AQ45" s="22" t="n"/>
      <c r="AR45" s="22" t="n"/>
      <c r="AS45" s="22" t="n"/>
      <c r="AT45" s="22" t="n"/>
      <c r="AU45" s="22" t="n"/>
      <c r="AV45" s="22" t="n"/>
      <c r="AW45" s="22" t="n"/>
      <c r="AX45" s="22" t="n"/>
      <c r="AY45" s="22" t="n"/>
      <c r="AZ45" s="22" t="n"/>
      <c r="BA45" s="22" t="n"/>
      <c r="BB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  <c r="AI46" s="22" t="n"/>
      <c r="AJ46" s="22" t="n"/>
      <c r="AK46" s="22" t="n"/>
      <c r="AL46" s="22" t="n"/>
      <c r="AM46" s="22" t="n"/>
      <c r="AN46" s="22" t="n"/>
      <c r="AO46" s="22" t="n"/>
      <c r="AP46" s="22" t="n"/>
      <c r="AQ46" s="22" t="n"/>
      <c r="AR46" s="22" t="n"/>
      <c r="AS46" s="22" t="n"/>
      <c r="AT46" s="22" t="n"/>
      <c r="AU46" s="22" t="n"/>
      <c r="AV46" s="22" t="n"/>
      <c r="AW46" s="22" t="n"/>
      <c r="AX46" s="22" t="n"/>
      <c r="AY46" s="22" t="n"/>
      <c r="AZ46" s="22" t="n"/>
      <c r="BA46" s="22" t="n"/>
      <c r="BB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B47" s="22" t="n"/>
      <c r="AC47" s="22" t="n"/>
      <c r="AD47" s="22" t="n"/>
      <c r="AE47" s="22" t="n"/>
      <c r="AF47" s="22" t="n"/>
      <c r="AG47" s="22" t="n"/>
      <c r="AH47" s="22" t="n"/>
      <c r="AI47" s="22" t="n"/>
      <c r="AJ47" s="22" t="n"/>
      <c r="AK47" s="22" t="n"/>
      <c r="AL47" s="22" t="n"/>
      <c r="AM47" s="22" t="n"/>
      <c r="AN47" s="22" t="n"/>
      <c r="AO47" s="22" t="n"/>
      <c r="AP47" s="22" t="n"/>
      <c r="AQ47" s="22" t="n"/>
      <c r="AR47" s="22" t="n"/>
      <c r="AS47" s="22" t="n"/>
      <c r="AT47" s="22" t="n"/>
      <c r="AU47" s="22" t="n"/>
      <c r="AV47" s="22" t="n"/>
      <c r="AW47" s="22" t="n"/>
      <c r="AX47" s="22" t="n"/>
      <c r="AY47" s="22" t="n"/>
      <c r="AZ47" s="22" t="n"/>
      <c r="BA47" s="22" t="n"/>
      <c r="BB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  <c r="AI48" s="22" t="n"/>
      <c r="AJ48" s="22" t="n"/>
      <c r="AK48" s="22" t="n"/>
      <c r="AL48" s="22" t="n"/>
      <c r="AM48" s="22" t="n"/>
      <c r="AN48" s="22" t="n"/>
      <c r="AO48" s="22" t="n"/>
      <c r="AP48" s="22" t="n"/>
      <c r="AQ48" s="22" t="n"/>
      <c r="AR48" s="22" t="n"/>
      <c r="AS48" s="22" t="n"/>
      <c r="AT48" s="22" t="n"/>
      <c r="AU48" s="22" t="n"/>
      <c r="AV48" s="22" t="n"/>
      <c r="AW48" s="22" t="n"/>
      <c r="AX48" s="22" t="n"/>
      <c r="AY48" s="22" t="n"/>
      <c r="AZ48" s="22" t="n"/>
      <c r="BA48" s="22" t="n"/>
      <c r="BB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B49" s="22" t="n"/>
      <c r="AC49" s="22" t="n"/>
      <c r="AD49" s="22" t="n"/>
      <c r="AE49" s="22" t="n"/>
      <c r="AF49" s="22" t="n"/>
      <c r="AG49" s="22" t="n"/>
      <c r="AH49" s="22" t="n"/>
      <c r="AI49" s="22" t="n"/>
      <c r="AJ49" s="22" t="n"/>
      <c r="AK49" s="22" t="n"/>
      <c r="AL49" s="22" t="n"/>
      <c r="AM49" s="22" t="n"/>
      <c r="AN49" s="22" t="n"/>
      <c r="AO49" s="22" t="n"/>
      <c r="AP49" s="22" t="n"/>
      <c r="AQ49" s="22" t="n"/>
      <c r="AR49" s="22" t="n"/>
      <c r="AS49" s="22" t="n"/>
      <c r="AT49" s="22" t="n"/>
      <c r="AU49" s="22" t="n"/>
      <c r="AV49" s="22" t="n"/>
      <c r="AW49" s="22" t="n"/>
      <c r="AX49" s="22" t="n"/>
      <c r="AY49" s="22" t="n"/>
      <c r="AZ49" s="22" t="n"/>
      <c r="BA49" s="22" t="n"/>
      <c r="BB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B50" s="22" t="n"/>
      <c r="AC50" s="22" t="n"/>
      <c r="AD50" s="22" t="n"/>
      <c r="AE50" s="22" t="n"/>
      <c r="AF50" s="22" t="n"/>
      <c r="AG50" s="22" t="n"/>
      <c r="AH50" s="22" t="n"/>
      <c r="AI50" s="22" t="n"/>
      <c r="AJ50" s="22" t="n"/>
      <c r="AK50" s="22" t="n"/>
      <c r="AL50" s="22" t="n"/>
      <c r="AM50" s="22" t="n"/>
      <c r="AN50" s="22" t="n"/>
      <c r="AO50" s="22" t="n"/>
      <c r="AP50" s="22" t="n"/>
      <c r="AQ50" s="22" t="n"/>
      <c r="AR50" s="22" t="n"/>
      <c r="AS50" s="22" t="n"/>
      <c r="AT50" s="22" t="n"/>
      <c r="AU50" s="22" t="n"/>
      <c r="AV50" s="22" t="n"/>
      <c r="AW50" s="22" t="n"/>
      <c r="AX50" s="22" t="n"/>
      <c r="AY50" s="22" t="n"/>
      <c r="AZ50" s="22" t="n"/>
      <c r="BA50" s="22" t="n"/>
      <c r="BB50" s="2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4" customWidth="1" min="4" max="4"/>
    <col width="20" customWidth="1" min="5" max="5"/>
    <col width="32" customWidth="1" min="6" max="6"/>
    <col width="56" customWidth="1" min="7" max="7"/>
    <col width="42" customWidth="1" min="8" max="8"/>
    <col width="16" customWidth="1" min="9" max="9"/>
    <col width="22" customWidth="1" min="10" max="10"/>
    <col width="16" customWidth="1" min="11" max="11"/>
    <col width="34" customWidth="1" min="12" max="12"/>
  </cols>
  <sheetData>
    <row r="1" ht="30" customHeight="1">
      <c r="A1" s="467" t="inlineStr">
        <is>
          <t>issue_id</t>
        </is>
      </c>
      <c r="B1" s="467" t="inlineStr">
        <is>
          <t>severity</t>
        </is>
      </c>
      <c r="C1" s="467" t="inlineStr">
        <is>
          <t>rule_id</t>
        </is>
      </c>
      <c r="D1" s="467" t="inlineStr">
        <is>
          <t>issue_type</t>
        </is>
      </c>
      <c r="E1" s="467" t="inlineStr">
        <is>
          <t>section</t>
        </is>
      </c>
      <c r="F1" s="467" t="inlineStr">
        <is>
          <t>root_cause</t>
        </is>
      </c>
      <c r="G1" s="467" t="inlineStr">
        <is>
          <t>message</t>
        </is>
      </c>
      <c r="H1" s="467" t="inlineStr">
        <is>
          <t>suggested_action</t>
        </is>
      </c>
      <c r="I1" s="467" t="inlineStr">
        <is>
          <t>occurrence_count</t>
        </is>
      </c>
      <c r="J1" s="467" t="inlineStr">
        <is>
          <t>visibility_disposition</t>
        </is>
      </c>
      <c r="K1" s="467" t="inlineStr">
        <is>
          <t>promotion_blocking</t>
        </is>
      </c>
      <c r="L1" s="467" t="inlineStr">
        <is>
          <t>detail_ref</t>
        </is>
      </c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</row>
    <row r="777">
      <c r="A777" s="324" t="n"/>
      <c r="B777" s="22" t="n"/>
      <c r="C777" s="22" t="n"/>
      <c r="D777" s="22" t="n"/>
      <c r="E777" s="22" t="n"/>
      <c r="F777" s="22" t="n"/>
      <c r="G777" s="22" t="n"/>
      <c r="H777" s="22" t="n"/>
      <c r="I777" s="22" t="n"/>
      <c r="J777" s="22" t="n"/>
      <c r="K777" s="22" t="n"/>
    </row>
    <row r="778">
      <c r="A778" s="324" t="n"/>
      <c r="B778" s="22" t="n"/>
      <c r="C778" s="22" t="n"/>
      <c r="D778" s="22" t="n"/>
      <c r="E778" s="22" t="n"/>
      <c r="F778" s="22" t="n"/>
      <c r="G778" s="22" t="n"/>
      <c r="H778" s="22" t="n"/>
      <c r="I778" s="22" t="n"/>
      <c r="J778" s="22" t="n"/>
      <c r="K778" s="22" t="n"/>
    </row>
    <row r="779">
      <c r="A779" s="324" t="n"/>
      <c r="B779" s="22" t="n"/>
      <c r="C779" s="22" t="n"/>
      <c r="D779" s="22" t="n"/>
      <c r="E779" s="22" t="n"/>
      <c r="F779" s="22" t="n"/>
      <c r="G779" s="22" t="n"/>
      <c r="H779" s="22" t="n"/>
      <c r="I779" s="22" t="n"/>
      <c r="J779" s="22" t="n"/>
      <c r="K779" s="22" t="n"/>
    </row>
    <row r="780">
      <c r="A780" s="324" t="n"/>
      <c r="B780" s="22" t="n"/>
      <c r="C780" s="22" t="n"/>
      <c r="D780" s="22" t="n"/>
      <c r="E780" s="22" t="n"/>
      <c r="F780" s="22" t="n"/>
      <c r="G780" s="22" t="n"/>
      <c r="H780" s="22" t="n"/>
      <c r="I780" s="22" t="n"/>
      <c r="J780" s="22" t="n"/>
      <c r="K780" s="22" t="n"/>
    </row>
    <row r="781">
      <c r="A781" s="324" t="n"/>
      <c r="B781" s="22" t="n"/>
      <c r="C781" s="22" t="n"/>
      <c r="D781" s="22" t="n"/>
      <c r="E781" s="22" t="n"/>
      <c r="F781" s="22" t="n"/>
      <c r="G781" s="22" t="n"/>
      <c r="H781" s="22" t="n"/>
      <c r="I781" s="22" t="n"/>
      <c r="J781" s="22" t="n"/>
      <c r="K781" s="22" t="n"/>
    </row>
    <row r="782">
      <c r="A782" s="324" t="n"/>
      <c r="B782" s="22" t="n"/>
      <c r="C782" s="22" t="n"/>
      <c r="D782" s="22" t="n"/>
      <c r="E782" s="22" t="n"/>
      <c r="F782" s="22" t="n"/>
      <c r="G782" s="22" t="n"/>
      <c r="H782" s="22" t="n"/>
      <c r="I782" s="22" t="n"/>
      <c r="J782" s="22" t="n"/>
      <c r="K782" s="22" t="n"/>
    </row>
    <row r="783">
      <c r="A783" s="324" t="n"/>
      <c r="B783" s="22" t="n"/>
      <c r="C783" s="22" t="n"/>
      <c r="D783" s="22" t="n"/>
      <c r="E783" s="22" t="n"/>
      <c r="F783" s="22" t="n"/>
      <c r="G783" s="22" t="n"/>
      <c r="H783" s="22" t="n"/>
      <c r="I783" s="22" t="n"/>
      <c r="J783" s="22" t="n"/>
      <c r="K783" s="22" t="n"/>
    </row>
    <row r="784">
      <c r="A784" s="324" t="n"/>
      <c r="B784" s="22" t="n"/>
      <c r="C784" s="22" t="n"/>
      <c r="D784" s="22" t="n"/>
      <c r="E784" s="22" t="n"/>
      <c r="F784" s="22" t="n"/>
      <c r="G784" s="22" t="n"/>
      <c r="H784" s="22" t="n"/>
      <c r="I784" s="22" t="n"/>
      <c r="J784" s="22" t="n"/>
      <c r="K784" s="22" t="n"/>
    </row>
    <row r="785">
      <c r="A785" s="324" t="n"/>
      <c r="B785" s="22" t="n"/>
      <c r="C785" s="22" t="n"/>
      <c r="D785" s="22" t="n"/>
      <c r="E785" s="22" t="n"/>
      <c r="F785" s="22" t="n"/>
      <c r="G785" s="22" t="n"/>
      <c r="H785" s="22" t="n"/>
      <c r="I785" s="22" t="n"/>
      <c r="J785" s="22" t="n"/>
      <c r="K785" s="22" t="n"/>
    </row>
    <row r="786">
      <c r="A786" s="324" t="n"/>
      <c r="B786" s="22" t="n"/>
      <c r="C786" s="22" t="n"/>
      <c r="D786" s="22" t="n"/>
      <c r="E786" s="22" t="n"/>
      <c r="F786" s="22" t="n"/>
      <c r="G786" s="22" t="n"/>
      <c r="H786" s="22" t="n"/>
      <c r="I786" s="22" t="n"/>
      <c r="J786" s="22" t="n"/>
      <c r="K786" s="22" t="n"/>
    </row>
    <row r="787">
      <c r="A787" s="324" t="n"/>
      <c r="B787" s="22" t="n"/>
      <c r="C787" s="22" t="n"/>
      <c r="D787" s="22" t="n"/>
      <c r="E787" s="22" t="n"/>
      <c r="F787" s="22" t="n"/>
      <c r="G787" s="22" t="n"/>
      <c r="H787" s="22" t="n"/>
      <c r="I787" s="22" t="n"/>
      <c r="J787" s="22" t="n"/>
      <c r="K787" s="22" t="n"/>
    </row>
    <row r="788">
      <c r="A788" s="324" t="n"/>
      <c r="B788" s="22" t="n"/>
      <c r="C788" s="22" t="n"/>
      <c r="D788" s="22" t="n"/>
      <c r="E788" s="22" t="n"/>
      <c r="F788" s="22" t="n"/>
      <c r="G788" s="22" t="n"/>
      <c r="H788" s="22" t="n"/>
      <c r="I788" s="22" t="n"/>
      <c r="J788" s="22" t="n"/>
      <c r="K788" s="22" t="n"/>
    </row>
    <row r="789">
      <c r="A789" s="324" t="n"/>
      <c r="B789" s="22" t="n"/>
      <c r="C789" s="22" t="n"/>
      <c r="D789" s="22" t="n"/>
      <c r="E789" s="22" t="n"/>
      <c r="F789" s="22" t="n"/>
      <c r="G789" s="22" t="n"/>
      <c r="H789" s="22" t="n"/>
      <c r="I789" s="22" t="n"/>
      <c r="J789" s="22" t="n"/>
      <c r="K789" s="22" t="n"/>
    </row>
    <row r="790">
      <c r="A790" s="324" t="n"/>
      <c r="B790" s="22" t="n"/>
      <c r="C790" s="22" t="n"/>
      <c r="D790" s="22" t="n"/>
      <c r="E790" s="22" t="n"/>
      <c r="F790" s="22" t="n"/>
      <c r="G790" s="22" t="n"/>
      <c r="H790" s="22" t="n"/>
      <c r="I790" s="22" t="n"/>
      <c r="J790" s="22" t="n"/>
      <c r="K790" s="22" t="n"/>
    </row>
    <row r="791">
      <c r="A791" s="324" t="n"/>
      <c r="B791" s="22" t="n"/>
      <c r="C791" s="22" t="n"/>
      <c r="D791" s="22" t="n"/>
      <c r="E791" s="22" t="n"/>
      <c r="F791" s="22" t="n"/>
      <c r="G791" s="22" t="n"/>
      <c r="H791" s="22" t="n"/>
      <c r="I791" s="22" t="n"/>
      <c r="J791" s="22" t="n"/>
      <c r="K791" s="22" t="n"/>
    </row>
    <row r="792">
      <c r="A792" s="324" t="n"/>
      <c r="B792" s="22" t="n"/>
      <c r="C792" s="22" t="n"/>
      <c r="D792" s="22" t="n"/>
      <c r="E792" s="22" t="n"/>
      <c r="F792" s="22" t="n"/>
      <c r="G792" s="22" t="n"/>
      <c r="H792" s="22" t="n"/>
      <c r="I792" s="22" t="n"/>
      <c r="J792" s="22" t="n"/>
      <c r="K792" s="22" t="n"/>
    </row>
    <row r="793">
      <c r="A793" s="324" t="n"/>
      <c r="B793" s="22" t="n"/>
      <c r="C793" s="22" t="n"/>
      <c r="D793" s="22" t="n"/>
      <c r="E793" s="22" t="n"/>
      <c r="F793" s="22" t="n"/>
      <c r="G793" s="22" t="n"/>
      <c r="H793" s="22" t="n"/>
      <c r="I793" s="22" t="n"/>
      <c r="J793" s="22" t="n"/>
      <c r="K793" s="22" t="n"/>
    </row>
    <row r="794">
      <c r="A794" s="324" t="n"/>
      <c r="B794" s="22" t="n"/>
      <c r="C794" s="22" t="n"/>
      <c r="D794" s="22" t="n"/>
      <c r="E794" s="22" t="n"/>
      <c r="F794" s="22" t="n"/>
      <c r="G794" s="22" t="n"/>
      <c r="H794" s="22" t="n"/>
      <c r="I794" s="22" t="n"/>
      <c r="J794" s="22" t="n"/>
      <c r="K794" s="22" t="n"/>
    </row>
    <row r="795">
      <c r="A795" s="324" t="n"/>
      <c r="B795" s="22" t="n"/>
      <c r="C795" s="22" t="n"/>
      <c r="D795" s="22" t="n"/>
      <c r="E795" s="22" t="n"/>
      <c r="F795" s="22" t="n"/>
      <c r="G795" s="22" t="n"/>
      <c r="H795" s="22" t="n"/>
      <c r="I795" s="22" t="n"/>
      <c r="J795" s="22" t="n"/>
      <c r="K795" s="22" t="n"/>
    </row>
    <row r="796">
      <c r="A796" s="324" t="n"/>
      <c r="B796" s="22" t="n"/>
      <c r="C796" s="22" t="n"/>
      <c r="D796" s="22" t="n"/>
      <c r="E796" s="22" t="n"/>
      <c r="F796" s="22" t="n"/>
      <c r="G796" s="22" t="n"/>
      <c r="H796" s="22" t="n"/>
      <c r="I796" s="22" t="n"/>
      <c r="J796" s="22" t="n"/>
      <c r="K796" s="22" t="n"/>
    </row>
    <row r="797">
      <c r="A797" s="324" t="n"/>
      <c r="B797" s="22" t="n"/>
      <c r="C797" s="22" t="n"/>
      <c r="D797" s="22" t="n"/>
      <c r="E797" s="22" t="n"/>
      <c r="F797" s="22" t="n"/>
      <c r="G797" s="22" t="n"/>
      <c r="H797" s="22" t="n"/>
      <c r="I797" s="22" t="n"/>
      <c r="J797" s="22" t="n"/>
      <c r="K797" s="22" t="n"/>
    </row>
    <row r="798">
      <c r="A798" s="324" t="n"/>
      <c r="B798" s="22" t="n"/>
      <c r="C798" s="22" t="n"/>
      <c r="D798" s="22" t="n"/>
      <c r="E798" s="22" t="n"/>
      <c r="F798" s="22" t="n"/>
      <c r="G798" s="22" t="n"/>
      <c r="H798" s="22" t="n"/>
      <c r="I798" s="22" t="n"/>
      <c r="J798" s="22" t="n"/>
      <c r="K798" s="22" t="n"/>
    </row>
    <row r="799">
      <c r="A799" s="324" t="n"/>
      <c r="B799" s="22" t="n"/>
      <c r="C799" s="22" t="n"/>
      <c r="D799" s="22" t="n"/>
      <c r="E799" s="22" t="n"/>
      <c r="F799" s="22" t="n"/>
      <c r="G799" s="22" t="n"/>
      <c r="H799" s="22" t="n"/>
      <c r="I799" s="22" t="n"/>
      <c r="J799" s="22" t="n"/>
      <c r="K799" s="22" t="n"/>
    </row>
    <row r="800">
      <c r="A800" s="324" t="n"/>
      <c r="B800" s="22" t="n"/>
      <c r="C800" s="22" t="n"/>
      <c r="D800" s="22" t="n"/>
      <c r="E800" s="22" t="n"/>
      <c r="F800" s="22" t="n"/>
      <c r="G800" s="22" t="n"/>
      <c r="H800" s="22" t="n"/>
      <c r="I800" s="22" t="n"/>
      <c r="J800" s="22" t="n"/>
      <c r="K800" s="22" t="n"/>
    </row>
    <row r="801">
      <c r="A801" s="324" t="n"/>
      <c r="B801" s="22" t="n"/>
      <c r="C801" s="22" t="n"/>
      <c r="D801" s="22" t="n"/>
      <c r="E801" s="22" t="n"/>
      <c r="F801" s="22" t="n"/>
      <c r="G801" s="22" t="n"/>
      <c r="H801" s="22" t="n"/>
      <c r="I801" s="22" t="n"/>
      <c r="J801" s="22" t="n"/>
      <c r="K801" s="22" t="n"/>
    </row>
    <row r="802">
      <c r="A802" s="324" t="n"/>
      <c r="B802" s="22" t="n"/>
      <c r="C802" s="22" t="n"/>
      <c r="D802" s="22" t="n"/>
      <c r="E802" s="22" t="n"/>
      <c r="F802" s="22" t="n"/>
      <c r="G802" s="22" t="n"/>
      <c r="H802" s="22" t="n"/>
      <c r="I802" s="22" t="n"/>
      <c r="J802" s="22" t="n"/>
      <c r="K802" s="22" t="n"/>
    </row>
    <row r="803">
      <c r="A803" s="324" t="n"/>
      <c r="B803" s="22" t="n"/>
      <c r="C803" s="22" t="n"/>
      <c r="D803" s="22" t="n"/>
      <c r="E803" s="22" t="n"/>
      <c r="F803" s="22" t="n"/>
      <c r="G803" s="22" t="n"/>
      <c r="H803" s="22" t="n"/>
      <c r="I803" s="22" t="n"/>
      <c r="J803" s="22" t="n"/>
      <c r="K803" s="22" t="n"/>
    </row>
    <row r="804">
      <c r="A804" s="324" t="n"/>
      <c r="B804" s="22" t="n"/>
      <c r="C804" s="22" t="n"/>
      <c r="D804" s="22" t="n"/>
      <c r="E804" s="22" t="n"/>
      <c r="F804" s="22" t="n"/>
      <c r="G804" s="22" t="n"/>
      <c r="H804" s="22" t="n"/>
      <c r="I804" s="22" t="n"/>
      <c r="J804" s="22" t="n"/>
      <c r="K804" s="22" t="n"/>
    </row>
    <row r="805">
      <c r="A805" s="324" t="n"/>
      <c r="B805" s="22" t="n"/>
      <c r="C805" s="22" t="n"/>
      <c r="D805" s="22" t="n"/>
      <c r="E805" s="22" t="n"/>
      <c r="F805" s="22" t="n"/>
      <c r="G805" s="22" t="n"/>
      <c r="H805" s="22" t="n"/>
      <c r="I805" s="22" t="n"/>
      <c r="J805" s="22" t="n"/>
      <c r="K805" s="22" t="n"/>
    </row>
    <row r="806">
      <c r="A806" s="324" t="n"/>
      <c r="B806" s="22" t="n"/>
      <c r="C806" s="22" t="n"/>
      <c r="D806" s="22" t="n"/>
      <c r="E806" s="22" t="n"/>
      <c r="F806" s="22" t="n"/>
      <c r="G806" s="22" t="n"/>
      <c r="H806" s="22" t="n"/>
      <c r="I806" s="22" t="n"/>
      <c r="J806" s="22" t="n"/>
      <c r="K806" s="22" t="n"/>
    </row>
    <row r="807">
      <c r="A807" s="324" t="n"/>
      <c r="B807" s="22" t="n"/>
      <c r="C807" s="22" t="n"/>
      <c r="D807" s="22" t="n"/>
      <c r="E807" s="22" t="n"/>
      <c r="F807" s="22" t="n"/>
      <c r="G807" s="22" t="n"/>
      <c r="H807" s="22" t="n"/>
      <c r="I807" s="22" t="n"/>
      <c r="J807" s="22" t="n"/>
      <c r="K807" s="22" t="n"/>
    </row>
    <row r="808">
      <c r="A808" s="324" t="n"/>
      <c r="B808" s="22" t="n"/>
      <c r="C808" s="22" t="n"/>
      <c r="D808" s="22" t="n"/>
      <c r="E808" s="22" t="n"/>
      <c r="F808" s="22" t="n"/>
      <c r="G808" s="22" t="n"/>
      <c r="H808" s="22" t="n"/>
      <c r="I808" s="22" t="n"/>
      <c r="J808" s="22" t="n"/>
      <c r="K808" s="22" t="n"/>
    </row>
    <row r="809">
      <c r="A809" s="324" t="n"/>
      <c r="B809" s="22" t="n"/>
      <c r="C809" s="22" t="n"/>
      <c r="D809" s="22" t="n"/>
      <c r="E809" s="22" t="n"/>
      <c r="F809" s="22" t="n"/>
      <c r="G809" s="22" t="n"/>
      <c r="H809" s="22" t="n"/>
      <c r="I809" s="22" t="n"/>
      <c r="J809" s="22" t="n"/>
      <c r="K809" s="22" t="n"/>
    </row>
    <row r="810">
      <c r="A810" s="324" t="n"/>
      <c r="B810" s="22" t="n"/>
      <c r="C810" s="22" t="n"/>
      <c r="D810" s="22" t="n"/>
      <c r="E810" s="22" t="n"/>
      <c r="F810" s="22" t="n"/>
      <c r="G810" s="22" t="n"/>
      <c r="H810" s="22" t="n"/>
      <c r="I810" s="22" t="n"/>
      <c r="J810" s="22" t="n"/>
      <c r="K810" s="22" t="n"/>
    </row>
    <row r="811">
      <c r="A811" s="324" t="n"/>
      <c r="B811" s="22" t="n"/>
      <c r="C811" s="22" t="n"/>
      <c r="D811" s="22" t="n"/>
      <c r="E811" s="22" t="n"/>
      <c r="F811" s="22" t="n"/>
      <c r="G811" s="22" t="n"/>
      <c r="H811" s="22" t="n"/>
      <c r="I811" s="22" t="n"/>
      <c r="J811" s="22" t="n"/>
      <c r="K811" s="22" t="n"/>
    </row>
    <row r="812">
      <c r="A812" s="324" t="n"/>
      <c r="B812" s="22" t="n"/>
      <c r="C812" s="22" t="n"/>
      <c r="D812" s="22" t="n"/>
      <c r="E812" s="22" t="n"/>
      <c r="F812" s="22" t="n"/>
      <c r="G812" s="22" t="n"/>
      <c r="H812" s="22" t="n"/>
      <c r="I812" s="22" t="n"/>
      <c r="J812" s="22" t="n"/>
      <c r="K812" s="22" t="n"/>
    </row>
    <row r="813">
      <c r="A813" s="324" t="n"/>
      <c r="B813" s="22" t="n"/>
      <c r="C813" s="22" t="n"/>
      <c r="D813" s="22" t="n"/>
      <c r="E813" s="22" t="n"/>
      <c r="F813" s="22" t="n"/>
      <c r="G813" s="22" t="n"/>
      <c r="H813" s="22" t="n"/>
      <c r="I813" s="22" t="n"/>
      <c r="J813" s="22" t="n"/>
      <c r="K813" s="22" t="n"/>
    </row>
    <row r="814">
      <c r="A814" s="324" t="n"/>
      <c r="B814" s="22" t="n"/>
      <c r="C814" s="22" t="n"/>
      <c r="D814" s="22" t="n"/>
      <c r="E814" s="22" t="n"/>
      <c r="F814" s="22" t="n"/>
      <c r="G814" s="22" t="n"/>
      <c r="H814" s="22" t="n"/>
      <c r="I814" s="22" t="n"/>
      <c r="J814" s="22" t="n"/>
      <c r="K814" s="22" t="n"/>
    </row>
    <row r="815">
      <c r="A815" s="324" t="n"/>
      <c r="B815" s="22" t="n"/>
      <c r="C815" s="22" t="n"/>
      <c r="D815" s="22" t="n"/>
      <c r="E815" s="22" t="n"/>
      <c r="F815" s="22" t="n"/>
      <c r="G815" s="22" t="n"/>
      <c r="H815" s="22" t="n"/>
      <c r="I815" s="22" t="n"/>
      <c r="J815" s="22" t="n"/>
      <c r="K815" s="22" t="n"/>
    </row>
    <row r="816">
      <c r="A816" s="324" t="n"/>
      <c r="B816" s="22" t="n"/>
      <c r="C816" s="22" t="n"/>
      <c r="D816" s="22" t="n"/>
      <c r="E816" s="22" t="n"/>
      <c r="F816" s="22" t="n"/>
      <c r="G816" s="22" t="n"/>
      <c r="H816" s="22" t="n"/>
      <c r="I816" s="22" t="n"/>
      <c r="J816" s="22" t="n"/>
      <c r="K816" s="22" t="n"/>
    </row>
    <row r="817">
      <c r="A817" s="324" t="n"/>
      <c r="B817" s="22" t="n"/>
      <c r="C817" s="22" t="n"/>
      <c r="D817" s="22" t="n"/>
      <c r="E817" s="22" t="n"/>
      <c r="F817" s="22" t="n"/>
      <c r="G817" s="22" t="n"/>
      <c r="H817" s="22" t="n"/>
      <c r="I817" s="22" t="n"/>
      <c r="J817" s="22" t="n"/>
      <c r="K817" s="22" t="n"/>
    </row>
    <row r="818">
      <c r="A818" s="324" t="n"/>
      <c r="B818" s="22" t="n"/>
      <c r="C818" s="22" t="n"/>
      <c r="D818" s="22" t="n"/>
      <c r="E818" s="22" t="n"/>
      <c r="F818" s="22" t="n"/>
      <c r="G818" s="22" t="n"/>
      <c r="H818" s="22" t="n"/>
      <c r="I818" s="22" t="n"/>
      <c r="J818" s="22" t="n"/>
      <c r="K818" s="22" t="n"/>
    </row>
    <row r="819">
      <c r="A819" s="324" t="n"/>
      <c r="B819" s="22" t="n"/>
      <c r="C819" s="22" t="n"/>
      <c r="D819" s="22" t="n"/>
      <c r="E819" s="22" t="n"/>
      <c r="F819" s="22" t="n"/>
      <c r="G819" s="22" t="n"/>
      <c r="H819" s="22" t="n"/>
      <c r="I819" s="22" t="n"/>
      <c r="J819" s="22" t="n"/>
      <c r="K819" s="22" t="n"/>
    </row>
    <row r="820">
      <c r="A820" s="324" t="n"/>
      <c r="B820" s="22" t="n"/>
      <c r="C820" s="22" t="n"/>
      <c r="D820" s="22" t="n"/>
      <c r="E820" s="22" t="n"/>
      <c r="F820" s="22" t="n"/>
      <c r="G820" s="22" t="n"/>
      <c r="H820" s="22" t="n"/>
      <c r="I820" s="22" t="n"/>
      <c r="J820" s="22" t="n"/>
      <c r="K820" s="22" t="n"/>
    </row>
    <row r="821">
      <c r="A821" s="324" t="n"/>
      <c r="B821" s="22" t="n"/>
      <c r="C821" s="22" t="n"/>
      <c r="D821" s="22" t="n"/>
      <c r="E821" s="22" t="n"/>
      <c r="F821" s="22" t="n"/>
      <c r="G821" s="22" t="n"/>
      <c r="H821" s="22" t="n"/>
      <c r="I821" s="22" t="n"/>
      <c r="J821" s="22" t="n"/>
      <c r="K821" s="22" t="n"/>
    </row>
    <row r="822">
      <c r="A822" s="324" t="n"/>
      <c r="B822" s="22" t="n"/>
      <c r="C822" s="22" t="n"/>
      <c r="D822" s="22" t="n"/>
      <c r="E822" s="22" t="n"/>
      <c r="F822" s="22" t="n"/>
      <c r="G822" s="22" t="n"/>
      <c r="H822" s="22" t="n"/>
      <c r="I822" s="22" t="n"/>
      <c r="J822" s="22" t="n"/>
      <c r="K822" s="22" t="n"/>
    </row>
    <row r="823">
      <c r="A823" s="324" t="n"/>
      <c r="B823" s="22" t="n"/>
      <c r="C823" s="22" t="n"/>
      <c r="D823" s="22" t="n"/>
      <c r="E823" s="22" t="n"/>
      <c r="F823" s="22" t="n"/>
      <c r="G823" s="22" t="n"/>
      <c r="H823" s="22" t="n"/>
      <c r="I823" s="22" t="n"/>
      <c r="J823" s="22" t="n"/>
      <c r="K823" s="22" t="n"/>
    </row>
    <row r="824">
      <c r="A824" s="324" t="n"/>
      <c r="B824" s="22" t="n"/>
      <c r="C824" s="22" t="n"/>
      <c r="D824" s="22" t="n"/>
      <c r="E824" s="22" t="n"/>
      <c r="F824" s="22" t="n"/>
      <c r="G824" s="22" t="n"/>
      <c r="H824" s="22" t="n"/>
      <c r="I824" s="22" t="n"/>
      <c r="J824" s="22" t="n"/>
      <c r="K824" s="22" t="n"/>
    </row>
    <row r="825">
      <c r="A825" s="324" t="n"/>
      <c r="B825" s="22" t="n"/>
      <c r="C825" s="22" t="n"/>
      <c r="D825" s="22" t="n"/>
      <c r="E825" s="22" t="n"/>
      <c r="F825" s="22" t="n"/>
      <c r="G825" s="22" t="n"/>
      <c r="H825" s="22" t="n"/>
      <c r="I825" s="22" t="n"/>
      <c r="J825" s="22" t="n"/>
      <c r="K825" s="22" t="n"/>
    </row>
    <row r="826">
      <c r="A826" s="324" t="n"/>
      <c r="B826" s="22" t="n"/>
      <c r="C826" s="22" t="n"/>
      <c r="D826" s="22" t="n"/>
      <c r="E826" s="22" t="n"/>
      <c r="F826" s="22" t="n"/>
      <c r="G826" s="22" t="n"/>
      <c r="H826" s="22" t="n"/>
      <c r="I826" s="22" t="n"/>
      <c r="J826" s="22" t="n"/>
      <c r="K826" s="22" t="n"/>
    </row>
    <row r="827">
      <c r="A827" s="324" t="n"/>
      <c r="B827" s="22" t="n"/>
      <c r="C827" s="22" t="n"/>
      <c r="D827" s="22" t="n"/>
      <c r="E827" s="22" t="n"/>
      <c r="F827" s="22" t="n"/>
      <c r="G827" s="22" t="n"/>
      <c r="H827" s="22" t="n"/>
      <c r="I827" s="22" t="n"/>
      <c r="J827" s="22" t="n"/>
      <c r="K827" s="22" t="n"/>
    </row>
    <row r="828">
      <c r="A828" s="324" t="n"/>
      <c r="B828" s="22" t="n"/>
      <c r="C828" s="22" t="n"/>
      <c r="D828" s="22" t="n"/>
      <c r="E828" s="22" t="n"/>
      <c r="F828" s="22" t="n"/>
      <c r="G828" s="22" t="n"/>
      <c r="H828" s="22" t="n"/>
      <c r="I828" s="22" t="n"/>
      <c r="J828" s="22" t="n"/>
      <c r="K828" s="22" t="n"/>
    </row>
    <row r="829">
      <c r="A829" s="324" t="n"/>
      <c r="B829" s="22" t="n"/>
      <c r="C829" s="22" t="n"/>
      <c r="D829" s="22" t="n"/>
      <c r="E829" s="22" t="n"/>
      <c r="F829" s="22" t="n"/>
      <c r="G829" s="22" t="n"/>
      <c r="H829" s="22" t="n"/>
      <c r="I829" s="22" t="n"/>
      <c r="J829" s="22" t="n"/>
      <c r="K829" s="22" t="n"/>
    </row>
    <row r="830">
      <c r="A830" s="324" t="n"/>
      <c r="B830" s="22" t="n"/>
      <c r="C830" s="22" t="n"/>
      <c r="D830" s="22" t="n"/>
      <c r="E830" s="22" t="n"/>
      <c r="F830" s="22" t="n"/>
      <c r="G830" s="22" t="n"/>
      <c r="H830" s="22" t="n"/>
      <c r="I830" s="22" t="n"/>
      <c r="J830" s="22" t="n"/>
      <c r="K830" s="22" t="n"/>
    </row>
    <row r="831">
      <c r="A831" s="324" t="n"/>
      <c r="B831" s="22" t="n"/>
      <c r="C831" s="22" t="n"/>
      <c r="D831" s="22" t="n"/>
      <c r="E831" s="22" t="n"/>
      <c r="F831" s="22" t="n"/>
      <c r="G831" s="22" t="n"/>
      <c r="H831" s="22" t="n"/>
      <c r="I831" s="22" t="n"/>
      <c r="J831" s="22" t="n"/>
      <c r="K831" s="22" t="n"/>
    </row>
    <row r="832">
      <c r="A832" s="324" t="n"/>
      <c r="B832" s="22" t="n"/>
      <c r="C832" s="22" t="n"/>
      <c r="D832" s="22" t="n"/>
      <c r="E832" s="22" t="n"/>
      <c r="F832" s="22" t="n"/>
      <c r="G832" s="22" t="n"/>
      <c r="H832" s="22" t="n"/>
      <c r="I832" s="22" t="n"/>
      <c r="J832" s="22" t="n"/>
      <c r="K832" s="22" t="n"/>
    </row>
    <row r="833">
      <c r="A833" s="324" t="n"/>
      <c r="B833" s="22" t="n"/>
      <c r="C833" s="22" t="n"/>
      <c r="D833" s="22" t="n"/>
      <c r="E833" s="22" t="n"/>
      <c r="F833" s="22" t="n"/>
      <c r="G833" s="22" t="n"/>
      <c r="H833" s="22" t="n"/>
      <c r="I833" s="22" t="n"/>
      <c r="J833" s="22" t="n"/>
      <c r="K833" s="22" t="n"/>
    </row>
    <row r="834">
      <c r="A834" s="324" t="n"/>
      <c r="B834" s="22" t="n"/>
      <c r="C834" s="22" t="n"/>
      <c r="D834" s="22" t="n"/>
      <c r="E834" s="22" t="n"/>
      <c r="F834" s="22" t="n"/>
      <c r="G834" s="22" t="n"/>
      <c r="H834" s="22" t="n"/>
      <c r="I834" s="22" t="n"/>
      <c r="J834" s="22" t="n"/>
      <c r="K834" s="22" t="n"/>
    </row>
    <row r="835">
      <c r="A835" s="324" t="n"/>
      <c r="B835" s="22" t="n"/>
      <c r="C835" s="22" t="n"/>
      <c r="D835" s="22" t="n"/>
      <c r="E835" s="22" t="n"/>
      <c r="F835" s="22" t="n"/>
      <c r="G835" s="22" t="n"/>
      <c r="H835" s="22" t="n"/>
      <c r="I835" s="22" t="n"/>
      <c r="J835" s="22" t="n"/>
      <c r="K835" s="22" t="n"/>
    </row>
    <row r="836">
      <c r="A836" s="324" t="n"/>
      <c r="B836" s="22" t="n"/>
      <c r="C836" s="22" t="n"/>
      <c r="D836" s="22" t="n"/>
      <c r="E836" s="22" t="n"/>
      <c r="F836" s="22" t="n"/>
      <c r="G836" s="22" t="n"/>
      <c r="H836" s="22" t="n"/>
      <c r="I836" s="22" t="n"/>
      <c r="J836" s="22" t="n"/>
      <c r="K836" s="22" t="n"/>
    </row>
    <row r="837">
      <c r="A837" s="324" t="n"/>
      <c r="B837" s="22" t="n"/>
      <c r="C837" s="22" t="n"/>
      <c r="D837" s="22" t="n"/>
      <c r="E837" s="22" t="n"/>
      <c r="F837" s="22" t="n"/>
      <c r="G837" s="22" t="n"/>
      <c r="H837" s="22" t="n"/>
      <c r="I837" s="22" t="n"/>
      <c r="J837" s="22" t="n"/>
      <c r="K837" s="22" t="n"/>
    </row>
    <row r="838">
      <c r="A838" s="324" t="n"/>
      <c r="B838" s="22" t="n"/>
      <c r="C838" s="22" t="n"/>
      <c r="D838" s="22" t="n"/>
      <c r="E838" s="22" t="n"/>
      <c r="F838" s="22" t="n"/>
      <c r="G838" s="22" t="n"/>
      <c r="H838" s="22" t="n"/>
      <c r="I838" s="22" t="n"/>
      <c r="J838" s="22" t="n"/>
      <c r="K838" s="22" t="n"/>
    </row>
    <row r="839">
      <c r="A839" s="324" t="n"/>
      <c r="B839" s="22" t="n"/>
      <c r="C839" s="22" t="n"/>
      <c r="D839" s="22" t="n"/>
      <c r="E839" s="22" t="n"/>
      <c r="F839" s="22" t="n"/>
      <c r="G839" s="22" t="n"/>
      <c r="H839" s="22" t="n"/>
      <c r="I839" s="22" t="n"/>
      <c r="J839" s="22" t="n"/>
      <c r="K839" s="22" t="n"/>
    </row>
    <row r="840">
      <c r="A840" s="324" t="n"/>
      <c r="B840" s="22" t="n"/>
      <c r="C840" s="22" t="n"/>
      <c r="D840" s="22" t="n"/>
      <c r="E840" s="22" t="n"/>
      <c r="F840" s="22" t="n"/>
      <c r="G840" s="22" t="n"/>
      <c r="H840" s="22" t="n"/>
      <c r="I840" s="22" t="n"/>
      <c r="J840" s="22" t="n"/>
      <c r="K840" s="22" t="n"/>
    </row>
    <row r="841">
      <c r="A841" s="324" t="n"/>
      <c r="B841" s="22" t="n"/>
      <c r="C841" s="22" t="n"/>
      <c r="D841" s="22" t="n"/>
      <c r="E841" s="22" t="n"/>
      <c r="F841" s="22" t="n"/>
      <c r="G841" s="22" t="n"/>
      <c r="H841" s="22" t="n"/>
      <c r="I841" s="22" t="n"/>
      <c r="J841" s="22" t="n"/>
      <c r="K841" s="22" t="n"/>
    </row>
    <row r="842">
      <c r="A842" s="324" t="n"/>
      <c r="B842" s="22" t="n"/>
      <c r="C842" s="22" t="n"/>
      <c r="D842" s="22" t="n"/>
      <c r="E842" s="22" t="n"/>
      <c r="F842" s="22" t="n"/>
      <c r="G842" s="22" t="n"/>
      <c r="H842" s="22" t="n"/>
      <c r="I842" s="22" t="n"/>
      <c r="J842" s="22" t="n"/>
      <c r="K842" s="22" t="n"/>
    </row>
    <row r="843">
      <c r="A843" s="324" t="n"/>
      <c r="B843" s="22" t="n"/>
      <c r="C843" s="22" t="n"/>
      <c r="D843" s="22" t="n"/>
      <c r="E843" s="22" t="n"/>
      <c r="F843" s="22" t="n"/>
      <c r="G843" s="22" t="n"/>
      <c r="H843" s="22" t="n"/>
      <c r="I843" s="22" t="n"/>
      <c r="J843" s="22" t="n"/>
      <c r="K843" s="22" t="n"/>
    </row>
    <row r="844">
      <c r="A844" s="324" t="n"/>
      <c r="B844" s="22" t="n"/>
      <c r="C844" s="22" t="n"/>
      <c r="D844" s="22" t="n"/>
      <c r="E844" s="22" t="n"/>
      <c r="F844" s="22" t="n"/>
      <c r="G844" s="22" t="n"/>
      <c r="H844" s="22" t="n"/>
      <c r="I844" s="22" t="n"/>
      <c r="J844" s="22" t="n"/>
      <c r="K844" s="22" t="n"/>
    </row>
    <row r="845">
      <c r="A845" s="324" t="n"/>
      <c r="B845" s="22" t="n"/>
      <c r="C845" s="22" t="n"/>
      <c r="D845" s="22" t="n"/>
      <c r="E845" s="22" t="n"/>
      <c r="F845" s="22" t="n"/>
      <c r="G845" s="22" t="n"/>
      <c r="H845" s="22" t="n"/>
      <c r="I845" s="22" t="n"/>
      <c r="J845" s="22" t="n"/>
      <c r="K845" s="22" t="n"/>
    </row>
    <row r="846">
      <c r="A846" s="324" t="n"/>
      <c r="B846" s="22" t="n"/>
      <c r="C846" s="22" t="n"/>
      <c r="D846" s="22" t="n"/>
      <c r="E846" s="22" t="n"/>
      <c r="F846" s="22" t="n"/>
      <c r="G846" s="22" t="n"/>
      <c r="H846" s="22" t="n"/>
      <c r="I846" s="22" t="n"/>
      <c r="J846" s="22" t="n"/>
      <c r="K846" s="22" t="n"/>
    </row>
    <row r="847">
      <c r="A847" s="324" t="n"/>
      <c r="B847" s="22" t="n"/>
      <c r="C847" s="22" t="n"/>
      <c r="D847" s="22" t="n"/>
      <c r="E847" s="22" t="n"/>
      <c r="F847" s="22" t="n"/>
      <c r="G847" s="22" t="n"/>
      <c r="H847" s="22" t="n"/>
      <c r="I847" s="22" t="n"/>
      <c r="J847" s="22" t="n"/>
      <c r="K847" s="22" t="n"/>
    </row>
    <row r="848">
      <c r="A848" s="324" t="n"/>
      <c r="B848" s="22" t="n"/>
      <c r="C848" s="22" t="n"/>
      <c r="D848" s="22" t="n"/>
      <c r="E848" s="22" t="n"/>
      <c r="F848" s="22" t="n"/>
      <c r="G848" s="22" t="n"/>
      <c r="H848" s="22" t="n"/>
      <c r="I848" s="22" t="n"/>
      <c r="J848" s="22" t="n"/>
      <c r="K848" s="22" t="n"/>
    </row>
    <row r="849">
      <c r="A849" s="324" t="n"/>
      <c r="B849" s="22" t="n"/>
      <c r="C849" s="22" t="n"/>
      <c r="D849" s="22" t="n"/>
      <c r="E849" s="22" t="n"/>
      <c r="F849" s="22" t="n"/>
      <c r="G849" s="22" t="n"/>
      <c r="H849" s="22" t="n"/>
      <c r="I849" s="22" t="n"/>
      <c r="J849" s="22" t="n"/>
      <c r="K849" s="22" t="n"/>
    </row>
    <row r="850">
      <c r="A850" s="324" t="n"/>
      <c r="B850" s="22" t="n"/>
      <c r="C850" s="22" t="n"/>
      <c r="D850" s="22" t="n"/>
      <c r="E850" s="22" t="n"/>
      <c r="F850" s="22" t="n"/>
      <c r="G850" s="22" t="n"/>
      <c r="H850" s="22" t="n"/>
      <c r="I850" s="22" t="n"/>
      <c r="J850" s="22" t="n"/>
      <c r="K850" s="22" t="n"/>
    </row>
    <row r="851">
      <c r="A851" s="324" t="n"/>
      <c r="B851" s="22" t="n"/>
      <c r="C851" s="22" t="n"/>
      <c r="D851" s="22" t="n"/>
      <c r="E851" s="22" t="n"/>
      <c r="F851" s="22" t="n"/>
      <c r="G851" s="22" t="n"/>
      <c r="H851" s="22" t="n"/>
      <c r="I851" s="22" t="n"/>
      <c r="J851" s="22" t="n"/>
      <c r="K851" s="22" t="n"/>
    </row>
    <row r="852">
      <c r="A852" s="324" t="n"/>
      <c r="B852" s="22" t="n"/>
      <c r="C852" s="22" t="n"/>
      <c r="D852" s="22" t="n"/>
      <c r="E852" s="22" t="n"/>
      <c r="F852" s="22" t="n"/>
      <c r="G852" s="22" t="n"/>
      <c r="H852" s="22" t="n"/>
      <c r="I852" s="22" t="n"/>
      <c r="J852" s="22" t="n"/>
      <c r="K852" s="22" t="n"/>
    </row>
    <row r="853">
      <c r="A853" s="324" t="n"/>
      <c r="B853" s="22" t="n"/>
      <c r="C853" s="22" t="n"/>
      <c r="D853" s="22" t="n"/>
      <c r="E853" s="22" t="n"/>
      <c r="F853" s="22" t="n"/>
      <c r="G853" s="22" t="n"/>
      <c r="H853" s="22" t="n"/>
      <c r="I853" s="22" t="n"/>
      <c r="J853" s="22" t="n"/>
      <c r="K853" s="22" t="n"/>
    </row>
    <row r="854">
      <c r="A854" s="324" t="n"/>
      <c r="B854" s="22" t="n"/>
      <c r="C854" s="22" t="n"/>
      <c r="D854" s="22" t="n"/>
      <c r="E854" s="22" t="n"/>
      <c r="F854" s="22" t="n"/>
      <c r="G854" s="22" t="n"/>
      <c r="H854" s="22" t="n"/>
      <c r="I854" s="22" t="n"/>
      <c r="J854" s="22" t="n"/>
      <c r="K854" s="22" t="n"/>
    </row>
    <row r="855">
      <c r="A855" s="324" t="n"/>
      <c r="B855" s="22" t="n"/>
      <c r="C855" s="22" t="n"/>
      <c r="D855" s="22" t="n"/>
      <c r="E855" s="22" t="n"/>
      <c r="F855" s="22" t="n"/>
      <c r="G855" s="22" t="n"/>
      <c r="H855" s="22" t="n"/>
      <c r="I855" s="22" t="n"/>
      <c r="J855" s="22" t="n"/>
      <c r="K855" s="22" t="n"/>
    </row>
    <row r="856">
      <c r="A856" s="324" t="n"/>
      <c r="B856" s="22" t="n"/>
      <c r="C856" s="22" t="n"/>
      <c r="D856" s="22" t="n"/>
      <c r="E856" s="22" t="n"/>
      <c r="F856" s="22" t="n"/>
      <c r="G856" s="22" t="n"/>
      <c r="H856" s="22" t="n"/>
      <c r="I856" s="22" t="n"/>
      <c r="J856" s="22" t="n"/>
      <c r="K856" s="22" t="n"/>
    </row>
    <row r="857">
      <c r="A857" s="324" t="n"/>
      <c r="B857" s="22" t="n"/>
      <c r="C857" s="22" t="n"/>
      <c r="D857" s="22" t="n"/>
      <c r="E857" s="22" t="n"/>
      <c r="F857" s="22" t="n"/>
      <c r="G857" s="22" t="n"/>
      <c r="H857" s="22" t="n"/>
      <c r="I857" s="22" t="n"/>
      <c r="J857" s="22" t="n"/>
      <c r="K857" s="22" t="n"/>
    </row>
    <row r="858">
      <c r="A858" s="324" t="n"/>
      <c r="B858" s="22" t="n"/>
      <c r="C858" s="22" t="n"/>
      <c r="D858" s="22" t="n"/>
      <c r="E858" s="22" t="n"/>
      <c r="F858" s="22" t="n"/>
      <c r="G858" s="22" t="n"/>
      <c r="H858" s="22" t="n"/>
      <c r="I858" s="22" t="n"/>
      <c r="J858" s="22" t="n"/>
      <c r="K858" s="22" t="n"/>
    </row>
    <row r="859">
      <c r="A859" s="324" t="n"/>
      <c r="B859" s="22" t="n"/>
      <c r="C859" s="22" t="n"/>
      <c r="D859" s="22" t="n"/>
      <c r="E859" s="22" t="n"/>
      <c r="F859" s="22" t="n"/>
      <c r="G859" s="22" t="n"/>
      <c r="H859" s="22" t="n"/>
      <c r="I859" s="22" t="n"/>
      <c r="J859" s="22" t="n"/>
      <c r="K859" s="22" t="n"/>
    </row>
    <row r="860">
      <c r="A860" s="324" t="n"/>
      <c r="B860" s="22" t="n"/>
      <c r="C860" s="22" t="n"/>
      <c r="D860" s="22" t="n"/>
      <c r="E860" s="22" t="n"/>
      <c r="F860" s="22" t="n"/>
      <c r="G860" s="22" t="n"/>
      <c r="H860" s="22" t="n"/>
      <c r="I860" s="22" t="n"/>
      <c r="J860" s="22" t="n"/>
      <c r="K860" s="22" t="n"/>
    </row>
    <row r="861">
      <c r="A861" s="324" t="n"/>
      <c r="B861" s="22" t="n"/>
      <c r="C861" s="22" t="n"/>
      <c r="D861" s="22" t="n"/>
      <c r="E861" s="22" t="n"/>
      <c r="F861" s="22" t="n"/>
      <c r="G861" s="22" t="n"/>
      <c r="H861" s="22" t="n"/>
      <c r="I861" s="22" t="n"/>
      <c r="J861" s="22" t="n"/>
      <c r="K861" s="22" t="n"/>
    </row>
    <row r="862">
      <c r="A862" s="324" t="n"/>
      <c r="B862" s="22" t="n"/>
      <c r="C862" s="22" t="n"/>
      <c r="D862" s="22" t="n"/>
      <c r="E862" s="22" t="n"/>
      <c r="F862" s="22" t="n"/>
      <c r="G862" s="22" t="n"/>
      <c r="H862" s="22" t="n"/>
      <c r="I862" s="22" t="n"/>
      <c r="J862" s="22" t="n"/>
      <c r="K862" s="22" t="n"/>
    </row>
    <row r="863">
      <c r="A863" s="324" t="n"/>
      <c r="B863" s="22" t="n"/>
      <c r="C863" s="22" t="n"/>
      <c r="D863" s="22" t="n"/>
      <c r="E863" s="22" t="n"/>
      <c r="F863" s="22" t="n"/>
      <c r="G863" s="22" t="n"/>
      <c r="H863" s="22" t="n"/>
      <c r="I863" s="22" t="n"/>
      <c r="J863" s="22" t="n"/>
      <c r="K863" s="22" t="n"/>
    </row>
    <row r="864">
      <c r="A864" s="324" t="n"/>
      <c r="B864" s="22" t="n"/>
      <c r="C864" s="22" t="n"/>
      <c r="D864" s="22" t="n"/>
      <c r="E864" s="22" t="n"/>
      <c r="F864" s="22" t="n"/>
      <c r="G864" s="22" t="n"/>
      <c r="H864" s="22" t="n"/>
      <c r="I864" s="22" t="n"/>
      <c r="J864" s="22" t="n"/>
      <c r="K864" s="22" t="n"/>
    </row>
    <row r="865">
      <c r="A865" s="324" t="n"/>
      <c r="B865" s="22" t="n"/>
      <c r="C865" s="22" t="n"/>
      <c r="D865" s="22" t="n"/>
      <c r="E865" s="22" t="n"/>
      <c r="F865" s="22" t="n"/>
      <c r="G865" s="22" t="n"/>
      <c r="H865" s="22" t="n"/>
      <c r="I865" s="22" t="n"/>
      <c r="J865" s="22" t="n"/>
      <c r="K865" s="22" t="n"/>
    </row>
    <row r="866">
      <c r="A866" s="324" t="n"/>
      <c r="B866" s="22" t="n"/>
      <c r="C866" s="22" t="n"/>
      <c r="D866" s="22" t="n"/>
      <c r="E866" s="22" t="n"/>
      <c r="F866" s="22" t="n"/>
      <c r="G866" s="22" t="n"/>
      <c r="H866" s="22" t="n"/>
      <c r="I866" s="22" t="n"/>
      <c r="J866" s="22" t="n"/>
      <c r="K866" s="22" t="n"/>
    </row>
    <row r="867">
      <c r="A867" s="324" t="n"/>
      <c r="B867" s="22" t="n"/>
      <c r="C867" s="22" t="n"/>
      <c r="D867" s="22" t="n"/>
      <c r="E867" s="22" t="n"/>
      <c r="F867" s="22" t="n"/>
      <c r="G867" s="22" t="n"/>
      <c r="H867" s="22" t="n"/>
      <c r="I867" s="22" t="n"/>
      <c r="J867" s="22" t="n"/>
      <c r="K867" s="22" t="n"/>
    </row>
    <row r="868">
      <c r="A868" s="324" t="n"/>
      <c r="B868" s="22" t="n"/>
      <c r="C868" s="22" t="n"/>
      <c r="D868" s="22" t="n"/>
      <c r="E868" s="22" t="n"/>
      <c r="F868" s="22" t="n"/>
      <c r="G868" s="22" t="n"/>
      <c r="H868" s="22" t="n"/>
      <c r="I868" s="22" t="n"/>
      <c r="J868" s="22" t="n"/>
      <c r="K868" s="22" t="n"/>
    </row>
    <row r="869">
      <c r="A869" s="324" t="n"/>
      <c r="B869" s="22" t="n"/>
      <c r="C869" s="22" t="n"/>
      <c r="D869" s="22" t="n"/>
      <c r="E869" s="22" t="n"/>
      <c r="F869" s="22" t="n"/>
      <c r="G869" s="22" t="n"/>
      <c r="H869" s="22" t="n"/>
      <c r="I869" s="22" t="n"/>
      <c r="J869" s="22" t="n"/>
      <c r="K869" s="22" t="n"/>
    </row>
    <row r="870">
      <c r="A870" s="324" t="n"/>
      <c r="B870" s="22" t="n"/>
      <c r="C870" s="22" t="n"/>
      <c r="D870" s="22" t="n"/>
      <c r="E870" s="22" t="n"/>
      <c r="F870" s="22" t="n"/>
      <c r="G870" s="22" t="n"/>
      <c r="H870" s="22" t="n"/>
      <c r="I870" s="22" t="n"/>
      <c r="J870" s="22" t="n"/>
      <c r="K870" s="22" t="n"/>
    </row>
    <row r="871">
      <c r="A871" s="324" t="n"/>
      <c r="B871" s="22" t="n"/>
      <c r="C871" s="22" t="n"/>
      <c r="D871" s="22" t="n"/>
      <c r="E871" s="22" t="n"/>
      <c r="F871" s="22" t="n"/>
      <c r="G871" s="22" t="n"/>
      <c r="H871" s="22" t="n"/>
      <c r="I871" s="22" t="n"/>
      <c r="J871" s="22" t="n"/>
      <c r="K871" s="22" t="n"/>
    </row>
    <row r="872">
      <c r="A872" s="324" t="n"/>
      <c r="B872" s="22" t="n"/>
      <c r="C872" s="22" t="n"/>
      <c r="D872" s="22" t="n"/>
      <c r="E872" s="22" t="n"/>
      <c r="F872" s="22" t="n"/>
      <c r="G872" s="22" t="n"/>
      <c r="H872" s="22" t="n"/>
      <c r="I872" s="22" t="n"/>
      <c r="J872" s="22" t="n"/>
      <c r="K872" s="22" t="n"/>
    </row>
    <row r="873">
      <c r="A873" s="324" t="n"/>
      <c r="B873" s="22" t="n"/>
      <c r="C873" s="22" t="n"/>
      <c r="D873" s="22" t="n"/>
      <c r="E873" s="22" t="n"/>
      <c r="F873" s="22" t="n"/>
      <c r="G873" s="22" t="n"/>
      <c r="H873" s="22" t="n"/>
      <c r="I873" s="22" t="n"/>
      <c r="J873" s="22" t="n"/>
      <c r="K873" s="22" t="n"/>
    </row>
    <row r="874">
      <c r="A874" s="324" t="n"/>
      <c r="B874" s="22" t="n"/>
      <c r="C874" s="22" t="n"/>
      <c r="D874" s="22" t="n"/>
      <c r="E874" s="22" t="n"/>
      <c r="F874" s="22" t="n"/>
      <c r="G874" s="22" t="n"/>
      <c r="H874" s="22" t="n"/>
      <c r="I874" s="22" t="n"/>
      <c r="J874" s="22" t="n"/>
      <c r="K874" s="22" t="n"/>
    </row>
    <row r="875">
      <c r="A875" s="324" t="n"/>
      <c r="B875" s="22" t="n"/>
      <c r="C875" s="22" t="n"/>
      <c r="D875" s="22" t="n"/>
      <c r="E875" s="22" t="n"/>
      <c r="F875" s="22" t="n"/>
      <c r="G875" s="22" t="n"/>
      <c r="H875" s="22" t="n"/>
      <c r="I875" s="22" t="n"/>
      <c r="J875" s="22" t="n"/>
      <c r="K875" s="22" t="n"/>
    </row>
    <row r="876">
      <c r="A876" s="324" t="n"/>
      <c r="B876" s="22" t="n"/>
      <c r="C876" s="22" t="n"/>
      <c r="D876" s="22" t="n"/>
      <c r="E876" s="22" t="n"/>
      <c r="F876" s="22" t="n"/>
      <c r="G876" s="22" t="n"/>
      <c r="H876" s="22" t="n"/>
      <c r="I876" s="22" t="n"/>
      <c r="J876" s="22" t="n"/>
      <c r="K876" s="22" t="n"/>
    </row>
    <row r="877">
      <c r="A877" s="324" t="n"/>
      <c r="B877" s="22" t="n"/>
      <c r="C877" s="22" t="n"/>
      <c r="D877" s="22" t="n"/>
      <c r="E877" s="22" t="n"/>
      <c r="F877" s="22" t="n"/>
      <c r="G877" s="22" t="n"/>
      <c r="H877" s="22" t="n"/>
      <c r="I877" s="22" t="n"/>
      <c r="J877" s="22" t="n"/>
      <c r="K877" s="22" t="n"/>
    </row>
    <row r="878">
      <c r="A878" s="324" t="n"/>
      <c r="B878" s="22" t="n"/>
      <c r="C878" s="22" t="n"/>
      <c r="D878" s="22" t="n"/>
      <c r="E878" s="22" t="n"/>
      <c r="F878" s="22" t="n"/>
      <c r="G878" s="22" t="n"/>
      <c r="H878" s="22" t="n"/>
      <c r="I878" s="22" t="n"/>
      <c r="J878" s="22" t="n"/>
      <c r="K878" s="22" t="n"/>
    </row>
    <row r="879">
      <c r="A879" s="324" t="n"/>
      <c r="B879" s="22" t="n"/>
      <c r="C879" s="22" t="n"/>
      <c r="D879" s="22" t="n"/>
      <c r="E879" s="22" t="n"/>
      <c r="F879" s="22" t="n"/>
      <c r="G879" s="22" t="n"/>
      <c r="H879" s="22" t="n"/>
      <c r="I879" s="22" t="n"/>
      <c r="J879" s="22" t="n"/>
      <c r="K879" s="22" t="n"/>
    </row>
    <row r="880">
      <c r="A880" s="324" t="n"/>
      <c r="B880" s="22" t="n"/>
      <c r="C880" s="22" t="n"/>
      <c r="D880" s="22" t="n"/>
      <c r="E880" s="22" t="n"/>
      <c r="F880" s="22" t="n"/>
      <c r="G880" s="22" t="n"/>
      <c r="H880" s="22" t="n"/>
      <c r="I880" s="22" t="n"/>
      <c r="J880" s="22" t="n"/>
      <c r="K880" s="22" t="n"/>
    </row>
    <row r="881">
      <c r="A881" s="324" t="n"/>
      <c r="B881" s="22" t="n"/>
      <c r="C881" s="22" t="n"/>
      <c r="D881" s="22" t="n"/>
      <c r="E881" s="22" t="n"/>
      <c r="F881" s="22" t="n"/>
      <c r="G881" s="22" t="n"/>
      <c r="H881" s="22" t="n"/>
      <c r="I881" s="22" t="n"/>
      <c r="J881" s="22" t="n"/>
      <c r="K881" s="22" t="n"/>
    </row>
    <row r="882">
      <c r="A882" s="324" t="n"/>
      <c r="B882" s="22" t="n"/>
      <c r="C882" s="22" t="n"/>
      <c r="D882" s="22" t="n"/>
      <c r="E882" s="22" t="n"/>
      <c r="F882" s="22" t="n"/>
      <c r="G882" s="22" t="n"/>
      <c r="H882" s="22" t="n"/>
      <c r="I882" s="22" t="n"/>
      <c r="J882" s="22" t="n"/>
      <c r="K882" s="22" t="n"/>
    </row>
    <row r="883">
      <c r="A883" s="324" t="n"/>
      <c r="B883" s="22" t="n"/>
      <c r="C883" s="22" t="n"/>
      <c r="D883" s="22" t="n"/>
      <c r="E883" s="22" t="n"/>
      <c r="F883" s="22" t="n"/>
      <c r="G883" s="22" t="n"/>
      <c r="H883" s="22" t="n"/>
      <c r="I883" s="22" t="n"/>
      <c r="J883" s="22" t="n"/>
      <c r="K883" s="22" t="n"/>
    </row>
    <row r="884">
      <c r="A884" s="324" t="n"/>
      <c r="B884" s="22" t="n"/>
      <c r="C884" s="22" t="n"/>
      <c r="D884" s="22" t="n"/>
      <c r="E884" s="22" t="n"/>
      <c r="F884" s="22" t="n"/>
      <c r="G884" s="22" t="n"/>
      <c r="H884" s="22" t="n"/>
      <c r="I884" s="22" t="n"/>
      <c r="J884" s="22" t="n"/>
      <c r="K884" s="22" t="n"/>
    </row>
    <row r="885">
      <c r="A885" s="324" t="n"/>
      <c r="B885" s="22" t="n"/>
      <c r="C885" s="22" t="n"/>
      <c r="D885" s="22" t="n"/>
      <c r="E885" s="22" t="n"/>
      <c r="F885" s="22" t="n"/>
      <c r="G885" s="22" t="n"/>
      <c r="H885" s="22" t="n"/>
      <c r="I885" s="22" t="n"/>
      <c r="J885" s="22" t="n"/>
      <c r="K885" s="22" t="n"/>
    </row>
    <row r="886">
      <c r="A886" s="324" t="n"/>
      <c r="B886" s="22" t="n"/>
      <c r="C886" s="22" t="n"/>
      <c r="D886" s="22" t="n"/>
      <c r="E886" s="22" t="n"/>
      <c r="F886" s="22" t="n"/>
      <c r="G886" s="22" t="n"/>
      <c r="H886" s="22" t="n"/>
      <c r="I886" s="22" t="n"/>
      <c r="J886" s="22" t="n"/>
      <c r="K886" s="22" t="n"/>
    </row>
    <row r="887">
      <c r="A887" s="324" t="n"/>
      <c r="B887" s="22" t="n"/>
      <c r="C887" s="22" t="n"/>
      <c r="D887" s="22" t="n"/>
      <c r="E887" s="22" t="n"/>
      <c r="F887" s="22" t="n"/>
      <c r="G887" s="22" t="n"/>
      <c r="H887" s="22" t="n"/>
      <c r="I887" s="22" t="n"/>
      <c r="J887" s="22" t="n"/>
      <c r="K887" s="22" t="n"/>
    </row>
    <row r="888">
      <c r="A888" s="324" t="n"/>
      <c r="B888" s="22" t="n"/>
      <c r="C888" s="22" t="n"/>
      <c r="D888" s="22" t="n"/>
      <c r="E888" s="22" t="n"/>
      <c r="F888" s="22" t="n"/>
      <c r="G888" s="22" t="n"/>
      <c r="H888" s="22" t="n"/>
      <c r="I888" s="22" t="n"/>
      <c r="J888" s="22" t="n"/>
      <c r="K888" s="22" t="n"/>
    </row>
    <row r="889">
      <c r="A889" s="324" t="n"/>
      <c r="B889" s="22" t="n"/>
      <c r="C889" s="22" t="n"/>
      <c r="D889" s="22" t="n"/>
      <c r="E889" s="22" t="n"/>
      <c r="F889" s="22" t="n"/>
      <c r="G889" s="22" t="n"/>
      <c r="H889" s="22" t="n"/>
      <c r="I889" s="22" t="n"/>
      <c r="J889" s="22" t="n"/>
      <c r="K889" s="22" t="n"/>
    </row>
    <row r="890">
      <c r="A890" s="324" t="n"/>
      <c r="B890" s="22" t="n"/>
      <c r="C890" s="22" t="n"/>
      <c r="D890" s="22" t="n"/>
      <c r="E890" s="22" t="n"/>
      <c r="F890" s="22" t="n"/>
      <c r="G890" s="22" t="n"/>
      <c r="H890" s="22" t="n"/>
      <c r="I890" s="22" t="n"/>
      <c r="J890" s="22" t="n"/>
      <c r="K890" s="22" t="n"/>
    </row>
    <row r="891">
      <c r="A891" s="324" t="n"/>
      <c r="B891" s="22" t="n"/>
      <c r="C891" s="22" t="n"/>
      <c r="D891" s="22" t="n"/>
      <c r="E891" s="22" t="n"/>
      <c r="F891" s="22" t="n"/>
      <c r="G891" s="22" t="n"/>
      <c r="H891" s="22" t="n"/>
      <c r="I891" s="22" t="n"/>
      <c r="J891" s="22" t="n"/>
      <c r="K891" s="22" t="n"/>
    </row>
    <row r="892">
      <c r="A892" s="324" t="n"/>
      <c r="B892" s="22" t="n"/>
      <c r="C892" s="22" t="n"/>
      <c r="D892" s="22" t="n"/>
      <c r="E892" s="22" t="n"/>
      <c r="F892" s="22" t="n"/>
      <c r="G892" s="22" t="n"/>
      <c r="H892" s="22" t="n"/>
      <c r="I892" s="22" t="n"/>
      <c r="J892" s="22" t="n"/>
      <c r="K892" s="22" t="n"/>
    </row>
    <row r="893">
      <c r="A893" s="324" t="n"/>
      <c r="B893" s="22" t="n"/>
      <c r="C893" s="22" t="n"/>
      <c r="D893" s="22" t="n"/>
      <c r="E893" s="22" t="n"/>
      <c r="F893" s="22" t="n"/>
      <c r="G893" s="22" t="n"/>
      <c r="H893" s="22" t="n"/>
      <c r="I893" s="22" t="n"/>
      <c r="J893" s="22" t="n"/>
      <c r="K893" s="22" t="n"/>
    </row>
    <row r="894">
      <c r="A894" s="324" t="n"/>
      <c r="B894" s="22" t="n"/>
      <c r="C894" s="22" t="n"/>
      <c r="D894" s="22" t="n"/>
      <c r="E894" s="22" t="n"/>
      <c r="F894" s="22" t="n"/>
      <c r="G894" s="22" t="n"/>
      <c r="H894" s="22" t="n"/>
      <c r="I894" s="22" t="n"/>
      <c r="J894" s="22" t="n"/>
      <c r="K894" s="22" t="n"/>
    </row>
    <row r="895">
      <c r="A895" s="324" t="n"/>
      <c r="B895" s="22" t="n"/>
      <c r="C895" s="22" t="n"/>
      <c r="D895" s="22" t="n"/>
      <c r="E895" s="22" t="n"/>
      <c r="F895" s="22" t="n"/>
      <c r="G895" s="22" t="n"/>
      <c r="H895" s="22" t="n"/>
      <c r="I895" s="22" t="n"/>
      <c r="J895" s="22" t="n"/>
      <c r="K895" s="22" t="n"/>
    </row>
    <row r="896">
      <c r="A896" s="324" t="n"/>
      <c r="B896" s="22" t="n"/>
      <c r="C896" s="22" t="n"/>
      <c r="D896" s="22" t="n"/>
      <c r="E896" s="22" t="n"/>
      <c r="F896" s="22" t="n"/>
      <c r="G896" s="22" t="n"/>
      <c r="H896" s="22" t="n"/>
      <c r="I896" s="22" t="n"/>
      <c r="J896" s="22" t="n"/>
      <c r="K896" s="22" t="n"/>
    </row>
    <row r="897">
      <c r="A897" s="324" t="n"/>
      <c r="B897" s="22" t="n"/>
      <c r="C897" s="22" t="n"/>
      <c r="D897" s="22" t="n"/>
      <c r="E897" s="22" t="n"/>
      <c r="F897" s="22" t="n"/>
      <c r="G897" s="22" t="n"/>
      <c r="H897" s="22" t="n"/>
      <c r="I897" s="22" t="n"/>
      <c r="J897" s="22" t="n"/>
      <c r="K897" s="22" t="n"/>
    </row>
    <row r="898">
      <c r="A898" s="324" t="n"/>
      <c r="B898" s="22" t="n"/>
      <c r="C898" s="22" t="n"/>
      <c r="D898" s="22" t="n"/>
      <c r="E898" s="22" t="n"/>
      <c r="F898" s="22" t="n"/>
      <c r="G898" s="22" t="n"/>
      <c r="H898" s="22" t="n"/>
      <c r="I898" s="22" t="n"/>
      <c r="J898" s="22" t="n"/>
      <c r="K898" s="22" t="n"/>
    </row>
    <row r="899">
      <c r="A899" s="324" t="n"/>
      <c r="B899" s="22" t="n"/>
      <c r="C899" s="22" t="n"/>
      <c r="D899" s="22" t="n"/>
      <c r="E899" s="22" t="n"/>
      <c r="F899" s="22" t="n"/>
      <c r="G899" s="22" t="n"/>
      <c r="H899" s="22" t="n"/>
      <c r="I899" s="22" t="n"/>
      <c r="J899" s="22" t="n"/>
      <c r="K899" s="22" t="n"/>
    </row>
    <row r="900">
      <c r="A900" s="324" t="n"/>
      <c r="B900" s="22" t="n"/>
      <c r="C900" s="22" t="n"/>
      <c r="D900" s="22" t="n"/>
      <c r="E900" s="22" t="n"/>
      <c r="F900" s="22" t="n"/>
      <c r="G900" s="22" t="n"/>
      <c r="H900" s="22" t="n"/>
      <c r="I900" s="22" t="n"/>
      <c r="J900" s="22" t="n"/>
      <c r="K900" s="22" t="n"/>
    </row>
    <row r="901">
      <c r="A901" s="324" t="n"/>
      <c r="B901" s="22" t="n"/>
      <c r="C901" s="22" t="n"/>
      <c r="D901" s="22" t="n"/>
      <c r="E901" s="22" t="n"/>
      <c r="F901" s="22" t="n"/>
      <c r="G901" s="22" t="n"/>
      <c r="H901" s="22" t="n"/>
      <c r="I901" s="22" t="n"/>
      <c r="J901" s="22" t="n"/>
      <c r="K901" s="22" t="n"/>
    </row>
    <row r="902">
      <c r="A902" s="324" t="n"/>
      <c r="B902" s="22" t="n"/>
      <c r="C902" s="22" t="n"/>
      <c r="D902" s="22" t="n"/>
      <c r="E902" s="22" t="n"/>
      <c r="F902" s="22" t="n"/>
      <c r="G902" s="22" t="n"/>
      <c r="H902" s="22" t="n"/>
      <c r="I902" s="22" t="n"/>
      <c r="J902" s="22" t="n"/>
      <c r="K902" s="22" t="n"/>
    </row>
    <row r="903">
      <c r="A903" s="324" t="n"/>
      <c r="B903" s="22" t="n"/>
      <c r="C903" s="22" t="n"/>
      <c r="D903" s="22" t="n"/>
      <c r="E903" s="22" t="n"/>
      <c r="F903" s="22" t="n"/>
      <c r="G903" s="22" t="n"/>
      <c r="H903" s="22" t="n"/>
      <c r="I903" s="22" t="n"/>
      <c r="J903" s="22" t="n"/>
      <c r="K903" s="22" t="n"/>
    </row>
    <row r="904">
      <c r="A904" s="324" t="n"/>
      <c r="B904" s="22" t="n"/>
      <c r="C904" s="22" t="n"/>
      <c r="D904" s="22" t="n"/>
      <c r="E904" s="22" t="n"/>
      <c r="F904" s="22" t="n"/>
      <c r="G904" s="22" t="n"/>
      <c r="H904" s="22" t="n"/>
      <c r="I904" s="22" t="n"/>
      <c r="J904" s="22" t="n"/>
      <c r="K904" s="22" t="n"/>
    </row>
    <row r="905">
      <c r="A905" s="324" t="n"/>
      <c r="B905" s="22" t="n"/>
      <c r="C905" s="22" t="n"/>
      <c r="D905" s="22" t="n"/>
      <c r="E905" s="22" t="n"/>
      <c r="F905" s="22" t="n"/>
      <c r="G905" s="22" t="n"/>
      <c r="H905" s="22" t="n"/>
      <c r="I905" s="22" t="n"/>
      <c r="J905" s="22" t="n"/>
      <c r="K905" s="22" t="n"/>
    </row>
    <row r="906">
      <c r="A906" s="324" t="n"/>
      <c r="B906" s="22" t="n"/>
      <c r="C906" s="22" t="n"/>
      <c r="D906" s="22" t="n"/>
      <c r="E906" s="22" t="n"/>
      <c r="F906" s="22" t="n"/>
      <c r="G906" s="22" t="n"/>
      <c r="H906" s="22" t="n"/>
      <c r="I906" s="22" t="n"/>
      <c r="J906" s="22" t="n"/>
      <c r="K906" s="22" t="n"/>
    </row>
    <row r="907">
      <c r="A907" s="324" t="n"/>
      <c r="B907" s="22" t="n"/>
      <c r="C907" s="22" t="n"/>
      <c r="D907" s="22" t="n"/>
      <c r="E907" s="22" t="n"/>
      <c r="F907" s="22" t="n"/>
      <c r="G907" s="22" t="n"/>
      <c r="H907" s="22" t="n"/>
      <c r="I907" s="22" t="n"/>
      <c r="J907" s="22" t="n"/>
      <c r="K907" s="22" t="n"/>
    </row>
    <row r="908">
      <c r="A908" s="324" t="n"/>
      <c r="B908" s="22" t="n"/>
      <c r="C908" s="22" t="n"/>
      <c r="D908" s="22" t="n"/>
      <c r="E908" s="22" t="n"/>
      <c r="F908" s="22" t="n"/>
      <c r="G908" s="22" t="n"/>
      <c r="H908" s="22" t="n"/>
      <c r="I908" s="22" t="n"/>
      <c r="J908" s="22" t="n"/>
      <c r="K908" s="22" t="n"/>
    </row>
    <row r="909">
      <c r="A909" s="324" t="n"/>
      <c r="B909" s="22" t="n"/>
      <c r="C909" s="22" t="n"/>
      <c r="D909" s="22" t="n"/>
      <c r="E909" s="22" t="n"/>
      <c r="F909" s="22" t="n"/>
      <c r="G909" s="22" t="n"/>
      <c r="H909" s="22" t="n"/>
      <c r="I909" s="22" t="n"/>
      <c r="J909" s="22" t="n"/>
      <c r="K909" s="22" t="n"/>
    </row>
    <row r="910">
      <c r="A910" s="324" t="n"/>
      <c r="B910" s="22" t="n"/>
      <c r="C910" s="22" t="n"/>
      <c r="D910" s="22" t="n"/>
      <c r="E910" s="22" t="n"/>
      <c r="F910" s="22" t="n"/>
      <c r="G910" s="22" t="n"/>
      <c r="H910" s="22" t="n"/>
      <c r="I910" s="22" t="n"/>
      <c r="J910" s="22" t="n"/>
      <c r="K910" s="22" t="n"/>
    </row>
    <row r="911">
      <c r="A911" s="324" t="n"/>
      <c r="B911" s="22" t="n"/>
      <c r="C911" s="22" t="n"/>
      <c r="D911" s="22" t="n"/>
      <c r="E911" s="22" t="n"/>
      <c r="F911" s="22" t="n"/>
      <c r="G911" s="22" t="n"/>
      <c r="H911" s="22" t="n"/>
      <c r="I911" s="22" t="n"/>
      <c r="J911" s="22" t="n"/>
      <c r="K911" s="22" t="n"/>
    </row>
    <row r="912">
      <c r="A912" s="324" t="n"/>
      <c r="B912" s="22" t="n"/>
      <c r="C912" s="22" t="n"/>
      <c r="D912" s="22" t="n"/>
      <c r="E912" s="22" t="n"/>
      <c r="F912" s="22" t="n"/>
      <c r="G912" s="22" t="n"/>
      <c r="H912" s="22" t="n"/>
      <c r="I912" s="22" t="n"/>
      <c r="J912" s="22" t="n"/>
      <c r="K912" s="22" t="n"/>
    </row>
    <row r="913">
      <c r="A913" s="324" t="n"/>
      <c r="B913" s="22" t="n"/>
      <c r="C913" s="22" t="n"/>
      <c r="D913" s="22" t="n"/>
      <c r="E913" s="22" t="n"/>
      <c r="F913" s="22" t="n"/>
      <c r="G913" s="22" t="n"/>
      <c r="H913" s="22" t="n"/>
      <c r="I913" s="22" t="n"/>
      <c r="J913" s="22" t="n"/>
      <c r="K913" s="22" t="n"/>
    </row>
    <row r="914">
      <c r="A914" s="324" t="n"/>
      <c r="B914" s="22" t="n"/>
      <c r="C914" s="22" t="n"/>
      <c r="D914" s="22" t="n"/>
      <c r="E914" s="22" t="n"/>
      <c r="F914" s="22" t="n"/>
      <c r="G914" s="22" t="n"/>
      <c r="H914" s="22" t="n"/>
      <c r="I914" s="22" t="n"/>
      <c r="J914" s="22" t="n"/>
      <c r="K914" s="22" t="n"/>
    </row>
    <row r="915">
      <c r="A915" s="324" t="n"/>
      <c r="B915" s="22" t="n"/>
      <c r="C915" s="22" t="n"/>
      <c r="D915" s="22" t="n"/>
      <c r="E915" s="22" t="n"/>
      <c r="F915" s="22" t="n"/>
      <c r="G915" s="22" t="n"/>
      <c r="H915" s="22" t="n"/>
      <c r="I915" s="22" t="n"/>
      <c r="J915" s="22" t="n"/>
      <c r="K915" s="22" t="n"/>
    </row>
    <row r="916">
      <c r="A916" s="324" t="n"/>
      <c r="B916" s="22" t="n"/>
      <c r="C916" s="22" t="n"/>
      <c r="D916" s="22" t="n"/>
      <c r="E916" s="22" t="n"/>
      <c r="F916" s="22" t="n"/>
      <c r="G916" s="22" t="n"/>
      <c r="H916" s="22" t="n"/>
      <c r="I916" s="22" t="n"/>
      <c r="J916" s="22" t="n"/>
      <c r="K916" s="22" t="n"/>
    </row>
    <row r="917">
      <c r="A917" s="324" t="n"/>
      <c r="B917" s="22" t="n"/>
      <c r="C917" s="22" t="n"/>
      <c r="D917" s="22" t="n"/>
      <c r="E917" s="22" t="n"/>
      <c r="F917" s="22" t="n"/>
      <c r="G917" s="22" t="n"/>
      <c r="H917" s="22" t="n"/>
      <c r="I917" s="22" t="n"/>
      <c r="J917" s="22" t="n"/>
      <c r="K917" s="22" t="n"/>
    </row>
    <row r="918">
      <c r="A918" s="324" t="n"/>
      <c r="B918" s="22" t="n"/>
      <c r="C918" s="22" t="n"/>
      <c r="D918" s="22" t="n"/>
      <c r="E918" s="22" t="n"/>
      <c r="F918" s="22" t="n"/>
      <c r="G918" s="22" t="n"/>
      <c r="H918" s="22" t="n"/>
      <c r="I918" s="22" t="n"/>
      <c r="J918" s="22" t="n"/>
      <c r="K918" s="22" t="n"/>
    </row>
    <row r="919">
      <c r="A919" s="324" t="n"/>
      <c r="B919" s="22" t="n"/>
      <c r="C919" s="22" t="n"/>
      <c r="D919" s="22" t="n"/>
      <c r="E919" s="22" t="n"/>
      <c r="F919" s="22" t="n"/>
      <c r="G919" s="22" t="n"/>
      <c r="H919" s="22" t="n"/>
      <c r="I919" s="22" t="n"/>
      <c r="J919" s="22" t="n"/>
      <c r="K919" s="22" t="n"/>
    </row>
    <row r="920">
      <c r="A920" s="324" t="n"/>
      <c r="B920" s="22" t="n"/>
      <c r="C920" s="22" t="n"/>
      <c r="D920" s="22" t="n"/>
      <c r="E920" s="22" t="n"/>
      <c r="F920" s="22" t="n"/>
      <c r="G920" s="22" t="n"/>
      <c r="H920" s="22" t="n"/>
      <c r="I920" s="22" t="n"/>
      <c r="J920" s="22" t="n"/>
      <c r="K920" s="22" t="n"/>
    </row>
    <row r="921">
      <c r="A921" s="324" t="n"/>
      <c r="B921" s="22" t="n"/>
      <c r="C921" s="22" t="n"/>
      <c r="D921" s="22" t="n"/>
      <c r="E921" s="22" t="n"/>
      <c r="F921" s="22" t="n"/>
      <c r="G921" s="22" t="n"/>
      <c r="H921" s="22" t="n"/>
      <c r="I921" s="22" t="n"/>
      <c r="J921" s="22" t="n"/>
      <c r="K921" s="22" t="n"/>
    </row>
    <row r="922">
      <c r="A922" s="324" t="n"/>
      <c r="B922" s="22" t="n"/>
      <c r="C922" s="22" t="n"/>
      <c r="D922" s="22" t="n"/>
      <c r="E922" s="22" t="n"/>
      <c r="F922" s="22" t="n"/>
      <c r="G922" s="22" t="n"/>
      <c r="H922" s="22" t="n"/>
      <c r="I922" s="22" t="n"/>
      <c r="J922" s="22" t="n"/>
      <c r="K922" s="22" t="n"/>
    </row>
    <row r="923">
      <c r="A923" s="324" t="n"/>
      <c r="B923" s="22" t="n"/>
      <c r="C923" s="22" t="n"/>
      <c r="D923" s="22" t="n"/>
      <c r="E923" s="22" t="n"/>
      <c r="F923" s="22" t="n"/>
      <c r="G923" s="22" t="n"/>
      <c r="H923" s="22" t="n"/>
      <c r="I923" s="22" t="n"/>
      <c r="J923" s="22" t="n"/>
      <c r="K923" s="22" t="n"/>
    </row>
    <row r="924">
      <c r="A924" s="324" t="n"/>
      <c r="B924" s="22" t="n"/>
      <c r="C924" s="22" t="n"/>
      <c r="D924" s="22" t="n"/>
      <c r="E924" s="22" t="n"/>
      <c r="F924" s="22" t="n"/>
      <c r="G924" s="22" t="n"/>
      <c r="H924" s="22" t="n"/>
      <c r="I924" s="22" t="n"/>
      <c r="J924" s="22" t="n"/>
      <c r="K924" s="22" t="n"/>
    </row>
    <row r="925">
      <c r="A925" s="324" t="n"/>
      <c r="B925" s="22" t="n"/>
      <c r="C925" s="22" t="n"/>
      <c r="D925" s="22" t="n"/>
      <c r="E925" s="22" t="n"/>
      <c r="F925" s="22" t="n"/>
      <c r="G925" s="22" t="n"/>
      <c r="H925" s="22" t="n"/>
      <c r="I925" s="22" t="n"/>
      <c r="J925" s="22" t="n"/>
      <c r="K925" s="22" t="n"/>
    </row>
    <row r="926">
      <c r="A926" s="324" t="n"/>
      <c r="B926" s="22" t="n"/>
      <c r="C926" s="22" t="n"/>
      <c r="D926" s="22" t="n"/>
      <c r="E926" s="22" t="n"/>
      <c r="F926" s="22" t="n"/>
      <c r="G926" s="22" t="n"/>
      <c r="H926" s="22" t="n"/>
      <c r="I926" s="22" t="n"/>
      <c r="J926" s="22" t="n"/>
      <c r="K926" s="22" t="n"/>
    </row>
    <row r="927">
      <c r="A927" s="324" t="n"/>
      <c r="B927" s="22" t="n"/>
      <c r="C927" s="22" t="n"/>
      <c r="D927" s="22" t="n"/>
      <c r="E927" s="22" t="n"/>
      <c r="F927" s="22" t="n"/>
      <c r="G927" s="22" t="n"/>
      <c r="H927" s="22" t="n"/>
      <c r="I927" s="22" t="n"/>
      <c r="J927" s="22" t="n"/>
      <c r="K927" s="22" t="n"/>
    </row>
    <row r="928">
      <c r="A928" s="324" t="n"/>
      <c r="B928" s="22" t="n"/>
      <c r="C928" s="22" t="n"/>
      <c r="D928" s="22" t="n"/>
      <c r="E928" s="22" t="n"/>
      <c r="F928" s="22" t="n"/>
      <c r="G928" s="22" t="n"/>
      <c r="H928" s="22" t="n"/>
      <c r="I928" s="22" t="n"/>
      <c r="J928" s="22" t="n"/>
      <c r="K928" s="22" t="n"/>
    </row>
    <row r="929">
      <c r="A929" s="324" t="n"/>
      <c r="B929" s="22" t="n"/>
      <c r="C929" s="22" t="n"/>
      <c r="D929" s="22" t="n"/>
      <c r="E929" s="22" t="n"/>
      <c r="F929" s="22" t="n"/>
      <c r="G929" s="22" t="n"/>
      <c r="H929" s="22" t="n"/>
      <c r="I929" s="22" t="n"/>
      <c r="J929" s="22" t="n"/>
      <c r="K929" s="22" t="n"/>
    </row>
    <row r="930">
      <c r="A930" s="324" t="n"/>
      <c r="B930" s="22" t="n"/>
      <c r="C930" s="22" t="n"/>
      <c r="D930" s="22" t="n"/>
      <c r="E930" s="22" t="n"/>
      <c r="F930" s="22" t="n"/>
      <c r="G930" s="22" t="n"/>
      <c r="H930" s="22" t="n"/>
      <c r="I930" s="22" t="n"/>
      <c r="J930" s="22" t="n"/>
      <c r="K930" s="22" t="n"/>
    </row>
    <row r="931">
      <c r="A931" s="324" t="n"/>
      <c r="B931" s="22" t="n"/>
      <c r="C931" s="22" t="n"/>
      <c r="D931" s="22" t="n"/>
      <c r="E931" s="22" t="n"/>
      <c r="F931" s="22" t="n"/>
      <c r="G931" s="22" t="n"/>
      <c r="H931" s="22" t="n"/>
      <c r="I931" s="22" t="n"/>
      <c r="J931" s="22" t="n"/>
      <c r="K931" s="22" t="n"/>
    </row>
    <row r="932">
      <c r="A932" s="324" t="n"/>
      <c r="B932" s="22" t="n"/>
      <c r="C932" s="22" t="n"/>
      <c r="D932" s="22" t="n"/>
      <c r="E932" s="22" t="n"/>
      <c r="F932" s="22" t="n"/>
      <c r="G932" s="22" t="n"/>
      <c r="H932" s="22" t="n"/>
      <c r="I932" s="22" t="n"/>
      <c r="J932" s="22" t="n"/>
      <c r="K932" s="22" t="n"/>
    </row>
    <row r="933">
      <c r="A933" s="324" t="n"/>
      <c r="B933" s="22" t="n"/>
      <c r="C933" s="22" t="n"/>
      <c r="D933" s="22" t="n"/>
      <c r="E933" s="22" t="n"/>
      <c r="F933" s="22" t="n"/>
      <c r="G933" s="22" t="n"/>
      <c r="H933" s="22" t="n"/>
      <c r="I933" s="22" t="n"/>
      <c r="J933" s="22" t="n"/>
      <c r="K933" s="22" t="n"/>
    </row>
    <row r="934">
      <c r="A934" s="324" t="n"/>
      <c r="B934" s="22" t="n"/>
      <c r="C934" s="22" t="n"/>
      <c r="D934" s="22" t="n"/>
      <c r="E934" s="22" t="n"/>
      <c r="F934" s="22" t="n"/>
      <c r="G934" s="22" t="n"/>
      <c r="H934" s="22" t="n"/>
      <c r="I934" s="22" t="n"/>
      <c r="J934" s="22" t="n"/>
      <c r="K934" s="22" t="n"/>
    </row>
    <row r="935">
      <c r="A935" s="324" t="n"/>
      <c r="B935" s="22" t="n"/>
      <c r="C935" s="22" t="n"/>
      <c r="D935" s="22" t="n"/>
      <c r="E935" s="22" t="n"/>
      <c r="F935" s="22" t="n"/>
      <c r="G935" s="22" t="n"/>
      <c r="H935" s="22" t="n"/>
      <c r="I935" s="22" t="n"/>
      <c r="J935" s="22" t="n"/>
      <c r="K935" s="22" t="n"/>
    </row>
    <row r="936">
      <c r="A936" s="324" t="n"/>
      <c r="B936" s="22" t="n"/>
      <c r="C936" s="22" t="n"/>
      <c r="D936" s="22" t="n"/>
      <c r="E936" s="22" t="n"/>
      <c r="F936" s="22" t="n"/>
      <c r="G936" s="22" t="n"/>
      <c r="H936" s="22" t="n"/>
      <c r="I936" s="22" t="n"/>
      <c r="J936" s="22" t="n"/>
      <c r="K936" s="22" t="n"/>
    </row>
    <row r="937">
      <c r="A937" s="324" t="n"/>
      <c r="B937" s="22" t="n"/>
      <c r="C937" s="22" t="n"/>
      <c r="D937" s="22" t="n"/>
      <c r="E937" s="22" t="n"/>
      <c r="F937" s="22" t="n"/>
      <c r="G937" s="22" t="n"/>
      <c r="H937" s="22" t="n"/>
      <c r="I937" s="22" t="n"/>
      <c r="J937" s="22" t="n"/>
      <c r="K937" s="22" t="n"/>
    </row>
    <row r="938">
      <c r="A938" s="324" t="n"/>
      <c r="B938" s="22" t="n"/>
      <c r="C938" s="22" t="n"/>
      <c r="D938" s="22" t="n"/>
      <c r="E938" s="22" t="n"/>
      <c r="F938" s="22" t="n"/>
      <c r="G938" s="22" t="n"/>
      <c r="H938" s="22" t="n"/>
      <c r="I938" s="22" t="n"/>
      <c r="J938" s="22" t="n"/>
      <c r="K938" s="22" t="n"/>
    </row>
    <row r="939">
      <c r="A939" s="324" t="n"/>
      <c r="B939" s="22" t="n"/>
      <c r="C939" s="22" t="n"/>
      <c r="D939" s="22" t="n"/>
      <c r="E939" s="22" t="n"/>
      <c r="F939" s="22" t="n"/>
      <c r="G939" s="22" t="n"/>
      <c r="H939" s="22" t="n"/>
      <c r="I939" s="22" t="n"/>
      <c r="J939" s="22" t="n"/>
      <c r="K939" s="22" t="n"/>
    </row>
    <row r="940">
      <c r="A940" s="324" t="n"/>
      <c r="B940" s="22" t="n"/>
      <c r="C940" s="22" t="n"/>
      <c r="D940" s="22" t="n"/>
      <c r="E940" s="22" t="n"/>
      <c r="F940" s="22" t="n"/>
      <c r="G940" s="22" t="n"/>
      <c r="H940" s="22" t="n"/>
      <c r="I940" s="22" t="n"/>
      <c r="J940" s="22" t="n"/>
      <c r="K940" s="22" t="n"/>
    </row>
    <row r="941">
      <c r="A941" s="324" t="n"/>
      <c r="B941" s="22" t="n"/>
      <c r="C941" s="22" t="n"/>
      <c r="D941" s="22" t="n"/>
      <c r="E941" s="22" t="n"/>
      <c r="F941" s="22" t="n"/>
      <c r="G941" s="22" t="n"/>
      <c r="H941" s="22" t="n"/>
      <c r="I941" s="22" t="n"/>
      <c r="J941" s="22" t="n"/>
      <c r="K941" s="22" t="n"/>
    </row>
    <row r="942">
      <c r="A942" s="324" t="n"/>
      <c r="B942" s="22" t="n"/>
      <c r="C942" s="22" t="n"/>
      <c r="D942" s="22" t="n"/>
      <c r="E942" s="22" t="n"/>
      <c r="F942" s="22" t="n"/>
      <c r="G942" s="22" t="n"/>
      <c r="H942" s="22" t="n"/>
      <c r="I942" s="22" t="n"/>
      <c r="J942" s="22" t="n"/>
      <c r="K942" s="22" t="n"/>
    </row>
    <row r="943">
      <c r="A943" s="324" t="n"/>
      <c r="B943" s="22" t="n"/>
      <c r="C943" s="22" t="n"/>
      <c r="D943" s="22" t="n"/>
      <c r="E943" s="22" t="n"/>
      <c r="F943" s="22" t="n"/>
      <c r="G943" s="22" t="n"/>
      <c r="H943" s="22" t="n"/>
      <c r="I943" s="22" t="n"/>
      <c r="J943" s="22" t="n"/>
      <c r="K943" s="22" t="n"/>
    </row>
    <row r="944">
      <c r="A944" s="324" t="n"/>
      <c r="B944" s="22" t="n"/>
      <c r="C944" s="22" t="n"/>
      <c r="D944" s="22" t="n"/>
      <c r="E944" s="22" t="n"/>
      <c r="F944" s="22" t="n"/>
      <c r="G944" s="22" t="n"/>
      <c r="H944" s="22" t="n"/>
      <c r="I944" s="22" t="n"/>
      <c r="J944" s="22" t="n"/>
      <c r="K944" s="22" t="n"/>
    </row>
    <row r="945">
      <c r="A945" s="324" t="n"/>
      <c r="B945" s="22" t="n"/>
      <c r="C945" s="22" t="n"/>
      <c r="D945" s="22" t="n"/>
      <c r="E945" s="22" t="n"/>
      <c r="F945" s="22" t="n"/>
      <c r="G945" s="22" t="n"/>
      <c r="H945" s="22" t="n"/>
      <c r="I945" s="22" t="n"/>
      <c r="J945" s="22" t="n"/>
      <c r="K945" s="22" t="n"/>
    </row>
    <row r="946">
      <c r="A946" s="324" t="n"/>
      <c r="B946" s="22" t="n"/>
      <c r="C946" s="22" t="n"/>
      <c r="D946" s="22" t="n"/>
      <c r="E946" s="22" t="n"/>
      <c r="F946" s="22" t="n"/>
      <c r="G946" s="22" t="n"/>
      <c r="H946" s="22" t="n"/>
      <c r="I946" s="22" t="n"/>
      <c r="J946" s="22" t="n"/>
      <c r="K946" s="22" t="n"/>
    </row>
    <row r="947">
      <c r="A947" s="324" t="n"/>
      <c r="B947" s="22" t="n"/>
      <c r="C947" s="22" t="n"/>
      <c r="D947" s="22" t="n"/>
      <c r="E947" s="22" t="n"/>
      <c r="F947" s="22" t="n"/>
      <c r="G947" s="22" t="n"/>
      <c r="H947" s="22" t="n"/>
      <c r="I947" s="22" t="n"/>
      <c r="J947" s="22" t="n"/>
      <c r="K947" s="22" t="n"/>
    </row>
    <row r="948">
      <c r="A948" s="324" t="n"/>
      <c r="B948" s="22" t="n"/>
      <c r="C948" s="22" t="n"/>
      <c r="D948" s="22" t="n"/>
      <c r="E948" s="22" t="n"/>
      <c r="F948" s="22" t="n"/>
      <c r="G948" s="22" t="n"/>
      <c r="H948" s="22" t="n"/>
      <c r="I948" s="22" t="n"/>
      <c r="J948" s="22" t="n"/>
      <c r="K948" s="22" t="n"/>
    </row>
    <row r="949">
      <c r="A949" s="324" t="n"/>
      <c r="B949" s="22" t="n"/>
      <c r="C949" s="22" t="n"/>
      <c r="D949" s="22" t="n"/>
      <c r="E949" s="22" t="n"/>
      <c r="F949" s="22" t="n"/>
      <c r="G949" s="22" t="n"/>
      <c r="H949" s="22" t="n"/>
      <c r="I949" s="22" t="n"/>
      <c r="J949" s="22" t="n"/>
      <c r="K949" s="22" t="n"/>
    </row>
    <row r="950">
      <c r="A950" s="324" t="n"/>
      <c r="B950" s="22" t="n"/>
      <c r="C950" s="22" t="n"/>
      <c r="D950" s="22" t="n"/>
      <c r="E950" s="22" t="n"/>
      <c r="F950" s="22" t="n"/>
      <c r="G950" s="22" t="n"/>
      <c r="H950" s="22" t="n"/>
      <c r="I950" s="22" t="n"/>
      <c r="J950" s="22" t="n"/>
      <c r="K950" s="22" t="n"/>
    </row>
    <row r="951">
      <c r="A951" s="324" t="n"/>
      <c r="B951" s="22" t="n"/>
      <c r="C951" s="22" t="n"/>
      <c r="D951" s="22" t="n"/>
      <c r="E951" s="22" t="n"/>
      <c r="F951" s="22" t="n"/>
      <c r="G951" s="22" t="n"/>
      <c r="H951" s="22" t="n"/>
      <c r="I951" s="22" t="n"/>
      <c r="J951" s="22" t="n"/>
      <c r="K951" s="22" t="n"/>
    </row>
    <row r="952">
      <c r="A952" s="324" t="n"/>
      <c r="B952" s="22" t="n"/>
      <c r="C952" s="22" t="n"/>
      <c r="D952" s="22" t="n"/>
      <c r="E952" s="22" t="n"/>
      <c r="F952" s="22" t="n"/>
      <c r="G952" s="22" t="n"/>
      <c r="H952" s="22" t="n"/>
      <c r="I952" s="22" t="n"/>
      <c r="J952" s="22" t="n"/>
      <c r="K952" s="22" t="n"/>
    </row>
    <row r="953">
      <c r="A953" s="324" t="n"/>
      <c r="B953" s="22" t="n"/>
      <c r="C953" s="22" t="n"/>
      <c r="D953" s="22" t="n"/>
      <c r="E953" s="22" t="n"/>
      <c r="F953" s="22" t="n"/>
      <c r="G953" s="22" t="n"/>
      <c r="H953" s="22" t="n"/>
      <c r="I953" s="22" t="n"/>
      <c r="J953" s="22" t="n"/>
      <c r="K953" s="22" t="n"/>
    </row>
    <row r="954">
      <c r="A954" s="324" t="n"/>
      <c r="B954" s="22" t="n"/>
      <c r="C954" s="22" t="n"/>
      <c r="D954" s="22" t="n"/>
      <c r="E954" s="22" t="n"/>
      <c r="F954" s="22" t="n"/>
      <c r="G954" s="22" t="n"/>
      <c r="H954" s="22" t="n"/>
      <c r="I954" s="22" t="n"/>
      <c r="J954" s="22" t="n"/>
      <c r="K954" s="22" t="n"/>
    </row>
    <row r="955">
      <c r="A955" s="324" t="n"/>
      <c r="B955" s="22" t="n"/>
      <c r="C955" s="22" t="n"/>
      <c r="D955" s="22" t="n"/>
      <c r="E955" s="22" t="n"/>
      <c r="F955" s="22" t="n"/>
      <c r="G955" s="22" t="n"/>
      <c r="H955" s="22" t="n"/>
      <c r="I955" s="22" t="n"/>
      <c r="J955" s="22" t="n"/>
      <c r="K955" s="22" t="n"/>
    </row>
    <row r="956">
      <c r="A956" s="324" t="n"/>
      <c r="B956" s="22" t="n"/>
      <c r="C956" s="22" t="n"/>
      <c r="D956" s="22" t="n"/>
      <c r="E956" s="22" t="n"/>
      <c r="F956" s="22" t="n"/>
      <c r="G956" s="22" t="n"/>
      <c r="H956" s="22" t="n"/>
      <c r="I956" s="22" t="n"/>
      <c r="J956" s="22" t="n"/>
      <c r="K956" s="22" t="n"/>
    </row>
    <row r="957">
      <c r="A957" s="324" t="n"/>
      <c r="B957" s="22" t="n"/>
      <c r="C957" s="22" t="n"/>
      <c r="D957" s="22" t="n"/>
      <c r="E957" s="22" t="n"/>
      <c r="F957" s="22" t="n"/>
      <c r="G957" s="22" t="n"/>
      <c r="H957" s="22" t="n"/>
      <c r="I957" s="22" t="n"/>
      <c r="J957" s="22" t="n"/>
      <c r="K957" s="22" t="n"/>
    </row>
    <row r="958">
      <c r="A958" s="324" t="n"/>
      <c r="B958" s="22" t="n"/>
      <c r="C958" s="22" t="n"/>
      <c r="D958" s="22" t="n"/>
      <c r="E958" s="22" t="n"/>
      <c r="F958" s="22" t="n"/>
      <c r="G958" s="22" t="n"/>
      <c r="H958" s="22" t="n"/>
      <c r="I958" s="22" t="n"/>
      <c r="J958" s="22" t="n"/>
      <c r="K958" s="22" t="n"/>
    </row>
    <row r="959">
      <c r="A959" s="324" t="n"/>
      <c r="B959" s="22" t="n"/>
      <c r="C959" s="22" t="n"/>
      <c r="D959" s="22" t="n"/>
      <c r="E959" s="22" t="n"/>
      <c r="F959" s="22" t="n"/>
      <c r="G959" s="22" t="n"/>
      <c r="H959" s="22" t="n"/>
      <c r="I959" s="22" t="n"/>
      <c r="J959" s="22" t="n"/>
      <c r="K959" s="22" t="n"/>
    </row>
    <row r="960">
      <c r="A960" s="324" t="n"/>
      <c r="B960" s="22" t="n"/>
      <c r="C960" s="22" t="n"/>
      <c r="D960" s="22" t="n"/>
      <c r="E960" s="22" t="n"/>
      <c r="F960" s="22" t="n"/>
      <c r="G960" s="22" t="n"/>
      <c r="H960" s="22" t="n"/>
      <c r="I960" s="22" t="n"/>
      <c r="J960" s="22" t="n"/>
      <c r="K960" s="22" t="n"/>
    </row>
    <row r="961">
      <c r="A961" s="324" t="n"/>
      <c r="B961" s="22" t="n"/>
      <c r="C961" s="22" t="n"/>
      <c r="D961" s="22" t="n"/>
      <c r="E961" s="22" t="n"/>
      <c r="F961" s="22" t="n"/>
      <c r="G961" s="22" t="n"/>
      <c r="H961" s="22" t="n"/>
      <c r="I961" s="22" t="n"/>
      <c r="J961" s="22" t="n"/>
      <c r="K961" s="22" t="n"/>
    </row>
    <row r="962">
      <c r="A962" s="324" t="n"/>
      <c r="B962" s="22" t="n"/>
      <c r="C962" s="22" t="n"/>
      <c r="D962" s="22" t="n"/>
      <c r="E962" s="22" t="n"/>
      <c r="F962" s="22" t="n"/>
      <c r="G962" s="22" t="n"/>
      <c r="H962" s="22" t="n"/>
      <c r="I962" s="22" t="n"/>
      <c r="J962" s="22" t="n"/>
      <c r="K962" s="22" t="n"/>
    </row>
    <row r="963">
      <c r="A963" s="324" t="n"/>
      <c r="B963" s="22" t="n"/>
      <c r="C963" s="22" t="n"/>
      <c r="D963" s="22" t="n"/>
      <c r="E963" s="22" t="n"/>
      <c r="F963" s="22" t="n"/>
      <c r="G963" s="22" t="n"/>
      <c r="H963" s="22" t="n"/>
      <c r="I963" s="22" t="n"/>
      <c r="J963" s="22" t="n"/>
      <c r="K963" s="22" t="n"/>
    </row>
    <row r="964">
      <c r="A964" s="324" t="n"/>
      <c r="B964" s="22" t="n"/>
      <c r="C964" s="22" t="n"/>
      <c r="D964" s="22" t="n"/>
      <c r="E964" s="22" t="n"/>
      <c r="F964" s="22" t="n"/>
      <c r="G964" s="22" t="n"/>
      <c r="H964" s="22" t="n"/>
      <c r="I964" s="22" t="n"/>
      <c r="J964" s="22" t="n"/>
      <c r="K964" s="22" t="n"/>
    </row>
    <row r="965">
      <c r="A965" s="324" t="n"/>
      <c r="B965" s="22" t="n"/>
      <c r="C965" s="22" t="n"/>
      <c r="D965" s="22" t="n"/>
      <c r="E965" s="22" t="n"/>
      <c r="F965" s="22" t="n"/>
      <c r="G965" s="22" t="n"/>
      <c r="H965" s="22" t="n"/>
      <c r="I965" s="22" t="n"/>
      <c r="J965" s="22" t="n"/>
      <c r="K965" s="22" t="n"/>
    </row>
    <row r="966">
      <c r="A966" s="324" t="n"/>
      <c r="B966" s="22" t="n"/>
      <c r="C966" s="22" t="n"/>
      <c r="D966" s="22" t="n"/>
      <c r="E966" s="22" t="n"/>
      <c r="F966" s="22" t="n"/>
      <c r="G966" s="22" t="n"/>
      <c r="H966" s="22" t="n"/>
      <c r="I966" s="22" t="n"/>
      <c r="J966" s="22" t="n"/>
      <c r="K966" s="22" t="n"/>
    </row>
    <row r="967">
      <c r="A967" s="324" t="n"/>
      <c r="B967" s="22" t="n"/>
      <c r="C967" s="22" t="n"/>
      <c r="D967" s="22" t="n"/>
      <c r="E967" s="22" t="n"/>
      <c r="F967" s="22" t="n"/>
      <c r="G967" s="22" t="n"/>
      <c r="H967" s="22" t="n"/>
      <c r="I967" s="22" t="n"/>
      <c r="J967" s="22" t="n"/>
      <c r="K967" s="22" t="n"/>
    </row>
    <row r="968">
      <c r="A968" s="324" t="n"/>
      <c r="B968" s="22" t="n"/>
      <c r="C968" s="22" t="n"/>
      <c r="D968" s="22" t="n"/>
      <c r="E968" s="22" t="n"/>
      <c r="F968" s="22" t="n"/>
      <c r="G968" s="22" t="n"/>
      <c r="H968" s="22" t="n"/>
      <c r="I968" s="22" t="n"/>
      <c r="J968" s="22" t="n"/>
      <c r="K968" s="22" t="n"/>
    </row>
    <row r="969">
      <c r="A969" s="324" t="n"/>
      <c r="B969" s="22" t="n"/>
      <c r="C969" s="22" t="n"/>
      <c r="D969" s="22" t="n"/>
      <c r="E969" s="22" t="n"/>
      <c r="F969" s="22" t="n"/>
      <c r="G969" s="22" t="n"/>
      <c r="H969" s="22" t="n"/>
      <c r="I969" s="22" t="n"/>
      <c r="J969" s="22" t="n"/>
      <c r="K969" s="22" t="n"/>
    </row>
    <row r="970">
      <c r="A970" s="324" t="n"/>
      <c r="B970" s="22" t="n"/>
      <c r="C970" s="22" t="n"/>
      <c r="D970" s="22" t="n"/>
      <c r="E970" s="22" t="n"/>
      <c r="F970" s="22" t="n"/>
      <c r="G970" s="22" t="n"/>
      <c r="H970" s="22" t="n"/>
      <c r="I970" s="22" t="n"/>
      <c r="J970" s="22" t="n"/>
      <c r="K970" s="22" t="n"/>
    </row>
    <row r="971">
      <c r="A971" s="324" t="n"/>
      <c r="B971" s="22" t="n"/>
      <c r="C971" s="22" t="n"/>
      <c r="D971" s="22" t="n"/>
      <c r="E971" s="22" t="n"/>
      <c r="F971" s="22" t="n"/>
      <c r="G971" s="22" t="n"/>
      <c r="H971" s="22" t="n"/>
      <c r="I971" s="22" t="n"/>
      <c r="J971" s="22" t="n"/>
      <c r="K971" s="22" t="n"/>
    </row>
    <row r="972">
      <c r="A972" s="324" t="n"/>
      <c r="B972" s="22" t="n"/>
      <c r="C972" s="22" t="n"/>
      <c r="D972" s="22" t="n"/>
      <c r="E972" s="22" t="n"/>
      <c r="F972" s="22" t="n"/>
      <c r="G972" s="22" t="n"/>
      <c r="H972" s="22" t="n"/>
      <c r="I972" s="22" t="n"/>
      <c r="J972" s="22" t="n"/>
      <c r="K972" s="22" t="n"/>
    </row>
    <row r="973">
      <c r="A973" s="324" t="n"/>
      <c r="B973" s="22" t="n"/>
      <c r="C973" s="22" t="n"/>
      <c r="D973" s="22" t="n"/>
      <c r="E973" s="22" t="n"/>
      <c r="F973" s="22" t="n"/>
      <c r="G973" s="22" t="n"/>
      <c r="H973" s="22" t="n"/>
      <c r="I973" s="22" t="n"/>
      <c r="J973" s="22" t="n"/>
      <c r="K973" s="22" t="n"/>
    </row>
    <row r="974">
      <c r="A974" s="324" t="n"/>
      <c r="B974" s="22" t="n"/>
      <c r="C974" s="22" t="n"/>
      <c r="D974" s="22" t="n"/>
      <c r="E974" s="22" t="n"/>
      <c r="F974" s="22" t="n"/>
      <c r="G974" s="22" t="n"/>
      <c r="H974" s="22" t="n"/>
      <c r="I974" s="22" t="n"/>
      <c r="J974" s="22" t="n"/>
      <c r="K974" s="22" t="n"/>
    </row>
    <row r="975">
      <c r="A975" s="324" t="n"/>
      <c r="B975" s="22" t="n"/>
      <c r="C975" s="22" t="n"/>
      <c r="D975" s="22" t="n"/>
      <c r="E975" s="22" t="n"/>
      <c r="F975" s="22" t="n"/>
      <c r="G975" s="22" t="n"/>
      <c r="H975" s="22" t="n"/>
      <c r="I975" s="22" t="n"/>
      <c r="J975" s="22" t="n"/>
      <c r="K975" s="22" t="n"/>
    </row>
    <row r="976">
      <c r="A976" s="324" t="n"/>
      <c r="B976" s="22" t="n"/>
      <c r="C976" s="22" t="n"/>
      <c r="D976" s="22" t="n"/>
      <c r="E976" s="22" t="n"/>
      <c r="F976" s="22" t="n"/>
      <c r="G976" s="22" t="n"/>
      <c r="H976" s="22" t="n"/>
      <c r="I976" s="22" t="n"/>
      <c r="J976" s="22" t="n"/>
      <c r="K976" s="22" t="n"/>
    </row>
    <row r="977">
      <c r="A977" s="324" t="n"/>
      <c r="B977" s="22" t="n"/>
      <c r="C977" s="22" t="n"/>
      <c r="D977" s="22" t="n"/>
      <c r="E977" s="22" t="n"/>
      <c r="F977" s="22" t="n"/>
      <c r="G977" s="22" t="n"/>
      <c r="H977" s="22" t="n"/>
      <c r="I977" s="22" t="n"/>
      <c r="J977" s="22" t="n"/>
      <c r="K977" s="22" t="n"/>
    </row>
    <row r="978">
      <c r="A978" s="324" t="n"/>
      <c r="B978" s="22" t="n"/>
      <c r="C978" s="22" t="n"/>
      <c r="D978" s="22" t="n"/>
      <c r="E978" s="22" t="n"/>
      <c r="F978" s="22" t="n"/>
      <c r="G978" s="22" t="n"/>
      <c r="H978" s="22" t="n"/>
      <c r="I978" s="22" t="n"/>
      <c r="J978" s="22" t="n"/>
      <c r="K978" s="22" t="n"/>
    </row>
    <row r="979">
      <c r="A979" s="324" t="n"/>
      <c r="B979" s="22" t="n"/>
      <c r="C979" s="22" t="n"/>
      <c r="D979" s="22" t="n"/>
      <c r="E979" s="22" t="n"/>
      <c r="F979" s="22" t="n"/>
      <c r="G979" s="22" t="n"/>
      <c r="H979" s="22" t="n"/>
      <c r="I979" s="22" t="n"/>
      <c r="J979" s="22" t="n"/>
      <c r="K979" s="22" t="n"/>
    </row>
    <row r="980">
      <c r="A980" s="324" t="n"/>
      <c r="B980" s="22" t="n"/>
      <c r="C980" s="22" t="n"/>
      <c r="D980" s="22" t="n"/>
      <c r="E980" s="22" t="n"/>
      <c r="F980" s="22" t="n"/>
      <c r="G980" s="22" t="n"/>
      <c r="H980" s="22" t="n"/>
      <c r="I980" s="22" t="n"/>
      <c r="J980" s="22" t="n"/>
      <c r="K980" s="22" t="n"/>
    </row>
    <row r="981">
      <c r="A981" s="324" t="n"/>
      <c r="B981" s="22" t="n"/>
      <c r="C981" s="22" t="n"/>
      <c r="D981" s="22" t="n"/>
      <c r="E981" s="22" t="n"/>
      <c r="F981" s="22" t="n"/>
      <c r="G981" s="22" t="n"/>
      <c r="H981" s="22" t="n"/>
      <c r="I981" s="22" t="n"/>
      <c r="J981" s="22" t="n"/>
      <c r="K981" s="22" t="n"/>
    </row>
    <row r="982">
      <c r="A982" s="324" t="n"/>
      <c r="B982" s="22" t="n"/>
      <c r="C982" s="22" t="n"/>
      <c r="D982" s="22" t="n"/>
      <c r="E982" s="22" t="n"/>
      <c r="F982" s="22" t="n"/>
      <c r="G982" s="22" t="n"/>
      <c r="H982" s="22" t="n"/>
      <c r="I982" s="22" t="n"/>
      <c r="J982" s="22" t="n"/>
      <c r="K982" s="22" t="n"/>
    </row>
    <row r="983">
      <c r="A983" s="324" t="n"/>
      <c r="B983" s="22" t="n"/>
      <c r="C983" s="22" t="n"/>
      <c r="D983" s="22" t="n"/>
      <c r="E983" s="22" t="n"/>
      <c r="F983" s="22" t="n"/>
      <c r="G983" s="22" t="n"/>
      <c r="H983" s="22" t="n"/>
      <c r="I983" s="22" t="n"/>
      <c r="J983" s="22" t="n"/>
      <c r="K983" s="22" t="n"/>
    </row>
    <row r="984">
      <c r="A984" s="324" t="n"/>
      <c r="B984" s="22" t="n"/>
      <c r="C984" s="22" t="n"/>
      <c r="D984" s="22" t="n"/>
      <c r="E984" s="22" t="n"/>
      <c r="F984" s="22" t="n"/>
      <c r="G984" s="22" t="n"/>
      <c r="H984" s="22" t="n"/>
      <c r="I984" s="22" t="n"/>
      <c r="J984" s="22" t="n"/>
      <c r="K984" s="22" t="n"/>
    </row>
    <row r="985">
      <c r="A985" s="324" t="n"/>
      <c r="B985" s="22" t="n"/>
      <c r="C985" s="22" t="n"/>
      <c r="D985" s="22" t="n"/>
      <c r="E985" s="22" t="n"/>
      <c r="F985" s="22" t="n"/>
      <c r="G985" s="22" t="n"/>
      <c r="H985" s="22" t="n"/>
      <c r="I985" s="22" t="n"/>
      <c r="J985" s="22" t="n"/>
      <c r="K985" s="22" t="n"/>
    </row>
    <row r="986">
      <c r="A986" s="324" t="n"/>
      <c r="B986" s="22" t="n"/>
      <c r="C986" s="22" t="n"/>
      <c r="D986" s="22" t="n"/>
      <c r="E986" s="22" t="n"/>
      <c r="F986" s="22" t="n"/>
      <c r="G986" s="22" t="n"/>
      <c r="H986" s="22" t="n"/>
      <c r="I986" s="22" t="n"/>
      <c r="J986" s="22" t="n"/>
      <c r="K986" s="22" t="n"/>
    </row>
    <row r="987">
      <c r="A987" s="324" t="n"/>
      <c r="B987" s="22" t="n"/>
      <c r="C987" s="22" t="n"/>
      <c r="D987" s="22" t="n"/>
      <c r="E987" s="22" t="n"/>
      <c r="F987" s="22" t="n"/>
      <c r="G987" s="22" t="n"/>
      <c r="H987" s="22" t="n"/>
      <c r="I987" s="22" t="n"/>
      <c r="J987" s="22" t="n"/>
      <c r="K987" s="22" t="n"/>
    </row>
    <row r="988">
      <c r="A988" s="324" t="n"/>
      <c r="B988" s="22" t="n"/>
      <c r="C988" s="22" t="n"/>
      <c r="D988" s="22" t="n"/>
      <c r="E988" s="22" t="n"/>
      <c r="F988" s="22" t="n"/>
      <c r="G988" s="22" t="n"/>
      <c r="H988" s="22" t="n"/>
      <c r="I988" s="22" t="n"/>
      <c r="J988" s="22" t="n"/>
      <c r="K988" s="22" t="n"/>
    </row>
    <row r="989">
      <c r="A989" s="324" t="n"/>
      <c r="B989" s="22" t="n"/>
      <c r="C989" s="22" t="n"/>
      <c r="D989" s="22" t="n"/>
      <c r="E989" s="22" t="n"/>
      <c r="F989" s="22" t="n"/>
      <c r="G989" s="22" t="n"/>
      <c r="H989" s="22" t="n"/>
      <c r="I989" s="22" t="n"/>
      <c r="J989" s="22" t="n"/>
      <c r="K989" s="22" t="n"/>
    </row>
    <row r="990">
      <c r="A990" s="324" t="n"/>
      <c r="B990" s="22" t="n"/>
      <c r="C990" s="22" t="n"/>
      <c r="D990" s="22" t="n"/>
      <c r="E990" s="22" t="n"/>
      <c r="F990" s="22" t="n"/>
      <c r="G990" s="22" t="n"/>
      <c r="H990" s="22" t="n"/>
      <c r="I990" s="22" t="n"/>
      <c r="J990" s="22" t="n"/>
      <c r="K990" s="22" t="n"/>
    </row>
    <row r="991">
      <c r="A991" s="324" t="n"/>
      <c r="B991" s="22" t="n"/>
      <c r="C991" s="22" t="n"/>
      <c r="D991" s="22" t="n"/>
      <c r="E991" s="22" t="n"/>
      <c r="F991" s="22" t="n"/>
      <c r="G991" s="22" t="n"/>
      <c r="H991" s="22" t="n"/>
      <c r="I991" s="22" t="n"/>
      <c r="J991" s="22" t="n"/>
      <c r="K991" s="22" t="n"/>
    </row>
    <row r="992">
      <c r="A992" s="324" t="n"/>
      <c r="B992" s="22" t="n"/>
      <c r="C992" s="22" t="n"/>
      <c r="D992" s="22" t="n"/>
      <c r="E992" s="22" t="n"/>
      <c r="F992" s="22" t="n"/>
      <c r="G992" s="22" t="n"/>
      <c r="H992" s="22" t="n"/>
      <c r="I992" s="22" t="n"/>
      <c r="J992" s="22" t="n"/>
      <c r="K992" s="22" t="n"/>
    </row>
    <row r="993">
      <c r="A993" s="324" t="n"/>
      <c r="B993" s="22" t="n"/>
      <c r="C993" s="22" t="n"/>
      <c r="D993" s="22" t="n"/>
      <c r="E993" s="22" t="n"/>
      <c r="F993" s="22" t="n"/>
      <c r="G993" s="22" t="n"/>
      <c r="H993" s="22" t="n"/>
      <c r="I993" s="22" t="n"/>
      <c r="J993" s="22" t="n"/>
      <c r="K993" s="22" t="n"/>
    </row>
    <row r="994">
      <c r="A994" s="324" t="n"/>
      <c r="B994" s="22" t="n"/>
      <c r="C994" s="22" t="n"/>
      <c r="D994" s="22" t="n"/>
      <c r="E994" s="22" t="n"/>
      <c r="F994" s="22" t="n"/>
      <c r="G994" s="22" t="n"/>
      <c r="H994" s="22" t="n"/>
      <c r="I994" s="22" t="n"/>
      <c r="J994" s="22" t="n"/>
      <c r="K994" s="22" t="n"/>
    </row>
    <row r="995">
      <c r="A995" s="324" t="n"/>
      <c r="B995" s="22" t="n"/>
      <c r="C995" s="22" t="n"/>
      <c r="D995" s="22" t="n"/>
      <c r="E995" s="22" t="n"/>
      <c r="F995" s="22" t="n"/>
      <c r="G995" s="22" t="n"/>
      <c r="H995" s="22" t="n"/>
      <c r="I995" s="22" t="n"/>
      <c r="J995" s="22" t="n"/>
      <c r="K995" s="22" t="n"/>
    </row>
    <row r="996">
      <c r="A996" s="324" t="n"/>
      <c r="B996" s="22" t="n"/>
      <c r="C996" s="22" t="n"/>
      <c r="D996" s="22" t="n"/>
      <c r="E996" s="22" t="n"/>
      <c r="F996" s="22" t="n"/>
      <c r="G996" s="22" t="n"/>
      <c r="H996" s="22" t="n"/>
      <c r="I996" s="22" t="n"/>
      <c r="J996" s="22" t="n"/>
      <c r="K996" s="22" t="n"/>
    </row>
    <row r="997">
      <c r="A997" s="324" t="n"/>
      <c r="B997" s="22" t="n"/>
      <c r="C997" s="22" t="n"/>
      <c r="D997" s="22" t="n"/>
      <c r="E997" s="22" t="n"/>
      <c r="F997" s="22" t="n"/>
      <c r="G997" s="22" t="n"/>
      <c r="H997" s="22" t="n"/>
      <c r="I997" s="22" t="n"/>
      <c r="J997" s="22" t="n"/>
      <c r="K997" s="22" t="n"/>
    </row>
    <row r="998">
      <c r="A998" s="324" t="n"/>
      <c r="B998" s="22" t="n"/>
      <c r="C998" s="22" t="n"/>
      <c r="D998" s="22" t="n"/>
      <c r="E998" s="22" t="n"/>
      <c r="F998" s="22" t="n"/>
      <c r="G998" s="22" t="n"/>
      <c r="H998" s="22" t="n"/>
      <c r="I998" s="22" t="n"/>
      <c r="J998" s="22" t="n"/>
      <c r="K998" s="22" t="n"/>
    </row>
    <row r="999">
      <c r="A999" s="324" t="n"/>
      <c r="B999" s="22" t="n"/>
      <c r="C999" s="22" t="n"/>
      <c r="D999" s="22" t="n"/>
      <c r="E999" s="22" t="n"/>
      <c r="F999" s="22" t="n"/>
      <c r="G999" s="22" t="n"/>
      <c r="H999" s="22" t="n"/>
      <c r="I999" s="22" t="n"/>
      <c r="J999" s="22" t="n"/>
      <c r="K999" s="22" t="n"/>
    </row>
    <row r="1000">
      <c r="A1000" s="324" t="n"/>
      <c r="B1000" s="22" t="n"/>
      <c r="C1000" s="22" t="n"/>
      <c r="D1000" s="22" t="n"/>
      <c r="E1000" s="22" t="n"/>
      <c r="F1000" s="22" t="n"/>
      <c r="G1000" s="22" t="n"/>
      <c r="H1000" s="22" t="n"/>
      <c r="I1000" s="22" t="n"/>
      <c r="J1000" s="22" t="n"/>
      <c r="K1000" s="22" t="n"/>
    </row>
    <row r="1001">
      <c r="A1001" s="324" t="n"/>
      <c r="B1001" s="22" t="n"/>
      <c r="C1001" s="22" t="n"/>
      <c r="D1001" s="22" t="n"/>
      <c r="E1001" s="22" t="n"/>
      <c r="F1001" s="22" t="n"/>
      <c r="G1001" s="22" t="n"/>
      <c r="H1001" s="22" t="n"/>
      <c r="I1001" s="22" t="n"/>
      <c r="J1001" s="22" t="n"/>
      <c r="K1001" s="22" t="n"/>
    </row>
    <row r="1002">
      <c r="A1002" s="324" t="n"/>
      <c r="B1002" s="22" t="n"/>
      <c r="C1002" s="22" t="n"/>
      <c r="D1002" s="22" t="n"/>
      <c r="E1002" s="22" t="n"/>
      <c r="F1002" s="22" t="n"/>
      <c r="G1002" s="22" t="n"/>
      <c r="H1002" s="22" t="n"/>
      <c r="I1002" s="22" t="n"/>
      <c r="J1002" s="22" t="n"/>
      <c r="K1002" s="22" t="n"/>
    </row>
    <row r="1003">
      <c r="A1003" s="324" t="n"/>
      <c r="B1003" s="22" t="n"/>
      <c r="C1003" s="22" t="n"/>
      <c r="D1003" s="22" t="n"/>
      <c r="E1003" s="22" t="n"/>
      <c r="F1003" s="22" t="n"/>
      <c r="G1003" s="22" t="n"/>
      <c r="H1003" s="22" t="n"/>
      <c r="I1003" s="22" t="n"/>
      <c r="J1003" s="22" t="n"/>
      <c r="K1003" s="22" t="n"/>
    </row>
    <row r="1004">
      <c r="A1004" s="324" t="n"/>
      <c r="B1004" s="22" t="n"/>
      <c r="C1004" s="22" t="n"/>
      <c r="D1004" s="22" t="n"/>
      <c r="E1004" s="22" t="n"/>
      <c r="F1004" s="22" t="n"/>
      <c r="G1004" s="22" t="n"/>
      <c r="H1004" s="22" t="n"/>
      <c r="I1004" s="22" t="n"/>
      <c r="J1004" s="22" t="n"/>
      <c r="K1004" s="22" t="n"/>
    </row>
    <row r="1005">
      <c r="A1005" s="324" t="n"/>
      <c r="B1005" s="22" t="n"/>
      <c r="C1005" s="22" t="n"/>
      <c r="D1005" s="22" t="n"/>
      <c r="E1005" s="22" t="n"/>
      <c r="F1005" s="22" t="n"/>
      <c r="G1005" s="22" t="n"/>
      <c r="H1005" s="22" t="n"/>
      <c r="I1005" s="22" t="n"/>
      <c r="J1005" s="22" t="n"/>
      <c r="K1005" s="22" t="n"/>
    </row>
    <row r="1006">
      <c r="A1006" s="324" t="n"/>
      <c r="B1006" s="22" t="n"/>
      <c r="C1006" s="22" t="n"/>
      <c r="D1006" s="22" t="n"/>
      <c r="E1006" s="22" t="n"/>
      <c r="F1006" s="22" t="n"/>
      <c r="G1006" s="22" t="n"/>
      <c r="H1006" s="22" t="n"/>
      <c r="I1006" s="22" t="n"/>
      <c r="J1006" s="22" t="n"/>
      <c r="K1006" s="22" t="n"/>
    </row>
    <row r="1007">
      <c r="A1007" s="324" t="n"/>
      <c r="B1007" s="22" t="n"/>
      <c r="C1007" s="22" t="n"/>
      <c r="D1007" s="22" t="n"/>
      <c r="E1007" s="22" t="n"/>
      <c r="F1007" s="22" t="n"/>
      <c r="G1007" s="22" t="n"/>
      <c r="H1007" s="22" t="n"/>
      <c r="I1007" s="22" t="n"/>
      <c r="J1007" s="22" t="n"/>
      <c r="K1007" s="22" t="n"/>
    </row>
    <row r="1008">
      <c r="A1008" s="324" t="n"/>
      <c r="B1008" s="22" t="n"/>
      <c r="C1008" s="22" t="n"/>
      <c r="D1008" s="22" t="n"/>
      <c r="E1008" s="22" t="n"/>
      <c r="F1008" s="22" t="n"/>
      <c r="G1008" s="22" t="n"/>
      <c r="H1008" s="22" t="n"/>
      <c r="I1008" s="22" t="n"/>
      <c r="J1008" s="22" t="n"/>
      <c r="K1008" s="22" t="n"/>
    </row>
    <row r="1009">
      <c r="A1009" s="324" t="n"/>
      <c r="B1009" s="22" t="n"/>
      <c r="C1009" s="22" t="n"/>
      <c r="D1009" s="22" t="n"/>
      <c r="E1009" s="22" t="n"/>
      <c r="F1009" s="22" t="n"/>
      <c r="G1009" s="22" t="n"/>
      <c r="H1009" s="22" t="n"/>
      <c r="I1009" s="22" t="n"/>
      <c r="J1009" s="22" t="n"/>
      <c r="K1009" s="22" t="n"/>
    </row>
    <row r="1010">
      <c r="A1010" s="324" t="n"/>
      <c r="B1010" s="22" t="n"/>
      <c r="C1010" s="22" t="n"/>
      <c r="D1010" s="22" t="n"/>
      <c r="E1010" s="22" t="n"/>
      <c r="F1010" s="22" t="n"/>
      <c r="G1010" s="22" t="n"/>
      <c r="H1010" s="22" t="n"/>
      <c r="I1010" s="22" t="n"/>
      <c r="J1010" s="22" t="n"/>
      <c r="K1010" s="22" t="n"/>
    </row>
    <row r="1011">
      <c r="A1011" s="324" t="n"/>
      <c r="B1011" s="22" t="n"/>
      <c r="C1011" s="22" t="n"/>
      <c r="D1011" s="22" t="n"/>
      <c r="E1011" s="22" t="n"/>
      <c r="F1011" s="22" t="n"/>
      <c r="G1011" s="22" t="n"/>
      <c r="H1011" s="22" t="n"/>
      <c r="I1011" s="22" t="n"/>
      <c r="J1011" s="22" t="n"/>
      <c r="K1011" s="22" t="n"/>
    </row>
    <row r="1012">
      <c r="A1012" s="324" t="n"/>
      <c r="B1012" s="22" t="n"/>
      <c r="C1012" s="22" t="n"/>
      <c r="D1012" s="22" t="n"/>
      <c r="E1012" s="22" t="n"/>
      <c r="F1012" s="22" t="n"/>
      <c r="G1012" s="22" t="n"/>
      <c r="H1012" s="22" t="n"/>
      <c r="I1012" s="22" t="n"/>
      <c r="J1012" s="22" t="n"/>
      <c r="K1012" s="22" t="n"/>
    </row>
    <row r="1013">
      <c r="A1013" s="324" t="n"/>
      <c r="B1013" s="22" t="n"/>
      <c r="C1013" s="22" t="n"/>
      <c r="D1013" s="22" t="n"/>
      <c r="E1013" s="22" t="n"/>
      <c r="F1013" s="22" t="n"/>
      <c r="G1013" s="22" t="n"/>
      <c r="H1013" s="22" t="n"/>
      <c r="I1013" s="22" t="n"/>
      <c r="J1013" s="22" t="n"/>
      <c r="K1013" s="22" t="n"/>
    </row>
    <row r="1014">
      <c r="A1014" s="324" t="n"/>
      <c r="B1014" s="22" t="n"/>
      <c r="C1014" s="22" t="n"/>
      <c r="D1014" s="22" t="n"/>
      <c r="E1014" s="22" t="n"/>
      <c r="F1014" s="22" t="n"/>
      <c r="G1014" s="22" t="n"/>
      <c r="H1014" s="22" t="n"/>
      <c r="I1014" s="22" t="n"/>
      <c r="J1014" s="22" t="n"/>
      <c r="K1014" s="22" t="n"/>
    </row>
    <row r="1015">
      <c r="A1015" s="324" t="n"/>
      <c r="B1015" s="22" t="n"/>
      <c r="C1015" s="22" t="n"/>
      <c r="D1015" s="22" t="n"/>
      <c r="E1015" s="22" t="n"/>
      <c r="F1015" s="22" t="n"/>
      <c r="G1015" s="22" t="n"/>
      <c r="H1015" s="22" t="n"/>
      <c r="I1015" s="22" t="n"/>
      <c r="J1015" s="22" t="n"/>
      <c r="K1015" s="22" t="n"/>
    </row>
    <row r="1016">
      <c r="A1016" s="324" t="n"/>
      <c r="B1016" s="22" t="n"/>
      <c r="C1016" s="22" t="n"/>
      <c r="D1016" s="22" t="n"/>
      <c r="E1016" s="22" t="n"/>
      <c r="F1016" s="22" t="n"/>
      <c r="G1016" s="22" t="n"/>
      <c r="H1016" s="22" t="n"/>
      <c r="I1016" s="22" t="n"/>
      <c r="J1016" s="22" t="n"/>
      <c r="K1016" s="22" t="n"/>
    </row>
    <row r="1017">
      <c r="A1017" s="324" t="n"/>
      <c r="B1017" s="22" t="n"/>
      <c r="C1017" s="22" t="n"/>
      <c r="D1017" s="22" t="n"/>
      <c r="E1017" s="22" t="n"/>
      <c r="F1017" s="22" t="n"/>
      <c r="G1017" s="22" t="n"/>
      <c r="H1017" s="22" t="n"/>
      <c r="I1017" s="22" t="n"/>
      <c r="J1017" s="22" t="n"/>
      <c r="K1017" s="22" t="n"/>
    </row>
    <row r="1018">
      <c r="A1018" s="324" t="n"/>
      <c r="B1018" s="22" t="n"/>
      <c r="C1018" s="22" t="n"/>
      <c r="D1018" s="22" t="n"/>
      <c r="E1018" s="22" t="n"/>
      <c r="F1018" s="22" t="n"/>
      <c r="G1018" s="22" t="n"/>
      <c r="H1018" s="22" t="n"/>
      <c r="I1018" s="22" t="n"/>
      <c r="J1018" s="22" t="n"/>
      <c r="K1018" s="22" t="n"/>
    </row>
    <row r="1019">
      <c r="A1019" s="324" t="n"/>
      <c r="B1019" s="22" t="n"/>
      <c r="C1019" s="22" t="n"/>
      <c r="D1019" s="22" t="n"/>
      <c r="E1019" s="22" t="n"/>
      <c r="F1019" s="22" t="n"/>
      <c r="G1019" s="22" t="n"/>
      <c r="H1019" s="22" t="n"/>
      <c r="I1019" s="22" t="n"/>
      <c r="J1019" s="22" t="n"/>
      <c r="K1019" s="22" t="n"/>
    </row>
    <row r="1020">
      <c r="A1020" s="324" t="n"/>
      <c r="B1020" s="22" t="n"/>
      <c r="C1020" s="22" t="n"/>
      <c r="D1020" s="22" t="n"/>
      <c r="E1020" s="22" t="n"/>
      <c r="F1020" s="22" t="n"/>
      <c r="G1020" s="22" t="n"/>
      <c r="H1020" s="22" t="n"/>
      <c r="I1020" s="22" t="n"/>
      <c r="J1020" s="22" t="n"/>
      <c r="K1020" s="22" t="n"/>
    </row>
    <row r="1021">
      <c r="A1021" s="324" t="n"/>
      <c r="B1021" s="22" t="n"/>
      <c r="C1021" s="22" t="n"/>
      <c r="D1021" s="22" t="n"/>
      <c r="E1021" s="22" t="n"/>
      <c r="F1021" s="22" t="n"/>
      <c r="G1021" s="22" t="n"/>
      <c r="H1021" s="22" t="n"/>
      <c r="I1021" s="22" t="n"/>
      <c r="J1021" s="22" t="n"/>
      <c r="K1021" s="22" t="n"/>
    </row>
    <row r="1022">
      <c r="A1022" s="324" t="n"/>
      <c r="B1022" s="22" t="n"/>
      <c r="C1022" s="22" t="n"/>
      <c r="D1022" s="22" t="n"/>
      <c r="E1022" s="22" t="n"/>
      <c r="F1022" s="22" t="n"/>
      <c r="G1022" s="22" t="n"/>
      <c r="H1022" s="22" t="n"/>
      <c r="I1022" s="22" t="n"/>
      <c r="J1022" s="22" t="n"/>
      <c r="K1022" s="22" t="n"/>
    </row>
    <row r="1023">
      <c r="A1023" s="324" t="n"/>
      <c r="B1023" s="22" t="n"/>
      <c r="C1023" s="22" t="n"/>
      <c r="D1023" s="22" t="n"/>
      <c r="E1023" s="22" t="n"/>
      <c r="F1023" s="22" t="n"/>
      <c r="G1023" s="22" t="n"/>
      <c r="H1023" s="22" t="n"/>
      <c r="I1023" s="22" t="n"/>
      <c r="J1023" s="22" t="n"/>
      <c r="K1023" s="22" t="n"/>
    </row>
    <row r="1024">
      <c r="A1024" s="324" t="n"/>
      <c r="B1024" s="22" t="n"/>
      <c r="C1024" s="22" t="n"/>
      <c r="D1024" s="22" t="n"/>
      <c r="E1024" s="22" t="n"/>
      <c r="F1024" s="22" t="n"/>
      <c r="G1024" s="22" t="n"/>
      <c r="H1024" s="22" t="n"/>
      <c r="I1024" s="22" t="n"/>
      <c r="J1024" s="22" t="n"/>
      <c r="K1024" s="22" t="n"/>
    </row>
    <row r="1025">
      <c r="A1025" s="324" t="n"/>
      <c r="B1025" s="22" t="n"/>
      <c r="C1025" s="22" t="n"/>
      <c r="D1025" s="22" t="n"/>
      <c r="E1025" s="22" t="n"/>
      <c r="F1025" s="22" t="n"/>
      <c r="G1025" s="22" t="n"/>
      <c r="H1025" s="22" t="n"/>
      <c r="I1025" s="22" t="n"/>
      <c r="J1025" s="22" t="n"/>
      <c r="K1025" s="22" t="n"/>
    </row>
    <row r="1026">
      <c r="A1026" s="324" t="n"/>
      <c r="B1026" s="22" t="n"/>
      <c r="C1026" s="22" t="n"/>
      <c r="D1026" s="22" t="n"/>
      <c r="E1026" s="22" t="n"/>
      <c r="F1026" s="22" t="n"/>
      <c r="G1026" s="22" t="n"/>
      <c r="H1026" s="22" t="n"/>
      <c r="I1026" s="22" t="n"/>
      <c r="J1026" s="22" t="n"/>
      <c r="K1026" s="22" t="n"/>
    </row>
    <row r="1027">
      <c r="A1027" s="324" t="n"/>
      <c r="B1027" s="22" t="n"/>
      <c r="C1027" s="22" t="n"/>
      <c r="D1027" s="22" t="n"/>
      <c r="E1027" s="22" t="n"/>
      <c r="F1027" s="22" t="n"/>
      <c r="G1027" s="22" t="n"/>
      <c r="H1027" s="22" t="n"/>
      <c r="I1027" s="22" t="n"/>
      <c r="J1027" s="22" t="n"/>
      <c r="K1027" s="22" t="n"/>
    </row>
    <row r="1028">
      <c r="A1028" s="324" t="n"/>
      <c r="B1028" s="22" t="n"/>
      <c r="C1028" s="22" t="n"/>
      <c r="D1028" s="22" t="n"/>
      <c r="E1028" s="22" t="n"/>
      <c r="F1028" s="22" t="n"/>
      <c r="G1028" s="22" t="n"/>
      <c r="H1028" s="22" t="n"/>
      <c r="I1028" s="22" t="n"/>
      <c r="J1028" s="22" t="n"/>
      <c r="K1028" s="22" t="n"/>
    </row>
    <row r="1029">
      <c r="A1029" s="324" t="n"/>
      <c r="B1029" s="22" t="n"/>
      <c r="C1029" s="22" t="n"/>
      <c r="D1029" s="22" t="n"/>
      <c r="E1029" s="22" t="n"/>
      <c r="F1029" s="22" t="n"/>
      <c r="G1029" s="22" t="n"/>
      <c r="H1029" s="22" t="n"/>
      <c r="I1029" s="22" t="n"/>
      <c r="J1029" s="22" t="n"/>
      <c r="K1029" s="22" t="n"/>
    </row>
    <row r="1030">
      <c r="A1030" s="324" t="n"/>
      <c r="B1030" s="22" t="n"/>
      <c r="C1030" s="22" t="n"/>
      <c r="D1030" s="22" t="n"/>
      <c r="E1030" s="22" t="n"/>
      <c r="F1030" s="22" t="n"/>
      <c r="G1030" s="22" t="n"/>
      <c r="H1030" s="22" t="n"/>
      <c r="I1030" s="22" t="n"/>
      <c r="J1030" s="22" t="n"/>
      <c r="K1030" s="22" t="n"/>
    </row>
    <row r="1031">
      <c r="A1031" s="324" t="n"/>
      <c r="B1031" s="22" t="n"/>
      <c r="C1031" s="22" t="n"/>
      <c r="D1031" s="22" t="n"/>
      <c r="E1031" s="22" t="n"/>
      <c r="F1031" s="22" t="n"/>
      <c r="G1031" s="22" t="n"/>
      <c r="H1031" s="22" t="n"/>
      <c r="I1031" s="22" t="n"/>
      <c r="J1031" s="22" t="n"/>
      <c r="K1031" s="22" t="n"/>
    </row>
    <row r="1032">
      <c r="A1032" s="324" t="n"/>
      <c r="B1032" s="22" t="n"/>
      <c r="C1032" s="22" t="n"/>
      <c r="D1032" s="22" t="n"/>
      <c r="E1032" s="22" t="n"/>
      <c r="F1032" s="22" t="n"/>
      <c r="G1032" s="22" t="n"/>
      <c r="H1032" s="22" t="n"/>
      <c r="I1032" s="22" t="n"/>
      <c r="J1032" s="22" t="n"/>
      <c r="K1032" s="22" t="n"/>
    </row>
    <row r="1033">
      <c r="A1033" s="324" t="n"/>
      <c r="B1033" s="22" t="n"/>
      <c r="C1033" s="22" t="n"/>
      <c r="D1033" s="22" t="n"/>
      <c r="E1033" s="22" t="n"/>
      <c r="F1033" s="22" t="n"/>
      <c r="G1033" s="22" t="n"/>
      <c r="H1033" s="22" t="n"/>
      <c r="I1033" s="22" t="n"/>
      <c r="J1033" s="22" t="n"/>
      <c r="K1033" s="22" t="n"/>
    </row>
    <row r="1034">
      <c r="A1034" s="324" t="n"/>
      <c r="B1034" s="22" t="n"/>
      <c r="C1034" s="22" t="n"/>
      <c r="D1034" s="22" t="n"/>
      <c r="E1034" s="22" t="n"/>
      <c r="F1034" s="22" t="n"/>
      <c r="G1034" s="22" t="n"/>
      <c r="H1034" s="22" t="n"/>
      <c r="I1034" s="22" t="n"/>
      <c r="J1034" s="22" t="n"/>
      <c r="K1034" s="22" t="n"/>
    </row>
    <row r="1035">
      <c r="A1035" s="324" t="n"/>
      <c r="B1035" s="22" t="n"/>
      <c r="C1035" s="22" t="n"/>
      <c r="D1035" s="22" t="n"/>
      <c r="E1035" s="22" t="n"/>
      <c r="F1035" s="22" t="n"/>
      <c r="G1035" s="22" t="n"/>
      <c r="H1035" s="22" t="n"/>
      <c r="I1035" s="22" t="n"/>
      <c r="J1035" s="22" t="n"/>
      <c r="K1035" s="22" t="n"/>
    </row>
    <row r="1036">
      <c r="A1036" s="324" t="n"/>
      <c r="B1036" s="22" t="n"/>
      <c r="C1036" s="22" t="n"/>
      <c r="D1036" s="22" t="n"/>
      <c r="E1036" s="22" t="n"/>
      <c r="F1036" s="22" t="n"/>
      <c r="G1036" s="22" t="n"/>
      <c r="H1036" s="22" t="n"/>
      <c r="I1036" s="22" t="n"/>
      <c r="J1036" s="22" t="n"/>
      <c r="K1036" s="22" t="n"/>
    </row>
    <row r="1037">
      <c r="A1037" s="324" t="n"/>
      <c r="B1037" s="22" t="n"/>
      <c r="C1037" s="22" t="n"/>
      <c r="D1037" s="22" t="n"/>
      <c r="E1037" s="22" t="n"/>
      <c r="F1037" s="22" t="n"/>
      <c r="G1037" s="22" t="n"/>
      <c r="H1037" s="22" t="n"/>
      <c r="I1037" s="22" t="n"/>
      <c r="J1037" s="22" t="n"/>
      <c r="K1037" s="22" t="n"/>
    </row>
    <row r="1038">
      <c r="A1038" s="324" t="n"/>
      <c r="B1038" s="22" t="n"/>
      <c r="C1038" s="22" t="n"/>
      <c r="D1038" s="22" t="n"/>
      <c r="E1038" s="22" t="n"/>
      <c r="F1038" s="22" t="n"/>
      <c r="G1038" s="22" t="n"/>
      <c r="H1038" s="22" t="n"/>
      <c r="I1038" s="22" t="n"/>
      <c r="J1038" s="22" t="n"/>
      <c r="K1038" s="22" t="n"/>
    </row>
    <row r="1039">
      <c r="A1039" s="324" t="n"/>
      <c r="B1039" s="22" t="n"/>
      <c r="C1039" s="22" t="n"/>
      <c r="D1039" s="22" t="n"/>
      <c r="E1039" s="22" t="n"/>
      <c r="F1039" s="22" t="n"/>
      <c r="G1039" s="22" t="n"/>
      <c r="H1039" s="22" t="n"/>
      <c r="I1039" s="22" t="n"/>
      <c r="J1039" s="22" t="n"/>
      <c r="K1039" s="22" t="n"/>
    </row>
    <row r="1040">
      <c r="A1040" s="324" t="n"/>
      <c r="B1040" s="22" t="n"/>
      <c r="C1040" s="22" t="n"/>
      <c r="D1040" s="22" t="n"/>
      <c r="E1040" s="22" t="n"/>
      <c r="F1040" s="22" t="n"/>
      <c r="G1040" s="22" t="n"/>
      <c r="H1040" s="22" t="n"/>
      <c r="I1040" s="22" t="n"/>
      <c r="J1040" s="22" t="n"/>
      <c r="K1040" s="22" t="n"/>
    </row>
    <row r="1041">
      <c r="A1041" s="324" t="n"/>
      <c r="B1041" s="22" t="n"/>
      <c r="C1041" s="22" t="n"/>
      <c r="D1041" s="22" t="n"/>
      <c r="E1041" s="22" t="n"/>
      <c r="F1041" s="22" t="n"/>
      <c r="G1041" s="22" t="n"/>
      <c r="H1041" s="22" t="n"/>
      <c r="I1041" s="22" t="n"/>
      <c r="J1041" s="22" t="n"/>
      <c r="K1041" s="22" t="n"/>
    </row>
    <row r="1042">
      <c r="A1042" s="324" t="n"/>
      <c r="B1042" s="22" t="n"/>
      <c r="C1042" s="22" t="n"/>
      <c r="D1042" s="22" t="n"/>
      <c r="E1042" s="22" t="n"/>
      <c r="F1042" s="22" t="n"/>
      <c r="G1042" s="22" t="n"/>
      <c r="H1042" s="22" t="n"/>
      <c r="I1042" s="22" t="n"/>
      <c r="J1042" s="22" t="n"/>
      <c r="K1042" s="22" t="n"/>
    </row>
    <row r="1043">
      <c r="A1043" s="324" t="n"/>
      <c r="B1043" s="22" t="n"/>
      <c r="C1043" s="22" t="n"/>
      <c r="D1043" s="22" t="n"/>
      <c r="E1043" s="22" t="n"/>
      <c r="F1043" s="22" t="n"/>
      <c r="G1043" s="22" t="n"/>
      <c r="H1043" s="22" t="n"/>
      <c r="I1043" s="22" t="n"/>
      <c r="J1043" s="22" t="n"/>
      <c r="K1043" s="22" t="n"/>
    </row>
    <row r="1044">
      <c r="A1044" s="324" t="n"/>
      <c r="B1044" s="22" t="n"/>
      <c r="C1044" s="22" t="n"/>
      <c r="D1044" s="22" t="n"/>
      <c r="E1044" s="22" t="n"/>
      <c r="F1044" s="22" t="n"/>
      <c r="G1044" s="22" t="n"/>
      <c r="H1044" s="22" t="n"/>
      <c r="I1044" s="22" t="n"/>
      <c r="J1044" s="22" t="n"/>
      <c r="K1044" s="22" t="n"/>
    </row>
    <row r="1045">
      <c r="A1045" s="324" t="n"/>
      <c r="B1045" s="22" t="n"/>
      <c r="C1045" s="22" t="n"/>
      <c r="D1045" s="22" t="n"/>
      <c r="E1045" s="22" t="n"/>
      <c r="F1045" s="22" t="n"/>
      <c r="G1045" s="22" t="n"/>
      <c r="H1045" s="22" t="n"/>
      <c r="I1045" s="22" t="n"/>
      <c r="J1045" s="22" t="n"/>
      <c r="K1045" s="22" t="n"/>
    </row>
    <row r="1046">
      <c r="A1046" s="324" t="n"/>
      <c r="B1046" s="22" t="n"/>
      <c r="C1046" s="22" t="n"/>
      <c r="D1046" s="22" t="n"/>
      <c r="E1046" s="22" t="n"/>
      <c r="F1046" s="22" t="n"/>
      <c r="G1046" s="22" t="n"/>
      <c r="H1046" s="22" t="n"/>
      <c r="I1046" s="22" t="n"/>
      <c r="J1046" s="22" t="n"/>
      <c r="K1046" s="22" t="n"/>
    </row>
    <row r="1047">
      <c r="A1047" s="324" t="n"/>
      <c r="B1047" s="22" t="n"/>
      <c r="C1047" s="22" t="n"/>
      <c r="D1047" s="22" t="n"/>
      <c r="E1047" s="22" t="n"/>
      <c r="F1047" s="22" t="n"/>
      <c r="G1047" s="22" t="n"/>
      <c r="H1047" s="22" t="n"/>
      <c r="I1047" s="22" t="n"/>
      <c r="J1047" s="22" t="n"/>
      <c r="K1047" s="22" t="n"/>
    </row>
    <row r="1048">
      <c r="A1048" s="324" t="n"/>
      <c r="B1048" s="22" t="n"/>
      <c r="C1048" s="22" t="n"/>
      <c r="D1048" s="22" t="n"/>
      <c r="E1048" s="22" t="n"/>
      <c r="F1048" s="22" t="n"/>
      <c r="G1048" s="22" t="n"/>
      <c r="H1048" s="22" t="n"/>
      <c r="I1048" s="22" t="n"/>
      <c r="J1048" s="22" t="n"/>
      <c r="K1048" s="22" t="n"/>
    </row>
    <row r="1049">
      <c r="A1049" s="324" t="n"/>
      <c r="B1049" s="22" t="n"/>
      <c r="C1049" s="22" t="n"/>
      <c r="D1049" s="22" t="n"/>
      <c r="E1049" s="22" t="n"/>
      <c r="F1049" s="22" t="n"/>
      <c r="G1049" s="22" t="n"/>
      <c r="H1049" s="22" t="n"/>
      <c r="I1049" s="22" t="n"/>
      <c r="J1049" s="22" t="n"/>
      <c r="K1049" s="22" t="n"/>
    </row>
    <row r="1050">
      <c r="A1050" s="324" t="n"/>
      <c r="B1050" s="22" t="n"/>
      <c r="C1050" s="22" t="n"/>
      <c r="D1050" s="22" t="n"/>
      <c r="E1050" s="22" t="n"/>
      <c r="F1050" s="22" t="n"/>
      <c r="G1050" s="22" t="n"/>
      <c r="H1050" s="22" t="n"/>
      <c r="I1050" s="22" t="n"/>
      <c r="J1050" s="22" t="n"/>
      <c r="K1050" s="22" t="n"/>
    </row>
    <row r="1051">
      <c r="A1051" s="324" t="n"/>
      <c r="B1051" s="22" t="n"/>
      <c r="C1051" s="22" t="n"/>
      <c r="D1051" s="22" t="n"/>
      <c r="E1051" s="22" t="n"/>
      <c r="F1051" s="22" t="n"/>
      <c r="G1051" s="22" t="n"/>
      <c r="H1051" s="22" t="n"/>
      <c r="I1051" s="22" t="n"/>
      <c r="J1051" s="22" t="n"/>
      <c r="K1051" s="22" t="n"/>
    </row>
    <row r="1052">
      <c r="A1052" s="324" t="n"/>
      <c r="B1052" s="22" t="n"/>
      <c r="C1052" s="22" t="n"/>
      <c r="D1052" s="22" t="n"/>
      <c r="E1052" s="22" t="n"/>
      <c r="F1052" s="22" t="n"/>
      <c r="G1052" s="22" t="n"/>
      <c r="H1052" s="22" t="n"/>
      <c r="I1052" s="22" t="n"/>
      <c r="J1052" s="22" t="n"/>
      <c r="K1052" s="22" t="n"/>
    </row>
    <row r="1053">
      <c r="A1053" s="324" t="n"/>
      <c r="B1053" s="22" t="n"/>
      <c r="C1053" s="22" t="n"/>
      <c r="D1053" s="22" t="n"/>
      <c r="E1053" s="22" t="n"/>
      <c r="F1053" s="22" t="n"/>
      <c r="G1053" s="22" t="n"/>
      <c r="H1053" s="22" t="n"/>
      <c r="I1053" s="22" t="n"/>
      <c r="J1053" s="22" t="n"/>
      <c r="K1053" s="22" t="n"/>
    </row>
    <row r="1054">
      <c r="A1054" s="324" t="n"/>
      <c r="B1054" s="22" t="n"/>
      <c r="C1054" s="22" t="n"/>
      <c r="D1054" s="22" t="n"/>
      <c r="E1054" s="22" t="n"/>
      <c r="F1054" s="22" t="n"/>
      <c r="G1054" s="22" t="n"/>
      <c r="H1054" s="22" t="n"/>
      <c r="I1054" s="22" t="n"/>
      <c r="J1054" s="22" t="n"/>
      <c r="K1054" s="22" t="n"/>
    </row>
    <row r="1055">
      <c r="A1055" s="324" t="n"/>
      <c r="B1055" s="22" t="n"/>
      <c r="C1055" s="22" t="n"/>
      <c r="D1055" s="22" t="n"/>
      <c r="E1055" s="22" t="n"/>
      <c r="F1055" s="22" t="n"/>
      <c r="G1055" s="22" t="n"/>
      <c r="H1055" s="22" t="n"/>
      <c r="I1055" s="22" t="n"/>
      <c r="J1055" s="22" t="n"/>
      <c r="K1055" s="22" t="n"/>
    </row>
    <row r="1056">
      <c r="A1056" s="324" t="n"/>
      <c r="B1056" s="22" t="n"/>
      <c r="C1056" s="22" t="n"/>
      <c r="D1056" s="22" t="n"/>
      <c r="E1056" s="22" t="n"/>
      <c r="F1056" s="22" t="n"/>
      <c r="G1056" s="22" t="n"/>
      <c r="H1056" s="22" t="n"/>
      <c r="I1056" s="22" t="n"/>
      <c r="J1056" s="22" t="n"/>
      <c r="K1056" s="22" t="n"/>
    </row>
    <row r="1057">
      <c r="A1057" s="324" t="n"/>
      <c r="B1057" s="22" t="n"/>
      <c r="C1057" s="22" t="n"/>
      <c r="D1057" s="22" t="n"/>
      <c r="E1057" s="22" t="n"/>
      <c r="F1057" s="22" t="n"/>
      <c r="G1057" s="22" t="n"/>
      <c r="H1057" s="22" t="n"/>
      <c r="I1057" s="22" t="n"/>
      <c r="J1057" s="22" t="n"/>
      <c r="K1057" s="22" t="n"/>
    </row>
    <row r="1058">
      <c r="A1058" s="324" t="n"/>
      <c r="B1058" s="22" t="n"/>
      <c r="C1058" s="22" t="n"/>
      <c r="D1058" s="22" t="n"/>
      <c r="E1058" s="22" t="n"/>
      <c r="F1058" s="22" t="n"/>
      <c r="G1058" s="22" t="n"/>
      <c r="H1058" s="22" t="n"/>
      <c r="I1058" s="22" t="n"/>
      <c r="J1058" s="22" t="n"/>
      <c r="K1058" s="22" t="n"/>
    </row>
    <row r="1059">
      <c r="A1059" s="324" t="n"/>
      <c r="B1059" s="22" t="n"/>
      <c r="C1059" s="22" t="n"/>
      <c r="D1059" s="22" t="n"/>
      <c r="E1059" s="22" t="n"/>
      <c r="F1059" s="22" t="n"/>
      <c r="G1059" s="22" t="n"/>
      <c r="H1059" s="22" t="n"/>
      <c r="I1059" s="22" t="n"/>
      <c r="J1059" s="22" t="n"/>
      <c r="K1059" s="22" t="n"/>
    </row>
    <row r="1060">
      <c r="A1060" s="324" t="n"/>
      <c r="B1060" s="22" t="n"/>
      <c r="C1060" s="22" t="n"/>
      <c r="D1060" s="22" t="n"/>
      <c r="E1060" s="22" t="n"/>
      <c r="F1060" s="22" t="n"/>
      <c r="G1060" s="22" t="n"/>
      <c r="H1060" s="22" t="n"/>
      <c r="I1060" s="22" t="n"/>
      <c r="J1060" s="22" t="n"/>
      <c r="K1060" s="22" t="n"/>
    </row>
    <row r="1061">
      <c r="A1061" s="324" t="n"/>
      <c r="B1061" s="22" t="n"/>
      <c r="C1061" s="22" t="n"/>
      <c r="D1061" s="22" t="n"/>
      <c r="E1061" s="22" t="n"/>
      <c r="F1061" s="22" t="n"/>
      <c r="G1061" s="22" t="n"/>
      <c r="H1061" s="22" t="n"/>
      <c r="I1061" s="22" t="n"/>
      <c r="J1061" s="22" t="n"/>
      <c r="K1061" s="22" t="n"/>
    </row>
    <row r="1062">
      <c r="A1062" s="324" t="n"/>
      <c r="B1062" s="22" t="n"/>
      <c r="C1062" s="22" t="n"/>
      <c r="D1062" s="22" t="n"/>
      <c r="E1062" s="22" t="n"/>
      <c r="F1062" s="22" t="n"/>
      <c r="G1062" s="22" t="n"/>
      <c r="H1062" s="22" t="n"/>
      <c r="I1062" s="22" t="n"/>
      <c r="J1062" s="22" t="n"/>
      <c r="K1062" s="22" t="n"/>
    </row>
    <row r="1063">
      <c r="A1063" s="324" t="n"/>
      <c r="B1063" s="22" t="n"/>
      <c r="C1063" s="22" t="n"/>
      <c r="D1063" s="22" t="n"/>
      <c r="E1063" s="22" t="n"/>
      <c r="F1063" s="22" t="n"/>
      <c r="G1063" s="22" t="n"/>
      <c r="H1063" s="22" t="n"/>
      <c r="I1063" s="22" t="n"/>
      <c r="J1063" s="22" t="n"/>
      <c r="K1063" s="22" t="n"/>
    </row>
    <row r="1064">
      <c r="A1064" s="324" t="n"/>
      <c r="B1064" s="22" t="n"/>
      <c r="C1064" s="22" t="n"/>
      <c r="D1064" s="22" t="n"/>
      <c r="E1064" s="22" t="n"/>
      <c r="F1064" s="22" t="n"/>
      <c r="G1064" s="22" t="n"/>
      <c r="H1064" s="22" t="n"/>
      <c r="I1064" s="22" t="n"/>
      <c r="J1064" s="22" t="n"/>
      <c r="K1064" s="22" t="n"/>
    </row>
    <row r="1065">
      <c r="A1065" s="324" t="n"/>
      <c r="B1065" s="22" t="n"/>
      <c r="C1065" s="22" t="n"/>
      <c r="D1065" s="22" t="n"/>
      <c r="E1065" s="22" t="n"/>
      <c r="F1065" s="22" t="n"/>
      <c r="G1065" s="22" t="n"/>
      <c r="H1065" s="22" t="n"/>
      <c r="I1065" s="22" t="n"/>
      <c r="J1065" s="22" t="n"/>
      <c r="K1065" s="22" t="n"/>
    </row>
    <row r="1066">
      <c r="A1066" s="324" t="n"/>
      <c r="B1066" s="22" t="n"/>
      <c r="C1066" s="22" t="n"/>
      <c r="D1066" s="22" t="n"/>
      <c r="E1066" s="22" t="n"/>
      <c r="F1066" s="22" t="n"/>
      <c r="G1066" s="22" t="n"/>
      <c r="H1066" s="22" t="n"/>
      <c r="I1066" s="22" t="n"/>
      <c r="J1066" s="22" t="n"/>
      <c r="K1066" s="22" t="n"/>
    </row>
    <row r="1067">
      <c r="A1067" s="324" t="n"/>
      <c r="B1067" s="22" t="n"/>
      <c r="C1067" s="22" t="n"/>
      <c r="D1067" s="22" t="n"/>
      <c r="E1067" s="22" t="n"/>
      <c r="F1067" s="22" t="n"/>
      <c r="G1067" s="22" t="n"/>
      <c r="H1067" s="22" t="n"/>
      <c r="I1067" s="22" t="n"/>
      <c r="J1067" s="22" t="n"/>
      <c r="K1067" s="22" t="n"/>
    </row>
    <row r="1068">
      <c r="A1068" s="324" t="n"/>
      <c r="B1068" s="22" t="n"/>
      <c r="C1068" s="22" t="n"/>
      <c r="D1068" s="22" t="n"/>
      <c r="E1068" s="22" t="n"/>
      <c r="F1068" s="22" t="n"/>
      <c r="G1068" s="22" t="n"/>
      <c r="H1068" s="22" t="n"/>
      <c r="I1068" s="22" t="n"/>
      <c r="J1068" s="22" t="n"/>
      <c r="K1068" s="22" t="n"/>
    </row>
    <row r="1069">
      <c r="A1069" s="324" t="n"/>
      <c r="B1069" s="22" t="n"/>
      <c r="C1069" s="22" t="n"/>
      <c r="D1069" s="22" t="n"/>
      <c r="E1069" s="22" t="n"/>
      <c r="F1069" s="22" t="n"/>
      <c r="G1069" s="22" t="n"/>
      <c r="H1069" s="22" t="n"/>
      <c r="I1069" s="22" t="n"/>
      <c r="J1069" s="22" t="n"/>
      <c r="K1069" s="22" t="n"/>
    </row>
    <row r="1070">
      <c r="A1070" s="324" t="n"/>
      <c r="B1070" s="22" t="n"/>
      <c r="C1070" s="22" t="n"/>
      <c r="D1070" s="22" t="n"/>
      <c r="E1070" s="22" t="n"/>
      <c r="F1070" s="22" t="n"/>
      <c r="G1070" s="22" t="n"/>
      <c r="H1070" s="22" t="n"/>
      <c r="I1070" s="22" t="n"/>
      <c r="J1070" s="22" t="n"/>
      <c r="K1070" s="22" t="n"/>
    </row>
    <row r="1071">
      <c r="A1071" s="324" t="n"/>
      <c r="B1071" s="22" t="n"/>
      <c r="C1071" s="22" t="n"/>
      <c r="D1071" s="22" t="n"/>
      <c r="E1071" s="22" t="n"/>
      <c r="F1071" s="22" t="n"/>
      <c r="G1071" s="22" t="n"/>
      <c r="H1071" s="22" t="n"/>
      <c r="I1071" s="22" t="n"/>
      <c r="J1071" s="22" t="n"/>
      <c r="K1071" s="22" t="n"/>
    </row>
    <row r="1072">
      <c r="A1072" s="324" t="n"/>
      <c r="B1072" s="22" t="n"/>
      <c r="C1072" s="22" t="n"/>
      <c r="D1072" s="22" t="n"/>
      <c r="E1072" s="22" t="n"/>
      <c r="F1072" s="22" t="n"/>
      <c r="G1072" s="22" t="n"/>
      <c r="H1072" s="22" t="n"/>
      <c r="I1072" s="22" t="n"/>
      <c r="J1072" s="22" t="n"/>
      <c r="K1072" s="22" t="n"/>
    </row>
    <row r="1073">
      <c r="A1073" s="324" t="n"/>
      <c r="B1073" s="22" t="n"/>
      <c r="C1073" s="22" t="n"/>
      <c r="D1073" s="22" t="n"/>
      <c r="E1073" s="22" t="n"/>
      <c r="F1073" s="22" t="n"/>
      <c r="G1073" s="22" t="n"/>
      <c r="H1073" s="22" t="n"/>
      <c r="I1073" s="22" t="n"/>
      <c r="J1073" s="22" t="n"/>
      <c r="K1073" s="22" t="n"/>
    </row>
    <row r="1074">
      <c r="A1074" s="324" t="n"/>
      <c r="B1074" s="22" t="n"/>
      <c r="C1074" s="22" t="n"/>
      <c r="D1074" s="22" t="n"/>
      <c r="E1074" s="22" t="n"/>
      <c r="F1074" s="22" t="n"/>
      <c r="G1074" s="22" t="n"/>
      <c r="H1074" s="22" t="n"/>
      <c r="I1074" s="22" t="n"/>
      <c r="J1074" s="22" t="n"/>
      <c r="K1074" s="22" t="n"/>
    </row>
    <row r="1075">
      <c r="A1075" s="324" t="n"/>
      <c r="B1075" s="22" t="n"/>
      <c r="C1075" s="22" t="n"/>
      <c r="D1075" s="22" t="n"/>
      <c r="E1075" s="22" t="n"/>
      <c r="F1075" s="22" t="n"/>
      <c r="G1075" s="22" t="n"/>
      <c r="H1075" s="22" t="n"/>
      <c r="I1075" s="22" t="n"/>
      <c r="J1075" s="22" t="n"/>
      <c r="K1075" s="22" t="n"/>
    </row>
    <row r="1076">
      <c r="A1076" s="324" t="n"/>
      <c r="B1076" s="22" t="n"/>
      <c r="C1076" s="22" t="n"/>
      <c r="D1076" s="22" t="n"/>
      <c r="E1076" s="22" t="n"/>
      <c r="F1076" s="22" t="n"/>
      <c r="G1076" s="22" t="n"/>
      <c r="H1076" s="22" t="n"/>
      <c r="I1076" s="22" t="n"/>
      <c r="J1076" s="22" t="n"/>
      <c r="K1076" s="22" t="n"/>
    </row>
    <row r="1077">
      <c r="A1077" s="324" t="n"/>
      <c r="B1077" s="22" t="n"/>
      <c r="C1077" s="22" t="n"/>
      <c r="D1077" s="22" t="n"/>
      <c r="E1077" s="22" t="n"/>
      <c r="F1077" s="22" t="n"/>
      <c r="G1077" s="22" t="n"/>
      <c r="H1077" s="22" t="n"/>
      <c r="I1077" s="22" t="n"/>
      <c r="J1077" s="22" t="n"/>
      <c r="K1077" s="22" t="n"/>
    </row>
    <row r="1078">
      <c r="A1078" s="324" t="n"/>
      <c r="B1078" s="22" t="n"/>
      <c r="C1078" s="22" t="n"/>
      <c r="D1078" s="22" t="n"/>
      <c r="E1078" s="22" t="n"/>
      <c r="F1078" s="22" t="n"/>
      <c r="G1078" s="22" t="n"/>
      <c r="H1078" s="22" t="n"/>
      <c r="I1078" s="22" t="n"/>
      <c r="J1078" s="22" t="n"/>
      <c r="K1078" s="22" t="n"/>
    </row>
    <row r="1079">
      <c r="A1079" s="324" t="n"/>
      <c r="B1079" s="22" t="n"/>
      <c r="C1079" s="22" t="n"/>
      <c r="D1079" s="22" t="n"/>
      <c r="E1079" s="22" t="n"/>
      <c r="F1079" s="22" t="n"/>
      <c r="G1079" s="22" t="n"/>
      <c r="H1079" s="22" t="n"/>
      <c r="I1079" s="22" t="n"/>
      <c r="J1079" s="22" t="n"/>
      <c r="K1079" s="22" t="n"/>
    </row>
    <row r="1080">
      <c r="A1080" s="324" t="n"/>
      <c r="B1080" s="22" t="n"/>
      <c r="C1080" s="22" t="n"/>
      <c r="D1080" s="22" t="n"/>
      <c r="E1080" s="22" t="n"/>
      <c r="F1080" s="22" t="n"/>
      <c r="G1080" s="22" t="n"/>
      <c r="H1080" s="22" t="n"/>
      <c r="I1080" s="22" t="n"/>
      <c r="J1080" s="22" t="n"/>
      <c r="K1080" s="22" t="n"/>
    </row>
    <row r="1081">
      <c r="A1081" s="324" t="n"/>
      <c r="B1081" s="22" t="n"/>
      <c r="C1081" s="22" t="n"/>
      <c r="D1081" s="22" t="n"/>
      <c r="E1081" s="22" t="n"/>
      <c r="F1081" s="22" t="n"/>
      <c r="G1081" s="22" t="n"/>
      <c r="H1081" s="22" t="n"/>
      <c r="I1081" s="22" t="n"/>
      <c r="J1081" s="22" t="n"/>
      <c r="K1081" s="22" t="n"/>
    </row>
    <row r="1082">
      <c r="A1082" s="324" t="n"/>
      <c r="B1082" s="22" t="n"/>
      <c r="C1082" s="22" t="n"/>
      <c r="D1082" s="22" t="n"/>
      <c r="E1082" s="22" t="n"/>
      <c r="F1082" s="22" t="n"/>
      <c r="G1082" s="22" t="n"/>
      <c r="H1082" s="22" t="n"/>
      <c r="I1082" s="22" t="n"/>
      <c r="J1082" s="22" t="n"/>
      <c r="K1082" s="22" t="n"/>
    </row>
    <row r="1083">
      <c r="A1083" s="324" t="n"/>
      <c r="B1083" s="22" t="n"/>
      <c r="C1083" s="22" t="n"/>
      <c r="D1083" s="22" t="n"/>
      <c r="E1083" s="22" t="n"/>
      <c r="F1083" s="22" t="n"/>
      <c r="G1083" s="22" t="n"/>
      <c r="H1083" s="22" t="n"/>
      <c r="I1083" s="22" t="n"/>
      <c r="J1083" s="22" t="n"/>
      <c r="K1083" s="22" t="n"/>
    </row>
    <row r="1084">
      <c r="A1084" s="324" t="n"/>
      <c r="B1084" s="22" t="n"/>
      <c r="C1084" s="22" t="n"/>
      <c r="D1084" s="22" t="n"/>
      <c r="E1084" s="22" t="n"/>
      <c r="F1084" s="22" t="n"/>
      <c r="G1084" s="22" t="n"/>
      <c r="H1084" s="22" t="n"/>
      <c r="I1084" s="22" t="n"/>
      <c r="J1084" s="22" t="n"/>
      <c r="K1084" s="22" t="n"/>
    </row>
    <row r="1085">
      <c r="A1085" s="324" t="n"/>
      <c r="B1085" s="22" t="n"/>
      <c r="C1085" s="22" t="n"/>
      <c r="D1085" s="22" t="n"/>
      <c r="E1085" s="22" t="n"/>
      <c r="F1085" s="22" t="n"/>
      <c r="G1085" s="22" t="n"/>
      <c r="H1085" s="22" t="n"/>
      <c r="I1085" s="22" t="n"/>
      <c r="J1085" s="22" t="n"/>
      <c r="K1085" s="22" t="n"/>
    </row>
    <row r="1086">
      <c r="A1086" s="324" t="n"/>
      <c r="B1086" s="22" t="n"/>
      <c r="C1086" s="22" t="n"/>
      <c r="D1086" s="22" t="n"/>
      <c r="E1086" s="22" t="n"/>
      <c r="F1086" s="22" t="n"/>
      <c r="G1086" s="22" t="n"/>
      <c r="H1086" s="22" t="n"/>
      <c r="I1086" s="22" t="n"/>
      <c r="J1086" s="22" t="n"/>
      <c r="K1086" s="22" t="n"/>
    </row>
    <row r="1087">
      <c r="A1087" s="324" t="n"/>
      <c r="B1087" s="22" t="n"/>
      <c r="C1087" s="22" t="n"/>
      <c r="D1087" s="22" t="n"/>
      <c r="E1087" s="22" t="n"/>
      <c r="F1087" s="22" t="n"/>
      <c r="G1087" s="22" t="n"/>
      <c r="H1087" s="22" t="n"/>
      <c r="I1087" s="22" t="n"/>
      <c r="J1087" s="22" t="n"/>
      <c r="K1087" s="22" t="n"/>
    </row>
    <row r="1088">
      <c r="A1088" s="324" t="n"/>
      <c r="B1088" s="22" t="n"/>
      <c r="C1088" s="22" t="n"/>
      <c r="D1088" s="22" t="n"/>
      <c r="E1088" s="22" t="n"/>
      <c r="F1088" s="22" t="n"/>
      <c r="G1088" s="22" t="n"/>
      <c r="H1088" s="22" t="n"/>
      <c r="I1088" s="22" t="n"/>
      <c r="J1088" s="22" t="n"/>
      <c r="K1088" s="22" t="n"/>
    </row>
    <row r="1089">
      <c r="A1089" s="324" t="n"/>
      <c r="B1089" s="22" t="n"/>
      <c r="C1089" s="22" t="n"/>
      <c r="D1089" s="22" t="n"/>
      <c r="E1089" s="22" t="n"/>
      <c r="F1089" s="22" t="n"/>
      <c r="G1089" s="22" t="n"/>
      <c r="H1089" s="22" t="n"/>
      <c r="I1089" s="22" t="n"/>
      <c r="J1089" s="22" t="n"/>
      <c r="K1089" s="22" t="n"/>
    </row>
    <row r="1090">
      <c r="A1090" s="324" t="n"/>
      <c r="B1090" s="22" t="n"/>
      <c r="C1090" s="22" t="n"/>
      <c r="D1090" s="22" t="n"/>
      <c r="E1090" s="22" t="n"/>
      <c r="F1090" s="22" t="n"/>
      <c r="G1090" s="22" t="n"/>
      <c r="H1090" s="22" t="n"/>
      <c r="I1090" s="22" t="n"/>
      <c r="J1090" s="22" t="n"/>
      <c r="K1090" s="22" t="n"/>
    </row>
    <row r="1091">
      <c r="A1091" s="324" t="n"/>
      <c r="B1091" s="22" t="n"/>
      <c r="C1091" s="22" t="n"/>
      <c r="D1091" s="22" t="n"/>
      <c r="E1091" s="22" t="n"/>
      <c r="F1091" s="22" t="n"/>
      <c r="G1091" s="22" t="n"/>
      <c r="H1091" s="22" t="n"/>
      <c r="I1091" s="22" t="n"/>
      <c r="J1091" s="22" t="n"/>
      <c r="K1091" s="22" t="n"/>
    </row>
    <row r="1092">
      <c r="A1092" s="324" t="n"/>
      <c r="B1092" s="22" t="n"/>
      <c r="C1092" s="22" t="n"/>
      <c r="D1092" s="22" t="n"/>
      <c r="E1092" s="22" t="n"/>
      <c r="F1092" s="22" t="n"/>
      <c r="G1092" s="22" t="n"/>
      <c r="H1092" s="22" t="n"/>
      <c r="I1092" s="22" t="n"/>
      <c r="J1092" s="22" t="n"/>
      <c r="K1092" s="22" t="n"/>
    </row>
    <row r="1093">
      <c r="A1093" s="324" t="n"/>
      <c r="B1093" s="22" t="n"/>
      <c r="C1093" s="22" t="n"/>
      <c r="D1093" s="22" t="n"/>
      <c r="E1093" s="22" t="n"/>
      <c r="F1093" s="22" t="n"/>
      <c r="G1093" s="22" t="n"/>
      <c r="H1093" s="22" t="n"/>
      <c r="I1093" s="22" t="n"/>
      <c r="J1093" s="22" t="n"/>
      <c r="K1093" s="22" t="n"/>
    </row>
    <row r="1094">
      <c r="A1094" s="324" t="n"/>
      <c r="B1094" s="22" t="n"/>
      <c r="C1094" s="22" t="n"/>
      <c r="D1094" s="22" t="n"/>
      <c r="E1094" s="22" t="n"/>
      <c r="F1094" s="22" t="n"/>
      <c r="G1094" s="22" t="n"/>
      <c r="H1094" s="22" t="n"/>
      <c r="I1094" s="22" t="n"/>
      <c r="J1094" s="22" t="n"/>
      <c r="K1094" s="22" t="n"/>
    </row>
    <row r="1095">
      <c r="A1095" s="324" t="n"/>
      <c r="B1095" s="22" t="n"/>
      <c r="C1095" s="22" t="n"/>
      <c r="D1095" s="22" t="n"/>
      <c r="E1095" s="22" t="n"/>
      <c r="F1095" s="22" t="n"/>
      <c r="G1095" s="22" t="n"/>
      <c r="H1095" s="22" t="n"/>
      <c r="I1095" s="22" t="n"/>
      <c r="J1095" s="22" t="n"/>
      <c r="K1095" s="22" t="n"/>
    </row>
    <row r="1096">
      <c r="A1096" s="324" t="n"/>
      <c r="B1096" s="22" t="n"/>
      <c r="C1096" s="22" t="n"/>
      <c r="D1096" s="22" t="n"/>
      <c r="E1096" s="22" t="n"/>
      <c r="F1096" s="22" t="n"/>
      <c r="G1096" s="22" t="n"/>
      <c r="H1096" s="22" t="n"/>
      <c r="I1096" s="22" t="n"/>
      <c r="J1096" s="22" t="n"/>
      <c r="K1096" s="22" t="n"/>
    </row>
    <row r="1097">
      <c r="A1097" s="324" t="n"/>
      <c r="B1097" s="22" t="n"/>
      <c r="C1097" s="22" t="n"/>
      <c r="D1097" s="22" t="n"/>
      <c r="E1097" s="22" t="n"/>
      <c r="F1097" s="22" t="n"/>
      <c r="G1097" s="22" t="n"/>
      <c r="H1097" s="22" t="n"/>
      <c r="I1097" s="22" t="n"/>
      <c r="J1097" s="22" t="n"/>
      <c r="K1097" s="22" t="n"/>
    </row>
    <row r="1098">
      <c r="A1098" s="324" t="n"/>
      <c r="B1098" s="22" t="n"/>
      <c r="C1098" s="22" t="n"/>
      <c r="D1098" s="22" t="n"/>
      <c r="E1098" s="22" t="n"/>
      <c r="F1098" s="22" t="n"/>
      <c r="G1098" s="22" t="n"/>
      <c r="H1098" s="22" t="n"/>
      <c r="I1098" s="22" t="n"/>
      <c r="J1098" s="22" t="n"/>
      <c r="K1098" s="22" t="n"/>
    </row>
    <row r="1099">
      <c r="A1099" s="324" t="n"/>
      <c r="B1099" s="22" t="n"/>
      <c r="C1099" s="22" t="n"/>
      <c r="D1099" s="22" t="n"/>
      <c r="E1099" s="22" t="n"/>
      <c r="F1099" s="22" t="n"/>
      <c r="G1099" s="22" t="n"/>
      <c r="H1099" s="22" t="n"/>
      <c r="I1099" s="22" t="n"/>
      <c r="J1099" s="22" t="n"/>
      <c r="K1099" s="22" t="n"/>
    </row>
    <row r="1100">
      <c r="A1100" s="324" t="n"/>
      <c r="B1100" s="22" t="n"/>
      <c r="C1100" s="22" t="n"/>
      <c r="D1100" s="22" t="n"/>
      <c r="E1100" s="22" t="n"/>
      <c r="F1100" s="22" t="n"/>
      <c r="G1100" s="22" t="n"/>
      <c r="H1100" s="22" t="n"/>
      <c r="I1100" s="22" t="n"/>
      <c r="J1100" s="22" t="n"/>
      <c r="K1100" s="22" t="n"/>
    </row>
    <row r="1101">
      <c r="A1101" s="324" t="n"/>
      <c r="B1101" s="22" t="n"/>
      <c r="C1101" s="22" t="n"/>
      <c r="D1101" s="22" t="n"/>
      <c r="E1101" s="22" t="n"/>
      <c r="F1101" s="22" t="n"/>
      <c r="G1101" s="22" t="n"/>
      <c r="H1101" s="22" t="n"/>
      <c r="I1101" s="22" t="n"/>
      <c r="J1101" s="22" t="n"/>
      <c r="K1101" s="22" t="n"/>
    </row>
    <row r="1102">
      <c r="A1102" s="324" t="n"/>
      <c r="B1102" s="22" t="n"/>
      <c r="C1102" s="22" t="n"/>
      <c r="D1102" s="22" t="n"/>
      <c r="E1102" s="22" t="n"/>
      <c r="F1102" s="22" t="n"/>
      <c r="G1102" s="22" t="n"/>
      <c r="H1102" s="22" t="n"/>
      <c r="I1102" s="22" t="n"/>
      <c r="J1102" s="22" t="n"/>
      <c r="K1102" s="22" t="n"/>
    </row>
    <row r="1103">
      <c r="A1103" s="324" t="n"/>
      <c r="B1103" s="22" t="n"/>
      <c r="C1103" s="22" t="n"/>
      <c r="D1103" s="22" t="n"/>
      <c r="E1103" s="22" t="n"/>
      <c r="F1103" s="22" t="n"/>
      <c r="G1103" s="22" t="n"/>
      <c r="H1103" s="22" t="n"/>
      <c r="I1103" s="22" t="n"/>
      <c r="J1103" s="22" t="n"/>
      <c r="K1103" s="22" t="n"/>
    </row>
    <row r="1104">
      <c r="A1104" s="324" t="n"/>
      <c r="B1104" s="22" t="n"/>
      <c r="C1104" s="22" t="n"/>
      <c r="D1104" s="22" t="n"/>
      <c r="E1104" s="22" t="n"/>
      <c r="F1104" s="22" t="n"/>
      <c r="G1104" s="22" t="n"/>
      <c r="H1104" s="22" t="n"/>
      <c r="I1104" s="22" t="n"/>
      <c r="J1104" s="22" t="n"/>
      <c r="K1104" s="22" t="n"/>
    </row>
    <row r="1105">
      <c r="A1105" s="324" t="n"/>
      <c r="B1105" s="22" t="n"/>
      <c r="C1105" s="22" t="n"/>
      <c r="D1105" s="22" t="n"/>
      <c r="E1105" s="22" t="n"/>
      <c r="F1105" s="22" t="n"/>
      <c r="G1105" s="22" t="n"/>
      <c r="H1105" s="22" t="n"/>
      <c r="I1105" s="22" t="n"/>
      <c r="J1105" s="22" t="n"/>
      <c r="K1105" s="22" t="n"/>
    </row>
    <row r="1106">
      <c r="A1106" s="324" t="n"/>
      <c r="B1106" s="22" t="n"/>
      <c r="C1106" s="22" t="n"/>
      <c r="D1106" s="22" t="n"/>
      <c r="E1106" s="22" t="n"/>
      <c r="F1106" s="22" t="n"/>
      <c r="G1106" s="22" t="n"/>
      <c r="H1106" s="22" t="n"/>
      <c r="I1106" s="22" t="n"/>
      <c r="J1106" s="22" t="n"/>
      <c r="K1106" s="22" t="n"/>
    </row>
    <row r="1107">
      <c r="A1107" s="324" t="n"/>
      <c r="B1107" s="22" t="n"/>
      <c r="C1107" s="22" t="n"/>
      <c r="D1107" s="22" t="n"/>
      <c r="E1107" s="22" t="n"/>
      <c r="F1107" s="22" t="n"/>
      <c r="G1107" s="22" t="n"/>
      <c r="H1107" s="22" t="n"/>
      <c r="I1107" s="22" t="n"/>
      <c r="J1107" s="22" t="n"/>
      <c r="K1107" s="22" t="n"/>
    </row>
    <row r="1108">
      <c r="A1108" s="324" t="n"/>
      <c r="B1108" s="22" t="n"/>
      <c r="C1108" s="22" t="n"/>
      <c r="D1108" s="22" t="n"/>
      <c r="E1108" s="22" t="n"/>
      <c r="F1108" s="22" t="n"/>
      <c r="G1108" s="22" t="n"/>
      <c r="H1108" s="22" t="n"/>
      <c r="I1108" s="22" t="n"/>
      <c r="J1108" s="22" t="n"/>
      <c r="K1108" s="22" t="n"/>
    </row>
    <row r="1109">
      <c r="A1109" s="324" t="n"/>
      <c r="B1109" s="22" t="n"/>
      <c r="C1109" s="22" t="n"/>
      <c r="D1109" s="22" t="n"/>
      <c r="E1109" s="22" t="n"/>
      <c r="F1109" s="22" t="n"/>
      <c r="G1109" s="22" t="n"/>
      <c r="H1109" s="22" t="n"/>
      <c r="I1109" s="22" t="n"/>
      <c r="J1109" s="22" t="n"/>
      <c r="K1109" s="22" t="n"/>
    </row>
    <row r="1110">
      <c r="A1110" s="324" t="n"/>
      <c r="B1110" s="22" t="n"/>
      <c r="C1110" s="22" t="n"/>
      <c r="D1110" s="22" t="n"/>
      <c r="E1110" s="22" t="n"/>
      <c r="F1110" s="22" t="n"/>
      <c r="G1110" s="22" t="n"/>
      <c r="H1110" s="22" t="n"/>
      <c r="I1110" s="22" t="n"/>
      <c r="J1110" s="22" t="n"/>
      <c r="K1110" s="22" t="n"/>
    </row>
    <row r="1111">
      <c r="A1111" s="324" t="n"/>
      <c r="B1111" s="22" t="n"/>
      <c r="C1111" s="22" t="n"/>
      <c r="D1111" s="22" t="n"/>
      <c r="E1111" s="22" t="n"/>
      <c r="F1111" s="22" t="n"/>
      <c r="G1111" s="22" t="n"/>
      <c r="H1111" s="22" t="n"/>
      <c r="I1111" s="22" t="n"/>
      <c r="J1111" s="22" t="n"/>
      <c r="K1111" s="22" t="n"/>
    </row>
    <row r="1112">
      <c r="A1112" s="324" t="n"/>
      <c r="B1112" s="22" t="n"/>
      <c r="C1112" s="22" t="n"/>
      <c r="D1112" s="22" t="n"/>
      <c r="E1112" s="22" t="n"/>
      <c r="F1112" s="22" t="n"/>
      <c r="G1112" s="22" t="n"/>
      <c r="H1112" s="22" t="n"/>
      <c r="I1112" s="22" t="n"/>
      <c r="J1112" s="22" t="n"/>
      <c r="K1112" s="22" t="n"/>
    </row>
    <row r="1113">
      <c r="A1113" s="324" t="n"/>
      <c r="B1113" s="22" t="n"/>
      <c r="C1113" s="22" t="n"/>
      <c r="D1113" s="22" t="n"/>
      <c r="E1113" s="22" t="n"/>
      <c r="F1113" s="22" t="n"/>
      <c r="G1113" s="22" t="n"/>
      <c r="H1113" s="22" t="n"/>
      <c r="I1113" s="22" t="n"/>
      <c r="J1113" s="22" t="n"/>
      <c r="K1113" s="22" t="n"/>
    </row>
    <row r="1114">
      <c r="A1114" s="324" t="n"/>
      <c r="B1114" s="22" t="n"/>
      <c r="C1114" s="22" t="n"/>
      <c r="D1114" s="22" t="n"/>
      <c r="E1114" s="22" t="n"/>
      <c r="F1114" s="22" t="n"/>
      <c r="G1114" s="22" t="n"/>
      <c r="H1114" s="22" t="n"/>
      <c r="I1114" s="22" t="n"/>
      <c r="J1114" s="22" t="n"/>
      <c r="K1114" s="22" t="n"/>
    </row>
    <row r="1115">
      <c r="A1115" s="324" t="n"/>
      <c r="B1115" s="22" t="n"/>
      <c r="C1115" s="22" t="n"/>
      <c r="D1115" s="22" t="n"/>
      <c r="E1115" s="22" t="n"/>
      <c r="F1115" s="22" t="n"/>
      <c r="G1115" s="22" t="n"/>
      <c r="H1115" s="22" t="n"/>
      <c r="I1115" s="22" t="n"/>
      <c r="J1115" s="22" t="n"/>
      <c r="K1115" s="22" t="n"/>
    </row>
    <row r="1116">
      <c r="A1116" s="324" t="n"/>
      <c r="B1116" s="22" t="n"/>
      <c r="C1116" s="22" t="n"/>
      <c r="D1116" s="22" t="n"/>
      <c r="E1116" s="22" t="n"/>
      <c r="F1116" s="22" t="n"/>
      <c r="G1116" s="22" t="n"/>
      <c r="H1116" s="22" t="n"/>
      <c r="I1116" s="22" t="n"/>
      <c r="J1116" s="22" t="n"/>
      <c r="K1116" s="22" t="n"/>
    </row>
    <row r="1117">
      <c r="A1117" s="324" t="n"/>
      <c r="B1117" s="22" t="n"/>
      <c r="C1117" s="22" t="n"/>
      <c r="D1117" s="22" t="n"/>
      <c r="E1117" s="22" t="n"/>
      <c r="F1117" s="22" t="n"/>
      <c r="G1117" s="22" t="n"/>
      <c r="H1117" s="22" t="n"/>
      <c r="I1117" s="22" t="n"/>
      <c r="J1117" s="22" t="n"/>
      <c r="K1117" s="22" t="n"/>
    </row>
    <row r="1118">
      <c r="A1118" s="324" t="n"/>
      <c r="B1118" s="22" t="n"/>
      <c r="C1118" s="22" t="n"/>
      <c r="D1118" s="22" t="n"/>
      <c r="E1118" s="22" t="n"/>
      <c r="F1118" s="22" t="n"/>
      <c r="G1118" s="22" t="n"/>
      <c r="H1118" s="22" t="n"/>
      <c r="I1118" s="22" t="n"/>
      <c r="J1118" s="22" t="n"/>
      <c r="K1118" s="22" t="n"/>
    </row>
    <row r="1119">
      <c r="A1119" s="324" t="n"/>
      <c r="B1119" s="22" t="n"/>
      <c r="C1119" s="22" t="n"/>
      <c r="D1119" s="22" t="n"/>
      <c r="E1119" s="22" t="n"/>
      <c r="F1119" s="22" t="n"/>
      <c r="G1119" s="22" t="n"/>
      <c r="H1119" s="22" t="n"/>
      <c r="I1119" s="22" t="n"/>
      <c r="J1119" s="22" t="n"/>
      <c r="K1119" s="22" t="n"/>
    </row>
    <row r="1120">
      <c r="A1120" s="324" t="n"/>
      <c r="B1120" s="22" t="n"/>
      <c r="C1120" s="22" t="n"/>
      <c r="D1120" s="22" t="n"/>
      <c r="E1120" s="22" t="n"/>
      <c r="F1120" s="22" t="n"/>
      <c r="G1120" s="22" t="n"/>
      <c r="H1120" s="22" t="n"/>
      <c r="I1120" s="22" t="n"/>
      <c r="J1120" s="22" t="n"/>
      <c r="K1120" s="22" t="n"/>
    </row>
    <row r="1121">
      <c r="A1121" s="324" t="n"/>
      <c r="B1121" s="22" t="n"/>
      <c r="C1121" s="22" t="n"/>
      <c r="D1121" s="22" t="n"/>
      <c r="E1121" s="22" t="n"/>
      <c r="F1121" s="22" t="n"/>
      <c r="G1121" s="22" t="n"/>
      <c r="H1121" s="22" t="n"/>
      <c r="I1121" s="22" t="n"/>
      <c r="J1121" s="22" t="n"/>
      <c r="K1121" s="22" t="n"/>
    </row>
    <row r="1122">
      <c r="A1122" s="324" t="n"/>
      <c r="B1122" s="22" t="n"/>
      <c r="C1122" s="22" t="n"/>
      <c r="D1122" s="22" t="n"/>
      <c r="E1122" s="22" t="n"/>
      <c r="F1122" s="22" t="n"/>
      <c r="G1122" s="22" t="n"/>
      <c r="H1122" s="22" t="n"/>
      <c r="I1122" s="22" t="n"/>
      <c r="J1122" s="22" t="n"/>
      <c r="K1122" s="22" t="n"/>
    </row>
    <row r="1123">
      <c r="A1123" s="324" t="n"/>
      <c r="B1123" s="22" t="n"/>
      <c r="C1123" s="22" t="n"/>
      <c r="D1123" s="22" t="n"/>
      <c r="E1123" s="22" t="n"/>
      <c r="F1123" s="22" t="n"/>
      <c r="G1123" s="22" t="n"/>
      <c r="H1123" s="22" t="n"/>
      <c r="I1123" s="22" t="n"/>
      <c r="J1123" s="22" t="n"/>
      <c r="K1123" s="22" t="n"/>
    </row>
    <row r="1124">
      <c r="A1124" s="324" t="n"/>
      <c r="B1124" s="22" t="n"/>
      <c r="C1124" s="22" t="n"/>
      <c r="D1124" s="22" t="n"/>
      <c r="E1124" s="22" t="n"/>
      <c r="F1124" s="22" t="n"/>
      <c r="G1124" s="22" t="n"/>
      <c r="H1124" s="22" t="n"/>
      <c r="I1124" s="22" t="n"/>
      <c r="J1124" s="22" t="n"/>
      <c r="K1124" s="22" t="n"/>
    </row>
    <row r="1125">
      <c r="A1125" s="324" t="n"/>
      <c r="B1125" s="22" t="n"/>
      <c r="C1125" s="22" t="n"/>
      <c r="D1125" s="22" t="n"/>
      <c r="E1125" s="22" t="n"/>
      <c r="F1125" s="22" t="n"/>
      <c r="G1125" s="22" t="n"/>
      <c r="H1125" s="22" t="n"/>
      <c r="I1125" s="22" t="n"/>
      <c r="J1125" s="22" t="n"/>
      <c r="K1125" s="22" t="n"/>
    </row>
    <row r="1126">
      <c r="A1126" s="324" t="n"/>
      <c r="B1126" s="22" t="n"/>
      <c r="C1126" s="22" t="n"/>
      <c r="D1126" s="22" t="n"/>
      <c r="E1126" s="22" t="n"/>
      <c r="F1126" s="22" t="n"/>
      <c r="G1126" s="22" t="n"/>
      <c r="H1126" s="22" t="n"/>
      <c r="I1126" s="22" t="n"/>
      <c r="J1126" s="22" t="n"/>
      <c r="K1126" s="22" t="n"/>
    </row>
    <row r="1127">
      <c r="A1127" s="324" t="n"/>
      <c r="B1127" s="22" t="n"/>
      <c r="C1127" s="22" t="n"/>
      <c r="D1127" s="22" t="n"/>
      <c r="E1127" s="22" t="n"/>
      <c r="F1127" s="22" t="n"/>
      <c r="G1127" s="22" t="n"/>
      <c r="H1127" s="22" t="n"/>
      <c r="I1127" s="22" t="n"/>
      <c r="J1127" s="22" t="n"/>
      <c r="K1127" s="22" t="n"/>
    </row>
    <row r="1128">
      <c r="A1128" s="324" t="n"/>
      <c r="B1128" s="22" t="n"/>
      <c r="C1128" s="22" t="n"/>
      <c r="D1128" s="22" t="n"/>
      <c r="E1128" s="22" t="n"/>
      <c r="F1128" s="22" t="n"/>
      <c r="G1128" s="22" t="n"/>
      <c r="H1128" s="22" t="n"/>
      <c r="I1128" s="22" t="n"/>
      <c r="J1128" s="22" t="n"/>
      <c r="K1128" s="22" t="n"/>
    </row>
    <row r="1129">
      <c r="A1129" s="324" t="n"/>
      <c r="B1129" s="22" t="n"/>
      <c r="C1129" s="22" t="n"/>
      <c r="D1129" s="22" t="n"/>
      <c r="E1129" s="22" t="n"/>
      <c r="F1129" s="22" t="n"/>
      <c r="G1129" s="22" t="n"/>
      <c r="H1129" s="22" t="n"/>
      <c r="I1129" s="22" t="n"/>
      <c r="J1129" s="22" t="n"/>
      <c r="K1129" s="22" t="n"/>
    </row>
    <row r="1130">
      <c r="A1130" s="324" t="n"/>
      <c r="B1130" s="22" t="n"/>
      <c r="C1130" s="22" t="n"/>
      <c r="D1130" s="22" t="n"/>
      <c r="E1130" s="22" t="n"/>
      <c r="F1130" s="22" t="n"/>
      <c r="G1130" s="22" t="n"/>
      <c r="H1130" s="22" t="n"/>
      <c r="I1130" s="22" t="n"/>
      <c r="J1130" s="22" t="n"/>
      <c r="K1130" s="22" t="n"/>
    </row>
    <row r="1131">
      <c r="A1131" s="324" t="n"/>
      <c r="B1131" s="22" t="n"/>
      <c r="C1131" s="22" t="n"/>
      <c r="D1131" s="22" t="n"/>
      <c r="E1131" s="22" t="n"/>
      <c r="F1131" s="22" t="n"/>
      <c r="G1131" s="22" t="n"/>
      <c r="H1131" s="22" t="n"/>
      <c r="I1131" s="22" t="n"/>
      <c r="J1131" s="22" t="n"/>
      <c r="K1131" s="22" t="n"/>
    </row>
    <row r="1132">
      <c r="A1132" s="324" t="n"/>
      <c r="B1132" s="22" t="n"/>
      <c r="C1132" s="22" t="n"/>
      <c r="D1132" s="22" t="n"/>
      <c r="E1132" s="22" t="n"/>
      <c r="F1132" s="22" t="n"/>
      <c r="G1132" s="22" t="n"/>
      <c r="H1132" s="22" t="n"/>
      <c r="I1132" s="22" t="n"/>
      <c r="J1132" s="22" t="n"/>
      <c r="K1132" s="22" t="n"/>
    </row>
    <row r="1133">
      <c r="A1133" s="324" t="n"/>
      <c r="B1133" s="22" t="n"/>
      <c r="C1133" s="22" t="n"/>
      <c r="D1133" s="22" t="n"/>
      <c r="E1133" s="22" t="n"/>
      <c r="F1133" s="22" t="n"/>
      <c r="G1133" s="22" t="n"/>
      <c r="H1133" s="22" t="n"/>
      <c r="I1133" s="22" t="n"/>
      <c r="J1133" s="22" t="n"/>
      <c r="K1133" s="22" t="n"/>
    </row>
    <row r="1134">
      <c r="A1134" s="324" t="n"/>
      <c r="B1134" s="22" t="n"/>
      <c r="C1134" s="22" t="n"/>
      <c r="D1134" s="22" t="n"/>
      <c r="E1134" s="22" t="n"/>
      <c r="F1134" s="22" t="n"/>
      <c r="G1134" s="22" t="n"/>
      <c r="H1134" s="22" t="n"/>
      <c r="I1134" s="22" t="n"/>
      <c r="J1134" s="22" t="n"/>
      <c r="K1134" s="22" t="n"/>
    </row>
    <row r="1135">
      <c r="A1135" s="324" t="n"/>
      <c r="B1135" s="22" t="n"/>
      <c r="C1135" s="22" t="n"/>
      <c r="D1135" s="22" t="n"/>
      <c r="E1135" s="22" t="n"/>
      <c r="F1135" s="22" t="n"/>
      <c r="G1135" s="22" t="n"/>
      <c r="H1135" s="22" t="n"/>
      <c r="I1135" s="22" t="n"/>
      <c r="J1135" s="22" t="n"/>
      <c r="K1135" s="22" t="n"/>
    </row>
    <row r="1136">
      <c r="A1136" s="324" t="n"/>
      <c r="B1136" s="22" t="n"/>
      <c r="C1136" s="22" t="n"/>
      <c r="D1136" s="22" t="n"/>
      <c r="E1136" s="22" t="n"/>
      <c r="F1136" s="22" t="n"/>
      <c r="G1136" s="22" t="n"/>
      <c r="H1136" s="22" t="n"/>
      <c r="I1136" s="22" t="n"/>
      <c r="J1136" s="22" t="n"/>
      <c r="K1136" s="22" t="n"/>
    </row>
    <row r="1137">
      <c r="A1137" s="324" t="n"/>
      <c r="B1137" s="22" t="n"/>
      <c r="C1137" s="22" t="n"/>
      <c r="D1137" s="22" t="n"/>
      <c r="E1137" s="22" t="n"/>
      <c r="F1137" s="22" t="n"/>
      <c r="G1137" s="22" t="n"/>
      <c r="H1137" s="22" t="n"/>
      <c r="I1137" s="22" t="n"/>
      <c r="J1137" s="22" t="n"/>
      <c r="K1137" s="22" t="n"/>
    </row>
    <row r="1138">
      <c r="A1138" s="324" t="n"/>
      <c r="B1138" s="22" t="n"/>
      <c r="C1138" s="22" t="n"/>
      <c r="D1138" s="22" t="n"/>
      <c r="E1138" s="22" t="n"/>
      <c r="F1138" s="22" t="n"/>
      <c r="G1138" s="22" t="n"/>
      <c r="H1138" s="22" t="n"/>
      <c r="I1138" s="22" t="n"/>
      <c r="J1138" s="22" t="n"/>
      <c r="K1138" s="22" t="n"/>
    </row>
    <row r="1139">
      <c r="A1139" s="324" t="n"/>
      <c r="B1139" s="22" t="n"/>
      <c r="C1139" s="22" t="n"/>
      <c r="D1139" s="22" t="n"/>
      <c r="E1139" s="22" t="n"/>
      <c r="F1139" s="22" t="n"/>
      <c r="G1139" s="22" t="n"/>
      <c r="H1139" s="22" t="n"/>
      <c r="I1139" s="22" t="n"/>
      <c r="J1139" s="22" t="n"/>
      <c r="K1139" s="22" t="n"/>
    </row>
    <row r="1140">
      <c r="A1140" s="324" t="n"/>
      <c r="B1140" s="22" t="n"/>
      <c r="C1140" s="22" t="n"/>
      <c r="D1140" s="22" t="n"/>
      <c r="E1140" s="22" t="n"/>
      <c r="F1140" s="22" t="n"/>
      <c r="G1140" s="22" t="n"/>
      <c r="H1140" s="22" t="n"/>
      <c r="I1140" s="22" t="n"/>
      <c r="J1140" s="22" t="n"/>
      <c r="K1140" s="22" t="n"/>
    </row>
    <row r="1141">
      <c r="A1141" s="324" t="n"/>
      <c r="B1141" s="22" t="n"/>
      <c r="C1141" s="22" t="n"/>
      <c r="D1141" s="22" t="n"/>
      <c r="E1141" s="22" t="n"/>
      <c r="F1141" s="22" t="n"/>
      <c r="G1141" s="22" t="n"/>
      <c r="H1141" s="22" t="n"/>
      <c r="I1141" s="22" t="n"/>
      <c r="J1141" s="22" t="n"/>
      <c r="K1141" s="22" t="n"/>
    </row>
    <row r="1142">
      <c r="A1142" s="324" t="n"/>
      <c r="B1142" s="22" t="n"/>
      <c r="C1142" s="22" t="n"/>
      <c r="D1142" s="22" t="n"/>
      <c r="E1142" s="22" t="n"/>
      <c r="F1142" s="22" t="n"/>
      <c r="G1142" s="22" t="n"/>
      <c r="H1142" s="22" t="n"/>
      <c r="I1142" s="22" t="n"/>
      <c r="J1142" s="22" t="n"/>
      <c r="K1142" s="22" t="n"/>
    </row>
    <row r="1143">
      <c r="A1143" s="324" t="n"/>
      <c r="B1143" s="22" t="n"/>
      <c r="C1143" s="22" t="n"/>
      <c r="D1143" s="22" t="n"/>
      <c r="E1143" s="22" t="n"/>
      <c r="F1143" s="22" t="n"/>
      <c r="G1143" s="22" t="n"/>
      <c r="H1143" s="22" t="n"/>
      <c r="I1143" s="22" t="n"/>
      <c r="J1143" s="22" t="n"/>
      <c r="K1143" s="22" t="n"/>
    </row>
    <row r="1144">
      <c r="A1144" s="324" t="n"/>
      <c r="B1144" s="22" t="n"/>
      <c r="C1144" s="22" t="n"/>
      <c r="D1144" s="22" t="n"/>
      <c r="E1144" s="22" t="n"/>
      <c r="F1144" s="22" t="n"/>
      <c r="G1144" s="22" t="n"/>
      <c r="H1144" s="22" t="n"/>
      <c r="I1144" s="22" t="n"/>
      <c r="J1144" s="22" t="n"/>
      <c r="K1144" s="22" t="n"/>
    </row>
    <row r="1145">
      <c r="A1145" s="324" t="n"/>
      <c r="B1145" s="22" t="n"/>
      <c r="C1145" s="22" t="n"/>
      <c r="D1145" s="22" t="n"/>
      <c r="E1145" s="22" t="n"/>
      <c r="F1145" s="22" t="n"/>
      <c r="G1145" s="22" t="n"/>
      <c r="H1145" s="22" t="n"/>
      <c r="I1145" s="22" t="n"/>
      <c r="J1145" s="22" t="n"/>
      <c r="K1145" s="22" t="n"/>
    </row>
    <row r="1146">
      <c r="A1146" s="324" t="n"/>
      <c r="B1146" s="22" t="n"/>
      <c r="C1146" s="22" t="n"/>
      <c r="D1146" s="22" t="n"/>
      <c r="E1146" s="22" t="n"/>
      <c r="F1146" s="22" t="n"/>
      <c r="G1146" s="22" t="n"/>
      <c r="H1146" s="22" t="n"/>
      <c r="I1146" s="22" t="n"/>
      <c r="J1146" s="22" t="n"/>
      <c r="K1146" s="22" t="n"/>
    </row>
    <row r="1147">
      <c r="A1147" s="324" t="n"/>
      <c r="B1147" s="22" t="n"/>
      <c r="C1147" s="22" t="n"/>
      <c r="D1147" s="22" t="n"/>
      <c r="E1147" s="22" t="n"/>
      <c r="F1147" s="22" t="n"/>
      <c r="G1147" s="22" t="n"/>
      <c r="H1147" s="22" t="n"/>
      <c r="I1147" s="22" t="n"/>
      <c r="J1147" s="22" t="n"/>
      <c r="K1147" s="22" t="n"/>
    </row>
    <row r="1148">
      <c r="A1148" s="324" t="n"/>
      <c r="B1148" s="22" t="n"/>
      <c r="C1148" s="22" t="n"/>
      <c r="D1148" s="22" t="n"/>
      <c r="E1148" s="22" t="n"/>
      <c r="F1148" s="22" t="n"/>
      <c r="G1148" s="22" t="n"/>
      <c r="H1148" s="22" t="n"/>
      <c r="I1148" s="22" t="n"/>
      <c r="J1148" s="22" t="n"/>
      <c r="K1148" s="22" t="n"/>
    </row>
    <row r="1149">
      <c r="A1149" s="324" t="n"/>
      <c r="B1149" s="22" t="n"/>
      <c r="C1149" s="22" t="n"/>
      <c r="D1149" s="22" t="n"/>
      <c r="E1149" s="22" t="n"/>
      <c r="F1149" s="22" t="n"/>
      <c r="G1149" s="22" t="n"/>
      <c r="H1149" s="22" t="n"/>
      <c r="I1149" s="22" t="n"/>
      <c r="J1149" s="22" t="n"/>
      <c r="K1149" s="22" t="n"/>
    </row>
    <row r="1150">
      <c r="A1150" s="324" t="n"/>
      <c r="B1150" s="22" t="n"/>
      <c r="C1150" s="22" t="n"/>
      <c r="D1150" s="22" t="n"/>
      <c r="E1150" s="22" t="n"/>
      <c r="F1150" s="22" t="n"/>
      <c r="G1150" s="22" t="n"/>
      <c r="H1150" s="22" t="n"/>
      <c r="I1150" s="22" t="n"/>
      <c r="J1150" s="22" t="n"/>
      <c r="K1150" s="22" t="n"/>
    </row>
    <row r="1151">
      <c r="A1151" s="324" t="n"/>
      <c r="B1151" s="22" t="n"/>
      <c r="C1151" s="22" t="n"/>
      <c r="D1151" s="22" t="n"/>
      <c r="E1151" s="22" t="n"/>
      <c r="F1151" s="22" t="n"/>
      <c r="G1151" s="22" t="n"/>
      <c r="H1151" s="22" t="n"/>
      <c r="I1151" s="22" t="n"/>
      <c r="J1151" s="22" t="n"/>
      <c r="K1151" s="22" t="n"/>
    </row>
    <row r="1152">
      <c r="A1152" s="324" t="n"/>
      <c r="B1152" s="22" t="n"/>
      <c r="C1152" s="22" t="n"/>
      <c r="D1152" s="22" t="n"/>
      <c r="E1152" s="22" t="n"/>
      <c r="F1152" s="22" t="n"/>
      <c r="G1152" s="22" t="n"/>
      <c r="H1152" s="22" t="n"/>
      <c r="I1152" s="22" t="n"/>
      <c r="J1152" s="22" t="n"/>
      <c r="K1152" s="22" t="n"/>
    </row>
    <row r="1153">
      <c r="A1153" s="324" t="n"/>
      <c r="B1153" s="22" t="n"/>
      <c r="C1153" s="22" t="n"/>
      <c r="D1153" s="22" t="n"/>
      <c r="E1153" s="22" t="n"/>
      <c r="F1153" s="22" t="n"/>
      <c r="G1153" s="22" t="n"/>
      <c r="H1153" s="22" t="n"/>
      <c r="I1153" s="22" t="n"/>
      <c r="J1153" s="22" t="n"/>
      <c r="K1153" s="22" t="n"/>
    </row>
    <row r="1154">
      <c r="A1154" s="324" t="n"/>
      <c r="B1154" s="22" t="n"/>
      <c r="C1154" s="22" t="n"/>
      <c r="D1154" s="22" t="n"/>
      <c r="E1154" s="22" t="n"/>
      <c r="F1154" s="22" t="n"/>
      <c r="G1154" s="22" t="n"/>
      <c r="H1154" s="22" t="n"/>
      <c r="I1154" s="22" t="n"/>
      <c r="J1154" s="22" t="n"/>
      <c r="K1154" s="22" t="n"/>
    </row>
    <row r="1155">
      <c r="A1155" s="324" t="n"/>
      <c r="B1155" s="22" t="n"/>
      <c r="C1155" s="22" t="n"/>
      <c r="D1155" s="22" t="n"/>
      <c r="E1155" s="22" t="n"/>
      <c r="F1155" s="22" t="n"/>
      <c r="G1155" s="22" t="n"/>
      <c r="H1155" s="22" t="n"/>
      <c r="I1155" s="22" t="n"/>
      <c r="J1155" s="22" t="n"/>
      <c r="K1155" s="22" t="n"/>
    </row>
    <row r="1156">
      <c r="A1156" s="324" t="n"/>
      <c r="B1156" s="22" t="n"/>
      <c r="C1156" s="22" t="n"/>
      <c r="D1156" s="22" t="n"/>
      <c r="E1156" s="22" t="n"/>
      <c r="F1156" s="22" t="n"/>
      <c r="G1156" s="22" t="n"/>
      <c r="H1156" s="22" t="n"/>
      <c r="I1156" s="22" t="n"/>
      <c r="J1156" s="22" t="n"/>
      <c r="K1156" s="22" t="n"/>
    </row>
    <row r="1157">
      <c r="A1157" s="324" t="n"/>
      <c r="B1157" s="22" t="n"/>
      <c r="C1157" s="22" t="n"/>
      <c r="D1157" s="22" t="n"/>
      <c r="E1157" s="22" t="n"/>
      <c r="F1157" s="22" t="n"/>
      <c r="G1157" s="22" t="n"/>
      <c r="H1157" s="22" t="n"/>
      <c r="I1157" s="22" t="n"/>
      <c r="J1157" s="22" t="n"/>
      <c r="K1157" s="22" t="n"/>
    </row>
    <row r="1158">
      <c r="A1158" s="324" t="n"/>
      <c r="B1158" s="22" t="n"/>
      <c r="C1158" s="22" t="n"/>
      <c r="D1158" s="22" t="n"/>
      <c r="E1158" s="22" t="n"/>
      <c r="F1158" s="22" t="n"/>
      <c r="G1158" s="22" t="n"/>
      <c r="H1158" s="22" t="n"/>
      <c r="I1158" s="22" t="n"/>
      <c r="J1158" s="22" t="n"/>
      <c r="K1158" s="22" t="n"/>
    </row>
    <row r="1159">
      <c r="A1159" s="324" t="n"/>
      <c r="B1159" s="22" t="n"/>
      <c r="C1159" s="22" t="n"/>
      <c r="D1159" s="22" t="n"/>
      <c r="E1159" s="22" t="n"/>
      <c r="F1159" s="22" t="n"/>
      <c r="G1159" s="22" t="n"/>
      <c r="H1159" s="22" t="n"/>
      <c r="I1159" s="22" t="n"/>
      <c r="J1159" s="22" t="n"/>
      <c r="K1159" s="22" t="n"/>
    </row>
    <row r="1160">
      <c r="A1160" s="324" t="n"/>
      <c r="B1160" s="22" t="n"/>
      <c r="C1160" s="22" t="n"/>
      <c r="D1160" s="22" t="n"/>
      <c r="E1160" s="22" t="n"/>
      <c r="F1160" s="22" t="n"/>
      <c r="G1160" s="22" t="n"/>
      <c r="H1160" s="22" t="n"/>
      <c r="I1160" s="22" t="n"/>
      <c r="J1160" s="22" t="n"/>
      <c r="K1160" s="22" t="n"/>
    </row>
    <row r="1161">
      <c r="A1161" s="324" t="n"/>
      <c r="B1161" s="22" t="n"/>
      <c r="C1161" s="22" t="n"/>
      <c r="D1161" s="22" t="n"/>
      <c r="E1161" s="22" t="n"/>
      <c r="F1161" s="22" t="n"/>
      <c r="G1161" s="22" t="n"/>
      <c r="H1161" s="22" t="n"/>
      <c r="I1161" s="22" t="n"/>
      <c r="J1161" s="22" t="n"/>
      <c r="K1161" s="22" t="n"/>
    </row>
    <row r="1162">
      <c r="A1162" s="324" t="n"/>
      <c r="B1162" s="22" t="n"/>
      <c r="C1162" s="22" t="n"/>
      <c r="D1162" s="22" t="n"/>
      <c r="E1162" s="22" t="n"/>
      <c r="F1162" s="22" t="n"/>
      <c r="G1162" s="22" t="n"/>
      <c r="H1162" s="22" t="n"/>
      <c r="I1162" s="22" t="n"/>
      <c r="J1162" s="22" t="n"/>
      <c r="K1162" s="22" t="n"/>
    </row>
    <row r="1163">
      <c r="A1163" s="324" t="n"/>
      <c r="B1163" s="22" t="n"/>
      <c r="C1163" s="22" t="n"/>
      <c r="D1163" s="22" t="n"/>
      <c r="E1163" s="22" t="n"/>
      <c r="F1163" s="22" t="n"/>
      <c r="G1163" s="22" t="n"/>
      <c r="H1163" s="22" t="n"/>
      <c r="I1163" s="22" t="n"/>
      <c r="J1163" s="22" t="n"/>
      <c r="K1163" s="22" t="n"/>
    </row>
    <row r="1164">
      <c r="A1164" s="324" t="n"/>
      <c r="B1164" s="22" t="n"/>
      <c r="C1164" s="22" t="n"/>
      <c r="D1164" s="22" t="n"/>
      <c r="E1164" s="22" t="n"/>
      <c r="F1164" s="22" t="n"/>
      <c r="G1164" s="22" t="n"/>
      <c r="H1164" s="22" t="n"/>
      <c r="I1164" s="22" t="n"/>
      <c r="J1164" s="22" t="n"/>
      <c r="K1164" s="22" t="n"/>
    </row>
    <row r="1165">
      <c r="A1165" s="324" t="n"/>
      <c r="B1165" s="22" t="n"/>
      <c r="C1165" s="22" t="n"/>
      <c r="D1165" s="22" t="n"/>
      <c r="E1165" s="22" t="n"/>
      <c r="F1165" s="22" t="n"/>
      <c r="G1165" s="22" t="n"/>
      <c r="H1165" s="22" t="n"/>
      <c r="I1165" s="22" t="n"/>
      <c r="J1165" s="22" t="n"/>
      <c r="K1165" s="22" t="n"/>
    </row>
    <row r="1166">
      <c r="A1166" s="324" t="n"/>
      <c r="B1166" s="22" t="n"/>
      <c r="C1166" s="22" t="n"/>
      <c r="D1166" s="22" t="n"/>
      <c r="E1166" s="22" t="n"/>
      <c r="F1166" s="22" t="n"/>
      <c r="G1166" s="22" t="n"/>
      <c r="H1166" s="22" t="n"/>
      <c r="I1166" s="22" t="n"/>
      <c r="J1166" s="22" t="n"/>
      <c r="K1166" s="22" t="n"/>
    </row>
    <row r="1167">
      <c r="A1167" s="324" t="n"/>
      <c r="B1167" s="22" t="n"/>
      <c r="C1167" s="22" t="n"/>
      <c r="D1167" s="22" t="n"/>
      <c r="E1167" s="22" t="n"/>
      <c r="F1167" s="22" t="n"/>
      <c r="G1167" s="22" t="n"/>
      <c r="H1167" s="22" t="n"/>
      <c r="I1167" s="22" t="n"/>
      <c r="J1167" s="22" t="n"/>
      <c r="K1167" s="22" t="n"/>
    </row>
    <row r="1168">
      <c r="A1168" s="324" t="n"/>
      <c r="B1168" s="22" t="n"/>
      <c r="C1168" s="22" t="n"/>
      <c r="D1168" s="22" t="n"/>
      <c r="E1168" s="22" t="n"/>
      <c r="F1168" s="22" t="n"/>
      <c r="G1168" s="22" t="n"/>
      <c r="H1168" s="22" t="n"/>
      <c r="I1168" s="22" t="n"/>
      <c r="J1168" s="22" t="n"/>
      <c r="K1168" s="22" t="n"/>
    </row>
    <row r="1169">
      <c r="A1169" s="324" t="n"/>
      <c r="B1169" s="22" t="n"/>
      <c r="C1169" s="22" t="n"/>
      <c r="D1169" s="22" t="n"/>
      <c r="E1169" s="22" t="n"/>
      <c r="F1169" s="22" t="n"/>
      <c r="G1169" s="22" t="n"/>
      <c r="H1169" s="22" t="n"/>
      <c r="I1169" s="22" t="n"/>
      <c r="J1169" s="22" t="n"/>
      <c r="K1169" s="22" t="n"/>
    </row>
    <row r="1170">
      <c r="A1170" s="324" t="n"/>
      <c r="B1170" s="22" t="n"/>
      <c r="C1170" s="22" t="n"/>
      <c r="D1170" s="22" t="n"/>
      <c r="E1170" s="22" t="n"/>
      <c r="F1170" s="22" t="n"/>
      <c r="G1170" s="22" t="n"/>
      <c r="H1170" s="22" t="n"/>
      <c r="I1170" s="22" t="n"/>
      <c r="J1170" s="22" t="n"/>
      <c r="K1170" s="22" t="n"/>
    </row>
    <row r="1171">
      <c r="A1171" s="324" t="n"/>
      <c r="B1171" s="22" t="n"/>
      <c r="C1171" s="22" t="n"/>
      <c r="D1171" s="22" t="n"/>
      <c r="E1171" s="22" t="n"/>
      <c r="F1171" s="22" t="n"/>
      <c r="G1171" s="22" t="n"/>
      <c r="H1171" s="22" t="n"/>
      <c r="I1171" s="22" t="n"/>
      <c r="J1171" s="22" t="n"/>
      <c r="K1171" s="22" t="n"/>
    </row>
    <row r="1172">
      <c r="A1172" s="324" t="n"/>
      <c r="B1172" s="22" t="n"/>
      <c r="C1172" s="22" t="n"/>
      <c r="D1172" s="22" t="n"/>
      <c r="E1172" s="22" t="n"/>
      <c r="F1172" s="22" t="n"/>
      <c r="G1172" s="22" t="n"/>
      <c r="H1172" s="22" t="n"/>
      <c r="I1172" s="22" t="n"/>
      <c r="J1172" s="22" t="n"/>
      <c r="K1172" s="22" t="n"/>
    </row>
    <row r="1173">
      <c r="A1173" s="324" t="n"/>
      <c r="B1173" s="22" t="n"/>
      <c r="C1173" s="22" t="n"/>
      <c r="D1173" s="22" t="n"/>
      <c r="E1173" s="22" t="n"/>
      <c r="F1173" s="22" t="n"/>
      <c r="G1173" s="22" t="n"/>
      <c r="H1173" s="22" t="n"/>
      <c r="I1173" s="22" t="n"/>
      <c r="J1173" s="22" t="n"/>
      <c r="K1173" s="22" t="n"/>
    </row>
    <row r="1174">
      <c r="A1174" s="324" t="n"/>
      <c r="B1174" s="22" t="n"/>
      <c r="C1174" s="22" t="n"/>
      <c r="D1174" s="22" t="n"/>
      <c r="E1174" s="22" t="n"/>
      <c r="F1174" s="22" t="n"/>
      <c r="G1174" s="22" t="n"/>
      <c r="H1174" s="22" t="n"/>
      <c r="I1174" s="22" t="n"/>
      <c r="J1174" s="22" t="n"/>
      <c r="K1174" s="22" t="n"/>
    </row>
    <row r="1175">
      <c r="A1175" s="324" t="n"/>
      <c r="B1175" s="22" t="n"/>
      <c r="C1175" s="22" t="n"/>
      <c r="D1175" s="22" t="n"/>
      <c r="E1175" s="22" t="n"/>
      <c r="F1175" s="22" t="n"/>
      <c r="G1175" s="22" t="n"/>
      <c r="H1175" s="22" t="n"/>
      <c r="I1175" s="22" t="n"/>
      <c r="J1175" s="22" t="n"/>
      <c r="K1175" s="22" t="n"/>
    </row>
    <row r="1176">
      <c r="A1176" s="324" t="n"/>
      <c r="B1176" s="22" t="n"/>
      <c r="C1176" s="22" t="n"/>
      <c r="D1176" s="22" t="n"/>
      <c r="E1176" s="22" t="n"/>
      <c r="F1176" s="22" t="n"/>
      <c r="G1176" s="22" t="n"/>
      <c r="H1176" s="22" t="n"/>
      <c r="I1176" s="22" t="n"/>
      <c r="J1176" s="22" t="n"/>
      <c r="K1176" s="22" t="n"/>
    </row>
    <row r="1177">
      <c r="A1177" s="324" t="n"/>
      <c r="B1177" s="22" t="n"/>
      <c r="C1177" s="22" t="n"/>
      <c r="D1177" s="22" t="n"/>
      <c r="E1177" s="22" t="n"/>
      <c r="F1177" s="22" t="n"/>
      <c r="G1177" s="22" t="n"/>
      <c r="H1177" s="22" t="n"/>
      <c r="I1177" s="22" t="n"/>
      <c r="J1177" s="22" t="n"/>
      <c r="K1177" s="22" t="n"/>
    </row>
    <row r="1178">
      <c r="A1178" s="324" t="n"/>
      <c r="B1178" s="22" t="n"/>
      <c r="C1178" s="22" t="n"/>
      <c r="D1178" s="22" t="n"/>
      <c r="E1178" s="22" t="n"/>
      <c r="F1178" s="22" t="n"/>
      <c r="G1178" s="22" t="n"/>
      <c r="H1178" s="22" t="n"/>
      <c r="I1178" s="22" t="n"/>
      <c r="J1178" s="22" t="n"/>
      <c r="K1178" s="22" t="n"/>
    </row>
    <row r="1179">
      <c r="A1179" s="324" t="n"/>
      <c r="B1179" s="22" t="n"/>
      <c r="C1179" s="22" t="n"/>
      <c r="D1179" s="22" t="n"/>
      <c r="E1179" s="22" t="n"/>
      <c r="F1179" s="22" t="n"/>
      <c r="G1179" s="22" t="n"/>
      <c r="H1179" s="22" t="n"/>
      <c r="I1179" s="22" t="n"/>
      <c r="J1179" s="22" t="n"/>
      <c r="K1179" s="22" t="n"/>
    </row>
    <row r="1180">
      <c r="A1180" s="324" t="n"/>
      <c r="B1180" s="22" t="n"/>
      <c r="C1180" s="22" t="n"/>
      <c r="D1180" s="22" t="n"/>
      <c r="E1180" s="22" t="n"/>
      <c r="F1180" s="22" t="n"/>
      <c r="G1180" s="22" t="n"/>
      <c r="H1180" s="22" t="n"/>
      <c r="I1180" s="22" t="n"/>
      <c r="J1180" s="22" t="n"/>
      <c r="K1180" s="22" t="n"/>
    </row>
    <row r="1181">
      <c r="A1181" s="324" t="n"/>
      <c r="B1181" s="22" t="n"/>
      <c r="C1181" s="22" t="n"/>
      <c r="D1181" s="22" t="n"/>
      <c r="E1181" s="22" t="n"/>
      <c r="F1181" s="22" t="n"/>
      <c r="G1181" s="22" t="n"/>
      <c r="H1181" s="22" t="n"/>
      <c r="I1181" s="22" t="n"/>
      <c r="J1181" s="22" t="n"/>
      <c r="K1181" s="22" t="n"/>
    </row>
    <row r="1182">
      <c r="A1182" s="324" t="n"/>
      <c r="B1182" s="22" t="n"/>
      <c r="C1182" s="22" t="n"/>
      <c r="D1182" s="22" t="n"/>
      <c r="E1182" s="22" t="n"/>
      <c r="F1182" s="22" t="n"/>
      <c r="G1182" s="22" t="n"/>
      <c r="H1182" s="22" t="n"/>
      <c r="I1182" s="22" t="n"/>
      <c r="J1182" s="22" t="n"/>
      <c r="K1182" s="22" t="n"/>
    </row>
    <row r="1183">
      <c r="A1183" s="324" t="n"/>
      <c r="B1183" s="22" t="n"/>
      <c r="C1183" s="22" t="n"/>
      <c r="D1183" s="22" t="n"/>
      <c r="E1183" s="22" t="n"/>
      <c r="F1183" s="22" t="n"/>
      <c r="G1183" s="22" t="n"/>
      <c r="H1183" s="22" t="n"/>
      <c r="I1183" s="22" t="n"/>
      <c r="J1183" s="22" t="n"/>
      <c r="K1183" s="22" t="n"/>
    </row>
    <row r="1184">
      <c r="A1184" s="324" t="n"/>
      <c r="B1184" s="22" t="n"/>
      <c r="C1184" s="22" t="n"/>
      <c r="D1184" s="22" t="n"/>
      <c r="E1184" s="22" t="n"/>
      <c r="F1184" s="22" t="n"/>
      <c r="G1184" s="22" t="n"/>
      <c r="H1184" s="22" t="n"/>
      <c r="I1184" s="22" t="n"/>
      <c r="J1184" s="22" t="n"/>
      <c r="K1184" s="22" t="n"/>
    </row>
    <row r="1185">
      <c r="A1185" s="324" t="n"/>
      <c r="B1185" s="22" t="n"/>
      <c r="C1185" s="22" t="n"/>
      <c r="D1185" s="22" t="n"/>
      <c r="E1185" s="22" t="n"/>
      <c r="F1185" s="22" t="n"/>
      <c r="G1185" s="22" t="n"/>
      <c r="H1185" s="22" t="n"/>
      <c r="I1185" s="22" t="n"/>
      <c r="J1185" s="22" t="n"/>
      <c r="K1185" s="22" t="n"/>
    </row>
    <row r="1186">
      <c r="A1186" s="324" t="n"/>
      <c r="B1186" s="22" t="n"/>
      <c r="C1186" s="22" t="n"/>
      <c r="D1186" s="22" t="n"/>
      <c r="E1186" s="22" t="n"/>
      <c r="F1186" s="22" t="n"/>
      <c r="G1186" s="22" t="n"/>
      <c r="H1186" s="22" t="n"/>
      <c r="I1186" s="22" t="n"/>
      <c r="J1186" s="22" t="n"/>
      <c r="K1186" s="22" t="n"/>
    </row>
    <row r="1187">
      <c r="A1187" s="324" t="n"/>
      <c r="B1187" s="22" t="n"/>
      <c r="C1187" s="22" t="n"/>
      <c r="D1187" s="22" t="n"/>
      <c r="E1187" s="22" t="n"/>
      <c r="F1187" s="22" t="n"/>
      <c r="G1187" s="22" t="n"/>
      <c r="H1187" s="22" t="n"/>
      <c r="I1187" s="22" t="n"/>
      <c r="J1187" s="22" t="n"/>
      <c r="K1187" s="22" t="n"/>
    </row>
    <row r="1188">
      <c r="A1188" s="324" t="n"/>
      <c r="B1188" s="22" t="n"/>
      <c r="C1188" s="22" t="n"/>
      <c r="D1188" s="22" t="n"/>
      <c r="E1188" s="22" t="n"/>
      <c r="F1188" s="22" t="n"/>
      <c r="G1188" s="22" t="n"/>
      <c r="H1188" s="22" t="n"/>
      <c r="I1188" s="22" t="n"/>
      <c r="J1188" s="22" t="n"/>
      <c r="K1188" s="22" t="n"/>
    </row>
    <row r="1189">
      <c r="A1189" s="324" t="n"/>
      <c r="B1189" s="22" t="n"/>
      <c r="C1189" s="22" t="n"/>
      <c r="D1189" s="22" t="n"/>
      <c r="E1189" s="22" t="n"/>
      <c r="F1189" s="22" t="n"/>
      <c r="G1189" s="22" t="n"/>
      <c r="H1189" s="22" t="n"/>
      <c r="I1189" s="22" t="n"/>
      <c r="J1189" s="22" t="n"/>
      <c r="K1189" s="22" t="n"/>
    </row>
    <row r="1190">
      <c r="A1190" s="324" t="n"/>
      <c r="B1190" s="22" t="n"/>
      <c r="C1190" s="22" t="n"/>
      <c r="D1190" s="22" t="n"/>
      <c r="E1190" s="22" t="n"/>
      <c r="F1190" s="22" t="n"/>
      <c r="G1190" s="22" t="n"/>
      <c r="H1190" s="22" t="n"/>
      <c r="I1190" s="22" t="n"/>
      <c r="J1190" s="22" t="n"/>
      <c r="K1190" s="22" t="n"/>
    </row>
    <row r="1191">
      <c r="A1191" s="324" t="n"/>
      <c r="B1191" s="22" t="n"/>
      <c r="C1191" s="22" t="n"/>
      <c r="D1191" s="22" t="n"/>
      <c r="E1191" s="22" t="n"/>
      <c r="F1191" s="22" t="n"/>
      <c r="G1191" s="22" t="n"/>
      <c r="H1191" s="22" t="n"/>
      <c r="I1191" s="22" t="n"/>
      <c r="J1191" s="22" t="n"/>
      <c r="K1191" s="22" t="n"/>
    </row>
    <row r="1192">
      <c r="A1192" s="324" t="n"/>
      <c r="B1192" s="22" t="n"/>
      <c r="C1192" s="22" t="n"/>
      <c r="D1192" s="22" t="n"/>
      <c r="E1192" s="22" t="n"/>
      <c r="F1192" s="22" t="n"/>
      <c r="G1192" s="22" t="n"/>
      <c r="H1192" s="22" t="n"/>
      <c r="I1192" s="22" t="n"/>
      <c r="J1192" s="22" t="n"/>
      <c r="K1192" s="22" t="n"/>
    </row>
    <row r="1193">
      <c r="A1193" s="324" t="n"/>
      <c r="B1193" s="22" t="n"/>
      <c r="C1193" s="22" t="n"/>
      <c r="D1193" s="22" t="n"/>
      <c r="E1193" s="22" t="n"/>
      <c r="F1193" s="22" t="n"/>
      <c r="G1193" s="22" t="n"/>
      <c r="H1193" s="22" t="n"/>
      <c r="I1193" s="22" t="n"/>
      <c r="J1193" s="22" t="n"/>
      <c r="K1193" s="22" t="n"/>
    </row>
    <row r="1194">
      <c r="A1194" s="324" t="n"/>
      <c r="B1194" s="22" t="n"/>
      <c r="C1194" s="22" t="n"/>
      <c r="D1194" s="22" t="n"/>
      <c r="E1194" s="22" t="n"/>
      <c r="F1194" s="22" t="n"/>
      <c r="G1194" s="22" t="n"/>
      <c r="H1194" s="22" t="n"/>
      <c r="I1194" s="22" t="n"/>
      <c r="J1194" s="22" t="n"/>
      <c r="K1194" s="22" t="n"/>
    </row>
    <row r="1195">
      <c r="A1195" s="324" t="n"/>
      <c r="B1195" s="22" t="n"/>
      <c r="C1195" s="22" t="n"/>
      <c r="D1195" s="22" t="n"/>
      <c r="E1195" s="22" t="n"/>
      <c r="F1195" s="22" t="n"/>
      <c r="G1195" s="22" t="n"/>
      <c r="H1195" s="22" t="n"/>
      <c r="I1195" s="22" t="n"/>
      <c r="J1195" s="22" t="n"/>
      <c r="K1195" s="22" t="n"/>
    </row>
    <row r="1196">
      <c r="A1196" s="324" t="n"/>
      <c r="B1196" s="22" t="n"/>
      <c r="C1196" s="22" t="n"/>
      <c r="D1196" s="22" t="n"/>
      <c r="E1196" s="22" t="n"/>
      <c r="F1196" s="22" t="n"/>
      <c r="G1196" s="22" t="n"/>
      <c r="H1196" s="22" t="n"/>
      <c r="I1196" s="22" t="n"/>
      <c r="J1196" s="22" t="n"/>
      <c r="K1196" s="22" t="n"/>
    </row>
    <row r="1197">
      <c r="A1197" s="324" t="n"/>
      <c r="B1197" s="22" t="n"/>
      <c r="C1197" s="22" t="n"/>
      <c r="D1197" s="22" t="n"/>
      <c r="E1197" s="22" t="n"/>
      <c r="F1197" s="22" t="n"/>
      <c r="G1197" s="22" t="n"/>
      <c r="H1197" s="22" t="n"/>
      <c r="I1197" s="22" t="n"/>
      <c r="J1197" s="22" t="n"/>
      <c r="K1197" s="22" t="n"/>
    </row>
    <row r="1198">
      <c r="A1198" s="324" t="n"/>
      <c r="B1198" s="22" t="n"/>
      <c r="C1198" s="22" t="n"/>
      <c r="D1198" s="22" t="n"/>
      <c r="E1198" s="22" t="n"/>
      <c r="F1198" s="22" t="n"/>
      <c r="G1198" s="22" t="n"/>
      <c r="H1198" s="22" t="n"/>
      <c r="I1198" s="22" t="n"/>
      <c r="J1198" s="22" t="n"/>
      <c r="K1198" s="22" t="n"/>
    </row>
    <row r="1199">
      <c r="A1199" s="324" t="n"/>
      <c r="B1199" s="22" t="n"/>
      <c r="C1199" s="22" t="n"/>
      <c r="D1199" s="22" t="n"/>
      <c r="E1199" s="22" t="n"/>
      <c r="F1199" s="22" t="n"/>
      <c r="G1199" s="22" t="n"/>
      <c r="H1199" s="22" t="n"/>
      <c r="I1199" s="22" t="n"/>
      <c r="J1199" s="22" t="n"/>
      <c r="K1199" s="22" t="n"/>
    </row>
    <row r="1200">
      <c r="A1200" s="324" t="n"/>
      <c r="B1200" s="22" t="n"/>
      <c r="C1200" s="22" t="n"/>
      <c r="D1200" s="22" t="n"/>
      <c r="E1200" s="22" t="n"/>
      <c r="F1200" s="22" t="n"/>
      <c r="G1200" s="22" t="n"/>
      <c r="H1200" s="22" t="n"/>
      <c r="I1200" s="22" t="n"/>
      <c r="J1200" s="22" t="n"/>
      <c r="K1200" s="22" t="n"/>
    </row>
    <row r="1201">
      <c r="A1201" s="324" t="n"/>
      <c r="B1201" s="22" t="n"/>
      <c r="C1201" s="22" t="n"/>
      <c r="D1201" s="22" t="n"/>
      <c r="E1201" s="22" t="n"/>
      <c r="F1201" s="22" t="n"/>
      <c r="G1201" s="22" t="n"/>
      <c r="H1201" s="22" t="n"/>
      <c r="I1201" s="22" t="n"/>
      <c r="J1201" s="22" t="n"/>
      <c r="K1201" s="22" t="n"/>
    </row>
    <row r="1202">
      <c r="A1202" s="324" t="n"/>
      <c r="B1202" s="22" t="n"/>
      <c r="C1202" s="22" t="n"/>
      <c r="D1202" s="22" t="n"/>
      <c r="E1202" s="22" t="n"/>
      <c r="F1202" s="22" t="n"/>
      <c r="G1202" s="22" t="n"/>
      <c r="H1202" s="22" t="n"/>
      <c r="I1202" s="22" t="n"/>
      <c r="J1202" s="22" t="n"/>
      <c r="K1202" s="22" t="n"/>
    </row>
    <row r="1203">
      <c r="A1203" s="324" t="n"/>
      <c r="B1203" s="22" t="n"/>
      <c r="C1203" s="22" t="n"/>
      <c r="D1203" s="22" t="n"/>
      <c r="E1203" s="22" t="n"/>
      <c r="F1203" s="22" t="n"/>
      <c r="G1203" s="22" t="n"/>
      <c r="H1203" s="22" t="n"/>
      <c r="I1203" s="22" t="n"/>
      <c r="J1203" s="22" t="n"/>
      <c r="K1203" s="22" t="n"/>
    </row>
    <row r="1204">
      <c r="A1204" s="324" t="n"/>
      <c r="B1204" s="22" t="n"/>
      <c r="C1204" s="22" t="n"/>
      <c r="D1204" s="22" t="n"/>
      <c r="E1204" s="22" t="n"/>
      <c r="F1204" s="22" t="n"/>
      <c r="G1204" s="22" t="n"/>
      <c r="H1204" s="22" t="n"/>
      <c r="I1204" s="22" t="n"/>
      <c r="J1204" s="22" t="n"/>
      <c r="K1204" s="22" t="n"/>
    </row>
    <row r="1205">
      <c r="A1205" s="324" t="n"/>
      <c r="B1205" s="22" t="n"/>
      <c r="C1205" s="22" t="n"/>
      <c r="D1205" s="22" t="n"/>
      <c r="E1205" s="22" t="n"/>
      <c r="F1205" s="22" t="n"/>
      <c r="G1205" s="22" t="n"/>
      <c r="H1205" s="22" t="n"/>
      <c r="I1205" s="22" t="n"/>
      <c r="J1205" s="22" t="n"/>
      <c r="K1205" s="22" t="n"/>
    </row>
    <row r="1206">
      <c r="A1206" s="324" t="n"/>
      <c r="B1206" s="22" t="n"/>
      <c r="C1206" s="22" t="n"/>
      <c r="D1206" s="22" t="n"/>
      <c r="E1206" s="22" t="n"/>
      <c r="F1206" s="22" t="n"/>
      <c r="G1206" s="22" t="n"/>
      <c r="H1206" s="22" t="n"/>
      <c r="I1206" s="22" t="n"/>
      <c r="J1206" s="22" t="n"/>
      <c r="K1206" s="22" t="n"/>
    </row>
    <row r="1207">
      <c r="A1207" s="324" t="n"/>
      <c r="B1207" s="22" t="n"/>
      <c r="C1207" s="22" t="n"/>
      <c r="D1207" s="22" t="n"/>
      <c r="E1207" s="22" t="n"/>
      <c r="F1207" s="22" t="n"/>
      <c r="G1207" s="22" t="n"/>
      <c r="H1207" s="22" t="n"/>
      <c r="I1207" s="22" t="n"/>
      <c r="J1207" s="22" t="n"/>
      <c r="K1207" s="22" t="n"/>
    </row>
    <row r="1208">
      <c r="A1208" s="324" t="n"/>
      <c r="B1208" s="22" t="n"/>
      <c r="C1208" s="22" t="n"/>
      <c r="D1208" s="22" t="n"/>
      <c r="E1208" s="22" t="n"/>
      <c r="F1208" s="22" t="n"/>
      <c r="G1208" s="22" t="n"/>
      <c r="H1208" s="22" t="n"/>
      <c r="I1208" s="22" t="n"/>
      <c r="J1208" s="22" t="n"/>
      <c r="K1208" s="22" t="n"/>
    </row>
    <row r="1209">
      <c r="A1209" s="324" t="n"/>
      <c r="B1209" s="22" t="n"/>
      <c r="C1209" s="22" t="n"/>
      <c r="D1209" s="22" t="n"/>
      <c r="E1209" s="22" t="n"/>
      <c r="F1209" s="22" t="n"/>
      <c r="G1209" s="22" t="n"/>
      <c r="H1209" s="22" t="n"/>
      <c r="I1209" s="22" t="n"/>
      <c r="J1209" s="22" t="n"/>
      <c r="K1209" s="22" t="n"/>
    </row>
    <row r="1210">
      <c r="A1210" s="324" t="n"/>
      <c r="B1210" s="22" t="n"/>
      <c r="C1210" s="22" t="n"/>
      <c r="D1210" s="22" t="n"/>
      <c r="E1210" s="22" t="n"/>
      <c r="F1210" s="22" t="n"/>
      <c r="G1210" s="22" t="n"/>
      <c r="H1210" s="22" t="n"/>
      <c r="I1210" s="22" t="n"/>
      <c r="J1210" s="22" t="n"/>
      <c r="K1210" s="22" t="n"/>
    </row>
    <row r="1211">
      <c r="A1211" s="324" t="n"/>
      <c r="B1211" s="22" t="n"/>
      <c r="C1211" s="22" t="n"/>
      <c r="D1211" s="22" t="n"/>
      <c r="E1211" s="22" t="n"/>
      <c r="F1211" s="22" t="n"/>
      <c r="G1211" s="22" t="n"/>
      <c r="H1211" s="22" t="n"/>
      <c r="I1211" s="22" t="n"/>
      <c r="J1211" s="22" t="n"/>
      <c r="K1211" s="22" t="n"/>
    </row>
    <row r="1212">
      <c r="A1212" s="324" t="n"/>
      <c r="B1212" s="22" t="n"/>
      <c r="C1212" s="22" t="n"/>
      <c r="D1212" s="22" t="n"/>
      <c r="E1212" s="22" t="n"/>
      <c r="F1212" s="22" t="n"/>
      <c r="G1212" s="22" t="n"/>
      <c r="H1212" s="22" t="n"/>
      <c r="I1212" s="22" t="n"/>
      <c r="J1212" s="22" t="n"/>
      <c r="K1212" s="22" t="n"/>
    </row>
    <row r="1213">
      <c r="A1213" s="324" t="n"/>
      <c r="B1213" s="22" t="n"/>
      <c r="C1213" s="22" t="n"/>
      <c r="D1213" s="22" t="n"/>
      <c r="E1213" s="22" t="n"/>
      <c r="F1213" s="22" t="n"/>
      <c r="G1213" s="22" t="n"/>
      <c r="H1213" s="22" t="n"/>
      <c r="I1213" s="22" t="n"/>
      <c r="J1213" s="22" t="n"/>
      <c r="K1213" s="22" t="n"/>
    </row>
    <row r="1214">
      <c r="A1214" s="324" t="n"/>
      <c r="B1214" s="22" t="n"/>
      <c r="C1214" s="22" t="n"/>
      <c r="D1214" s="22" t="n"/>
      <c r="E1214" s="22" t="n"/>
      <c r="F1214" s="22" t="n"/>
      <c r="G1214" s="22" t="n"/>
      <c r="H1214" s="22" t="n"/>
      <c r="I1214" s="22" t="n"/>
      <c r="J1214" s="22" t="n"/>
      <c r="K1214" s="22" t="n"/>
    </row>
    <row r="1215">
      <c r="A1215" s="324" t="n"/>
      <c r="B1215" s="22" t="n"/>
      <c r="C1215" s="22" t="n"/>
      <c r="D1215" s="22" t="n"/>
      <c r="E1215" s="22" t="n"/>
      <c r="F1215" s="22" t="n"/>
      <c r="G1215" s="22" t="n"/>
      <c r="H1215" s="22" t="n"/>
      <c r="I1215" s="22" t="n"/>
      <c r="J1215" s="22" t="n"/>
      <c r="K1215" s="22" t="n"/>
    </row>
    <row r="1216">
      <c r="A1216" s="324" t="n"/>
      <c r="B1216" s="22" t="n"/>
      <c r="C1216" s="22" t="n"/>
      <c r="D1216" s="22" t="n"/>
      <c r="E1216" s="22" t="n"/>
      <c r="F1216" s="22" t="n"/>
      <c r="G1216" s="22" t="n"/>
      <c r="H1216" s="22" t="n"/>
      <c r="I1216" s="22" t="n"/>
      <c r="J1216" s="22" t="n"/>
      <c r="K1216" s="22" t="n"/>
    </row>
    <row r="1217">
      <c r="A1217" s="324" t="n"/>
      <c r="B1217" s="22" t="n"/>
      <c r="C1217" s="22" t="n"/>
      <c r="D1217" s="22" t="n"/>
      <c r="E1217" s="22" t="n"/>
      <c r="F1217" s="22" t="n"/>
      <c r="G1217" s="22" t="n"/>
      <c r="H1217" s="22" t="n"/>
      <c r="I1217" s="22" t="n"/>
      <c r="J1217" s="22" t="n"/>
      <c r="K1217" s="22" t="n"/>
    </row>
    <row r="1218">
      <c r="A1218" s="324" t="n"/>
      <c r="B1218" s="22" t="n"/>
      <c r="C1218" s="22" t="n"/>
      <c r="D1218" s="22" t="n"/>
      <c r="E1218" s="22" t="n"/>
      <c r="F1218" s="22" t="n"/>
      <c r="G1218" s="22" t="n"/>
      <c r="H1218" s="22" t="n"/>
      <c r="I1218" s="22" t="n"/>
      <c r="J1218" s="22" t="n"/>
      <c r="K1218" s="22" t="n"/>
    </row>
    <row r="1219">
      <c r="A1219" s="324" t="n"/>
      <c r="B1219" s="22" t="n"/>
      <c r="C1219" s="22" t="n"/>
      <c r="D1219" s="22" t="n"/>
      <c r="E1219" s="22" t="n"/>
      <c r="F1219" s="22" t="n"/>
      <c r="G1219" s="22" t="n"/>
      <c r="H1219" s="22" t="n"/>
      <c r="I1219" s="22" t="n"/>
      <c r="J1219" s="22" t="n"/>
      <c r="K1219" s="22" t="n"/>
    </row>
    <row r="1220">
      <c r="A1220" s="324" t="n"/>
      <c r="B1220" s="22" t="n"/>
      <c r="C1220" s="22" t="n"/>
      <c r="D1220" s="22" t="n"/>
      <c r="E1220" s="22" t="n"/>
      <c r="F1220" s="22" t="n"/>
      <c r="G1220" s="22" t="n"/>
      <c r="H1220" s="22" t="n"/>
      <c r="I1220" s="22" t="n"/>
      <c r="J1220" s="22" t="n"/>
      <c r="K1220" s="22" t="n"/>
    </row>
    <row r="1221">
      <c r="A1221" s="324" t="n"/>
      <c r="B1221" s="22" t="n"/>
      <c r="C1221" s="22" t="n"/>
      <c r="D1221" s="22" t="n"/>
      <c r="E1221" s="22" t="n"/>
      <c r="F1221" s="22" t="n"/>
      <c r="G1221" s="22" t="n"/>
      <c r="H1221" s="22" t="n"/>
      <c r="I1221" s="22" t="n"/>
      <c r="J1221" s="22" t="n"/>
      <c r="K1221" s="22" t="n"/>
    </row>
    <row r="1222">
      <c r="A1222" s="324" t="n"/>
      <c r="B1222" s="22" t="n"/>
      <c r="C1222" s="22" t="n"/>
      <c r="D1222" s="22" t="n"/>
      <c r="E1222" s="22" t="n"/>
      <c r="F1222" s="22" t="n"/>
      <c r="G1222" s="22" t="n"/>
      <c r="H1222" s="22" t="n"/>
      <c r="I1222" s="22" t="n"/>
      <c r="J1222" s="22" t="n"/>
      <c r="K1222" s="22" t="n"/>
    </row>
    <row r="1223">
      <c r="A1223" s="324" t="n"/>
      <c r="B1223" s="22" t="n"/>
      <c r="C1223" s="22" t="n"/>
      <c r="D1223" s="22" t="n"/>
      <c r="E1223" s="22" t="n"/>
      <c r="F1223" s="22" t="n"/>
      <c r="G1223" s="22" t="n"/>
      <c r="H1223" s="22" t="n"/>
      <c r="I1223" s="22" t="n"/>
      <c r="J1223" s="22" t="n"/>
      <c r="K1223" s="22" t="n"/>
    </row>
    <row r="1224">
      <c r="A1224" s="324" t="n"/>
      <c r="B1224" s="22" t="n"/>
      <c r="C1224" s="22" t="n"/>
      <c r="D1224" s="22" t="n"/>
      <c r="E1224" s="22" t="n"/>
      <c r="F1224" s="22" t="n"/>
      <c r="G1224" s="22" t="n"/>
      <c r="H1224" s="22" t="n"/>
      <c r="I1224" s="22" t="n"/>
      <c r="J1224" s="22" t="n"/>
      <c r="K1224" s="22" t="n"/>
    </row>
    <row r="1225">
      <c r="A1225" s="324" t="n"/>
      <c r="B1225" s="22" t="n"/>
      <c r="C1225" s="22" t="n"/>
      <c r="D1225" s="22" t="n"/>
      <c r="E1225" s="22" t="n"/>
      <c r="F1225" s="22" t="n"/>
      <c r="G1225" s="22" t="n"/>
      <c r="H1225" s="22" t="n"/>
      <c r="I1225" s="22" t="n"/>
      <c r="J1225" s="22" t="n"/>
      <c r="K1225" s="22" t="n"/>
    </row>
    <row r="1226">
      <c r="A1226" s="324" t="n"/>
      <c r="B1226" s="22" t="n"/>
      <c r="C1226" s="22" t="n"/>
      <c r="D1226" s="22" t="n"/>
      <c r="E1226" s="22" t="n"/>
      <c r="F1226" s="22" t="n"/>
      <c r="G1226" s="22" t="n"/>
      <c r="H1226" s="22" t="n"/>
      <c r="I1226" s="22" t="n"/>
      <c r="J1226" s="22" t="n"/>
      <c r="K1226" s="22" t="n"/>
    </row>
    <row r="1227">
      <c r="A1227" s="324" t="n"/>
      <c r="B1227" s="22" t="n"/>
      <c r="C1227" s="22" t="n"/>
      <c r="D1227" s="22" t="n"/>
      <c r="E1227" s="22" t="n"/>
      <c r="F1227" s="22" t="n"/>
      <c r="G1227" s="22" t="n"/>
      <c r="H1227" s="22" t="n"/>
      <c r="I1227" s="22" t="n"/>
      <c r="J1227" s="22" t="n"/>
      <c r="K1227" s="22" t="n"/>
    </row>
    <row r="1228">
      <c r="A1228" s="324" t="n"/>
      <c r="B1228" s="22" t="n"/>
      <c r="C1228" s="22" t="n"/>
      <c r="D1228" s="22" t="n"/>
      <c r="E1228" s="22" t="n"/>
      <c r="F1228" s="22" t="n"/>
      <c r="G1228" s="22" t="n"/>
      <c r="H1228" s="22" t="n"/>
      <c r="I1228" s="22" t="n"/>
      <c r="J1228" s="22" t="n"/>
      <c r="K1228" s="22" t="n"/>
    </row>
    <row r="1229">
      <c r="A1229" s="324" t="n"/>
      <c r="B1229" s="22" t="n"/>
      <c r="C1229" s="22" t="n"/>
      <c r="D1229" s="22" t="n"/>
      <c r="E1229" s="22" t="n"/>
      <c r="F1229" s="22" t="n"/>
      <c r="G1229" s="22" t="n"/>
      <c r="H1229" s="22" t="n"/>
      <c r="I1229" s="22" t="n"/>
      <c r="J1229" s="22" t="n"/>
      <c r="K1229" s="22" t="n"/>
    </row>
    <row r="1230">
      <c r="A1230" s="324" t="n"/>
      <c r="B1230" s="22" t="n"/>
      <c r="C1230" s="22" t="n"/>
      <c r="D1230" s="22" t="n"/>
      <c r="E1230" s="22" t="n"/>
      <c r="F1230" s="22" t="n"/>
      <c r="G1230" s="22" t="n"/>
      <c r="H1230" s="22" t="n"/>
      <c r="I1230" s="22" t="n"/>
      <c r="J1230" s="22" t="n"/>
      <c r="K1230" s="22" t="n"/>
    </row>
    <row r="1231">
      <c r="A1231" s="324" t="n"/>
      <c r="B1231" s="22" t="n"/>
      <c r="C1231" s="22" t="n"/>
      <c r="D1231" s="22" t="n"/>
      <c r="E1231" s="22" t="n"/>
      <c r="F1231" s="22" t="n"/>
      <c r="G1231" s="22" t="n"/>
      <c r="H1231" s="22" t="n"/>
      <c r="I1231" s="22" t="n"/>
      <c r="J1231" s="22" t="n"/>
      <c r="K1231" s="22" t="n"/>
    </row>
    <row r="1232">
      <c r="A1232" s="324" t="n"/>
      <c r="B1232" s="22" t="n"/>
      <c r="C1232" s="22" t="n"/>
      <c r="D1232" s="22" t="n"/>
      <c r="E1232" s="22" t="n"/>
      <c r="F1232" s="22" t="n"/>
      <c r="G1232" s="22" t="n"/>
      <c r="H1232" s="22" t="n"/>
      <c r="I1232" s="22" t="n"/>
      <c r="J1232" s="22" t="n"/>
      <c r="K1232" s="22" t="n"/>
    </row>
    <row r="1233">
      <c r="A1233" s="324" t="n"/>
      <c r="B1233" s="22" t="n"/>
      <c r="C1233" s="22" t="n"/>
      <c r="D1233" s="22" t="n"/>
      <c r="E1233" s="22" t="n"/>
      <c r="F1233" s="22" t="n"/>
      <c r="G1233" s="22" t="n"/>
      <c r="H1233" s="22" t="n"/>
      <c r="I1233" s="22" t="n"/>
      <c r="J1233" s="22" t="n"/>
      <c r="K1233" s="22" t="n"/>
    </row>
    <row r="1234">
      <c r="A1234" s="324" t="n"/>
      <c r="B1234" s="22" t="n"/>
      <c r="C1234" s="22" t="n"/>
      <c r="D1234" s="22" t="n"/>
      <c r="E1234" s="22" t="n"/>
      <c r="F1234" s="22" t="n"/>
      <c r="G1234" s="22" t="n"/>
      <c r="H1234" s="22" t="n"/>
      <c r="I1234" s="22" t="n"/>
      <c r="J1234" s="22" t="n"/>
      <c r="K1234" s="22" t="n"/>
    </row>
    <row r="1235">
      <c r="A1235" s="324" t="n"/>
      <c r="B1235" s="22" t="n"/>
      <c r="C1235" s="22" t="n"/>
      <c r="D1235" s="22" t="n"/>
      <c r="E1235" s="22" t="n"/>
      <c r="F1235" s="22" t="n"/>
      <c r="G1235" s="22" t="n"/>
      <c r="H1235" s="22" t="n"/>
      <c r="I1235" s="22" t="n"/>
      <c r="J1235" s="22" t="n"/>
      <c r="K1235" s="22" t="n"/>
    </row>
    <row r="1236">
      <c r="A1236" s="324" t="n"/>
      <c r="B1236" s="22" t="n"/>
      <c r="C1236" s="22" t="n"/>
      <c r="D1236" s="22" t="n"/>
      <c r="E1236" s="22" t="n"/>
      <c r="F1236" s="22" t="n"/>
      <c r="G1236" s="22" t="n"/>
      <c r="H1236" s="22" t="n"/>
      <c r="I1236" s="22" t="n"/>
      <c r="J1236" s="22" t="n"/>
      <c r="K1236" s="22" t="n"/>
    </row>
    <row r="1237">
      <c r="A1237" s="324" t="n"/>
      <c r="B1237" s="22" t="n"/>
      <c r="C1237" s="22" t="n"/>
      <c r="D1237" s="22" t="n"/>
      <c r="E1237" s="22" t="n"/>
      <c r="F1237" s="22" t="n"/>
      <c r="G1237" s="22" t="n"/>
      <c r="H1237" s="22" t="n"/>
      <c r="I1237" s="22" t="n"/>
      <c r="J1237" s="22" t="n"/>
      <c r="K1237" s="22" t="n"/>
    </row>
    <row r="1238">
      <c r="A1238" s="324" t="n"/>
      <c r="B1238" s="22" t="n"/>
      <c r="C1238" s="22" t="n"/>
      <c r="D1238" s="22" t="n"/>
      <c r="E1238" s="22" t="n"/>
      <c r="F1238" s="22" t="n"/>
      <c r="G1238" s="22" t="n"/>
      <c r="H1238" s="22" t="n"/>
      <c r="I1238" s="22" t="n"/>
      <c r="J1238" s="22" t="n"/>
      <c r="K1238" s="22" t="n"/>
    </row>
    <row r="1239">
      <c r="A1239" s="324" t="n"/>
      <c r="B1239" s="22" t="n"/>
      <c r="C1239" s="22" t="n"/>
      <c r="D1239" s="22" t="n"/>
      <c r="E1239" s="22" t="n"/>
      <c r="F1239" s="22" t="n"/>
      <c r="G1239" s="22" t="n"/>
      <c r="H1239" s="22" t="n"/>
      <c r="I1239" s="22" t="n"/>
      <c r="J1239" s="22" t="n"/>
      <c r="K1239" s="22" t="n"/>
    </row>
    <row r="1240">
      <c r="A1240" s="324" t="n"/>
      <c r="B1240" s="22" t="n"/>
      <c r="C1240" s="22" t="n"/>
      <c r="D1240" s="22" t="n"/>
      <c r="E1240" s="22" t="n"/>
      <c r="F1240" s="22" t="n"/>
      <c r="G1240" s="22" t="n"/>
      <c r="H1240" s="22" t="n"/>
      <c r="I1240" s="22" t="n"/>
      <c r="J1240" s="22" t="n"/>
      <c r="K1240" s="22" t="n"/>
    </row>
    <row r="1241">
      <c r="A1241" s="324" t="n"/>
      <c r="B1241" s="22" t="n"/>
      <c r="C1241" s="22" t="n"/>
      <c r="D1241" s="22" t="n"/>
      <c r="E1241" s="22" t="n"/>
      <c r="F1241" s="22" t="n"/>
      <c r="G1241" s="22" t="n"/>
      <c r="H1241" s="22" t="n"/>
      <c r="I1241" s="22" t="n"/>
      <c r="J1241" s="22" t="n"/>
      <c r="K1241" s="22" t="n"/>
    </row>
    <row r="1242">
      <c r="A1242" s="324" t="n"/>
      <c r="B1242" s="22" t="n"/>
      <c r="C1242" s="22" t="n"/>
      <c r="D1242" s="22" t="n"/>
      <c r="E1242" s="22" t="n"/>
      <c r="F1242" s="22" t="n"/>
      <c r="G1242" s="22" t="n"/>
      <c r="H1242" s="22" t="n"/>
      <c r="I1242" s="22" t="n"/>
      <c r="J1242" s="22" t="n"/>
      <c r="K1242" s="22" t="n"/>
    </row>
    <row r="1243">
      <c r="A1243" s="324" t="n"/>
      <c r="B1243" s="22" t="n"/>
      <c r="C1243" s="22" t="n"/>
      <c r="D1243" s="22" t="n"/>
      <c r="E1243" s="22" t="n"/>
      <c r="F1243" s="22" t="n"/>
      <c r="G1243" s="22" t="n"/>
      <c r="H1243" s="22" t="n"/>
      <c r="I1243" s="22" t="n"/>
      <c r="J1243" s="22" t="n"/>
      <c r="K1243" s="22" t="n"/>
    </row>
    <row r="1244">
      <c r="A1244" s="324" t="n"/>
      <c r="B1244" s="22" t="n"/>
      <c r="C1244" s="22" t="n"/>
      <c r="D1244" s="22" t="n"/>
      <c r="E1244" s="22" t="n"/>
      <c r="F1244" s="22" t="n"/>
      <c r="G1244" s="22" t="n"/>
      <c r="H1244" s="22" t="n"/>
      <c r="I1244" s="22" t="n"/>
      <c r="J1244" s="22" t="n"/>
      <c r="K1244" s="22" t="n"/>
    </row>
    <row r="1245">
      <c r="A1245" s="324" t="n"/>
      <c r="B1245" s="22" t="n"/>
      <c r="C1245" s="22" t="n"/>
      <c r="D1245" s="22" t="n"/>
      <c r="E1245" s="22" t="n"/>
      <c r="F1245" s="22" t="n"/>
      <c r="G1245" s="22" t="n"/>
      <c r="H1245" s="22" t="n"/>
      <c r="I1245" s="22" t="n"/>
      <c r="J1245" s="22" t="n"/>
      <c r="K1245" s="22" t="n"/>
    </row>
    <row r="1246">
      <c r="A1246" s="324" t="n"/>
      <c r="B1246" s="22" t="n"/>
      <c r="C1246" s="22" t="n"/>
      <c r="D1246" s="22" t="n"/>
      <c r="E1246" s="22" t="n"/>
      <c r="F1246" s="22" t="n"/>
      <c r="G1246" s="22" t="n"/>
      <c r="H1246" s="22" t="n"/>
      <c r="I1246" s="22" t="n"/>
      <c r="J1246" s="22" t="n"/>
      <c r="K1246" s="22" t="n"/>
    </row>
    <row r="1247">
      <c r="A1247" s="324" t="n"/>
      <c r="B1247" s="22" t="n"/>
      <c r="C1247" s="22" t="n"/>
      <c r="D1247" s="22" t="n"/>
      <c r="E1247" s="22" t="n"/>
      <c r="F1247" s="22" t="n"/>
      <c r="G1247" s="22" t="n"/>
      <c r="H1247" s="22" t="n"/>
      <c r="I1247" s="22" t="n"/>
      <c r="J1247" s="22" t="n"/>
      <c r="K1247" s="22" t="n"/>
    </row>
    <row r="1248">
      <c r="A1248" s="324" t="n"/>
      <c r="B1248" s="22" t="n"/>
      <c r="C1248" s="22" t="n"/>
      <c r="D1248" s="22" t="n"/>
      <c r="E1248" s="22" t="n"/>
      <c r="F1248" s="22" t="n"/>
      <c r="G1248" s="22" t="n"/>
      <c r="H1248" s="22" t="n"/>
      <c r="I1248" s="22" t="n"/>
      <c r="J1248" s="22" t="n"/>
      <c r="K1248" s="22" t="n"/>
    </row>
    <row r="1249">
      <c r="A1249" s="324" t="n"/>
      <c r="B1249" s="22" t="n"/>
      <c r="C1249" s="22" t="n"/>
      <c r="D1249" s="22" t="n"/>
      <c r="E1249" s="22" t="n"/>
      <c r="F1249" s="22" t="n"/>
      <c r="G1249" s="22" t="n"/>
      <c r="H1249" s="22" t="n"/>
      <c r="I1249" s="22" t="n"/>
      <c r="J1249" s="22" t="n"/>
      <c r="K1249" s="22" t="n"/>
    </row>
    <row r="1250">
      <c r="A1250" s="324" t="n"/>
      <c r="B1250" s="22" t="n"/>
      <c r="C1250" s="22" t="n"/>
      <c r="D1250" s="22" t="n"/>
      <c r="E1250" s="22" t="n"/>
      <c r="F1250" s="22" t="n"/>
      <c r="G1250" s="22" t="n"/>
      <c r="H1250" s="22" t="n"/>
      <c r="I1250" s="22" t="n"/>
      <c r="J1250" s="22" t="n"/>
      <c r="K1250" s="22" t="n"/>
    </row>
    <row r="1251">
      <c r="A1251" s="324" t="n"/>
      <c r="B1251" s="22" t="n"/>
      <c r="C1251" s="22" t="n"/>
      <c r="D1251" s="22" t="n"/>
      <c r="E1251" s="22" t="n"/>
      <c r="F1251" s="22" t="n"/>
      <c r="G1251" s="22" t="n"/>
      <c r="H1251" s="22" t="n"/>
      <c r="I1251" s="22" t="n"/>
      <c r="J1251" s="22" t="n"/>
      <c r="K1251" s="22" t="n"/>
    </row>
    <row r="1252">
      <c r="A1252" s="324" t="n"/>
      <c r="B1252" s="22" t="n"/>
      <c r="C1252" s="22" t="n"/>
      <c r="D1252" s="22" t="n"/>
      <c r="E1252" s="22" t="n"/>
      <c r="F1252" s="22" t="n"/>
      <c r="G1252" s="22" t="n"/>
      <c r="H1252" s="22" t="n"/>
      <c r="I1252" s="22" t="n"/>
      <c r="J1252" s="22" t="n"/>
      <c r="K1252" s="22" t="n"/>
    </row>
    <row r="1253">
      <c r="A1253" s="324" t="n"/>
      <c r="B1253" s="22" t="n"/>
      <c r="C1253" s="22" t="n"/>
      <c r="D1253" s="22" t="n"/>
      <c r="E1253" s="22" t="n"/>
      <c r="F1253" s="22" t="n"/>
      <c r="G1253" s="22" t="n"/>
      <c r="H1253" s="22" t="n"/>
      <c r="I1253" s="22" t="n"/>
      <c r="J1253" s="22" t="n"/>
      <c r="K1253" s="22" t="n"/>
    </row>
    <row r="1254">
      <c r="A1254" s="324" t="n"/>
      <c r="B1254" s="22" t="n"/>
      <c r="C1254" s="22" t="n"/>
      <c r="D1254" s="22" t="n"/>
      <c r="E1254" s="22" t="n"/>
      <c r="F1254" s="22" t="n"/>
      <c r="G1254" s="22" t="n"/>
      <c r="H1254" s="22" t="n"/>
      <c r="I1254" s="22" t="n"/>
      <c r="J1254" s="22" t="n"/>
      <c r="K1254" s="22" t="n"/>
    </row>
    <row r="1255">
      <c r="A1255" s="324" t="n"/>
      <c r="B1255" s="22" t="n"/>
      <c r="C1255" s="22" t="n"/>
      <c r="D1255" s="22" t="n"/>
      <c r="E1255" s="22" t="n"/>
      <c r="F1255" s="22" t="n"/>
      <c r="G1255" s="22" t="n"/>
      <c r="H1255" s="22" t="n"/>
      <c r="I1255" s="22" t="n"/>
      <c r="J1255" s="22" t="n"/>
      <c r="K1255" s="22" t="n"/>
    </row>
    <row r="1256">
      <c r="A1256" s="324" t="n"/>
      <c r="B1256" s="22" t="n"/>
      <c r="C1256" s="22" t="n"/>
      <c r="D1256" s="22" t="n"/>
      <c r="E1256" s="22" t="n"/>
      <c r="F1256" s="22" t="n"/>
      <c r="G1256" s="22" t="n"/>
      <c r="H1256" s="22" t="n"/>
      <c r="I1256" s="22" t="n"/>
      <c r="J1256" s="22" t="n"/>
      <c r="K1256" s="22" t="n"/>
    </row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0" customWidth="1" min="4" max="4"/>
    <col width="32" customWidth="1" min="5" max="5"/>
    <col width="24" customWidth="1" min="6" max="6"/>
    <col width="56" customWidth="1" min="7" max="7"/>
    <col width="42" customWidth="1" min="8" max="8"/>
    <col width="16" customWidth="1" min="9" max="9"/>
    <col width="16" customWidth="1" min="10" max="10"/>
    <col width="34" customWidth="1" min="11" max="11"/>
    <col width="14" customWidth="1" min="12" max="12"/>
    <col width="14" customWidth="1" min="13" max="13"/>
  </cols>
  <sheetData>
    <row r="1" ht="30" customHeight="1">
      <c r="A1" s="467" t="inlineStr">
        <is>
          <t>issue_id</t>
        </is>
      </c>
      <c r="B1" s="467" t="inlineStr">
        <is>
          <t>severity</t>
        </is>
      </c>
      <c r="C1" s="467" t="inlineStr">
        <is>
          <t>rule_id</t>
        </is>
      </c>
      <c r="D1" s="467" t="inlineStr">
        <is>
          <t>section</t>
        </is>
      </c>
      <c r="E1" s="467" t="inlineStr">
        <is>
          <t>normalized_path</t>
        </is>
      </c>
      <c r="F1" s="467" t="inlineStr">
        <is>
          <t>business_row_key</t>
        </is>
      </c>
      <c r="G1" s="467" t="inlineStr">
        <is>
          <t>message</t>
        </is>
      </c>
      <c r="H1" s="467" t="inlineStr">
        <is>
          <t>suggested_action</t>
        </is>
      </c>
      <c r="I1" s="467" t="inlineStr">
        <is>
          <t>occurrence_count</t>
        </is>
      </c>
      <c r="J1" s="467" t="inlineStr">
        <is>
          <t>promotion_blocking</t>
        </is>
      </c>
      <c r="K1" s="467" t="inlineStr">
        <is>
          <t>detail_ref</t>
        </is>
      </c>
      <c r="L1" s="322" t="n"/>
      <c r="M1" s="322" t="n"/>
    </row>
    <row r="2">
      <c r="A2" s="22" t="n"/>
      <c r="B2" s="22" t="n"/>
      <c r="C2" s="22" t="n"/>
      <c r="D2" s="331" t="n"/>
      <c r="E2" s="331" t="n"/>
      <c r="F2" s="22" t="n"/>
      <c r="G2" s="22" t="n"/>
      <c r="H2" s="22" t="n"/>
      <c r="I2" s="22" t="n"/>
      <c r="J2" s="324" t="n"/>
      <c r="K2" s="22" t="n"/>
      <c r="L2" s="22" t="n"/>
      <c r="M2" s="22" t="n"/>
    </row>
    <row r="3">
      <c r="A3" s="22" t="n"/>
      <c r="B3" s="22" t="n"/>
      <c r="C3" s="22" t="n"/>
      <c r="D3" s="331" t="n"/>
      <c r="E3" s="331" t="n"/>
      <c r="F3" s="22" t="n"/>
      <c r="G3" s="22" t="n"/>
      <c r="H3" s="22" t="n"/>
      <c r="I3" s="22" t="n"/>
      <c r="J3" s="324" t="n"/>
      <c r="K3" s="22" t="n"/>
      <c r="L3" s="22" t="n"/>
      <c r="M3" s="22" t="n"/>
    </row>
    <row r="4">
      <c r="A4" s="22" t="n"/>
      <c r="B4" s="22" t="n"/>
      <c r="C4" s="22" t="n"/>
      <c r="D4" s="331" t="n"/>
      <c r="E4" s="331" t="n"/>
      <c r="F4" s="22" t="n"/>
      <c r="G4" s="22" t="n"/>
      <c r="H4" s="22" t="n"/>
      <c r="I4" s="22" t="n"/>
      <c r="J4" s="324" t="n"/>
      <c r="K4" s="22" t="n"/>
      <c r="L4" s="22" t="n"/>
      <c r="M4" s="22" t="n"/>
    </row>
    <row r="5">
      <c r="A5" s="22" t="n"/>
      <c r="B5" s="22" t="n"/>
      <c r="C5" s="22" t="n"/>
      <c r="D5" s="331" t="n"/>
      <c r="E5" s="331" t="n"/>
      <c r="F5" s="22" t="n"/>
      <c r="G5" s="22" t="n"/>
      <c r="H5" s="22" t="n"/>
      <c r="I5" s="22" t="n"/>
      <c r="J5" s="324" t="n"/>
      <c r="K5" s="22" t="n"/>
      <c r="L5" s="22" t="n"/>
      <c r="M5" s="22" t="n"/>
    </row>
    <row r="6">
      <c r="A6" s="22" t="n"/>
      <c r="B6" s="22" t="n"/>
      <c r="C6" s="22" t="n"/>
      <c r="D6" s="331" t="n"/>
      <c r="E6" s="331" t="n"/>
      <c r="F6" s="22" t="n"/>
      <c r="G6" s="22" t="n"/>
      <c r="H6" s="22" t="n"/>
      <c r="I6" s="22" t="n"/>
      <c r="J6" s="324" t="n"/>
      <c r="K6" s="22" t="n"/>
      <c r="L6" s="22" t="n"/>
      <c r="M6" s="22" t="n"/>
    </row>
    <row r="7">
      <c r="A7" s="22" t="n"/>
      <c r="B7" s="22" t="n"/>
      <c r="C7" s="22" t="n"/>
      <c r="D7" s="331" t="n"/>
      <c r="E7" s="331" t="n"/>
      <c r="F7" s="22" t="n"/>
      <c r="G7" s="22" t="n"/>
      <c r="H7" s="22" t="n"/>
      <c r="I7" s="22" t="n"/>
      <c r="J7" s="324" t="n"/>
      <c r="K7" s="22" t="n"/>
      <c r="L7" s="22" t="n"/>
      <c r="M7" s="22" t="n"/>
    </row>
    <row r="8">
      <c r="A8" s="22" t="n"/>
      <c r="B8" s="22" t="n"/>
      <c r="C8" s="22" t="n"/>
      <c r="D8" s="331" t="n"/>
      <c r="E8" s="331" t="n"/>
      <c r="F8" s="22" t="n"/>
      <c r="G8" s="22" t="n"/>
      <c r="H8" s="22" t="n"/>
      <c r="I8" s="22" t="n"/>
      <c r="J8" s="324" t="n"/>
      <c r="K8" s="22" t="n"/>
      <c r="L8" s="22" t="n"/>
      <c r="M8" s="22" t="n"/>
    </row>
    <row r="9">
      <c r="A9" s="22" t="n"/>
      <c r="B9" s="22" t="n"/>
      <c r="C9" s="22" t="n"/>
      <c r="D9" s="331" t="n"/>
      <c r="E9" s="331" t="n"/>
      <c r="F9" s="22" t="n"/>
      <c r="G9" s="22" t="n"/>
      <c r="H9" s="22" t="n"/>
      <c r="I9" s="22" t="n"/>
      <c r="J9" s="324" t="n"/>
      <c r="K9" s="22" t="n"/>
      <c r="L9" s="22" t="n"/>
      <c r="M9" s="22" t="n"/>
    </row>
    <row r="10">
      <c r="A10" s="22" t="n"/>
      <c r="B10" s="22" t="n"/>
      <c r="C10" s="22" t="n"/>
      <c r="D10" s="331" t="n"/>
      <c r="E10" s="331" t="n"/>
      <c r="F10" s="22" t="n"/>
      <c r="G10" s="22" t="n"/>
      <c r="H10" s="22" t="n"/>
      <c r="I10" s="22" t="n"/>
      <c r="J10" s="324" t="n"/>
      <c r="K10" s="22" t="n"/>
      <c r="L10" s="22" t="n"/>
      <c r="M10" s="22" t="n"/>
    </row>
    <row r="11">
      <c r="A11" s="22" t="n"/>
      <c r="B11" s="22" t="n"/>
      <c r="C11" s="22" t="n"/>
      <c r="D11" s="331" t="n"/>
      <c r="E11" s="331" t="n"/>
      <c r="F11" s="22" t="n"/>
      <c r="G11" s="22" t="n"/>
      <c r="H11" s="22" t="n"/>
      <c r="I11" s="22" t="n"/>
      <c r="J11" s="324" t="n"/>
      <c r="K11" s="22" t="n"/>
      <c r="L11" s="22" t="n"/>
      <c r="M11" s="22" t="n"/>
    </row>
    <row r="12">
      <c r="A12" s="22" t="n"/>
      <c r="B12" s="22" t="n"/>
      <c r="C12" s="22" t="n"/>
      <c r="D12" s="331" t="n"/>
      <c r="E12" s="331" t="n"/>
      <c r="F12" s="22" t="n"/>
      <c r="G12" s="22" t="n"/>
      <c r="H12" s="22" t="n"/>
      <c r="I12" s="22" t="n"/>
      <c r="J12" s="324" t="n"/>
      <c r="K12" s="22" t="n"/>
      <c r="L12" s="22" t="n"/>
      <c r="M12" s="22" t="n"/>
    </row>
    <row r="13">
      <c r="A13" s="22" t="n"/>
      <c r="B13" s="22" t="n"/>
      <c r="C13" s="22" t="n"/>
      <c r="D13" s="331" t="n"/>
      <c r="E13" s="331" t="n"/>
      <c r="F13" s="22" t="n"/>
      <c r="G13" s="22" t="n"/>
      <c r="H13" s="22" t="n"/>
      <c r="I13" s="22" t="n"/>
      <c r="J13" s="324" t="n"/>
      <c r="K13" s="22" t="n"/>
      <c r="L13" s="22" t="n"/>
      <c r="M13" s="22" t="n"/>
    </row>
    <row r="14">
      <c r="A14" s="22" t="n"/>
      <c r="B14" s="22" t="n"/>
      <c r="C14" s="22" t="n"/>
      <c r="D14" s="331" t="n"/>
      <c r="E14" s="331" t="n"/>
      <c r="F14" s="22" t="n"/>
      <c r="G14" s="22" t="n"/>
      <c r="H14" s="22" t="n"/>
      <c r="I14" s="22" t="n"/>
      <c r="J14" s="324" t="n"/>
      <c r="K14" s="22" t="n"/>
      <c r="L14" s="22" t="n"/>
      <c r="M14" s="22" t="n"/>
    </row>
    <row r="15">
      <c r="A15" s="22" t="n"/>
      <c r="B15" s="22" t="n"/>
      <c r="C15" s="22" t="n"/>
      <c r="D15" s="331" t="n"/>
      <c r="E15" s="331" t="n"/>
      <c r="F15" s="22" t="n"/>
      <c r="G15" s="22" t="n"/>
      <c r="H15" s="22" t="n"/>
      <c r="I15" s="22" t="n"/>
      <c r="J15" s="324" t="n"/>
      <c r="K15" s="22" t="n"/>
      <c r="L15" s="22" t="n"/>
      <c r="M15" s="22" t="n"/>
    </row>
    <row r="16">
      <c r="A16" s="22" t="n"/>
      <c r="B16" s="22" t="n"/>
      <c r="C16" s="22" t="n"/>
      <c r="D16" s="331" t="n"/>
      <c r="E16" s="331" t="n"/>
      <c r="F16" s="22" t="n"/>
      <c r="G16" s="22" t="n"/>
      <c r="H16" s="22" t="n"/>
      <c r="I16" s="22" t="n"/>
      <c r="J16" s="324" t="n"/>
      <c r="K16" s="22" t="n"/>
      <c r="L16" s="22" t="n"/>
      <c r="M16" s="22" t="n"/>
    </row>
    <row r="17">
      <c r="A17" s="22" t="n"/>
      <c r="B17" s="22" t="n"/>
      <c r="C17" s="22" t="n"/>
      <c r="D17" s="331" t="n"/>
      <c r="E17" s="331" t="n"/>
      <c r="F17" s="22" t="n"/>
      <c r="G17" s="22" t="n"/>
      <c r="H17" s="22" t="n"/>
      <c r="I17" s="22" t="n"/>
      <c r="J17" s="324" t="n"/>
      <c r="K17" s="22" t="n"/>
      <c r="L17" s="22" t="n"/>
      <c r="M17" s="22" t="n"/>
    </row>
    <row r="18">
      <c r="A18" s="22" t="n"/>
      <c r="B18" s="22" t="n"/>
      <c r="C18" s="22" t="n"/>
      <c r="D18" s="331" t="n"/>
      <c r="E18" s="331" t="n"/>
      <c r="F18" s="22" t="n"/>
      <c r="G18" s="22" t="n"/>
      <c r="H18" s="22" t="n"/>
      <c r="I18" s="22" t="n"/>
      <c r="J18" s="324" t="n"/>
      <c r="K18" s="22" t="n"/>
      <c r="L18" s="22" t="n"/>
      <c r="M18" s="22" t="n"/>
    </row>
    <row r="19">
      <c r="A19" s="22" t="n"/>
      <c r="B19" s="22" t="n"/>
      <c r="C19" s="22" t="n"/>
      <c r="D19" s="331" t="n"/>
      <c r="E19" s="331" t="n"/>
      <c r="F19" s="22" t="n"/>
      <c r="G19" s="22" t="n"/>
      <c r="H19" s="22" t="n"/>
      <c r="I19" s="22" t="n"/>
      <c r="J19" s="324" t="n"/>
      <c r="K19" s="22" t="n"/>
      <c r="L19" s="22" t="n"/>
      <c r="M19" s="22" t="n"/>
    </row>
    <row r="20">
      <c r="A20" s="22" t="n"/>
      <c r="B20" s="22" t="n"/>
      <c r="C20" s="22" t="n"/>
      <c r="D20" s="331" t="n"/>
      <c r="E20" s="331" t="n"/>
      <c r="F20" s="22" t="n"/>
      <c r="G20" s="22" t="n"/>
      <c r="H20" s="22" t="n"/>
      <c r="I20" s="22" t="n"/>
      <c r="J20" s="324" t="n"/>
      <c r="K20" s="22" t="n"/>
      <c r="L20" s="22" t="n"/>
      <c r="M20" s="22" t="n"/>
    </row>
    <row r="21">
      <c r="A21" s="22" t="n"/>
      <c r="B21" s="22" t="n"/>
      <c r="C21" s="22" t="n"/>
      <c r="D21" s="331" t="n"/>
      <c r="E21" s="331" t="n"/>
      <c r="F21" s="22" t="n"/>
      <c r="G21" s="22" t="n"/>
      <c r="H21" s="22" t="n"/>
      <c r="I21" s="22" t="n"/>
      <c r="J21" s="324" t="n"/>
      <c r="K21" s="22" t="n"/>
      <c r="L21" s="22" t="n"/>
      <c r="M21" s="22" t="n"/>
    </row>
    <row r="22">
      <c r="A22" s="22" t="n"/>
      <c r="B22" s="22" t="n"/>
      <c r="C22" s="22" t="n"/>
      <c r="D22" s="331" t="n"/>
      <c r="E22" s="331" t="n"/>
      <c r="F22" s="22" t="n"/>
      <c r="G22" s="22" t="n"/>
      <c r="H22" s="22" t="n"/>
      <c r="I22" s="22" t="n"/>
      <c r="J22" s="324" t="n"/>
      <c r="K22" s="22" t="n"/>
      <c r="L22" s="22" t="n"/>
      <c r="M22" s="22" t="n"/>
    </row>
    <row r="23">
      <c r="A23" s="22" t="n"/>
      <c r="B23" s="22" t="n"/>
      <c r="C23" s="22" t="n"/>
      <c r="D23" s="331" t="n"/>
      <c r="E23" s="331" t="n"/>
      <c r="F23" s="22" t="n"/>
      <c r="G23" s="22" t="n"/>
      <c r="H23" s="22" t="n"/>
      <c r="I23" s="22" t="n"/>
      <c r="J23" s="324" t="n"/>
      <c r="K23" s="22" t="n"/>
      <c r="L23" s="22" t="n"/>
      <c r="M23" s="22" t="n"/>
    </row>
    <row r="24">
      <c r="A24" s="22" t="n"/>
      <c r="B24" s="22" t="n"/>
      <c r="C24" s="22" t="n"/>
      <c r="D24" s="331" t="n"/>
      <c r="E24" s="331" t="n"/>
      <c r="F24" s="22" t="n"/>
      <c r="G24" s="22" t="n"/>
      <c r="H24" s="22" t="n"/>
      <c r="I24" s="22" t="n"/>
      <c r="J24" s="324" t="n"/>
      <c r="K24" s="22" t="n"/>
      <c r="L24" s="22" t="n"/>
      <c r="M24" s="22" t="n"/>
    </row>
    <row r="25">
      <c r="A25" s="22" t="n"/>
      <c r="B25" s="22" t="n"/>
      <c r="C25" s="22" t="n"/>
      <c r="D25" s="331" t="n"/>
      <c r="E25" s="331" t="n"/>
      <c r="F25" s="22" t="n"/>
      <c r="G25" s="22" t="n"/>
      <c r="H25" s="22" t="n"/>
      <c r="I25" s="22" t="n"/>
      <c r="J25" s="324" t="n"/>
      <c r="K25" s="22" t="n"/>
      <c r="L25" s="22" t="n"/>
      <c r="M25" s="22" t="n"/>
    </row>
    <row r="26">
      <c r="A26" s="22" t="n"/>
      <c r="B26" s="22" t="n"/>
      <c r="C26" s="22" t="n"/>
      <c r="D26" s="331" t="n"/>
      <c r="E26" s="331" t="n"/>
      <c r="F26" s="22" t="n"/>
      <c r="G26" s="22" t="n"/>
      <c r="H26" s="22" t="n"/>
      <c r="I26" s="22" t="n"/>
      <c r="J26" s="324" t="n"/>
      <c r="K26" s="22" t="n"/>
      <c r="L26" s="22" t="n"/>
      <c r="M26" s="22" t="n"/>
    </row>
    <row r="27">
      <c r="A27" s="22" t="n"/>
      <c r="B27" s="22" t="n"/>
      <c r="C27" s="22" t="n"/>
      <c r="D27" s="331" t="n"/>
      <c r="E27" s="331" t="n"/>
      <c r="F27" s="22" t="n"/>
      <c r="G27" s="22" t="n"/>
      <c r="H27" s="22" t="n"/>
      <c r="I27" s="22" t="n"/>
      <c r="J27" s="324" t="n"/>
      <c r="K27" s="22" t="n"/>
      <c r="L27" s="22" t="n"/>
      <c r="M27" s="22" t="n"/>
    </row>
    <row r="28">
      <c r="A28" s="22" t="n"/>
      <c r="B28" s="22" t="n"/>
      <c r="C28" s="22" t="n"/>
      <c r="D28" s="331" t="n"/>
      <c r="E28" s="331" t="n"/>
      <c r="F28" s="22" t="n"/>
      <c r="G28" s="22" t="n"/>
      <c r="H28" s="22" t="n"/>
      <c r="I28" s="22" t="n"/>
      <c r="J28" s="324" t="n"/>
      <c r="K28" s="22" t="n"/>
      <c r="L28" s="22" t="n"/>
      <c r="M28" s="22" t="n"/>
    </row>
    <row r="29">
      <c r="A29" s="22" t="n"/>
      <c r="B29" s="22" t="n"/>
      <c r="C29" s="22" t="n"/>
      <c r="D29" s="331" t="n"/>
      <c r="E29" s="331" t="n"/>
      <c r="F29" s="22" t="n"/>
      <c r="G29" s="22" t="n"/>
      <c r="H29" s="22" t="n"/>
      <c r="I29" s="22" t="n"/>
      <c r="J29" s="324" t="n"/>
      <c r="K29" s="22" t="n"/>
      <c r="L29" s="22" t="n"/>
      <c r="M29" s="22" t="n"/>
    </row>
    <row r="30">
      <c r="A30" s="22" t="n"/>
      <c r="B30" s="22" t="n"/>
      <c r="C30" s="22" t="n"/>
      <c r="D30" s="331" t="n"/>
      <c r="E30" s="331" t="n"/>
      <c r="F30" s="22" t="n"/>
      <c r="G30" s="22" t="n"/>
      <c r="H30" s="22" t="n"/>
      <c r="I30" s="22" t="n"/>
      <c r="J30" s="324" t="n"/>
      <c r="K30" s="22" t="n"/>
      <c r="L30" s="22" t="n"/>
      <c r="M30" s="22" t="n"/>
    </row>
    <row r="31">
      <c r="A31" s="22" t="n"/>
      <c r="B31" s="22" t="n"/>
      <c r="C31" s="22" t="n"/>
      <c r="D31" s="331" t="n"/>
      <c r="E31" s="331" t="n"/>
      <c r="F31" s="22" t="n"/>
      <c r="G31" s="22" t="n"/>
      <c r="H31" s="22" t="n"/>
      <c r="I31" s="22" t="n"/>
      <c r="J31" s="324" t="n"/>
      <c r="K31" s="22" t="n"/>
      <c r="L31" s="22" t="n"/>
      <c r="M31" s="22" t="n"/>
    </row>
    <row r="32">
      <c r="A32" s="22" t="n"/>
      <c r="B32" s="22" t="n"/>
      <c r="C32" s="22" t="n"/>
      <c r="D32" s="331" t="n"/>
      <c r="E32" s="331" t="n"/>
      <c r="F32" s="22" t="n"/>
      <c r="G32" s="22" t="n"/>
      <c r="H32" s="22" t="n"/>
      <c r="I32" s="22" t="n"/>
      <c r="J32" s="324" t="n"/>
      <c r="K32" s="22" t="n"/>
      <c r="L32" s="22" t="n"/>
      <c r="M32" s="22" t="n"/>
    </row>
    <row r="33">
      <c r="A33" s="22" t="n"/>
      <c r="B33" s="22" t="n"/>
      <c r="C33" s="22" t="n"/>
      <c r="D33" s="331" t="n"/>
      <c r="E33" s="331" t="n"/>
      <c r="F33" s="22" t="n"/>
      <c r="G33" s="22" t="n"/>
      <c r="H33" s="22" t="n"/>
      <c r="I33" s="22" t="n"/>
      <c r="J33" s="324" t="n"/>
      <c r="K33" s="22" t="n"/>
      <c r="L33" s="22" t="n"/>
      <c r="M33" s="22" t="n"/>
    </row>
    <row r="34">
      <c r="A34" s="22" t="n"/>
      <c r="B34" s="22" t="n"/>
      <c r="C34" s="22" t="n"/>
      <c r="D34" s="331" t="n"/>
      <c r="E34" s="331" t="n"/>
      <c r="F34" s="22" t="n"/>
      <c r="G34" s="22" t="n"/>
      <c r="H34" s="22" t="n"/>
      <c r="I34" s="22" t="n"/>
      <c r="J34" s="324" t="n"/>
      <c r="K34" s="22" t="n"/>
      <c r="L34" s="22" t="n"/>
      <c r="M34" s="22" t="n"/>
    </row>
    <row r="35">
      <c r="A35" s="22" t="n"/>
      <c r="B35" s="22" t="n"/>
      <c r="C35" s="22" t="n"/>
      <c r="D35" s="331" t="n"/>
      <c r="E35" s="331" t="n"/>
      <c r="F35" s="22" t="n"/>
      <c r="G35" s="22" t="n"/>
      <c r="H35" s="22" t="n"/>
      <c r="I35" s="22" t="n"/>
      <c r="J35" s="324" t="n"/>
      <c r="K35" s="22" t="n"/>
      <c r="L35" s="22" t="n"/>
      <c r="M35" s="22" t="n"/>
    </row>
    <row r="36">
      <c r="A36" s="22" t="n"/>
      <c r="B36" s="22" t="n"/>
      <c r="C36" s="22" t="n"/>
      <c r="D36" s="331" t="n"/>
      <c r="E36" s="331" t="n"/>
      <c r="F36" s="22" t="n"/>
      <c r="G36" s="22" t="n"/>
      <c r="H36" s="22" t="n"/>
      <c r="I36" s="22" t="n"/>
      <c r="J36" s="324" t="n"/>
      <c r="K36" s="22" t="n"/>
      <c r="L36" s="22" t="n"/>
      <c r="M36" s="22" t="n"/>
    </row>
    <row r="37">
      <c r="A37" s="22" t="n"/>
      <c r="B37" s="22" t="n"/>
      <c r="C37" s="22" t="n"/>
      <c r="D37" s="331" t="n"/>
      <c r="E37" s="331" t="n"/>
      <c r="F37" s="22" t="n"/>
      <c r="G37" s="22" t="n"/>
      <c r="H37" s="22" t="n"/>
      <c r="I37" s="22" t="n"/>
      <c r="J37" s="324" t="n"/>
      <c r="K37" s="22" t="n"/>
      <c r="L37" s="22" t="n"/>
      <c r="M37" s="22" t="n"/>
    </row>
    <row r="38">
      <c r="A38" s="22" t="n"/>
      <c r="B38" s="22" t="n"/>
      <c r="C38" s="22" t="n"/>
      <c r="D38" s="331" t="n"/>
      <c r="E38" s="331" t="n"/>
      <c r="F38" s="22" t="n"/>
      <c r="G38" s="22" t="n"/>
      <c r="H38" s="22" t="n"/>
      <c r="I38" s="22" t="n"/>
      <c r="J38" s="324" t="n"/>
      <c r="K38" s="22" t="n"/>
      <c r="L38" s="22" t="n"/>
      <c r="M38" s="22" t="n"/>
    </row>
    <row r="39">
      <c r="A39" s="22" t="n"/>
      <c r="B39" s="22" t="n"/>
      <c r="C39" s="22" t="n"/>
      <c r="D39" s="331" t="n"/>
      <c r="E39" s="331" t="n"/>
      <c r="F39" s="22" t="n"/>
      <c r="G39" s="22" t="n"/>
      <c r="H39" s="22" t="n"/>
      <c r="I39" s="22" t="n"/>
      <c r="J39" s="324" t="n"/>
      <c r="K39" s="22" t="n"/>
      <c r="L39" s="22" t="n"/>
      <c r="M39" s="22" t="n"/>
    </row>
    <row r="40">
      <c r="A40" s="22" t="n"/>
      <c r="B40" s="22" t="n"/>
      <c r="C40" s="22" t="n"/>
      <c r="D40" s="331" t="n"/>
      <c r="E40" s="331" t="n"/>
      <c r="F40" s="22" t="n"/>
      <c r="G40" s="22" t="n"/>
      <c r="H40" s="22" t="n"/>
      <c r="I40" s="22" t="n"/>
      <c r="J40" s="324" t="n"/>
      <c r="K40" s="22" t="n"/>
      <c r="L40" s="22" t="n"/>
      <c r="M40" s="22" t="n"/>
    </row>
    <row r="41">
      <c r="A41" s="22" t="n"/>
      <c r="B41" s="22" t="n"/>
      <c r="C41" s="22" t="n"/>
      <c r="D41" s="331" t="n"/>
      <c r="E41" s="331" t="n"/>
      <c r="F41" s="22" t="n"/>
      <c r="G41" s="22" t="n"/>
      <c r="H41" s="22" t="n"/>
      <c r="I41" s="22" t="n"/>
      <c r="J41" s="324" t="n"/>
      <c r="K41" s="22" t="n"/>
      <c r="L41" s="22" t="n"/>
      <c r="M41" s="22" t="n"/>
    </row>
    <row r="42">
      <c r="A42" s="22" t="n"/>
      <c r="B42" s="22" t="n"/>
      <c r="C42" s="22" t="n"/>
      <c r="D42" s="331" t="n"/>
      <c r="E42" s="331" t="n"/>
      <c r="F42" s="22" t="n"/>
      <c r="G42" s="22" t="n"/>
      <c r="H42" s="22" t="n"/>
      <c r="I42" s="22" t="n"/>
      <c r="J42" s="324" t="n"/>
      <c r="K42" s="22" t="n"/>
      <c r="L42" s="22" t="n"/>
      <c r="M42" s="22" t="n"/>
    </row>
    <row r="43">
      <c r="A43" s="22" t="n"/>
      <c r="B43" s="22" t="n"/>
      <c r="C43" s="22" t="n"/>
      <c r="D43" s="331" t="n"/>
      <c r="E43" s="331" t="n"/>
      <c r="F43" s="22" t="n"/>
      <c r="G43" s="22" t="n"/>
      <c r="H43" s="22" t="n"/>
      <c r="I43" s="22" t="n"/>
      <c r="J43" s="324" t="n"/>
      <c r="K43" s="22" t="n"/>
      <c r="L43" s="22" t="n"/>
      <c r="M43" s="22" t="n"/>
    </row>
    <row r="44">
      <c r="A44" s="22" t="n"/>
      <c r="B44" s="22" t="n"/>
      <c r="C44" s="22" t="n"/>
      <c r="D44" s="331" t="n"/>
      <c r="E44" s="331" t="n"/>
      <c r="F44" s="22" t="n"/>
      <c r="G44" s="22" t="n"/>
      <c r="H44" s="22" t="n"/>
      <c r="I44" s="22" t="n"/>
      <c r="J44" s="324" t="n"/>
      <c r="K44" s="22" t="n"/>
      <c r="L44" s="22" t="n"/>
      <c r="M44" s="22" t="n"/>
    </row>
    <row r="45">
      <c r="A45" s="22" t="n"/>
      <c r="B45" s="22" t="n"/>
      <c r="C45" s="22" t="n"/>
      <c r="D45" s="331" t="n"/>
      <c r="E45" s="331" t="n"/>
      <c r="F45" s="22" t="n"/>
      <c r="G45" s="22" t="n"/>
      <c r="H45" s="22" t="n"/>
      <c r="I45" s="22" t="n"/>
      <c r="J45" s="324" t="n"/>
      <c r="K45" s="22" t="n"/>
      <c r="L45" s="22" t="n"/>
      <c r="M45" s="22" t="n"/>
    </row>
    <row r="46">
      <c r="A46" s="22" t="n"/>
      <c r="B46" s="22" t="n"/>
      <c r="C46" s="22" t="n"/>
      <c r="D46" s="331" t="n"/>
      <c r="E46" s="331" t="n"/>
      <c r="F46" s="22" t="n"/>
      <c r="G46" s="22" t="n"/>
      <c r="H46" s="22" t="n"/>
      <c r="I46" s="22" t="n"/>
      <c r="J46" s="324" t="n"/>
      <c r="K46" s="22" t="n"/>
      <c r="L46" s="22" t="n"/>
      <c r="M46" s="22" t="n"/>
    </row>
    <row r="47">
      <c r="A47" s="22" t="n"/>
      <c r="B47" s="22" t="n"/>
      <c r="C47" s="22" t="n"/>
      <c r="D47" s="331" t="n"/>
      <c r="E47" s="331" t="n"/>
      <c r="F47" s="22" t="n"/>
      <c r="G47" s="22" t="n"/>
      <c r="H47" s="22" t="n"/>
      <c r="I47" s="22" t="n"/>
      <c r="J47" s="324" t="n"/>
      <c r="K47" s="22" t="n"/>
      <c r="L47" s="22" t="n"/>
      <c r="M47" s="22" t="n"/>
    </row>
    <row r="48">
      <c r="A48" s="22" t="n"/>
      <c r="B48" s="22" t="n"/>
      <c r="C48" s="22" t="n"/>
      <c r="D48" s="331" t="n"/>
      <c r="E48" s="331" t="n"/>
      <c r="F48" s="22" t="n"/>
      <c r="G48" s="22" t="n"/>
      <c r="H48" s="22" t="n"/>
      <c r="I48" s="22" t="n"/>
      <c r="J48" s="324" t="n"/>
      <c r="K48" s="22" t="n"/>
      <c r="L48" s="22" t="n"/>
      <c r="M48" s="22" t="n"/>
    </row>
    <row r="49">
      <c r="A49" s="22" t="n"/>
      <c r="B49" s="22" t="n"/>
      <c r="C49" s="22" t="n"/>
      <c r="D49" s="331" t="n"/>
      <c r="E49" s="331" t="n"/>
      <c r="F49" s="22" t="n"/>
      <c r="G49" s="22" t="n"/>
      <c r="H49" s="22" t="n"/>
      <c r="I49" s="22" t="n"/>
      <c r="J49" s="324" t="n"/>
      <c r="K49" s="22" t="n"/>
      <c r="L49" s="22" t="n"/>
      <c r="M49" s="22" t="n"/>
    </row>
    <row r="50">
      <c r="A50" s="22" t="n"/>
      <c r="B50" s="22" t="n"/>
      <c r="C50" s="22" t="n"/>
      <c r="D50" s="331" t="n"/>
      <c r="E50" s="331" t="n"/>
      <c r="F50" s="22" t="n"/>
      <c r="G50" s="22" t="n"/>
      <c r="H50" s="22" t="n"/>
      <c r="I50" s="22" t="n"/>
      <c r="J50" s="324" t="n"/>
      <c r="K50" s="22" t="n"/>
      <c r="L50" s="22" t="n"/>
      <c r="M50" s="22" t="n"/>
    </row>
    <row r="51">
      <c r="A51" s="22" t="n"/>
      <c r="B51" s="22" t="n"/>
      <c r="C51" s="22" t="n"/>
      <c r="D51" s="331" t="n"/>
      <c r="E51" s="331" t="n"/>
      <c r="F51" s="22" t="n"/>
      <c r="G51" s="22" t="n"/>
      <c r="H51" s="22" t="n"/>
      <c r="I51" s="22" t="n"/>
      <c r="J51" s="324" t="n"/>
      <c r="K51" s="22" t="n"/>
      <c r="L51" s="22" t="n"/>
      <c r="M51" s="22" t="n"/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34" customWidth="1" min="1" max="1"/>
    <col width="12" customWidth="1" min="2" max="2"/>
    <col width="18" customWidth="1" min="3" max="3"/>
    <col width="18" customWidth="1" min="4" max="4"/>
    <col width="16" customWidth="1" min="5" max="5"/>
    <col width="16" customWidth="1" min="6" max="6"/>
    <col width="34" customWidth="1" min="7" max="7"/>
    <col width="60" customWidth="1" min="8" max="8"/>
    <col width="3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0" customHeight="1">
      <c r="A1" s="467" t="inlineStr">
        <is>
          <t>rule_id</t>
        </is>
      </c>
      <c r="B1" s="467" t="inlineStr">
        <is>
          <t>status</t>
        </is>
      </c>
      <c r="C1" s="467" t="inlineStr">
        <is>
          <t>unique_issue_count</t>
        </is>
      </c>
      <c r="D1" s="467" t="inlineStr">
        <is>
          <t>occurrence_count</t>
        </is>
      </c>
      <c r="E1" s="467" t="inlineStr">
        <is>
          <t>blocking_count</t>
        </is>
      </c>
      <c r="F1" s="467" t="inlineStr">
        <is>
          <t>actionable_count</t>
        </is>
      </c>
      <c r="G1" s="467" t="inlineStr">
        <is>
          <t>affected_sections</t>
        </is>
      </c>
      <c r="H1" s="467" t="inlineStr">
        <is>
          <t>interpretation</t>
        </is>
      </c>
      <c r="I1" s="467" t="inlineStr">
        <is>
          <t>detail_ref</t>
        </is>
      </c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  <c r="L681" s="22" t="n"/>
      <c r="M681" s="22" t="n"/>
      <c r="N681" s="22" t="n"/>
      <c r="O681" s="22" t="n"/>
      <c r="P681" s="22" t="n"/>
      <c r="Q681" s="22" t="n"/>
      <c r="R681" s="22" t="n"/>
      <c r="S681" s="22" t="n"/>
      <c r="T681" s="22" t="n"/>
      <c r="U681" s="22" t="n"/>
      <c r="V681" s="22" t="n"/>
      <c r="W681" s="22" t="n"/>
      <c r="X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  <c r="L682" s="22" t="n"/>
      <c r="M682" s="22" t="n"/>
      <c r="N682" s="22" t="n"/>
      <c r="O682" s="22" t="n"/>
      <c r="P682" s="22" t="n"/>
      <c r="Q682" s="22" t="n"/>
      <c r="R682" s="22" t="n"/>
      <c r="S682" s="22" t="n"/>
      <c r="T682" s="22" t="n"/>
      <c r="U682" s="22" t="n"/>
      <c r="V682" s="22" t="n"/>
      <c r="W682" s="22" t="n"/>
      <c r="X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  <c r="L683" s="22" t="n"/>
      <c r="M683" s="22" t="n"/>
      <c r="N683" s="22" t="n"/>
      <c r="O683" s="22" t="n"/>
      <c r="P683" s="22" t="n"/>
      <c r="Q683" s="22" t="n"/>
      <c r="R683" s="22" t="n"/>
      <c r="S683" s="22" t="n"/>
      <c r="T683" s="22" t="n"/>
      <c r="U683" s="22" t="n"/>
      <c r="V683" s="22" t="n"/>
      <c r="W683" s="22" t="n"/>
      <c r="X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  <c r="L684" s="22" t="n"/>
      <c r="M684" s="22" t="n"/>
      <c r="N684" s="22" t="n"/>
      <c r="O684" s="22" t="n"/>
      <c r="P684" s="22" t="n"/>
      <c r="Q684" s="22" t="n"/>
      <c r="R684" s="22" t="n"/>
      <c r="S684" s="22" t="n"/>
      <c r="T684" s="22" t="n"/>
      <c r="U684" s="22" t="n"/>
      <c r="V684" s="22" t="n"/>
      <c r="W684" s="22" t="n"/>
      <c r="X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  <c r="L685" s="22" t="n"/>
      <c r="M685" s="22" t="n"/>
      <c r="N685" s="22" t="n"/>
      <c r="O685" s="22" t="n"/>
      <c r="P685" s="22" t="n"/>
      <c r="Q685" s="22" t="n"/>
      <c r="R685" s="22" t="n"/>
      <c r="S685" s="22" t="n"/>
      <c r="T685" s="22" t="n"/>
      <c r="U685" s="22" t="n"/>
      <c r="V685" s="22" t="n"/>
      <c r="W685" s="22" t="n"/>
      <c r="X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  <c r="L686" s="22" t="n"/>
      <c r="M686" s="22" t="n"/>
      <c r="N686" s="22" t="n"/>
      <c r="O686" s="22" t="n"/>
      <c r="P686" s="22" t="n"/>
      <c r="Q686" s="22" t="n"/>
      <c r="R686" s="22" t="n"/>
      <c r="S686" s="22" t="n"/>
      <c r="T686" s="22" t="n"/>
      <c r="U686" s="22" t="n"/>
      <c r="V686" s="22" t="n"/>
      <c r="W686" s="22" t="n"/>
      <c r="X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  <c r="L687" s="22" t="n"/>
      <c r="M687" s="22" t="n"/>
      <c r="N687" s="22" t="n"/>
      <c r="O687" s="22" t="n"/>
      <c r="P687" s="22" t="n"/>
      <c r="Q687" s="22" t="n"/>
      <c r="R687" s="22" t="n"/>
      <c r="S687" s="22" t="n"/>
      <c r="T687" s="22" t="n"/>
      <c r="U687" s="22" t="n"/>
      <c r="V687" s="22" t="n"/>
      <c r="W687" s="22" t="n"/>
      <c r="X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  <c r="L688" s="22" t="n"/>
      <c r="M688" s="22" t="n"/>
      <c r="N688" s="22" t="n"/>
      <c r="O688" s="22" t="n"/>
      <c r="P688" s="22" t="n"/>
      <c r="Q688" s="22" t="n"/>
      <c r="R688" s="22" t="n"/>
      <c r="S688" s="22" t="n"/>
      <c r="T688" s="22" t="n"/>
      <c r="U688" s="22" t="n"/>
      <c r="V688" s="22" t="n"/>
      <c r="W688" s="22" t="n"/>
      <c r="X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  <c r="L689" s="22" t="n"/>
      <c r="M689" s="22" t="n"/>
      <c r="N689" s="22" t="n"/>
      <c r="O689" s="22" t="n"/>
      <c r="P689" s="22" t="n"/>
      <c r="Q689" s="22" t="n"/>
      <c r="R689" s="22" t="n"/>
      <c r="S689" s="22" t="n"/>
      <c r="T689" s="22" t="n"/>
      <c r="U689" s="22" t="n"/>
      <c r="V689" s="22" t="n"/>
      <c r="W689" s="22" t="n"/>
      <c r="X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  <c r="L690" s="22" t="n"/>
      <c r="M690" s="22" t="n"/>
      <c r="N690" s="22" t="n"/>
      <c r="O690" s="22" t="n"/>
      <c r="P690" s="22" t="n"/>
      <c r="Q690" s="22" t="n"/>
      <c r="R690" s="22" t="n"/>
      <c r="S690" s="22" t="n"/>
      <c r="T690" s="22" t="n"/>
      <c r="U690" s="22" t="n"/>
      <c r="V690" s="22" t="n"/>
      <c r="W690" s="22" t="n"/>
      <c r="X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  <c r="L691" s="22" t="n"/>
      <c r="M691" s="22" t="n"/>
      <c r="N691" s="22" t="n"/>
      <c r="O691" s="22" t="n"/>
      <c r="P691" s="22" t="n"/>
      <c r="Q691" s="22" t="n"/>
      <c r="R691" s="22" t="n"/>
      <c r="S691" s="22" t="n"/>
      <c r="T691" s="22" t="n"/>
      <c r="U691" s="22" t="n"/>
      <c r="V691" s="22" t="n"/>
      <c r="W691" s="22" t="n"/>
      <c r="X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  <c r="L692" s="22" t="n"/>
      <c r="M692" s="22" t="n"/>
      <c r="N692" s="22" t="n"/>
      <c r="O692" s="22" t="n"/>
      <c r="P692" s="22" t="n"/>
      <c r="Q692" s="22" t="n"/>
      <c r="R692" s="22" t="n"/>
      <c r="S692" s="22" t="n"/>
      <c r="T692" s="22" t="n"/>
      <c r="U692" s="22" t="n"/>
      <c r="V692" s="22" t="n"/>
      <c r="W692" s="22" t="n"/>
      <c r="X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  <c r="L693" s="22" t="n"/>
      <c r="M693" s="22" t="n"/>
      <c r="N693" s="22" t="n"/>
      <c r="O693" s="22" t="n"/>
      <c r="P693" s="22" t="n"/>
      <c r="Q693" s="22" t="n"/>
      <c r="R693" s="22" t="n"/>
      <c r="S693" s="22" t="n"/>
      <c r="T693" s="22" t="n"/>
      <c r="U693" s="22" t="n"/>
      <c r="V693" s="22" t="n"/>
      <c r="W693" s="22" t="n"/>
      <c r="X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  <c r="L694" s="22" t="n"/>
      <c r="M694" s="22" t="n"/>
      <c r="N694" s="22" t="n"/>
      <c r="O694" s="22" t="n"/>
      <c r="P694" s="22" t="n"/>
      <c r="Q694" s="22" t="n"/>
      <c r="R694" s="22" t="n"/>
      <c r="S694" s="22" t="n"/>
      <c r="T694" s="22" t="n"/>
      <c r="U694" s="22" t="n"/>
      <c r="V694" s="22" t="n"/>
      <c r="W694" s="22" t="n"/>
      <c r="X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  <c r="L695" s="22" t="n"/>
      <c r="M695" s="22" t="n"/>
      <c r="N695" s="22" t="n"/>
      <c r="O695" s="22" t="n"/>
      <c r="P695" s="22" t="n"/>
      <c r="Q695" s="22" t="n"/>
      <c r="R695" s="22" t="n"/>
      <c r="S695" s="22" t="n"/>
      <c r="T695" s="22" t="n"/>
      <c r="U695" s="22" t="n"/>
      <c r="V695" s="22" t="n"/>
      <c r="W695" s="22" t="n"/>
      <c r="X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  <c r="L696" s="22" t="n"/>
      <c r="M696" s="22" t="n"/>
      <c r="N696" s="22" t="n"/>
      <c r="O696" s="22" t="n"/>
      <c r="P696" s="22" t="n"/>
      <c r="Q696" s="22" t="n"/>
      <c r="R696" s="22" t="n"/>
      <c r="S696" s="22" t="n"/>
      <c r="T696" s="22" t="n"/>
      <c r="U696" s="22" t="n"/>
      <c r="V696" s="22" t="n"/>
      <c r="W696" s="22" t="n"/>
      <c r="X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  <c r="L697" s="22" t="n"/>
      <c r="M697" s="22" t="n"/>
      <c r="N697" s="22" t="n"/>
      <c r="O697" s="22" t="n"/>
      <c r="P697" s="22" t="n"/>
      <c r="Q697" s="22" t="n"/>
      <c r="R697" s="22" t="n"/>
      <c r="S697" s="22" t="n"/>
      <c r="T697" s="22" t="n"/>
      <c r="U697" s="22" t="n"/>
      <c r="V697" s="22" t="n"/>
      <c r="W697" s="22" t="n"/>
      <c r="X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  <c r="L698" s="22" t="n"/>
      <c r="M698" s="22" t="n"/>
      <c r="N698" s="22" t="n"/>
      <c r="O698" s="22" t="n"/>
      <c r="P698" s="22" t="n"/>
      <c r="Q698" s="22" t="n"/>
      <c r="R698" s="22" t="n"/>
      <c r="S698" s="22" t="n"/>
      <c r="T698" s="22" t="n"/>
      <c r="U698" s="22" t="n"/>
      <c r="V698" s="22" t="n"/>
      <c r="W698" s="22" t="n"/>
      <c r="X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  <c r="L699" s="22" t="n"/>
      <c r="M699" s="22" t="n"/>
      <c r="N699" s="22" t="n"/>
      <c r="O699" s="22" t="n"/>
      <c r="P699" s="22" t="n"/>
      <c r="Q699" s="22" t="n"/>
      <c r="R699" s="22" t="n"/>
      <c r="S699" s="22" t="n"/>
      <c r="T699" s="22" t="n"/>
      <c r="U699" s="22" t="n"/>
      <c r="V699" s="22" t="n"/>
      <c r="W699" s="22" t="n"/>
      <c r="X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  <c r="L700" s="22" t="n"/>
      <c r="M700" s="22" t="n"/>
      <c r="N700" s="22" t="n"/>
      <c r="O700" s="22" t="n"/>
      <c r="P700" s="22" t="n"/>
      <c r="Q700" s="22" t="n"/>
      <c r="R700" s="22" t="n"/>
      <c r="S700" s="22" t="n"/>
      <c r="T700" s="22" t="n"/>
      <c r="U700" s="22" t="n"/>
      <c r="V700" s="22" t="n"/>
      <c r="W700" s="22" t="n"/>
      <c r="X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  <c r="L701" s="22" t="n"/>
      <c r="M701" s="22" t="n"/>
      <c r="N701" s="22" t="n"/>
      <c r="O701" s="22" t="n"/>
      <c r="P701" s="22" t="n"/>
      <c r="Q701" s="22" t="n"/>
      <c r="R701" s="22" t="n"/>
      <c r="S701" s="22" t="n"/>
      <c r="T701" s="22" t="n"/>
      <c r="U701" s="22" t="n"/>
      <c r="V701" s="22" t="n"/>
      <c r="W701" s="22" t="n"/>
      <c r="X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  <c r="L702" s="22" t="n"/>
      <c r="M702" s="22" t="n"/>
      <c r="N702" s="22" t="n"/>
      <c r="O702" s="22" t="n"/>
      <c r="P702" s="22" t="n"/>
      <c r="Q702" s="22" t="n"/>
      <c r="R702" s="22" t="n"/>
      <c r="S702" s="22" t="n"/>
      <c r="T702" s="22" t="n"/>
      <c r="U702" s="22" t="n"/>
      <c r="V702" s="22" t="n"/>
      <c r="W702" s="22" t="n"/>
      <c r="X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  <c r="L703" s="22" t="n"/>
      <c r="M703" s="22" t="n"/>
      <c r="N703" s="22" t="n"/>
      <c r="O703" s="22" t="n"/>
      <c r="P703" s="22" t="n"/>
      <c r="Q703" s="22" t="n"/>
      <c r="R703" s="22" t="n"/>
      <c r="S703" s="22" t="n"/>
      <c r="T703" s="22" t="n"/>
      <c r="U703" s="22" t="n"/>
      <c r="V703" s="22" t="n"/>
      <c r="W703" s="22" t="n"/>
      <c r="X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  <c r="L704" s="22" t="n"/>
      <c r="M704" s="22" t="n"/>
      <c r="N704" s="22" t="n"/>
      <c r="O704" s="22" t="n"/>
      <c r="P704" s="22" t="n"/>
      <c r="Q704" s="22" t="n"/>
      <c r="R704" s="22" t="n"/>
      <c r="S704" s="22" t="n"/>
      <c r="T704" s="22" t="n"/>
      <c r="U704" s="22" t="n"/>
      <c r="V704" s="22" t="n"/>
      <c r="W704" s="22" t="n"/>
      <c r="X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  <c r="L705" s="22" t="n"/>
      <c r="M705" s="22" t="n"/>
      <c r="N705" s="22" t="n"/>
      <c r="O705" s="22" t="n"/>
      <c r="P705" s="22" t="n"/>
      <c r="Q705" s="22" t="n"/>
      <c r="R705" s="22" t="n"/>
      <c r="S705" s="22" t="n"/>
      <c r="T705" s="22" t="n"/>
      <c r="U705" s="22" t="n"/>
      <c r="V705" s="22" t="n"/>
      <c r="W705" s="22" t="n"/>
      <c r="X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  <c r="L706" s="22" t="n"/>
      <c r="M706" s="22" t="n"/>
      <c r="N706" s="22" t="n"/>
      <c r="O706" s="22" t="n"/>
      <c r="P706" s="22" t="n"/>
      <c r="Q706" s="22" t="n"/>
      <c r="R706" s="22" t="n"/>
      <c r="S706" s="22" t="n"/>
      <c r="T706" s="22" t="n"/>
      <c r="U706" s="22" t="n"/>
      <c r="V706" s="22" t="n"/>
      <c r="W706" s="22" t="n"/>
      <c r="X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  <c r="L707" s="22" t="n"/>
      <c r="M707" s="22" t="n"/>
      <c r="N707" s="22" t="n"/>
      <c r="O707" s="22" t="n"/>
      <c r="P707" s="22" t="n"/>
      <c r="Q707" s="22" t="n"/>
      <c r="R707" s="22" t="n"/>
      <c r="S707" s="22" t="n"/>
      <c r="T707" s="22" t="n"/>
      <c r="U707" s="22" t="n"/>
      <c r="V707" s="22" t="n"/>
      <c r="W707" s="22" t="n"/>
      <c r="X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  <c r="L708" s="22" t="n"/>
      <c r="M708" s="22" t="n"/>
      <c r="N708" s="22" t="n"/>
      <c r="O708" s="22" t="n"/>
      <c r="P708" s="22" t="n"/>
      <c r="Q708" s="22" t="n"/>
      <c r="R708" s="22" t="n"/>
      <c r="S708" s="22" t="n"/>
      <c r="T708" s="22" t="n"/>
      <c r="U708" s="22" t="n"/>
      <c r="V708" s="22" t="n"/>
      <c r="W708" s="22" t="n"/>
      <c r="X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  <c r="L709" s="22" t="n"/>
      <c r="M709" s="22" t="n"/>
      <c r="N709" s="22" t="n"/>
      <c r="O709" s="22" t="n"/>
      <c r="P709" s="22" t="n"/>
      <c r="Q709" s="22" t="n"/>
      <c r="R709" s="22" t="n"/>
      <c r="S709" s="22" t="n"/>
      <c r="T709" s="22" t="n"/>
      <c r="U709" s="22" t="n"/>
      <c r="V709" s="22" t="n"/>
      <c r="W709" s="22" t="n"/>
      <c r="X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  <c r="L710" s="22" t="n"/>
      <c r="M710" s="22" t="n"/>
      <c r="N710" s="22" t="n"/>
      <c r="O710" s="22" t="n"/>
      <c r="P710" s="22" t="n"/>
      <c r="Q710" s="22" t="n"/>
      <c r="R710" s="22" t="n"/>
      <c r="S710" s="22" t="n"/>
      <c r="T710" s="22" t="n"/>
      <c r="U710" s="22" t="n"/>
      <c r="V710" s="22" t="n"/>
      <c r="W710" s="22" t="n"/>
      <c r="X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  <c r="L711" s="22" t="n"/>
      <c r="M711" s="22" t="n"/>
      <c r="N711" s="22" t="n"/>
      <c r="O711" s="22" t="n"/>
      <c r="P711" s="22" t="n"/>
      <c r="Q711" s="22" t="n"/>
      <c r="R711" s="22" t="n"/>
      <c r="S711" s="22" t="n"/>
      <c r="T711" s="22" t="n"/>
      <c r="U711" s="22" t="n"/>
      <c r="V711" s="22" t="n"/>
      <c r="W711" s="22" t="n"/>
      <c r="X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  <c r="L712" s="22" t="n"/>
      <c r="M712" s="22" t="n"/>
      <c r="N712" s="22" t="n"/>
      <c r="O712" s="22" t="n"/>
      <c r="P712" s="22" t="n"/>
      <c r="Q712" s="22" t="n"/>
      <c r="R712" s="22" t="n"/>
      <c r="S712" s="22" t="n"/>
      <c r="T712" s="22" t="n"/>
      <c r="U712" s="22" t="n"/>
      <c r="V712" s="22" t="n"/>
      <c r="W712" s="22" t="n"/>
      <c r="X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  <c r="L713" s="22" t="n"/>
      <c r="M713" s="22" t="n"/>
      <c r="N713" s="22" t="n"/>
      <c r="O713" s="22" t="n"/>
      <c r="P713" s="22" t="n"/>
      <c r="Q713" s="22" t="n"/>
      <c r="R713" s="22" t="n"/>
      <c r="S713" s="22" t="n"/>
      <c r="T713" s="22" t="n"/>
      <c r="U713" s="22" t="n"/>
      <c r="V713" s="22" t="n"/>
      <c r="W713" s="22" t="n"/>
      <c r="X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  <c r="L714" s="22" t="n"/>
      <c r="M714" s="22" t="n"/>
      <c r="N714" s="22" t="n"/>
      <c r="O714" s="22" t="n"/>
      <c r="P714" s="22" t="n"/>
      <c r="Q714" s="22" t="n"/>
      <c r="R714" s="22" t="n"/>
      <c r="S714" s="22" t="n"/>
      <c r="T714" s="22" t="n"/>
      <c r="U714" s="22" t="n"/>
      <c r="V714" s="22" t="n"/>
      <c r="W714" s="22" t="n"/>
      <c r="X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  <c r="L715" s="22" t="n"/>
      <c r="M715" s="22" t="n"/>
      <c r="N715" s="22" t="n"/>
      <c r="O715" s="22" t="n"/>
      <c r="P715" s="22" t="n"/>
      <c r="Q715" s="22" t="n"/>
      <c r="R715" s="22" t="n"/>
      <c r="S715" s="22" t="n"/>
      <c r="T715" s="22" t="n"/>
      <c r="U715" s="22" t="n"/>
      <c r="V715" s="22" t="n"/>
      <c r="W715" s="22" t="n"/>
      <c r="X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  <c r="L716" s="22" t="n"/>
      <c r="M716" s="22" t="n"/>
      <c r="N716" s="22" t="n"/>
      <c r="O716" s="22" t="n"/>
      <c r="P716" s="22" t="n"/>
      <c r="Q716" s="22" t="n"/>
      <c r="R716" s="22" t="n"/>
      <c r="S716" s="22" t="n"/>
      <c r="T716" s="22" t="n"/>
      <c r="U716" s="22" t="n"/>
      <c r="V716" s="22" t="n"/>
      <c r="W716" s="22" t="n"/>
      <c r="X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  <c r="L717" s="22" t="n"/>
      <c r="M717" s="22" t="n"/>
      <c r="N717" s="22" t="n"/>
      <c r="O717" s="22" t="n"/>
      <c r="P717" s="22" t="n"/>
      <c r="Q717" s="22" t="n"/>
      <c r="R717" s="22" t="n"/>
      <c r="S717" s="22" t="n"/>
      <c r="T717" s="22" t="n"/>
      <c r="U717" s="22" t="n"/>
      <c r="V717" s="22" t="n"/>
      <c r="W717" s="22" t="n"/>
      <c r="X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  <c r="L718" s="22" t="n"/>
      <c r="M718" s="22" t="n"/>
      <c r="N718" s="22" t="n"/>
      <c r="O718" s="22" t="n"/>
      <c r="P718" s="22" t="n"/>
      <c r="Q718" s="22" t="n"/>
      <c r="R718" s="22" t="n"/>
      <c r="S718" s="22" t="n"/>
      <c r="T718" s="22" t="n"/>
      <c r="U718" s="22" t="n"/>
      <c r="V718" s="22" t="n"/>
      <c r="W718" s="22" t="n"/>
      <c r="X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  <c r="L719" s="22" t="n"/>
      <c r="M719" s="22" t="n"/>
      <c r="N719" s="22" t="n"/>
      <c r="O719" s="22" t="n"/>
      <c r="P719" s="22" t="n"/>
      <c r="Q719" s="22" t="n"/>
      <c r="R719" s="22" t="n"/>
      <c r="S719" s="22" t="n"/>
      <c r="T719" s="22" t="n"/>
      <c r="U719" s="22" t="n"/>
      <c r="V719" s="22" t="n"/>
      <c r="W719" s="22" t="n"/>
      <c r="X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  <c r="L720" s="22" t="n"/>
      <c r="M720" s="22" t="n"/>
      <c r="N720" s="22" t="n"/>
      <c r="O720" s="22" t="n"/>
      <c r="P720" s="22" t="n"/>
      <c r="Q720" s="22" t="n"/>
      <c r="R720" s="22" t="n"/>
      <c r="S720" s="22" t="n"/>
      <c r="T720" s="22" t="n"/>
      <c r="U720" s="22" t="n"/>
      <c r="V720" s="22" t="n"/>
      <c r="W720" s="22" t="n"/>
      <c r="X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  <c r="L721" s="22" t="n"/>
      <c r="M721" s="22" t="n"/>
      <c r="N721" s="22" t="n"/>
      <c r="O721" s="22" t="n"/>
      <c r="P721" s="22" t="n"/>
      <c r="Q721" s="22" t="n"/>
      <c r="R721" s="22" t="n"/>
      <c r="S721" s="22" t="n"/>
      <c r="T721" s="22" t="n"/>
      <c r="U721" s="22" t="n"/>
      <c r="V721" s="22" t="n"/>
      <c r="W721" s="22" t="n"/>
      <c r="X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  <c r="L722" s="22" t="n"/>
      <c r="M722" s="22" t="n"/>
      <c r="N722" s="22" t="n"/>
      <c r="O722" s="22" t="n"/>
      <c r="P722" s="22" t="n"/>
      <c r="Q722" s="22" t="n"/>
      <c r="R722" s="22" t="n"/>
      <c r="S722" s="22" t="n"/>
      <c r="T722" s="22" t="n"/>
      <c r="U722" s="22" t="n"/>
      <c r="V722" s="22" t="n"/>
      <c r="W722" s="22" t="n"/>
      <c r="X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  <c r="L723" s="22" t="n"/>
      <c r="M723" s="22" t="n"/>
      <c r="N723" s="22" t="n"/>
      <c r="O723" s="22" t="n"/>
      <c r="P723" s="22" t="n"/>
      <c r="Q723" s="22" t="n"/>
      <c r="R723" s="22" t="n"/>
      <c r="S723" s="22" t="n"/>
      <c r="T723" s="22" t="n"/>
      <c r="U723" s="22" t="n"/>
      <c r="V723" s="22" t="n"/>
      <c r="W723" s="22" t="n"/>
      <c r="X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  <c r="L724" s="22" t="n"/>
      <c r="M724" s="22" t="n"/>
      <c r="N724" s="22" t="n"/>
      <c r="O724" s="22" t="n"/>
      <c r="P724" s="22" t="n"/>
      <c r="Q724" s="22" t="n"/>
      <c r="R724" s="22" t="n"/>
      <c r="S724" s="22" t="n"/>
      <c r="T724" s="22" t="n"/>
      <c r="U724" s="22" t="n"/>
      <c r="V724" s="22" t="n"/>
      <c r="W724" s="22" t="n"/>
      <c r="X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  <c r="L725" s="22" t="n"/>
      <c r="M725" s="22" t="n"/>
      <c r="N725" s="22" t="n"/>
      <c r="O725" s="22" t="n"/>
      <c r="P725" s="22" t="n"/>
      <c r="Q725" s="22" t="n"/>
      <c r="R725" s="22" t="n"/>
      <c r="S725" s="22" t="n"/>
      <c r="T725" s="22" t="n"/>
      <c r="U725" s="22" t="n"/>
      <c r="V725" s="22" t="n"/>
      <c r="W725" s="22" t="n"/>
      <c r="X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  <c r="L726" s="22" t="n"/>
      <c r="M726" s="22" t="n"/>
      <c r="N726" s="22" t="n"/>
      <c r="O726" s="22" t="n"/>
      <c r="P726" s="22" t="n"/>
      <c r="Q726" s="22" t="n"/>
      <c r="R726" s="22" t="n"/>
      <c r="S726" s="22" t="n"/>
      <c r="T726" s="22" t="n"/>
      <c r="U726" s="22" t="n"/>
      <c r="V726" s="22" t="n"/>
      <c r="W726" s="22" t="n"/>
      <c r="X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  <c r="L727" s="22" t="n"/>
      <c r="M727" s="22" t="n"/>
      <c r="N727" s="22" t="n"/>
      <c r="O727" s="22" t="n"/>
      <c r="P727" s="22" t="n"/>
      <c r="Q727" s="22" t="n"/>
      <c r="R727" s="22" t="n"/>
      <c r="S727" s="22" t="n"/>
      <c r="T727" s="22" t="n"/>
      <c r="U727" s="22" t="n"/>
      <c r="V727" s="22" t="n"/>
      <c r="W727" s="22" t="n"/>
      <c r="X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  <c r="L728" s="22" t="n"/>
      <c r="M728" s="22" t="n"/>
      <c r="N728" s="22" t="n"/>
      <c r="O728" s="22" t="n"/>
      <c r="P728" s="22" t="n"/>
      <c r="Q728" s="22" t="n"/>
      <c r="R728" s="22" t="n"/>
      <c r="S728" s="22" t="n"/>
      <c r="T728" s="22" t="n"/>
      <c r="U728" s="22" t="n"/>
      <c r="V728" s="22" t="n"/>
      <c r="W728" s="22" t="n"/>
      <c r="X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  <c r="L729" s="22" t="n"/>
      <c r="M729" s="22" t="n"/>
      <c r="N729" s="22" t="n"/>
      <c r="O729" s="22" t="n"/>
      <c r="P729" s="22" t="n"/>
      <c r="Q729" s="22" t="n"/>
      <c r="R729" s="22" t="n"/>
      <c r="S729" s="22" t="n"/>
      <c r="T729" s="22" t="n"/>
      <c r="U729" s="22" t="n"/>
      <c r="V729" s="22" t="n"/>
      <c r="W729" s="22" t="n"/>
      <c r="X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  <c r="L730" s="22" t="n"/>
      <c r="M730" s="22" t="n"/>
      <c r="N730" s="22" t="n"/>
      <c r="O730" s="22" t="n"/>
      <c r="P730" s="22" t="n"/>
      <c r="Q730" s="22" t="n"/>
      <c r="R730" s="22" t="n"/>
      <c r="S730" s="22" t="n"/>
      <c r="T730" s="22" t="n"/>
      <c r="U730" s="22" t="n"/>
      <c r="V730" s="22" t="n"/>
      <c r="W730" s="22" t="n"/>
      <c r="X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  <c r="L731" s="22" t="n"/>
      <c r="M731" s="22" t="n"/>
      <c r="N731" s="22" t="n"/>
      <c r="O731" s="22" t="n"/>
      <c r="P731" s="22" t="n"/>
      <c r="Q731" s="22" t="n"/>
      <c r="R731" s="22" t="n"/>
      <c r="S731" s="22" t="n"/>
      <c r="T731" s="22" t="n"/>
      <c r="U731" s="22" t="n"/>
      <c r="V731" s="22" t="n"/>
      <c r="W731" s="22" t="n"/>
      <c r="X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  <c r="L732" s="22" t="n"/>
      <c r="M732" s="22" t="n"/>
      <c r="N732" s="22" t="n"/>
      <c r="O732" s="22" t="n"/>
      <c r="P732" s="22" t="n"/>
      <c r="Q732" s="22" t="n"/>
      <c r="R732" s="22" t="n"/>
      <c r="S732" s="22" t="n"/>
      <c r="T732" s="22" t="n"/>
      <c r="U732" s="22" t="n"/>
      <c r="V732" s="22" t="n"/>
      <c r="W732" s="22" t="n"/>
      <c r="X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  <c r="L733" s="22" t="n"/>
      <c r="M733" s="22" t="n"/>
      <c r="N733" s="22" t="n"/>
      <c r="O733" s="22" t="n"/>
      <c r="P733" s="22" t="n"/>
      <c r="Q733" s="22" t="n"/>
      <c r="R733" s="22" t="n"/>
      <c r="S733" s="22" t="n"/>
      <c r="T733" s="22" t="n"/>
      <c r="U733" s="22" t="n"/>
      <c r="V733" s="22" t="n"/>
      <c r="W733" s="22" t="n"/>
      <c r="X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  <c r="L734" s="22" t="n"/>
      <c r="M734" s="22" t="n"/>
      <c r="N734" s="22" t="n"/>
      <c r="O734" s="22" t="n"/>
      <c r="P734" s="22" t="n"/>
      <c r="Q734" s="22" t="n"/>
      <c r="R734" s="22" t="n"/>
      <c r="S734" s="22" t="n"/>
      <c r="T734" s="22" t="n"/>
      <c r="U734" s="22" t="n"/>
      <c r="V734" s="22" t="n"/>
      <c r="W734" s="22" t="n"/>
      <c r="X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  <c r="L735" s="22" t="n"/>
      <c r="M735" s="22" t="n"/>
      <c r="N735" s="22" t="n"/>
      <c r="O735" s="22" t="n"/>
      <c r="P735" s="22" t="n"/>
      <c r="Q735" s="22" t="n"/>
      <c r="R735" s="22" t="n"/>
      <c r="S735" s="22" t="n"/>
      <c r="T735" s="22" t="n"/>
      <c r="U735" s="22" t="n"/>
      <c r="V735" s="22" t="n"/>
      <c r="W735" s="22" t="n"/>
      <c r="X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  <c r="L736" s="22" t="n"/>
      <c r="M736" s="22" t="n"/>
      <c r="N736" s="22" t="n"/>
      <c r="O736" s="22" t="n"/>
      <c r="P736" s="22" t="n"/>
      <c r="Q736" s="22" t="n"/>
      <c r="R736" s="22" t="n"/>
      <c r="S736" s="22" t="n"/>
      <c r="T736" s="22" t="n"/>
      <c r="U736" s="22" t="n"/>
      <c r="V736" s="22" t="n"/>
      <c r="W736" s="22" t="n"/>
      <c r="X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  <c r="L737" s="22" t="n"/>
      <c r="M737" s="22" t="n"/>
      <c r="N737" s="22" t="n"/>
      <c r="O737" s="22" t="n"/>
      <c r="P737" s="22" t="n"/>
      <c r="Q737" s="22" t="n"/>
      <c r="R737" s="22" t="n"/>
      <c r="S737" s="22" t="n"/>
      <c r="T737" s="22" t="n"/>
      <c r="U737" s="22" t="n"/>
      <c r="V737" s="22" t="n"/>
      <c r="W737" s="22" t="n"/>
      <c r="X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  <c r="L738" s="22" t="n"/>
      <c r="M738" s="22" t="n"/>
      <c r="N738" s="22" t="n"/>
      <c r="O738" s="22" t="n"/>
      <c r="P738" s="22" t="n"/>
      <c r="Q738" s="22" t="n"/>
      <c r="R738" s="22" t="n"/>
      <c r="S738" s="22" t="n"/>
      <c r="T738" s="22" t="n"/>
      <c r="U738" s="22" t="n"/>
      <c r="V738" s="22" t="n"/>
      <c r="W738" s="22" t="n"/>
      <c r="X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  <c r="L739" s="22" t="n"/>
      <c r="M739" s="22" t="n"/>
      <c r="N739" s="22" t="n"/>
      <c r="O739" s="22" t="n"/>
      <c r="P739" s="22" t="n"/>
      <c r="Q739" s="22" t="n"/>
      <c r="R739" s="22" t="n"/>
      <c r="S739" s="22" t="n"/>
      <c r="T739" s="22" t="n"/>
      <c r="U739" s="22" t="n"/>
      <c r="V739" s="22" t="n"/>
      <c r="W739" s="22" t="n"/>
      <c r="X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  <c r="L740" s="22" t="n"/>
      <c r="M740" s="22" t="n"/>
      <c r="N740" s="22" t="n"/>
      <c r="O740" s="22" t="n"/>
      <c r="P740" s="22" t="n"/>
      <c r="Q740" s="22" t="n"/>
      <c r="R740" s="22" t="n"/>
      <c r="S740" s="22" t="n"/>
      <c r="T740" s="22" t="n"/>
      <c r="U740" s="22" t="n"/>
      <c r="V740" s="22" t="n"/>
      <c r="W740" s="22" t="n"/>
      <c r="X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  <c r="L741" s="22" t="n"/>
      <c r="M741" s="22" t="n"/>
      <c r="N741" s="22" t="n"/>
      <c r="O741" s="22" t="n"/>
      <c r="P741" s="22" t="n"/>
      <c r="Q741" s="22" t="n"/>
      <c r="R741" s="22" t="n"/>
      <c r="S741" s="22" t="n"/>
      <c r="T741" s="22" t="n"/>
      <c r="U741" s="22" t="n"/>
      <c r="V741" s="22" t="n"/>
      <c r="W741" s="22" t="n"/>
      <c r="X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  <c r="L742" s="22" t="n"/>
      <c r="M742" s="22" t="n"/>
      <c r="N742" s="22" t="n"/>
      <c r="O742" s="22" t="n"/>
      <c r="P742" s="22" t="n"/>
      <c r="Q742" s="22" t="n"/>
      <c r="R742" s="22" t="n"/>
      <c r="S742" s="22" t="n"/>
      <c r="T742" s="22" t="n"/>
      <c r="U742" s="22" t="n"/>
      <c r="V742" s="22" t="n"/>
      <c r="W742" s="22" t="n"/>
      <c r="X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  <c r="L743" s="22" t="n"/>
      <c r="M743" s="22" t="n"/>
      <c r="N743" s="22" t="n"/>
      <c r="O743" s="22" t="n"/>
      <c r="P743" s="22" t="n"/>
      <c r="Q743" s="22" t="n"/>
      <c r="R743" s="22" t="n"/>
      <c r="S743" s="22" t="n"/>
      <c r="T743" s="22" t="n"/>
      <c r="U743" s="22" t="n"/>
      <c r="V743" s="22" t="n"/>
      <c r="W743" s="22" t="n"/>
      <c r="X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  <c r="L744" s="22" t="n"/>
      <c r="M744" s="22" t="n"/>
      <c r="N744" s="22" t="n"/>
      <c r="O744" s="22" t="n"/>
      <c r="P744" s="22" t="n"/>
      <c r="Q744" s="22" t="n"/>
      <c r="R744" s="22" t="n"/>
      <c r="S744" s="22" t="n"/>
      <c r="T744" s="22" t="n"/>
      <c r="U744" s="22" t="n"/>
      <c r="V744" s="22" t="n"/>
      <c r="W744" s="22" t="n"/>
      <c r="X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  <c r="L745" s="22" t="n"/>
      <c r="M745" s="22" t="n"/>
      <c r="N745" s="22" t="n"/>
      <c r="O745" s="22" t="n"/>
      <c r="P745" s="22" t="n"/>
      <c r="Q745" s="22" t="n"/>
      <c r="R745" s="22" t="n"/>
      <c r="S745" s="22" t="n"/>
      <c r="T745" s="22" t="n"/>
      <c r="U745" s="22" t="n"/>
      <c r="V745" s="22" t="n"/>
      <c r="W745" s="22" t="n"/>
      <c r="X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  <c r="L746" s="22" t="n"/>
      <c r="M746" s="22" t="n"/>
      <c r="N746" s="22" t="n"/>
      <c r="O746" s="22" t="n"/>
      <c r="P746" s="22" t="n"/>
      <c r="Q746" s="22" t="n"/>
      <c r="R746" s="22" t="n"/>
      <c r="S746" s="22" t="n"/>
      <c r="T746" s="22" t="n"/>
      <c r="U746" s="22" t="n"/>
      <c r="V746" s="22" t="n"/>
      <c r="W746" s="22" t="n"/>
      <c r="X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  <c r="L747" s="22" t="n"/>
      <c r="M747" s="22" t="n"/>
      <c r="N747" s="22" t="n"/>
      <c r="O747" s="22" t="n"/>
      <c r="P747" s="22" t="n"/>
      <c r="Q747" s="22" t="n"/>
      <c r="R747" s="22" t="n"/>
      <c r="S747" s="22" t="n"/>
      <c r="T747" s="22" t="n"/>
      <c r="U747" s="22" t="n"/>
      <c r="V747" s="22" t="n"/>
      <c r="W747" s="22" t="n"/>
      <c r="X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  <c r="L748" s="22" t="n"/>
      <c r="M748" s="22" t="n"/>
      <c r="N748" s="22" t="n"/>
      <c r="O748" s="22" t="n"/>
      <c r="P748" s="22" t="n"/>
      <c r="Q748" s="22" t="n"/>
      <c r="R748" s="22" t="n"/>
      <c r="S748" s="22" t="n"/>
      <c r="T748" s="22" t="n"/>
      <c r="U748" s="22" t="n"/>
      <c r="V748" s="22" t="n"/>
      <c r="W748" s="22" t="n"/>
      <c r="X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  <c r="L749" s="22" t="n"/>
      <c r="M749" s="22" t="n"/>
      <c r="N749" s="22" t="n"/>
      <c r="O749" s="22" t="n"/>
      <c r="P749" s="22" t="n"/>
      <c r="Q749" s="22" t="n"/>
      <c r="R749" s="22" t="n"/>
      <c r="S749" s="22" t="n"/>
      <c r="T749" s="22" t="n"/>
      <c r="U749" s="22" t="n"/>
      <c r="V749" s="22" t="n"/>
      <c r="W749" s="22" t="n"/>
      <c r="X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  <c r="L750" s="22" t="n"/>
      <c r="M750" s="22" t="n"/>
      <c r="N750" s="22" t="n"/>
      <c r="O750" s="22" t="n"/>
      <c r="P750" s="22" t="n"/>
      <c r="Q750" s="22" t="n"/>
      <c r="R750" s="22" t="n"/>
      <c r="S750" s="22" t="n"/>
      <c r="T750" s="22" t="n"/>
      <c r="U750" s="22" t="n"/>
      <c r="V750" s="22" t="n"/>
      <c r="W750" s="22" t="n"/>
      <c r="X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  <c r="L751" s="22" t="n"/>
      <c r="M751" s="22" t="n"/>
      <c r="N751" s="22" t="n"/>
      <c r="O751" s="22" t="n"/>
      <c r="P751" s="22" t="n"/>
      <c r="Q751" s="22" t="n"/>
      <c r="R751" s="22" t="n"/>
      <c r="S751" s="22" t="n"/>
      <c r="T751" s="22" t="n"/>
      <c r="U751" s="22" t="n"/>
      <c r="V751" s="22" t="n"/>
      <c r="W751" s="22" t="n"/>
      <c r="X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  <c r="L752" s="22" t="n"/>
      <c r="M752" s="22" t="n"/>
      <c r="N752" s="22" t="n"/>
      <c r="O752" s="22" t="n"/>
      <c r="P752" s="22" t="n"/>
      <c r="Q752" s="22" t="n"/>
      <c r="R752" s="22" t="n"/>
      <c r="S752" s="22" t="n"/>
      <c r="T752" s="22" t="n"/>
      <c r="U752" s="22" t="n"/>
      <c r="V752" s="22" t="n"/>
      <c r="W752" s="22" t="n"/>
      <c r="X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  <c r="L753" s="22" t="n"/>
      <c r="M753" s="22" t="n"/>
      <c r="N753" s="22" t="n"/>
      <c r="O753" s="22" t="n"/>
      <c r="P753" s="22" t="n"/>
      <c r="Q753" s="22" t="n"/>
      <c r="R753" s="22" t="n"/>
      <c r="S753" s="22" t="n"/>
      <c r="T753" s="22" t="n"/>
      <c r="U753" s="22" t="n"/>
      <c r="V753" s="22" t="n"/>
      <c r="W753" s="22" t="n"/>
      <c r="X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  <c r="L754" s="22" t="n"/>
      <c r="M754" s="22" t="n"/>
      <c r="N754" s="22" t="n"/>
      <c r="O754" s="22" t="n"/>
      <c r="P754" s="22" t="n"/>
      <c r="Q754" s="22" t="n"/>
      <c r="R754" s="22" t="n"/>
      <c r="S754" s="22" t="n"/>
      <c r="T754" s="22" t="n"/>
      <c r="U754" s="22" t="n"/>
      <c r="V754" s="22" t="n"/>
      <c r="W754" s="22" t="n"/>
      <c r="X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  <c r="L755" s="22" t="n"/>
      <c r="M755" s="22" t="n"/>
      <c r="N755" s="22" t="n"/>
      <c r="O755" s="22" t="n"/>
      <c r="P755" s="22" t="n"/>
      <c r="Q755" s="22" t="n"/>
      <c r="R755" s="22" t="n"/>
      <c r="S755" s="22" t="n"/>
      <c r="T755" s="22" t="n"/>
      <c r="U755" s="22" t="n"/>
      <c r="V755" s="22" t="n"/>
      <c r="W755" s="22" t="n"/>
      <c r="X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  <c r="L756" s="22" t="n"/>
      <c r="M756" s="22" t="n"/>
      <c r="N756" s="22" t="n"/>
      <c r="O756" s="22" t="n"/>
      <c r="P756" s="22" t="n"/>
      <c r="Q756" s="22" t="n"/>
      <c r="R756" s="22" t="n"/>
      <c r="S756" s="22" t="n"/>
      <c r="T756" s="22" t="n"/>
      <c r="U756" s="22" t="n"/>
      <c r="V756" s="22" t="n"/>
      <c r="W756" s="22" t="n"/>
      <c r="X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  <c r="L757" s="22" t="n"/>
      <c r="M757" s="22" t="n"/>
      <c r="N757" s="22" t="n"/>
      <c r="O757" s="22" t="n"/>
      <c r="P757" s="22" t="n"/>
      <c r="Q757" s="22" t="n"/>
      <c r="R757" s="22" t="n"/>
      <c r="S757" s="22" t="n"/>
      <c r="T757" s="22" t="n"/>
      <c r="U757" s="22" t="n"/>
      <c r="V757" s="22" t="n"/>
      <c r="W757" s="22" t="n"/>
      <c r="X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  <c r="L758" s="22" t="n"/>
      <c r="M758" s="22" t="n"/>
      <c r="N758" s="22" t="n"/>
      <c r="O758" s="22" t="n"/>
      <c r="P758" s="22" t="n"/>
      <c r="Q758" s="22" t="n"/>
      <c r="R758" s="22" t="n"/>
      <c r="S758" s="22" t="n"/>
      <c r="T758" s="22" t="n"/>
      <c r="U758" s="22" t="n"/>
      <c r="V758" s="22" t="n"/>
      <c r="W758" s="22" t="n"/>
      <c r="X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  <c r="L759" s="22" t="n"/>
      <c r="M759" s="22" t="n"/>
      <c r="N759" s="22" t="n"/>
      <c r="O759" s="22" t="n"/>
      <c r="P759" s="22" t="n"/>
      <c r="Q759" s="22" t="n"/>
      <c r="R759" s="22" t="n"/>
      <c r="S759" s="22" t="n"/>
      <c r="T759" s="22" t="n"/>
      <c r="U759" s="22" t="n"/>
      <c r="V759" s="22" t="n"/>
      <c r="W759" s="22" t="n"/>
      <c r="X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  <c r="L760" s="22" t="n"/>
      <c r="M760" s="22" t="n"/>
      <c r="N760" s="22" t="n"/>
      <c r="O760" s="22" t="n"/>
      <c r="P760" s="22" t="n"/>
      <c r="Q760" s="22" t="n"/>
      <c r="R760" s="22" t="n"/>
      <c r="S760" s="22" t="n"/>
      <c r="T760" s="22" t="n"/>
      <c r="U760" s="22" t="n"/>
      <c r="V760" s="22" t="n"/>
      <c r="W760" s="22" t="n"/>
      <c r="X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  <c r="L761" s="22" t="n"/>
      <c r="M761" s="22" t="n"/>
      <c r="N761" s="22" t="n"/>
      <c r="O761" s="22" t="n"/>
      <c r="P761" s="22" t="n"/>
      <c r="Q761" s="22" t="n"/>
      <c r="R761" s="22" t="n"/>
      <c r="S761" s="22" t="n"/>
      <c r="T761" s="22" t="n"/>
      <c r="U761" s="22" t="n"/>
      <c r="V761" s="22" t="n"/>
      <c r="W761" s="22" t="n"/>
      <c r="X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  <c r="L762" s="22" t="n"/>
      <c r="M762" s="22" t="n"/>
      <c r="N762" s="22" t="n"/>
      <c r="O762" s="22" t="n"/>
      <c r="P762" s="22" t="n"/>
      <c r="Q762" s="22" t="n"/>
      <c r="R762" s="22" t="n"/>
      <c r="S762" s="22" t="n"/>
      <c r="T762" s="22" t="n"/>
      <c r="U762" s="22" t="n"/>
      <c r="V762" s="22" t="n"/>
      <c r="W762" s="22" t="n"/>
      <c r="X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  <c r="L763" s="22" t="n"/>
      <c r="M763" s="22" t="n"/>
      <c r="N763" s="22" t="n"/>
      <c r="O763" s="22" t="n"/>
      <c r="P763" s="22" t="n"/>
      <c r="Q763" s="22" t="n"/>
      <c r="R763" s="22" t="n"/>
      <c r="S763" s="22" t="n"/>
      <c r="T763" s="22" t="n"/>
      <c r="U763" s="22" t="n"/>
      <c r="V763" s="22" t="n"/>
      <c r="W763" s="22" t="n"/>
      <c r="X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  <c r="L764" s="22" t="n"/>
      <c r="M764" s="22" t="n"/>
      <c r="N764" s="22" t="n"/>
      <c r="O764" s="22" t="n"/>
      <c r="P764" s="22" t="n"/>
      <c r="Q764" s="22" t="n"/>
      <c r="R764" s="22" t="n"/>
      <c r="S764" s="22" t="n"/>
      <c r="T764" s="22" t="n"/>
      <c r="U764" s="22" t="n"/>
      <c r="V764" s="22" t="n"/>
      <c r="W764" s="22" t="n"/>
      <c r="X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  <c r="L765" s="22" t="n"/>
      <c r="M765" s="22" t="n"/>
      <c r="N765" s="22" t="n"/>
      <c r="O765" s="22" t="n"/>
      <c r="P765" s="22" t="n"/>
      <c r="Q765" s="22" t="n"/>
      <c r="R765" s="22" t="n"/>
      <c r="S765" s="22" t="n"/>
      <c r="T765" s="22" t="n"/>
      <c r="U765" s="22" t="n"/>
      <c r="V765" s="22" t="n"/>
      <c r="W765" s="22" t="n"/>
      <c r="X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  <c r="L766" s="22" t="n"/>
      <c r="M766" s="22" t="n"/>
      <c r="N766" s="22" t="n"/>
      <c r="O766" s="22" t="n"/>
      <c r="P766" s="22" t="n"/>
      <c r="Q766" s="22" t="n"/>
      <c r="R766" s="22" t="n"/>
      <c r="S766" s="22" t="n"/>
      <c r="T766" s="22" t="n"/>
      <c r="U766" s="22" t="n"/>
      <c r="V766" s="22" t="n"/>
      <c r="W766" s="22" t="n"/>
      <c r="X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  <c r="L767" s="22" t="n"/>
      <c r="M767" s="22" t="n"/>
      <c r="N767" s="22" t="n"/>
      <c r="O767" s="22" t="n"/>
      <c r="P767" s="22" t="n"/>
      <c r="Q767" s="22" t="n"/>
      <c r="R767" s="22" t="n"/>
      <c r="S767" s="22" t="n"/>
      <c r="T767" s="22" t="n"/>
      <c r="U767" s="22" t="n"/>
      <c r="V767" s="22" t="n"/>
      <c r="W767" s="22" t="n"/>
      <c r="X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  <c r="L768" s="22" t="n"/>
      <c r="M768" s="22" t="n"/>
      <c r="N768" s="22" t="n"/>
      <c r="O768" s="22" t="n"/>
      <c r="P768" s="22" t="n"/>
      <c r="Q768" s="22" t="n"/>
      <c r="R768" s="22" t="n"/>
      <c r="S768" s="22" t="n"/>
      <c r="T768" s="22" t="n"/>
      <c r="U768" s="22" t="n"/>
      <c r="V768" s="22" t="n"/>
      <c r="W768" s="22" t="n"/>
      <c r="X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  <c r="L769" s="22" t="n"/>
      <c r="M769" s="22" t="n"/>
      <c r="N769" s="22" t="n"/>
      <c r="O769" s="22" t="n"/>
      <c r="P769" s="22" t="n"/>
      <c r="Q769" s="22" t="n"/>
      <c r="R769" s="22" t="n"/>
      <c r="S769" s="22" t="n"/>
      <c r="T769" s="22" t="n"/>
      <c r="U769" s="22" t="n"/>
      <c r="V769" s="22" t="n"/>
      <c r="W769" s="22" t="n"/>
      <c r="X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  <c r="L770" s="22" t="n"/>
      <c r="M770" s="22" t="n"/>
      <c r="N770" s="22" t="n"/>
      <c r="O770" s="22" t="n"/>
      <c r="P770" s="22" t="n"/>
      <c r="Q770" s="22" t="n"/>
      <c r="R770" s="22" t="n"/>
      <c r="S770" s="22" t="n"/>
      <c r="T770" s="22" t="n"/>
      <c r="U770" s="22" t="n"/>
      <c r="V770" s="22" t="n"/>
      <c r="W770" s="22" t="n"/>
      <c r="X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  <c r="L771" s="22" t="n"/>
      <c r="M771" s="22" t="n"/>
      <c r="N771" s="22" t="n"/>
      <c r="O771" s="22" t="n"/>
      <c r="P771" s="22" t="n"/>
      <c r="Q771" s="22" t="n"/>
      <c r="R771" s="22" t="n"/>
      <c r="S771" s="22" t="n"/>
      <c r="T771" s="22" t="n"/>
      <c r="U771" s="22" t="n"/>
      <c r="V771" s="22" t="n"/>
      <c r="W771" s="22" t="n"/>
      <c r="X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  <c r="L772" s="22" t="n"/>
      <c r="M772" s="22" t="n"/>
      <c r="N772" s="22" t="n"/>
      <c r="O772" s="22" t="n"/>
      <c r="P772" s="22" t="n"/>
      <c r="Q772" s="22" t="n"/>
      <c r="R772" s="22" t="n"/>
      <c r="S772" s="22" t="n"/>
      <c r="T772" s="22" t="n"/>
      <c r="U772" s="22" t="n"/>
      <c r="V772" s="22" t="n"/>
      <c r="W772" s="22" t="n"/>
      <c r="X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  <c r="L773" s="22" t="n"/>
      <c r="M773" s="22" t="n"/>
      <c r="N773" s="22" t="n"/>
      <c r="O773" s="22" t="n"/>
      <c r="P773" s="22" t="n"/>
      <c r="Q773" s="22" t="n"/>
      <c r="R773" s="22" t="n"/>
      <c r="S773" s="22" t="n"/>
      <c r="T773" s="22" t="n"/>
      <c r="U773" s="22" t="n"/>
      <c r="V773" s="22" t="n"/>
      <c r="W773" s="22" t="n"/>
      <c r="X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  <c r="L774" s="22" t="n"/>
      <c r="M774" s="22" t="n"/>
      <c r="N774" s="22" t="n"/>
      <c r="O774" s="22" t="n"/>
      <c r="P774" s="22" t="n"/>
      <c r="Q774" s="22" t="n"/>
      <c r="R774" s="22" t="n"/>
      <c r="S774" s="22" t="n"/>
      <c r="T774" s="22" t="n"/>
      <c r="U774" s="22" t="n"/>
      <c r="V774" s="22" t="n"/>
      <c r="W774" s="22" t="n"/>
      <c r="X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  <c r="L775" s="22" t="n"/>
      <c r="M775" s="22" t="n"/>
      <c r="N775" s="22" t="n"/>
      <c r="O775" s="22" t="n"/>
      <c r="P775" s="22" t="n"/>
      <c r="Q775" s="22" t="n"/>
      <c r="R775" s="22" t="n"/>
      <c r="S775" s="22" t="n"/>
      <c r="T775" s="22" t="n"/>
      <c r="U775" s="22" t="n"/>
      <c r="V775" s="22" t="n"/>
      <c r="W775" s="22" t="n"/>
      <c r="X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  <c r="L776" s="22" t="n"/>
      <c r="M776" s="22" t="n"/>
      <c r="N776" s="22" t="n"/>
      <c r="O776" s="22" t="n"/>
      <c r="P776" s="22" t="n"/>
      <c r="Q776" s="22" t="n"/>
      <c r="R776" s="22" t="n"/>
      <c r="S776" s="22" t="n"/>
      <c r="T776" s="22" t="n"/>
      <c r="U776" s="22" t="n"/>
      <c r="V776" s="22" t="n"/>
      <c r="W776" s="22" t="n"/>
      <c r="X776" s="22" t="n"/>
    </row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Standard Stock Model Template</dc:creator>
  <dcterms:created xsi:type="dcterms:W3CDTF">2000-01-01T00:00:00Z</dcterms:created>
  <dcterms:modified xsi:type="dcterms:W3CDTF">2000-01-01T00:00:00Z</dcterms:modified>
  <cp:lastModifiedBy>Standard Stock Model Template</cp:lastModifiedBy>
</cp:coreProperties>
</file>