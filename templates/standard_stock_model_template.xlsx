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aluation" sheetId="2" state="visible" r:id="rId2"/>
    <sheet xmlns:r="http://schemas.openxmlformats.org/officeDocument/2006/relationships" name="BS_Segments" sheetId="3" state="visible" r:id="rId3"/>
    <sheet xmlns:r="http://schemas.openxmlformats.org/officeDocument/2006/relationships" name="Operating_Drivers" sheetId="4" state="visible" r:id="rId4"/>
    <sheet xmlns:r="http://schemas.openxmlformats.org/officeDocument/2006/relationships" name="{ticker}_Investment_Case" sheetId="5" state="visible" r:id="rId5"/>
    <sheet xmlns:r="http://schemas.openxmlformats.org/officeDocument/2006/relationships" name="Quarter_Notes_UI" sheetId="6" state="visible" r:id="rId6"/>
    <sheet xmlns:r="http://schemas.openxmlformats.org/officeDocument/2006/relationships" name="Promise_Progress_UI" sheetId="7" state="visible" r:id="rId7"/>
    <sheet xmlns:r="http://schemas.openxmlformats.org/officeDocument/2006/relationships" name="QA_Log" sheetId="8" state="visible" r:id="rId8"/>
    <sheet xmlns:r="http://schemas.openxmlformats.org/officeDocument/2006/relationships" name="Needs_Review" sheetId="9" state="visible" r:id="rId9"/>
    <sheet xmlns:r="http://schemas.openxmlformats.org/officeDocument/2006/relationships" name="QA_Checks" sheetId="10" state="visible" r:id="rId10"/>
    <sheet xmlns:r="http://schemas.openxmlformats.org/officeDocument/2006/relationships" name="REPORT_IS_Q" sheetId="11" state="hidden" r:id="rId11"/>
    <sheet xmlns:r="http://schemas.openxmlformats.org/officeDocument/2006/relationships" name="REPORT_BS_Q" sheetId="12" state="hidden" r:id="rId12"/>
    <sheet xmlns:r="http://schemas.openxmlformats.org/officeDocument/2006/relationships" name="REPORT_CF_Q" sheetId="13" state="hidden" r:id="rId13"/>
    <sheet xmlns:r="http://schemas.openxmlformats.org/officeDocument/2006/relationships" name="Quarter_Notes" sheetId="14" state="hidden" r:id="rId14"/>
    <sheet xmlns:r="http://schemas.openxmlformats.org/officeDocument/2006/relationships" name="Quarter_Notes_Evidence" sheetId="15" state="hidden" r:id="rId15"/>
    <sheet xmlns:r="http://schemas.openxmlformats.org/officeDocument/2006/relationships" name="Quarter_Narrative_Data" sheetId="16" state="hidden" r:id="rId16"/>
    <sheet xmlns:r="http://schemas.openxmlformats.org/officeDocument/2006/relationships" name="Valuation_Summary" sheetId="17" state="hidden" r:id="rId17"/>
    <sheet xmlns:r="http://schemas.openxmlformats.org/officeDocument/2006/relationships" name="Promise_Evidence" sheetId="18" state="hidden" r:id="rId18"/>
    <sheet xmlns:r="http://schemas.openxmlformats.org/officeDocument/2006/relationships" name="Promise_Progress" sheetId="19" state="hidden" r:id="rId19"/>
    <sheet xmlns:r="http://schemas.openxmlformats.org/officeDocument/2006/relationships" name="Guidance_Normalized" sheetId="20" state="hidden" r:id="rId20"/>
    <sheet xmlns:r="http://schemas.openxmlformats.org/officeDocument/2006/relationships" name="History_Q" sheetId="21" state="hidden" r:id="rId21"/>
    <sheet xmlns:r="http://schemas.openxmlformats.org/officeDocument/2006/relationships" name="operating_drivers_raw" sheetId="22" state="hidden" r:id="rId22"/>
    <sheet xmlns:r="http://schemas.openxmlformats.org/officeDocument/2006/relationships" name="DATA_Period_Index" sheetId="23" state="hidden" r:id="rId23"/>
    <sheet xmlns:r="http://schemas.openxmlformats.org/officeDocument/2006/relationships" name="Hidden_Value_Flags" sheetId="24" state="hidden" r:id="rId24"/>
    <sheet xmlns:r="http://schemas.openxmlformats.org/officeDocument/2006/relationships" name="Hidden_Value_Audit" sheetId="25" state="hidden" r:id="rId25"/>
    <sheet xmlns:r="http://schemas.openxmlformats.org/officeDocument/2006/relationships" name="Hidden_Value_Recompute" sheetId="26" state="hidden" r:id="rId26"/>
    <sheet xmlns:r="http://schemas.openxmlformats.org/officeDocument/2006/relationships" name="Hidden_Value_Base" sheetId="27" state="hidden" r:id="rId27"/>
    <sheet xmlns:r="http://schemas.openxmlformats.org/officeDocument/2006/relationships" name="Revolver_History" sheetId="28" state="hidden" r:id="rId28"/>
    <sheet xmlns:r="http://schemas.openxmlformats.org/officeDocument/2006/relationships" name="Debt_Tranches_Latest" sheetId="29" state="hidden" r:id="rId29"/>
    <sheet xmlns:r="http://schemas.openxmlformats.org/officeDocument/2006/relationships" name="Debt_Profile" sheetId="30" state="hidden" r:id="rId30"/>
    <sheet xmlns:r="http://schemas.openxmlformats.org/officeDocument/2006/relationships" name="Debt_Credit_Notes" sheetId="31" state="hidden" r:id="rId31"/>
    <sheet xmlns:r="http://schemas.openxmlformats.org/officeDocument/2006/relationships" name="Leverage_Liquidity" sheetId="32" state="hidden" r:id="rId32"/>
    <sheet xmlns:r="http://schemas.openxmlformats.org/officeDocument/2006/relationships" name="NonGAAP_Credibility" sheetId="33" state="hidden" r:id="rId33"/>
    <sheet xmlns:r="http://schemas.openxmlformats.org/officeDocument/2006/relationships" name="Adjusted_Metrics" sheetId="34" state="hidden" r:id="rId34"/>
    <sheet xmlns:r="http://schemas.openxmlformats.org/officeDocument/2006/relationships" name="NonGAAP_Bridge" sheetId="35" state="hidden" r:id="rId35"/>
    <sheet xmlns:r="http://schemas.openxmlformats.org/officeDocument/2006/relationships" name="{ticker}_Investment_Case_Data" sheetId="36" state="hidden" r:id="rId36"/>
    <sheet xmlns:r="http://schemas.openxmlformats.org/officeDocument/2006/relationships" name="Scenario_Bridge_Tax_Treatment" sheetId="37" state="hidden" r:id="rId37"/>
    <sheet xmlns:r="http://schemas.openxmlformats.org/officeDocument/2006/relationships" name="Scenario_Driver_Assumptions" sheetId="38" state="hidden" r:id="rId38"/>
    <sheet xmlns:r="http://schemas.openxmlformats.org/officeDocument/2006/relationships" name="Debt_Maturity_Ladder" sheetId="39" state="hidden" r:id="rId39"/>
    <sheet xmlns:r="http://schemas.openxmlformats.org/officeDocument/2006/relationships" name="Debt_Buckets" sheetId="40" state="hidden" r:id="rId40"/>
    <sheet xmlns:r="http://schemas.openxmlformats.org/officeDocument/2006/relationships" name="Debt_Recon" sheetId="41" state="hidden" r:id="rId41"/>
    <sheet xmlns:r="http://schemas.openxmlformats.org/officeDocument/2006/relationships" name="Debt_Tranches_Q" sheetId="42" state="hidden" r:id="rId42"/>
    <sheet xmlns:r="http://schemas.openxmlformats.org/officeDocument/2006/relationships" name="Valuation_Grid" sheetId="43" state="hidden" r:id="rId43"/>
    <sheet xmlns:r="http://schemas.openxmlformats.org/officeDocument/2006/relationships" name="Promise_Tracker" sheetId="44" state="hidden" r:id="rId44"/>
    <sheet xmlns:r="http://schemas.openxmlformats.org/officeDocument/2006/relationships" name="Adjustments_Breakdown" sheetId="45" state="hidden" r:id="rId45"/>
    <sheet xmlns:r="http://schemas.openxmlformats.org/officeDocument/2006/relationships" name="OCR_Text_Log" sheetId="46" state="hidden" r:id="rId46"/>
  </sheets>
  <definedNames>
    <definedName name="Price">'Valuation'!$D$194</definedName>
    <definedName name="AsOfQuarter">'Valuation'!$D$195</definedName>
    <definedName name="Shares">'Valuation'!$D$196</definedName>
    <definedName name="SharesDiluted">'Valuation'!$D$197</definedName>
    <definedName name="NetDebt">'Valuation'!$D$198</definedName>
    <definedName name="Base_EBITDA">'Valuation'!$D$199</definedName>
    <definedName name="Adj_EBITDA">'Valuation'!$D$200</definedName>
    <definedName name="FCF_TTM">'Valuation'!$D$201</definedName>
    <definedName name="Adj_FCF_TTM">'Valuation'!$D$202</definedName>
    <definedName name="Revenue_TTM">'Valuation'!$D$203</definedName>
    <definedName name="EPS_TTM">'Valuation'!$D$204</definedName>
    <definedName name="Adj_EPS_TTM">'Valuation'!$D$205</definedName>
    <definedName name="BV_PerShare">'Valuation'!$D$206</definedName>
    <definedName name="TBV_PerShare">'Valuation'!$D$207</definedName>
    <definedName name="Target_EV_AdjEBITDA">'Valuation'!$D$208</definedName>
    <definedName name="Target_EV_EBITDA">'Valuation'!$D$209</definedName>
    <definedName name="Target_EV_Yield">'Valuation'!$D$210</definedName>
    <definedName name="Capex_TTM">'Valuation'!$D$211</definedName>
    <definedName name="InterestPaid_TTM">'Valuation'!$D$212</definedName>
    <definedName name="MaintCapexRatio">'Valuation'!$D$213</definedName>
    <definedName name="RecurringCashCosts">'Valuation'!$D$214</definedName>
    <definedName name="WCNormalization">'Valuation'!$D$215</definedName>
    <definedName name="PerShareMode">'Valuation'!$D$216</definedName>
    <definedName name="CompanyOperatingMargin_Latest">'Valuation'!$M$14</definedName>
    <definedName name="OperatingMargin_Latest">'Valuation'!$M$14</definedName>
    <definedName name="CompanyOperatingMargin_TTM">'Valuation'!$M$15</definedName>
    <definedName name="MarketCap">'Valuation'!$N$194</definedName>
    <definedName name="EV">'Valuation'!$N$195</definedName>
    <definedName name="Implied_EV_AdjEBITDA">'Valuation'!$N$196</definedName>
    <definedName name="Implied_EV_EBITDA">'Valuation'!$N$197</definedName>
    <definedName name="FCFF_Proxy_TTM">'Valuation'!$N$198</definedName>
    <definedName name="Implied_FCFF_Yield">'Valuation'!$N$199</definedName>
    <definedName name="Equity_FCF_Yield">'Valuation'!$N$200</definedName>
    <definedName name="OwnerEarnings_TTM">'Valuation'!$N$201</definedName>
    <definedName name="OwnerEarnings_Yield">'Valuation'!$N$202</definedName>
    <definedName name="EqShare_Target_Adj">'Valuation'!$N$203</definedName>
    <definedName name="EqShare_Target_EV">'Valuation'!$N$204</definedName>
    <definedName name="EqShare_Target_Yield">'Valuation'!$N$205</definedName>
    <definedName name="AutoImpliedGT">'Valuation'!$R$234</definedName>
    <definedName name="ImpliedGT_WACC">'Valuation'!$P$223:$P$230</definedName>
    <definedName name="ImpliedGT_Output">'Valuation'!$Q$223:$Q$230</definedName>
    <definedName name="ImpliedGT_Status">'Valuation'!$S$223:$S$230</definedName>
    <definedName name="calculation_history_quarterly_rows">'History_Q'!$A$2</definedName>
    <definedName name="summary_company_description">'SUMMARY'!$A$3</definedName>
    <definedName name="summary_key_advantage">'SUMMARY'!$A$7</definedName>
    <definedName name="summary_strategic_context">'SUMMARY'!$A$5</definedName>
    <definedName name="summary_revenue_stream_rows">'SUMMARY'!$A$9</definedName>
    <definedName name="summary_segment_model">'SUMMARY'!$A$13</definedName>
    <definedName name="summary_key_risks">'SUMMARY'!$A$17</definedName>
    <definedName name="summary_wrong_if">'SUMMARY'!$A$23</definedName>
    <definedName name="summary_as_of_quarter">'SUMMARY'!$B$26</definedName>
    <definedName name="summary_latest_net_income">'SUMMARY'!$B$30</definedName>
    <definedName name="summary_net_leverage">'SUMMARY'!$B$41</definedName>
    <definedName name="valuation_guidance_current_primary_rows">'Valuation'!$O$9</definedName>
    <definedName name="valuation_guidance_historical_rows">'Valuation'!$O$29</definedName>
    <definedName name="valuation_guidance_current_secondary_rows">'Valuation'!$O$16</definedName>
    <definedName name="valuation_thesis_debate_rows">'Valuation'!$O$51</definedName>
    <definedName name="bs_segment_quarterly_rows">'BS_Segments'!$A$61</definedName>
    <definedName name="bs_segment_annual_rows">'BS_Segments'!$A$72</definedName>
    <definedName name="od_watchlist_rows">'Operating_Drivers'!$A$6</definedName>
    <definedName name="od_current_actual_read">'Operating_Drivers'!$B$13</definedName>
    <definedName name="od_current_actual_use">'Operating_Drivers'!$H$13</definedName>
    <definedName name="od_current_guidance_read">'Operating_Drivers'!$B$14</definedName>
    <definedName name="od_current_guidance_use">'Operating_Drivers'!$H$14</definedName>
    <definedName name="od_margin_bridge_read">'Operating_Drivers'!$B$15</definedName>
    <definedName name="od_margin_bridge_use">'Operating_Drivers'!$H$15</definedName>
    <definedName name="ic_investment_summary">'{ticker}_Investment_Case'!$B$5</definedName>
    <definedName name="ic_key_debate">'{ticker}_Investment_Case'!$B$7</definedName>
    <definedName name="ic_why_it_can_work">'{ticker}_Investment_Case'!$B$6</definedName>
    <definedName name="ic_upside_factors">'{ticker}_Investment_Case'!$B$8</definedName>
    <definedName name="ic_downside_factors">'{ticker}_Investment_Case'!$B$9</definedName>
    <definedName name="ic_watch_next">'{ticker}_Investment_Case'!$B$10</definedName>
    <definedName name="ic_current_stance">'{ticker}_Investment_Case'!$B$11</definedName>
    <definedName name="ic_bull_base_bear_rows">'Scenario_Driver_Assumptions'!$A$2</definedName>
    <definedName name="ic_scenario_bridge_rows">'{ticker}_Investment_Case_Data'!$A$2</definedName>
    <definedName name="qn_quarter_note_rows">'Quarter_Notes_UI'!$A$10</definedName>
    <definedName name="qn_quarter_summary_rows">'Quarter_Notes_UI'!$B$3</definedName>
    <definedName name="qn_quarter_summary_what_changed">'Quarter_Notes_UI'!$B$4</definedName>
    <definedName name="qn_quarter_summary_watch_next">'Quarter_Notes_UI'!$B$5</definedName>
    <definedName name="qn_quarter_summary_key_caveat">'Quarter_Notes_UI'!$B$6</definedName>
    <definedName name="pp_progress_fy2025_rows">'Promise_Progress_UI'!$A$13</definedName>
    <definedName name="pp_progress_fy2024_rows">'Promise_Progress_UI'!$A$24</definedName>
    <definedName name="pp_current_secondary_guidance_rows">'Promise_Progress_UI'!$A$39</definedName>
    <definedName name="pp_guidance_timeline_rows">'Promise_Progress_UI'!$A$61</definedName>
    <definedName name="hidden_value_base_rows">'Hidden_Value_Base'!$A$2</definedName>
    <definedName name="hidden_value_audit_rows">'Hidden_Value_Audit'!$A$2</definedName>
    <definedName name="hidden_value_recompute_rows">'Hidden_Value_Recompute'!$A$2</definedName>
    <definedName name="hidden_value_flags_rows">'Hidden_Value_Flags'!$A$2</definedName>
    <definedName name="hidden_value_valuation_rows">'Valuation'!$A$139</definedName>
    <definedName name="qa_log_validation_rows">'QA_Log'!$A$2</definedName>
    <definedName name="needs_review_validation_rows">'Needs_Review'!$A$2</definedName>
    <definedName name="qa_checks_mapping_gap_rows">'QA_Checks'!$A$2</definedName>
    <definedName name="summary_latest_revenue">'SUMMARY'!$B$28</definedName>
    <definedName name="summary_revenue_mix_label">'SUMMARY'!$A$8</definedName>
    <definedName name="summary_liquidity">'SUMMARY'!$B$45</definedName>
    <definedName name="summary_liquidity_as_of">'SUMMARY'!$D$45</definedName>
    <definedName name="summary_revolver_availability">'SUMMARY'!$B$44</definedName>
    <definedName name="summary_revolver_availability_as_of">'SUMMARY'!$D$44</definedName>
    <definedName name="valuation_debt_snapshot_cash_value">'Valuation'!$B$124</definedName>
    <definedName name="valuation_debt_snapshot_cash_as_of">'Valuation'!$D$124</definedName>
    <definedName name="valuation_debt_snapshot_cash_evidence">'Valuation'!$F$124</definedName>
    <definedName name="valuation_debt_snapshot_cash_status">'Valuation'!$E$124</definedName>
    <definedName name="valuation_debt_snapshot_revolver_value">'Valuation'!$B$125</definedName>
    <definedName name="valuation_debt_snapshot_revolver_as_of">'Valuation'!$D$125</definedName>
    <definedName name="valuation_debt_snapshot_revolver_evidence">'Valuation'!$F$125</definedName>
    <definedName name="valuation_debt_snapshot_revolver_status">'Valuation'!$E$125</definedName>
    <definedName name="valuation_debt_snapshot_liquidity_value">'Valuation'!$B$126</definedName>
    <definedName name="valuation_debt_snapshot_liquidity_as_of">'Valuation'!$D$126</definedName>
    <definedName name="valuation_debt_snapshot_liquidity_evidence">'Valuation'!$F$126</definedName>
    <definedName name="valuation_debt_snapshot_liquidity_status">'Valuation'!$E$126</definedName>
    <definedName name="valuation_debt_snapshot_leases_value">'Valuation'!$B$127</definedName>
    <definedName name="valuation_debt_snapshot_leases_as_of">'Valuation'!$D$127</definedName>
    <definedName name="valuation_debt_snapshot_leases_evidence">'Valuation'!$F$127</definedName>
    <definedName name="valuation_debt_snapshot_leases_status">'Valuation'!$E$127</definedName>
    <definedName name="valuation_debt_snapshot_core_debt_value">'Valuation'!$B$128</definedName>
    <definedName name="valuation_debt_snapshot_core_debt_as_of">'Valuation'!$D$128</definedName>
    <definedName name="valuation_debt_snapshot_core_debt_evidence">'Valuation'!$F$128</definedName>
    <definedName name="valuation_debt_snapshot_core_debt_status">'Valuation'!$E$128</definedName>
    <definedName name="valuation_debt_snapshot_net_debt_value">'Valuation'!$B$129</definedName>
    <definedName name="valuation_debt_snapshot_net_debt_as_of">'Valuation'!$D$129</definedName>
    <definedName name="valuation_debt_snapshot_net_debt_evidence">'Valuation'!$F$129</definedName>
    <definedName name="valuation_debt_snapshot_net_debt_status">'Valuation'!$E$129</definedName>
    <definedName name="valuation_debt_snapshot_net_leverage_value">'Valuation'!$B$130</definedName>
    <definedName name="valuation_debt_snapshot_net_leverage_as_of">'Valuation'!$D$130</definedName>
    <definedName name="valuation_debt_snapshot_net_leverage_evidence">'Valuation'!$F$130</definedName>
    <definedName name="valuation_debt_snapshot_net_leverage_status">'Valuation'!$E$130</definedName>
    <definedName name="ic_investment_case_title">'{ticker}_Investment_Case'!$A$1</definedName>
    <definedName name="valuation_period_headers">'Valuation'!$B$6</definedName>
    <definedName name="valuation_revenue_series">'Valuation'!$B$9</definedName>
    <definedName name="valuation_ebitda_series">'Valuation'!$B$18</definedName>
    <definedName name="valuation_adjusted_ebitda_series">'Valuation'!$B$24</definedName>
    <definedName name="valuation_operating_income_series">'Valuation'!$B$32</definedName>
    <definedName name="valuation_net_income_series">'Valuation'!$B$36</definedName>
    <definedName name="valuation_operating_cash_flow_series">'Valuation'!$B$43</definedName>
    <definedName name="valuation_capital_expenditures_series">'Valuation'!$B$44</definedName>
    <definedName name="valuation_interest_paid_series">'Valuation'!$B$59</definedName>
    <definedName name="valuation_buybacks_cash_series">'Valuation'!$B$62</definedName>
    <definedName name="valuation_cash_series">'Valuation'!$B$70</definedName>
    <definedName name="valuation_marketable_securities_series">'Valuation'!$B$71</definedName>
    <definedName name="valuation_debt_core_series">'Valuation'!$B$72</definedName>
    <definedName name="valuation_lease_liabilities_series">'Valuation'!$B$79</definedName>
    <definedName name="valuation_pension_obligation_net_series">'Valuation'!$B$82</definedName>
    <definedName name="valuation_revolver_availability_series">'Valuation'!$B$95</definedName>
    <definedName name="valuation_diluted_shares_series">'Valuation'!$B$102</definedName>
    <definedName name="valuation_shares_outstanding_series">'Valuation'!$B$103</definedName>
    <definedName name="valuation_eps_series">'Valuation'!$B$107</definedName>
    <definedName name="valuation_adjusted_eps_series">'Valuation'!$B$110</definedName>
    <definedName name="valuation_gross_profit_series">'Valuation'!$B$262</definedName>
    <definedName name="valuation_interest_expense_series">'Valuation'!$B$263</definedName>
    <definedName name="valuation_dividends_cash_series">'Valuation'!$B$264</definedName>
    <definedName name="valuation_acquisitions_cash_series">'Valuation'!$B$265</definedName>
    <definedName name="valuation_debt_repayment_series">'Valuation'!$B$266</definedName>
    <definedName name="valuation_debt_issuance_series">'Valuation'!$B$267</definedName>
    <definedName name="valuation_total_equity_series">'Valuation'!$B$268</definedName>
    <definedName name="valuation_goodwill_series">'Valuation'!$B$269</definedName>
    <definedName name="valuation_intangibles_series">'Valuation'!$B$270</definedName>
    <definedName name="bs_quarterly_period_headers">'BS_Segments'!$B$7</definedName>
    <definedName name="bs_cash_series">'BS_Segments'!$B$9</definedName>
    <definedName name="bs_restricted_cash_series">'BS_Segments'!$B$10</definedName>
    <definedName name="bs_marketable_securities_series">'BS_Segments'!$B$13</definedName>
    <definedName name="bs_accounts_receivable_series">'BS_Segments'!$B$14</definedName>
    <definedName name="bs_inventory_series">'BS_Segments'!$B$15</definedName>
    <definedName name="bs_current_assets_series">'BS_Segments'!$B$18</definedName>
    <definedName name="bs_property_plant_equipment_net_series">'BS_Segments'!$B$19</definedName>
    <definedName name="bs_goodwill_series">'BS_Segments'!$B$22</definedName>
    <definedName name="bs_intangibles_series">'BS_Segments'!$B$23</definedName>
    <definedName name="bs_other_assets_noncurrent_series">'BS_Segments'!$B$24</definedName>
    <definedName name="bs_total_assets_series">'BS_Segments'!$B$25</definedName>
    <definedName name="bs_accounts_payable_series">'BS_Segments'!$B$28</definedName>
    <definedName name="bs_accrued_liabilities_series">'BS_Segments'!$B$29</definedName>
    <definedName name="bs_short_term_borrowings_series">'BS_Segments'!$B$32</definedName>
    <definedName name="bs_debt_current_series">'BS_Segments'!$B$33</definedName>
    <definedName name="bs_lease_liabilities_current_series">'BS_Segments'!$B$34</definedName>
    <definedName name="bs_current_liabilities_series">'BS_Segments'!$B$35</definedName>
    <definedName name="bs_debt_core_series">'BS_Segments'!$B$40</definedName>
    <definedName name="bs_lease_liabilities_noncurrent_series">'BS_Segments'!$B$42</definedName>
    <definedName name="bs_pension_obligation_net_series">'BS_Segments'!$B$43</definedName>
    <definedName name="bs_other_liabilities_noncurrent_series">'BS_Segments'!$B$44</definedName>
    <definedName name="bs_total_liabilities_series">'BS_Segments'!$B$45</definedName>
    <definedName name="bs_total_equity_series">'BS_Segments'!$B$47</definedName>
    <definedName name="bs_shares_outstanding_series">'BS_Segments'!$B$48</definedName>
    <definedName name="bs_diluted_shares_series">'BS_Segments'!$B$49</definedName>
    <definedName name="bs_annual_period_headers">'BS_Segments'!$B$70</definedName>
    <definedName name="bs_annual_revenue_series">'BS_Segments'!$B$71</definedName>
    <definedName name="valuation_input_as_of">'Valuation'!$D$195</definedName>
    <definedName name="valuation_input_shares_outstanding">'Valuation'!$D$196</definedName>
    <definedName name="valuation_input_diluted_shares">'Valuation'!$D$197</definedName>
    <definedName name="valuation_input_net_debt">'Valuation'!$D$198</definedName>
    <definedName name="valuation_input_base_ebitda_ttm">'Valuation'!$D$199</definedName>
    <definedName name="valuation_input_adjusted_ebitda_ttm">'Valuation'!$D$200</definedName>
    <definedName name="valuation_input_fcf_ttm">'Valuation'!$D$201</definedName>
    <definedName name="valuation_input_operating_cash_flow_ttm">'Valuation'!$D$202</definedName>
    <definedName name="valuation_input_revenue_ttm">'Valuation'!$D$203</definedName>
    <definedName name="valuation_input_eps_ttm">'Valuation'!$D$204</definedName>
    <definedName name="valuation_input_adjusted_eps_ttm">'Valuation'!$D$205</definedName>
    <definedName name="valuation_input_book_value_per_share">'Valuation'!$D$206</definedName>
    <definedName name="valuation_input_tangible_book_value_per_share">'Valuation'!$D$207</definedName>
    <definedName name="valuation_input_capex_ttm">'Valuation'!$D$211</definedName>
    <definedName name="valuation_input_interest_paid_ttm">'Valuation'!$D$212</definedName>
    <definedName name="debt_profile_resolved_rows">'Debt_Profile'!$A$4</definedName>
    <definedName name="revolver_history_resolved_rows">'Revolver_History'!$A$4</definedName>
    <definedName name="revolver_history_companion_rows">'Revolver_History'!$L$4</definedName>
    <definedName name="leverage_liquidity_resolved_rows">'Leverage_Liquidity'!$A$4</definedName>
    <definedName name="leverage_liquidity_availability_rows">'Leverage_Liquidity'!$G$4</definedName>
    <definedName name="leverage_liquidity_companion_rows">'Leverage_Liquidity'!$L$4</definedName>
    <definedName name="debt_credit_notes_resolved_rows">'Debt_Credit_Notes'!$A$4</definedName>
    <definedName name="debt_maturity_ladder_resolved_rows">'Debt_Maturity_Ladder'!$A$4</definedName>
    <definedName name="valuation_input_net_income_ttm">'Valuation'!$D$217</definedName>
    <definedName name="summary_company_overview_anchor">'SUMMARY'!$A$3</definedName>
    <definedName name="summary_key_financials_anchor">'SUMMARY'!$A$26</definedName>
    <definedName name="summary_leverage_liquidity_anchor">'SUMMARY'!$A$41</definedName>
    <definedName name="valuation_actuals_anchor">'Valuation'!$A$6</definedName>
    <definedName name="valuation_share_count_anchor">'Valuation'!$A$102</definedName>
    <definedName name="valuation_debt_anchor">'Valuation'!$A$124</definedName>
    <definedName name="bs_liquidity_anchor">'BS_Segments'!$A$9</definedName>
    <definedName name="operating_drivers_watchlist_anchor">'Operating_Drivers'!$A$6</definedName>
    <definedName name="investment_snapshot_anchor">'{ticker}_Investment_Case'!$A$5</definedName>
    <definedName name="investment_key_debate_anchor">'{ticker}_Investment_Case'!$A$7</definedName>
    <definedName name="quarter_notes_blocks_anchor">'Quarter_Notes_UI'!$A$10</definedName>
    <definedName name="promise_open_guidance_anchor">'Promise_Progress_UI'!$A$39</definedName>
    <definedName name="promise_primary_revision_anchor">'Promise_Progress_UI'!$A$61</definedName>
    <definedName name="qa_log_rows_anchor">'QA_Log'!$A$1</definedName>
    <definedName name="needs_review_rows_anchor">'Needs_Review'!$A$1</definedName>
    <definedName name="qa_checks_rows_anchor">'QA_Checks'!$A$1</definedName>
    <definedName name="ResolvedRevenueGrowth_Bear">'Valuation_Summary'!$H$2</definedName>
    <definedName name="ResolvedRevenueGrowth_Base">'Valuation_Summary'!$I$2</definedName>
    <definedName name="ResolvedRevenueGrowth_Bull">'Valuation_Summary'!$J$2</definedName>
    <definedName name="ResolvedRevenueGrowth_Custom">'Valuation_Summary'!$K$2</definedName>
    <definedName name="NetIncome_TTM">'Valuation'!$D$217</definedName>
    <definedName name="Target_EV_Revenue">'Valuation'!$D$218</definedName>
    <definedName name="Target_PE">'Valuation'!$D$219</definedName>
    <definedName name="DCF_Horizon">'Valuation'!$D$220</definedName>
    <definedName name="DCF_FCFF">'Valuation'!$J$218</definedName>
    <definedName name="DCF_Growth">'Valuation'!$J$219</definedName>
    <definedName name="DCF_TerminalGrowth">'Valuation'!$J$220</definedName>
    <definedName name="DCF_WACC">'Valuation'!$J$221</definedName>
    <definedName name="DCF_EV">'Valuation'!$J$222</definedName>
    <definedName name="DCF_ImpliedPrice">'Valuation'!$J$223</definedName>
    <definedName name="ScenarioProfile">'Valuation'!$E$236</definedName>
    <definedName name="ScenarioHorizon">'Valuation'!$J$236</definedName>
    <definedName name="ScenarioGrowth">'Valuation'!$E$237</definedName>
    <definedName name="ScenarioBaseMargin">'Valuation'!$E$238</definedName>
    <definedName name="ScenarioAdjustedMargin">'Valuation'!$E$239</definedName>
    <definedName name="ScenarioTaxRate">'Valuation'!$E$240</definedName>
    <definedName name="ScenarioPreTaxBridge">'Valuation'!$D$247</definedName>
    <definedName name="ScenarioTaxTreatment">'Valuation'!$E$247</definedName>
    <definedName name="ScenarioCashInterestChange">'Valuation'!$D$248</definedName>
    <definedName name="ScenarioInterestTaxTreatment">'Valuation'!$E$248</definedName>
    <definedName name="ScenarioCapexChange">'Valuation'!$D$249</definedName>
    <definedName name="ScenarioWCAdjustment">'Valuation'!$D$250</definedName>
    <definedName name="ScenarioBuybackCash">'Valuation'!$D$253</definedName>
    <definedName name="ScenarioBuybackPrice">'Valuation'!$D$254</definedName>
    <definedName name="ScenarioShareIssuance">'Valuation'!$D$255</definedName>
    <definedName name="ScenarioDebtPaydown">'Valuation'!$D$256</definedName>
    <definedName name="ScenarioRevenue">'Valuation'!$E$241</definedName>
    <definedName name="ScenarioBaseEBITDA">'Valuation'!$E$242</definedName>
    <definedName name="ScenarioAdjustedEBITDA">'Valuation'!$E$243</definedName>
    <definedName name="ScenarioFCF">'Valuation'!$E$244</definedName>
    <definedName name="ScenarioShares">'Valuation'!$E$259</definedName>
    <definedName name="ScenarioNetDebt">'Valuation'!$E$260</definedName>
    <definedName name="ScenarioEPS">'Valuation'!$E$261</definedName>
    <definedName name="ScenarioEV">'Valuation'!$J$259</definedName>
    <definedName name="ScenarioEquityValue">'Valuation'!$J$260</definedName>
    <definedName name="ScenarioImpliedPrice">'Valuation'!$J$261</definedName>
    <definedName name="ScenarioUpside">'Valuation'!$N$259</definedName>
    <definedName name="ScenarioPE">'Valuation'!$N$260</definedName>
    <definedName name="ScenarioFCFYield">'Valuation'!$N$261</definedName>
    <definedName name="ScenarioEVRevenue">'Valuation'!$R$259</definedName>
    <definedName name="ScenarioEVBaseEBITDA">'Valuation'!$R$260</definedName>
    <definedName name="ScenarioEVAdjustedEBITDA">'Valuation'!$R$261</definedName>
    <definedName name="HV_Base_MetricKey">'Hidden_Value_Base'!$A$2:$A$5001</definedName>
    <definedName name="HV_Base_Value">'Hidden_Value_Base'!$C$2:$C$5001</definedName>
    <definedName name="HV_Base_Status">'Hidden_Value_Base'!$I$2:$I$5001</definedName>
    <definedName name="HV_Recompute_CandidateKey">'Hidden_Value_Recompute'!$AF$2:$AF$8</definedName>
    <definedName name="HV_Recompute_RowParity">'Hidden_Value_Recompute'!$AD$2:$AD$92</definedName>
    <definedName name="HV_Recompute_CandidateParity">'Hidden_Value_Recompute'!$AX$2:$AX$8</definedName>
    <definedName name="HV_Flags_CandidateKey">'Hidden_Value_Flags'!$B$2:$B$8</definedName>
    <definedName name="HV_Flags_Score">'Hidden_Value_Flags'!$E$2:$E$8</definedName>
    <definedName name="HV_Flags_State">'Hidden_Value_Flags'!$G$2:$G$8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22">
    <numFmt numFmtId="164" formatCode="yyyy-mm-dd"/>
    <numFmt numFmtId="165" formatCode="#,##0.000"/>
    <numFmt numFmtId="166" formatCode="0.0%"/>
    <numFmt numFmtId="167" formatCode="0.000"/>
    <numFmt numFmtId="168" formatCode="$#,##0.00"/>
    <numFmt numFmtId="169" formatCode="#,##0.0"/>
    <numFmt numFmtId="170" formatCode="$0.00"/>
    <numFmt numFmtId="171" formatCode="0.0x"/>
    <numFmt numFmtId="172" formatCode="0 &quot;bps&quot;"/>
    <numFmt numFmtId="173" formatCode="$0"/>
    <numFmt numFmtId="174" formatCode="0.00x"/>
    <numFmt numFmtId="175" formatCode="0.0"/>
    <numFmt numFmtId="176" formatCode="yyyy-mm-dd h:mm:ss"/>
    <numFmt numFmtId="177" formatCode="#,##0.0;-#,##0.0"/>
    <numFmt numFmtId="178" formatCode="0.00x;-0.00x"/>
    <numFmt numFmtId="179" formatCode="#,##0.0;-#,##0.0"/>
    <numFmt numFmtId="180" formatCode="0.0%;-0.0%"/>
    <numFmt numFmtId="181" formatCode="0.000;-0.000"/>
    <numFmt numFmtId="182" formatCode="$0.00;-$0.00"/>
    <numFmt numFmtId="183" formatCode="$#,##0.00;-$#,##0.00"/>
    <numFmt numFmtId="184" formatCode="#,##0.000;-#,##0.000"/>
    <numFmt numFmtId="185" formatCode="0.0000000000"/>
  </numFmts>
  <fonts count="48">
    <font>
      <name val="Calibri"/>
      <family val="2"/>
      <color theme="1"/>
      <sz val="11"/>
      <scheme val="minor"/>
    </font>
    <font>
      <b val="1"/>
      <color rgb="00FFFFFF"/>
      <sz val="15"/>
    </font>
    <font>
      <b val="1"/>
      <sz val="13"/>
    </font>
    <font>
      <sz val="12"/>
    </font>
    <font>
      <b val="1"/>
      <sz val="12"/>
    </font>
    <font>
      <b val="1"/>
      <color rgb="00FFFFFF"/>
      <sz val="13"/>
    </font>
    <font>
      <b val="1"/>
      <sz val="11"/>
    </font>
    <font>
      <b val="1"/>
      <color rgb="001F1F1F"/>
      <sz val="13"/>
    </font>
    <font>
      <b val="1"/>
      <color rgb="001F1F1F"/>
      <sz val="11"/>
    </font>
    <font>
      <b val="1"/>
      <color rgb="000070C0"/>
      <sz val="12"/>
    </font>
    <font>
      <sz val="11"/>
    </font>
    <font>
      <i val="1"/>
      <color rgb="004B5563"/>
      <sz val="11"/>
    </font>
    <font>
      <b val="1"/>
      <color rgb="00FFFFFF"/>
      <sz val="12"/>
    </font>
    <font>
      <b val="1"/>
      <color rgb="001F2933"/>
      <sz val="12"/>
    </font>
    <font>
      <color rgb="001F2933"/>
      <sz val="12"/>
    </font>
    <font>
      <color rgb="000000FF"/>
      <sz val="12"/>
    </font>
    <font>
      <color rgb="00000000"/>
      <sz val="12"/>
    </font>
    <font>
      <name val="Calibri"/>
      <family val="2"/>
      <color theme="1"/>
      <sz val="12"/>
      <scheme val="minor"/>
    </font>
    <font>
      <b val="1"/>
      <color rgb="001F1F1F"/>
      <sz val="12"/>
    </font>
    <font>
      <i val="1"/>
      <color rgb="004B5563"/>
      <sz val="12"/>
    </font>
    <font>
      <name val="Calibri"/>
      <family val="2"/>
      <b val="1"/>
      <color theme="1"/>
      <sz val="13"/>
      <scheme val="minor"/>
    </font>
    <font>
      <i val="1"/>
      <color rgb="00666666"/>
      <sz val="10"/>
    </font>
    <font>
      <name val="Calibri"/>
      <color theme="1"/>
      <sz val="12"/>
    </font>
    <font>
      <color rgb="001F1F1F"/>
      <sz val="12"/>
    </font>
    <font>
      <b val="1"/>
      <color rgb="00274B78"/>
      <sz val="13"/>
    </font>
    <font>
      <b val="1"/>
      <color rgb="00274B78"/>
      <sz val="12"/>
    </font>
    <font>
      <i val="1"/>
      <color rgb="005E6F82"/>
      <sz val="10"/>
    </font>
    <font>
      <b val="1"/>
      <color rgb="00FFFFFF"/>
      <sz val="16"/>
    </font>
    <font>
      <i val="1"/>
      <color rgb="0052616B"/>
      <sz val="9"/>
    </font>
    <font>
      <b val="1"/>
      <color rgb="001F2933"/>
      <sz val="11"/>
    </font>
    <font>
      <color rgb="001F2933"/>
      <sz val="10"/>
    </font>
    <font>
      <b val="1"/>
      <color rgb="001F2933"/>
    </font>
    <font>
      <color rgb="00000000"/>
      <sz val="13"/>
    </font>
    <font>
      <color rgb="00000000"/>
      <sz val="11"/>
    </font>
    <font>
      <i val="1"/>
      <color rgb="00666666"/>
      <sz val="11"/>
    </font>
    <font>
      <color rgb="001F1F1F"/>
      <sz val="11"/>
    </font>
    <font>
      <i val="1"/>
      <color rgb="005E6F82"/>
      <sz val="9"/>
    </font>
    <font>
      <b val="1"/>
      <color rgb="00FFFFFF"/>
      <sz val="14"/>
    </font>
    <font>
      <b val="1"/>
      <color rgb="001F4E78"/>
      <sz val="13"/>
    </font>
    <font>
      <color rgb="001F1F1F"/>
      <sz val="14"/>
    </font>
    <font>
      <b val="1"/>
      <color rgb="001F4E78"/>
      <sz val="14"/>
    </font>
    <font>
      <b val="1"/>
      <color rgb="00000000"/>
      <sz val="13"/>
    </font>
    <font>
      <b val="1"/>
      <color rgb="00FFFFFF"/>
    </font>
    <font>
      <b val="1"/>
      <color rgb="00FFFFFF"/>
      <sz val="18"/>
    </font>
    <font>
      <b val="1"/>
      <color rgb="00000000"/>
      <sz val="11"/>
    </font>
    <font>
      <b val="1"/>
      <color rgb="00000000"/>
      <sz val="12"/>
    </font>
    <font>
      <name val="Aptos"/>
      <b val="1"/>
      <color rgb="00FFFFFF"/>
      <sz val="10"/>
    </font>
    <font>
      <name val="Aptos Display"/>
      <b val="1"/>
      <color rgb="00FFFFFF"/>
      <sz val="14"/>
    </font>
  </fonts>
  <fills count="34">
    <fill>
      <patternFill/>
    </fill>
    <fill>
      <patternFill patternType="gray125"/>
    </fill>
    <fill>
      <patternFill patternType="solid">
        <fgColor rgb="005B9BD5"/>
      </patternFill>
    </fill>
    <fill>
      <patternFill patternType="solid">
        <fgColor rgb="00D9EAF7"/>
      </patternFill>
    </fill>
    <fill>
      <patternFill patternType="solid">
        <fgColor rgb="00EDF4FB"/>
      </patternFill>
    </fill>
    <fill>
      <patternFill patternType="solid">
        <fgColor rgb="006FA8DC"/>
      </patternFill>
    </fill>
    <fill>
      <patternFill patternType="solid">
        <fgColor rgb="00A63A00"/>
      </patternFill>
    </fill>
    <fill>
      <patternFill patternType="solid">
        <fgColor rgb="00D55E00"/>
      </patternFill>
    </fill>
    <fill>
      <patternFill patternType="solid">
        <fgColor rgb="00DDDDDD"/>
      </patternFill>
    </fill>
    <fill>
      <patternFill patternType="solid">
        <fgColor rgb="009BD3F5"/>
      </patternFill>
    </fill>
    <fill>
      <patternFill patternType="solid">
        <fgColor rgb="002F80ED"/>
      </patternFill>
    </fill>
    <fill>
      <patternFill patternType="solid">
        <fgColor rgb="00EAF3FB"/>
      </patternFill>
    </fill>
    <fill>
      <patternFill patternType="solid">
        <fgColor rgb="00D9E7F3"/>
      </patternFill>
    </fill>
    <fill>
      <patternFill patternType="solid">
        <fgColor rgb="00EDF4FA"/>
      </patternFill>
    </fill>
    <fill>
      <patternFill patternType="solid">
        <fgColor rgb="00FFF2CC"/>
      </patternFill>
    </fill>
    <fill>
      <patternFill patternType="solid">
        <fgColor rgb="00D9EAD3"/>
      </patternFill>
    </fill>
    <fill>
      <patternFill patternType="solid">
        <fgColor rgb="00F7FAFC"/>
      </patternFill>
    </fill>
    <fill>
      <patternFill patternType="solid">
        <fgColor rgb="00F2F2F2"/>
      </patternFill>
    </fill>
    <fill>
      <patternFill patternType="solid">
        <fgColor rgb="00F4CCCC"/>
      </patternFill>
    </fill>
    <fill>
      <patternFill patternType="solid">
        <fgColor rgb="00FFFFFF"/>
      </patternFill>
    </fill>
    <fill>
      <patternFill patternType="solid">
        <fgColor rgb="00F7F9FC"/>
      </patternFill>
    </fill>
    <fill>
      <patternFill patternType="solid">
        <fgColor rgb="004472C4"/>
      </patternFill>
    </fill>
    <fill>
      <patternFill patternType="solid">
        <fgColor rgb="00F2F6FA"/>
      </patternFill>
    </fill>
    <fill>
      <patternFill patternType="solid">
        <fgColor rgb="00EAF3F8"/>
      </patternFill>
    </fill>
    <fill>
      <patternFill patternType="solid">
        <fgColor rgb="00DDEBF7"/>
      </patternFill>
    </fill>
    <fill>
      <patternFill patternType="solid">
        <fgColor rgb="0066C2A5"/>
      </patternFill>
    </fill>
    <fill>
      <patternFill patternType="solid">
        <fgColor rgb="00E69F00"/>
      </patternFill>
    </fill>
    <fill>
      <patternFill patternType="solid">
        <fgColor rgb="00CC79A7"/>
      </patternFill>
    </fill>
    <fill>
      <patternFill patternType="solid">
        <fgColor rgb="00A6CEE3"/>
      </patternFill>
    </fill>
    <fill>
      <patternFill patternType="solid">
        <fgColor rgb="0056B4E9"/>
      </patternFill>
    </fill>
    <fill>
      <patternFill patternType="solid">
        <fgColor rgb="00009E73"/>
      </patternFill>
    </fill>
    <fill>
      <patternFill patternType="solid">
        <fgColor rgb="00F7FBFF"/>
      </patternFill>
    </fill>
    <fill>
      <patternFill patternType="solid">
        <fgColor rgb="00F6F9FC"/>
      </patternFill>
    </fill>
    <fill>
      <patternFill patternType="solid">
        <fgColor rgb="001F4E78"/>
      </patternFill>
    </fill>
  </fills>
  <borders count="55">
    <border>
      <left/>
      <right/>
      <top/>
      <bottom/>
      <diagonal/>
    </border>
    <border>
      <left style="thin">
        <color rgb="00AAB7C4"/>
      </left>
      <right style="thin">
        <color rgb="00AAB7C4"/>
      </right>
      <top style="thick">
        <color rgb="005E6F82"/>
      </top>
      <bottom style="thin">
        <color rgb="00AAB7C4"/>
      </bottom>
    </border>
    <border>
      <left style="thin">
        <color rgb="00AAB7C4"/>
      </left>
      <right style="thin">
        <color rgb="00AAB7C4"/>
      </right>
      <top style="thin">
        <color rgb="00AAB7C4"/>
      </top>
      <bottom style="thin">
        <color rgb="00AAB7C4"/>
      </bottom>
    </border>
    <border>
      <left/>
      <right/>
      <top style="thin">
        <color rgb="00AAB7C4"/>
      </top>
      <bottom/>
      <diagonal/>
    </border>
    <border>
      <left/>
      <right style="thin">
        <color rgb="00AAB7C4"/>
      </right>
      <top style="thin">
        <color rgb="00AAB7C4"/>
      </top>
      <bottom/>
      <diagonal/>
    </border>
    <border>
      <left/>
      <right/>
      <top style="thin">
        <color rgb="00AAB7C4"/>
      </top>
      <bottom style="thin">
        <color rgb="00AAB7C4"/>
      </bottom>
      <diagonal/>
    </border>
    <border>
      <left/>
      <right style="thin">
        <color rgb="00AAB7C4"/>
      </right>
      <top style="thin">
        <color rgb="00AAB7C4"/>
      </top>
      <bottom style="thin">
        <color rgb="00AAB7C4"/>
      </bottom>
      <diagonal/>
    </border>
    <border>
      <left/>
      <right/>
      <top style="thick">
        <color rgb="00000000"/>
      </top>
      <bottom/>
    </border>
    <border>
      <left/>
      <right/>
      <top style="thick">
        <color rgb="00000000"/>
      </top>
      <bottom/>
      <diagonal/>
    </border>
    <border/>
    <border>
      <left style="medium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</border>
    <border>
      <left style="thin">
        <color rgb="00D9E2EA"/>
      </left>
      <right style="thin">
        <color rgb="00D9E2EA"/>
      </right>
      <top style="thin">
        <color rgb="00D9E2EA"/>
      </top>
      <bottom style="thin">
        <color rgb="00D9E2EA"/>
      </bottom>
    </border>
    <border>
      <left/>
      <right/>
      <top style="thin">
        <color rgb="00D9E2EA"/>
      </top>
      <bottom/>
      <diagonal/>
    </border>
    <border>
      <left/>
      <right style="thin">
        <color rgb="00D9E2EA"/>
      </right>
      <top style="thin">
        <color rgb="00D9E2EA"/>
      </top>
      <bottom/>
      <diagonal/>
    </border>
    <border>
      <left/>
      <right/>
      <top style="thin">
        <color rgb="00D9E2EA"/>
      </top>
      <bottom style="thin">
        <color rgb="00D9E2EA"/>
      </bottom>
      <diagonal/>
    </border>
    <border>
      <left/>
      <right style="thin">
        <color rgb="00D9E2EA"/>
      </right>
      <top style="thin">
        <color rgb="00D9E2EA"/>
      </top>
      <bottom style="thin">
        <color rgb="00D9E2EA"/>
      </bottom>
      <diagonal/>
    </border>
    <border>
      <top style="thin">
        <color rgb="00D9E2EA"/>
      </top>
      <bottom style="thin">
        <color rgb="00D9E2EA"/>
      </bottom>
    </border>
    <border>
      <right style="thick"/>
    </border>
    <border>
      <left/>
      <right style="thick">
        <color rgb="00000000"/>
      </right>
      <top/>
      <bottom/>
    </border>
    <border>
      <left/>
      <right/>
      <top/>
      <bottom style="thick">
        <color rgb="00000000"/>
      </bottom>
    </border>
    <border>
      <left/>
      <right style="thick">
        <color rgb="00000000"/>
      </right>
      <top/>
      <bottom style="thick">
        <color rgb="00000000"/>
      </bottom>
    </border>
    <border>
      <left/>
      <right style="thick">
        <color rgb="00000000"/>
      </right>
      <top style="thick">
        <color rgb="00000000"/>
      </top>
      <bottom/>
    </border>
    <border>
      <top style="thin">
        <color rgb="00B8CCE4"/>
      </top>
    </border>
    <border>
      <bottom style="thin">
        <color rgb="00AAB7C4"/>
      </bottom>
    </border>
    <border>
      <left/>
      <right/>
      <top/>
      <bottom style="thin">
        <color rgb="00AAB7C4"/>
      </bottom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  <border>
      <left/>
      <right/>
      <top style="thin">
        <color rgb="00D9E2F3"/>
      </top>
      <bottom/>
      <diagonal/>
    </border>
    <border>
      <left/>
      <right style="thin">
        <color rgb="00D9E2F3"/>
      </right>
      <top style="thin">
        <color rgb="00D9E2F3"/>
      </top>
      <bottom/>
      <diagonal/>
    </border>
    <border>
      <left/>
      <right/>
      <top style="thin">
        <color rgb="00D9E2F3"/>
      </top>
      <bottom style="thin">
        <color rgb="00D9E2F3"/>
      </bottom>
      <diagonal/>
    </border>
    <border>
      <left/>
      <right style="thin">
        <color rgb="00D9E2F3"/>
      </right>
      <top style="thin">
        <color rgb="00D9E2F3"/>
      </top>
      <bottom style="thin">
        <color rgb="00D9E2F3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bottom style="thin">
        <color rgb="00D9E2EF"/>
      </bottom>
    </border>
    <border>
      <left/>
      <right/>
      <top/>
      <bottom style="thin">
        <color rgb="00D9E2EF"/>
      </bottom>
      <diagonal/>
    </border>
    <border>
      <right/>
      <bottom style="thin">
        <color rgb="00D9E2EF"/>
      </bottom>
    </border>
    <border>
      <left/>
      <right/>
      <top style="thick">
        <color rgb="005E6F82"/>
      </top>
      <bottom/>
      <diagonal/>
    </border>
    <border>
      <left/>
      <right style="thin">
        <color rgb="00AAB7C4"/>
      </right>
      <top style="thick">
        <color rgb="005E6F82"/>
      </top>
      <bottom/>
      <diagonal/>
    </border>
    <border>
      <left/>
      <right/>
      <top style="thick">
        <color rgb="005E6F82"/>
      </top>
      <bottom style="thin">
        <color rgb="00AAB7C4"/>
      </bottom>
      <diagonal/>
    </border>
    <border>
      <left/>
      <right style="thin">
        <color rgb="00AAB7C4"/>
      </right>
      <top style="thick">
        <color rgb="005E6F82"/>
      </top>
      <bottom style="thin">
        <color rgb="00AAB7C4"/>
      </bottom>
      <diagonal/>
    </border>
    <border>
      <right/>
      <bottom/>
    </border>
    <border>
      <left/>
      <right style="thick">
        <color rgb="00000000"/>
      </right>
      <top/>
      <bottom/>
      <diagonal/>
    </border>
    <border>
      <left/>
      <right style="thick">
        <color rgb="00000000"/>
      </right>
      <top style="thick">
        <color rgb="00000000"/>
      </top>
      <bottom/>
      <diagonal/>
    </border>
    <border>
      <left/>
      <right/>
      <top/>
      <bottom style="thick">
        <color rgb="00000000"/>
      </bottom>
      <diagonal/>
    </border>
    <border>
      <left/>
      <right style="thick">
        <color rgb="00000000"/>
      </right>
      <top/>
      <bottom style="thick">
        <color rgb="00000000"/>
      </bottom>
      <diagonal/>
    </border>
    <border>
      <left/>
      <right/>
      <top/>
      <bottom style="thin">
        <color rgb="00AAB7C4"/>
      </bottom>
      <diagonal/>
    </border>
    <border>
      <left/>
      <right/>
      <top style="thin">
        <color rgb="00B8CCE4"/>
      </top>
      <bottom/>
      <diagonal/>
    </border>
    <border>
      <right/>
      <bottom style="thin">
        <color rgb="00AAB7C4"/>
      </bottom>
    </border>
    <border>
      <right/>
      <top style="thin">
        <color rgb="00B8CCE4"/>
      </top>
      <bottom/>
    </border>
  </borders>
  <cellStyleXfs count="1">
    <xf numFmtId="0" fontId="0" fillId="0" borderId="0"/>
  </cellStyleXfs>
  <cellXfs count="55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2" fillId="2" borderId="1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top" wrapText="1"/>
    </xf>
    <xf numFmtId="0" fontId="3" fillId="4" borderId="0" applyAlignment="1" pivotButton="0" quotePrefix="0" xfId="0">
      <alignment horizontal="left" vertical="top" wrapText="1"/>
    </xf>
    <xf numFmtId="0" fontId="4" fillId="4" borderId="0" applyAlignment="1" pivotButton="0" quotePrefix="0" xfId="0">
      <alignment horizontal="left" vertical="top" wrapText="1"/>
    </xf>
    <xf numFmtId="0" fontId="4" fillId="3" borderId="0" applyAlignment="1" pivotButton="0" quotePrefix="0" xfId="0">
      <alignment horizontal="left" vertical="top" wrapText="1"/>
    </xf>
    <xf numFmtId="0" fontId="5" fillId="2" borderId="1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 wrapText="1"/>
    </xf>
    <xf numFmtId="164" fontId="0" fillId="3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left" vertical="center"/>
    </xf>
    <xf numFmtId="0" fontId="0" fillId="3" borderId="0" pivotButton="0" quotePrefix="0" xfId="0"/>
    <xf numFmtId="0" fontId="3" fillId="4" borderId="0" applyAlignment="1" pivotButton="0" quotePrefix="0" xfId="0">
      <alignment horizontal="left" vertical="center" wrapText="1"/>
    </xf>
    <xf numFmtId="165" fontId="0" fillId="4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left" vertical="center"/>
    </xf>
    <xf numFmtId="0" fontId="0" fillId="4" borderId="0" pivotButton="0" quotePrefix="0" xfId="0"/>
    <xf numFmtId="165" fontId="0" fillId="3" borderId="0" applyAlignment="1" pivotButton="0" quotePrefix="0" xfId="0">
      <alignment horizontal="center" vertical="center"/>
    </xf>
    <xf numFmtId="166" fontId="0" fillId="4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left" vertical="top" wrapText="1"/>
    </xf>
    <xf numFmtId="0" fontId="0" fillId="4" borderId="0" applyAlignment="1" pivotButton="0" quotePrefix="0" xfId="0">
      <alignment horizontal="left" vertical="top" wrapText="1"/>
    </xf>
    <xf numFmtId="167" fontId="0" fillId="4" borderId="0" applyAlignment="1" pivotButton="0" quotePrefix="0" xfId="0">
      <alignment horizontal="center" vertical="center"/>
    </xf>
    <xf numFmtId="0" fontId="17" fillId="0" borderId="0" pivotButton="0" quotePrefix="0" xfId="0"/>
    <xf numFmtId="0" fontId="4" fillId="6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0" fontId="4" fillId="8" borderId="0" applyAlignment="1" pivotButton="0" quotePrefix="0" xfId="0">
      <alignment horizontal="center" vertical="center"/>
    </xf>
    <xf numFmtId="0" fontId="4" fillId="9" borderId="0" applyAlignment="1" pivotButton="0" quotePrefix="0" xfId="0">
      <alignment horizontal="center" vertical="center"/>
    </xf>
    <xf numFmtId="0" fontId="4" fillId="10" borderId="0" applyAlignment="1" pivotButton="0" quotePrefix="0" xfId="0">
      <alignment horizontal="center" vertical="center"/>
    </xf>
    <xf numFmtId="0" fontId="17" fillId="0" borderId="9" pivotButton="0" quotePrefix="0" xfId="0"/>
    <xf numFmtId="0" fontId="17" fillId="0" borderId="9" applyAlignment="1" pivotButton="0" quotePrefix="0" xfId="0">
      <alignment horizontal="left" vertical="center"/>
    </xf>
    <xf numFmtId="0" fontId="43" fillId="5" borderId="0" applyAlignment="1" pivotButton="0" quotePrefix="0" xfId="0">
      <alignment horizontal="center" vertical="center"/>
    </xf>
    <xf numFmtId="0" fontId="17" fillId="5" borderId="0" pivotButton="0" quotePrefix="0" xfId="0"/>
    <xf numFmtId="0" fontId="18" fillId="0" borderId="0" pivotButton="0" quotePrefix="0" xfId="0"/>
    <xf numFmtId="0" fontId="20" fillId="0" borderId="0" pivotButton="0" quotePrefix="0" xfId="0"/>
    <xf numFmtId="0" fontId="7" fillId="11" borderId="2" applyAlignment="1" pivotButton="0" quotePrefix="0" xfId="0">
      <alignment horizontal="center"/>
    </xf>
    <xf numFmtId="0" fontId="20" fillId="11" borderId="2" pivotButton="0" quotePrefix="0" xfId="0"/>
    <xf numFmtId="0" fontId="7" fillId="11" borderId="2" applyAlignment="1" pivotButton="0" quotePrefix="0" xfId="0">
      <alignment horizontal="left"/>
    </xf>
    <xf numFmtId="0" fontId="7" fillId="11" borderId="25" applyAlignment="1" pivotButton="0" quotePrefix="0" xfId="0">
      <alignment horizontal="center"/>
    </xf>
    <xf numFmtId="0" fontId="18" fillId="12" borderId="0" pivotButton="0" quotePrefix="0" xfId="0"/>
    <xf numFmtId="0" fontId="17" fillId="12" borderId="0" pivotButton="0" quotePrefix="0" xfId="0"/>
    <xf numFmtId="0" fontId="12" fillId="5" borderId="19" applyAlignment="1" pivotButton="0" quotePrefix="0" xfId="0">
      <alignment horizontal="left" vertical="center"/>
    </xf>
    <xf numFmtId="0" fontId="0" fillId="5" borderId="19" pivotButton="0" quotePrefix="0" xfId="0"/>
    <xf numFmtId="0" fontId="18" fillId="11" borderId="2" applyAlignment="1" pivotButton="0" quotePrefix="0" xfId="0">
      <alignment horizontal="left" vertical="center"/>
    </xf>
    <xf numFmtId="0" fontId="17" fillId="0" borderId="5" pivotButton="0" quotePrefix="0" xfId="0"/>
    <xf numFmtId="0" fontId="17" fillId="0" borderId="6" pivotButton="0" quotePrefix="0" xfId="0"/>
    <xf numFmtId="0" fontId="13" fillId="11" borderId="19" applyAlignment="1" pivotButton="0" quotePrefix="0" xfId="0">
      <alignment horizontal="left" vertical="center"/>
    </xf>
    <xf numFmtId="0" fontId="0" fillId="0" borderId="23" pivotButton="0" quotePrefix="0" xfId="0"/>
    <xf numFmtId="0" fontId="0" fillId="0" borderId="22" pivotButton="0" quotePrefix="0" xfId="0"/>
    <xf numFmtId="0" fontId="3" fillId="0" borderId="0" pivotButton="0" quotePrefix="0" xfId="0"/>
    <xf numFmtId="165" fontId="17" fillId="10" borderId="0" pivotButton="0" quotePrefix="0" xfId="0"/>
    <xf numFmtId="165" fontId="17" fillId="9" borderId="0" pivotButton="0" quotePrefix="0" xfId="0"/>
    <xf numFmtId="165" fontId="17" fillId="8" borderId="0" pivotButton="0" quotePrefix="0" xfId="0"/>
    <xf numFmtId="0" fontId="14" fillId="16" borderId="19" applyAlignment="1" pivotButton="0" quotePrefix="0" xfId="0">
      <alignment horizontal="left" vertical="center"/>
    </xf>
    <xf numFmtId="0" fontId="14" fillId="19" borderId="19" applyAlignment="1" pivotButton="0" quotePrefix="0" xfId="0">
      <alignment horizontal="left" vertical="center"/>
    </xf>
    <xf numFmtId="166" fontId="17" fillId="10" borderId="0" pivotButton="0" quotePrefix="0" xfId="0"/>
    <xf numFmtId="166" fontId="17" fillId="9" borderId="0" pivotButton="0" quotePrefix="0" xfId="0"/>
    <xf numFmtId="166" fontId="17" fillId="8" borderId="0" pivotButton="0" quotePrefix="0" xfId="0"/>
    <xf numFmtId="166" fontId="17" fillId="7" borderId="0" pivotButton="0" quotePrefix="0" xfId="0"/>
    <xf numFmtId="166" fontId="17" fillId="6" borderId="0" pivotButton="0" quotePrefix="0" xfId="0"/>
    <xf numFmtId="166" fontId="17" fillId="0" borderId="0" pivotButton="0" quotePrefix="0" xfId="0"/>
    <xf numFmtId="165" fontId="17" fillId="6" borderId="0" pivotButton="0" quotePrefix="0" xfId="0"/>
    <xf numFmtId="165" fontId="17" fillId="7" borderId="0" pivotButton="0" quotePrefix="0" xfId="0"/>
    <xf numFmtId="165" fontId="17" fillId="0" borderId="0" pivotButton="0" quotePrefix="0" xfId="0"/>
    <xf numFmtId="0" fontId="14" fillId="0" borderId="9" pivotButton="0" quotePrefix="0" xfId="0"/>
    <xf numFmtId="0" fontId="0" fillId="0" borderId="9" pivotButton="0" quotePrefix="0" xfId="0"/>
    <xf numFmtId="165" fontId="15" fillId="0" borderId="9" pivotButton="0" quotePrefix="0" xfId="0"/>
    <xf numFmtId="165" fontId="13" fillId="11" borderId="19" applyAlignment="1" pivotButton="0" quotePrefix="0" xfId="0">
      <alignment horizontal="left" vertical="center"/>
    </xf>
    <xf numFmtId="0" fontId="14" fillId="16" borderId="19" applyAlignment="1" pivotButton="0" quotePrefix="0" xfId="0">
      <alignment horizontal="left" vertical="center" wrapText="1"/>
    </xf>
    <xf numFmtId="0" fontId="14" fillId="19" borderId="19" applyAlignment="1" pivotButton="0" quotePrefix="0" xfId="0">
      <alignment horizontal="left" vertical="center" wrapText="1"/>
    </xf>
    <xf numFmtId="165" fontId="14" fillId="19" borderId="19" applyAlignment="1" pivotButton="0" quotePrefix="0" xfId="0">
      <alignment horizontal="left" vertical="center"/>
    </xf>
    <xf numFmtId="165" fontId="14" fillId="16" borderId="19" applyAlignment="1" pivotButton="0" quotePrefix="0" xfId="0">
      <alignment horizontal="left" vertical="center"/>
    </xf>
    <xf numFmtId="168" fontId="14" fillId="19" borderId="19" applyAlignment="1" pivotButton="0" quotePrefix="0" xfId="0">
      <alignment horizontal="left" vertical="center"/>
    </xf>
    <xf numFmtId="168" fontId="16" fillId="0" borderId="9" pivotButton="0" quotePrefix="0" xfId="0"/>
    <xf numFmtId="169" fontId="14" fillId="16" borderId="19" applyAlignment="1" pivotButton="0" quotePrefix="0" xfId="0">
      <alignment horizontal="left" vertical="center"/>
    </xf>
    <xf numFmtId="169" fontId="14" fillId="19" borderId="19" applyAlignment="1" pivotButton="0" quotePrefix="0" xfId="0">
      <alignment horizontal="left" vertical="center"/>
    </xf>
    <xf numFmtId="170" fontId="14" fillId="16" borderId="19" applyAlignment="1" pivotButton="0" quotePrefix="0" xfId="0">
      <alignment horizontal="left" vertical="center"/>
    </xf>
    <xf numFmtId="171" fontId="15" fillId="14" borderId="19" applyAlignment="1" pivotButton="0" quotePrefix="0" xfId="0">
      <alignment horizontal="left" vertical="center"/>
    </xf>
    <xf numFmtId="166" fontId="15" fillId="14" borderId="19" applyAlignment="1" pivotButton="0" quotePrefix="0" xfId="0">
      <alignment horizontal="left" vertical="center"/>
    </xf>
    <xf numFmtId="172" fontId="15" fillId="14" borderId="19" applyAlignment="1" pivotButton="0" quotePrefix="0" xfId="0">
      <alignment horizontal="left" vertical="center"/>
    </xf>
    <xf numFmtId="169" fontId="15" fillId="14" borderId="19" applyAlignment="1" pivotButton="0" quotePrefix="0" xfId="0">
      <alignment horizontal="left" vertical="center"/>
    </xf>
    <xf numFmtId="0" fontId="17" fillId="19" borderId="24" applyAlignment="1" pivotButton="0" quotePrefix="0" xfId="0">
      <alignment horizontal="left" vertical="center"/>
    </xf>
    <xf numFmtId="173" fontId="14" fillId="16" borderId="19" applyAlignment="1" pivotButton="0" quotePrefix="0" xfId="0">
      <alignment horizontal="left" vertical="center"/>
    </xf>
    <xf numFmtId="170" fontId="14" fillId="19" borderId="19" applyAlignment="1" pivotButton="0" quotePrefix="0" xfId="0">
      <alignment horizontal="left" vertical="center"/>
    </xf>
    <xf numFmtId="4" fontId="17" fillId="10" borderId="0" pivotButton="0" quotePrefix="0" xfId="0"/>
    <xf numFmtId="4" fontId="17" fillId="9" borderId="0" pivotButton="0" quotePrefix="0" xfId="0"/>
    <xf numFmtId="4" fontId="17" fillId="8" borderId="0" pivotButton="0" quotePrefix="0" xfId="0"/>
    <xf numFmtId="4" fontId="17" fillId="6" borderId="0" pivotButton="0" quotePrefix="0" xfId="0"/>
    <xf numFmtId="4" fontId="17" fillId="7" borderId="0" pivotButton="0" quotePrefix="0" xfId="0"/>
    <xf numFmtId="4" fontId="17" fillId="0" borderId="0" pivotButton="0" quotePrefix="0" xfId="0"/>
    <xf numFmtId="174" fontId="17" fillId="0" borderId="0" pivotButton="0" quotePrefix="0" xfId="0"/>
    <xf numFmtId="0" fontId="12" fillId="5" borderId="0" pivotButton="0" quotePrefix="0" xfId="0"/>
    <xf numFmtId="0" fontId="18" fillId="11" borderId="0" pivotButton="0" quotePrefix="0" xfId="0"/>
    <xf numFmtId="0" fontId="18" fillId="0" borderId="9" pivotButton="0" quotePrefix="0" xfId="0"/>
    <xf numFmtId="0" fontId="12" fillId="5" borderId="0" applyAlignment="1" pivotButton="0" quotePrefix="0" xfId="0">
      <alignment horizontal="left" vertical="center"/>
    </xf>
    <xf numFmtId="0" fontId="12" fillId="5" borderId="2" applyAlignment="1" pivotButton="0" quotePrefix="0" xfId="0">
      <alignment horizontal="left" vertical="center"/>
    </xf>
    <xf numFmtId="0" fontId="17" fillId="5" borderId="2" applyAlignment="1" pivotButton="0" quotePrefix="0" xfId="0">
      <alignment horizontal="left" vertical="center"/>
    </xf>
    <xf numFmtId="0" fontId="18" fillId="11" borderId="2" applyAlignment="1" pivotButton="0" quotePrefix="0" xfId="0">
      <alignment horizontal="left" vertical="center"/>
    </xf>
    <xf numFmtId="0" fontId="18" fillId="11" borderId="2" applyAlignment="1" pivotButton="0" quotePrefix="0" xfId="0">
      <alignment horizontal="right" vertical="center"/>
    </xf>
    <xf numFmtId="0" fontId="18" fillId="16" borderId="2" applyAlignment="1" pivotButton="0" quotePrefix="0" xfId="0">
      <alignment horizontal="left" vertical="center"/>
    </xf>
    <xf numFmtId="0" fontId="17" fillId="16" borderId="2" applyAlignment="1" pivotButton="0" quotePrefix="0" xfId="0">
      <alignment horizontal="left" vertical="center"/>
    </xf>
    <xf numFmtId="1" fontId="17" fillId="16" borderId="2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 wrapText="1"/>
    </xf>
    <xf numFmtId="0" fontId="18" fillId="0" borderId="2" applyAlignment="1" pivotButton="0" quotePrefix="0" xfId="0">
      <alignment horizontal="left" vertical="center"/>
    </xf>
    <xf numFmtId="0" fontId="17" fillId="0" borderId="2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1" fontId="17" fillId="0" borderId="2" applyAlignment="1" pivotButton="0" quotePrefix="0" xfId="0">
      <alignment horizontal="right" vertical="center"/>
    </xf>
    <xf numFmtId="0" fontId="17" fillId="0" borderId="2" applyAlignment="1" pivotButton="0" quotePrefix="0" xfId="0">
      <alignment horizontal="left" vertical="center" wrapText="1"/>
    </xf>
    <xf numFmtId="0" fontId="18" fillId="0" borderId="0" applyAlignment="1" pivotButton="0" quotePrefix="0" xfId="0">
      <alignment horizontal="left" vertical="center"/>
    </xf>
    <xf numFmtId="0" fontId="12" fillId="5" borderId="9" pivotButton="0" quotePrefix="0" xfId="0"/>
    <xf numFmtId="0" fontId="17" fillId="5" borderId="9" pivotButton="0" quotePrefix="0" xfId="0"/>
    <xf numFmtId="0" fontId="18" fillId="11" borderId="9" applyAlignment="1" pivotButton="0" quotePrefix="0" xfId="0">
      <alignment horizontal="center" vertical="center"/>
    </xf>
    <xf numFmtId="0" fontId="17" fillId="3" borderId="9" pivotButton="0" quotePrefix="0" xfId="0"/>
    <xf numFmtId="0" fontId="17" fillId="0" borderId="9" applyAlignment="1" pivotButton="0" quotePrefix="0" xfId="0">
      <alignment vertical="top" wrapText="1"/>
    </xf>
    <xf numFmtId="0" fontId="17" fillId="17" borderId="9" pivotButton="0" quotePrefix="0" xfId="0"/>
    <xf numFmtId="0" fontId="17" fillId="14" borderId="9" pivotButton="0" quotePrefix="0" xfId="0"/>
    <xf numFmtId="0" fontId="17" fillId="18" borderId="9" pivotButton="0" quotePrefix="0" xfId="0"/>
    <xf numFmtId="0" fontId="43" fillId="5" borderId="0" pivotButton="0" quotePrefix="0" xfId="0"/>
    <xf numFmtId="0" fontId="0" fillId="5" borderId="0" pivotButton="0" quotePrefix="0" xfId="0"/>
    <xf numFmtId="0" fontId="0" fillId="5" borderId="26" pivotButton="0" quotePrefix="0" xfId="0"/>
    <xf numFmtId="0" fontId="7" fillId="11" borderId="0" applyAlignment="1" pivotButton="0" quotePrefix="0" xfId="0">
      <alignment horizontal="center" vertical="center"/>
    </xf>
    <xf numFmtId="0" fontId="18" fillId="11" borderId="0" applyAlignment="1" pivotButton="0" quotePrefix="0" xfId="0">
      <alignment horizontal="left" vertical="top" wrapText="1"/>
    </xf>
    <xf numFmtId="0" fontId="0" fillId="0" borderId="26" pivotButton="0" quotePrefix="0" xfId="0"/>
    <xf numFmtId="168" fontId="9" fillId="14" borderId="0" pivotButton="0" quotePrefix="0" xfId="0"/>
    <xf numFmtId="0" fontId="17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top" wrapText="1"/>
    </xf>
    <xf numFmtId="164" fontId="17" fillId="0" borderId="0" applyAlignment="1" pivotButton="0" quotePrefix="0" xfId="0">
      <alignment horizontal="left" vertical="center" shrinkToFit="1"/>
    </xf>
    <xf numFmtId="168" fontId="17" fillId="0" borderId="0" pivotButton="0" quotePrefix="0" xfId="0"/>
    <xf numFmtId="171" fontId="17" fillId="14" borderId="0" pivotButton="0" quotePrefix="0" xfId="0"/>
    <xf numFmtId="166" fontId="17" fillId="14" borderId="0" pivotButton="0" quotePrefix="0" xfId="0"/>
    <xf numFmtId="0" fontId="17" fillId="0" borderId="26" pivotButton="0" quotePrefix="0" xfId="0"/>
    <xf numFmtId="165" fontId="17" fillId="14" borderId="0" pivotButton="0" quotePrefix="0" xfId="0"/>
    <xf numFmtId="0" fontId="3" fillId="0" borderId="27" pivotButton="0" quotePrefix="0" xfId="0"/>
    <xf numFmtId="0" fontId="17" fillId="0" borderId="27" pivotButton="0" quotePrefix="0" xfId="0"/>
    <xf numFmtId="0" fontId="17" fillId="14" borderId="27" pivotButton="0" quotePrefix="0" xfId="0"/>
    <xf numFmtId="0" fontId="17" fillId="0" borderId="27" applyAlignment="1" pivotButton="0" quotePrefix="0" xfId="0">
      <alignment horizontal="left" vertical="center"/>
    </xf>
    <xf numFmtId="0" fontId="3" fillId="0" borderId="27" applyAlignment="1" pivotButton="0" quotePrefix="0" xfId="0">
      <alignment horizontal="left" vertical="top" wrapText="1"/>
    </xf>
    <xf numFmtId="0" fontId="0" fillId="0" borderId="27" pivotButton="0" quotePrefix="0" xfId="0"/>
    <xf numFmtId="0" fontId="0" fillId="0" borderId="28" pivotButton="0" quotePrefix="0" xfId="0"/>
    <xf numFmtId="0" fontId="17" fillId="0" borderId="28" pivotButton="0" quotePrefix="0" xfId="0"/>
    <xf numFmtId="0" fontId="18" fillId="13" borderId="0" pivotButton="0" quotePrefix="0" xfId="0"/>
    <xf numFmtId="0" fontId="18" fillId="11" borderId="26" pivotButton="0" quotePrefix="0" xfId="0"/>
    <xf numFmtId="0" fontId="3" fillId="13" borderId="0" applyAlignment="1" pivotButton="0" quotePrefix="0" xfId="0">
      <alignment horizontal="left" vertical="top" wrapText="1"/>
    </xf>
    <xf numFmtId="0" fontId="17" fillId="0" borderId="26" applyAlignment="1" pivotButton="0" quotePrefix="0" xfId="0">
      <alignment horizontal="center" vertical="center"/>
    </xf>
    <xf numFmtId="166" fontId="18" fillId="0" borderId="0" applyAlignment="1" pivotButton="0" quotePrefix="0" xfId="0">
      <alignment horizontal="center" vertical="bottom"/>
    </xf>
    <xf numFmtId="166" fontId="18" fillId="15" borderId="0" applyAlignment="1" pivotButton="0" quotePrefix="0" xfId="0">
      <alignment horizontal="center" vertical="bottom"/>
    </xf>
    <xf numFmtId="168" fontId="17" fillId="0" borderId="0" applyAlignment="1" pivotButton="0" quotePrefix="0" xfId="0">
      <alignment horizontal="right" vertical="bottom"/>
    </xf>
    <xf numFmtId="168" fontId="17" fillId="15" borderId="10" applyAlignment="1" pivotButton="0" quotePrefix="0" xfId="0">
      <alignment horizontal="right" vertical="bottom"/>
    </xf>
    <xf numFmtId="168" fontId="17" fillId="15" borderId="11" applyAlignment="1" pivotButton="0" quotePrefix="0" xfId="0">
      <alignment horizontal="right" vertical="bottom"/>
    </xf>
    <xf numFmtId="168" fontId="17" fillId="15" borderId="12" applyAlignment="1" pivotButton="0" quotePrefix="0" xfId="0">
      <alignment horizontal="right" vertical="bottom"/>
    </xf>
    <xf numFmtId="168" fontId="17" fillId="15" borderId="13" applyAlignment="1" pivotButton="0" quotePrefix="0" xfId="0">
      <alignment horizontal="right" vertical="bottom"/>
    </xf>
    <xf numFmtId="168" fontId="17" fillId="15" borderId="14" applyAlignment="1" pivotButton="0" quotePrefix="0" xfId="0">
      <alignment horizontal="right" vertical="bottom"/>
    </xf>
    <xf numFmtId="168" fontId="17" fillId="15" borderId="15" applyAlignment="1" pivotButton="0" quotePrefix="0" xfId="0">
      <alignment horizontal="right" vertical="bottom"/>
    </xf>
    <xf numFmtId="168" fontId="17" fillId="15" borderId="16" applyAlignment="1" pivotButton="0" quotePrefix="0" xfId="0">
      <alignment horizontal="right" vertical="bottom"/>
    </xf>
    <xf numFmtId="168" fontId="17" fillId="15" borderId="17" applyAlignment="1" pivotButton="0" quotePrefix="0" xfId="0">
      <alignment horizontal="right" vertical="bottom"/>
    </xf>
    <xf numFmtId="168" fontId="17" fillId="15" borderId="18" applyAlignment="1" pivotButton="0" quotePrefix="0" xfId="0">
      <alignment horizontal="right" vertical="bottom"/>
    </xf>
    <xf numFmtId="166" fontId="18" fillId="0" borderId="27" applyAlignment="1" pivotButton="0" quotePrefix="0" xfId="0">
      <alignment horizontal="center" vertical="bottom"/>
    </xf>
    <xf numFmtId="168" fontId="17" fillId="0" borderId="27" applyAlignment="1" pivotButton="0" quotePrefix="0" xfId="0">
      <alignment horizontal="right" vertical="bottom"/>
    </xf>
    <xf numFmtId="0" fontId="17" fillId="14" borderId="27" applyAlignment="1" pivotButton="0" quotePrefix="0" xfId="0">
      <alignment horizontal="center" vertical="center"/>
    </xf>
    <xf numFmtId="0" fontId="18" fillId="13" borderId="0" applyAlignment="1" pivotButton="0" quotePrefix="0" xfId="0">
      <alignment horizontal="left" vertical="top" wrapText="1"/>
    </xf>
    <xf numFmtId="0" fontId="17" fillId="14" borderId="0" pivotButton="0" quotePrefix="0" xfId="0"/>
    <xf numFmtId="0" fontId="18" fillId="13" borderId="7" pivotButton="0" quotePrefix="0" xfId="0"/>
    <xf numFmtId="0" fontId="0" fillId="0" borderId="8" pivotButton="0" quotePrefix="0" xfId="0"/>
    <xf numFmtId="0" fontId="0" fillId="0" borderId="29" pivotButton="0" quotePrefix="0" xfId="0"/>
    <xf numFmtId="0" fontId="12" fillId="5" borderId="0" applyAlignment="1" pivotButton="0" quotePrefix="0" xfId="0">
      <alignment horizontal="left" vertical="top" wrapText="1"/>
    </xf>
    <xf numFmtId="0" fontId="17" fillId="0" borderId="0" applyAlignment="1" pivotButton="0" quotePrefix="0" xfId="0">
      <alignment horizontal="left" vertical="top" wrapText="1"/>
    </xf>
    <xf numFmtId="0" fontId="18" fillId="11" borderId="2" applyAlignment="1" pivotButton="0" quotePrefix="0" xfId="0">
      <alignment horizontal="left" vertical="top" wrapText="1"/>
    </xf>
    <xf numFmtId="0" fontId="18" fillId="11" borderId="2" applyAlignment="1" pivotButton="0" quotePrefix="0" xfId="0">
      <alignment horizontal="left" vertical="center" wrapText="1"/>
    </xf>
    <xf numFmtId="0" fontId="19" fillId="0" borderId="2" applyAlignment="1" pivotButton="0" quotePrefix="0" xfId="0">
      <alignment horizontal="left" vertical="top" wrapText="1"/>
    </xf>
    <xf numFmtId="0" fontId="17" fillId="0" borderId="2" pivotButton="0" quotePrefix="0" xfId="0"/>
    <xf numFmtId="166" fontId="17" fillId="0" borderId="27" pivotButton="0" quotePrefix="0" xfId="0"/>
    <xf numFmtId="0" fontId="6" fillId="0" borderId="0" pivotButton="0" quotePrefix="0" xfId="0"/>
    <xf numFmtId="0" fontId="1" fillId="5" borderId="0" applyAlignment="1" pivotButton="0" quotePrefix="0" xfId="0">
      <alignment horizontal="center" vertical="center"/>
    </xf>
    <xf numFmtId="0" fontId="21" fillId="0" borderId="0" applyAlignment="1" pivotButton="0" quotePrefix="0" xfId="0">
      <alignment horizontal="left" vertical="center"/>
    </xf>
    <xf numFmtId="0" fontId="0" fillId="0" borderId="2" pivotButton="0" quotePrefix="0" xfId="0"/>
    <xf numFmtId="0" fontId="0" fillId="11" borderId="2" pivotButton="0" quotePrefix="0" xfId="0"/>
    <xf numFmtId="0" fontId="7" fillId="11" borderId="2" pivotButton="0" quotePrefix="0" xfId="0"/>
    <xf numFmtId="0" fontId="7" fillId="13" borderId="2" pivotButton="0" quotePrefix="0" xfId="0"/>
    <xf numFmtId="0" fontId="0" fillId="13" borderId="2" pivotButton="0" quotePrefix="0" xfId="0"/>
    <xf numFmtId="0" fontId="3" fillId="0" borderId="2" pivotButton="0" quotePrefix="0" xfId="0"/>
    <xf numFmtId="169" fontId="22" fillId="10" borderId="2" applyAlignment="1" pivotButton="0" quotePrefix="0" xfId="0">
      <alignment horizontal="right"/>
    </xf>
    <xf numFmtId="169" fontId="22" fillId="9" borderId="2" applyAlignment="1" pivotButton="0" quotePrefix="0" xfId="0">
      <alignment horizontal="right"/>
    </xf>
    <xf numFmtId="169" fontId="22" fillId="7" borderId="2" applyAlignment="1" pivotButton="0" quotePrefix="0" xfId="0">
      <alignment horizontal="right"/>
    </xf>
    <xf numFmtId="169" fontId="22" fillId="6" borderId="2" applyAlignment="1" pivotButton="0" quotePrefix="0" xfId="0">
      <alignment horizontal="right"/>
    </xf>
    <xf numFmtId="169" fontId="22" fillId="8" borderId="2" applyAlignment="1" pivotButton="0" quotePrefix="0" xfId="0">
      <alignment horizontal="right"/>
    </xf>
    <xf numFmtId="169" fontId="22" fillId="0" borderId="2" applyAlignment="1" pivotButton="0" quotePrefix="0" xfId="0">
      <alignment horizontal="right"/>
    </xf>
    <xf numFmtId="166" fontId="22" fillId="0" borderId="2" applyAlignment="1" pivotButton="0" quotePrefix="0" xfId="0">
      <alignment horizontal="right"/>
    </xf>
    <xf numFmtId="174" fontId="22" fillId="8" borderId="2" applyAlignment="1" pivotButton="0" quotePrefix="0" xfId="0">
      <alignment horizontal="right"/>
    </xf>
    <xf numFmtId="174" fontId="22" fillId="9" borderId="2" applyAlignment="1" pivotButton="0" quotePrefix="0" xfId="0">
      <alignment horizontal="right"/>
    </xf>
    <xf numFmtId="174" fontId="22" fillId="0" borderId="2" applyAlignment="1" pivotButton="0" quotePrefix="0" xfId="0">
      <alignment horizontal="right"/>
    </xf>
    <xf numFmtId="175" fontId="22" fillId="0" borderId="2" applyAlignment="1" pivotButton="0" quotePrefix="0" xfId="0">
      <alignment horizontal="right"/>
    </xf>
    <xf numFmtId="175" fontId="22" fillId="8" borderId="2" applyAlignment="1" pivotButton="0" quotePrefix="0" xfId="0">
      <alignment horizontal="right"/>
    </xf>
    <xf numFmtId="175" fontId="22" fillId="9" borderId="2" applyAlignment="1" pivotButton="0" quotePrefix="0" xfId="0">
      <alignment horizontal="right"/>
    </xf>
    <xf numFmtId="166" fontId="22" fillId="8" borderId="2" applyAlignment="1" pivotButton="0" quotePrefix="0" xfId="0">
      <alignment horizontal="right"/>
    </xf>
    <xf numFmtId="166" fontId="22" fillId="10" borderId="2" applyAlignment="1" pivotButton="0" quotePrefix="0" xfId="0">
      <alignment horizontal="right"/>
    </xf>
    <xf numFmtId="166" fontId="22" fillId="9" borderId="2" applyAlignment="1" pivotButton="0" quotePrefix="0" xfId="0">
      <alignment horizontal="right"/>
    </xf>
    <xf numFmtId="166" fontId="22" fillId="7" borderId="2" applyAlignment="1" pivotButton="0" quotePrefix="0" xfId="0">
      <alignment horizontal="right"/>
    </xf>
    <xf numFmtId="0" fontId="5" fillId="5" borderId="2" pivotButton="0" quotePrefix="0" xfId="0"/>
    <xf numFmtId="0" fontId="0" fillId="5" borderId="2" pivotButton="0" quotePrefix="0" xfId="0"/>
    <xf numFmtId="0" fontId="21" fillId="13" borderId="2" applyAlignment="1" pivotButton="0" quotePrefix="0" xfId="0">
      <alignment horizontal="left" vertical="center" wrapText="1"/>
    </xf>
    <xf numFmtId="0" fontId="7" fillId="11" borderId="2" applyAlignment="1" pivotButton="0" quotePrefix="0" xfId="0">
      <alignment horizontal="right" vertical="center"/>
    </xf>
    <xf numFmtId="0" fontId="21" fillId="0" borderId="0" applyAlignment="1" pivotButton="0" quotePrefix="0" xfId="0">
      <alignment horizontal="left" vertical="center" wrapText="1"/>
    </xf>
    <xf numFmtId="0" fontId="5" fillId="5" borderId="2" applyAlignment="1" pivotButton="0" quotePrefix="0" xfId="0">
      <alignment horizontal="center" vertical="center"/>
    </xf>
    <xf numFmtId="0" fontId="7" fillId="11" borderId="2" applyAlignment="1" pivotButton="0" quotePrefix="0" xfId="0">
      <alignment horizontal="left" vertical="center" wrapText="1"/>
    </xf>
    <xf numFmtId="0" fontId="23" fillId="19" borderId="31" applyAlignment="1" pivotButton="0" quotePrefix="0" xfId="0">
      <alignment horizontal="left" vertical="center" wrapText="1"/>
    </xf>
    <xf numFmtId="0" fontId="23" fillId="19" borderId="31" applyAlignment="1" pivotButton="0" quotePrefix="0" xfId="0">
      <alignment horizontal="left" vertical="center"/>
    </xf>
    <xf numFmtId="0" fontId="23" fillId="20" borderId="31" applyAlignment="1" pivotButton="0" quotePrefix="0" xfId="0">
      <alignment horizontal="left" vertical="center" wrapText="1"/>
    </xf>
    <xf numFmtId="0" fontId="23" fillId="20" borderId="31" applyAlignment="1" pivotButton="0" quotePrefix="0" xfId="0">
      <alignment horizontal="left" vertical="center"/>
    </xf>
    <xf numFmtId="0" fontId="24" fillId="13" borderId="31" applyAlignment="1" pivotButton="0" quotePrefix="0" xfId="0">
      <alignment horizontal="left" vertical="center"/>
    </xf>
    <xf numFmtId="0" fontId="0" fillId="13" borderId="31" pivotButton="0" quotePrefix="0" xfId="0"/>
    <xf numFmtId="0" fontId="25" fillId="19" borderId="9" applyAlignment="1" pivotButton="0" quotePrefix="0" xfId="0">
      <alignment horizontal="left" vertical="top" wrapText="1"/>
    </xf>
    <xf numFmtId="0" fontId="23" fillId="19" borderId="9" applyAlignment="1" pivotButton="0" quotePrefix="0" xfId="0">
      <alignment horizontal="left" vertical="top" wrapText="1"/>
    </xf>
    <xf numFmtId="0" fontId="23" fillId="19" borderId="9" applyAlignment="1" pivotButton="0" quotePrefix="0" xfId="0">
      <alignment horizontal="left" vertical="top"/>
    </xf>
    <xf numFmtId="0" fontId="25" fillId="19" borderId="30" applyAlignment="1" pivotButton="0" quotePrefix="0" xfId="0">
      <alignment horizontal="left" vertical="top" wrapText="1"/>
    </xf>
    <xf numFmtId="0" fontId="23" fillId="19" borderId="30" applyAlignment="1" pivotButton="0" quotePrefix="0" xfId="0">
      <alignment horizontal="left" vertical="top" wrapText="1"/>
    </xf>
    <xf numFmtId="0" fontId="23" fillId="19" borderId="30" applyAlignment="1" pivotButton="0" quotePrefix="0" xfId="0">
      <alignment horizontal="left" vertical="top"/>
    </xf>
    <xf numFmtId="0" fontId="0" fillId="0" borderId="9" applyAlignment="1" pivotButton="0" quotePrefix="0" xfId="0">
      <alignment horizontal="left" vertical="center"/>
    </xf>
    <xf numFmtId="0" fontId="18" fillId="6" borderId="2" applyAlignment="1" pivotButton="0" quotePrefix="0" xfId="0">
      <alignment horizontal="center" vertical="center"/>
    </xf>
    <xf numFmtId="0" fontId="18" fillId="7" borderId="2" applyAlignment="1" pivotButton="0" quotePrefix="0" xfId="0">
      <alignment horizontal="center" vertical="center"/>
    </xf>
    <xf numFmtId="0" fontId="18" fillId="8" borderId="2" applyAlignment="1" pivotButton="0" quotePrefix="0" xfId="0">
      <alignment horizontal="center" vertical="center"/>
    </xf>
    <xf numFmtId="0" fontId="18" fillId="9" borderId="2" applyAlignment="1" pivotButton="0" quotePrefix="0" xfId="0">
      <alignment horizontal="center" vertical="center"/>
    </xf>
    <xf numFmtId="0" fontId="18" fillId="10" borderId="2" applyAlignment="1" pivotButton="0" quotePrefix="0" xfId="0">
      <alignment horizontal="center" vertical="center"/>
    </xf>
    <xf numFmtId="0" fontId="26" fillId="20" borderId="31" applyAlignment="1" pivotButton="0" quotePrefix="0" xfId="0">
      <alignment horizontal="left" vertical="center" wrapText="1"/>
    </xf>
    <xf numFmtId="0" fontId="0" fillId="20" borderId="31" pivotButton="0" quotePrefix="0" xfId="0"/>
    <xf numFmtId="0" fontId="7" fillId="11" borderId="2" applyAlignment="1" pivotButton="0" quotePrefix="0" xfId="0">
      <alignment horizontal="center" vertical="center" wrapText="1"/>
    </xf>
    <xf numFmtId="0" fontId="7" fillId="13" borderId="2" applyAlignment="1" pivotButton="0" quotePrefix="0" xfId="0">
      <alignment horizontal="left" vertical="center"/>
    </xf>
    <xf numFmtId="0" fontId="23" fillId="19" borderId="2" applyAlignment="1" pivotButton="0" quotePrefix="0" xfId="0">
      <alignment horizontal="left" vertical="center" wrapText="1"/>
    </xf>
    <xf numFmtId="169" fontId="23" fillId="19" borderId="2" applyAlignment="1" pivotButton="0" quotePrefix="0" xfId="0">
      <alignment horizontal="center" vertical="center"/>
    </xf>
    <xf numFmtId="169" fontId="23" fillId="10" borderId="2" applyAlignment="1" pivotButton="0" quotePrefix="0" xfId="0">
      <alignment horizontal="center" vertical="center"/>
    </xf>
    <xf numFmtId="169" fontId="23" fillId="9" borderId="2" applyAlignment="1" pivotButton="0" quotePrefix="0" xfId="0">
      <alignment horizontal="center" vertical="center"/>
    </xf>
    <xf numFmtId="169" fontId="23" fillId="8" borderId="2" applyAlignment="1" pivotButton="0" quotePrefix="0" xfId="0">
      <alignment horizontal="center" vertical="center"/>
    </xf>
    <xf numFmtId="0" fontId="23" fillId="19" borderId="2" applyAlignment="1" pivotButton="0" quotePrefix="0" xfId="0">
      <alignment horizontal="center" vertical="center"/>
    </xf>
    <xf numFmtId="169" fontId="23" fillId="7" borderId="2" applyAlignment="1" pivotButton="0" quotePrefix="0" xfId="0">
      <alignment horizontal="center" vertical="center"/>
    </xf>
    <xf numFmtId="0" fontId="7" fillId="11" borderId="2" applyAlignment="1" pivotButton="0" quotePrefix="0" xfId="0">
      <alignment horizontal="left" vertical="center"/>
    </xf>
    <xf numFmtId="0" fontId="7" fillId="11" borderId="2" applyAlignment="1" pivotButton="0" quotePrefix="0" xfId="0">
      <alignment horizontal="center" vertical="center"/>
    </xf>
    <xf numFmtId="0" fontId="23" fillId="0" borderId="2" applyAlignment="1" pivotButton="0" quotePrefix="0" xfId="0">
      <alignment horizontal="left" vertical="center" wrapText="1"/>
    </xf>
    <xf numFmtId="0" fontId="23" fillId="0" borderId="2" applyAlignment="1" pivotButton="0" quotePrefix="0" xfId="0">
      <alignment horizontal="center" vertical="center"/>
    </xf>
    <xf numFmtId="0" fontId="23" fillId="0" borderId="2" applyAlignment="1" pivotButton="0" quotePrefix="0" xfId="0">
      <alignment horizontal="left" vertical="top" wrapText="1"/>
    </xf>
    <xf numFmtId="169" fontId="23" fillId="10" borderId="2" applyAlignment="1" pivotButton="0" quotePrefix="0" xfId="0">
      <alignment horizontal="center" vertical="center"/>
    </xf>
    <xf numFmtId="175" fontId="23" fillId="10" borderId="2" applyAlignment="1" pivotButton="0" quotePrefix="0" xfId="0">
      <alignment horizontal="center" vertical="center"/>
    </xf>
    <xf numFmtId="175" fontId="23" fillId="9" borderId="2" applyAlignment="1" pivotButton="0" quotePrefix="0" xfId="0">
      <alignment horizontal="center" vertical="center"/>
    </xf>
    <xf numFmtId="175" fontId="23" fillId="8" borderId="2" applyAlignment="1" pivotButton="0" quotePrefix="0" xfId="0">
      <alignment horizontal="center" vertical="center"/>
    </xf>
    <xf numFmtId="175" fontId="23" fillId="7" borderId="2" applyAlignment="1" pivotButton="0" quotePrefix="0" xfId="0">
      <alignment horizontal="center" vertical="center"/>
    </xf>
    <xf numFmtId="169" fontId="23" fillId="9" borderId="2" applyAlignment="1" pivotButton="0" quotePrefix="0" xfId="0">
      <alignment horizontal="center" vertical="center"/>
    </xf>
    <xf numFmtId="175" fontId="23" fillId="6" borderId="2" applyAlignment="1" pivotButton="0" quotePrefix="0" xfId="0">
      <alignment horizontal="center" vertical="center"/>
    </xf>
    <xf numFmtId="169" fontId="23" fillId="8" borderId="2" applyAlignment="1" pivotButton="0" quotePrefix="0" xfId="0">
      <alignment horizontal="center" vertical="center"/>
    </xf>
    <xf numFmtId="169" fontId="23" fillId="0" borderId="2" applyAlignment="1" pivotButton="0" quotePrefix="0" xfId="0">
      <alignment horizontal="center" vertical="center"/>
    </xf>
    <xf numFmtId="175" fontId="23" fillId="0" borderId="2" applyAlignment="1" pivotButton="0" quotePrefix="0" xfId="0">
      <alignment horizontal="center" vertical="center"/>
    </xf>
    <xf numFmtId="169" fontId="23" fillId="6" borderId="2" applyAlignment="1" pivotButton="0" quotePrefix="0" xfId="0">
      <alignment horizontal="center" vertical="center"/>
    </xf>
    <xf numFmtId="170" fontId="23" fillId="0" borderId="2" applyAlignment="1" pivotButton="0" quotePrefix="0" xfId="0">
      <alignment horizontal="center" vertical="center"/>
    </xf>
    <xf numFmtId="3" fontId="23" fillId="0" borderId="2" applyAlignment="1" pivotButton="0" quotePrefix="0" xfId="0">
      <alignment horizontal="center" vertical="center"/>
    </xf>
    <xf numFmtId="0" fontId="27" fillId="21" borderId="0" applyAlignment="1" pivotButton="0" quotePrefix="0" xfId="0">
      <alignment horizontal="center" vertical="center"/>
    </xf>
    <xf numFmtId="0" fontId="0" fillId="21" borderId="0" pivotButton="0" quotePrefix="0" xfId="0"/>
    <xf numFmtId="0" fontId="28" fillId="0" borderId="0" applyAlignment="1" pivotButton="0" quotePrefix="0" xfId="0">
      <alignment horizontal="left" vertical="center"/>
    </xf>
    <xf numFmtId="0" fontId="12" fillId="2" borderId="19" applyAlignment="1" pivotButton="0" quotePrefix="0" xfId="0">
      <alignment horizontal="left" vertical="center"/>
    </xf>
    <xf numFmtId="0" fontId="0" fillId="2" borderId="19" pivotButton="0" quotePrefix="0" xfId="0"/>
    <xf numFmtId="0" fontId="14" fillId="22" borderId="19" applyAlignment="1" pivotButton="0" quotePrefix="0" xfId="0">
      <alignment horizontal="left" vertical="center"/>
    </xf>
    <xf numFmtId="0" fontId="14" fillId="22" borderId="19" applyAlignment="1" pivotButton="0" quotePrefix="0" xfId="0">
      <alignment horizontal="left" vertical="center" wrapText="1"/>
    </xf>
    <xf numFmtId="0" fontId="13" fillId="23" borderId="19" applyAlignment="1" pivotButton="0" quotePrefix="0" xfId="0">
      <alignment horizontal="left" vertical="center"/>
    </xf>
    <xf numFmtId="0" fontId="13" fillId="23" borderId="19" applyAlignment="1" pivotButton="0" quotePrefix="0" xfId="0">
      <alignment horizontal="left" vertical="center" wrapText="1"/>
    </xf>
    <xf numFmtId="170" fontId="14" fillId="16" borderId="19" applyAlignment="1" pivotButton="0" quotePrefix="0" xfId="0">
      <alignment horizontal="left" vertical="center"/>
    </xf>
    <xf numFmtId="170" fontId="14" fillId="14" borderId="19" applyAlignment="1" pivotButton="0" quotePrefix="0" xfId="0">
      <alignment horizontal="left" vertical="center"/>
    </xf>
    <xf numFmtId="169" fontId="14" fillId="19" borderId="19" applyAlignment="1" pivotButton="0" quotePrefix="0" xfId="0">
      <alignment horizontal="left" vertical="center"/>
    </xf>
    <xf numFmtId="169" fontId="14" fillId="14" borderId="19" applyAlignment="1" pivotButton="0" quotePrefix="0" xfId="0">
      <alignment horizontal="left" vertical="center"/>
    </xf>
    <xf numFmtId="169" fontId="14" fillId="16" borderId="19" applyAlignment="1" pivotButton="0" quotePrefix="0" xfId="0">
      <alignment horizontal="left" vertical="center"/>
    </xf>
    <xf numFmtId="171" fontId="14" fillId="16" borderId="19" applyAlignment="1" pivotButton="0" quotePrefix="0" xfId="0">
      <alignment horizontal="left" vertical="center"/>
    </xf>
    <xf numFmtId="171" fontId="14" fillId="14" borderId="19" applyAlignment="1" pivotButton="0" quotePrefix="0" xfId="0">
      <alignment horizontal="left" vertical="center"/>
    </xf>
    <xf numFmtId="171" fontId="14" fillId="19" borderId="19" applyAlignment="1" pivotButton="0" quotePrefix="0" xfId="0">
      <alignment horizontal="left" vertical="center"/>
    </xf>
    <xf numFmtId="166" fontId="14" fillId="16" borderId="19" applyAlignment="1" pivotButton="0" quotePrefix="0" xfId="0">
      <alignment horizontal="left" vertical="center"/>
    </xf>
    <xf numFmtId="166" fontId="14" fillId="14" borderId="19" applyAlignment="1" pivotButton="0" quotePrefix="0" xfId="0">
      <alignment horizontal="left" vertical="center"/>
    </xf>
    <xf numFmtId="166" fontId="14" fillId="19" borderId="19" applyAlignment="1" pivotButton="0" quotePrefix="0" xfId="0">
      <alignment horizontal="left" vertical="center"/>
    </xf>
    <xf numFmtId="1" fontId="14" fillId="19" borderId="19" applyAlignment="1" pivotButton="0" quotePrefix="0" xfId="0">
      <alignment horizontal="left" vertical="center"/>
    </xf>
    <xf numFmtId="1" fontId="14" fillId="14" borderId="19" applyAlignment="1" pivotButton="0" quotePrefix="0" xfId="0">
      <alignment horizontal="left" vertical="center"/>
    </xf>
    <xf numFmtId="1" fontId="14" fillId="16" borderId="19" applyAlignment="1" pivotButton="0" quotePrefix="0" xfId="0">
      <alignment horizontal="left" vertical="center"/>
    </xf>
    <xf numFmtId="0" fontId="14" fillId="14" borderId="19" applyAlignment="1" pivotButton="0" quotePrefix="0" xfId="0">
      <alignment horizontal="left" vertical="center"/>
    </xf>
    <xf numFmtId="0" fontId="13" fillId="24" borderId="19" applyAlignment="1" pivotButton="0" quotePrefix="0" xfId="0">
      <alignment horizontal="left" vertical="center" wrapText="1"/>
    </xf>
    <xf numFmtId="166" fontId="14" fillId="14" borderId="19" applyAlignment="1" pivotButton="0" quotePrefix="0" xfId="0">
      <alignment horizontal="left" vertical="center"/>
    </xf>
    <xf numFmtId="0" fontId="0" fillId="0" borderId="23" applyAlignment="1" pivotButton="0" quotePrefix="0" xfId="0">
      <alignment horizontal="left" vertical="center"/>
    </xf>
    <xf numFmtId="170" fontId="14" fillId="19" borderId="19" applyAlignment="1" pivotButton="0" quotePrefix="0" xfId="0">
      <alignment horizontal="left" vertical="center"/>
    </xf>
    <xf numFmtId="49" fontId="14" fillId="16" borderId="19" applyAlignment="1" pivotButton="0" quotePrefix="0" xfId="0">
      <alignment horizontal="left" vertical="center" wrapText="1"/>
    </xf>
    <xf numFmtId="169" fontId="14" fillId="19" borderId="19" applyAlignment="1" pivotButton="0" quotePrefix="0" xfId="0">
      <alignment horizontal="left" vertical="center" wrapText="1"/>
    </xf>
    <xf numFmtId="169" fontId="14" fillId="16" borderId="19" applyAlignment="1" pivotButton="0" quotePrefix="0" xfId="0">
      <alignment horizontal="left" vertical="center" wrapText="1"/>
    </xf>
    <xf numFmtId="171" fontId="14" fillId="19" borderId="19" applyAlignment="1" pivotButton="0" quotePrefix="0" xfId="0">
      <alignment horizontal="left" vertical="center" wrapText="1"/>
    </xf>
    <xf numFmtId="171" fontId="14" fillId="16" borderId="19" applyAlignment="1" pivotButton="0" quotePrefix="0" xfId="0">
      <alignment horizontal="left" vertical="center" wrapText="1"/>
    </xf>
    <xf numFmtId="166" fontId="14" fillId="19" borderId="19" applyAlignment="1" pivotButton="0" quotePrefix="0" xfId="0">
      <alignment horizontal="left" vertical="center" wrapText="1"/>
    </xf>
    <xf numFmtId="0" fontId="13" fillId="22" borderId="19" applyAlignment="1" pivotButton="0" quotePrefix="0" xfId="0">
      <alignment horizontal="left" vertical="center" wrapText="1"/>
    </xf>
    <xf numFmtId="0" fontId="13" fillId="24" borderId="19" applyAlignment="1" pivotButton="0" quotePrefix="0" xfId="0">
      <alignment horizontal="left" vertical="top" wrapText="1"/>
    </xf>
    <xf numFmtId="0" fontId="13" fillId="0" borderId="22" applyAlignment="1" pivotButton="0" quotePrefix="0" xfId="0">
      <alignment horizontal="left" vertical="top" wrapText="1"/>
    </xf>
    <xf numFmtId="0" fontId="13" fillId="0" borderId="23" applyAlignment="1" pivotButton="0" quotePrefix="0" xfId="0">
      <alignment horizontal="left" vertical="top" wrapText="1"/>
    </xf>
    <xf numFmtId="0" fontId="13" fillId="16" borderId="19" applyAlignment="1" pivotButton="0" quotePrefix="0" xfId="0">
      <alignment horizontal="left" vertical="top" wrapText="1"/>
    </xf>
    <xf numFmtId="0" fontId="14" fillId="16" borderId="19" applyAlignment="1" pivotButton="0" quotePrefix="0" xfId="0">
      <alignment horizontal="left" vertical="top" wrapText="1"/>
    </xf>
    <xf numFmtId="0" fontId="0" fillId="0" borderId="22" applyAlignment="1" pivotButton="0" quotePrefix="0" xfId="0">
      <alignment horizontal="left" vertical="top" wrapText="1"/>
    </xf>
    <xf numFmtId="0" fontId="0" fillId="0" borderId="23" applyAlignment="1" pivotButton="0" quotePrefix="0" xfId="0">
      <alignment horizontal="left" vertical="top" wrapText="1"/>
    </xf>
    <xf numFmtId="0" fontId="13" fillId="19" borderId="19" applyAlignment="1" pivotButton="0" quotePrefix="0" xfId="0">
      <alignment horizontal="left" vertical="top" wrapText="1"/>
    </xf>
    <xf numFmtId="0" fontId="14" fillId="19" borderId="19" applyAlignment="1" pivotButton="0" quotePrefix="0" xfId="0">
      <alignment horizontal="left" vertical="top" wrapText="1"/>
    </xf>
    <xf numFmtId="0" fontId="0" fillId="0" borderId="22" applyAlignment="1" pivotButton="0" quotePrefix="0" xfId="0">
      <alignment horizontal="left" vertical="center"/>
    </xf>
    <xf numFmtId="0" fontId="13" fillId="23" borderId="19" applyAlignment="1" pivotButton="0" quotePrefix="0" xfId="0">
      <alignment horizontal="left" vertical="center"/>
    </xf>
    <xf numFmtId="0" fontId="37" fillId="2" borderId="33" applyAlignment="1" pivotButton="0" quotePrefix="0" xfId="0">
      <alignment horizontal="left" vertical="top" wrapText="1"/>
    </xf>
    <xf numFmtId="0" fontId="0" fillId="0" borderId="36" pivotButton="0" quotePrefix="0" xfId="0"/>
    <xf numFmtId="0" fontId="0" fillId="0" borderId="37" pivotButton="0" quotePrefix="0" xfId="0"/>
    <xf numFmtId="0" fontId="38" fillId="24" borderId="33" applyAlignment="1" pivotButton="0" quotePrefix="0" xfId="0">
      <alignment horizontal="left" vertical="top" wrapText="1"/>
    </xf>
    <xf numFmtId="0" fontId="40" fillId="31" borderId="33" applyAlignment="1" pivotButton="0" quotePrefix="0" xfId="0">
      <alignment horizontal="left" vertical="top" wrapText="1"/>
    </xf>
    <xf numFmtId="0" fontId="39" fillId="31" borderId="33" applyAlignment="1" pivotButton="0" quotePrefix="0" xfId="0">
      <alignment horizontal="left" vertical="top" wrapText="1"/>
    </xf>
    <xf numFmtId="0" fontId="40" fillId="4" borderId="33" applyAlignment="1" pivotButton="0" quotePrefix="0" xfId="0">
      <alignment horizontal="left" vertical="top" wrapText="1"/>
    </xf>
    <xf numFmtId="0" fontId="39" fillId="4" borderId="33" applyAlignment="1" pivotButton="0" quotePrefix="0" xfId="0">
      <alignment horizontal="left" vertical="top" wrapText="1"/>
    </xf>
    <xf numFmtId="0" fontId="0" fillId="19" borderId="9" applyAlignment="1" pivotButton="0" quotePrefix="0" xfId="0">
      <alignment horizontal="left" vertical="center"/>
    </xf>
    <xf numFmtId="0" fontId="41" fillId="23" borderId="33" applyAlignment="1" pivotButton="0" quotePrefix="0" xfId="0">
      <alignment horizontal="left" vertical="top" wrapText="1"/>
    </xf>
    <xf numFmtId="0" fontId="12" fillId="2" borderId="39" applyAlignment="1" pivotButton="0" quotePrefix="0" xfId="0">
      <alignment horizontal="left" vertical="center"/>
    </xf>
    <xf numFmtId="0" fontId="0" fillId="0" borderId="40" pivotButton="0" quotePrefix="0" xfId="0"/>
    <xf numFmtId="0" fontId="33" fillId="32" borderId="39" applyAlignment="1" pivotButton="0" quotePrefix="0" xfId="0">
      <alignment horizontal="left" vertical="center"/>
    </xf>
    <xf numFmtId="0" fontId="33" fillId="32" borderId="39" applyAlignment="1" pivotButton="0" quotePrefix="0" xfId="0">
      <alignment horizontal="left" vertical="center" wrapText="1"/>
    </xf>
    <xf numFmtId="0" fontId="44" fillId="11" borderId="39" applyAlignment="1" pivotButton="0" quotePrefix="0" xfId="0">
      <alignment horizontal="left" vertical="center"/>
    </xf>
    <xf numFmtId="0" fontId="33" fillId="19" borderId="39" applyAlignment="1" pivotButton="0" quotePrefix="0" xfId="0">
      <alignment horizontal="left" vertical="center"/>
    </xf>
    <xf numFmtId="0" fontId="33" fillId="19" borderId="39" applyAlignment="1" pivotButton="0" quotePrefix="0" xfId="0">
      <alignment horizontal="left" vertical="center" wrapText="1"/>
    </xf>
    <xf numFmtId="0" fontId="0" fillId="19" borderId="9" pivotButton="0" quotePrefix="0" xfId="0"/>
    <xf numFmtId="0" fontId="33" fillId="30" borderId="39" applyAlignment="1" pivotButton="0" quotePrefix="0" xfId="0">
      <alignment horizontal="left" vertical="center"/>
    </xf>
    <xf numFmtId="0" fontId="33" fillId="26" borderId="39" applyAlignment="1" pivotButton="0" quotePrefix="0" xfId="0">
      <alignment horizontal="left" vertical="center"/>
    </xf>
    <xf numFmtId="0" fontId="33" fillId="7" borderId="39" applyAlignment="1" pivotButton="0" quotePrefix="0" xfId="0">
      <alignment horizontal="left" vertical="center"/>
    </xf>
    <xf numFmtId="0" fontId="33" fillId="25" borderId="39" applyAlignment="1" pivotButton="0" quotePrefix="0" xfId="0">
      <alignment horizontal="left" vertical="center"/>
    </xf>
    <xf numFmtId="0" fontId="33" fillId="27" borderId="39" applyAlignment="1" pivotButton="0" quotePrefix="0" xfId="0">
      <alignment horizontal="left" vertical="center"/>
    </xf>
    <xf numFmtId="0" fontId="33" fillId="28" borderId="39" applyAlignment="1" pivotButton="0" quotePrefix="0" xfId="0">
      <alignment horizontal="left" vertical="center"/>
    </xf>
    <xf numFmtId="0" fontId="33" fillId="29" borderId="39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164" fontId="17" fillId="0" borderId="0" pivotButton="0" quotePrefix="0" xfId="0"/>
    <xf numFmtId="164" fontId="2" fillId="0" borderId="0" applyAlignment="1" pivotButton="0" quotePrefix="0" xfId="0">
      <alignment vertical="center"/>
    </xf>
    <xf numFmtId="0" fontId="42" fillId="2" borderId="33" applyAlignment="1" pivotButton="0" quotePrefix="0" xfId="0">
      <alignment horizontal="left" vertical="center" wrapText="1"/>
    </xf>
    <xf numFmtId="0" fontId="0" fillId="4" borderId="33" applyAlignment="1" pivotButton="0" quotePrefix="0" xfId="0">
      <alignment horizontal="left" vertical="top"/>
    </xf>
    <xf numFmtId="0" fontId="0" fillId="4" borderId="33" applyAlignment="1" pivotButton="0" quotePrefix="0" xfId="0">
      <alignment horizontal="left" vertical="top" wrapText="1"/>
    </xf>
    <xf numFmtId="0" fontId="0" fillId="31" borderId="33" applyAlignment="1" pivotButton="0" quotePrefix="0" xfId="0">
      <alignment horizontal="left" vertical="top"/>
    </xf>
    <xf numFmtId="0" fontId="0" fillId="31" borderId="33" applyAlignment="1" pivotButton="0" quotePrefix="0" xfId="0">
      <alignment horizontal="left" vertical="top" wrapText="1"/>
    </xf>
    <xf numFmtId="176" fontId="17" fillId="0" borderId="0" pivotButton="0" quotePrefix="0" xfId="0"/>
    <xf numFmtId="0" fontId="2" fillId="17" borderId="38" applyAlignment="1" pivotButton="0" quotePrefix="0" xfId="0">
      <alignment horizontal="left" vertical="center" wrapText="1"/>
    </xf>
    <xf numFmtId="164" fontId="0" fillId="0" borderId="38" applyAlignment="1" pivotButton="0" quotePrefix="0" xfId="0">
      <alignment horizontal="left" vertical="center"/>
    </xf>
    <xf numFmtId="0" fontId="0" fillId="0" borderId="38" applyAlignment="1" pivotButton="0" quotePrefix="0" xfId="0">
      <alignment horizontal="left" vertical="center"/>
    </xf>
    <xf numFmtId="0" fontId="0" fillId="0" borderId="38" applyAlignment="1" pivotButton="0" quotePrefix="0" xfId="0">
      <alignment horizontal="left" vertical="top" wrapText="1"/>
    </xf>
    <xf numFmtId="169" fontId="0" fillId="0" borderId="38" applyAlignment="1" pivotButton="0" quotePrefix="0" xfId="0">
      <alignment horizontal="left" vertical="center"/>
    </xf>
    <xf numFmtId="175" fontId="0" fillId="0" borderId="38" applyAlignment="1" pivotButton="0" quotePrefix="0" xfId="0">
      <alignment horizontal="left" vertical="center"/>
    </xf>
    <xf numFmtId="165" fontId="0" fillId="0" borderId="38" applyAlignment="1" pivotButton="0" quotePrefix="0" xfId="0">
      <alignment horizontal="left" vertical="center"/>
    </xf>
    <xf numFmtId="0" fontId="31" fillId="3" borderId="19" pivotButton="0" quotePrefix="0" xfId="0"/>
    <xf numFmtId="0" fontId="0" fillId="0" borderId="19" applyAlignment="1" pivotButton="0" quotePrefix="0" xfId="0">
      <alignment horizontal="left" vertical="center"/>
    </xf>
    <xf numFmtId="0" fontId="0" fillId="0" borderId="19" applyAlignment="1" pivotButton="0" quotePrefix="0" xfId="0">
      <alignment horizontal="left" vertical="center" wrapText="1"/>
    </xf>
    <xf numFmtId="169" fontId="0" fillId="0" borderId="19" applyAlignment="1" pivotButton="0" quotePrefix="0" xfId="0">
      <alignment horizontal="left" vertical="center"/>
    </xf>
    <xf numFmtId="0" fontId="29" fillId="23" borderId="19" applyAlignment="1" pivotButton="0" quotePrefix="0" xfId="0">
      <alignment horizontal="left" vertical="center" wrapText="1"/>
    </xf>
    <xf numFmtId="0" fontId="30" fillId="0" borderId="19" applyAlignment="1" pivotButton="0" quotePrefix="0" xfId="0">
      <alignment horizontal="left" vertical="top" wrapText="1"/>
    </xf>
    <xf numFmtId="169" fontId="30" fillId="0" borderId="19" applyAlignment="1" pivotButton="0" quotePrefix="0" xfId="0">
      <alignment horizontal="left" vertical="top" wrapText="1"/>
    </xf>
    <xf numFmtId="166" fontId="30" fillId="0" borderId="19" applyAlignment="1" pivotButton="0" quotePrefix="0" xfId="0">
      <alignment horizontal="left" vertical="top" wrapText="1"/>
    </xf>
    <xf numFmtId="0" fontId="0" fillId="0" borderId="44" pivotButton="0" quotePrefix="0" xfId="0"/>
    <xf numFmtId="0" fontId="0" fillId="0" borderId="45" pivotButton="0" quotePrefix="0" xfId="0"/>
    <xf numFmtId="168" fontId="14" fillId="19" borderId="19" applyAlignment="1" pivotButton="0" quotePrefix="0" xfId="0">
      <alignment horizontal="left" vertical="center"/>
    </xf>
    <xf numFmtId="168" fontId="16" fillId="0" borderId="9" pivotButton="0" quotePrefix="0" xfId="0"/>
    <xf numFmtId="169" fontId="14" fillId="16" borderId="19" applyAlignment="1" pivotButton="0" quotePrefix="0" xfId="0">
      <alignment horizontal="left" vertical="center"/>
    </xf>
    <xf numFmtId="169" fontId="14" fillId="19" borderId="19" applyAlignment="1" pivotButton="0" quotePrefix="0" xfId="0">
      <alignment horizontal="left" vertical="center"/>
    </xf>
    <xf numFmtId="170" fontId="14" fillId="16" borderId="19" applyAlignment="1" pivotButton="0" quotePrefix="0" xfId="0">
      <alignment horizontal="left" vertical="center"/>
    </xf>
    <xf numFmtId="171" fontId="15" fillId="14" borderId="19" applyAlignment="1" pivotButton="0" quotePrefix="0" xfId="0">
      <alignment horizontal="left" vertical="center"/>
    </xf>
    <xf numFmtId="172" fontId="15" fillId="14" borderId="19" applyAlignment="1" pivotButton="0" quotePrefix="0" xfId="0">
      <alignment horizontal="left" vertical="center"/>
    </xf>
    <xf numFmtId="169" fontId="15" fillId="14" borderId="19" applyAlignment="1" pivotButton="0" quotePrefix="0" xfId="0">
      <alignment horizontal="left" vertical="center"/>
    </xf>
    <xf numFmtId="173" fontId="14" fillId="16" borderId="19" applyAlignment="1" pivotButton="0" quotePrefix="0" xfId="0">
      <alignment horizontal="left" vertical="center"/>
    </xf>
    <xf numFmtId="170" fontId="14" fillId="19" borderId="19" applyAlignment="1" pivotButton="0" quotePrefix="0" xfId="0">
      <alignment horizontal="left" vertical="center"/>
    </xf>
    <xf numFmtId="174" fontId="17" fillId="0" borderId="0" pivotButton="0" quotePrefix="0" xfId="0"/>
    <xf numFmtId="0" fontId="12" fillId="5" borderId="46" pivotButton="0" quotePrefix="0" xfId="0"/>
    <xf numFmtId="0" fontId="18" fillId="11" borderId="46" applyAlignment="1" pivotButton="0" quotePrefix="0" xfId="0">
      <alignment horizontal="center" vertical="center"/>
    </xf>
    <xf numFmtId="0" fontId="17" fillId="0" borderId="46" applyAlignment="1" pivotButton="0" quotePrefix="0" xfId="0">
      <alignment vertical="top" wrapText="1"/>
    </xf>
    <xf numFmtId="0" fontId="43" fillId="5" borderId="47" pivotButton="0" quotePrefix="0" xfId="0"/>
    <xf numFmtId="0" fontId="0" fillId="0" borderId="47" pivotButton="0" quotePrefix="0" xfId="0"/>
    <xf numFmtId="0" fontId="18" fillId="11" borderId="47" applyAlignment="1" pivotButton="0" quotePrefix="0" xfId="0">
      <alignment horizontal="left" vertical="top" wrapText="1"/>
    </xf>
    <xf numFmtId="0" fontId="18" fillId="11" borderId="47" pivotButton="0" quotePrefix="0" xfId="0"/>
    <xf numFmtId="168" fontId="9" fillId="14" borderId="0" pivotButton="0" quotePrefix="0" xfId="0"/>
    <xf numFmtId="0" fontId="3" fillId="0" borderId="47" applyAlignment="1" pivotButton="0" quotePrefix="0" xfId="0">
      <alignment horizontal="left" vertical="top" wrapText="1"/>
    </xf>
    <xf numFmtId="168" fontId="17" fillId="0" borderId="0" pivotButton="0" quotePrefix="0" xfId="0"/>
    <xf numFmtId="171" fontId="17" fillId="14" borderId="0" pivotButton="0" quotePrefix="0" xfId="0"/>
    <xf numFmtId="0" fontId="0" fillId="0" borderId="49" pivotButton="0" quotePrefix="0" xfId="0"/>
    <xf numFmtId="0" fontId="3" fillId="0" borderId="28" applyAlignment="1" pivotButton="0" quotePrefix="0" xfId="0">
      <alignment horizontal="left" vertical="top" wrapText="1"/>
    </xf>
    <xf numFmtId="0" fontId="0" fillId="0" borderId="50" pivotButton="0" quotePrefix="0" xfId="0"/>
    <xf numFmtId="0" fontId="18" fillId="13" borderId="47" pivotButton="0" quotePrefix="0" xfId="0"/>
    <xf numFmtId="168" fontId="17" fillId="0" borderId="0" applyAlignment="1" pivotButton="0" quotePrefix="0" xfId="0">
      <alignment horizontal="right" vertical="bottom"/>
    </xf>
    <xf numFmtId="168" fontId="17" fillId="15" borderId="10" applyAlignment="1" pivotButton="0" quotePrefix="0" xfId="0">
      <alignment horizontal="right" vertical="bottom"/>
    </xf>
    <xf numFmtId="168" fontId="17" fillId="15" borderId="11" applyAlignment="1" pivotButton="0" quotePrefix="0" xfId="0">
      <alignment horizontal="right" vertical="bottom"/>
    </xf>
    <xf numFmtId="168" fontId="17" fillId="15" borderId="12" applyAlignment="1" pivotButton="0" quotePrefix="0" xfId="0">
      <alignment horizontal="right" vertical="bottom"/>
    </xf>
    <xf numFmtId="168" fontId="17" fillId="15" borderId="13" applyAlignment="1" pivotButton="0" quotePrefix="0" xfId="0">
      <alignment horizontal="right" vertical="bottom"/>
    </xf>
    <xf numFmtId="168" fontId="17" fillId="15" borderId="14" applyAlignment="1" pivotButton="0" quotePrefix="0" xfId="0">
      <alignment horizontal="right" vertical="bottom"/>
    </xf>
    <xf numFmtId="168" fontId="17" fillId="15" borderId="15" applyAlignment="1" pivotButton="0" quotePrefix="0" xfId="0">
      <alignment horizontal="right" vertical="bottom"/>
    </xf>
    <xf numFmtId="168" fontId="17" fillId="15" borderId="16" applyAlignment="1" pivotButton="0" quotePrefix="0" xfId="0">
      <alignment horizontal="right" vertical="bottom"/>
    </xf>
    <xf numFmtId="168" fontId="17" fillId="15" borderId="17" applyAlignment="1" pivotButton="0" quotePrefix="0" xfId="0">
      <alignment horizontal="right" vertical="bottom"/>
    </xf>
    <xf numFmtId="168" fontId="17" fillId="15" borderId="18" applyAlignment="1" pivotButton="0" quotePrefix="0" xfId="0">
      <alignment horizontal="right" vertical="bottom"/>
    </xf>
    <xf numFmtId="168" fontId="17" fillId="0" borderId="27" applyAlignment="1" pivotButton="0" quotePrefix="0" xfId="0">
      <alignment horizontal="right" vertical="bottom"/>
    </xf>
    <xf numFmtId="0" fontId="18" fillId="13" borderId="47" applyAlignment="1" pivotButton="0" quotePrefix="0" xfId="0">
      <alignment horizontal="left" vertical="top" wrapText="1"/>
    </xf>
    <xf numFmtId="0" fontId="18" fillId="13" borderId="29" pivotButton="0" quotePrefix="0" xfId="0"/>
    <xf numFmtId="0" fontId="0" fillId="0" borderId="48" pivotButton="0" quotePrefix="0" xfId="0"/>
    <xf numFmtId="0" fontId="17" fillId="0" borderId="47" applyAlignment="1" pivotButton="0" quotePrefix="0" xfId="0">
      <alignment horizontal="left" vertical="top" wrapText="1"/>
    </xf>
    <xf numFmtId="169" fontId="22" fillId="10" borderId="2" applyAlignment="1" pivotButton="0" quotePrefix="0" xfId="0">
      <alignment horizontal="right"/>
    </xf>
    <xf numFmtId="169" fontId="22" fillId="9" borderId="2" applyAlignment="1" pivotButton="0" quotePrefix="0" xfId="0">
      <alignment horizontal="right"/>
    </xf>
    <xf numFmtId="169" fontId="22" fillId="7" borderId="2" applyAlignment="1" pivotButton="0" quotePrefix="0" xfId="0">
      <alignment horizontal="right"/>
    </xf>
    <xf numFmtId="169" fontId="22" fillId="6" borderId="2" applyAlignment="1" pivotButton="0" quotePrefix="0" xfId="0">
      <alignment horizontal="right"/>
    </xf>
    <xf numFmtId="169" fontId="22" fillId="8" borderId="2" applyAlignment="1" pivotButton="0" quotePrefix="0" xfId="0">
      <alignment horizontal="right"/>
    </xf>
    <xf numFmtId="169" fontId="22" fillId="0" borderId="2" applyAlignment="1" pivotButton="0" quotePrefix="0" xfId="0">
      <alignment horizontal="right"/>
    </xf>
    <xf numFmtId="174" fontId="22" fillId="8" borderId="2" applyAlignment="1" pivotButton="0" quotePrefix="0" xfId="0">
      <alignment horizontal="right"/>
    </xf>
    <xf numFmtId="174" fontId="22" fillId="9" borderId="2" applyAlignment="1" pivotButton="0" quotePrefix="0" xfId="0">
      <alignment horizontal="right"/>
    </xf>
    <xf numFmtId="174" fontId="22" fillId="0" borderId="2" applyAlignment="1" pivotButton="0" quotePrefix="0" xfId="0">
      <alignment horizontal="right"/>
    </xf>
    <xf numFmtId="0" fontId="0" fillId="0" borderId="51" pivotButton="0" quotePrefix="0" xfId="0"/>
    <xf numFmtId="0" fontId="0" fillId="0" borderId="52" pivotButton="0" quotePrefix="0" xfId="0"/>
    <xf numFmtId="169" fontId="23" fillId="19" borderId="2" applyAlignment="1" pivotButton="0" quotePrefix="0" xfId="0">
      <alignment horizontal="center" vertical="center"/>
    </xf>
    <xf numFmtId="169" fontId="23" fillId="10" borderId="2" applyAlignment="1" pivotButton="0" quotePrefix="0" xfId="0">
      <alignment horizontal="center" vertical="center"/>
    </xf>
    <xf numFmtId="169" fontId="23" fillId="9" borderId="2" applyAlignment="1" pivotButton="0" quotePrefix="0" xfId="0">
      <alignment horizontal="center" vertical="center"/>
    </xf>
    <xf numFmtId="169" fontId="23" fillId="8" borderId="2" applyAlignment="1" pivotButton="0" quotePrefix="0" xfId="0">
      <alignment horizontal="center" vertical="center"/>
    </xf>
    <xf numFmtId="169" fontId="23" fillId="7" borderId="2" applyAlignment="1" pivotButton="0" quotePrefix="0" xfId="0">
      <alignment horizontal="center" vertical="center"/>
    </xf>
    <xf numFmtId="169" fontId="23" fillId="0" borderId="2" applyAlignment="1" pivotButton="0" quotePrefix="0" xfId="0">
      <alignment horizontal="center" vertical="center"/>
    </xf>
    <xf numFmtId="169" fontId="23" fillId="6" borderId="2" applyAlignment="1" pivotButton="0" quotePrefix="0" xfId="0">
      <alignment horizontal="center" vertical="center"/>
    </xf>
    <xf numFmtId="170" fontId="23" fillId="0" borderId="2" applyAlignment="1" pivotButton="0" quotePrefix="0" xfId="0">
      <alignment horizontal="center" vertical="center"/>
    </xf>
    <xf numFmtId="170" fontId="14" fillId="14" borderId="19" applyAlignment="1" pivotButton="0" quotePrefix="0" xfId="0">
      <alignment horizontal="left" vertical="center"/>
    </xf>
    <xf numFmtId="169" fontId="14" fillId="14" borderId="19" applyAlignment="1" pivotButton="0" quotePrefix="0" xfId="0">
      <alignment horizontal="left" vertical="center"/>
    </xf>
    <xf numFmtId="171" fontId="14" fillId="16" borderId="19" applyAlignment="1" pivotButton="0" quotePrefix="0" xfId="0">
      <alignment horizontal="left" vertical="center"/>
    </xf>
    <xf numFmtId="171" fontId="14" fillId="14" borderId="19" applyAlignment="1" pivotButton="0" quotePrefix="0" xfId="0">
      <alignment horizontal="left" vertical="center"/>
    </xf>
    <xf numFmtId="171" fontId="14" fillId="19" borderId="19" applyAlignment="1" pivotButton="0" quotePrefix="0" xfId="0">
      <alignment horizontal="left" vertical="center"/>
    </xf>
    <xf numFmtId="169" fontId="14" fillId="19" borderId="19" applyAlignment="1" pivotButton="0" quotePrefix="0" xfId="0">
      <alignment horizontal="left" vertical="center" wrapText="1"/>
    </xf>
    <xf numFmtId="169" fontId="14" fillId="16" borderId="19" applyAlignment="1" pivotButton="0" quotePrefix="0" xfId="0">
      <alignment horizontal="left" vertical="center" wrapText="1"/>
    </xf>
    <xf numFmtId="171" fontId="14" fillId="19" borderId="19" applyAlignment="1" pivotButton="0" quotePrefix="0" xfId="0">
      <alignment horizontal="left" vertical="center" wrapText="1"/>
    </xf>
    <xf numFmtId="171" fontId="14" fillId="16" borderId="19" applyAlignment="1" pivotButton="0" quotePrefix="0" xfId="0">
      <alignment horizontal="left" vertical="center" wrapText="1"/>
    </xf>
    <xf numFmtId="0" fontId="12" fillId="2" borderId="39" applyAlignment="1" pivotButton="0" quotePrefix="0" xfId="0">
      <alignment horizontal="left" vertical="center"/>
    </xf>
    <xf numFmtId="0" fontId="33" fillId="32" borderId="39" applyAlignment="1" pivotButton="0" quotePrefix="0" xfId="0">
      <alignment horizontal="left" vertical="center"/>
    </xf>
    <xf numFmtId="0" fontId="44" fillId="11" borderId="39" applyAlignment="1" pivotButton="0" quotePrefix="0" xfId="0">
      <alignment horizontal="left" vertical="center"/>
    </xf>
    <xf numFmtId="0" fontId="33" fillId="19" borderId="39" applyAlignment="1" pivotButton="0" quotePrefix="0" xfId="0">
      <alignment horizontal="left" vertical="center"/>
    </xf>
    <xf numFmtId="0" fontId="33" fillId="30" borderId="39" applyAlignment="1" pivotButton="0" quotePrefix="0" xfId="0">
      <alignment horizontal="left" vertical="center"/>
    </xf>
    <xf numFmtId="0" fontId="33" fillId="26" borderId="39" applyAlignment="1" pivotButton="0" quotePrefix="0" xfId="0">
      <alignment horizontal="left" vertical="center"/>
    </xf>
    <xf numFmtId="0" fontId="33" fillId="7" borderId="39" applyAlignment="1" pivotButton="0" quotePrefix="0" xfId="0">
      <alignment horizontal="left" vertical="center"/>
    </xf>
    <xf numFmtId="0" fontId="33" fillId="25" borderId="39" applyAlignment="1" pivotButton="0" quotePrefix="0" xfId="0">
      <alignment horizontal="left" vertical="center"/>
    </xf>
    <xf numFmtId="0" fontId="33" fillId="27" borderId="39" applyAlignment="1" pivotButton="0" quotePrefix="0" xfId="0">
      <alignment horizontal="left" vertical="center"/>
    </xf>
    <xf numFmtId="0" fontId="33" fillId="28" borderId="39" applyAlignment="1" pivotButton="0" quotePrefix="0" xfId="0">
      <alignment horizontal="left" vertical="center"/>
    </xf>
    <xf numFmtId="0" fontId="33" fillId="29" borderId="39" applyAlignment="1" pivotButton="0" quotePrefix="0" xfId="0">
      <alignment horizontal="left" vertical="center"/>
    </xf>
    <xf numFmtId="169" fontId="0" fillId="0" borderId="38" applyAlignment="1" pivotButton="0" quotePrefix="0" xfId="0">
      <alignment horizontal="left" vertical="center"/>
    </xf>
    <xf numFmtId="169" fontId="0" fillId="0" borderId="19" applyAlignment="1" pivotButton="0" quotePrefix="0" xfId="0">
      <alignment horizontal="left" vertical="center"/>
    </xf>
    <xf numFmtId="169" fontId="30" fillId="0" borderId="19" applyAlignment="1" pivotButton="0" quotePrefix="0" xfId="0">
      <alignment horizontal="left" vertical="top" wrapText="1"/>
    </xf>
    <xf numFmtId="0" fontId="23" fillId="19" borderId="53" applyAlignment="1" pivotButton="0" quotePrefix="0" xfId="0">
      <alignment horizontal="left" vertical="center"/>
    </xf>
    <xf numFmtId="0" fontId="23" fillId="19" borderId="53" applyAlignment="1" pivotButton="0" quotePrefix="0" xfId="0">
      <alignment horizontal="left" vertical="center" wrapText="1"/>
    </xf>
    <xf numFmtId="0" fontId="23" fillId="20" borderId="53" applyAlignment="1" pivotButton="0" quotePrefix="0" xfId="0">
      <alignment horizontal="left" vertical="center"/>
    </xf>
    <xf numFmtId="0" fontId="23" fillId="20" borderId="53" applyAlignment="1" pivotButton="0" quotePrefix="0" xfId="0">
      <alignment horizontal="left" vertical="center" wrapText="1"/>
    </xf>
    <xf numFmtId="0" fontId="24" fillId="13" borderId="53" applyAlignment="1" pivotButton="0" quotePrefix="0" xfId="0">
      <alignment horizontal="left" vertical="center"/>
    </xf>
    <xf numFmtId="0" fontId="23" fillId="19" borderId="54" applyAlignment="1" pivotButton="0" quotePrefix="0" xfId="0">
      <alignment horizontal="left" vertical="top" wrapText="1"/>
    </xf>
    <xf numFmtId="0" fontId="26" fillId="20" borderId="53" applyAlignment="1" pivotButton="0" quotePrefix="0" xfId="0">
      <alignment horizontal="left" vertical="center" wrapText="1"/>
    </xf>
    <xf numFmtId="0" fontId="12" fillId="2" borderId="41" applyAlignment="1" pivotButton="0" quotePrefix="0" xfId="0">
      <alignment horizontal="left" vertical="center"/>
    </xf>
    <xf numFmtId="0" fontId="44" fillId="11" borderId="41" applyAlignment="1" pivotButton="0" quotePrefix="0" xfId="0">
      <alignment horizontal="left" vertical="center"/>
    </xf>
    <xf numFmtId="177" fontId="0" fillId="4" borderId="0" applyAlignment="1" pivotButton="0" quotePrefix="0" xfId="0">
      <alignment horizontal="center" vertical="center"/>
    </xf>
    <xf numFmtId="180" fontId="0" fillId="4" borderId="0" applyAlignment="1" pivotButton="0" quotePrefix="0" xfId="0">
      <alignment horizontal="center" vertical="center"/>
    </xf>
    <xf numFmtId="182" fontId="0" fillId="3" borderId="0" applyAlignment="1" pivotButton="0" quotePrefix="0" xfId="0">
      <alignment horizontal="center" vertical="center"/>
    </xf>
    <xf numFmtId="177" fontId="0" fillId="3" borderId="0" applyAlignment="1" pivotButton="0" quotePrefix="0" xfId="0">
      <alignment horizontal="center" vertical="center"/>
    </xf>
    <xf numFmtId="178" fontId="0" fillId="4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12" fillId="5" borderId="19" applyAlignment="1" pivotButton="0" quotePrefix="0" xfId="0">
      <alignment horizontal="left" vertical="center" wrapText="1"/>
    </xf>
    <xf numFmtId="0" fontId="45" fillId="11" borderId="19" applyAlignment="1" pivotButton="0" quotePrefix="0" xfId="0">
      <alignment horizontal="left" vertical="center" wrapText="1"/>
    </xf>
    <xf numFmtId="0" fontId="45" fillId="11" borderId="0" applyAlignment="1" pivotButton="0" quotePrefix="0" xfId="0">
      <alignment horizontal="left" vertical="center" wrapText="1"/>
    </xf>
    <xf numFmtId="177" fontId="17" fillId="0" borderId="0" pivotButton="0" quotePrefix="0" xfId="0"/>
    <xf numFmtId="180" fontId="17" fillId="0" borderId="0" pivotButton="0" quotePrefix="0" xfId="0"/>
    <xf numFmtId="169" fontId="14" fillId="0" borderId="19" applyAlignment="1" pivotButton="0" quotePrefix="0" xfId="0">
      <alignment horizontal="left" vertical="center"/>
    </xf>
    <xf numFmtId="166" fontId="15" fillId="0" borderId="19" applyAlignment="1" pivotButton="0" quotePrefix="0" xfId="0">
      <alignment horizontal="left" vertical="center"/>
    </xf>
    <xf numFmtId="172" fontId="15" fillId="0" borderId="19" applyAlignment="1" pivotButton="0" quotePrefix="0" xfId="0">
      <alignment horizontal="left" vertical="center"/>
    </xf>
    <xf numFmtId="169" fontId="15" fillId="0" borderId="19" applyAlignment="1" pivotButton="0" quotePrefix="0" xfId="0">
      <alignment horizontal="left" vertical="center"/>
    </xf>
    <xf numFmtId="177" fontId="14" fillId="16" borderId="19" applyAlignment="1" pivotButton="0" quotePrefix="0" xfId="0">
      <alignment horizontal="left" vertical="center"/>
    </xf>
    <xf numFmtId="177" fontId="14" fillId="19" borderId="19" applyAlignment="1" pivotButton="0" quotePrefix="0" xfId="0">
      <alignment horizontal="left" vertical="center"/>
    </xf>
    <xf numFmtId="183" fontId="14" fillId="19" borderId="19" applyAlignment="1" pivotButton="0" quotePrefix="0" xfId="0">
      <alignment horizontal="left" vertical="center"/>
    </xf>
    <xf numFmtId="183" fontId="14" fillId="16" borderId="19" applyAlignment="1" pivotButton="0" quotePrefix="0" xfId="0">
      <alignment horizontal="left" vertical="center"/>
    </xf>
    <xf numFmtId="178" fontId="17" fillId="0" borderId="0" pivotButton="0" quotePrefix="0" xfId="0"/>
    <xf numFmtId="181" fontId="17" fillId="0" borderId="0" pivotButton="0" quotePrefix="0" xfId="0"/>
    <xf numFmtId="182" fontId="17" fillId="0" borderId="0" pivotButton="0" quotePrefix="0" xfId="0"/>
    <xf numFmtId="0" fontId="12" fillId="5" borderId="0" applyAlignment="1" pivotButton="0" quotePrefix="0" xfId="0">
      <alignment horizontal="left" vertical="center" wrapText="1"/>
    </xf>
    <xf numFmtId="0" fontId="44" fillId="11" borderId="0" applyAlignment="1" pivotButton="0" quotePrefix="0" xfId="0">
      <alignment horizontal="left" vertical="center" wrapText="1"/>
    </xf>
    <xf numFmtId="177" fontId="17" fillId="0" borderId="0" applyAlignment="1" pivotButton="0" quotePrefix="0" xfId="0">
      <alignment horizontal="left" vertical="center" wrapText="1"/>
    </xf>
    <xf numFmtId="178" fontId="17" fillId="0" borderId="0" applyAlignment="1" pivotButton="0" quotePrefix="0" xfId="0">
      <alignment horizontal="left" vertical="center" wrapText="1"/>
    </xf>
    <xf numFmtId="0" fontId="12" fillId="5" borderId="2" applyAlignment="1" pivotButton="0" quotePrefix="0" xfId="0">
      <alignment horizontal="left" vertical="center" wrapText="1"/>
    </xf>
    <xf numFmtId="0" fontId="45" fillId="11" borderId="2" applyAlignment="1" pivotButton="0" quotePrefix="0" xfId="0">
      <alignment horizontal="left" vertical="center" wrapText="1"/>
    </xf>
    <xf numFmtId="1" fontId="17" fillId="0" borderId="2" applyAlignment="1" pivotButton="0" quotePrefix="0" xfId="0">
      <alignment horizontal="right" vertical="center"/>
    </xf>
    <xf numFmtId="0" fontId="17" fillId="0" borderId="2" applyAlignment="1" pivotButton="0" quotePrefix="0" xfId="0">
      <alignment horizontal="left" vertical="center"/>
    </xf>
    <xf numFmtId="0" fontId="17" fillId="0" borderId="9" applyAlignment="1" pivotButton="0" quotePrefix="0" xfId="0">
      <alignment horizontal="left" vertical="center" wrapText="1"/>
    </xf>
    <xf numFmtId="0" fontId="17" fillId="0" borderId="9" applyAlignment="1" pivotButton="0" quotePrefix="0" xfId="0">
      <alignment horizontal="right" vertical="center"/>
    </xf>
    <xf numFmtId="0" fontId="17" fillId="0" borderId="9" applyAlignment="1" pivotButton="0" quotePrefix="0" xfId="0">
      <alignment horizontal="left" vertical="center"/>
    </xf>
    <xf numFmtId="0" fontId="43" fillId="5" borderId="47" applyAlignment="1" pivotButton="0" quotePrefix="0" xfId="0">
      <alignment horizontal="left" vertical="center" wrapText="1"/>
    </xf>
    <xf numFmtId="168" fontId="9" fillId="14" borderId="0" applyProtection="1" pivotButton="0" quotePrefix="0" xfId="0">
      <protection locked="0" hidden="0"/>
    </xf>
    <xf numFmtId="169" fontId="17" fillId="0" borderId="0" pivotButton="0" quotePrefix="0" xfId="0"/>
    <xf numFmtId="171" fontId="17" fillId="14" borderId="0" applyProtection="1" pivotButton="0" quotePrefix="0" xfId="0">
      <protection locked="0" hidden="0"/>
    </xf>
    <xf numFmtId="166" fontId="17" fillId="14" borderId="0" applyProtection="1" pivotButton="0" quotePrefix="0" xfId="0">
      <protection locked="0" hidden="0"/>
    </xf>
    <xf numFmtId="165" fontId="17" fillId="14" borderId="0" applyProtection="1" pivotButton="0" quotePrefix="0" xfId="0">
      <protection locked="0" hidden="0"/>
    </xf>
    <xf numFmtId="0" fontId="17" fillId="14" borderId="27" applyProtection="1" pivotButton="0" quotePrefix="0" xfId="0">
      <protection locked="0" hidden="0"/>
    </xf>
    <xf numFmtId="0" fontId="17" fillId="0" borderId="0" applyProtection="1" pivotButton="0" quotePrefix="0" xfId="0">
      <protection locked="0" hidden="0"/>
    </xf>
    <xf numFmtId="183" fontId="17" fillId="0" borderId="0" pivotButton="0" quotePrefix="0" xfId="0"/>
    <xf numFmtId="166" fontId="18" fillId="0" borderId="0" applyAlignment="1" applyProtection="1" pivotButton="0" quotePrefix="0" xfId="0">
      <alignment horizontal="center" vertical="bottom"/>
      <protection locked="0" hidden="0"/>
    </xf>
    <xf numFmtId="166" fontId="18" fillId="15" borderId="0" applyAlignment="1" applyProtection="1" pivotButton="0" quotePrefix="0" xfId="0">
      <alignment horizontal="center" vertical="bottom"/>
      <protection locked="0" hidden="0"/>
    </xf>
    <xf numFmtId="183" fontId="17" fillId="0" borderId="0" applyAlignment="1" pivotButton="0" quotePrefix="0" xfId="0">
      <alignment horizontal="right" vertical="bottom"/>
    </xf>
    <xf numFmtId="183" fontId="17" fillId="15" borderId="10" applyAlignment="1" pivotButton="0" quotePrefix="0" xfId="0">
      <alignment horizontal="right" vertical="bottom"/>
    </xf>
    <xf numFmtId="183" fontId="17" fillId="15" borderId="11" applyAlignment="1" pivotButton="0" quotePrefix="0" xfId="0">
      <alignment horizontal="right" vertical="bottom"/>
    </xf>
    <xf numFmtId="183" fontId="17" fillId="15" borderId="12" applyAlignment="1" pivotButton="0" quotePrefix="0" xfId="0">
      <alignment horizontal="right" vertical="bottom"/>
    </xf>
    <xf numFmtId="183" fontId="17" fillId="15" borderId="13" applyAlignment="1" pivotButton="0" quotePrefix="0" xfId="0">
      <alignment horizontal="right" vertical="bottom"/>
    </xf>
    <xf numFmtId="183" fontId="17" fillId="15" borderId="14" applyAlignment="1" pivotButton="0" quotePrefix="0" xfId="0">
      <alignment horizontal="right" vertical="bottom"/>
    </xf>
    <xf numFmtId="183" fontId="17" fillId="15" borderId="15" applyAlignment="1" pivotButton="0" quotePrefix="0" xfId="0">
      <alignment horizontal="right" vertical="bottom"/>
    </xf>
    <xf numFmtId="183" fontId="17" fillId="15" borderId="16" applyAlignment="1" pivotButton="0" quotePrefix="0" xfId="0">
      <alignment horizontal="right" vertical="bottom"/>
    </xf>
    <xf numFmtId="183" fontId="17" fillId="15" borderId="17" applyAlignment="1" pivotButton="0" quotePrefix="0" xfId="0">
      <alignment horizontal="right" vertical="bottom"/>
    </xf>
    <xf numFmtId="183" fontId="17" fillId="15" borderId="18" applyAlignment="1" pivotButton="0" quotePrefix="0" xfId="0">
      <alignment horizontal="right" vertical="bottom"/>
    </xf>
    <xf numFmtId="166" fontId="18" fillId="0" borderId="27" applyAlignment="1" applyProtection="1" pivotButton="0" quotePrefix="0" xfId="0">
      <alignment horizontal="center" vertical="bottom"/>
      <protection locked="0" hidden="0"/>
    </xf>
    <xf numFmtId="183" fontId="17" fillId="0" borderId="27" applyAlignment="1" pivotButton="0" quotePrefix="0" xfId="0">
      <alignment horizontal="right" vertical="bottom"/>
    </xf>
    <xf numFmtId="0" fontId="17" fillId="14" borderId="0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169" fontId="0" fillId="0" borderId="0" pivotButton="0" quotePrefix="0" xfId="0"/>
    <xf numFmtId="166" fontId="0" fillId="0" borderId="0" pivotButton="0" quotePrefix="0" xfId="0"/>
    <xf numFmtId="170" fontId="17" fillId="0" borderId="0" pivotButton="0" quotePrefix="0" xfId="0"/>
    <xf numFmtId="0" fontId="12" fillId="0" borderId="0" applyAlignment="1" pivotButton="0" quotePrefix="0" xfId="0">
      <alignment horizontal="left" vertical="top" wrapText="1"/>
    </xf>
    <xf numFmtId="0" fontId="17" fillId="0" borderId="47" applyAlignment="1" applyProtection="1" pivotButton="0" quotePrefix="0" xfId="0">
      <alignment horizontal="left" vertical="top" wrapText="1"/>
      <protection locked="0" hidden="0"/>
    </xf>
    <xf numFmtId="184" fontId="17" fillId="0" borderId="0" pivotButton="0" quotePrefix="0" xfId="0"/>
    <xf numFmtId="177" fontId="0" fillId="0" borderId="0" pivotButton="0" quotePrefix="0" xfId="0"/>
    <xf numFmtId="182" fontId="17" fillId="0" borderId="27" pivotButton="0" quotePrefix="0" xfId="0"/>
    <xf numFmtId="183" fontId="0" fillId="0" borderId="0" pivotButton="0" quotePrefix="0" xfId="0"/>
    <xf numFmtId="179" fontId="0" fillId="0" borderId="0" pivotButton="0" quotePrefix="0" xfId="0"/>
    <xf numFmtId="169" fontId="22" fillId="19" borderId="2" applyAlignment="1" pivotButton="0" quotePrefix="0" xfId="0">
      <alignment horizontal="right"/>
    </xf>
    <xf numFmtId="177" fontId="22" fillId="19" borderId="2" applyAlignment="1" pivotButton="0" quotePrefix="0" xfId="0">
      <alignment horizontal="right"/>
    </xf>
    <xf numFmtId="180" fontId="22" fillId="19" borderId="2" applyAlignment="1" pivotButton="0" quotePrefix="0" xfId="0">
      <alignment horizontal="right"/>
    </xf>
    <xf numFmtId="178" fontId="22" fillId="19" borderId="2" applyAlignment="1" pivotButton="0" quotePrefix="0" xfId="0">
      <alignment horizontal="right"/>
    </xf>
    <xf numFmtId="175" fontId="22" fillId="19" borderId="2" applyAlignment="1" pivotButton="0" quotePrefix="0" xfId="0">
      <alignment horizontal="right"/>
    </xf>
    <xf numFmtId="0" fontId="1" fillId="0" borderId="0" applyAlignment="1" pivotButton="0" quotePrefix="0" xfId="0">
      <alignment horizontal="center" vertical="center"/>
    </xf>
    <xf numFmtId="0" fontId="18" fillId="0" borderId="2" applyAlignment="1" pivotButton="0" quotePrefix="0" xfId="0">
      <alignment horizontal="center" vertical="center"/>
    </xf>
    <xf numFmtId="184" fontId="14" fillId="19" borderId="19" applyAlignment="1" pivotButton="0" quotePrefix="0" xfId="0">
      <alignment horizontal="left" vertical="center"/>
    </xf>
    <xf numFmtId="171" fontId="14" fillId="16" borderId="19" applyAlignment="1" applyProtection="1" pivotButton="0" quotePrefix="0" xfId="0">
      <alignment horizontal="left" vertical="center"/>
      <protection locked="0" hidden="0"/>
    </xf>
    <xf numFmtId="171" fontId="14" fillId="19" borderId="19" applyAlignment="1" applyProtection="1" pivotButton="0" quotePrefix="0" xfId="0">
      <alignment horizontal="left" vertical="center"/>
      <protection locked="0" hidden="0"/>
    </xf>
    <xf numFmtId="166" fontId="14" fillId="16" borderId="19" applyAlignment="1" applyProtection="1" pivotButton="0" quotePrefix="0" xfId="0">
      <alignment horizontal="left" vertical="center"/>
      <protection locked="0" hidden="0"/>
    </xf>
    <xf numFmtId="166" fontId="14" fillId="19" borderId="19" applyAlignment="1" applyProtection="1" pivotButton="0" quotePrefix="0" xfId="0">
      <alignment horizontal="left" vertical="center"/>
      <protection locked="0" hidden="0"/>
    </xf>
    <xf numFmtId="169" fontId="14" fillId="19" borderId="19" applyAlignment="1" applyProtection="1" pivotButton="0" quotePrefix="0" xfId="0">
      <alignment horizontal="left" vertical="center"/>
      <protection locked="0" hidden="0"/>
    </xf>
    <xf numFmtId="169" fontId="14" fillId="16" borderId="19" applyAlignment="1" applyProtection="1" pivotButton="0" quotePrefix="0" xfId="0">
      <alignment horizontal="left" vertical="center"/>
      <protection locked="0" hidden="0"/>
    </xf>
    <xf numFmtId="1" fontId="14" fillId="19" borderId="19" applyAlignment="1" applyProtection="1" pivotButton="0" quotePrefix="0" xfId="0">
      <alignment horizontal="left" vertical="center"/>
      <protection locked="0" hidden="0"/>
    </xf>
    <xf numFmtId="1" fontId="14" fillId="16" borderId="19" applyAlignment="1" applyProtection="1" pivotButton="0" quotePrefix="0" xfId="0">
      <alignment horizontal="left" vertical="center"/>
      <protection locked="0" hidden="0"/>
    </xf>
    <xf numFmtId="0" fontId="13" fillId="23" borderId="19" applyAlignment="1" applyProtection="1" pivotButton="0" quotePrefix="0" xfId="0">
      <alignment horizontal="left" vertical="center"/>
      <protection locked="0" hidden="0"/>
    </xf>
    <xf numFmtId="0" fontId="14" fillId="14" borderId="19" applyAlignment="1" applyProtection="1" pivotButton="0" quotePrefix="0" xfId="0">
      <alignment horizontal="left" vertical="center"/>
      <protection locked="0" hidden="0"/>
    </xf>
    <xf numFmtId="0" fontId="14" fillId="19" borderId="19" applyAlignment="1" applyProtection="1" pivotButton="0" quotePrefix="0" xfId="0">
      <alignment horizontal="left" vertical="center"/>
      <protection locked="0" hidden="0"/>
    </xf>
    <xf numFmtId="0" fontId="14" fillId="16" borderId="19" applyAlignment="1" applyProtection="1" pivotButton="0" quotePrefix="0" xfId="0">
      <alignment horizontal="left" vertical="center" wrapText="1"/>
      <protection locked="0" hidden="0"/>
    </xf>
    <xf numFmtId="166" fontId="14" fillId="14" borderId="19" applyAlignment="1" applyProtection="1" pivotButton="0" quotePrefix="0" xfId="0">
      <alignment horizontal="left" vertical="center"/>
      <protection locked="0" hidden="0"/>
    </xf>
    <xf numFmtId="0" fontId="14" fillId="19" borderId="19" applyAlignment="1" applyProtection="1" pivotButton="0" quotePrefix="0" xfId="0">
      <alignment horizontal="left" vertical="center" wrapText="1"/>
      <protection locked="0" hidden="0"/>
    </xf>
    <xf numFmtId="182" fontId="14" fillId="16" borderId="19" applyAlignment="1" pivotButton="0" quotePrefix="0" xfId="0">
      <alignment horizontal="left" vertical="center"/>
    </xf>
    <xf numFmtId="182" fontId="0" fillId="0" borderId="0" pivotButton="0" quotePrefix="0" xfId="0"/>
    <xf numFmtId="183" fontId="14" fillId="16" borderId="19" applyAlignment="1" pivotButton="0" quotePrefix="0" xfId="0">
      <alignment horizontal="left" vertical="center" wrapText="1"/>
    </xf>
    <xf numFmtId="177" fontId="14" fillId="19" borderId="19" applyAlignment="1" pivotButton="0" quotePrefix="0" xfId="0">
      <alignment horizontal="left" vertical="center" wrapText="1"/>
    </xf>
    <xf numFmtId="177" fontId="14" fillId="16" borderId="19" applyAlignment="1" pivotButton="0" quotePrefix="0" xfId="0">
      <alignment horizontal="left" vertical="center" wrapText="1"/>
    </xf>
    <xf numFmtId="180" fontId="0" fillId="0" borderId="0" pivotButton="0" quotePrefix="0" xfId="0"/>
    <xf numFmtId="184" fontId="14" fillId="16" borderId="19" applyAlignment="1" pivotButton="0" quotePrefix="0" xfId="0">
      <alignment horizontal="left" vertical="center"/>
    </xf>
    <xf numFmtId="180" fontId="14" fillId="16" borderId="19" applyAlignment="1" pivotButton="0" quotePrefix="0" xfId="0">
      <alignment horizontal="left" vertical="center"/>
    </xf>
    <xf numFmtId="182" fontId="14" fillId="19" borderId="19" applyAlignment="1" pivotButton="0" quotePrefix="0" xfId="0">
      <alignment horizontal="left" vertical="center"/>
    </xf>
    <xf numFmtId="180" fontId="14" fillId="19" borderId="19" applyAlignment="1" pivotButton="0" quotePrefix="0" xfId="0">
      <alignment horizontal="left" vertical="center"/>
    </xf>
    <xf numFmtId="170" fontId="14" fillId="16" borderId="19" applyAlignment="1" applyProtection="1" pivotButton="0" quotePrefix="0" xfId="0">
      <alignment horizontal="left" vertical="center"/>
      <protection locked="0" hidden="0"/>
    </xf>
    <xf numFmtId="170" fontId="14" fillId="19" borderId="19" applyAlignment="1" applyProtection="1" pivotButton="0" quotePrefix="0" xfId="0">
      <alignment horizontal="left" vertical="center"/>
      <protection locked="0" hidden="0"/>
    </xf>
    <xf numFmtId="0" fontId="13" fillId="23" borderId="19" applyAlignment="1" applyProtection="1" pivotButton="0" quotePrefix="0" xfId="0">
      <alignment horizontal="left" vertical="center" wrapText="1"/>
      <protection locked="0" hidden="0"/>
    </xf>
    <xf numFmtId="183" fontId="14" fillId="19" borderId="19" applyAlignment="1" pivotButton="0" quotePrefix="0" xfId="0">
      <alignment horizontal="left" vertical="center" wrapText="1"/>
    </xf>
    <xf numFmtId="0" fontId="33" fillId="32" borderId="41" applyAlignment="1" pivotButton="0" quotePrefix="0" xfId="0">
      <alignment horizontal="left" vertical="center"/>
    </xf>
    <xf numFmtId="0" fontId="33" fillId="19" borderId="41" applyAlignment="1" pivotButton="0" quotePrefix="0" xfId="0">
      <alignment horizontal="left" vertical="center"/>
    </xf>
    <xf numFmtId="0" fontId="33" fillId="0" borderId="39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 wrapText="1"/>
    </xf>
    <xf numFmtId="0" fontId="46" fillId="21" borderId="0" applyAlignment="1" pivotButton="0" quotePrefix="0" xfId="0">
      <alignment horizontal="left" vertical="center"/>
    </xf>
    <xf numFmtId="174" fontId="0" fillId="0" borderId="0" pivotButton="0" quotePrefix="0" xfId="0"/>
    <xf numFmtId="184" fontId="0" fillId="0" borderId="0" pivotButton="0" quotePrefix="0" xfId="0"/>
    <xf numFmtId="1" fontId="0" fillId="0" borderId="0" pivotButton="0" quotePrefix="0" xfId="0"/>
    <xf numFmtId="185" fontId="0" fillId="0" borderId="0" pivotButton="0" quotePrefix="0" xfId="0"/>
    <xf numFmtId="0" fontId="47" fillId="33" borderId="0" applyAlignment="1" pivotButton="0" quotePrefix="0" xfId="0">
      <alignment horizontal="left" vertical="center"/>
    </xf>
    <xf numFmtId="0" fontId="0" fillId="33" borderId="0" pivotButton="0" quotePrefix="0" xfId="0"/>
    <xf numFmtId="0" fontId="46" fillId="21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vertical="center" wrapText="1"/>
    </xf>
    <xf numFmtId="178" fontId="0" fillId="0" borderId="0" pivotButton="0" quotePrefix="0" xfId="0"/>
  </cellXfs>
  <cellStyles count="1">
    <cellStyle name="Normal" xfId="0" builtinId="0" hidden="0"/>
  </cellStyles>
  <dxfs count="6">
    <dxf>
      <fill>
        <patternFill patternType="solid">
          <fgColor rgb="00F4B183"/>
        </patternFill>
      </fill>
    </dxf>
    <dxf>
      <fill>
        <patternFill patternType="solid">
          <fgColor rgb="00F8CBAD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E2F0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styles" Target="styles.xml" Id="rId47"/><Relationship Type="http://schemas.openxmlformats.org/officeDocument/2006/relationships/theme" Target="theme/theme1.xml" Id="rId4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zoomScale="110" workbookViewId="0">
      <pane ySplit="1" topLeftCell="A2" activePane="bottomLeft" state="frozen"/>
      <selection pane="bottomLeft" activeCell="A1" sqref="A1"/>
    </sheetView>
  </sheetViews>
  <sheetFormatPr baseColWidth="8" defaultRowHeight="18"/>
  <cols>
    <col width="42" customWidth="1" min="1" max="1"/>
    <col width="18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4" customHeight="1">
      <c r="A1" s="1" t="inlineStr">
        <is>
          <t>SUMMARY</t>
        </is>
      </c>
      <c r="B1" s="347" t="n"/>
      <c r="C1" s="347" t="n"/>
      <c r="D1" s="347" t="n"/>
      <c r="E1" s="347" t="n"/>
      <c r="F1" s="348" t="n"/>
    </row>
    <row r="2" ht="22" customHeight="1">
      <c r="A2" s="3" t="inlineStr">
        <is>
          <t>What the company does</t>
        </is>
      </c>
      <c r="B2" s="347" t="n"/>
      <c r="C2" s="347" t="n"/>
      <c r="D2" s="347" t="n"/>
      <c r="E2" s="347" t="n"/>
      <c r="F2" s="348" t="n"/>
    </row>
    <row r="3" ht="34" customHeight="1">
      <c r="A3" s="4" t="n"/>
    </row>
    <row r="4" ht="22" customHeight="1">
      <c r="A4" s="3" t="inlineStr">
        <is>
          <t>Current strategic context</t>
        </is>
      </c>
      <c r="B4" s="347" t="n"/>
      <c r="C4" s="347" t="n"/>
      <c r="D4" s="347" t="n"/>
      <c r="E4" s="347" t="n"/>
      <c r="F4" s="348" t="n"/>
    </row>
    <row r="5" ht="68" customHeight="1">
      <c r="A5" s="5" t="n"/>
    </row>
    <row r="6" ht="22" customHeight="1">
      <c r="A6" s="3" t="inlineStr">
        <is>
          <t>Key competitive advantage</t>
        </is>
      </c>
      <c r="B6" s="347" t="n"/>
      <c r="C6" s="347" t="n"/>
      <c r="D6" s="347" t="n"/>
      <c r="E6" s="347" t="n"/>
      <c r="F6" s="348" t="n"/>
    </row>
    <row r="7" ht="52" customHeight="1">
      <c r="A7" s="4" t="n"/>
    </row>
    <row r="8" ht="22" customHeight="1">
      <c r="A8" s="3" t="n"/>
      <c r="B8" s="347" t="n"/>
      <c r="C8" s="347" t="n"/>
      <c r="D8" s="347" t="n"/>
      <c r="E8" s="347" t="n"/>
      <c r="F8" s="348" t="n"/>
    </row>
    <row r="9" ht="24" customHeight="1">
      <c r="A9" s="6" t="n"/>
      <c r="B9" s="5" t="n"/>
    </row>
    <row r="10" ht="24" customHeight="1">
      <c r="A10" s="7" t="n"/>
      <c r="B10" s="4" t="n"/>
    </row>
    <row r="11" ht="24" customHeight="1">
      <c r="A11" s="6" t="n"/>
      <c r="B11" s="5" t="n"/>
    </row>
    <row r="12" ht="22" customHeight="1">
      <c r="A12" s="3" t="inlineStr">
        <is>
          <t>Operating model per segment</t>
        </is>
      </c>
      <c r="B12" s="347" t="n"/>
      <c r="C12" s="347" t="n"/>
      <c r="D12" s="347" t="n"/>
      <c r="E12" s="347" t="n"/>
      <c r="F12" s="348" t="n"/>
    </row>
    <row r="13" ht="34" customHeight="1">
      <c r="A13" s="7" t="n"/>
      <c r="B13" s="4" t="n"/>
    </row>
    <row r="14" ht="34" customHeight="1">
      <c r="A14" s="6" t="n"/>
      <c r="B14" s="5" t="n"/>
    </row>
    <row r="15" ht="34" customHeight="1">
      <c r="A15" s="7" t="n"/>
      <c r="B15" s="4" t="n"/>
    </row>
    <row r="16" ht="22" customHeight="1">
      <c r="A16" s="3" t="inlineStr">
        <is>
          <t>Key dependencies (3-5)</t>
        </is>
      </c>
      <c r="B16" s="347" t="n"/>
      <c r="C16" s="347" t="n"/>
      <c r="D16" s="347" t="n"/>
      <c r="E16" s="347" t="n"/>
      <c r="F16" s="348" t="n"/>
    </row>
    <row r="17" ht="36" customHeight="1">
      <c r="A17" s="5" t="n"/>
    </row>
    <row r="18" ht="36" customHeight="1">
      <c r="A18" s="4" t="n"/>
    </row>
    <row r="19" ht="36" customHeight="1">
      <c r="A19" s="5" t="n"/>
    </row>
    <row r="20" ht="36" customHeight="1">
      <c r="A20" s="4" t="n"/>
    </row>
    <row r="21" ht="36" customHeight="1">
      <c r="A21" s="5" t="n"/>
    </row>
    <row r="22" ht="22" customHeight="1">
      <c r="A22" s="3" t="inlineStr">
        <is>
          <t>What would make me wrong</t>
        </is>
      </c>
      <c r="B22" s="347" t="n"/>
      <c r="C22" s="347" t="n"/>
      <c r="D22" s="347" t="n"/>
      <c r="E22" s="347" t="n"/>
      <c r="F22" s="348" t="n"/>
    </row>
    <row r="23" ht="42" customHeight="1">
      <c r="A23" s="4" t="n"/>
    </row>
    <row r="24" ht="42" customHeight="1">
      <c r="A24" s="5" t="n"/>
    </row>
    <row r="25" ht="24" customHeight="1">
      <c r="A25" s="8" t="inlineStr">
        <is>
          <t>Key Financials</t>
        </is>
      </c>
      <c r="B25" s="347" t="n"/>
      <c r="C25" s="347" t="n"/>
      <c r="D25" s="347" t="n"/>
      <c r="E25" s="347" t="n"/>
      <c r="F25" s="348" t="n"/>
    </row>
    <row r="26" ht="22" customHeight="1">
      <c r="A26" s="9" t="inlineStr">
        <is>
          <t>As of quarter</t>
        </is>
      </c>
      <c r="B26" s="10" t="n"/>
      <c r="C26" s="11" t="n"/>
      <c r="D26" s="12" t="n"/>
      <c r="E26" s="12" t="n"/>
      <c r="F26" s="12" t="n"/>
    </row>
    <row r="27" ht="22" customHeight="1">
      <c r="A27" s="13" t="inlineStr">
        <is>
          <t>Revenue TTM ($m)</t>
        </is>
      </c>
      <c r="B27" s="441">
        <f>IFERROR(IF(OR($B$26="",COUNTIF('Valuation'!$B$6:$M$6,$B$26)&lt;&gt;1,NOT(ISNUMBER(INDEX('Valuation'!$B$10:$M$10,1,MATCH($B$26,'Valuation'!$B$6:$M$6,0))))),"",INDEX('Valuation'!$B$10:$M$10,1,MATCH($B$26,'Valuation'!$B$6:$M$6,0))),"")</f>
        <v/>
      </c>
      <c r="C27" s="15" t="n"/>
      <c r="D27" s="16" t="n"/>
      <c r="E27" s="16" t="n"/>
      <c r="F27" s="16" t="n"/>
    </row>
    <row r="28" ht="22" customHeight="1">
      <c r="A28" s="9" t="inlineStr">
        <is>
          <t>Revenue, latest quarter ($m)</t>
        </is>
      </c>
      <c r="B28" s="17" t="n"/>
      <c r="C28" s="11" t="n"/>
      <c r="D28" s="12" t="n"/>
      <c r="E28" s="12" t="n"/>
      <c r="F28" s="12" t="n"/>
    </row>
    <row r="29" ht="22" customHeight="1">
      <c r="A29" s="13" t="inlineStr">
        <is>
          <t>Revenue growth YoY, latest quarter (%)</t>
        </is>
      </c>
      <c r="B29" s="442">
        <f>IFERROR(IF(OR($B$26="",COUNTIF('Valuation'!$B$6:$M$6,$B$26)&lt;&gt;1,NOT(ISNUMBER(INDEX('Valuation'!$B$11:$M$11,1,MATCH($B$26,'Valuation'!$B$6:$M$6,0))))),"",INDEX('Valuation'!$B$11:$M$11,1,MATCH($B$26,'Valuation'!$B$6:$M$6,0))),"")</f>
        <v/>
      </c>
      <c r="C29" s="15" t="n"/>
      <c r="D29" s="16" t="n"/>
      <c r="E29" s="16" t="n"/>
      <c r="F29" s="16" t="n"/>
    </row>
    <row r="30" ht="22" customHeight="1">
      <c r="A30" s="9" t="inlineStr">
        <is>
          <t>Net income, latest quarter ($m)</t>
        </is>
      </c>
      <c r="B30" s="17" t="n"/>
      <c r="C30" s="11" t="n"/>
      <c r="D30" s="12" t="n"/>
      <c r="E30" s="12" t="n"/>
      <c r="F30" s="12" t="n"/>
    </row>
    <row r="31" ht="22" customHeight="1">
      <c r="A31" s="13" t="inlineStr">
        <is>
          <t>Net income growth YoY, latest quarter (%)</t>
        </is>
      </c>
      <c r="B31" s="442">
        <f>IFERROR(IF(OR($B$26="",COUNTIF('Valuation'!$B$6:$M$6,$B$26)&lt;&gt;1,NOT(ISNUMBER(INDEX('Valuation'!$B$38:$M$38,1,MATCH($B$26,'Valuation'!$B$6:$M$6,0))))),"",INDEX('Valuation'!$B$38:$M$38,1,MATCH($B$26,'Valuation'!$B$6:$M$6,0))),"")</f>
        <v/>
      </c>
      <c r="C31" s="15" t="n"/>
      <c r="D31" s="16" t="n"/>
      <c r="E31" s="16" t="n"/>
      <c r="F31" s="16" t="n"/>
    </row>
    <row r="32" ht="22" customHeight="1">
      <c r="A32" s="9" t="inlineStr">
        <is>
          <t>GAAP diluted EPS ($/share)</t>
        </is>
      </c>
      <c r="B32" s="443">
        <f>IFERROR(IF(OR($B$26="",COUNTIF('Valuation'!$B$6:$M$6,$B$26)&lt;&gt;1,NOT(ISNUMBER(INDEX('Valuation'!$B$107:$M$107,1,MATCH($B$26,'Valuation'!$B$6:$M$6,0))))),"",INDEX('Valuation'!$B$107:$M$107,1,MATCH($B$26,'Valuation'!$B$6:$M$6,0))),"")</f>
        <v/>
      </c>
      <c r="C32" s="11" t="n"/>
      <c r="D32" s="12" t="n"/>
      <c r="E32" s="12" t="n"/>
      <c r="F32" s="12" t="n"/>
    </row>
    <row r="33" ht="22" customHeight="1">
      <c r="A33" s="13" t="inlineStr">
        <is>
          <t>GAAP diluted EPS growth YoY (%)</t>
        </is>
      </c>
      <c r="B33" s="442">
        <f>IFERROR(IF(OR($B$26="",COUNTIF('Valuation'!$B$6:$M$6,$B$26)&lt;&gt;1,NOT(ISNUMBER(INDEX('Valuation'!$B$108:$M$108,1,MATCH($B$26,'Valuation'!$B$6:$M$6,0))))),"",INDEX('Valuation'!$B$108:$M$108,1,MATCH($B$26,'Valuation'!$B$6:$M$6,0))),"")</f>
        <v/>
      </c>
      <c r="C33" s="15" t="n"/>
      <c r="D33" s="16" t="n"/>
      <c r="E33" s="16" t="n"/>
      <c r="F33" s="16" t="n"/>
    </row>
    <row r="34" ht="22" customHeight="1">
      <c r="A34" s="9" t="inlineStr">
        <is>
          <t>Total debt, latest quarter ($m)</t>
        </is>
      </c>
      <c r="B34" s="19" t="inlineStr">
        <is>
          <t>N/A</t>
        </is>
      </c>
      <c r="C34" s="11" t="n"/>
      <c r="D34" s="12" t="n"/>
      <c r="E34" s="12" t="n"/>
      <c r="F34" s="12" t="n"/>
    </row>
    <row r="35" ht="22" customHeight="1">
      <c r="A35" s="13" t="inlineStr">
        <is>
          <t>Debt-to-equity, latest quarter (x)</t>
        </is>
      </c>
      <c r="B35" s="20" t="inlineStr">
        <is>
          <t>N/A</t>
        </is>
      </c>
      <c r="C35" s="15" t="n"/>
      <c r="D35" s="16" t="n"/>
      <c r="E35" s="16" t="n"/>
      <c r="F35" s="16" t="n"/>
    </row>
    <row r="36" ht="22" customHeight="1">
      <c r="A36" s="9" t="inlineStr">
        <is>
          <t>FCF TTM ($m)</t>
        </is>
      </c>
      <c r="B36" s="444">
        <f>IFERROR(IF(OR($B$26="",COUNTIF('Valuation'!$B$6:$M$6,$B$26)&lt;&gt;1,NOT(ISNUMBER(INDEX('Valuation'!$B$49:$M$49,1,MATCH($B$26,'Valuation'!$B$6:$M$6,0))))),"",INDEX('Valuation'!$B$49:$M$49,1,MATCH($B$26,'Valuation'!$B$6:$M$6,0))),"")</f>
        <v/>
      </c>
      <c r="C36" s="11" t="n"/>
      <c r="D36" s="12" t="n"/>
      <c r="E36" s="12" t="n"/>
      <c r="F36" s="12" t="n"/>
    </row>
    <row r="37" ht="22" customHeight="1">
      <c r="A37" s="13" t="inlineStr">
        <is>
          <t>FCF growth YoY, latest quarter (%)</t>
        </is>
      </c>
      <c r="B37" s="442">
        <f>IFERROR(IF(OR($B$26="",COUNTIF('Valuation'!$B$6:$M$6,$B$26)&lt;&gt;1,MATCH($B$26,'Valuation'!$B$6:$M$6,0)&lt;=4,NOT(ISNUMBER(INDEX('Valuation'!$B$48:$M$48,1,MATCH($B$26,'Valuation'!$B$6:$M$6,0)))),NOT(ISNUMBER(INDEX('Valuation'!$B$47:$M$47,1,MATCH($B$26,'Valuation'!$B$6:$M$6,0)-4))),INDEX('Valuation'!$B$47:$M$47,1,MATCH($B$26,'Valuation'!$B$6:$M$6,0)-4)=0),"",INDEX('Valuation'!$B$48:$M$48,1,MATCH($B$26,'Valuation'!$B$6:$M$6,0))/ABS(INDEX('Valuation'!$B$47:$M$47,1,MATCH($B$26,'Valuation'!$B$6:$M$6,0)-4))),"")</f>
        <v/>
      </c>
      <c r="C37" s="15" t="n"/>
      <c r="D37" s="16" t="n"/>
      <c r="E37" s="16" t="n"/>
      <c r="F37" s="16" t="n"/>
    </row>
    <row r="38" ht="22" customHeight="1">
      <c r="A38" s="9" t="inlineStr">
        <is>
          <t>P/E, price-linked (x)</t>
        </is>
      </c>
      <c r="B38" s="19" t="inlineStr">
        <is>
          <t>N/A</t>
        </is>
      </c>
      <c r="C38" s="11" t="n"/>
      <c r="D38" s="12" t="n"/>
      <c r="E38" s="12" t="n"/>
      <c r="F38" s="12" t="n"/>
    </row>
    <row r="39" ht="22" customHeight="1">
      <c r="A39" s="13" t="inlineStr">
        <is>
          <t>P/S, price-linked (x)</t>
        </is>
      </c>
      <c r="B39" s="20" t="inlineStr">
        <is>
          <t>N/A</t>
        </is>
      </c>
      <c r="C39" s="15" t="n"/>
      <c r="D39" s="16" t="n"/>
      <c r="E39" s="16" t="n"/>
      <c r="F39" s="16" t="n"/>
    </row>
    <row r="40" ht="24" customHeight="1">
      <c r="A40" s="8" t="inlineStr">
        <is>
          <t>Leverage / Liquidity</t>
        </is>
      </c>
      <c r="B40" s="347" t="n"/>
      <c r="C40" s="347" t="n"/>
      <c r="D40" s="347" t="n"/>
      <c r="E40" s="347" t="n"/>
      <c r="F40" s="348" t="n"/>
    </row>
    <row r="41" ht="22" customHeight="1">
      <c r="A41" s="9" t="inlineStr">
        <is>
          <t>Net leverage (x)</t>
        </is>
      </c>
      <c r="B41" s="19" t="n"/>
      <c r="C41" s="11" t="n"/>
      <c r="D41" s="12" t="n"/>
      <c r="E41" s="12" t="n"/>
      <c r="F41" s="12" t="n"/>
    </row>
    <row r="42" ht="22" customHeight="1">
      <c r="A42" s="13" t="inlineStr">
        <is>
          <t>Interest coverage, P&amp;L TTM (x)</t>
        </is>
      </c>
      <c r="B42" s="445">
        <f>IFERROR(IF(OR($B$26="",COUNTIF('Valuation'!$B$6:$M$6,$B$26)&lt;&gt;1,NOT(ISNUMBER(INDEX('Valuation'!$B$88:$M$88,1,MATCH($B$26,'Valuation'!$B$6:$M$6,0))))),"",INDEX('Valuation'!$B$88:$M$88,1,MATCH($B$26,'Valuation'!$B$6:$M$6,0))),"")</f>
        <v/>
      </c>
      <c r="C42" s="15" t="n"/>
      <c r="D42" s="16" t="n"/>
      <c r="E42" s="16" t="n"/>
      <c r="F42" s="16" t="n"/>
    </row>
    <row r="43" ht="22" customHeight="1">
      <c r="A43" s="9" t="inlineStr">
        <is>
          <t>Interest coverage, cash TTM (x)</t>
        </is>
      </c>
      <c r="B43" s="19" t="inlineStr">
        <is>
          <t>N/A</t>
        </is>
      </c>
      <c r="C43" s="11" t="n"/>
      <c r="D43" s="12" t="n"/>
      <c r="E43" s="12" t="n"/>
      <c r="F43" s="12" t="n"/>
    </row>
    <row r="44" ht="22" customHeight="1">
      <c r="A44" s="13" t="inlineStr">
        <is>
          <t>Revolver availability ($m)</t>
        </is>
      </c>
      <c r="B44" s="20" t="n"/>
      <c r="C44" s="15" t="n"/>
      <c r="D44" s="446" t="n"/>
    </row>
    <row r="45" ht="22" customHeight="1">
      <c r="A45" s="9" t="inlineStr">
        <is>
          <t>Total liquidity ($m)</t>
        </is>
      </c>
      <c r="B45" s="17" t="n"/>
      <c r="C45" s="11" t="n"/>
      <c r="D45" s="446" t="n"/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mergeCells count="28">
    <mergeCell ref="A16:F16"/>
    <mergeCell ref="A12:F12"/>
    <mergeCell ref="A18:F18"/>
    <mergeCell ref="A3:F3"/>
    <mergeCell ref="A21:F21"/>
    <mergeCell ref="A2:F2"/>
    <mergeCell ref="A5:F5"/>
    <mergeCell ref="B11:F11"/>
    <mergeCell ref="A23:F23"/>
    <mergeCell ref="A8:F8"/>
    <mergeCell ref="A22:F22"/>
    <mergeCell ref="A17:F17"/>
    <mergeCell ref="A4:F4"/>
    <mergeCell ref="B14:F14"/>
    <mergeCell ref="A20:F20"/>
    <mergeCell ref="B13:F13"/>
    <mergeCell ref="A19:F19"/>
    <mergeCell ref="B10:F10"/>
    <mergeCell ref="A40:F40"/>
    <mergeCell ref="D44:F44"/>
    <mergeCell ref="B9:F9"/>
    <mergeCell ref="A24:F24"/>
    <mergeCell ref="B15:F15"/>
    <mergeCell ref="A1:F1"/>
    <mergeCell ref="A6:F6"/>
    <mergeCell ref="D45:F45"/>
    <mergeCell ref="A7:F7"/>
    <mergeCell ref="A25: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271"/>
  <sheetViews>
    <sheetView zoomScale="110"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8"/>
  <cols>
    <col width="50" customWidth="1" min="1" max="1"/>
    <col width="12.43" customWidth="1" min="2" max="2"/>
    <col width="12.4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2.29" customWidth="1" min="14" max="14"/>
    <col width="18" customWidth="1" min="15" max="15"/>
    <col width="16" customWidth="1" min="16" max="16"/>
    <col width="14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8" customWidth="1" min="27" max="27"/>
    <col width="18" customWidth="1" min="28" max="28"/>
    <col width="18" customWidth="1" min="29" max="29"/>
    <col width="12" customWidth="1" min="30" max="30"/>
    <col hidden="1" width="13" customWidth="1" min="35" max="35"/>
  </cols>
  <sheetData>
    <row r="1" ht="18.5" customHeight="1">
      <c r="A1" s="22" t="inlineStr">
        <is>
          <t>Scale</t>
        </is>
      </c>
      <c r="B1" s="22" t="inlineStr">
        <is>
          <t>$m</t>
        </is>
      </c>
      <c r="C1" s="23" t="inlineStr">
        <is>
          <t>&lt;=-15%</t>
        </is>
      </c>
      <c r="D1" s="24" t="inlineStr">
        <is>
          <t>-15..-5</t>
        </is>
      </c>
      <c r="E1" s="25" t="inlineStr">
        <is>
          <t>-5..+5</t>
        </is>
      </c>
      <c r="F1" s="26" t="inlineStr">
        <is>
          <t>+5..+15</t>
        </is>
      </c>
      <c r="G1" s="27" t="inlineStr">
        <is>
          <t>&gt;=+15%</t>
        </is>
      </c>
      <c r="H1" s="22" t="n"/>
      <c r="I1" s="22" t="n"/>
      <c r="J1" s="22" t="n"/>
      <c r="K1" s="22" t="n"/>
      <c r="L1" s="22" t="n"/>
      <c r="M1" s="22" t="n"/>
      <c r="N1" s="22" t="n"/>
      <c r="O1" s="28" t="n"/>
      <c r="P1" s="28" t="n"/>
      <c r="Q1" s="28" t="n"/>
      <c r="R1" s="28" t="n"/>
      <c r="S1" s="28" t="n"/>
      <c r="T1" s="28" t="n"/>
      <c r="U1" s="28" t="n"/>
      <c r="V1" s="28" t="n"/>
      <c r="W1" s="28" t="n"/>
      <c r="X1" s="28" t="n"/>
      <c r="Y1" s="28" t="n"/>
      <c r="Z1" s="28" t="n"/>
      <c r="AA1" s="28" t="n"/>
      <c r="AB1" s="28" t="n"/>
      <c r="AC1" s="28" t="n"/>
      <c r="AD1" s="29" t="n"/>
      <c r="AE1" s="22" t="n"/>
      <c r="AF1" s="22" t="n"/>
      <c r="AG1" s="22" t="n"/>
      <c r="AH1" s="22" t="n"/>
      <c r="AI1" s="22" t="n"/>
    </row>
    <row r="2" ht="18.5" customHeight="1">
      <c r="A2" s="22" t="inlineStr">
        <is>
          <t>Values scaled to $m unless %</t>
        </is>
      </c>
      <c r="B2" s="22" t="n"/>
      <c r="C2" s="22" t="n"/>
      <c r="D2" s="22" t="n"/>
      <c r="E2" s="22" t="n"/>
      <c r="F2" s="22" t="n"/>
      <c r="G2" s="22" t="n"/>
      <c r="H2" s="22" t="n"/>
      <c r="I2" s="22" t="n"/>
      <c r="J2" s="22" t="n"/>
      <c r="K2" s="22" t="n"/>
      <c r="L2" s="22" t="n"/>
      <c r="M2" s="22" t="n"/>
      <c r="N2" s="22" t="n"/>
      <c r="O2" s="28" t="n"/>
      <c r="P2" s="28" t="n"/>
      <c r="Q2" s="28" t="n"/>
      <c r="R2" s="28" t="n"/>
      <c r="S2" s="28" t="n"/>
      <c r="T2" s="28" t="n"/>
      <c r="U2" s="28" t="n"/>
      <c r="V2" s="28" t="n"/>
      <c r="W2" s="28" t="n"/>
      <c r="X2" s="28" t="n"/>
      <c r="Y2" s="28" t="n"/>
      <c r="Z2" s="28" t="n"/>
      <c r="AA2" s="28" t="n"/>
      <c r="AB2" s="28" t="n"/>
      <c r="AC2" s="28" t="n"/>
      <c r="AD2" s="29" t="n"/>
      <c r="AE2" s="22" t="n"/>
      <c r="AF2" s="22" t="n"/>
      <c r="AG2" s="22" t="n"/>
      <c r="AH2" s="22" t="n"/>
      <c r="AI2" s="22" t="n"/>
    </row>
    <row r="3" ht="21" customHeight="1">
      <c r="A3" s="30" t="inlineStr">
        <is>
          <t>Valuation</t>
        </is>
      </c>
      <c r="N3" s="22" t="n"/>
      <c r="O3" s="28" t="n"/>
      <c r="P3" s="28" t="n"/>
      <c r="Q3" s="28" t="n"/>
      <c r="R3" s="28" t="n"/>
      <c r="S3" s="28" t="n"/>
      <c r="T3" s="28" t="n"/>
      <c r="U3" s="28" t="n"/>
      <c r="V3" s="28" t="n"/>
      <c r="W3" s="28" t="n"/>
      <c r="X3" s="28" t="n"/>
      <c r="Y3" s="28" t="n"/>
      <c r="Z3" s="28" t="n"/>
      <c r="AA3" s="28" t="n"/>
      <c r="AB3" s="28" t="n"/>
      <c r="AC3" s="28" t="n"/>
      <c r="AD3" s="29" t="n"/>
      <c r="AE3" s="22" t="n"/>
      <c r="AF3" s="22" t="n"/>
      <c r="AG3" s="22" t="n"/>
      <c r="AH3" s="22" t="n"/>
      <c r="AI3" s="22" t="n"/>
    </row>
    <row r="4" ht="18.5" customHeight="1">
      <c r="A4" s="32" t="inlineStr">
        <is>
          <t>QA: Revenue, EBITDA, CFO, Capex, Cash</t>
        </is>
      </c>
      <c r="B4" s="22" t="n"/>
      <c r="C4" s="22" t="n"/>
      <c r="D4" s="22" t="n"/>
      <c r="E4" s="22" t="n"/>
      <c r="F4" s="22" t="n"/>
      <c r="G4" s="22" t="n"/>
      <c r="H4" s="22" t="n"/>
      <c r="I4" s="22" t="n"/>
      <c r="J4" s="22" t="n"/>
      <c r="K4" s="22" t="n"/>
      <c r="L4" s="22" t="n"/>
      <c r="M4" s="22" t="n"/>
      <c r="N4" s="22" t="n"/>
      <c r="O4" s="28" t="n"/>
      <c r="P4" s="28" t="n"/>
      <c r="Q4" s="28" t="n"/>
      <c r="R4" s="28" t="n"/>
      <c r="S4" s="28" t="n"/>
      <c r="T4" s="28" t="n"/>
      <c r="U4" s="28" t="n"/>
      <c r="V4" s="28" t="n"/>
      <c r="W4" s="28" t="n"/>
      <c r="X4" s="28" t="n"/>
      <c r="Y4" s="28" t="n"/>
      <c r="Z4" s="28" t="n"/>
      <c r="AA4" s="28" t="n"/>
      <c r="AB4" s="28" t="n"/>
      <c r="AC4" s="28" t="n"/>
      <c r="AD4" s="29" t="n"/>
      <c r="AE4" s="22" t="n"/>
      <c r="AF4" s="22" t="n"/>
      <c r="AG4" s="22" t="n"/>
      <c r="AH4" s="22" t="n"/>
      <c r="AI4" s="22" t="n"/>
    </row>
    <row r="5" ht="18.5" customHeight="1">
      <c r="A5" s="33" t="n"/>
      <c r="B5" s="34" t="inlineStr">
        <is>
          <t>Actuals</t>
        </is>
      </c>
      <c r="C5" s="104" t="n"/>
      <c r="D5" s="104" t="n"/>
      <c r="E5" s="104" t="n"/>
      <c r="F5" s="104" t="n"/>
      <c r="G5" s="104" t="n"/>
      <c r="H5" s="104" t="n"/>
      <c r="I5" s="104" t="n"/>
      <c r="J5" s="104" t="n"/>
      <c r="K5" s="104" t="n"/>
      <c r="L5" s="104" t="n"/>
      <c r="M5" s="105" t="n"/>
      <c r="N5" s="22" t="n"/>
      <c r="O5" s="28" t="n"/>
      <c r="P5" s="28" t="n"/>
      <c r="Q5" s="28" t="n"/>
      <c r="R5" s="28" t="n"/>
      <c r="S5" s="28" t="n"/>
      <c r="T5" s="28" t="n"/>
      <c r="U5" s="28" t="n"/>
      <c r="V5" s="28" t="n"/>
      <c r="W5" s="28" t="n"/>
      <c r="X5" s="28" t="n"/>
      <c r="Y5" s="28" t="n"/>
      <c r="Z5" s="28" t="n"/>
      <c r="AA5" s="28" t="n"/>
      <c r="AB5" s="28" t="n"/>
      <c r="AC5" s="28" t="n"/>
      <c r="AD5" s="29" t="n"/>
      <c r="AE5" s="22" t="n"/>
      <c r="AF5" s="22" t="n"/>
      <c r="AG5" s="22" t="n"/>
      <c r="AH5" s="22" t="n"/>
      <c r="AI5" s="22" t="n"/>
    </row>
    <row r="6" ht="19.5" customHeight="1">
      <c r="A6" s="36" t="inlineStr">
        <is>
          <t>Quarter</t>
        </is>
      </c>
      <c r="B6" s="34" t="n"/>
      <c r="C6" s="34" t="n"/>
      <c r="D6" s="34" t="n"/>
      <c r="E6" s="34" t="n"/>
      <c r="F6" s="34" t="n"/>
      <c r="G6" s="34" t="n"/>
      <c r="H6" s="34" t="n"/>
      <c r="I6" s="34" t="n"/>
      <c r="J6" s="34" t="n"/>
      <c r="K6" s="34" t="n"/>
      <c r="L6" s="34" t="n"/>
      <c r="M6" s="37" t="n"/>
      <c r="N6" s="22" t="n"/>
      <c r="O6" s="28" t="n"/>
      <c r="P6" s="28" t="n"/>
      <c r="Q6" s="28" t="n"/>
      <c r="R6" s="28" t="n"/>
      <c r="S6" s="28" t="n"/>
      <c r="T6" s="28" t="n"/>
      <c r="U6" s="28" t="n"/>
      <c r="V6" s="28" t="n"/>
      <c r="W6" s="28" t="n"/>
      <c r="X6" s="28" t="n"/>
      <c r="Y6" s="28" t="n"/>
      <c r="Z6" s="28" t="n"/>
      <c r="AA6" s="28" t="n"/>
      <c r="AB6" s="28" t="n"/>
      <c r="AC6" s="28" t="n"/>
      <c r="AD6" s="29" t="n"/>
      <c r="AE6" s="22" t="n"/>
      <c r="AF6" s="22" t="n"/>
      <c r="AG6" s="22" t="n"/>
      <c r="AH6" s="22" t="n"/>
      <c r="AI6" s="22" t="n"/>
    </row>
    <row r="7" ht="19.5" customHeight="1">
      <c r="A7" s="38" t="inlineStr">
        <is>
          <t>Operating</t>
        </is>
      </c>
      <c r="B7" s="39" t="n"/>
      <c r="C7" s="39" t="n"/>
      <c r="D7" s="39" t="n"/>
      <c r="E7" s="39" t="n"/>
      <c r="F7" s="39" t="n"/>
      <c r="G7" s="39" t="n"/>
      <c r="H7" s="39" t="n"/>
      <c r="I7" s="39" t="n"/>
      <c r="J7" s="39" t="n"/>
      <c r="K7" s="39" t="n"/>
      <c r="L7" s="39" t="n"/>
      <c r="M7" s="39" t="n"/>
      <c r="N7" s="22" t="n"/>
      <c r="O7" s="447" t="inlineStr">
        <is>
          <t>Current guidance</t>
        </is>
      </c>
      <c r="P7" s="47" t="n"/>
      <c r="Q7" s="47" t="n"/>
      <c r="R7" s="47" t="n"/>
      <c r="S7" s="47" t="n"/>
      <c r="T7" s="47" t="n"/>
      <c r="U7" s="47" t="n"/>
      <c r="V7" s="47" t="n"/>
      <c r="W7" s="47" t="n"/>
      <c r="X7" s="47" t="n"/>
      <c r="Y7" s="47" t="n"/>
      <c r="Z7" s="47" t="n"/>
      <c r="AA7" s="47" t="n"/>
      <c r="AB7" s="47" t="n"/>
      <c r="AC7" s="46" t="n"/>
      <c r="AD7" s="22" t="n"/>
      <c r="AE7" s="22" t="n"/>
      <c r="AF7" s="22" t="n"/>
      <c r="AG7" s="22" t="n"/>
      <c r="AH7" s="22" t="n"/>
      <c r="AI7" s="22" t="n"/>
    </row>
    <row r="8" ht="19.5" customHeight="1">
      <c r="A8" s="96" t="inlineStr">
        <is>
          <t>Top line</t>
        </is>
      </c>
      <c r="B8" s="104" t="n"/>
      <c r="C8" s="104" t="n"/>
      <c r="D8" s="104" t="n"/>
      <c r="E8" s="104" t="n"/>
      <c r="F8" s="104" t="n"/>
      <c r="G8" s="104" t="n"/>
      <c r="H8" s="104" t="n"/>
      <c r="I8" s="104" t="n"/>
      <c r="J8" s="104" t="n"/>
      <c r="K8" s="104" t="n"/>
      <c r="L8" s="104" t="n"/>
      <c r="M8" s="105" t="n"/>
      <c r="N8" s="22" t="n"/>
      <c r="O8" s="448" t="inlineStr">
        <is>
          <t>Metric</t>
        </is>
      </c>
      <c r="P8" s="46" t="n"/>
      <c r="Q8" s="448" t="inlineStr">
        <is>
          <t>Stated in</t>
        </is>
      </c>
      <c r="R8" s="448" t="inlineStr">
        <is>
          <t>Applies to</t>
        </is>
      </c>
      <c r="S8" s="448" t="inlineStr">
        <is>
          <t>Guidance</t>
        </is>
      </c>
      <c r="T8" s="47" t="n"/>
      <c r="U8" s="47" t="n"/>
      <c r="V8" s="47" t="n"/>
      <c r="W8" s="46" t="n"/>
      <c r="X8" s="449" t="inlineStr">
        <is>
          <t>Unit</t>
        </is>
      </c>
      <c r="Y8" s="449" t="inlineStr">
        <is>
          <t>Published</t>
        </is>
      </c>
      <c r="Z8" s="449" t="inlineStr">
        <is>
          <t>Evidence</t>
        </is>
      </c>
      <c r="AA8" s="448" t="inlineStr">
        <is>
          <t>Role / source status</t>
        </is>
      </c>
      <c r="AB8" s="47" t="n"/>
      <c r="AC8" s="46" t="n"/>
      <c r="AD8" s="22" t="n"/>
      <c r="AE8" s="22" t="n"/>
      <c r="AF8" s="22" t="n"/>
      <c r="AG8" s="22" t="n"/>
      <c r="AH8" s="22" t="n"/>
      <c r="AI8" s="22" t="n"/>
    </row>
    <row r="9" ht="19.5" customHeight="1">
      <c r="A9" s="48" t="inlineStr">
        <is>
          <t>Revenue</t>
        </is>
      </c>
      <c r="B9" s="62" t="n"/>
      <c r="C9" s="62" t="n"/>
      <c r="D9" s="62" t="n"/>
      <c r="E9" s="62" t="n"/>
      <c r="F9" s="62" t="n"/>
      <c r="G9" s="62" t="n"/>
      <c r="H9" s="62" t="n"/>
      <c r="I9" s="62" t="n"/>
      <c r="J9" s="62" t="n"/>
      <c r="K9" s="62" t="n"/>
      <c r="L9" s="62" t="n"/>
      <c r="M9" s="62" t="n"/>
      <c r="N9" s="22" t="n"/>
      <c r="O9" s="52" t="n"/>
      <c r="P9" s="46" t="n"/>
      <c r="Q9" s="52" t="n"/>
      <c r="R9" s="52" t="n"/>
      <c r="S9" s="52" t="n"/>
      <c r="T9" s="47" t="n"/>
      <c r="U9" s="47" t="n"/>
      <c r="V9" s="47" t="n"/>
      <c r="W9" s="46" t="n"/>
      <c r="AA9" s="52" t="n"/>
      <c r="AB9" s="47" t="n"/>
      <c r="AC9" s="46" t="n"/>
      <c r="AD9" s="22" t="n"/>
      <c r="AE9" s="22" t="n"/>
      <c r="AF9" s="22" t="n"/>
      <c r="AG9" s="22" t="n"/>
      <c r="AH9" s="22" t="n"/>
      <c r="AI9" s="22" t="n"/>
    </row>
    <row r="10" ht="19.5" customHeight="1">
      <c r="A10" s="48" t="inlineStr">
        <is>
          <t>Revenue (TTM)</t>
        </is>
      </c>
      <c r="B10" s="450">
        <f>IF(OR(B$6="",COUNTIFS(History_Q!$C$2:$C$1000,"revenue",History_Q!$B$2:$B$1000,"&gt;="&amp;((SUMIFS(History_Q!$B$2:$B$1000,History_Q!$A$2:$A$1000,B$6,History_Q!$C$2:$C$1000,"revenue"))-3),History_Q!$B$2:$B$1000,"&lt;="&amp;(SUMIFS(History_Q!$B$2:$B$1000,History_Q!$A$2:$A$1000,B$6,History_Q!$C$2:$C$1000,"revenue")),History_Q!$E$2:$E$1000,"$m",History_Q!$G$2:$G$1000,"populated")&lt;&gt;4,_xlfn.MAXIFS(History_Q!$B$2:$B$1000,History_Q!$C$2:$C$1000,"revenue",History_Q!$B$2:$B$1000,"&gt;="&amp;((SUMIFS(History_Q!$B$2:$B$1000,History_Q!$A$2:$A$1000,B$6,History_Q!$C$2:$C$1000,"revenue"))-3),History_Q!$B$2:$B$1000,"&lt;="&amp;(SUMIFS(History_Q!$B$2:$B$1000,History_Q!$A$2:$A$1000,B$6,History_Q!$C$2:$C$1000,"revenue")),History_Q!$E$2:$E$1000,"$m",History_Q!$G$2:$G$1000,"populated")-_xlfn.MINIFS(History_Q!$B$2:$B$1000,History_Q!$C$2:$C$1000,"revenue",History_Q!$B$2:$B$1000,"&gt;="&amp;((SUMIFS(History_Q!$B$2:$B$1000,History_Q!$A$2:$A$1000,B$6,History_Q!$C$2:$C$1000,"revenue"))-3),History_Q!$B$2:$B$1000,"&lt;="&amp;(SUMIFS(History_Q!$B$2:$B$1000,History_Q!$A$2:$A$1000,B$6,History_Q!$C$2:$C$1000,"revenue")),History_Q!$E$2:$E$1000,"$m",History_Q!$G$2:$G$1000,"populated")&lt;&gt;3),"",SUMIFS(History_Q!$D$2:$D$1000,History_Q!$C$2:$C$1000,"revenue",History_Q!$B$2:$B$1000,"&gt;="&amp;((SUMIFS(History_Q!$B$2:$B$1000,History_Q!$A$2:$A$1000,B$6,History_Q!$C$2:$C$1000,"revenue"))-3),History_Q!$B$2:$B$1000,"&lt;="&amp;(SUMIFS(History_Q!$B$2:$B$1000,History_Q!$A$2:$A$1000,B$6,History_Q!$C$2:$C$1000,"revenue")),History_Q!$E$2:$E$1000,"$m",History_Q!$G$2:$G$1000,"populated"))</f>
        <v/>
      </c>
      <c r="C10" s="450">
        <f>IF(OR(C$6="",COUNTIFS(History_Q!$C$2:$C$1000,"revenue",History_Q!$B$2:$B$1000,"&gt;="&amp;((SUMIFS(History_Q!$B$2:$B$1000,History_Q!$A$2:$A$1000,C$6,History_Q!$C$2:$C$1000,"revenue"))-3),History_Q!$B$2:$B$1000,"&lt;="&amp;(SUMIFS(History_Q!$B$2:$B$1000,History_Q!$A$2:$A$1000,C$6,History_Q!$C$2:$C$1000,"revenue")),History_Q!$E$2:$E$1000,"$m",History_Q!$G$2:$G$1000,"populated")&lt;&gt;4,_xlfn.MAXIFS(History_Q!$B$2:$B$1000,History_Q!$C$2:$C$1000,"revenue",History_Q!$B$2:$B$1000,"&gt;="&amp;((SUMIFS(History_Q!$B$2:$B$1000,History_Q!$A$2:$A$1000,C$6,History_Q!$C$2:$C$1000,"revenue"))-3),History_Q!$B$2:$B$1000,"&lt;="&amp;(SUMIFS(History_Q!$B$2:$B$1000,History_Q!$A$2:$A$1000,C$6,History_Q!$C$2:$C$1000,"revenue")),History_Q!$E$2:$E$1000,"$m",History_Q!$G$2:$G$1000,"populated")-_xlfn.MINIFS(History_Q!$B$2:$B$1000,History_Q!$C$2:$C$1000,"revenue",History_Q!$B$2:$B$1000,"&gt;="&amp;((SUMIFS(History_Q!$B$2:$B$1000,History_Q!$A$2:$A$1000,C$6,History_Q!$C$2:$C$1000,"revenue"))-3),History_Q!$B$2:$B$1000,"&lt;="&amp;(SUMIFS(History_Q!$B$2:$B$1000,History_Q!$A$2:$A$1000,C$6,History_Q!$C$2:$C$1000,"revenue")),History_Q!$E$2:$E$1000,"$m",History_Q!$G$2:$G$1000,"populated")&lt;&gt;3),"",SUMIFS(History_Q!$D$2:$D$1000,History_Q!$C$2:$C$1000,"revenue",History_Q!$B$2:$B$1000,"&gt;="&amp;((SUMIFS(History_Q!$B$2:$B$1000,History_Q!$A$2:$A$1000,C$6,History_Q!$C$2:$C$1000,"revenue"))-3),History_Q!$B$2:$B$1000,"&lt;="&amp;(SUMIFS(History_Q!$B$2:$B$1000,History_Q!$A$2:$A$1000,C$6,History_Q!$C$2:$C$1000,"revenue")),History_Q!$E$2:$E$1000,"$m",History_Q!$G$2:$G$1000,"populated"))</f>
        <v/>
      </c>
      <c r="D10" s="450">
        <f>IF(OR(D$6="",COUNTIFS(History_Q!$C$2:$C$1000,"revenue",History_Q!$B$2:$B$1000,"&gt;="&amp;((SUMIFS(History_Q!$B$2:$B$1000,History_Q!$A$2:$A$1000,D$6,History_Q!$C$2:$C$1000,"revenue"))-3),History_Q!$B$2:$B$1000,"&lt;="&amp;(SUMIFS(History_Q!$B$2:$B$1000,History_Q!$A$2:$A$1000,D$6,History_Q!$C$2:$C$1000,"revenue")),History_Q!$E$2:$E$1000,"$m",History_Q!$G$2:$G$1000,"populated")&lt;&gt;4,_xlfn.MAXIFS(History_Q!$B$2:$B$1000,History_Q!$C$2:$C$1000,"revenue",History_Q!$B$2:$B$1000,"&gt;="&amp;((SUMIFS(History_Q!$B$2:$B$1000,History_Q!$A$2:$A$1000,D$6,History_Q!$C$2:$C$1000,"revenue"))-3),History_Q!$B$2:$B$1000,"&lt;="&amp;(SUMIFS(History_Q!$B$2:$B$1000,History_Q!$A$2:$A$1000,D$6,History_Q!$C$2:$C$1000,"revenue")),History_Q!$E$2:$E$1000,"$m",History_Q!$G$2:$G$1000,"populated")-_xlfn.MINIFS(History_Q!$B$2:$B$1000,History_Q!$C$2:$C$1000,"revenue",History_Q!$B$2:$B$1000,"&gt;="&amp;((SUMIFS(History_Q!$B$2:$B$1000,History_Q!$A$2:$A$1000,D$6,History_Q!$C$2:$C$1000,"revenue"))-3),History_Q!$B$2:$B$1000,"&lt;="&amp;(SUMIFS(History_Q!$B$2:$B$1000,History_Q!$A$2:$A$1000,D$6,History_Q!$C$2:$C$1000,"revenue")),History_Q!$E$2:$E$1000,"$m",History_Q!$G$2:$G$1000,"populated")&lt;&gt;3),"",SUMIFS(History_Q!$D$2:$D$1000,History_Q!$C$2:$C$1000,"revenue",History_Q!$B$2:$B$1000,"&gt;="&amp;((SUMIFS(History_Q!$B$2:$B$1000,History_Q!$A$2:$A$1000,D$6,History_Q!$C$2:$C$1000,"revenue"))-3),History_Q!$B$2:$B$1000,"&lt;="&amp;(SUMIFS(History_Q!$B$2:$B$1000,History_Q!$A$2:$A$1000,D$6,History_Q!$C$2:$C$1000,"revenue")),History_Q!$E$2:$E$1000,"$m",History_Q!$G$2:$G$1000,"populated"))</f>
        <v/>
      </c>
      <c r="E10" s="450">
        <f>IF(OR(E$6="",COUNTIFS(History_Q!$C$2:$C$1000,"revenue",History_Q!$B$2:$B$1000,"&gt;="&amp;((SUMIFS(History_Q!$B$2:$B$1000,History_Q!$A$2:$A$1000,E$6,History_Q!$C$2:$C$1000,"revenue"))-3),History_Q!$B$2:$B$1000,"&lt;="&amp;(SUMIFS(History_Q!$B$2:$B$1000,History_Q!$A$2:$A$1000,E$6,History_Q!$C$2:$C$1000,"revenue")),History_Q!$E$2:$E$1000,"$m",History_Q!$G$2:$G$1000,"populated")&lt;&gt;4,_xlfn.MAXIFS(History_Q!$B$2:$B$1000,History_Q!$C$2:$C$1000,"revenue",History_Q!$B$2:$B$1000,"&gt;="&amp;((SUMIFS(History_Q!$B$2:$B$1000,History_Q!$A$2:$A$1000,E$6,History_Q!$C$2:$C$1000,"revenue"))-3),History_Q!$B$2:$B$1000,"&lt;="&amp;(SUMIFS(History_Q!$B$2:$B$1000,History_Q!$A$2:$A$1000,E$6,History_Q!$C$2:$C$1000,"revenue")),History_Q!$E$2:$E$1000,"$m",History_Q!$G$2:$G$1000,"populated")-_xlfn.MINIFS(History_Q!$B$2:$B$1000,History_Q!$C$2:$C$1000,"revenue",History_Q!$B$2:$B$1000,"&gt;="&amp;((SUMIFS(History_Q!$B$2:$B$1000,History_Q!$A$2:$A$1000,E$6,History_Q!$C$2:$C$1000,"revenue"))-3),History_Q!$B$2:$B$1000,"&lt;="&amp;(SUMIFS(History_Q!$B$2:$B$1000,History_Q!$A$2:$A$1000,E$6,History_Q!$C$2:$C$1000,"revenue")),History_Q!$E$2:$E$1000,"$m",History_Q!$G$2:$G$1000,"populated")&lt;&gt;3),"",SUMIFS(History_Q!$D$2:$D$1000,History_Q!$C$2:$C$1000,"revenue",History_Q!$B$2:$B$1000,"&gt;="&amp;((SUMIFS(History_Q!$B$2:$B$1000,History_Q!$A$2:$A$1000,E$6,History_Q!$C$2:$C$1000,"revenue"))-3),History_Q!$B$2:$B$1000,"&lt;="&amp;(SUMIFS(History_Q!$B$2:$B$1000,History_Q!$A$2:$A$1000,E$6,History_Q!$C$2:$C$1000,"revenue")),History_Q!$E$2:$E$1000,"$m",History_Q!$G$2:$G$1000,"populated"))</f>
        <v/>
      </c>
      <c r="F10" s="450">
        <f>IF(OR(F$6="",COUNTIFS(History_Q!$C$2:$C$1000,"revenue",History_Q!$B$2:$B$1000,"&gt;="&amp;((SUMIFS(History_Q!$B$2:$B$1000,History_Q!$A$2:$A$1000,F$6,History_Q!$C$2:$C$1000,"revenue"))-3),History_Q!$B$2:$B$1000,"&lt;="&amp;(SUMIFS(History_Q!$B$2:$B$1000,History_Q!$A$2:$A$1000,F$6,History_Q!$C$2:$C$1000,"revenue")),History_Q!$E$2:$E$1000,"$m",History_Q!$G$2:$G$1000,"populated")&lt;&gt;4,_xlfn.MAXIFS(History_Q!$B$2:$B$1000,History_Q!$C$2:$C$1000,"revenue",History_Q!$B$2:$B$1000,"&gt;="&amp;((SUMIFS(History_Q!$B$2:$B$1000,History_Q!$A$2:$A$1000,F$6,History_Q!$C$2:$C$1000,"revenue"))-3),History_Q!$B$2:$B$1000,"&lt;="&amp;(SUMIFS(History_Q!$B$2:$B$1000,History_Q!$A$2:$A$1000,F$6,History_Q!$C$2:$C$1000,"revenue")),History_Q!$E$2:$E$1000,"$m",History_Q!$G$2:$G$1000,"populated")-_xlfn.MINIFS(History_Q!$B$2:$B$1000,History_Q!$C$2:$C$1000,"revenue",History_Q!$B$2:$B$1000,"&gt;="&amp;((SUMIFS(History_Q!$B$2:$B$1000,History_Q!$A$2:$A$1000,F$6,History_Q!$C$2:$C$1000,"revenue"))-3),History_Q!$B$2:$B$1000,"&lt;="&amp;(SUMIFS(History_Q!$B$2:$B$1000,History_Q!$A$2:$A$1000,F$6,History_Q!$C$2:$C$1000,"revenue")),History_Q!$E$2:$E$1000,"$m",History_Q!$G$2:$G$1000,"populated")&lt;&gt;3),"",SUMIFS(History_Q!$D$2:$D$1000,History_Q!$C$2:$C$1000,"revenue",History_Q!$B$2:$B$1000,"&gt;="&amp;((SUMIFS(History_Q!$B$2:$B$1000,History_Q!$A$2:$A$1000,F$6,History_Q!$C$2:$C$1000,"revenue"))-3),History_Q!$B$2:$B$1000,"&lt;="&amp;(SUMIFS(History_Q!$B$2:$B$1000,History_Q!$A$2:$A$1000,F$6,History_Q!$C$2:$C$1000,"revenue")),History_Q!$E$2:$E$1000,"$m",History_Q!$G$2:$G$1000,"populated"))</f>
        <v/>
      </c>
      <c r="G10" s="450">
        <f>IF(OR(G$6="",COUNTIFS(History_Q!$C$2:$C$1000,"revenue",History_Q!$B$2:$B$1000,"&gt;="&amp;((SUMIFS(History_Q!$B$2:$B$1000,History_Q!$A$2:$A$1000,G$6,History_Q!$C$2:$C$1000,"revenue"))-3),History_Q!$B$2:$B$1000,"&lt;="&amp;(SUMIFS(History_Q!$B$2:$B$1000,History_Q!$A$2:$A$1000,G$6,History_Q!$C$2:$C$1000,"revenue")),History_Q!$E$2:$E$1000,"$m",History_Q!$G$2:$G$1000,"populated")&lt;&gt;4,_xlfn.MAXIFS(History_Q!$B$2:$B$1000,History_Q!$C$2:$C$1000,"revenue",History_Q!$B$2:$B$1000,"&gt;="&amp;((SUMIFS(History_Q!$B$2:$B$1000,History_Q!$A$2:$A$1000,G$6,History_Q!$C$2:$C$1000,"revenue"))-3),History_Q!$B$2:$B$1000,"&lt;="&amp;(SUMIFS(History_Q!$B$2:$B$1000,History_Q!$A$2:$A$1000,G$6,History_Q!$C$2:$C$1000,"revenue")),History_Q!$E$2:$E$1000,"$m",History_Q!$G$2:$G$1000,"populated")-_xlfn.MINIFS(History_Q!$B$2:$B$1000,History_Q!$C$2:$C$1000,"revenue",History_Q!$B$2:$B$1000,"&gt;="&amp;((SUMIFS(History_Q!$B$2:$B$1000,History_Q!$A$2:$A$1000,G$6,History_Q!$C$2:$C$1000,"revenue"))-3),History_Q!$B$2:$B$1000,"&lt;="&amp;(SUMIFS(History_Q!$B$2:$B$1000,History_Q!$A$2:$A$1000,G$6,History_Q!$C$2:$C$1000,"revenue")),History_Q!$E$2:$E$1000,"$m",History_Q!$G$2:$G$1000,"populated")&lt;&gt;3),"",SUMIFS(History_Q!$D$2:$D$1000,History_Q!$C$2:$C$1000,"revenue",History_Q!$B$2:$B$1000,"&gt;="&amp;((SUMIFS(History_Q!$B$2:$B$1000,History_Q!$A$2:$A$1000,G$6,History_Q!$C$2:$C$1000,"revenue"))-3),History_Q!$B$2:$B$1000,"&lt;="&amp;(SUMIFS(History_Q!$B$2:$B$1000,History_Q!$A$2:$A$1000,G$6,History_Q!$C$2:$C$1000,"revenue")),History_Q!$E$2:$E$1000,"$m",History_Q!$G$2:$G$1000,"populated"))</f>
        <v/>
      </c>
      <c r="H10" s="450">
        <f>IF(OR(H$6="",COUNTIFS(History_Q!$C$2:$C$1000,"revenue",History_Q!$B$2:$B$1000,"&gt;="&amp;((SUMIFS(History_Q!$B$2:$B$1000,History_Q!$A$2:$A$1000,H$6,History_Q!$C$2:$C$1000,"revenue"))-3),History_Q!$B$2:$B$1000,"&lt;="&amp;(SUMIFS(History_Q!$B$2:$B$1000,History_Q!$A$2:$A$1000,H$6,History_Q!$C$2:$C$1000,"revenue")),History_Q!$E$2:$E$1000,"$m",History_Q!$G$2:$G$1000,"populated")&lt;&gt;4,_xlfn.MAXIFS(History_Q!$B$2:$B$1000,History_Q!$C$2:$C$1000,"revenue",History_Q!$B$2:$B$1000,"&gt;="&amp;((SUMIFS(History_Q!$B$2:$B$1000,History_Q!$A$2:$A$1000,H$6,History_Q!$C$2:$C$1000,"revenue"))-3),History_Q!$B$2:$B$1000,"&lt;="&amp;(SUMIFS(History_Q!$B$2:$B$1000,History_Q!$A$2:$A$1000,H$6,History_Q!$C$2:$C$1000,"revenue")),History_Q!$E$2:$E$1000,"$m",History_Q!$G$2:$G$1000,"populated")-_xlfn.MINIFS(History_Q!$B$2:$B$1000,History_Q!$C$2:$C$1000,"revenue",History_Q!$B$2:$B$1000,"&gt;="&amp;((SUMIFS(History_Q!$B$2:$B$1000,History_Q!$A$2:$A$1000,H$6,History_Q!$C$2:$C$1000,"revenue"))-3),History_Q!$B$2:$B$1000,"&lt;="&amp;(SUMIFS(History_Q!$B$2:$B$1000,History_Q!$A$2:$A$1000,H$6,History_Q!$C$2:$C$1000,"revenue")),History_Q!$E$2:$E$1000,"$m",History_Q!$G$2:$G$1000,"populated")&lt;&gt;3),"",SUMIFS(History_Q!$D$2:$D$1000,History_Q!$C$2:$C$1000,"revenue",History_Q!$B$2:$B$1000,"&gt;="&amp;((SUMIFS(History_Q!$B$2:$B$1000,History_Q!$A$2:$A$1000,H$6,History_Q!$C$2:$C$1000,"revenue"))-3),History_Q!$B$2:$B$1000,"&lt;="&amp;(SUMIFS(History_Q!$B$2:$B$1000,History_Q!$A$2:$A$1000,H$6,History_Q!$C$2:$C$1000,"revenue")),History_Q!$E$2:$E$1000,"$m",History_Q!$G$2:$G$1000,"populated"))</f>
        <v/>
      </c>
      <c r="I10" s="450">
        <f>IF(OR(I$6="",COUNTIFS(History_Q!$C$2:$C$1000,"revenue",History_Q!$B$2:$B$1000,"&gt;="&amp;((SUMIFS(History_Q!$B$2:$B$1000,History_Q!$A$2:$A$1000,I$6,History_Q!$C$2:$C$1000,"revenue"))-3),History_Q!$B$2:$B$1000,"&lt;="&amp;(SUMIFS(History_Q!$B$2:$B$1000,History_Q!$A$2:$A$1000,I$6,History_Q!$C$2:$C$1000,"revenue")),History_Q!$E$2:$E$1000,"$m",History_Q!$G$2:$G$1000,"populated")&lt;&gt;4,_xlfn.MAXIFS(History_Q!$B$2:$B$1000,History_Q!$C$2:$C$1000,"revenue",History_Q!$B$2:$B$1000,"&gt;="&amp;((SUMIFS(History_Q!$B$2:$B$1000,History_Q!$A$2:$A$1000,I$6,History_Q!$C$2:$C$1000,"revenue"))-3),History_Q!$B$2:$B$1000,"&lt;="&amp;(SUMIFS(History_Q!$B$2:$B$1000,History_Q!$A$2:$A$1000,I$6,History_Q!$C$2:$C$1000,"revenue")),History_Q!$E$2:$E$1000,"$m",History_Q!$G$2:$G$1000,"populated")-_xlfn.MINIFS(History_Q!$B$2:$B$1000,History_Q!$C$2:$C$1000,"revenue",History_Q!$B$2:$B$1000,"&gt;="&amp;((SUMIFS(History_Q!$B$2:$B$1000,History_Q!$A$2:$A$1000,I$6,History_Q!$C$2:$C$1000,"revenue"))-3),History_Q!$B$2:$B$1000,"&lt;="&amp;(SUMIFS(History_Q!$B$2:$B$1000,History_Q!$A$2:$A$1000,I$6,History_Q!$C$2:$C$1000,"revenue")),History_Q!$E$2:$E$1000,"$m",History_Q!$G$2:$G$1000,"populated")&lt;&gt;3),"",SUMIFS(History_Q!$D$2:$D$1000,History_Q!$C$2:$C$1000,"revenue",History_Q!$B$2:$B$1000,"&gt;="&amp;((SUMIFS(History_Q!$B$2:$B$1000,History_Q!$A$2:$A$1000,I$6,History_Q!$C$2:$C$1000,"revenue"))-3),History_Q!$B$2:$B$1000,"&lt;="&amp;(SUMIFS(History_Q!$B$2:$B$1000,History_Q!$A$2:$A$1000,I$6,History_Q!$C$2:$C$1000,"revenue")),History_Q!$E$2:$E$1000,"$m",History_Q!$G$2:$G$1000,"populated"))</f>
        <v/>
      </c>
      <c r="J10" s="450">
        <f>IF(OR(J$6="",COUNTIFS(History_Q!$C$2:$C$1000,"revenue",History_Q!$B$2:$B$1000,"&gt;="&amp;((SUMIFS(History_Q!$B$2:$B$1000,History_Q!$A$2:$A$1000,J$6,History_Q!$C$2:$C$1000,"revenue"))-3),History_Q!$B$2:$B$1000,"&lt;="&amp;(SUMIFS(History_Q!$B$2:$B$1000,History_Q!$A$2:$A$1000,J$6,History_Q!$C$2:$C$1000,"revenue")),History_Q!$E$2:$E$1000,"$m",History_Q!$G$2:$G$1000,"populated")&lt;&gt;4,_xlfn.MAXIFS(History_Q!$B$2:$B$1000,History_Q!$C$2:$C$1000,"revenue",History_Q!$B$2:$B$1000,"&gt;="&amp;((SUMIFS(History_Q!$B$2:$B$1000,History_Q!$A$2:$A$1000,J$6,History_Q!$C$2:$C$1000,"revenue"))-3),History_Q!$B$2:$B$1000,"&lt;="&amp;(SUMIFS(History_Q!$B$2:$B$1000,History_Q!$A$2:$A$1000,J$6,History_Q!$C$2:$C$1000,"revenue")),History_Q!$E$2:$E$1000,"$m",History_Q!$G$2:$G$1000,"populated")-_xlfn.MINIFS(History_Q!$B$2:$B$1000,History_Q!$C$2:$C$1000,"revenue",History_Q!$B$2:$B$1000,"&gt;="&amp;((SUMIFS(History_Q!$B$2:$B$1000,History_Q!$A$2:$A$1000,J$6,History_Q!$C$2:$C$1000,"revenue"))-3),History_Q!$B$2:$B$1000,"&lt;="&amp;(SUMIFS(History_Q!$B$2:$B$1000,History_Q!$A$2:$A$1000,J$6,History_Q!$C$2:$C$1000,"revenue")),History_Q!$E$2:$E$1000,"$m",History_Q!$G$2:$G$1000,"populated")&lt;&gt;3),"",SUMIFS(History_Q!$D$2:$D$1000,History_Q!$C$2:$C$1000,"revenue",History_Q!$B$2:$B$1000,"&gt;="&amp;((SUMIFS(History_Q!$B$2:$B$1000,History_Q!$A$2:$A$1000,J$6,History_Q!$C$2:$C$1000,"revenue"))-3),History_Q!$B$2:$B$1000,"&lt;="&amp;(SUMIFS(History_Q!$B$2:$B$1000,History_Q!$A$2:$A$1000,J$6,History_Q!$C$2:$C$1000,"revenue")),History_Q!$E$2:$E$1000,"$m",History_Q!$G$2:$G$1000,"populated"))</f>
        <v/>
      </c>
      <c r="K10" s="450">
        <f>IF(OR(K$6="",COUNTIFS(History_Q!$C$2:$C$1000,"revenue",History_Q!$B$2:$B$1000,"&gt;="&amp;((SUMIFS(History_Q!$B$2:$B$1000,History_Q!$A$2:$A$1000,K$6,History_Q!$C$2:$C$1000,"revenue"))-3),History_Q!$B$2:$B$1000,"&lt;="&amp;(SUMIFS(History_Q!$B$2:$B$1000,History_Q!$A$2:$A$1000,K$6,History_Q!$C$2:$C$1000,"revenue")),History_Q!$E$2:$E$1000,"$m",History_Q!$G$2:$G$1000,"populated")&lt;&gt;4,_xlfn.MAXIFS(History_Q!$B$2:$B$1000,History_Q!$C$2:$C$1000,"revenue",History_Q!$B$2:$B$1000,"&gt;="&amp;((SUMIFS(History_Q!$B$2:$B$1000,History_Q!$A$2:$A$1000,K$6,History_Q!$C$2:$C$1000,"revenue"))-3),History_Q!$B$2:$B$1000,"&lt;="&amp;(SUMIFS(History_Q!$B$2:$B$1000,History_Q!$A$2:$A$1000,K$6,History_Q!$C$2:$C$1000,"revenue")),History_Q!$E$2:$E$1000,"$m",History_Q!$G$2:$G$1000,"populated")-_xlfn.MINIFS(History_Q!$B$2:$B$1000,History_Q!$C$2:$C$1000,"revenue",History_Q!$B$2:$B$1000,"&gt;="&amp;((SUMIFS(History_Q!$B$2:$B$1000,History_Q!$A$2:$A$1000,K$6,History_Q!$C$2:$C$1000,"revenue"))-3),History_Q!$B$2:$B$1000,"&lt;="&amp;(SUMIFS(History_Q!$B$2:$B$1000,History_Q!$A$2:$A$1000,K$6,History_Q!$C$2:$C$1000,"revenue")),History_Q!$E$2:$E$1000,"$m",History_Q!$G$2:$G$1000,"populated")&lt;&gt;3),"",SUMIFS(History_Q!$D$2:$D$1000,History_Q!$C$2:$C$1000,"revenue",History_Q!$B$2:$B$1000,"&gt;="&amp;((SUMIFS(History_Q!$B$2:$B$1000,History_Q!$A$2:$A$1000,K$6,History_Q!$C$2:$C$1000,"revenue"))-3),History_Q!$B$2:$B$1000,"&lt;="&amp;(SUMIFS(History_Q!$B$2:$B$1000,History_Q!$A$2:$A$1000,K$6,History_Q!$C$2:$C$1000,"revenue")),History_Q!$E$2:$E$1000,"$m",History_Q!$G$2:$G$1000,"populated"))</f>
        <v/>
      </c>
      <c r="L10" s="450">
        <f>IF(OR(L$6="",COUNTIFS(History_Q!$C$2:$C$1000,"revenue",History_Q!$B$2:$B$1000,"&gt;="&amp;((SUMIFS(History_Q!$B$2:$B$1000,History_Q!$A$2:$A$1000,L$6,History_Q!$C$2:$C$1000,"revenue"))-3),History_Q!$B$2:$B$1000,"&lt;="&amp;(SUMIFS(History_Q!$B$2:$B$1000,History_Q!$A$2:$A$1000,L$6,History_Q!$C$2:$C$1000,"revenue")),History_Q!$E$2:$E$1000,"$m",History_Q!$G$2:$G$1000,"populated")&lt;&gt;4,_xlfn.MAXIFS(History_Q!$B$2:$B$1000,History_Q!$C$2:$C$1000,"revenue",History_Q!$B$2:$B$1000,"&gt;="&amp;((SUMIFS(History_Q!$B$2:$B$1000,History_Q!$A$2:$A$1000,L$6,History_Q!$C$2:$C$1000,"revenue"))-3),History_Q!$B$2:$B$1000,"&lt;="&amp;(SUMIFS(History_Q!$B$2:$B$1000,History_Q!$A$2:$A$1000,L$6,History_Q!$C$2:$C$1000,"revenue")),History_Q!$E$2:$E$1000,"$m",History_Q!$G$2:$G$1000,"populated")-_xlfn.MINIFS(History_Q!$B$2:$B$1000,History_Q!$C$2:$C$1000,"revenue",History_Q!$B$2:$B$1000,"&gt;="&amp;((SUMIFS(History_Q!$B$2:$B$1000,History_Q!$A$2:$A$1000,L$6,History_Q!$C$2:$C$1000,"revenue"))-3),History_Q!$B$2:$B$1000,"&lt;="&amp;(SUMIFS(History_Q!$B$2:$B$1000,History_Q!$A$2:$A$1000,L$6,History_Q!$C$2:$C$1000,"revenue")),History_Q!$E$2:$E$1000,"$m",History_Q!$G$2:$G$1000,"populated")&lt;&gt;3),"",SUMIFS(History_Q!$D$2:$D$1000,History_Q!$C$2:$C$1000,"revenue",History_Q!$B$2:$B$1000,"&gt;="&amp;((SUMIFS(History_Q!$B$2:$B$1000,History_Q!$A$2:$A$1000,L$6,History_Q!$C$2:$C$1000,"revenue"))-3),History_Q!$B$2:$B$1000,"&lt;="&amp;(SUMIFS(History_Q!$B$2:$B$1000,History_Q!$A$2:$A$1000,L$6,History_Q!$C$2:$C$1000,"revenue")),History_Q!$E$2:$E$1000,"$m",History_Q!$G$2:$G$1000,"populated"))</f>
        <v/>
      </c>
      <c r="M10" s="450">
        <f>IF(OR(M$6="",COUNTIFS(History_Q!$C$2:$C$1000,"revenue",History_Q!$B$2:$B$1000,"&gt;="&amp;((SUMIFS(History_Q!$B$2:$B$1000,History_Q!$A$2:$A$1000,M$6,History_Q!$C$2:$C$1000,"revenue"))-3),History_Q!$B$2:$B$1000,"&lt;="&amp;(SUMIFS(History_Q!$B$2:$B$1000,History_Q!$A$2:$A$1000,M$6,History_Q!$C$2:$C$1000,"revenue")),History_Q!$E$2:$E$1000,"$m",History_Q!$G$2:$G$1000,"populated")&lt;&gt;4,_xlfn.MAXIFS(History_Q!$B$2:$B$1000,History_Q!$C$2:$C$1000,"revenue",History_Q!$B$2:$B$1000,"&gt;="&amp;((SUMIFS(History_Q!$B$2:$B$1000,History_Q!$A$2:$A$1000,M$6,History_Q!$C$2:$C$1000,"revenue"))-3),History_Q!$B$2:$B$1000,"&lt;="&amp;(SUMIFS(History_Q!$B$2:$B$1000,History_Q!$A$2:$A$1000,M$6,History_Q!$C$2:$C$1000,"revenue")),History_Q!$E$2:$E$1000,"$m",History_Q!$G$2:$G$1000,"populated")-_xlfn.MINIFS(History_Q!$B$2:$B$1000,History_Q!$C$2:$C$1000,"revenue",History_Q!$B$2:$B$1000,"&gt;="&amp;((SUMIFS(History_Q!$B$2:$B$1000,History_Q!$A$2:$A$1000,M$6,History_Q!$C$2:$C$1000,"revenue"))-3),History_Q!$B$2:$B$1000,"&lt;="&amp;(SUMIFS(History_Q!$B$2:$B$1000,History_Q!$A$2:$A$1000,M$6,History_Q!$C$2:$C$1000,"revenue")),History_Q!$E$2:$E$1000,"$m",History_Q!$G$2:$G$1000,"populated")&lt;&gt;3),"",SUMIFS(History_Q!$D$2:$D$1000,History_Q!$C$2:$C$1000,"revenue",History_Q!$B$2:$B$1000,"&gt;="&amp;((SUMIFS(History_Q!$B$2:$B$1000,History_Q!$A$2:$A$1000,M$6,History_Q!$C$2:$C$1000,"revenue"))-3),History_Q!$B$2:$B$1000,"&lt;="&amp;(SUMIFS(History_Q!$B$2:$B$1000,History_Q!$A$2:$A$1000,M$6,History_Q!$C$2:$C$1000,"revenue")),History_Q!$E$2:$E$1000,"$m",History_Q!$G$2:$G$1000,"populated"))</f>
        <v/>
      </c>
      <c r="N10" s="22" t="n"/>
      <c r="O10" s="53" t="n"/>
      <c r="P10" s="46" t="n"/>
      <c r="Q10" s="53" t="n"/>
      <c r="R10" s="53" t="n"/>
      <c r="S10" s="53" t="n"/>
      <c r="T10" s="47" t="n"/>
      <c r="U10" s="47" t="n"/>
      <c r="V10" s="47" t="n"/>
      <c r="W10" s="46" t="n"/>
      <c r="AA10" s="53" t="n"/>
      <c r="AB10" s="47" t="n"/>
      <c r="AC10" s="46" t="n"/>
      <c r="AD10" s="22" t="n"/>
      <c r="AE10" s="22" t="n"/>
      <c r="AF10" s="22" t="n"/>
      <c r="AG10" s="22" t="n"/>
      <c r="AH10" s="22" t="n"/>
      <c r="AI10" s="22" t="n"/>
    </row>
    <row r="11" ht="19.5" customHeight="1">
      <c r="A11" s="48" t="inlineStr">
        <is>
          <t>Revenue YoY %</t>
        </is>
      </c>
      <c r="B11" s="451">
        <f>IF(OR(B$6="",COUNTIFS(History_Q!$C$2:$C$1000,"revenue",History_Q!$B$2:$B$1000,(SUMIFS(History_Q!$B$2:$B$1000,History_Q!$A$2:$A$1000,B$6,History_Q!$C$2:$C$1000,"revenue")),History_Q!$E$2:$E$1000,"$m",History_Q!$G$2:$G$1000,"populated")&lt;&gt;1,COUNTIFS(History_Q!$C$2:$C$1000,"revenue",History_Q!$B$2:$B$1000,(SUMIFS(History_Q!$B$2:$B$1000,History_Q!$A$2:$A$1000,B$6,History_Q!$C$2:$C$1000,"revenue")-4),History_Q!$E$2:$E$1000,"$m",History_Q!$G$2:$G$1000,"populated")&lt;&gt;1,SUMIFS(History_Q!$D$2:$D$1000,History_Q!$C$2:$C$1000,"revenue",History_Q!$B$2:$B$1000,(SUMIFS(History_Q!$B$2:$B$1000,History_Q!$A$2:$A$1000,B$6,History_Q!$C$2:$C$1000,"revenue")-4),History_Q!$E$2:$E$1000,"$m",History_Q!$G$2:$G$1000,"populated")=0),"",SUMIFS(History_Q!$D$2:$D$1000,History_Q!$C$2:$C$1000,"revenue",History_Q!$B$2:$B$1000,(SUMIFS(History_Q!$B$2:$B$1000,History_Q!$A$2:$A$1000,B$6,History_Q!$C$2:$C$1000,"revenue")),History_Q!$E$2:$E$1000,"$m",History_Q!$G$2:$G$1000,"populated")/SUMIFS(History_Q!$D$2:$D$1000,History_Q!$C$2:$C$1000,"revenue",History_Q!$B$2:$B$1000,(SUMIFS(History_Q!$B$2:$B$1000,History_Q!$A$2:$A$1000,B$6,History_Q!$C$2:$C$1000,"revenue")-4),History_Q!$E$2:$E$1000,"$m",History_Q!$G$2:$G$1000,"populated")-1)</f>
        <v/>
      </c>
      <c r="C11" s="451">
        <f>IF(OR(C$6="",COUNTIFS(History_Q!$C$2:$C$1000,"revenue",History_Q!$B$2:$B$1000,(SUMIFS(History_Q!$B$2:$B$1000,History_Q!$A$2:$A$1000,C$6,History_Q!$C$2:$C$1000,"revenue")),History_Q!$E$2:$E$1000,"$m",History_Q!$G$2:$G$1000,"populated")&lt;&gt;1,COUNTIFS(History_Q!$C$2:$C$1000,"revenue",History_Q!$B$2:$B$1000,(SUMIFS(History_Q!$B$2:$B$1000,History_Q!$A$2:$A$1000,C$6,History_Q!$C$2:$C$1000,"revenue")-4),History_Q!$E$2:$E$1000,"$m",History_Q!$G$2:$G$1000,"populated")&lt;&gt;1,SUMIFS(History_Q!$D$2:$D$1000,History_Q!$C$2:$C$1000,"revenue",History_Q!$B$2:$B$1000,(SUMIFS(History_Q!$B$2:$B$1000,History_Q!$A$2:$A$1000,C$6,History_Q!$C$2:$C$1000,"revenue")-4),History_Q!$E$2:$E$1000,"$m",History_Q!$G$2:$G$1000,"populated")=0),"",SUMIFS(History_Q!$D$2:$D$1000,History_Q!$C$2:$C$1000,"revenue",History_Q!$B$2:$B$1000,(SUMIFS(History_Q!$B$2:$B$1000,History_Q!$A$2:$A$1000,C$6,History_Q!$C$2:$C$1000,"revenue")),History_Q!$E$2:$E$1000,"$m",History_Q!$G$2:$G$1000,"populated")/SUMIFS(History_Q!$D$2:$D$1000,History_Q!$C$2:$C$1000,"revenue",History_Q!$B$2:$B$1000,(SUMIFS(History_Q!$B$2:$B$1000,History_Q!$A$2:$A$1000,C$6,History_Q!$C$2:$C$1000,"revenue")-4),History_Q!$E$2:$E$1000,"$m",History_Q!$G$2:$G$1000,"populated")-1)</f>
        <v/>
      </c>
      <c r="D11" s="451">
        <f>IF(OR(D$6="",COUNTIFS(History_Q!$C$2:$C$1000,"revenue",History_Q!$B$2:$B$1000,(SUMIFS(History_Q!$B$2:$B$1000,History_Q!$A$2:$A$1000,D$6,History_Q!$C$2:$C$1000,"revenue")),History_Q!$E$2:$E$1000,"$m",History_Q!$G$2:$G$1000,"populated")&lt;&gt;1,COUNTIFS(History_Q!$C$2:$C$1000,"revenue",History_Q!$B$2:$B$1000,(SUMIFS(History_Q!$B$2:$B$1000,History_Q!$A$2:$A$1000,D$6,History_Q!$C$2:$C$1000,"revenue")-4),History_Q!$E$2:$E$1000,"$m",History_Q!$G$2:$G$1000,"populated")&lt;&gt;1,SUMIFS(History_Q!$D$2:$D$1000,History_Q!$C$2:$C$1000,"revenue",History_Q!$B$2:$B$1000,(SUMIFS(History_Q!$B$2:$B$1000,History_Q!$A$2:$A$1000,D$6,History_Q!$C$2:$C$1000,"revenue")-4),History_Q!$E$2:$E$1000,"$m",History_Q!$G$2:$G$1000,"populated")=0),"",SUMIFS(History_Q!$D$2:$D$1000,History_Q!$C$2:$C$1000,"revenue",History_Q!$B$2:$B$1000,(SUMIFS(History_Q!$B$2:$B$1000,History_Q!$A$2:$A$1000,D$6,History_Q!$C$2:$C$1000,"revenue")),History_Q!$E$2:$E$1000,"$m",History_Q!$G$2:$G$1000,"populated")/SUMIFS(History_Q!$D$2:$D$1000,History_Q!$C$2:$C$1000,"revenue",History_Q!$B$2:$B$1000,(SUMIFS(History_Q!$B$2:$B$1000,History_Q!$A$2:$A$1000,D$6,History_Q!$C$2:$C$1000,"revenue")-4),History_Q!$E$2:$E$1000,"$m",History_Q!$G$2:$G$1000,"populated")-1)</f>
        <v/>
      </c>
      <c r="E11" s="451">
        <f>IF(OR(E$6="",COUNTIFS(History_Q!$C$2:$C$1000,"revenue",History_Q!$B$2:$B$1000,(SUMIFS(History_Q!$B$2:$B$1000,History_Q!$A$2:$A$1000,E$6,History_Q!$C$2:$C$1000,"revenue")),History_Q!$E$2:$E$1000,"$m",History_Q!$G$2:$G$1000,"populated")&lt;&gt;1,COUNTIFS(History_Q!$C$2:$C$1000,"revenue",History_Q!$B$2:$B$1000,(SUMIFS(History_Q!$B$2:$B$1000,History_Q!$A$2:$A$1000,E$6,History_Q!$C$2:$C$1000,"revenue")-4),History_Q!$E$2:$E$1000,"$m",History_Q!$G$2:$G$1000,"populated")&lt;&gt;1,SUMIFS(History_Q!$D$2:$D$1000,History_Q!$C$2:$C$1000,"revenue",History_Q!$B$2:$B$1000,(SUMIFS(History_Q!$B$2:$B$1000,History_Q!$A$2:$A$1000,E$6,History_Q!$C$2:$C$1000,"revenue")-4),History_Q!$E$2:$E$1000,"$m",History_Q!$G$2:$G$1000,"populated")=0),"",SUMIFS(History_Q!$D$2:$D$1000,History_Q!$C$2:$C$1000,"revenue",History_Q!$B$2:$B$1000,(SUMIFS(History_Q!$B$2:$B$1000,History_Q!$A$2:$A$1000,E$6,History_Q!$C$2:$C$1000,"revenue")),History_Q!$E$2:$E$1000,"$m",History_Q!$G$2:$G$1000,"populated")/SUMIFS(History_Q!$D$2:$D$1000,History_Q!$C$2:$C$1000,"revenue",History_Q!$B$2:$B$1000,(SUMIFS(History_Q!$B$2:$B$1000,History_Q!$A$2:$A$1000,E$6,History_Q!$C$2:$C$1000,"revenue")-4),History_Q!$E$2:$E$1000,"$m",History_Q!$G$2:$G$1000,"populated")-1)</f>
        <v/>
      </c>
      <c r="F11" s="451">
        <f>IF(OR(F$6="",COUNTIFS(History_Q!$C$2:$C$1000,"revenue",History_Q!$B$2:$B$1000,(SUMIFS(History_Q!$B$2:$B$1000,History_Q!$A$2:$A$1000,F$6,History_Q!$C$2:$C$1000,"revenue")),History_Q!$E$2:$E$1000,"$m",History_Q!$G$2:$G$1000,"populated")&lt;&gt;1,COUNTIFS(History_Q!$C$2:$C$1000,"revenue",History_Q!$B$2:$B$1000,(SUMIFS(History_Q!$B$2:$B$1000,History_Q!$A$2:$A$1000,F$6,History_Q!$C$2:$C$1000,"revenue")-4),History_Q!$E$2:$E$1000,"$m",History_Q!$G$2:$G$1000,"populated")&lt;&gt;1,SUMIFS(History_Q!$D$2:$D$1000,History_Q!$C$2:$C$1000,"revenue",History_Q!$B$2:$B$1000,(SUMIFS(History_Q!$B$2:$B$1000,History_Q!$A$2:$A$1000,F$6,History_Q!$C$2:$C$1000,"revenue")-4),History_Q!$E$2:$E$1000,"$m",History_Q!$G$2:$G$1000,"populated")=0),"",SUMIFS(History_Q!$D$2:$D$1000,History_Q!$C$2:$C$1000,"revenue",History_Q!$B$2:$B$1000,(SUMIFS(History_Q!$B$2:$B$1000,History_Q!$A$2:$A$1000,F$6,History_Q!$C$2:$C$1000,"revenue")),History_Q!$E$2:$E$1000,"$m",History_Q!$G$2:$G$1000,"populated")/SUMIFS(History_Q!$D$2:$D$1000,History_Q!$C$2:$C$1000,"revenue",History_Q!$B$2:$B$1000,(SUMIFS(History_Q!$B$2:$B$1000,History_Q!$A$2:$A$1000,F$6,History_Q!$C$2:$C$1000,"revenue")-4),History_Q!$E$2:$E$1000,"$m",History_Q!$G$2:$G$1000,"populated")-1)</f>
        <v/>
      </c>
      <c r="G11" s="451">
        <f>IF(OR(G$6="",COUNTIFS(History_Q!$C$2:$C$1000,"revenue",History_Q!$B$2:$B$1000,(SUMIFS(History_Q!$B$2:$B$1000,History_Q!$A$2:$A$1000,G$6,History_Q!$C$2:$C$1000,"revenue")),History_Q!$E$2:$E$1000,"$m",History_Q!$G$2:$G$1000,"populated")&lt;&gt;1,COUNTIFS(History_Q!$C$2:$C$1000,"revenue",History_Q!$B$2:$B$1000,(SUMIFS(History_Q!$B$2:$B$1000,History_Q!$A$2:$A$1000,G$6,History_Q!$C$2:$C$1000,"revenue")-4),History_Q!$E$2:$E$1000,"$m",History_Q!$G$2:$G$1000,"populated")&lt;&gt;1,SUMIFS(History_Q!$D$2:$D$1000,History_Q!$C$2:$C$1000,"revenue",History_Q!$B$2:$B$1000,(SUMIFS(History_Q!$B$2:$B$1000,History_Q!$A$2:$A$1000,G$6,History_Q!$C$2:$C$1000,"revenue")-4),History_Q!$E$2:$E$1000,"$m",History_Q!$G$2:$G$1000,"populated")=0),"",SUMIFS(History_Q!$D$2:$D$1000,History_Q!$C$2:$C$1000,"revenue",History_Q!$B$2:$B$1000,(SUMIFS(History_Q!$B$2:$B$1000,History_Q!$A$2:$A$1000,G$6,History_Q!$C$2:$C$1000,"revenue")),History_Q!$E$2:$E$1000,"$m",History_Q!$G$2:$G$1000,"populated")/SUMIFS(History_Q!$D$2:$D$1000,History_Q!$C$2:$C$1000,"revenue",History_Q!$B$2:$B$1000,(SUMIFS(History_Q!$B$2:$B$1000,History_Q!$A$2:$A$1000,G$6,History_Q!$C$2:$C$1000,"revenue")-4),History_Q!$E$2:$E$1000,"$m",History_Q!$G$2:$G$1000,"populated")-1)</f>
        <v/>
      </c>
      <c r="H11" s="451">
        <f>IF(OR(H$6="",COUNTIFS(History_Q!$C$2:$C$1000,"revenue",History_Q!$B$2:$B$1000,(SUMIFS(History_Q!$B$2:$B$1000,History_Q!$A$2:$A$1000,H$6,History_Q!$C$2:$C$1000,"revenue")),History_Q!$E$2:$E$1000,"$m",History_Q!$G$2:$G$1000,"populated")&lt;&gt;1,COUNTIFS(History_Q!$C$2:$C$1000,"revenue",History_Q!$B$2:$B$1000,(SUMIFS(History_Q!$B$2:$B$1000,History_Q!$A$2:$A$1000,H$6,History_Q!$C$2:$C$1000,"revenue")-4),History_Q!$E$2:$E$1000,"$m",History_Q!$G$2:$G$1000,"populated")&lt;&gt;1,SUMIFS(History_Q!$D$2:$D$1000,History_Q!$C$2:$C$1000,"revenue",History_Q!$B$2:$B$1000,(SUMIFS(History_Q!$B$2:$B$1000,History_Q!$A$2:$A$1000,H$6,History_Q!$C$2:$C$1000,"revenue")-4),History_Q!$E$2:$E$1000,"$m",History_Q!$G$2:$G$1000,"populated")=0),"",SUMIFS(History_Q!$D$2:$D$1000,History_Q!$C$2:$C$1000,"revenue",History_Q!$B$2:$B$1000,(SUMIFS(History_Q!$B$2:$B$1000,History_Q!$A$2:$A$1000,H$6,History_Q!$C$2:$C$1000,"revenue")),History_Q!$E$2:$E$1000,"$m",History_Q!$G$2:$G$1000,"populated")/SUMIFS(History_Q!$D$2:$D$1000,History_Q!$C$2:$C$1000,"revenue",History_Q!$B$2:$B$1000,(SUMIFS(History_Q!$B$2:$B$1000,History_Q!$A$2:$A$1000,H$6,History_Q!$C$2:$C$1000,"revenue")-4),History_Q!$E$2:$E$1000,"$m",History_Q!$G$2:$G$1000,"populated")-1)</f>
        <v/>
      </c>
      <c r="I11" s="451">
        <f>IF(OR(I$6="",COUNTIFS(History_Q!$C$2:$C$1000,"revenue",History_Q!$B$2:$B$1000,(SUMIFS(History_Q!$B$2:$B$1000,History_Q!$A$2:$A$1000,I$6,History_Q!$C$2:$C$1000,"revenue")),History_Q!$E$2:$E$1000,"$m",History_Q!$G$2:$G$1000,"populated")&lt;&gt;1,COUNTIFS(History_Q!$C$2:$C$1000,"revenue",History_Q!$B$2:$B$1000,(SUMIFS(History_Q!$B$2:$B$1000,History_Q!$A$2:$A$1000,I$6,History_Q!$C$2:$C$1000,"revenue")-4),History_Q!$E$2:$E$1000,"$m",History_Q!$G$2:$G$1000,"populated")&lt;&gt;1,SUMIFS(History_Q!$D$2:$D$1000,History_Q!$C$2:$C$1000,"revenue",History_Q!$B$2:$B$1000,(SUMIFS(History_Q!$B$2:$B$1000,History_Q!$A$2:$A$1000,I$6,History_Q!$C$2:$C$1000,"revenue")-4),History_Q!$E$2:$E$1000,"$m",History_Q!$G$2:$G$1000,"populated")=0),"",SUMIFS(History_Q!$D$2:$D$1000,History_Q!$C$2:$C$1000,"revenue",History_Q!$B$2:$B$1000,(SUMIFS(History_Q!$B$2:$B$1000,History_Q!$A$2:$A$1000,I$6,History_Q!$C$2:$C$1000,"revenue")),History_Q!$E$2:$E$1000,"$m",History_Q!$G$2:$G$1000,"populated")/SUMIFS(History_Q!$D$2:$D$1000,History_Q!$C$2:$C$1000,"revenue",History_Q!$B$2:$B$1000,(SUMIFS(History_Q!$B$2:$B$1000,History_Q!$A$2:$A$1000,I$6,History_Q!$C$2:$C$1000,"revenue")-4),History_Q!$E$2:$E$1000,"$m",History_Q!$G$2:$G$1000,"populated")-1)</f>
        <v/>
      </c>
      <c r="J11" s="451">
        <f>IF(OR(J$6="",COUNTIFS(History_Q!$C$2:$C$1000,"revenue",History_Q!$B$2:$B$1000,(SUMIFS(History_Q!$B$2:$B$1000,History_Q!$A$2:$A$1000,J$6,History_Q!$C$2:$C$1000,"revenue")),History_Q!$E$2:$E$1000,"$m",History_Q!$G$2:$G$1000,"populated")&lt;&gt;1,COUNTIFS(History_Q!$C$2:$C$1000,"revenue",History_Q!$B$2:$B$1000,(SUMIFS(History_Q!$B$2:$B$1000,History_Q!$A$2:$A$1000,J$6,History_Q!$C$2:$C$1000,"revenue")-4),History_Q!$E$2:$E$1000,"$m",History_Q!$G$2:$G$1000,"populated")&lt;&gt;1,SUMIFS(History_Q!$D$2:$D$1000,History_Q!$C$2:$C$1000,"revenue",History_Q!$B$2:$B$1000,(SUMIFS(History_Q!$B$2:$B$1000,History_Q!$A$2:$A$1000,J$6,History_Q!$C$2:$C$1000,"revenue")-4),History_Q!$E$2:$E$1000,"$m",History_Q!$G$2:$G$1000,"populated")=0),"",SUMIFS(History_Q!$D$2:$D$1000,History_Q!$C$2:$C$1000,"revenue",History_Q!$B$2:$B$1000,(SUMIFS(History_Q!$B$2:$B$1000,History_Q!$A$2:$A$1000,J$6,History_Q!$C$2:$C$1000,"revenue")),History_Q!$E$2:$E$1000,"$m",History_Q!$G$2:$G$1000,"populated")/SUMIFS(History_Q!$D$2:$D$1000,History_Q!$C$2:$C$1000,"revenue",History_Q!$B$2:$B$1000,(SUMIFS(History_Q!$B$2:$B$1000,History_Q!$A$2:$A$1000,J$6,History_Q!$C$2:$C$1000,"revenue")-4),History_Q!$E$2:$E$1000,"$m",History_Q!$G$2:$G$1000,"populated")-1)</f>
        <v/>
      </c>
      <c r="K11" s="451">
        <f>IF(OR(K$6="",COUNTIFS(History_Q!$C$2:$C$1000,"revenue",History_Q!$B$2:$B$1000,(SUMIFS(History_Q!$B$2:$B$1000,History_Q!$A$2:$A$1000,K$6,History_Q!$C$2:$C$1000,"revenue")),History_Q!$E$2:$E$1000,"$m",History_Q!$G$2:$G$1000,"populated")&lt;&gt;1,COUNTIFS(History_Q!$C$2:$C$1000,"revenue",History_Q!$B$2:$B$1000,(SUMIFS(History_Q!$B$2:$B$1000,History_Q!$A$2:$A$1000,K$6,History_Q!$C$2:$C$1000,"revenue")-4),History_Q!$E$2:$E$1000,"$m",History_Q!$G$2:$G$1000,"populated")&lt;&gt;1,SUMIFS(History_Q!$D$2:$D$1000,History_Q!$C$2:$C$1000,"revenue",History_Q!$B$2:$B$1000,(SUMIFS(History_Q!$B$2:$B$1000,History_Q!$A$2:$A$1000,K$6,History_Q!$C$2:$C$1000,"revenue")-4),History_Q!$E$2:$E$1000,"$m",History_Q!$G$2:$G$1000,"populated")=0),"",SUMIFS(History_Q!$D$2:$D$1000,History_Q!$C$2:$C$1000,"revenue",History_Q!$B$2:$B$1000,(SUMIFS(History_Q!$B$2:$B$1000,History_Q!$A$2:$A$1000,K$6,History_Q!$C$2:$C$1000,"revenue")),History_Q!$E$2:$E$1000,"$m",History_Q!$G$2:$G$1000,"populated")/SUMIFS(History_Q!$D$2:$D$1000,History_Q!$C$2:$C$1000,"revenue",History_Q!$B$2:$B$1000,(SUMIFS(History_Q!$B$2:$B$1000,History_Q!$A$2:$A$1000,K$6,History_Q!$C$2:$C$1000,"revenue")-4),History_Q!$E$2:$E$1000,"$m",History_Q!$G$2:$G$1000,"populated")-1)</f>
        <v/>
      </c>
      <c r="L11" s="451">
        <f>IF(OR(L$6="",COUNTIFS(History_Q!$C$2:$C$1000,"revenue",History_Q!$B$2:$B$1000,(SUMIFS(History_Q!$B$2:$B$1000,History_Q!$A$2:$A$1000,L$6,History_Q!$C$2:$C$1000,"revenue")),History_Q!$E$2:$E$1000,"$m",History_Q!$G$2:$G$1000,"populated")&lt;&gt;1,COUNTIFS(History_Q!$C$2:$C$1000,"revenue",History_Q!$B$2:$B$1000,(SUMIFS(History_Q!$B$2:$B$1000,History_Q!$A$2:$A$1000,L$6,History_Q!$C$2:$C$1000,"revenue")-4),History_Q!$E$2:$E$1000,"$m",History_Q!$G$2:$G$1000,"populated")&lt;&gt;1,SUMIFS(History_Q!$D$2:$D$1000,History_Q!$C$2:$C$1000,"revenue",History_Q!$B$2:$B$1000,(SUMIFS(History_Q!$B$2:$B$1000,History_Q!$A$2:$A$1000,L$6,History_Q!$C$2:$C$1000,"revenue")-4),History_Q!$E$2:$E$1000,"$m",History_Q!$G$2:$G$1000,"populated")=0),"",SUMIFS(History_Q!$D$2:$D$1000,History_Q!$C$2:$C$1000,"revenue",History_Q!$B$2:$B$1000,(SUMIFS(History_Q!$B$2:$B$1000,History_Q!$A$2:$A$1000,L$6,History_Q!$C$2:$C$1000,"revenue")),History_Q!$E$2:$E$1000,"$m",History_Q!$G$2:$G$1000,"populated")/SUMIFS(History_Q!$D$2:$D$1000,History_Q!$C$2:$C$1000,"revenue",History_Q!$B$2:$B$1000,(SUMIFS(History_Q!$B$2:$B$1000,History_Q!$A$2:$A$1000,L$6,History_Q!$C$2:$C$1000,"revenue")-4),History_Q!$E$2:$E$1000,"$m",History_Q!$G$2:$G$1000,"populated")-1)</f>
        <v/>
      </c>
      <c r="M11" s="451">
        <f>IF(OR(M$6="",COUNTIFS(History_Q!$C$2:$C$1000,"revenue",History_Q!$B$2:$B$1000,(SUMIFS(History_Q!$B$2:$B$1000,History_Q!$A$2:$A$1000,M$6,History_Q!$C$2:$C$1000,"revenue")),History_Q!$E$2:$E$1000,"$m",History_Q!$G$2:$G$1000,"populated")&lt;&gt;1,COUNTIFS(History_Q!$C$2:$C$1000,"revenue",History_Q!$B$2:$B$1000,(SUMIFS(History_Q!$B$2:$B$1000,History_Q!$A$2:$A$1000,M$6,History_Q!$C$2:$C$1000,"revenue")-4),History_Q!$E$2:$E$1000,"$m",History_Q!$G$2:$G$1000,"populated")&lt;&gt;1,SUMIFS(History_Q!$D$2:$D$1000,History_Q!$C$2:$C$1000,"revenue",History_Q!$B$2:$B$1000,(SUMIFS(History_Q!$B$2:$B$1000,History_Q!$A$2:$A$1000,M$6,History_Q!$C$2:$C$1000,"revenue")-4),History_Q!$E$2:$E$1000,"$m",History_Q!$G$2:$G$1000,"populated")=0),"",SUMIFS(History_Q!$D$2:$D$1000,History_Q!$C$2:$C$1000,"revenue",History_Q!$B$2:$B$1000,(SUMIFS(History_Q!$B$2:$B$1000,History_Q!$A$2:$A$1000,M$6,History_Q!$C$2:$C$1000,"revenue")),History_Q!$E$2:$E$1000,"$m",History_Q!$G$2:$G$1000,"populated")/SUMIFS(History_Q!$D$2:$D$1000,History_Q!$C$2:$C$1000,"revenue",History_Q!$B$2:$B$1000,(SUMIFS(History_Q!$B$2:$B$1000,History_Q!$A$2:$A$1000,M$6,History_Q!$C$2:$C$1000,"revenue")-4),History_Q!$E$2:$E$1000,"$m",History_Q!$G$2:$G$1000,"populated")-1)</f>
        <v/>
      </c>
      <c r="N11" s="22" t="n"/>
      <c r="O11" s="52" t="n"/>
      <c r="P11" s="46" t="n"/>
      <c r="Q11" s="52" t="n"/>
      <c r="R11" s="52" t="n"/>
      <c r="S11" s="52" t="n"/>
      <c r="T11" s="47" t="n"/>
      <c r="U11" s="47" t="n"/>
      <c r="V11" s="47" t="n"/>
      <c r="W11" s="46" t="n"/>
      <c r="AA11" s="52" t="n"/>
      <c r="AB11" s="47" t="n"/>
      <c r="AC11" s="46" t="n"/>
      <c r="AD11" s="22" t="n"/>
      <c r="AE11" s="22" t="n"/>
      <c r="AF11" s="22" t="n"/>
      <c r="AG11" s="22" t="n"/>
      <c r="AH11" s="22" t="n"/>
      <c r="AI11" s="22" t="n"/>
    </row>
    <row r="12" ht="19.5" customHeight="1">
      <c r="A12" s="96" t="inlineStr">
        <is>
          <t>Margins</t>
        </is>
      </c>
      <c r="B12" s="104" t="n"/>
      <c r="C12" s="104" t="n"/>
      <c r="D12" s="104" t="n"/>
      <c r="E12" s="104" t="n"/>
      <c r="F12" s="104" t="n"/>
      <c r="G12" s="104" t="n"/>
      <c r="H12" s="104" t="n"/>
      <c r="I12" s="104" t="n"/>
      <c r="J12" s="104" t="n"/>
      <c r="K12" s="104" t="n"/>
      <c r="L12" s="104" t="n"/>
      <c r="M12" s="105" t="n"/>
      <c r="N12" s="22" t="n"/>
      <c r="O12" s="53" t="n"/>
      <c r="P12" s="46" t="n"/>
      <c r="Q12" s="53" t="n"/>
      <c r="R12" s="53" t="n"/>
      <c r="S12" s="53" t="n"/>
      <c r="T12" s="47" t="n"/>
      <c r="U12" s="47" t="n"/>
      <c r="V12" s="47" t="n"/>
      <c r="W12" s="46" t="n"/>
      <c r="AA12" s="53" t="n"/>
      <c r="AB12" s="47" t="n"/>
      <c r="AC12" s="46" t="n"/>
      <c r="AD12" s="22" t="n"/>
      <c r="AE12" s="22" t="n"/>
      <c r="AF12" s="22" t="n"/>
      <c r="AG12" s="22" t="n"/>
      <c r="AH12" s="22" t="n"/>
      <c r="AI12" s="22" t="n"/>
    </row>
    <row r="13" ht="19.5" customHeight="1">
      <c r="A13" s="48" t="inlineStr">
        <is>
          <t>Gross margin %</t>
        </is>
      </c>
      <c r="B13" s="451">
        <f>IF(OR(B262="",B9="",B9=0),"",B262/B9)</f>
        <v/>
      </c>
      <c r="C13" s="451">
        <f>IF(OR(C262="",C9="",C9=0),"",C262/C9)</f>
        <v/>
      </c>
      <c r="D13" s="451">
        <f>IF(OR(D262="",D9="",D9=0),"",D262/D9)</f>
        <v/>
      </c>
      <c r="E13" s="451">
        <f>IF(OR(E262="",E9="",E9=0),"",E262/E9)</f>
        <v/>
      </c>
      <c r="F13" s="451">
        <f>IF(OR(F262="",F9="",F9=0),"",F262/F9)</f>
        <v/>
      </c>
      <c r="G13" s="451">
        <f>IF(OR(G262="",G9="",G9=0),"",G262/G9)</f>
        <v/>
      </c>
      <c r="H13" s="451">
        <f>IF(OR(H262="",H9="",H9=0),"",H262/H9)</f>
        <v/>
      </c>
      <c r="I13" s="451">
        <f>IF(OR(I262="",I9="",I9=0),"",I262/I9)</f>
        <v/>
      </c>
      <c r="J13" s="451">
        <f>IF(OR(J262="",J9="",J9=0),"",J262/J9)</f>
        <v/>
      </c>
      <c r="K13" s="451">
        <f>IF(OR(K262="",K9="",K9=0),"",K262/K9)</f>
        <v/>
      </c>
      <c r="L13" s="451">
        <f>IF(OR(L262="",L9="",L9=0),"",L262/L9)</f>
        <v/>
      </c>
      <c r="M13" s="451">
        <f>IF(OR(M262="",M9="",M9=0),"",M262/M9)</f>
        <v/>
      </c>
      <c r="N13" s="22" t="n"/>
      <c r="O13" s="52" t="n"/>
      <c r="P13" s="46" t="n"/>
      <c r="Q13" s="52" t="n"/>
      <c r="R13" s="52" t="n"/>
      <c r="S13" s="52" t="n"/>
      <c r="T13" s="47" t="n"/>
      <c r="U13" s="47" t="n"/>
      <c r="V13" s="47" t="n"/>
      <c r="W13" s="46" t="n"/>
      <c r="AA13" s="52" t="n"/>
      <c r="AB13" s="47" t="n"/>
      <c r="AC13" s="46" t="n"/>
      <c r="AD13" s="22" t="n"/>
      <c r="AE13" s="22" t="n"/>
      <c r="AF13" s="22" t="n"/>
      <c r="AG13" s="22" t="n"/>
      <c r="AH13" s="22" t="n"/>
      <c r="AI13" s="22" t="n"/>
    </row>
    <row r="14" ht="19.5" customHeight="1">
      <c r="A14" s="48" t="inlineStr">
        <is>
          <t>Operating margin %</t>
        </is>
      </c>
      <c r="B14" s="451">
        <f>IF(OR(B32="",B9="",B9=0),"",B32/B9)</f>
        <v/>
      </c>
      <c r="C14" s="451">
        <f>IF(OR(C32="",C9="",C9=0),"",C32/C9)</f>
        <v/>
      </c>
      <c r="D14" s="451">
        <f>IF(OR(D32="",D9="",D9=0),"",D32/D9)</f>
        <v/>
      </c>
      <c r="E14" s="451">
        <f>IF(OR(E32="",E9="",E9=0),"",E32/E9)</f>
        <v/>
      </c>
      <c r="F14" s="451">
        <f>IF(OR(F32="",F9="",F9=0),"",F32/F9)</f>
        <v/>
      </c>
      <c r="G14" s="451">
        <f>IF(OR(G32="",G9="",G9=0),"",G32/G9)</f>
        <v/>
      </c>
      <c r="H14" s="451">
        <f>IF(OR(H32="",H9="",H9=0),"",H32/H9)</f>
        <v/>
      </c>
      <c r="I14" s="451">
        <f>IF(OR(I32="",I9="",I9=0),"",I32/I9)</f>
        <v/>
      </c>
      <c r="J14" s="451">
        <f>IF(OR(J32="",J9="",J9=0),"",J32/J9)</f>
        <v/>
      </c>
      <c r="K14" s="451">
        <f>IF(OR(K32="",K9="",K9=0),"",K32/K9)</f>
        <v/>
      </c>
      <c r="L14" s="451">
        <f>IF(OR(L32="",L9="",L9=0),"",L32/L9)</f>
        <v/>
      </c>
      <c r="M14" s="451">
        <f>IF(OR(M32="",M9="",M9=0),"",M32/M9)</f>
        <v/>
      </c>
      <c r="N14" s="22" t="n"/>
      <c r="O14" s="53" t="n"/>
      <c r="P14" s="46" t="n"/>
      <c r="Q14" s="53" t="n"/>
      <c r="R14" s="53" t="n"/>
      <c r="S14" s="53" t="n"/>
      <c r="T14" s="47" t="n"/>
      <c r="U14" s="47" t="n"/>
      <c r="V14" s="47" t="n"/>
      <c r="W14" s="46" t="n"/>
      <c r="AA14" s="53" t="n"/>
      <c r="AB14" s="47" t="n"/>
      <c r="AC14" s="46" t="n"/>
      <c r="AD14" s="22" t="n"/>
      <c r="AE14" s="22" t="n"/>
      <c r="AF14" s="22" t="n"/>
      <c r="AG14" s="22" t="n"/>
      <c r="AH14" s="22" t="n"/>
      <c r="AI14" s="22" t="n"/>
    </row>
    <row r="15" ht="19.5" customHeight="1">
      <c r="A15" s="48" t="inlineStr">
        <is>
          <t>Operating margin (TTM)</t>
        </is>
      </c>
      <c r="B15" s="451">
        <f>IF(OR(B$6="",COUNTIFS(History_Q!$C$2:$C$1000,"operating_income",History_Q!$B$2:$B$1000,"&gt;="&amp;((SUMIFS(History_Q!$B$2:$B$1000,History_Q!$A$2:$A$1000,B$6,History_Q!$C$2:$C$1000,"operating_income"))-3),History_Q!$B$2:$B$1000,"&lt;="&amp;(SUMIFS(History_Q!$B$2:$B$1000,History_Q!$A$2:$A$1000,B$6,History_Q!$C$2:$C$1000,"operating_income")),History_Q!$E$2:$E$1000,"$m",History_Q!$G$2:$G$1000,"populated")&lt;&gt;4,COUNTIFS(History_Q!$C$2:$C$1000,"revenue",History_Q!$B$2:$B$1000,"&gt;="&amp;((SUMIFS(History_Q!$B$2:$B$1000,History_Q!$A$2:$A$1000,B$6,History_Q!$C$2:$C$1000,"revenue"))-3),History_Q!$B$2:$B$1000,"&lt;="&amp;(SUMIFS(History_Q!$B$2:$B$1000,History_Q!$A$2:$A$1000,B$6,History_Q!$C$2:$C$1000,"revenue")),History_Q!$E$2:$E$1000,"$m",History_Q!$G$2:$G$1000,"populated")&lt;&gt;4,_xlfn.MAXIFS(History_Q!$B$2:$B$1000,History_Q!$C$2:$C$1000,"operating_income",History_Q!$B$2:$B$1000,"&gt;="&amp;((SUMIFS(History_Q!$B$2:$B$1000,History_Q!$A$2:$A$1000,B$6,History_Q!$C$2:$C$1000,"operating_income"))-3),History_Q!$B$2:$B$1000,"&lt;="&amp;(SUMIFS(History_Q!$B$2:$B$1000,History_Q!$A$2:$A$1000,B$6,History_Q!$C$2:$C$1000,"operating_income")),History_Q!$E$2:$E$1000,"$m",History_Q!$G$2:$G$1000,"populated")-_xlfn.MINIFS(History_Q!$B$2:$B$1000,History_Q!$C$2:$C$1000,"operating_income",History_Q!$B$2:$B$1000,"&gt;="&amp;((SUMIFS(History_Q!$B$2:$B$1000,History_Q!$A$2:$A$1000,B$6,History_Q!$C$2:$C$1000,"operating_income"))-3),History_Q!$B$2:$B$1000,"&lt;="&amp;(SUMIFS(History_Q!$B$2:$B$1000,History_Q!$A$2:$A$1000,B$6,History_Q!$C$2:$C$1000,"operating_income")),History_Q!$E$2:$E$1000,"$m",History_Q!$G$2:$G$1000,"populated")&lt;&gt;3,_xlfn.MAXIFS(History_Q!$B$2:$B$1000,History_Q!$C$2:$C$1000,"revenue",History_Q!$B$2:$B$1000,"&gt;="&amp;((SUMIFS(History_Q!$B$2:$B$1000,History_Q!$A$2:$A$1000,B$6,History_Q!$C$2:$C$1000,"revenue"))-3),History_Q!$B$2:$B$1000,"&lt;="&amp;(SUMIFS(History_Q!$B$2:$B$1000,History_Q!$A$2:$A$1000,B$6,History_Q!$C$2:$C$1000,"revenue")),History_Q!$E$2:$E$1000,"$m",History_Q!$G$2:$G$1000,"populated")-_xlfn.MINIFS(History_Q!$B$2:$B$1000,History_Q!$C$2:$C$1000,"revenue",History_Q!$B$2:$B$1000,"&gt;="&amp;((SUMIFS(History_Q!$B$2:$B$1000,History_Q!$A$2:$A$1000,B$6,History_Q!$C$2:$C$1000,"revenue"))-3),History_Q!$B$2:$B$1000,"&lt;="&amp;(SUMIFS(History_Q!$B$2:$B$1000,History_Q!$A$2:$A$1000,B$6,History_Q!$C$2:$C$1000,"revenue")),History_Q!$E$2:$E$1000,"$m",History_Q!$G$2:$G$1000,"populated")&lt;&gt;3,SUMIFS(History_Q!$D$2:$D$1000,History_Q!$C$2:$C$1000,"revenue",History_Q!$B$2:$B$1000,"&gt;="&amp;((SUMIFS(History_Q!$B$2:$B$1000,History_Q!$A$2:$A$1000,B$6,History_Q!$C$2:$C$1000,"revenue"))-3),History_Q!$B$2:$B$1000,"&lt;="&amp;(SUMIFS(History_Q!$B$2:$B$1000,History_Q!$A$2:$A$1000,B$6,History_Q!$C$2:$C$1000,"revenue")),History_Q!$E$2:$E$1000,"$m",History_Q!$G$2:$G$1000,"populated")=0),"",SUMIFS(History_Q!$D$2:$D$1000,History_Q!$C$2:$C$1000,"operating_income",History_Q!$B$2:$B$1000,"&gt;="&amp;((SUMIFS(History_Q!$B$2:$B$1000,History_Q!$A$2:$A$1000,B$6,History_Q!$C$2:$C$1000,"operating_income"))-3),History_Q!$B$2:$B$1000,"&lt;="&amp;(SUMIFS(History_Q!$B$2:$B$1000,History_Q!$A$2:$A$1000,B$6,History_Q!$C$2:$C$1000,"operating_income")),History_Q!$E$2:$E$1000,"$m",History_Q!$G$2:$G$1000,"populated")/SUMIFS(History_Q!$D$2:$D$1000,History_Q!$C$2:$C$1000,"revenue",History_Q!$B$2:$B$1000,"&gt;="&amp;((SUMIFS(History_Q!$B$2:$B$1000,History_Q!$A$2:$A$1000,B$6,History_Q!$C$2:$C$1000,"revenue"))-3),History_Q!$B$2:$B$1000,"&lt;="&amp;(SUMIFS(History_Q!$B$2:$B$1000,History_Q!$A$2:$A$1000,B$6,History_Q!$C$2:$C$1000,"revenue")),History_Q!$E$2:$E$1000,"$m",History_Q!$G$2:$G$1000,"populated"))</f>
        <v/>
      </c>
      <c r="C15" s="451">
        <f>IF(OR(C$6="",COUNTIFS(History_Q!$C$2:$C$1000,"operating_income",History_Q!$B$2:$B$1000,"&gt;="&amp;((SUMIFS(History_Q!$B$2:$B$1000,History_Q!$A$2:$A$1000,C$6,History_Q!$C$2:$C$1000,"operating_income"))-3),History_Q!$B$2:$B$1000,"&lt;="&amp;(SUMIFS(History_Q!$B$2:$B$1000,History_Q!$A$2:$A$1000,C$6,History_Q!$C$2:$C$1000,"operating_income")),History_Q!$E$2:$E$1000,"$m",History_Q!$G$2:$G$1000,"populated")&lt;&gt;4,COUNTIFS(History_Q!$C$2:$C$1000,"revenue",History_Q!$B$2:$B$1000,"&gt;="&amp;((SUMIFS(History_Q!$B$2:$B$1000,History_Q!$A$2:$A$1000,C$6,History_Q!$C$2:$C$1000,"revenue"))-3),History_Q!$B$2:$B$1000,"&lt;="&amp;(SUMIFS(History_Q!$B$2:$B$1000,History_Q!$A$2:$A$1000,C$6,History_Q!$C$2:$C$1000,"revenue")),History_Q!$E$2:$E$1000,"$m",History_Q!$G$2:$G$1000,"populated")&lt;&gt;4,_xlfn.MAXIFS(History_Q!$B$2:$B$1000,History_Q!$C$2:$C$1000,"operating_income",History_Q!$B$2:$B$1000,"&gt;="&amp;((SUMIFS(History_Q!$B$2:$B$1000,History_Q!$A$2:$A$1000,C$6,History_Q!$C$2:$C$1000,"operating_income"))-3),History_Q!$B$2:$B$1000,"&lt;="&amp;(SUMIFS(History_Q!$B$2:$B$1000,History_Q!$A$2:$A$1000,C$6,History_Q!$C$2:$C$1000,"operating_income")),History_Q!$E$2:$E$1000,"$m",History_Q!$G$2:$G$1000,"populated")-_xlfn.MINIFS(History_Q!$B$2:$B$1000,History_Q!$C$2:$C$1000,"operating_income",History_Q!$B$2:$B$1000,"&gt;="&amp;((SUMIFS(History_Q!$B$2:$B$1000,History_Q!$A$2:$A$1000,C$6,History_Q!$C$2:$C$1000,"operating_income"))-3),History_Q!$B$2:$B$1000,"&lt;="&amp;(SUMIFS(History_Q!$B$2:$B$1000,History_Q!$A$2:$A$1000,C$6,History_Q!$C$2:$C$1000,"operating_income")),History_Q!$E$2:$E$1000,"$m",History_Q!$G$2:$G$1000,"populated")&lt;&gt;3,_xlfn.MAXIFS(History_Q!$B$2:$B$1000,History_Q!$C$2:$C$1000,"revenue",History_Q!$B$2:$B$1000,"&gt;="&amp;((SUMIFS(History_Q!$B$2:$B$1000,History_Q!$A$2:$A$1000,C$6,History_Q!$C$2:$C$1000,"revenue"))-3),History_Q!$B$2:$B$1000,"&lt;="&amp;(SUMIFS(History_Q!$B$2:$B$1000,History_Q!$A$2:$A$1000,C$6,History_Q!$C$2:$C$1000,"revenue")),History_Q!$E$2:$E$1000,"$m",History_Q!$G$2:$G$1000,"populated")-_xlfn.MINIFS(History_Q!$B$2:$B$1000,History_Q!$C$2:$C$1000,"revenue",History_Q!$B$2:$B$1000,"&gt;="&amp;((SUMIFS(History_Q!$B$2:$B$1000,History_Q!$A$2:$A$1000,C$6,History_Q!$C$2:$C$1000,"revenue"))-3),History_Q!$B$2:$B$1000,"&lt;="&amp;(SUMIFS(History_Q!$B$2:$B$1000,History_Q!$A$2:$A$1000,C$6,History_Q!$C$2:$C$1000,"revenue")),History_Q!$E$2:$E$1000,"$m",History_Q!$G$2:$G$1000,"populated")&lt;&gt;3,SUMIFS(History_Q!$D$2:$D$1000,History_Q!$C$2:$C$1000,"revenue",History_Q!$B$2:$B$1000,"&gt;="&amp;((SUMIFS(History_Q!$B$2:$B$1000,History_Q!$A$2:$A$1000,C$6,History_Q!$C$2:$C$1000,"revenue"))-3),History_Q!$B$2:$B$1000,"&lt;="&amp;(SUMIFS(History_Q!$B$2:$B$1000,History_Q!$A$2:$A$1000,C$6,History_Q!$C$2:$C$1000,"revenue")),History_Q!$E$2:$E$1000,"$m",History_Q!$G$2:$G$1000,"populated")=0),"",SUMIFS(History_Q!$D$2:$D$1000,History_Q!$C$2:$C$1000,"operating_income",History_Q!$B$2:$B$1000,"&gt;="&amp;((SUMIFS(History_Q!$B$2:$B$1000,History_Q!$A$2:$A$1000,C$6,History_Q!$C$2:$C$1000,"operating_income"))-3),History_Q!$B$2:$B$1000,"&lt;="&amp;(SUMIFS(History_Q!$B$2:$B$1000,History_Q!$A$2:$A$1000,C$6,History_Q!$C$2:$C$1000,"operating_income")),History_Q!$E$2:$E$1000,"$m",History_Q!$G$2:$G$1000,"populated")/SUMIFS(History_Q!$D$2:$D$1000,History_Q!$C$2:$C$1000,"revenue",History_Q!$B$2:$B$1000,"&gt;="&amp;((SUMIFS(History_Q!$B$2:$B$1000,History_Q!$A$2:$A$1000,C$6,History_Q!$C$2:$C$1000,"revenue"))-3),History_Q!$B$2:$B$1000,"&lt;="&amp;(SUMIFS(History_Q!$B$2:$B$1000,History_Q!$A$2:$A$1000,C$6,History_Q!$C$2:$C$1000,"revenue")),History_Q!$E$2:$E$1000,"$m",History_Q!$G$2:$G$1000,"populated"))</f>
        <v/>
      </c>
      <c r="D15" s="451">
        <f>IF(OR(D$6="",COUNTIFS(History_Q!$C$2:$C$1000,"operating_income",History_Q!$B$2:$B$1000,"&gt;="&amp;((SUMIFS(History_Q!$B$2:$B$1000,History_Q!$A$2:$A$1000,D$6,History_Q!$C$2:$C$1000,"operating_income"))-3),History_Q!$B$2:$B$1000,"&lt;="&amp;(SUMIFS(History_Q!$B$2:$B$1000,History_Q!$A$2:$A$1000,D$6,History_Q!$C$2:$C$1000,"operating_income")),History_Q!$E$2:$E$1000,"$m",History_Q!$G$2:$G$1000,"populated")&lt;&gt;4,COUNTIFS(History_Q!$C$2:$C$1000,"revenue",History_Q!$B$2:$B$1000,"&gt;="&amp;((SUMIFS(History_Q!$B$2:$B$1000,History_Q!$A$2:$A$1000,D$6,History_Q!$C$2:$C$1000,"revenue"))-3),History_Q!$B$2:$B$1000,"&lt;="&amp;(SUMIFS(History_Q!$B$2:$B$1000,History_Q!$A$2:$A$1000,D$6,History_Q!$C$2:$C$1000,"revenue")),History_Q!$E$2:$E$1000,"$m",History_Q!$G$2:$G$1000,"populated")&lt;&gt;4,_xlfn.MAXIFS(History_Q!$B$2:$B$1000,History_Q!$C$2:$C$1000,"operating_income",History_Q!$B$2:$B$1000,"&gt;="&amp;((SUMIFS(History_Q!$B$2:$B$1000,History_Q!$A$2:$A$1000,D$6,History_Q!$C$2:$C$1000,"operating_income"))-3),History_Q!$B$2:$B$1000,"&lt;="&amp;(SUMIFS(History_Q!$B$2:$B$1000,History_Q!$A$2:$A$1000,D$6,History_Q!$C$2:$C$1000,"operating_income")),History_Q!$E$2:$E$1000,"$m",History_Q!$G$2:$G$1000,"populated")-_xlfn.MINIFS(History_Q!$B$2:$B$1000,History_Q!$C$2:$C$1000,"operating_income",History_Q!$B$2:$B$1000,"&gt;="&amp;((SUMIFS(History_Q!$B$2:$B$1000,History_Q!$A$2:$A$1000,D$6,History_Q!$C$2:$C$1000,"operating_income"))-3),History_Q!$B$2:$B$1000,"&lt;="&amp;(SUMIFS(History_Q!$B$2:$B$1000,History_Q!$A$2:$A$1000,D$6,History_Q!$C$2:$C$1000,"operating_income")),History_Q!$E$2:$E$1000,"$m",History_Q!$G$2:$G$1000,"populated")&lt;&gt;3,_xlfn.MAXIFS(History_Q!$B$2:$B$1000,History_Q!$C$2:$C$1000,"revenue",History_Q!$B$2:$B$1000,"&gt;="&amp;((SUMIFS(History_Q!$B$2:$B$1000,History_Q!$A$2:$A$1000,D$6,History_Q!$C$2:$C$1000,"revenue"))-3),History_Q!$B$2:$B$1000,"&lt;="&amp;(SUMIFS(History_Q!$B$2:$B$1000,History_Q!$A$2:$A$1000,D$6,History_Q!$C$2:$C$1000,"revenue")),History_Q!$E$2:$E$1000,"$m",History_Q!$G$2:$G$1000,"populated")-_xlfn.MINIFS(History_Q!$B$2:$B$1000,History_Q!$C$2:$C$1000,"revenue",History_Q!$B$2:$B$1000,"&gt;="&amp;((SUMIFS(History_Q!$B$2:$B$1000,History_Q!$A$2:$A$1000,D$6,History_Q!$C$2:$C$1000,"revenue"))-3),History_Q!$B$2:$B$1000,"&lt;="&amp;(SUMIFS(History_Q!$B$2:$B$1000,History_Q!$A$2:$A$1000,D$6,History_Q!$C$2:$C$1000,"revenue")),History_Q!$E$2:$E$1000,"$m",History_Q!$G$2:$G$1000,"populated")&lt;&gt;3,SUMIFS(History_Q!$D$2:$D$1000,History_Q!$C$2:$C$1000,"revenue",History_Q!$B$2:$B$1000,"&gt;="&amp;((SUMIFS(History_Q!$B$2:$B$1000,History_Q!$A$2:$A$1000,D$6,History_Q!$C$2:$C$1000,"revenue"))-3),History_Q!$B$2:$B$1000,"&lt;="&amp;(SUMIFS(History_Q!$B$2:$B$1000,History_Q!$A$2:$A$1000,D$6,History_Q!$C$2:$C$1000,"revenue")),History_Q!$E$2:$E$1000,"$m",History_Q!$G$2:$G$1000,"populated")=0),"",SUMIFS(History_Q!$D$2:$D$1000,History_Q!$C$2:$C$1000,"operating_income",History_Q!$B$2:$B$1000,"&gt;="&amp;((SUMIFS(History_Q!$B$2:$B$1000,History_Q!$A$2:$A$1000,D$6,History_Q!$C$2:$C$1000,"operating_income"))-3),History_Q!$B$2:$B$1000,"&lt;="&amp;(SUMIFS(History_Q!$B$2:$B$1000,History_Q!$A$2:$A$1000,D$6,History_Q!$C$2:$C$1000,"operating_income")),History_Q!$E$2:$E$1000,"$m",History_Q!$G$2:$G$1000,"populated")/SUMIFS(History_Q!$D$2:$D$1000,History_Q!$C$2:$C$1000,"revenue",History_Q!$B$2:$B$1000,"&gt;="&amp;((SUMIFS(History_Q!$B$2:$B$1000,History_Q!$A$2:$A$1000,D$6,History_Q!$C$2:$C$1000,"revenue"))-3),History_Q!$B$2:$B$1000,"&lt;="&amp;(SUMIFS(History_Q!$B$2:$B$1000,History_Q!$A$2:$A$1000,D$6,History_Q!$C$2:$C$1000,"revenue")),History_Q!$E$2:$E$1000,"$m",History_Q!$G$2:$G$1000,"populated"))</f>
        <v/>
      </c>
      <c r="E15" s="451">
        <f>IF(OR(E$6="",COUNTIFS(History_Q!$C$2:$C$1000,"operating_income",History_Q!$B$2:$B$1000,"&gt;="&amp;((SUMIFS(History_Q!$B$2:$B$1000,History_Q!$A$2:$A$1000,E$6,History_Q!$C$2:$C$1000,"operating_income"))-3),History_Q!$B$2:$B$1000,"&lt;="&amp;(SUMIFS(History_Q!$B$2:$B$1000,History_Q!$A$2:$A$1000,E$6,History_Q!$C$2:$C$1000,"operating_income")),History_Q!$E$2:$E$1000,"$m",History_Q!$G$2:$G$1000,"populated")&lt;&gt;4,COUNTIFS(History_Q!$C$2:$C$1000,"revenue",History_Q!$B$2:$B$1000,"&gt;="&amp;((SUMIFS(History_Q!$B$2:$B$1000,History_Q!$A$2:$A$1000,E$6,History_Q!$C$2:$C$1000,"revenue"))-3),History_Q!$B$2:$B$1000,"&lt;="&amp;(SUMIFS(History_Q!$B$2:$B$1000,History_Q!$A$2:$A$1000,E$6,History_Q!$C$2:$C$1000,"revenue")),History_Q!$E$2:$E$1000,"$m",History_Q!$G$2:$G$1000,"populated")&lt;&gt;4,_xlfn.MAXIFS(History_Q!$B$2:$B$1000,History_Q!$C$2:$C$1000,"operating_income",History_Q!$B$2:$B$1000,"&gt;="&amp;((SUMIFS(History_Q!$B$2:$B$1000,History_Q!$A$2:$A$1000,E$6,History_Q!$C$2:$C$1000,"operating_income"))-3),History_Q!$B$2:$B$1000,"&lt;="&amp;(SUMIFS(History_Q!$B$2:$B$1000,History_Q!$A$2:$A$1000,E$6,History_Q!$C$2:$C$1000,"operating_income")),History_Q!$E$2:$E$1000,"$m",History_Q!$G$2:$G$1000,"populated")-_xlfn.MINIFS(History_Q!$B$2:$B$1000,History_Q!$C$2:$C$1000,"operating_income",History_Q!$B$2:$B$1000,"&gt;="&amp;((SUMIFS(History_Q!$B$2:$B$1000,History_Q!$A$2:$A$1000,E$6,History_Q!$C$2:$C$1000,"operating_income"))-3),History_Q!$B$2:$B$1000,"&lt;="&amp;(SUMIFS(History_Q!$B$2:$B$1000,History_Q!$A$2:$A$1000,E$6,History_Q!$C$2:$C$1000,"operating_income")),History_Q!$E$2:$E$1000,"$m",History_Q!$G$2:$G$1000,"populated")&lt;&gt;3,_xlfn.MAXIFS(History_Q!$B$2:$B$1000,History_Q!$C$2:$C$1000,"revenue",History_Q!$B$2:$B$1000,"&gt;="&amp;((SUMIFS(History_Q!$B$2:$B$1000,History_Q!$A$2:$A$1000,E$6,History_Q!$C$2:$C$1000,"revenue"))-3),History_Q!$B$2:$B$1000,"&lt;="&amp;(SUMIFS(History_Q!$B$2:$B$1000,History_Q!$A$2:$A$1000,E$6,History_Q!$C$2:$C$1000,"revenue")),History_Q!$E$2:$E$1000,"$m",History_Q!$G$2:$G$1000,"populated")-_xlfn.MINIFS(History_Q!$B$2:$B$1000,History_Q!$C$2:$C$1000,"revenue",History_Q!$B$2:$B$1000,"&gt;="&amp;((SUMIFS(History_Q!$B$2:$B$1000,History_Q!$A$2:$A$1000,E$6,History_Q!$C$2:$C$1000,"revenue"))-3),History_Q!$B$2:$B$1000,"&lt;="&amp;(SUMIFS(History_Q!$B$2:$B$1000,History_Q!$A$2:$A$1000,E$6,History_Q!$C$2:$C$1000,"revenue")),History_Q!$E$2:$E$1000,"$m",History_Q!$G$2:$G$1000,"populated")&lt;&gt;3,SUMIFS(History_Q!$D$2:$D$1000,History_Q!$C$2:$C$1000,"revenue",History_Q!$B$2:$B$1000,"&gt;="&amp;((SUMIFS(History_Q!$B$2:$B$1000,History_Q!$A$2:$A$1000,E$6,History_Q!$C$2:$C$1000,"revenue"))-3),History_Q!$B$2:$B$1000,"&lt;="&amp;(SUMIFS(History_Q!$B$2:$B$1000,History_Q!$A$2:$A$1000,E$6,History_Q!$C$2:$C$1000,"revenue")),History_Q!$E$2:$E$1000,"$m",History_Q!$G$2:$G$1000,"populated")=0),"",SUMIFS(History_Q!$D$2:$D$1000,History_Q!$C$2:$C$1000,"operating_income",History_Q!$B$2:$B$1000,"&gt;="&amp;((SUMIFS(History_Q!$B$2:$B$1000,History_Q!$A$2:$A$1000,E$6,History_Q!$C$2:$C$1000,"operating_income"))-3),History_Q!$B$2:$B$1000,"&lt;="&amp;(SUMIFS(History_Q!$B$2:$B$1000,History_Q!$A$2:$A$1000,E$6,History_Q!$C$2:$C$1000,"operating_income")),History_Q!$E$2:$E$1000,"$m",History_Q!$G$2:$G$1000,"populated")/SUMIFS(History_Q!$D$2:$D$1000,History_Q!$C$2:$C$1000,"revenue",History_Q!$B$2:$B$1000,"&gt;="&amp;((SUMIFS(History_Q!$B$2:$B$1000,History_Q!$A$2:$A$1000,E$6,History_Q!$C$2:$C$1000,"revenue"))-3),History_Q!$B$2:$B$1000,"&lt;="&amp;(SUMIFS(History_Q!$B$2:$B$1000,History_Q!$A$2:$A$1000,E$6,History_Q!$C$2:$C$1000,"revenue")),History_Q!$E$2:$E$1000,"$m",History_Q!$G$2:$G$1000,"populated"))</f>
        <v/>
      </c>
      <c r="F15" s="451">
        <f>IF(OR(F$6="",COUNTIFS(History_Q!$C$2:$C$1000,"operating_income",History_Q!$B$2:$B$1000,"&gt;="&amp;((SUMIFS(History_Q!$B$2:$B$1000,History_Q!$A$2:$A$1000,F$6,History_Q!$C$2:$C$1000,"operating_income"))-3),History_Q!$B$2:$B$1000,"&lt;="&amp;(SUMIFS(History_Q!$B$2:$B$1000,History_Q!$A$2:$A$1000,F$6,History_Q!$C$2:$C$1000,"operating_income")),History_Q!$E$2:$E$1000,"$m",History_Q!$G$2:$G$1000,"populated")&lt;&gt;4,COUNTIFS(History_Q!$C$2:$C$1000,"revenue",History_Q!$B$2:$B$1000,"&gt;="&amp;((SUMIFS(History_Q!$B$2:$B$1000,History_Q!$A$2:$A$1000,F$6,History_Q!$C$2:$C$1000,"revenue"))-3),History_Q!$B$2:$B$1000,"&lt;="&amp;(SUMIFS(History_Q!$B$2:$B$1000,History_Q!$A$2:$A$1000,F$6,History_Q!$C$2:$C$1000,"revenue")),History_Q!$E$2:$E$1000,"$m",History_Q!$G$2:$G$1000,"populated")&lt;&gt;4,_xlfn.MAXIFS(History_Q!$B$2:$B$1000,History_Q!$C$2:$C$1000,"operating_income",History_Q!$B$2:$B$1000,"&gt;="&amp;((SUMIFS(History_Q!$B$2:$B$1000,History_Q!$A$2:$A$1000,F$6,History_Q!$C$2:$C$1000,"operating_income"))-3),History_Q!$B$2:$B$1000,"&lt;="&amp;(SUMIFS(History_Q!$B$2:$B$1000,History_Q!$A$2:$A$1000,F$6,History_Q!$C$2:$C$1000,"operating_income")),History_Q!$E$2:$E$1000,"$m",History_Q!$G$2:$G$1000,"populated")-_xlfn.MINIFS(History_Q!$B$2:$B$1000,History_Q!$C$2:$C$1000,"operating_income",History_Q!$B$2:$B$1000,"&gt;="&amp;((SUMIFS(History_Q!$B$2:$B$1000,History_Q!$A$2:$A$1000,F$6,History_Q!$C$2:$C$1000,"operating_income"))-3),History_Q!$B$2:$B$1000,"&lt;="&amp;(SUMIFS(History_Q!$B$2:$B$1000,History_Q!$A$2:$A$1000,F$6,History_Q!$C$2:$C$1000,"operating_income")),History_Q!$E$2:$E$1000,"$m",History_Q!$G$2:$G$1000,"populated")&lt;&gt;3,_xlfn.MAXIFS(History_Q!$B$2:$B$1000,History_Q!$C$2:$C$1000,"revenue",History_Q!$B$2:$B$1000,"&gt;="&amp;((SUMIFS(History_Q!$B$2:$B$1000,History_Q!$A$2:$A$1000,F$6,History_Q!$C$2:$C$1000,"revenue"))-3),History_Q!$B$2:$B$1000,"&lt;="&amp;(SUMIFS(History_Q!$B$2:$B$1000,History_Q!$A$2:$A$1000,F$6,History_Q!$C$2:$C$1000,"revenue")),History_Q!$E$2:$E$1000,"$m",History_Q!$G$2:$G$1000,"populated")-_xlfn.MINIFS(History_Q!$B$2:$B$1000,History_Q!$C$2:$C$1000,"revenue",History_Q!$B$2:$B$1000,"&gt;="&amp;((SUMIFS(History_Q!$B$2:$B$1000,History_Q!$A$2:$A$1000,F$6,History_Q!$C$2:$C$1000,"revenue"))-3),History_Q!$B$2:$B$1000,"&lt;="&amp;(SUMIFS(History_Q!$B$2:$B$1000,History_Q!$A$2:$A$1000,F$6,History_Q!$C$2:$C$1000,"revenue")),History_Q!$E$2:$E$1000,"$m",History_Q!$G$2:$G$1000,"populated")&lt;&gt;3,SUMIFS(History_Q!$D$2:$D$1000,History_Q!$C$2:$C$1000,"revenue",History_Q!$B$2:$B$1000,"&gt;="&amp;((SUMIFS(History_Q!$B$2:$B$1000,History_Q!$A$2:$A$1000,F$6,History_Q!$C$2:$C$1000,"revenue"))-3),History_Q!$B$2:$B$1000,"&lt;="&amp;(SUMIFS(History_Q!$B$2:$B$1000,History_Q!$A$2:$A$1000,F$6,History_Q!$C$2:$C$1000,"revenue")),History_Q!$E$2:$E$1000,"$m",History_Q!$G$2:$G$1000,"populated")=0),"",SUMIFS(History_Q!$D$2:$D$1000,History_Q!$C$2:$C$1000,"operating_income",History_Q!$B$2:$B$1000,"&gt;="&amp;((SUMIFS(History_Q!$B$2:$B$1000,History_Q!$A$2:$A$1000,F$6,History_Q!$C$2:$C$1000,"operating_income"))-3),History_Q!$B$2:$B$1000,"&lt;="&amp;(SUMIFS(History_Q!$B$2:$B$1000,History_Q!$A$2:$A$1000,F$6,History_Q!$C$2:$C$1000,"operating_income")),History_Q!$E$2:$E$1000,"$m",History_Q!$G$2:$G$1000,"populated")/SUMIFS(History_Q!$D$2:$D$1000,History_Q!$C$2:$C$1000,"revenue",History_Q!$B$2:$B$1000,"&gt;="&amp;((SUMIFS(History_Q!$B$2:$B$1000,History_Q!$A$2:$A$1000,F$6,History_Q!$C$2:$C$1000,"revenue"))-3),History_Q!$B$2:$B$1000,"&lt;="&amp;(SUMIFS(History_Q!$B$2:$B$1000,History_Q!$A$2:$A$1000,F$6,History_Q!$C$2:$C$1000,"revenue")),History_Q!$E$2:$E$1000,"$m",History_Q!$G$2:$G$1000,"populated"))</f>
        <v/>
      </c>
      <c r="G15" s="451">
        <f>IF(OR(G$6="",COUNTIFS(History_Q!$C$2:$C$1000,"operating_income",History_Q!$B$2:$B$1000,"&gt;="&amp;((SUMIFS(History_Q!$B$2:$B$1000,History_Q!$A$2:$A$1000,G$6,History_Q!$C$2:$C$1000,"operating_income"))-3),History_Q!$B$2:$B$1000,"&lt;="&amp;(SUMIFS(History_Q!$B$2:$B$1000,History_Q!$A$2:$A$1000,G$6,History_Q!$C$2:$C$1000,"operating_income")),History_Q!$E$2:$E$1000,"$m",History_Q!$G$2:$G$1000,"populated")&lt;&gt;4,COUNTIFS(History_Q!$C$2:$C$1000,"revenue",History_Q!$B$2:$B$1000,"&gt;="&amp;((SUMIFS(History_Q!$B$2:$B$1000,History_Q!$A$2:$A$1000,G$6,History_Q!$C$2:$C$1000,"revenue"))-3),History_Q!$B$2:$B$1000,"&lt;="&amp;(SUMIFS(History_Q!$B$2:$B$1000,History_Q!$A$2:$A$1000,G$6,History_Q!$C$2:$C$1000,"revenue")),History_Q!$E$2:$E$1000,"$m",History_Q!$G$2:$G$1000,"populated")&lt;&gt;4,_xlfn.MAXIFS(History_Q!$B$2:$B$1000,History_Q!$C$2:$C$1000,"operating_income",History_Q!$B$2:$B$1000,"&gt;="&amp;((SUMIFS(History_Q!$B$2:$B$1000,History_Q!$A$2:$A$1000,G$6,History_Q!$C$2:$C$1000,"operating_income"))-3),History_Q!$B$2:$B$1000,"&lt;="&amp;(SUMIFS(History_Q!$B$2:$B$1000,History_Q!$A$2:$A$1000,G$6,History_Q!$C$2:$C$1000,"operating_income")),History_Q!$E$2:$E$1000,"$m",History_Q!$G$2:$G$1000,"populated")-_xlfn.MINIFS(History_Q!$B$2:$B$1000,History_Q!$C$2:$C$1000,"operating_income",History_Q!$B$2:$B$1000,"&gt;="&amp;((SUMIFS(History_Q!$B$2:$B$1000,History_Q!$A$2:$A$1000,G$6,History_Q!$C$2:$C$1000,"operating_income"))-3),History_Q!$B$2:$B$1000,"&lt;="&amp;(SUMIFS(History_Q!$B$2:$B$1000,History_Q!$A$2:$A$1000,G$6,History_Q!$C$2:$C$1000,"operating_income")),History_Q!$E$2:$E$1000,"$m",History_Q!$G$2:$G$1000,"populated")&lt;&gt;3,_xlfn.MAXIFS(History_Q!$B$2:$B$1000,History_Q!$C$2:$C$1000,"revenue",History_Q!$B$2:$B$1000,"&gt;="&amp;((SUMIFS(History_Q!$B$2:$B$1000,History_Q!$A$2:$A$1000,G$6,History_Q!$C$2:$C$1000,"revenue"))-3),History_Q!$B$2:$B$1000,"&lt;="&amp;(SUMIFS(History_Q!$B$2:$B$1000,History_Q!$A$2:$A$1000,G$6,History_Q!$C$2:$C$1000,"revenue")),History_Q!$E$2:$E$1000,"$m",History_Q!$G$2:$G$1000,"populated")-_xlfn.MINIFS(History_Q!$B$2:$B$1000,History_Q!$C$2:$C$1000,"revenue",History_Q!$B$2:$B$1000,"&gt;="&amp;((SUMIFS(History_Q!$B$2:$B$1000,History_Q!$A$2:$A$1000,G$6,History_Q!$C$2:$C$1000,"revenue"))-3),History_Q!$B$2:$B$1000,"&lt;="&amp;(SUMIFS(History_Q!$B$2:$B$1000,History_Q!$A$2:$A$1000,G$6,History_Q!$C$2:$C$1000,"revenue")),History_Q!$E$2:$E$1000,"$m",History_Q!$G$2:$G$1000,"populated")&lt;&gt;3,SUMIFS(History_Q!$D$2:$D$1000,History_Q!$C$2:$C$1000,"revenue",History_Q!$B$2:$B$1000,"&gt;="&amp;((SUMIFS(History_Q!$B$2:$B$1000,History_Q!$A$2:$A$1000,G$6,History_Q!$C$2:$C$1000,"revenue"))-3),History_Q!$B$2:$B$1000,"&lt;="&amp;(SUMIFS(History_Q!$B$2:$B$1000,History_Q!$A$2:$A$1000,G$6,History_Q!$C$2:$C$1000,"revenue")),History_Q!$E$2:$E$1000,"$m",History_Q!$G$2:$G$1000,"populated")=0),"",SUMIFS(History_Q!$D$2:$D$1000,History_Q!$C$2:$C$1000,"operating_income",History_Q!$B$2:$B$1000,"&gt;="&amp;((SUMIFS(History_Q!$B$2:$B$1000,History_Q!$A$2:$A$1000,G$6,History_Q!$C$2:$C$1000,"operating_income"))-3),History_Q!$B$2:$B$1000,"&lt;="&amp;(SUMIFS(History_Q!$B$2:$B$1000,History_Q!$A$2:$A$1000,G$6,History_Q!$C$2:$C$1000,"operating_income")),History_Q!$E$2:$E$1000,"$m",History_Q!$G$2:$G$1000,"populated")/SUMIFS(History_Q!$D$2:$D$1000,History_Q!$C$2:$C$1000,"revenue",History_Q!$B$2:$B$1000,"&gt;="&amp;((SUMIFS(History_Q!$B$2:$B$1000,History_Q!$A$2:$A$1000,G$6,History_Q!$C$2:$C$1000,"revenue"))-3),History_Q!$B$2:$B$1000,"&lt;="&amp;(SUMIFS(History_Q!$B$2:$B$1000,History_Q!$A$2:$A$1000,G$6,History_Q!$C$2:$C$1000,"revenue")),History_Q!$E$2:$E$1000,"$m",History_Q!$G$2:$G$1000,"populated"))</f>
        <v/>
      </c>
      <c r="H15" s="451">
        <f>IF(OR(H$6="",COUNTIFS(History_Q!$C$2:$C$1000,"operating_income",History_Q!$B$2:$B$1000,"&gt;="&amp;((SUMIFS(History_Q!$B$2:$B$1000,History_Q!$A$2:$A$1000,H$6,History_Q!$C$2:$C$1000,"operating_income"))-3),History_Q!$B$2:$B$1000,"&lt;="&amp;(SUMIFS(History_Q!$B$2:$B$1000,History_Q!$A$2:$A$1000,H$6,History_Q!$C$2:$C$1000,"operating_income")),History_Q!$E$2:$E$1000,"$m",History_Q!$G$2:$G$1000,"populated")&lt;&gt;4,COUNTIFS(History_Q!$C$2:$C$1000,"revenue",History_Q!$B$2:$B$1000,"&gt;="&amp;((SUMIFS(History_Q!$B$2:$B$1000,History_Q!$A$2:$A$1000,H$6,History_Q!$C$2:$C$1000,"revenue"))-3),History_Q!$B$2:$B$1000,"&lt;="&amp;(SUMIFS(History_Q!$B$2:$B$1000,History_Q!$A$2:$A$1000,H$6,History_Q!$C$2:$C$1000,"revenue")),History_Q!$E$2:$E$1000,"$m",History_Q!$G$2:$G$1000,"populated")&lt;&gt;4,_xlfn.MAXIFS(History_Q!$B$2:$B$1000,History_Q!$C$2:$C$1000,"operating_income",History_Q!$B$2:$B$1000,"&gt;="&amp;((SUMIFS(History_Q!$B$2:$B$1000,History_Q!$A$2:$A$1000,H$6,History_Q!$C$2:$C$1000,"operating_income"))-3),History_Q!$B$2:$B$1000,"&lt;="&amp;(SUMIFS(History_Q!$B$2:$B$1000,History_Q!$A$2:$A$1000,H$6,History_Q!$C$2:$C$1000,"operating_income")),History_Q!$E$2:$E$1000,"$m",History_Q!$G$2:$G$1000,"populated")-_xlfn.MINIFS(History_Q!$B$2:$B$1000,History_Q!$C$2:$C$1000,"operating_income",History_Q!$B$2:$B$1000,"&gt;="&amp;((SUMIFS(History_Q!$B$2:$B$1000,History_Q!$A$2:$A$1000,H$6,History_Q!$C$2:$C$1000,"operating_income"))-3),History_Q!$B$2:$B$1000,"&lt;="&amp;(SUMIFS(History_Q!$B$2:$B$1000,History_Q!$A$2:$A$1000,H$6,History_Q!$C$2:$C$1000,"operating_income")),History_Q!$E$2:$E$1000,"$m",History_Q!$G$2:$G$1000,"populated")&lt;&gt;3,_xlfn.MAXIFS(History_Q!$B$2:$B$1000,History_Q!$C$2:$C$1000,"revenue",History_Q!$B$2:$B$1000,"&gt;="&amp;((SUMIFS(History_Q!$B$2:$B$1000,History_Q!$A$2:$A$1000,H$6,History_Q!$C$2:$C$1000,"revenue"))-3),History_Q!$B$2:$B$1000,"&lt;="&amp;(SUMIFS(History_Q!$B$2:$B$1000,History_Q!$A$2:$A$1000,H$6,History_Q!$C$2:$C$1000,"revenue")),History_Q!$E$2:$E$1000,"$m",History_Q!$G$2:$G$1000,"populated")-_xlfn.MINIFS(History_Q!$B$2:$B$1000,History_Q!$C$2:$C$1000,"revenue",History_Q!$B$2:$B$1000,"&gt;="&amp;((SUMIFS(History_Q!$B$2:$B$1000,History_Q!$A$2:$A$1000,H$6,History_Q!$C$2:$C$1000,"revenue"))-3),History_Q!$B$2:$B$1000,"&lt;="&amp;(SUMIFS(History_Q!$B$2:$B$1000,History_Q!$A$2:$A$1000,H$6,History_Q!$C$2:$C$1000,"revenue")),History_Q!$E$2:$E$1000,"$m",History_Q!$G$2:$G$1000,"populated")&lt;&gt;3,SUMIFS(History_Q!$D$2:$D$1000,History_Q!$C$2:$C$1000,"revenue",History_Q!$B$2:$B$1000,"&gt;="&amp;((SUMIFS(History_Q!$B$2:$B$1000,History_Q!$A$2:$A$1000,H$6,History_Q!$C$2:$C$1000,"revenue"))-3),History_Q!$B$2:$B$1000,"&lt;="&amp;(SUMIFS(History_Q!$B$2:$B$1000,History_Q!$A$2:$A$1000,H$6,History_Q!$C$2:$C$1000,"revenue")),History_Q!$E$2:$E$1000,"$m",History_Q!$G$2:$G$1000,"populated")=0),"",SUMIFS(History_Q!$D$2:$D$1000,History_Q!$C$2:$C$1000,"operating_income",History_Q!$B$2:$B$1000,"&gt;="&amp;((SUMIFS(History_Q!$B$2:$B$1000,History_Q!$A$2:$A$1000,H$6,History_Q!$C$2:$C$1000,"operating_income"))-3),History_Q!$B$2:$B$1000,"&lt;="&amp;(SUMIFS(History_Q!$B$2:$B$1000,History_Q!$A$2:$A$1000,H$6,History_Q!$C$2:$C$1000,"operating_income")),History_Q!$E$2:$E$1000,"$m",History_Q!$G$2:$G$1000,"populated")/SUMIFS(History_Q!$D$2:$D$1000,History_Q!$C$2:$C$1000,"revenue",History_Q!$B$2:$B$1000,"&gt;="&amp;((SUMIFS(History_Q!$B$2:$B$1000,History_Q!$A$2:$A$1000,H$6,History_Q!$C$2:$C$1000,"revenue"))-3),History_Q!$B$2:$B$1000,"&lt;="&amp;(SUMIFS(History_Q!$B$2:$B$1000,History_Q!$A$2:$A$1000,H$6,History_Q!$C$2:$C$1000,"revenue")),History_Q!$E$2:$E$1000,"$m",History_Q!$G$2:$G$1000,"populated"))</f>
        <v/>
      </c>
      <c r="I15" s="451">
        <f>IF(OR(I$6="",COUNTIFS(History_Q!$C$2:$C$1000,"operating_income",History_Q!$B$2:$B$1000,"&gt;="&amp;((SUMIFS(History_Q!$B$2:$B$1000,History_Q!$A$2:$A$1000,I$6,History_Q!$C$2:$C$1000,"operating_income"))-3),History_Q!$B$2:$B$1000,"&lt;="&amp;(SUMIFS(History_Q!$B$2:$B$1000,History_Q!$A$2:$A$1000,I$6,History_Q!$C$2:$C$1000,"operating_income")),History_Q!$E$2:$E$1000,"$m",History_Q!$G$2:$G$1000,"populated")&lt;&gt;4,COUNTIFS(History_Q!$C$2:$C$1000,"revenue",History_Q!$B$2:$B$1000,"&gt;="&amp;((SUMIFS(History_Q!$B$2:$B$1000,History_Q!$A$2:$A$1000,I$6,History_Q!$C$2:$C$1000,"revenue"))-3),History_Q!$B$2:$B$1000,"&lt;="&amp;(SUMIFS(History_Q!$B$2:$B$1000,History_Q!$A$2:$A$1000,I$6,History_Q!$C$2:$C$1000,"revenue")),History_Q!$E$2:$E$1000,"$m",History_Q!$G$2:$G$1000,"populated")&lt;&gt;4,_xlfn.MAXIFS(History_Q!$B$2:$B$1000,History_Q!$C$2:$C$1000,"operating_income",History_Q!$B$2:$B$1000,"&gt;="&amp;((SUMIFS(History_Q!$B$2:$B$1000,History_Q!$A$2:$A$1000,I$6,History_Q!$C$2:$C$1000,"operating_income"))-3),History_Q!$B$2:$B$1000,"&lt;="&amp;(SUMIFS(History_Q!$B$2:$B$1000,History_Q!$A$2:$A$1000,I$6,History_Q!$C$2:$C$1000,"operating_income")),History_Q!$E$2:$E$1000,"$m",History_Q!$G$2:$G$1000,"populated")-_xlfn.MINIFS(History_Q!$B$2:$B$1000,History_Q!$C$2:$C$1000,"operating_income",History_Q!$B$2:$B$1000,"&gt;="&amp;((SUMIFS(History_Q!$B$2:$B$1000,History_Q!$A$2:$A$1000,I$6,History_Q!$C$2:$C$1000,"operating_income"))-3),History_Q!$B$2:$B$1000,"&lt;="&amp;(SUMIFS(History_Q!$B$2:$B$1000,History_Q!$A$2:$A$1000,I$6,History_Q!$C$2:$C$1000,"operating_income")),History_Q!$E$2:$E$1000,"$m",History_Q!$G$2:$G$1000,"populated")&lt;&gt;3,_xlfn.MAXIFS(History_Q!$B$2:$B$1000,History_Q!$C$2:$C$1000,"revenue",History_Q!$B$2:$B$1000,"&gt;="&amp;((SUMIFS(History_Q!$B$2:$B$1000,History_Q!$A$2:$A$1000,I$6,History_Q!$C$2:$C$1000,"revenue"))-3),History_Q!$B$2:$B$1000,"&lt;="&amp;(SUMIFS(History_Q!$B$2:$B$1000,History_Q!$A$2:$A$1000,I$6,History_Q!$C$2:$C$1000,"revenue")),History_Q!$E$2:$E$1000,"$m",History_Q!$G$2:$G$1000,"populated")-_xlfn.MINIFS(History_Q!$B$2:$B$1000,History_Q!$C$2:$C$1000,"revenue",History_Q!$B$2:$B$1000,"&gt;="&amp;((SUMIFS(History_Q!$B$2:$B$1000,History_Q!$A$2:$A$1000,I$6,History_Q!$C$2:$C$1000,"revenue"))-3),History_Q!$B$2:$B$1000,"&lt;="&amp;(SUMIFS(History_Q!$B$2:$B$1000,History_Q!$A$2:$A$1000,I$6,History_Q!$C$2:$C$1000,"revenue")),History_Q!$E$2:$E$1000,"$m",History_Q!$G$2:$G$1000,"populated")&lt;&gt;3,SUMIFS(History_Q!$D$2:$D$1000,History_Q!$C$2:$C$1000,"revenue",History_Q!$B$2:$B$1000,"&gt;="&amp;((SUMIFS(History_Q!$B$2:$B$1000,History_Q!$A$2:$A$1000,I$6,History_Q!$C$2:$C$1000,"revenue"))-3),History_Q!$B$2:$B$1000,"&lt;="&amp;(SUMIFS(History_Q!$B$2:$B$1000,History_Q!$A$2:$A$1000,I$6,History_Q!$C$2:$C$1000,"revenue")),History_Q!$E$2:$E$1000,"$m",History_Q!$G$2:$G$1000,"populated")=0),"",SUMIFS(History_Q!$D$2:$D$1000,History_Q!$C$2:$C$1000,"operating_income",History_Q!$B$2:$B$1000,"&gt;="&amp;((SUMIFS(History_Q!$B$2:$B$1000,History_Q!$A$2:$A$1000,I$6,History_Q!$C$2:$C$1000,"operating_income"))-3),History_Q!$B$2:$B$1000,"&lt;="&amp;(SUMIFS(History_Q!$B$2:$B$1000,History_Q!$A$2:$A$1000,I$6,History_Q!$C$2:$C$1000,"operating_income")),History_Q!$E$2:$E$1000,"$m",History_Q!$G$2:$G$1000,"populated")/SUMIFS(History_Q!$D$2:$D$1000,History_Q!$C$2:$C$1000,"revenue",History_Q!$B$2:$B$1000,"&gt;="&amp;((SUMIFS(History_Q!$B$2:$B$1000,History_Q!$A$2:$A$1000,I$6,History_Q!$C$2:$C$1000,"revenue"))-3),History_Q!$B$2:$B$1000,"&lt;="&amp;(SUMIFS(History_Q!$B$2:$B$1000,History_Q!$A$2:$A$1000,I$6,History_Q!$C$2:$C$1000,"revenue")),History_Q!$E$2:$E$1000,"$m",History_Q!$G$2:$G$1000,"populated"))</f>
        <v/>
      </c>
      <c r="J15" s="451">
        <f>IF(OR(J$6="",COUNTIFS(History_Q!$C$2:$C$1000,"operating_income",History_Q!$B$2:$B$1000,"&gt;="&amp;((SUMIFS(History_Q!$B$2:$B$1000,History_Q!$A$2:$A$1000,J$6,History_Q!$C$2:$C$1000,"operating_income"))-3),History_Q!$B$2:$B$1000,"&lt;="&amp;(SUMIFS(History_Q!$B$2:$B$1000,History_Q!$A$2:$A$1000,J$6,History_Q!$C$2:$C$1000,"operating_income")),History_Q!$E$2:$E$1000,"$m",History_Q!$G$2:$G$1000,"populated")&lt;&gt;4,COUNTIFS(History_Q!$C$2:$C$1000,"revenue",History_Q!$B$2:$B$1000,"&gt;="&amp;((SUMIFS(History_Q!$B$2:$B$1000,History_Q!$A$2:$A$1000,J$6,History_Q!$C$2:$C$1000,"revenue"))-3),History_Q!$B$2:$B$1000,"&lt;="&amp;(SUMIFS(History_Q!$B$2:$B$1000,History_Q!$A$2:$A$1000,J$6,History_Q!$C$2:$C$1000,"revenue")),History_Q!$E$2:$E$1000,"$m",History_Q!$G$2:$G$1000,"populated")&lt;&gt;4,_xlfn.MAXIFS(History_Q!$B$2:$B$1000,History_Q!$C$2:$C$1000,"operating_income",History_Q!$B$2:$B$1000,"&gt;="&amp;((SUMIFS(History_Q!$B$2:$B$1000,History_Q!$A$2:$A$1000,J$6,History_Q!$C$2:$C$1000,"operating_income"))-3),History_Q!$B$2:$B$1000,"&lt;="&amp;(SUMIFS(History_Q!$B$2:$B$1000,History_Q!$A$2:$A$1000,J$6,History_Q!$C$2:$C$1000,"operating_income")),History_Q!$E$2:$E$1000,"$m",History_Q!$G$2:$G$1000,"populated")-_xlfn.MINIFS(History_Q!$B$2:$B$1000,History_Q!$C$2:$C$1000,"operating_income",History_Q!$B$2:$B$1000,"&gt;="&amp;((SUMIFS(History_Q!$B$2:$B$1000,History_Q!$A$2:$A$1000,J$6,History_Q!$C$2:$C$1000,"operating_income"))-3),History_Q!$B$2:$B$1000,"&lt;="&amp;(SUMIFS(History_Q!$B$2:$B$1000,History_Q!$A$2:$A$1000,J$6,History_Q!$C$2:$C$1000,"operating_income")),History_Q!$E$2:$E$1000,"$m",History_Q!$G$2:$G$1000,"populated")&lt;&gt;3,_xlfn.MAXIFS(History_Q!$B$2:$B$1000,History_Q!$C$2:$C$1000,"revenue",History_Q!$B$2:$B$1000,"&gt;="&amp;((SUMIFS(History_Q!$B$2:$B$1000,History_Q!$A$2:$A$1000,J$6,History_Q!$C$2:$C$1000,"revenue"))-3),History_Q!$B$2:$B$1000,"&lt;="&amp;(SUMIFS(History_Q!$B$2:$B$1000,History_Q!$A$2:$A$1000,J$6,History_Q!$C$2:$C$1000,"revenue")),History_Q!$E$2:$E$1000,"$m",History_Q!$G$2:$G$1000,"populated")-_xlfn.MINIFS(History_Q!$B$2:$B$1000,History_Q!$C$2:$C$1000,"revenue",History_Q!$B$2:$B$1000,"&gt;="&amp;((SUMIFS(History_Q!$B$2:$B$1000,History_Q!$A$2:$A$1000,J$6,History_Q!$C$2:$C$1000,"revenue"))-3),History_Q!$B$2:$B$1000,"&lt;="&amp;(SUMIFS(History_Q!$B$2:$B$1000,History_Q!$A$2:$A$1000,J$6,History_Q!$C$2:$C$1000,"revenue")),History_Q!$E$2:$E$1000,"$m",History_Q!$G$2:$G$1000,"populated")&lt;&gt;3,SUMIFS(History_Q!$D$2:$D$1000,History_Q!$C$2:$C$1000,"revenue",History_Q!$B$2:$B$1000,"&gt;="&amp;((SUMIFS(History_Q!$B$2:$B$1000,History_Q!$A$2:$A$1000,J$6,History_Q!$C$2:$C$1000,"revenue"))-3),History_Q!$B$2:$B$1000,"&lt;="&amp;(SUMIFS(History_Q!$B$2:$B$1000,History_Q!$A$2:$A$1000,J$6,History_Q!$C$2:$C$1000,"revenue")),History_Q!$E$2:$E$1000,"$m",History_Q!$G$2:$G$1000,"populated")=0),"",SUMIFS(History_Q!$D$2:$D$1000,History_Q!$C$2:$C$1000,"operating_income",History_Q!$B$2:$B$1000,"&gt;="&amp;((SUMIFS(History_Q!$B$2:$B$1000,History_Q!$A$2:$A$1000,J$6,History_Q!$C$2:$C$1000,"operating_income"))-3),History_Q!$B$2:$B$1000,"&lt;="&amp;(SUMIFS(History_Q!$B$2:$B$1000,History_Q!$A$2:$A$1000,J$6,History_Q!$C$2:$C$1000,"operating_income")),History_Q!$E$2:$E$1000,"$m",History_Q!$G$2:$G$1000,"populated")/SUMIFS(History_Q!$D$2:$D$1000,History_Q!$C$2:$C$1000,"revenue",History_Q!$B$2:$B$1000,"&gt;="&amp;((SUMIFS(History_Q!$B$2:$B$1000,History_Q!$A$2:$A$1000,J$6,History_Q!$C$2:$C$1000,"revenue"))-3),History_Q!$B$2:$B$1000,"&lt;="&amp;(SUMIFS(History_Q!$B$2:$B$1000,History_Q!$A$2:$A$1000,J$6,History_Q!$C$2:$C$1000,"revenue")),History_Q!$E$2:$E$1000,"$m",History_Q!$G$2:$G$1000,"populated"))</f>
        <v/>
      </c>
      <c r="K15" s="451">
        <f>IF(OR(K$6="",COUNTIFS(History_Q!$C$2:$C$1000,"operating_income",History_Q!$B$2:$B$1000,"&gt;="&amp;((SUMIFS(History_Q!$B$2:$B$1000,History_Q!$A$2:$A$1000,K$6,History_Q!$C$2:$C$1000,"operating_income"))-3),History_Q!$B$2:$B$1000,"&lt;="&amp;(SUMIFS(History_Q!$B$2:$B$1000,History_Q!$A$2:$A$1000,K$6,History_Q!$C$2:$C$1000,"operating_income")),History_Q!$E$2:$E$1000,"$m",History_Q!$G$2:$G$1000,"populated")&lt;&gt;4,COUNTIFS(History_Q!$C$2:$C$1000,"revenue",History_Q!$B$2:$B$1000,"&gt;="&amp;((SUMIFS(History_Q!$B$2:$B$1000,History_Q!$A$2:$A$1000,K$6,History_Q!$C$2:$C$1000,"revenue"))-3),History_Q!$B$2:$B$1000,"&lt;="&amp;(SUMIFS(History_Q!$B$2:$B$1000,History_Q!$A$2:$A$1000,K$6,History_Q!$C$2:$C$1000,"revenue")),History_Q!$E$2:$E$1000,"$m",History_Q!$G$2:$G$1000,"populated")&lt;&gt;4,_xlfn.MAXIFS(History_Q!$B$2:$B$1000,History_Q!$C$2:$C$1000,"operating_income",History_Q!$B$2:$B$1000,"&gt;="&amp;((SUMIFS(History_Q!$B$2:$B$1000,History_Q!$A$2:$A$1000,K$6,History_Q!$C$2:$C$1000,"operating_income"))-3),History_Q!$B$2:$B$1000,"&lt;="&amp;(SUMIFS(History_Q!$B$2:$B$1000,History_Q!$A$2:$A$1000,K$6,History_Q!$C$2:$C$1000,"operating_income")),History_Q!$E$2:$E$1000,"$m",History_Q!$G$2:$G$1000,"populated")-_xlfn.MINIFS(History_Q!$B$2:$B$1000,History_Q!$C$2:$C$1000,"operating_income",History_Q!$B$2:$B$1000,"&gt;="&amp;((SUMIFS(History_Q!$B$2:$B$1000,History_Q!$A$2:$A$1000,K$6,History_Q!$C$2:$C$1000,"operating_income"))-3),History_Q!$B$2:$B$1000,"&lt;="&amp;(SUMIFS(History_Q!$B$2:$B$1000,History_Q!$A$2:$A$1000,K$6,History_Q!$C$2:$C$1000,"operating_income")),History_Q!$E$2:$E$1000,"$m",History_Q!$G$2:$G$1000,"populated")&lt;&gt;3,_xlfn.MAXIFS(History_Q!$B$2:$B$1000,History_Q!$C$2:$C$1000,"revenue",History_Q!$B$2:$B$1000,"&gt;="&amp;((SUMIFS(History_Q!$B$2:$B$1000,History_Q!$A$2:$A$1000,K$6,History_Q!$C$2:$C$1000,"revenue"))-3),History_Q!$B$2:$B$1000,"&lt;="&amp;(SUMIFS(History_Q!$B$2:$B$1000,History_Q!$A$2:$A$1000,K$6,History_Q!$C$2:$C$1000,"revenue")),History_Q!$E$2:$E$1000,"$m",History_Q!$G$2:$G$1000,"populated")-_xlfn.MINIFS(History_Q!$B$2:$B$1000,History_Q!$C$2:$C$1000,"revenue",History_Q!$B$2:$B$1000,"&gt;="&amp;((SUMIFS(History_Q!$B$2:$B$1000,History_Q!$A$2:$A$1000,K$6,History_Q!$C$2:$C$1000,"revenue"))-3),History_Q!$B$2:$B$1000,"&lt;="&amp;(SUMIFS(History_Q!$B$2:$B$1000,History_Q!$A$2:$A$1000,K$6,History_Q!$C$2:$C$1000,"revenue")),History_Q!$E$2:$E$1000,"$m",History_Q!$G$2:$G$1000,"populated")&lt;&gt;3,SUMIFS(History_Q!$D$2:$D$1000,History_Q!$C$2:$C$1000,"revenue",History_Q!$B$2:$B$1000,"&gt;="&amp;((SUMIFS(History_Q!$B$2:$B$1000,History_Q!$A$2:$A$1000,K$6,History_Q!$C$2:$C$1000,"revenue"))-3),History_Q!$B$2:$B$1000,"&lt;="&amp;(SUMIFS(History_Q!$B$2:$B$1000,History_Q!$A$2:$A$1000,K$6,History_Q!$C$2:$C$1000,"revenue")),History_Q!$E$2:$E$1000,"$m",History_Q!$G$2:$G$1000,"populated")=0),"",SUMIFS(History_Q!$D$2:$D$1000,History_Q!$C$2:$C$1000,"operating_income",History_Q!$B$2:$B$1000,"&gt;="&amp;((SUMIFS(History_Q!$B$2:$B$1000,History_Q!$A$2:$A$1000,K$6,History_Q!$C$2:$C$1000,"operating_income"))-3),History_Q!$B$2:$B$1000,"&lt;="&amp;(SUMIFS(History_Q!$B$2:$B$1000,History_Q!$A$2:$A$1000,K$6,History_Q!$C$2:$C$1000,"operating_income")),History_Q!$E$2:$E$1000,"$m",History_Q!$G$2:$G$1000,"populated")/SUMIFS(History_Q!$D$2:$D$1000,History_Q!$C$2:$C$1000,"revenue",History_Q!$B$2:$B$1000,"&gt;="&amp;((SUMIFS(History_Q!$B$2:$B$1000,History_Q!$A$2:$A$1000,K$6,History_Q!$C$2:$C$1000,"revenue"))-3),History_Q!$B$2:$B$1000,"&lt;="&amp;(SUMIFS(History_Q!$B$2:$B$1000,History_Q!$A$2:$A$1000,K$6,History_Q!$C$2:$C$1000,"revenue")),History_Q!$E$2:$E$1000,"$m",History_Q!$G$2:$G$1000,"populated"))</f>
        <v/>
      </c>
      <c r="L15" s="451">
        <f>IF(OR(L$6="",COUNTIFS(History_Q!$C$2:$C$1000,"operating_income",History_Q!$B$2:$B$1000,"&gt;="&amp;((SUMIFS(History_Q!$B$2:$B$1000,History_Q!$A$2:$A$1000,L$6,History_Q!$C$2:$C$1000,"operating_income"))-3),History_Q!$B$2:$B$1000,"&lt;="&amp;(SUMIFS(History_Q!$B$2:$B$1000,History_Q!$A$2:$A$1000,L$6,History_Q!$C$2:$C$1000,"operating_income")),History_Q!$E$2:$E$1000,"$m",History_Q!$G$2:$G$1000,"populated")&lt;&gt;4,COUNTIFS(History_Q!$C$2:$C$1000,"revenue",History_Q!$B$2:$B$1000,"&gt;="&amp;((SUMIFS(History_Q!$B$2:$B$1000,History_Q!$A$2:$A$1000,L$6,History_Q!$C$2:$C$1000,"revenue"))-3),History_Q!$B$2:$B$1000,"&lt;="&amp;(SUMIFS(History_Q!$B$2:$B$1000,History_Q!$A$2:$A$1000,L$6,History_Q!$C$2:$C$1000,"revenue")),History_Q!$E$2:$E$1000,"$m",History_Q!$G$2:$G$1000,"populated")&lt;&gt;4,_xlfn.MAXIFS(History_Q!$B$2:$B$1000,History_Q!$C$2:$C$1000,"operating_income",History_Q!$B$2:$B$1000,"&gt;="&amp;((SUMIFS(History_Q!$B$2:$B$1000,History_Q!$A$2:$A$1000,L$6,History_Q!$C$2:$C$1000,"operating_income"))-3),History_Q!$B$2:$B$1000,"&lt;="&amp;(SUMIFS(History_Q!$B$2:$B$1000,History_Q!$A$2:$A$1000,L$6,History_Q!$C$2:$C$1000,"operating_income")),History_Q!$E$2:$E$1000,"$m",History_Q!$G$2:$G$1000,"populated")-_xlfn.MINIFS(History_Q!$B$2:$B$1000,History_Q!$C$2:$C$1000,"operating_income",History_Q!$B$2:$B$1000,"&gt;="&amp;((SUMIFS(History_Q!$B$2:$B$1000,History_Q!$A$2:$A$1000,L$6,History_Q!$C$2:$C$1000,"operating_income"))-3),History_Q!$B$2:$B$1000,"&lt;="&amp;(SUMIFS(History_Q!$B$2:$B$1000,History_Q!$A$2:$A$1000,L$6,History_Q!$C$2:$C$1000,"operating_income")),History_Q!$E$2:$E$1000,"$m",History_Q!$G$2:$G$1000,"populated")&lt;&gt;3,_xlfn.MAXIFS(History_Q!$B$2:$B$1000,History_Q!$C$2:$C$1000,"revenue",History_Q!$B$2:$B$1000,"&gt;="&amp;((SUMIFS(History_Q!$B$2:$B$1000,History_Q!$A$2:$A$1000,L$6,History_Q!$C$2:$C$1000,"revenue"))-3),History_Q!$B$2:$B$1000,"&lt;="&amp;(SUMIFS(History_Q!$B$2:$B$1000,History_Q!$A$2:$A$1000,L$6,History_Q!$C$2:$C$1000,"revenue")),History_Q!$E$2:$E$1000,"$m",History_Q!$G$2:$G$1000,"populated")-_xlfn.MINIFS(History_Q!$B$2:$B$1000,History_Q!$C$2:$C$1000,"revenue",History_Q!$B$2:$B$1000,"&gt;="&amp;((SUMIFS(History_Q!$B$2:$B$1000,History_Q!$A$2:$A$1000,L$6,History_Q!$C$2:$C$1000,"revenue"))-3),History_Q!$B$2:$B$1000,"&lt;="&amp;(SUMIFS(History_Q!$B$2:$B$1000,History_Q!$A$2:$A$1000,L$6,History_Q!$C$2:$C$1000,"revenue")),History_Q!$E$2:$E$1000,"$m",History_Q!$G$2:$G$1000,"populated")&lt;&gt;3,SUMIFS(History_Q!$D$2:$D$1000,History_Q!$C$2:$C$1000,"revenue",History_Q!$B$2:$B$1000,"&gt;="&amp;((SUMIFS(History_Q!$B$2:$B$1000,History_Q!$A$2:$A$1000,L$6,History_Q!$C$2:$C$1000,"revenue"))-3),History_Q!$B$2:$B$1000,"&lt;="&amp;(SUMIFS(History_Q!$B$2:$B$1000,History_Q!$A$2:$A$1000,L$6,History_Q!$C$2:$C$1000,"revenue")),History_Q!$E$2:$E$1000,"$m",History_Q!$G$2:$G$1000,"populated")=0),"",SUMIFS(History_Q!$D$2:$D$1000,History_Q!$C$2:$C$1000,"operating_income",History_Q!$B$2:$B$1000,"&gt;="&amp;((SUMIFS(History_Q!$B$2:$B$1000,History_Q!$A$2:$A$1000,L$6,History_Q!$C$2:$C$1000,"operating_income"))-3),History_Q!$B$2:$B$1000,"&lt;="&amp;(SUMIFS(History_Q!$B$2:$B$1000,History_Q!$A$2:$A$1000,L$6,History_Q!$C$2:$C$1000,"operating_income")),History_Q!$E$2:$E$1000,"$m",History_Q!$G$2:$G$1000,"populated")/SUMIFS(History_Q!$D$2:$D$1000,History_Q!$C$2:$C$1000,"revenue",History_Q!$B$2:$B$1000,"&gt;="&amp;((SUMIFS(History_Q!$B$2:$B$1000,History_Q!$A$2:$A$1000,L$6,History_Q!$C$2:$C$1000,"revenue"))-3),History_Q!$B$2:$B$1000,"&lt;="&amp;(SUMIFS(History_Q!$B$2:$B$1000,History_Q!$A$2:$A$1000,L$6,History_Q!$C$2:$C$1000,"revenue")),History_Q!$E$2:$E$1000,"$m",History_Q!$G$2:$G$1000,"populated"))</f>
        <v/>
      </c>
      <c r="M15" s="451">
        <f>IF(OR(M$6="",COUNTIFS(History_Q!$C$2:$C$1000,"operating_income",History_Q!$B$2:$B$1000,"&gt;="&amp;((SUMIFS(History_Q!$B$2:$B$1000,History_Q!$A$2:$A$1000,M$6,History_Q!$C$2:$C$1000,"operating_income"))-3),History_Q!$B$2:$B$1000,"&lt;="&amp;(SUMIFS(History_Q!$B$2:$B$1000,History_Q!$A$2:$A$1000,M$6,History_Q!$C$2:$C$1000,"operating_income")),History_Q!$E$2:$E$1000,"$m",History_Q!$G$2:$G$1000,"populated")&lt;&gt;4,COUNTIFS(History_Q!$C$2:$C$1000,"revenue",History_Q!$B$2:$B$1000,"&gt;="&amp;((SUMIFS(History_Q!$B$2:$B$1000,History_Q!$A$2:$A$1000,M$6,History_Q!$C$2:$C$1000,"revenue"))-3),History_Q!$B$2:$B$1000,"&lt;="&amp;(SUMIFS(History_Q!$B$2:$B$1000,History_Q!$A$2:$A$1000,M$6,History_Q!$C$2:$C$1000,"revenue")),History_Q!$E$2:$E$1000,"$m",History_Q!$G$2:$G$1000,"populated")&lt;&gt;4,_xlfn.MAXIFS(History_Q!$B$2:$B$1000,History_Q!$C$2:$C$1000,"operating_income",History_Q!$B$2:$B$1000,"&gt;="&amp;((SUMIFS(History_Q!$B$2:$B$1000,History_Q!$A$2:$A$1000,M$6,History_Q!$C$2:$C$1000,"operating_income"))-3),History_Q!$B$2:$B$1000,"&lt;="&amp;(SUMIFS(History_Q!$B$2:$B$1000,History_Q!$A$2:$A$1000,M$6,History_Q!$C$2:$C$1000,"operating_income")),History_Q!$E$2:$E$1000,"$m",History_Q!$G$2:$G$1000,"populated")-_xlfn.MINIFS(History_Q!$B$2:$B$1000,History_Q!$C$2:$C$1000,"operating_income",History_Q!$B$2:$B$1000,"&gt;="&amp;((SUMIFS(History_Q!$B$2:$B$1000,History_Q!$A$2:$A$1000,M$6,History_Q!$C$2:$C$1000,"operating_income"))-3),History_Q!$B$2:$B$1000,"&lt;="&amp;(SUMIFS(History_Q!$B$2:$B$1000,History_Q!$A$2:$A$1000,M$6,History_Q!$C$2:$C$1000,"operating_income")),History_Q!$E$2:$E$1000,"$m",History_Q!$G$2:$G$1000,"populated")&lt;&gt;3,_xlfn.MAXIFS(History_Q!$B$2:$B$1000,History_Q!$C$2:$C$1000,"revenue",History_Q!$B$2:$B$1000,"&gt;="&amp;((SUMIFS(History_Q!$B$2:$B$1000,History_Q!$A$2:$A$1000,M$6,History_Q!$C$2:$C$1000,"revenue"))-3),History_Q!$B$2:$B$1000,"&lt;="&amp;(SUMIFS(History_Q!$B$2:$B$1000,History_Q!$A$2:$A$1000,M$6,History_Q!$C$2:$C$1000,"revenue")),History_Q!$E$2:$E$1000,"$m",History_Q!$G$2:$G$1000,"populated")-_xlfn.MINIFS(History_Q!$B$2:$B$1000,History_Q!$C$2:$C$1000,"revenue",History_Q!$B$2:$B$1000,"&gt;="&amp;((SUMIFS(History_Q!$B$2:$B$1000,History_Q!$A$2:$A$1000,M$6,History_Q!$C$2:$C$1000,"revenue"))-3),History_Q!$B$2:$B$1000,"&lt;="&amp;(SUMIFS(History_Q!$B$2:$B$1000,History_Q!$A$2:$A$1000,M$6,History_Q!$C$2:$C$1000,"revenue")),History_Q!$E$2:$E$1000,"$m",History_Q!$G$2:$G$1000,"populated")&lt;&gt;3,SUMIFS(History_Q!$D$2:$D$1000,History_Q!$C$2:$C$1000,"revenue",History_Q!$B$2:$B$1000,"&gt;="&amp;((SUMIFS(History_Q!$B$2:$B$1000,History_Q!$A$2:$A$1000,M$6,History_Q!$C$2:$C$1000,"revenue"))-3),History_Q!$B$2:$B$1000,"&lt;="&amp;(SUMIFS(History_Q!$B$2:$B$1000,History_Q!$A$2:$A$1000,M$6,History_Q!$C$2:$C$1000,"revenue")),History_Q!$E$2:$E$1000,"$m",History_Q!$G$2:$G$1000,"populated")=0),"",SUMIFS(History_Q!$D$2:$D$1000,History_Q!$C$2:$C$1000,"operating_income",History_Q!$B$2:$B$1000,"&gt;="&amp;((SUMIFS(History_Q!$B$2:$B$1000,History_Q!$A$2:$A$1000,M$6,History_Q!$C$2:$C$1000,"operating_income"))-3),History_Q!$B$2:$B$1000,"&lt;="&amp;(SUMIFS(History_Q!$B$2:$B$1000,History_Q!$A$2:$A$1000,M$6,History_Q!$C$2:$C$1000,"operating_income")),History_Q!$E$2:$E$1000,"$m",History_Q!$G$2:$G$1000,"populated")/SUMIFS(History_Q!$D$2:$D$1000,History_Q!$C$2:$C$1000,"revenue",History_Q!$B$2:$B$1000,"&gt;="&amp;((SUMIFS(History_Q!$B$2:$B$1000,History_Q!$A$2:$A$1000,M$6,History_Q!$C$2:$C$1000,"revenue"))-3),History_Q!$B$2:$B$1000,"&lt;="&amp;(SUMIFS(History_Q!$B$2:$B$1000,History_Q!$A$2:$A$1000,M$6,History_Q!$C$2:$C$1000,"revenue")),History_Q!$E$2:$E$1000,"$m",History_Q!$G$2:$G$1000,"populated"))</f>
        <v/>
      </c>
      <c r="N15" s="22" t="n"/>
      <c r="O15" s="52" t="n"/>
      <c r="P15" s="46" t="n"/>
      <c r="Q15" s="52" t="n"/>
      <c r="R15" s="52" t="n"/>
      <c r="S15" s="52" t="n"/>
      <c r="T15" s="47" t="n"/>
      <c r="U15" s="47" t="n"/>
      <c r="V15" s="47" t="n"/>
      <c r="W15" s="46" t="n"/>
      <c r="AA15" s="52" t="n"/>
      <c r="AB15" s="47" t="n"/>
      <c r="AC15" s="46" t="n"/>
      <c r="AD15" s="22" t="n"/>
      <c r="AE15" s="22" t="n"/>
      <c r="AF15" s="22" t="n"/>
      <c r="AG15" s="22" t="n"/>
      <c r="AH15" s="22" t="n"/>
      <c r="AI15" s="22" t="n"/>
    </row>
    <row r="16" ht="19.5" customHeight="1">
      <c r="A16" s="48" t="inlineStr">
        <is>
          <t>R&amp;D % of revenue</t>
        </is>
      </c>
      <c r="B16" s="59" t="n"/>
      <c r="C16" s="59" t="n"/>
      <c r="D16" s="59" t="n"/>
      <c r="E16" s="59" t="n"/>
      <c r="F16" s="59" t="n"/>
      <c r="G16" s="59" t="n"/>
      <c r="H16" s="59" t="n"/>
      <c r="I16" s="59" t="n"/>
      <c r="J16" s="59" t="n"/>
      <c r="K16" s="59" t="n"/>
      <c r="L16" s="59" t="n"/>
      <c r="M16" s="59" t="n"/>
      <c r="N16" s="22" t="n"/>
      <c r="O16" s="53" t="n"/>
      <c r="P16" s="46" t="n"/>
      <c r="Q16" s="53" t="n"/>
      <c r="R16" s="53" t="n"/>
      <c r="S16" s="53" t="n"/>
      <c r="T16" s="47" t="n"/>
      <c r="U16" s="47" t="n"/>
      <c r="V16" s="47" t="n"/>
      <c r="W16" s="46" t="n"/>
      <c r="AA16" s="53" t="n"/>
      <c r="AB16" s="47" t="n"/>
      <c r="AC16" s="46" t="n"/>
      <c r="AD16" s="22" t="n"/>
      <c r="AE16" s="22" t="n"/>
      <c r="AF16" s="22" t="n"/>
      <c r="AG16" s="22" t="n"/>
      <c r="AH16" s="22" t="n"/>
      <c r="AI16" s="22" t="n"/>
    </row>
    <row r="17" ht="19.5" customHeight="1">
      <c r="A17" s="96" t="inlineStr">
        <is>
          <t>Core operating</t>
        </is>
      </c>
      <c r="B17" s="104" t="n"/>
      <c r="C17" s="104" t="n"/>
      <c r="D17" s="104" t="n"/>
      <c r="E17" s="104" t="n"/>
      <c r="F17" s="104" t="n"/>
      <c r="G17" s="104" t="n"/>
      <c r="H17" s="104" t="n"/>
      <c r="I17" s="104" t="n"/>
      <c r="J17" s="104" t="n"/>
      <c r="K17" s="104" t="n"/>
      <c r="L17" s="104" t="n"/>
      <c r="M17" s="105" t="n"/>
      <c r="N17" s="22" t="n"/>
      <c r="O17" s="52" t="n"/>
      <c r="P17" s="46" t="n"/>
      <c r="Q17" s="52" t="n"/>
      <c r="R17" s="52" t="n"/>
      <c r="S17" s="52" t="n"/>
      <c r="T17" s="47" t="n"/>
      <c r="U17" s="47" t="n"/>
      <c r="V17" s="47" t="n"/>
      <c r="W17" s="46" t="n"/>
      <c r="AA17" s="52" t="n"/>
      <c r="AB17" s="47" t="n"/>
      <c r="AC17" s="46" t="n"/>
      <c r="AD17" s="22" t="n"/>
      <c r="AE17" s="22" t="n"/>
      <c r="AF17" s="22" t="n"/>
      <c r="AG17" s="22" t="n"/>
      <c r="AH17" s="22" t="n"/>
      <c r="AI17" s="22" t="n"/>
    </row>
    <row r="18" ht="19.5" customHeight="1">
      <c r="A18" s="48" t="inlineStr">
        <is>
          <t>EBITDA (base)</t>
        </is>
      </c>
      <c r="B18" s="62" t="n"/>
      <c r="C18" s="62" t="n"/>
      <c r="D18" s="62" t="n"/>
      <c r="E18" s="62" t="n"/>
      <c r="F18" s="62" t="n"/>
      <c r="G18" s="62" t="n"/>
      <c r="H18" s="62" t="n"/>
      <c r="I18" s="62" t="n"/>
      <c r="J18" s="62" t="n"/>
      <c r="K18" s="62" t="n"/>
      <c r="L18" s="62" t="n"/>
      <c r="M18" s="62" t="n"/>
      <c r="N18" s="22" t="n"/>
      <c r="O18" s="53" t="n"/>
      <c r="P18" s="46" t="n"/>
      <c r="Q18" s="53" t="n"/>
      <c r="R18" s="53" t="n"/>
      <c r="S18" s="53" t="n"/>
      <c r="T18" s="47" t="n"/>
      <c r="U18" s="47" t="n"/>
      <c r="V18" s="47" t="n"/>
      <c r="W18" s="46" t="n"/>
      <c r="AA18" s="53" t="n"/>
      <c r="AB18" s="47" t="n"/>
      <c r="AC18" s="46" t="n"/>
      <c r="AD18" s="22" t="n"/>
      <c r="AE18" s="22" t="n"/>
      <c r="AF18" s="22" t="n"/>
      <c r="AG18" s="22" t="n"/>
      <c r="AH18" s="22" t="n"/>
      <c r="AI18" s="22" t="n"/>
    </row>
    <row r="19" ht="19.5" customHeight="1">
      <c r="A19" s="48" t="inlineStr">
        <is>
          <t>EBITDA margin %</t>
        </is>
      </c>
      <c r="B19" s="451">
        <f>IF(OR(B18="",B9="",B9=0),"",B18/B9)</f>
        <v/>
      </c>
      <c r="C19" s="451">
        <f>IF(OR(C18="",C9="",C9=0),"",C18/C9)</f>
        <v/>
      </c>
      <c r="D19" s="451">
        <f>IF(OR(D18="",D9="",D9=0),"",D18/D9)</f>
        <v/>
      </c>
      <c r="E19" s="451">
        <f>IF(OR(E18="",E9="",E9=0),"",E18/E9)</f>
        <v/>
      </c>
      <c r="F19" s="451">
        <f>IF(OR(F18="",F9="",F9=0),"",F18/F9)</f>
        <v/>
      </c>
      <c r="G19" s="451">
        <f>IF(OR(G18="",G9="",G9=0),"",G18/G9)</f>
        <v/>
      </c>
      <c r="H19" s="451">
        <f>IF(OR(H18="",H9="",H9=0),"",H18/H9)</f>
        <v/>
      </c>
      <c r="I19" s="451">
        <f>IF(OR(I18="",I9="",I9=0),"",I18/I9)</f>
        <v/>
      </c>
      <c r="J19" s="451">
        <f>IF(OR(J18="",J9="",J9=0),"",J18/J9)</f>
        <v/>
      </c>
      <c r="K19" s="451">
        <f>IF(OR(K18="",K9="",K9=0),"",K18/K9)</f>
        <v/>
      </c>
      <c r="L19" s="451">
        <f>IF(OR(L18="",L9="",L9=0),"",L18/L9)</f>
        <v/>
      </c>
      <c r="M19" s="451">
        <f>IF(OR(M18="",M9="",M9=0),"",M18/M9)</f>
        <v/>
      </c>
      <c r="N19" s="22" t="n"/>
      <c r="O19" s="52" t="n"/>
      <c r="P19" s="46" t="n"/>
      <c r="Q19" s="52" t="n"/>
      <c r="R19" s="52" t="n"/>
      <c r="S19" s="52" t="n"/>
      <c r="T19" s="47" t="n"/>
      <c r="U19" s="47" t="n"/>
      <c r="V19" s="47" t="n"/>
      <c r="W19" s="46" t="n"/>
      <c r="AA19" s="52" t="n"/>
      <c r="AB19" s="47" t="n"/>
      <c r="AC19" s="46" t="n"/>
      <c r="AD19" s="22" t="n"/>
      <c r="AE19" s="22" t="n"/>
      <c r="AF19" s="22" t="n"/>
      <c r="AG19" s="22" t="n"/>
      <c r="AH19" s="22" t="n"/>
      <c r="AI19" s="22" t="n"/>
    </row>
    <row r="20" ht="19.5" customHeight="1">
      <c r="A20" s="48" t="inlineStr">
        <is>
          <t>EBITDA YoY %</t>
        </is>
      </c>
      <c r="B20" s="451">
        <f>IF(OR(B$6="",COUNTIFS(History_Q!$C$2:$C$1000,"base_ebitda",History_Q!$B$2:$B$1000,(SUMIFS(History_Q!$B$2:$B$1000,History_Q!$A$2:$A$1000,B$6,History_Q!$C$2:$C$1000,"base_ebitda")),History_Q!$E$2:$E$1000,"$m",History_Q!$G$2:$G$1000,"populated")&lt;&gt;1,COUNTIFS(History_Q!$C$2:$C$1000,"base_ebitda",History_Q!$B$2:$B$1000,(SUMIFS(History_Q!$B$2:$B$1000,History_Q!$A$2:$A$1000,B$6,History_Q!$C$2:$C$1000,"base_ebitda")-4),History_Q!$E$2:$E$1000,"$m",History_Q!$G$2:$G$1000,"populated")&lt;&gt;1,SUMIFS(History_Q!$D$2:$D$1000,History_Q!$C$2:$C$1000,"base_ebitda",History_Q!$B$2:$B$1000,(SUMIFS(History_Q!$B$2:$B$1000,History_Q!$A$2:$A$1000,B$6,History_Q!$C$2:$C$1000,"base_ebitda")-4),History_Q!$E$2:$E$1000,"$m",History_Q!$G$2:$G$1000,"populated")=0),"",SUMIFS(History_Q!$D$2:$D$1000,History_Q!$C$2:$C$1000,"base_ebitda",History_Q!$B$2:$B$1000,(SUMIFS(History_Q!$B$2:$B$1000,History_Q!$A$2:$A$1000,B$6,History_Q!$C$2:$C$1000,"base_ebitda")),History_Q!$E$2:$E$1000,"$m",History_Q!$G$2:$G$1000,"populated")/SUMIFS(History_Q!$D$2:$D$1000,History_Q!$C$2:$C$1000,"base_ebitda",History_Q!$B$2:$B$1000,(SUMIFS(History_Q!$B$2:$B$1000,History_Q!$A$2:$A$1000,B$6,History_Q!$C$2:$C$1000,"base_ebitda")-4),History_Q!$E$2:$E$1000,"$m",History_Q!$G$2:$G$1000,"populated")-1)</f>
        <v/>
      </c>
      <c r="C20" s="451">
        <f>IF(OR(C$6="",COUNTIFS(History_Q!$C$2:$C$1000,"base_ebitda",History_Q!$B$2:$B$1000,(SUMIFS(History_Q!$B$2:$B$1000,History_Q!$A$2:$A$1000,C$6,History_Q!$C$2:$C$1000,"base_ebitda")),History_Q!$E$2:$E$1000,"$m",History_Q!$G$2:$G$1000,"populated")&lt;&gt;1,COUNTIFS(History_Q!$C$2:$C$1000,"base_ebitda",History_Q!$B$2:$B$1000,(SUMIFS(History_Q!$B$2:$B$1000,History_Q!$A$2:$A$1000,C$6,History_Q!$C$2:$C$1000,"base_ebitda")-4),History_Q!$E$2:$E$1000,"$m",History_Q!$G$2:$G$1000,"populated")&lt;&gt;1,SUMIFS(History_Q!$D$2:$D$1000,History_Q!$C$2:$C$1000,"base_ebitda",History_Q!$B$2:$B$1000,(SUMIFS(History_Q!$B$2:$B$1000,History_Q!$A$2:$A$1000,C$6,History_Q!$C$2:$C$1000,"base_ebitda")-4),History_Q!$E$2:$E$1000,"$m",History_Q!$G$2:$G$1000,"populated")=0),"",SUMIFS(History_Q!$D$2:$D$1000,History_Q!$C$2:$C$1000,"base_ebitda",History_Q!$B$2:$B$1000,(SUMIFS(History_Q!$B$2:$B$1000,History_Q!$A$2:$A$1000,C$6,History_Q!$C$2:$C$1000,"base_ebitda")),History_Q!$E$2:$E$1000,"$m",History_Q!$G$2:$G$1000,"populated")/SUMIFS(History_Q!$D$2:$D$1000,History_Q!$C$2:$C$1000,"base_ebitda",History_Q!$B$2:$B$1000,(SUMIFS(History_Q!$B$2:$B$1000,History_Q!$A$2:$A$1000,C$6,History_Q!$C$2:$C$1000,"base_ebitda")-4),History_Q!$E$2:$E$1000,"$m",History_Q!$G$2:$G$1000,"populated")-1)</f>
        <v/>
      </c>
      <c r="D20" s="451">
        <f>IF(OR(D$6="",COUNTIFS(History_Q!$C$2:$C$1000,"base_ebitda",History_Q!$B$2:$B$1000,(SUMIFS(History_Q!$B$2:$B$1000,History_Q!$A$2:$A$1000,D$6,History_Q!$C$2:$C$1000,"base_ebitda")),History_Q!$E$2:$E$1000,"$m",History_Q!$G$2:$G$1000,"populated")&lt;&gt;1,COUNTIFS(History_Q!$C$2:$C$1000,"base_ebitda",History_Q!$B$2:$B$1000,(SUMIFS(History_Q!$B$2:$B$1000,History_Q!$A$2:$A$1000,D$6,History_Q!$C$2:$C$1000,"base_ebitda")-4),History_Q!$E$2:$E$1000,"$m",History_Q!$G$2:$G$1000,"populated")&lt;&gt;1,SUMIFS(History_Q!$D$2:$D$1000,History_Q!$C$2:$C$1000,"base_ebitda",History_Q!$B$2:$B$1000,(SUMIFS(History_Q!$B$2:$B$1000,History_Q!$A$2:$A$1000,D$6,History_Q!$C$2:$C$1000,"base_ebitda")-4),History_Q!$E$2:$E$1000,"$m",History_Q!$G$2:$G$1000,"populated")=0),"",SUMIFS(History_Q!$D$2:$D$1000,History_Q!$C$2:$C$1000,"base_ebitda",History_Q!$B$2:$B$1000,(SUMIFS(History_Q!$B$2:$B$1000,History_Q!$A$2:$A$1000,D$6,History_Q!$C$2:$C$1000,"base_ebitda")),History_Q!$E$2:$E$1000,"$m",History_Q!$G$2:$G$1000,"populated")/SUMIFS(History_Q!$D$2:$D$1000,History_Q!$C$2:$C$1000,"base_ebitda",History_Q!$B$2:$B$1000,(SUMIFS(History_Q!$B$2:$B$1000,History_Q!$A$2:$A$1000,D$6,History_Q!$C$2:$C$1000,"base_ebitda")-4),History_Q!$E$2:$E$1000,"$m",History_Q!$G$2:$G$1000,"populated")-1)</f>
        <v/>
      </c>
      <c r="E20" s="451">
        <f>IF(OR(E$6="",COUNTIFS(History_Q!$C$2:$C$1000,"base_ebitda",History_Q!$B$2:$B$1000,(SUMIFS(History_Q!$B$2:$B$1000,History_Q!$A$2:$A$1000,E$6,History_Q!$C$2:$C$1000,"base_ebitda")),History_Q!$E$2:$E$1000,"$m",History_Q!$G$2:$G$1000,"populated")&lt;&gt;1,COUNTIFS(History_Q!$C$2:$C$1000,"base_ebitda",History_Q!$B$2:$B$1000,(SUMIFS(History_Q!$B$2:$B$1000,History_Q!$A$2:$A$1000,E$6,History_Q!$C$2:$C$1000,"base_ebitda")-4),History_Q!$E$2:$E$1000,"$m",History_Q!$G$2:$G$1000,"populated")&lt;&gt;1,SUMIFS(History_Q!$D$2:$D$1000,History_Q!$C$2:$C$1000,"base_ebitda",History_Q!$B$2:$B$1000,(SUMIFS(History_Q!$B$2:$B$1000,History_Q!$A$2:$A$1000,E$6,History_Q!$C$2:$C$1000,"base_ebitda")-4),History_Q!$E$2:$E$1000,"$m",History_Q!$G$2:$G$1000,"populated")=0),"",SUMIFS(History_Q!$D$2:$D$1000,History_Q!$C$2:$C$1000,"base_ebitda",History_Q!$B$2:$B$1000,(SUMIFS(History_Q!$B$2:$B$1000,History_Q!$A$2:$A$1000,E$6,History_Q!$C$2:$C$1000,"base_ebitda")),History_Q!$E$2:$E$1000,"$m",History_Q!$G$2:$G$1000,"populated")/SUMIFS(History_Q!$D$2:$D$1000,History_Q!$C$2:$C$1000,"base_ebitda",History_Q!$B$2:$B$1000,(SUMIFS(History_Q!$B$2:$B$1000,History_Q!$A$2:$A$1000,E$6,History_Q!$C$2:$C$1000,"base_ebitda")-4),History_Q!$E$2:$E$1000,"$m",History_Q!$G$2:$G$1000,"populated")-1)</f>
        <v/>
      </c>
      <c r="F20" s="451">
        <f>IF(OR(F$6="",COUNTIFS(History_Q!$C$2:$C$1000,"base_ebitda",History_Q!$B$2:$B$1000,(SUMIFS(History_Q!$B$2:$B$1000,History_Q!$A$2:$A$1000,F$6,History_Q!$C$2:$C$1000,"base_ebitda")),History_Q!$E$2:$E$1000,"$m",History_Q!$G$2:$G$1000,"populated")&lt;&gt;1,COUNTIFS(History_Q!$C$2:$C$1000,"base_ebitda",History_Q!$B$2:$B$1000,(SUMIFS(History_Q!$B$2:$B$1000,History_Q!$A$2:$A$1000,F$6,History_Q!$C$2:$C$1000,"base_ebitda")-4),History_Q!$E$2:$E$1000,"$m",History_Q!$G$2:$G$1000,"populated")&lt;&gt;1,SUMIFS(History_Q!$D$2:$D$1000,History_Q!$C$2:$C$1000,"base_ebitda",History_Q!$B$2:$B$1000,(SUMIFS(History_Q!$B$2:$B$1000,History_Q!$A$2:$A$1000,F$6,History_Q!$C$2:$C$1000,"base_ebitda")-4),History_Q!$E$2:$E$1000,"$m",History_Q!$G$2:$G$1000,"populated")=0),"",SUMIFS(History_Q!$D$2:$D$1000,History_Q!$C$2:$C$1000,"base_ebitda",History_Q!$B$2:$B$1000,(SUMIFS(History_Q!$B$2:$B$1000,History_Q!$A$2:$A$1000,F$6,History_Q!$C$2:$C$1000,"base_ebitda")),History_Q!$E$2:$E$1000,"$m",History_Q!$G$2:$G$1000,"populated")/SUMIFS(History_Q!$D$2:$D$1000,History_Q!$C$2:$C$1000,"base_ebitda",History_Q!$B$2:$B$1000,(SUMIFS(History_Q!$B$2:$B$1000,History_Q!$A$2:$A$1000,F$6,History_Q!$C$2:$C$1000,"base_ebitda")-4),History_Q!$E$2:$E$1000,"$m",History_Q!$G$2:$G$1000,"populated")-1)</f>
        <v/>
      </c>
      <c r="G20" s="451">
        <f>IF(OR(G$6="",COUNTIFS(History_Q!$C$2:$C$1000,"base_ebitda",History_Q!$B$2:$B$1000,(SUMIFS(History_Q!$B$2:$B$1000,History_Q!$A$2:$A$1000,G$6,History_Q!$C$2:$C$1000,"base_ebitda")),History_Q!$E$2:$E$1000,"$m",History_Q!$G$2:$G$1000,"populated")&lt;&gt;1,COUNTIFS(History_Q!$C$2:$C$1000,"base_ebitda",History_Q!$B$2:$B$1000,(SUMIFS(History_Q!$B$2:$B$1000,History_Q!$A$2:$A$1000,G$6,History_Q!$C$2:$C$1000,"base_ebitda")-4),History_Q!$E$2:$E$1000,"$m",History_Q!$G$2:$G$1000,"populated")&lt;&gt;1,SUMIFS(History_Q!$D$2:$D$1000,History_Q!$C$2:$C$1000,"base_ebitda",History_Q!$B$2:$B$1000,(SUMIFS(History_Q!$B$2:$B$1000,History_Q!$A$2:$A$1000,G$6,History_Q!$C$2:$C$1000,"base_ebitda")-4),History_Q!$E$2:$E$1000,"$m",History_Q!$G$2:$G$1000,"populated")=0),"",SUMIFS(History_Q!$D$2:$D$1000,History_Q!$C$2:$C$1000,"base_ebitda",History_Q!$B$2:$B$1000,(SUMIFS(History_Q!$B$2:$B$1000,History_Q!$A$2:$A$1000,G$6,History_Q!$C$2:$C$1000,"base_ebitda")),History_Q!$E$2:$E$1000,"$m",History_Q!$G$2:$G$1000,"populated")/SUMIFS(History_Q!$D$2:$D$1000,History_Q!$C$2:$C$1000,"base_ebitda",History_Q!$B$2:$B$1000,(SUMIFS(History_Q!$B$2:$B$1000,History_Q!$A$2:$A$1000,G$6,History_Q!$C$2:$C$1000,"base_ebitda")-4),History_Q!$E$2:$E$1000,"$m",History_Q!$G$2:$G$1000,"populated")-1)</f>
        <v/>
      </c>
      <c r="H20" s="451">
        <f>IF(OR(H$6="",COUNTIFS(History_Q!$C$2:$C$1000,"base_ebitda",History_Q!$B$2:$B$1000,(SUMIFS(History_Q!$B$2:$B$1000,History_Q!$A$2:$A$1000,H$6,History_Q!$C$2:$C$1000,"base_ebitda")),History_Q!$E$2:$E$1000,"$m",History_Q!$G$2:$G$1000,"populated")&lt;&gt;1,COUNTIFS(History_Q!$C$2:$C$1000,"base_ebitda",History_Q!$B$2:$B$1000,(SUMIFS(History_Q!$B$2:$B$1000,History_Q!$A$2:$A$1000,H$6,History_Q!$C$2:$C$1000,"base_ebitda")-4),History_Q!$E$2:$E$1000,"$m",History_Q!$G$2:$G$1000,"populated")&lt;&gt;1,SUMIFS(History_Q!$D$2:$D$1000,History_Q!$C$2:$C$1000,"base_ebitda",History_Q!$B$2:$B$1000,(SUMIFS(History_Q!$B$2:$B$1000,History_Q!$A$2:$A$1000,H$6,History_Q!$C$2:$C$1000,"base_ebitda")-4),History_Q!$E$2:$E$1000,"$m",History_Q!$G$2:$G$1000,"populated")=0),"",SUMIFS(History_Q!$D$2:$D$1000,History_Q!$C$2:$C$1000,"base_ebitda",History_Q!$B$2:$B$1000,(SUMIFS(History_Q!$B$2:$B$1000,History_Q!$A$2:$A$1000,H$6,History_Q!$C$2:$C$1000,"base_ebitda")),History_Q!$E$2:$E$1000,"$m",History_Q!$G$2:$G$1000,"populated")/SUMIFS(History_Q!$D$2:$D$1000,History_Q!$C$2:$C$1000,"base_ebitda",History_Q!$B$2:$B$1000,(SUMIFS(History_Q!$B$2:$B$1000,History_Q!$A$2:$A$1000,H$6,History_Q!$C$2:$C$1000,"base_ebitda")-4),History_Q!$E$2:$E$1000,"$m",History_Q!$G$2:$G$1000,"populated")-1)</f>
        <v/>
      </c>
      <c r="I20" s="451">
        <f>IF(OR(I$6="",COUNTIFS(History_Q!$C$2:$C$1000,"base_ebitda",History_Q!$B$2:$B$1000,(SUMIFS(History_Q!$B$2:$B$1000,History_Q!$A$2:$A$1000,I$6,History_Q!$C$2:$C$1000,"base_ebitda")),History_Q!$E$2:$E$1000,"$m",History_Q!$G$2:$G$1000,"populated")&lt;&gt;1,COUNTIFS(History_Q!$C$2:$C$1000,"base_ebitda",History_Q!$B$2:$B$1000,(SUMIFS(History_Q!$B$2:$B$1000,History_Q!$A$2:$A$1000,I$6,History_Q!$C$2:$C$1000,"base_ebitda")-4),History_Q!$E$2:$E$1000,"$m",History_Q!$G$2:$G$1000,"populated")&lt;&gt;1,SUMIFS(History_Q!$D$2:$D$1000,History_Q!$C$2:$C$1000,"base_ebitda",History_Q!$B$2:$B$1000,(SUMIFS(History_Q!$B$2:$B$1000,History_Q!$A$2:$A$1000,I$6,History_Q!$C$2:$C$1000,"base_ebitda")-4),History_Q!$E$2:$E$1000,"$m",History_Q!$G$2:$G$1000,"populated")=0),"",SUMIFS(History_Q!$D$2:$D$1000,History_Q!$C$2:$C$1000,"base_ebitda",History_Q!$B$2:$B$1000,(SUMIFS(History_Q!$B$2:$B$1000,History_Q!$A$2:$A$1000,I$6,History_Q!$C$2:$C$1000,"base_ebitda")),History_Q!$E$2:$E$1000,"$m",History_Q!$G$2:$G$1000,"populated")/SUMIFS(History_Q!$D$2:$D$1000,History_Q!$C$2:$C$1000,"base_ebitda",History_Q!$B$2:$B$1000,(SUMIFS(History_Q!$B$2:$B$1000,History_Q!$A$2:$A$1000,I$6,History_Q!$C$2:$C$1000,"base_ebitda")-4),History_Q!$E$2:$E$1000,"$m",History_Q!$G$2:$G$1000,"populated")-1)</f>
        <v/>
      </c>
      <c r="J20" s="451">
        <f>IF(OR(J$6="",COUNTIFS(History_Q!$C$2:$C$1000,"base_ebitda",History_Q!$B$2:$B$1000,(SUMIFS(History_Q!$B$2:$B$1000,History_Q!$A$2:$A$1000,J$6,History_Q!$C$2:$C$1000,"base_ebitda")),History_Q!$E$2:$E$1000,"$m",History_Q!$G$2:$G$1000,"populated")&lt;&gt;1,COUNTIFS(History_Q!$C$2:$C$1000,"base_ebitda",History_Q!$B$2:$B$1000,(SUMIFS(History_Q!$B$2:$B$1000,History_Q!$A$2:$A$1000,J$6,History_Q!$C$2:$C$1000,"base_ebitda")-4),History_Q!$E$2:$E$1000,"$m",History_Q!$G$2:$G$1000,"populated")&lt;&gt;1,SUMIFS(History_Q!$D$2:$D$1000,History_Q!$C$2:$C$1000,"base_ebitda",History_Q!$B$2:$B$1000,(SUMIFS(History_Q!$B$2:$B$1000,History_Q!$A$2:$A$1000,J$6,History_Q!$C$2:$C$1000,"base_ebitda")-4),History_Q!$E$2:$E$1000,"$m",History_Q!$G$2:$G$1000,"populated")=0),"",SUMIFS(History_Q!$D$2:$D$1000,History_Q!$C$2:$C$1000,"base_ebitda",History_Q!$B$2:$B$1000,(SUMIFS(History_Q!$B$2:$B$1000,History_Q!$A$2:$A$1000,J$6,History_Q!$C$2:$C$1000,"base_ebitda")),History_Q!$E$2:$E$1000,"$m",History_Q!$G$2:$G$1000,"populated")/SUMIFS(History_Q!$D$2:$D$1000,History_Q!$C$2:$C$1000,"base_ebitda",History_Q!$B$2:$B$1000,(SUMIFS(History_Q!$B$2:$B$1000,History_Q!$A$2:$A$1000,J$6,History_Q!$C$2:$C$1000,"base_ebitda")-4),History_Q!$E$2:$E$1000,"$m",History_Q!$G$2:$G$1000,"populated")-1)</f>
        <v/>
      </c>
      <c r="K20" s="451">
        <f>IF(OR(K$6="",COUNTIFS(History_Q!$C$2:$C$1000,"base_ebitda",History_Q!$B$2:$B$1000,(SUMIFS(History_Q!$B$2:$B$1000,History_Q!$A$2:$A$1000,K$6,History_Q!$C$2:$C$1000,"base_ebitda")),History_Q!$E$2:$E$1000,"$m",History_Q!$G$2:$G$1000,"populated")&lt;&gt;1,COUNTIFS(History_Q!$C$2:$C$1000,"base_ebitda",History_Q!$B$2:$B$1000,(SUMIFS(History_Q!$B$2:$B$1000,History_Q!$A$2:$A$1000,K$6,History_Q!$C$2:$C$1000,"base_ebitda")-4),History_Q!$E$2:$E$1000,"$m",History_Q!$G$2:$G$1000,"populated")&lt;&gt;1,SUMIFS(History_Q!$D$2:$D$1000,History_Q!$C$2:$C$1000,"base_ebitda",History_Q!$B$2:$B$1000,(SUMIFS(History_Q!$B$2:$B$1000,History_Q!$A$2:$A$1000,K$6,History_Q!$C$2:$C$1000,"base_ebitda")-4),History_Q!$E$2:$E$1000,"$m",History_Q!$G$2:$G$1000,"populated")=0),"",SUMIFS(History_Q!$D$2:$D$1000,History_Q!$C$2:$C$1000,"base_ebitda",History_Q!$B$2:$B$1000,(SUMIFS(History_Q!$B$2:$B$1000,History_Q!$A$2:$A$1000,K$6,History_Q!$C$2:$C$1000,"base_ebitda")),History_Q!$E$2:$E$1000,"$m",History_Q!$G$2:$G$1000,"populated")/SUMIFS(History_Q!$D$2:$D$1000,History_Q!$C$2:$C$1000,"base_ebitda",History_Q!$B$2:$B$1000,(SUMIFS(History_Q!$B$2:$B$1000,History_Q!$A$2:$A$1000,K$6,History_Q!$C$2:$C$1000,"base_ebitda")-4),History_Q!$E$2:$E$1000,"$m",History_Q!$G$2:$G$1000,"populated")-1)</f>
        <v/>
      </c>
      <c r="L20" s="451">
        <f>IF(OR(L$6="",COUNTIFS(History_Q!$C$2:$C$1000,"base_ebitda",History_Q!$B$2:$B$1000,(SUMIFS(History_Q!$B$2:$B$1000,History_Q!$A$2:$A$1000,L$6,History_Q!$C$2:$C$1000,"base_ebitda")),History_Q!$E$2:$E$1000,"$m",History_Q!$G$2:$G$1000,"populated")&lt;&gt;1,COUNTIFS(History_Q!$C$2:$C$1000,"base_ebitda",History_Q!$B$2:$B$1000,(SUMIFS(History_Q!$B$2:$B$1000,History_Q!$A$2:$A$1000,L$6,History_Q!$C$2:$C$1000,"base_ebitda")-4),History_Q!$E$2:$E$1000,"$m",History_Q!$G$2:$G$1000,"populated")&lt;&gt;1,SUMIFS(History_Q!$D$2:$D$1000,History_Q!$C$2:$C$1000,"base_ebitda",History_Q!$B$2:$B$1000,(SUMIFS(History_Q!$B$2:$B$1000,History_Q!$A$2:$A$1000,L$6,History_Q!$C$2:$C$1000,"base_ebitda")-4),History_Q!$E$2:$E$1000,"$m",History_Q!$G$2:$G$1000,"populated")=0),"",SUMIFS(History_Q!$D$2:$D$1000,History_Q!$C$2:$C$1000,"base_ebitda",History_Q!$B$2:$B$1000,(SUMIFS(History_Q!$B$2:$B$1000,History_Q!$A$2:$A$1000,L$6,History_Q!$C$2:$C$1000,"base_ebitda")),History_Q!$E$2:$E$1000,"$m",History_Q!$G$2:$G$1000,"populated")/SUMIFS(History_Q!$D$2:$D$1000,History_Q!$C$2:$C$1000,"base_ebitda",History_Q!$B$2:$B$1000,(SUMIFS(History_Q!$B$2:$B$1000,History_Q!$A$2:$A$1000,L$6,History_Q!$C$2:$C$1000,"base_ebitda")-4),History_Q!$E$2:$E$1000,"$m",History_Q!$G$2:$G$1000,"populated")-1)</f>
        <v/>
      </c>
      <c r="M20" s="451">
        <f>IF(OR(M$6="",COUNTIFS(History_Q!$C$2:$C$1000,"base_ebitda",History_Q!$B$2:$B$1000,(SUMIFS(History_Q!$B$2:$B$1000,History_Q!$A$2:$A$1000,M$6,History_Q!$C$2:$C$1000,"base_ebitda")),History_Q!$E$2:$E$1000,"$m",History_Q!$G$2:$G$1000,"populated")&lt;&gt;1,COUNTIFS(History_Q!$C$2:$C$1000,"base_ebitda",History_Q!$B$2:$B$1000,(SUMIFS(History_Q!$B$2:$B$1000,History_Q!$A$2:$A$1000,M$6,History_Q!$C$2:$C$1000,"base_ebitda")-4),History_Q!$E$2:$E$1000,"$m",History_Q!$G$2:$G$1000,"populated")&lt;&gt;1,SUMIFS(History_Q!$D$2:$D$1000,History_Q!$C$2:$C$1000,"base_ebitda",History_Q!$B$2:$B$1000,(SUMIFS(History_Q!$B$2:$B$1000,History_Q!$A$2:$A$1000,M$6,History_Q!$C$2:$C$1000,"base_ebitda")-4),History_Q!$E$2:$E$1000,"$m",History_Q!$G$2:$G$1000,"populated")=0),"",SUMIFS(History_Q!$D$2:$D$1000,History_Q!$C$2:$C$1000,"base_ebitda",History_Q!$B$2:$B$1000,(SUMIFS(History_Q!$B$2:$B$1000,History_Q!$A$2:$A$1000,M$6,History_Q!$C$2:$C$1000,"base_ebitda")),History_Q!$E$2:$E$1000,"$m",History_Q!$G$2:$G$1000,"populated")/SUMIFS(History_Q!$D$2:$D$1000,History_Q!$C$2:$C$1000,"base_ebitda",History_Q!$B$2:$B$1000,(SUMIFS(History_Q!$B$2:$B$1000,History_Q!$A$2:$A$1000,M$6,History_Q!$C$2:$C$1000,"base_ebitda")-4),History_Q!$E$2:$E$1000,"$m",History_Q!$G$2:$G$1000,"populated")-1)</f>
        <v/>
      </c>
      <c r="N20" s="22" t="n"/>
      <c r="O20" s="53" t="n"/>
      <c r="P20" s="46" t="n"/>
      <c r="Q20" s="53" t="n"/>
      <c r="R20" s="53" t="n"/>
      <c r="S20" s="53" t="n"/>
      <c r="T20" s="47" t="n"/>
      <c r="U20" s="47" t="n"/>
      <c r="V20" s="47" t="n"/>
      <c r="W20" s="46" t="n"/>
      <c r="AA20" s="53" t="n"/>
      <c r="AB20" s="47" t="n"/>
      <c r="AC20" s="46" t="n"/>
      <c r="AD20" s="22" t="n"/>
      <c r="AE20" s="22" t="n"/>
      <c r="AF20" s="22" t="n"/>
      <c r="AG20" s="22" t="n"/>
      <c r="AH20" s="22" t="n"/>
      <c r="AI20" s="22" t="n"/>
    </row>
    <row r="21" ht="19.5" customHeight="1">
      <c r="A21" s="48" t="inlineStr">
        <is>
          <t>EBITDA (base, TTM)</t>
        </is>
      </c>
      <c r="B21" s="450">
        <f>IF(OR(B$6="",COUNTIFS(History_Q!$C$2:$C$1000,"base_ebitda",History_Q!$B$2:$B$1000,"&gt;="&amp;((SUMIFS(History_Q!$B$2:$B$1000,History_Q!$A$2:$A$1000,B$6,History_Q!$C$2:$C$1000,"base_ebitda"))-3),History_Q!$B$2:$B$1000,"&lt;="&amp;(SUMIFS(History_Q!$B$2:$B$1000,History_Q!$A$2:$A$1000,B$6,History_Q!$C$2:$C$1000,"base_ebitda")),History_Q!$E$2:$E$1000,"$m",History_Q!$G$2:$G$1000,"populated")&lt;&gt;4,_xlfn.MAXIFS(History_Q!$B$2:$B$1000,History_Q!$C$2:$C$1000,"base_ebitda",History_Q!$B$2:$B$1000,"&gt;="&amp;((SUMIFS(History_Q!$B$2:$B$1000,History_Q!$A$2:$A$1000,B$6,History_Q!$C$2:$C$1000,"base_ebitda"))-3),History_Q!$B$2:$B$1000,"&lt;="&amp;(SUMIFS(History_Q!$B$2:$B$1000,History_Q!$A$2:$A$1000,B$6,History_Q!$C$2:$C$1000,"base_ebitda")),History_Q!$E$2:$E$1000,"$m",History_Q!$G$2:$G$1000,"populated")-_xlfn.MINIFS(History_Q!$B$2:$B$1000,History_Q!$C$2:$C$1000,"base_ebitda",History_Q!$B$2:$B$1000,"&gt;="&amp;((SUMIFS(History_Q!$B$2:$B$1000,History_Q!$A$2:$A$1000,B$6,History_Q!$C$2:$C$1000,"base_ebitda"))-3),History_Q!$B$2:$B$1000,"&lt;="&amp;(SUMIFS(History_Q!$B$2:$B$1000,History_Q!$A$2:$A$1000,B$6,History_Q!$C$2:$C$1000,"base_ebitda")),History_Q!$E$2:$E$1000,"$m",History_Q!$G$2:$G$1000,"populated")&lt;&gt;3),"",SUMIFS(History_Q!$D$2:$D$1000,History_Q!$C$2:$C$1000,"base_ebitda",History_Q!$B$2:$B$1000,"&gt;="&amp;((SUMIFS(History_Q!$B$2:$B$1000,History_Q!$A$2:$A$1000,B$6,History_Q!$C$2:$C$1000,"base_ebitda"))-3),History_Q!$B$2:$B$1000,"&lt;="&amp;(SUMIFS(History_Q!$B$2:$B$1000,History_Q!$A$2:$A$1000,B$6,History_Q!$C$2:$C$1000,"base_ebitda")),History_Q!$E$2:$E$1000,"$m",History_Q!$G$2:$G$1000,"populated"))</f>
        <v/>
      </c>
      <c r="C21" s="450">
        <f>IF(OR(C$6="",COUNTIFS(History_Q!$C$2:$C$1000,"base_ebitda",History_Q!$B$2:$B$1000,"&gt;="&amp;((SUMIFS(History_Q!$B$2:$B$1000,History_Q!$A$2:$A$1000,C$6,History_Q!$C$2:$C$1000,"base_ebitda"))-3),History_Q!$B$2:$B$1000,"&lt;="&amp;(SUMIFS(History_Q!$B$2:$B$1000,History_Q!$A$2:$A$1000,C$6,History_Q!$C$2:$C$1000,"base_ebitda")),History_Q!$E$2:$E$1000,"$m",History_Q!$G$2:$G$1000,"populated")&lt;&gt;4,_xlfn.MAXIFS(History_Q!$B$2:$B$1000,History_Q!$C$2:$C$1000,"base_ebitda",History_Q!$B$2:$B$1000,"&gt;="&amp;((SUMIFS(History_Q!$B$2:$B$1000,History_Q!$A$2:$A$1000,C$6,History_Q!$C$2:$C$1000,"base_ebitda"))-3),History_Q!$B$2:$B$1000,"&lt;="&amp;(SUMIFS(History_Q!$B$2:$B$1000,History_Q!$A$2:$A$1000,C$6,History_Q!$C$2:$C$1000,"base_ebitda")),History_Q!$E$2:$E$1000,"$m",History_Q!$G$2:$G$1000,"populated")-_xlfn.MINIFS(History_Q!$B$2:$B$1000,History_Q!$C$2:$C$1000,"base_ebitda",History_Q!$B$2:$B$1000,"&gt;="&amp;((SUMIFS(History_Q!$B$2:$B$1000,History_Q!$A$2:$A$1000,C$6,History_Q!$C$2:$C$1000,"base_ebitda"))-3),History_Q!$B$2:$B$1000,"&lt;="&amp;(SUMIFS(History_Q!$B$2:$B$1000,History_Q!$A$2:$A$1000,C$6,History_Q!$C$2:$C$1000,"base_ebitda")),History_Q!$E$2:$E$1000,"$m",History_Q!$G$2:$G$1000,"populated")&lt;&gt;3),"",SUMIFS(History_Q!$D$2:$D$1000,History_Q!$C$2:$C$1000,"base_ebitda",History_Q!$B$2:$B$1000,"&gt;="&amp;((SUMIFS(History_Q!$B$2:$B$1000,History_Q!$A$2:$A$1000,C$6,History_Q!$C$2:$C$1000,"base_ebitda"))-3),History_Q!$B$2:$B$1000,"&lt;="&amp;(SUMIFS(History_Q!$B$2:$B$1000,History_Q!$A$2:$A$1000,C$6,History_Q!$C$2:$C$1000,"base_ebitda")),History_Q!$E$2:$E$1000,"$m",History_Q!$G$2:$G$1000,"populated"))</f>
        <v/>
      </c>
      <c r="D21" s="450">
        <f>IF(OR(D$6="",COUNTIFS(History_Q!$C$2:$C$1000,"base_ebitda",History_Q!$B$2:$B$1000,"&gt;="&amp;((SUMIFS(History_Q!$B$2:$B$1000,History_Q!$A$2:$A$1000,D$6,History_Q!$C$2:$C$1000,"base_ebitda"))-3),History_Q!$B$2:$B$1000,"&lt;="&amp;(SUMIFS(History_Q!$B$2:$B$1000,History_Q!$A$2:$A$1000,D$6,History_Q!$C$2:$C$1000,"base_ebitda")),History_Q!$E$2:$E$1000,"$m",History_Q!$G$2:$G$1000,"populated")&lt;&gt;4,_xlfn.MAXIFS(History_Q!$B$2:$B$1000,History_Q!$C$2:$C$1000,"base_ebitda",History_Q!$B$2:$B$1000,"&gt;="&amp;((SUMIFS(History_Q!$B$2:$B$1000,History_Q!$A$2:$A$1000,D$6,History_Q!$C$2:$C$1000,"base_ebitda"))-3),History_Q!$B$2:$B$1000,"&lt;="&amp;(SUMIFS(History_Q!$B$2:$B$1000,History_Q!$A$2:$A$1000,D$6,History_Q!$C$2:$C$1000,"base_ebitda")),History_Q!$E$2:$E$1000,"$m",History_Q!$G$2:$G$1000,"populated")-_xlfn.MINIFS(History_Q!$B$2:$B$1000,History_Q!$C$2:$C$1000,"base_ebitda",History_Q!$B$2:$B$1000,"&gt;="&amp;((SUMIFS(History_Q!$B$2:$B$1000,History_Q!$A$2:$A$1000,D$6,History_Q!$C$2:$C$1000,"base_ebitda"))-3),History_Q!$B$2:$B$1000,"&lt;="&amp;(SUMIFS(History_Q!$B$2:$B$1000,History_Q!$A$2:$A$1000,D$6,History_Q!$C$2:$C$1000,"base_ebitda")),History_Q!$E$2:$E$1000,"$m",History_Q!$G$2:$G$1000,"populated")&lt;&gt;3),"",SUMIFS(History_Q!$D$2:$D$1000,History_Q!$C$2:$C$1000,"base_ebitda",History_Q!$B$2:$B$1000,"&gt;="&amp;((SUMIFS(History_Q!$B$2:$B$1000,History_Q!$A$2:$A$1000,D$6,History_Q!$C$2:$C$1000,"base_ebitda"))-3),History_Q!$B$2:$B$1000,"&lt;="&amp;(SUMIFS(History_Q!$B$2:$B$1000,History_Q!$A$2:$A$1000,D$6,History_Q!$C$2:$C$1000,"base_ebitda")),History_Q!$E$2:$E$1000,"$m",History_Q!$G$2:$G$1000,"populated"))</f>
        <v/>
      </c>
      <c r="E21" s="450">
        <f>IF(OR(E$6="",COUNTIFS(History_Q!$C$2:$C$1000,"base_ebitda",History_Q!$B$2:$B$1000,"&gt;="&amp;((SUMIFS(History_Q!$B$2:$B$1000,History_Q!$A$2:$A$1000,E$6,History_Q!$C$2:$C$1000,"base_ebitda"))-3),History_Q!$B$2:$B$1000,"&lt;="&amp;(SUMIFS(History_Q!$B$2:$B$1000,History_Q!$A$2:$A$1000,E$6,History_Q!$C$2:$C$1000,"base_ebitda")),History_Q!$E$2:$E$1000,"$m",History_Q!$G$2:$G$1000,"populated")&lt;&gt;4,_xlfn.MAXIFS(History_Q!$B$2:$B$1000,History_Q!$C$2:$C$1000,"base_ebitda",History_Q!$B$2:$B$1000,"&gt;="&amp;((SUMIFS(History_Q!$B$2:$B$1000,History_Q!$A$2:$A$1000,E$6,History_Q!$C$2:$C$1000,"base_ebitda"))-3),History_Q!$B$2:$B$1000,"&lt;="&amp;(SUMIFS(History_Q!$B$2:$B$1000,History_Q!$A$2:$A$1000,E$6,History_Q!$C$2:$C$1000,"base_ebitda")),History_Q!$E$2:$E$1000,"$m",History_Q!$G$2:$G$1000,"populated")-_xlfn.MINIFS(History_Q!$B$2:$B$1000,History_Q!$C$2:$C$1000,"base_ebitda",History_Q!$B$2:$B$1000,"&gt;="&amp;((SUMIFS(History_Q!$B$2:$B$1000,History_Q!$A$2:$A$1000,E$6,History_Q!$C$2:$C$1000,"base_ebitda"))-3),History_Q!$B$2:$B$1000,"&lt;="&amp;(SUMIFS(History_Q!$B$2:$B$1000,History_Q!$A$2:$A$1000,E$6,History_Q!$C$2:$C$1000,"base_ebitda")),History_Q!$E$2:$E$1000,"$m",History_Q!$G$2:$G$1000,"populated")&lt;&gt;3),"",SUMIFS(History_Q!$D$2:$D$1000,History_Q!$C$2:$C$1000,"base_ebitda",History_Q!$B$2:$B$1000,"&gt;="&amp;((SUMIFS(History_Q!$B$2:$B$1000,History_Q!$A$2:$A$1000,E$6,History_Q!$C$2:$C$1000,"base_ebitda"))-3),History_Q!$B$2:$B$1000,"&lt;="&amp;(SUMIFS(History_Q!$B$2:$B$1000,History_Q!$A$2:$A$1000,E$6,History_Q!$C$2:$C$1000,"base_ebitda")),History_Q!$E$2:$E$1000,"$m",History_Q!$G$2:$G$1000,"populated"))</f>
        <v/>
      </c>
      <c r="F21" s="450">
        <f>IF(OR(F$6="",COUNTIFS(History_Q!$C$2:$C$1000,"base_ebitda",History_Q!$B$2:$B$1000,"&gt;="&amp;((SUMIFS(History_Q!$B$2:$B$1000,History_Q!$A$2:$A$1000,F$6,History_Q!$C$2:$C$1000,"base_ebitda"))-3),History_Q!$B$2:$B$1000,"&lt;="&amp;(SUMIFS(History_Q!$B$2:$B$1000,History_Q!$A$2:$A$1000,F$6,History_Q!$C$2:$C$1000,"base_ebitda")),History_Q!$E$2:$E$1000,"$m",History_Q!$G$2:$G$1000,"populated")&lt;&gt;4,_xlfn.MAXIFS(History_Q!$B$2:$B$1000,History_Q!$C$2:$C$1000,"base_ebitda",History_Q!$B$2:$B$1000,"&gt;="&amp;((SUMIFS(History_Q!$B$2:$B$1000,History_Q!$A$2:$A$1000,F$6,History_Q!$C$2:$C$1000,"base_ebitda"))-3),History_Q!$B$2:$B$1000,"&lt;="&amp;(SUMIFS(History_Q!$B$2:$B$1000,History_Q!$A$2:$A$1000,F$6,History_Q!$C$2:$C$1000,"base_ebitda")),History_Q!$E$2:$E$1000,"$m",History_Q!$G$2:$G$1000,"populated")-_xlfn.MINIFS(History_Q!$B$2:$B$1000,History_Q!$C$2:$C$1000,"base_ebitda",History_Q!$B$2:$B$1000,"&gt;="&amp;((SUMIFS(History_Q!$B$2:$B$1000,History_Q!$A$2:$A$1000,F$6,History_Q!$C$2:$C$1000,"base_ebitda"))-3),History_Q!$B$2:$B$1000,"&lt;="&amp;(SUMIFS(History_Q!$B$2:$B$1000,History_Q!$A$2:$A$1000,F$6,History_Q!$C$2:$C$1000,"base_ebitda")),History_Q!$E$2:$E$1000,"$m",History_Q!$G$2:$G$1000,"populated")&lt;&gt;3),"",SUMIFS(History_Q!$D$2:$D$1000,History_Q!$C$2:$C$1000,"base_ebitda",History_Q!$B$2:$B$1000,"&gt;="&amp;((SUMIFS(History_Q!$B$2:$B$1000,History_Q!$A$2:$A$1000,F$6,History_Q!$C$2:$C$1000,"base_ebitda"))-3),History_Q!$B$2:$B$1000,"&lt;="&amp;(SUMIFS(History_Q!$B$2:$B$1000,History_Q!$A$2:$A$1000,F$6,History_Q!$C$2:$C$1000,"base_ebitda")),History_Q!$E$2:$E$1000,"$m",History_Q!$G$2:$G$1000,"populated"))</f>
        <v/>
      </c>
      <c r="G21" s="450">
        <f>IF(OR(G$6="",COUNTIFS(History_Q!$C$2:$C$1000,"base_ebitda",History_Q!$B$2:$B$1000,"&gt;="&amp;((SUMIFS(History_Q!$B$2:$B$1000,History_Q!$A$2:$A$1000,G$6,History_Q!$C$2:$C$1000,"base_ebitda"))-3),History_Q!$B$2:$B$1000,"&lt;="&amp;(SUMIFS(History_Q!$B$2:$B$1000,History_Q!$A$2:$A$1000,G$6,History_Q!$C$2:$C$1000,"base_ebitda")),History_Q!$E$2:$E$1000,"$m",History_Q!$G$2:$G$1000,"populated")&lt;&gt;4,_xlfn.MAXIFS(History_Q!$B$2:$B$1000,History_Q!$C$2:$C$1000,"base_ebitda",History_Q!$B$2:$B$1000,"&gt;="&amp;((SUMIFS(History_Q!$B$2:$B$1000,History_Q!$A$2:$A$1000,G$6,History_Q!$C$2:$C$1000,"base_ebitda"))-3),History_Q!$B$2:$B$1000,"&lt;="&amp;(SUMIFS(History_Q!$B$2:$B$1000,History_Q!$A$2:$A$1000,G$6,History_Q!$C$2:$C$1000,"base_ebitda")),History_Q!$E$2:$E$1000,"$m",History_Q!$G$2:$G$1000,"populated")-_xlfn.MINIFS(History_Q!$B$2:$B$1000,History_Q!$C$2:$C$1000,"base_ebitda",History_Q!$B$2:$B$1000,"&gt;="&amp;((SUMIFS(History_Q!$B$2:$B$1000,History_Q!$A$2:$A$1000,G$6,History_Q!$C$2:$C$1000,"base_ebitda"))-3),History_Q!$B$2:$B$1000,"&lt;="&amp;(SUMIFS(History_Q!$B$2:$B$1000,History_Q!$A$2:$A$1000,G$6,History_Q!$C$2:$C$1000,"base_ebitda")),History_Q!$E$2:$E$1000,"$m",History_Q!$G$2:$G$1000,"populated")&lt;&gt;3),"",SUMIFS(History_Q!$D$2:$D$1000,History_Q!$C$2:$C$1000,"base_ebitda",History_Q!$B$2:$B$1000,"&gt;="&amp;((SUMIFS(History_Q!$B$2:$B$1000,History_Q!$A$2:$A$1000,G$6,History_Q!$C$2:$C$1000,"base_ebitda"))-3),History_Q!$B$2:$B$1000,"&lt;="&amp;(SUMIFS(History_Q!$B$2:$B$1000,History_Q!$A$2:$A$1000,G$6,History_Q!$C$2:$C$1000,"base_ebitda")),History_Q!$E$2:$E$1000,"$m",History_Q!$G$2:$G$1000,"populated"))</f>
        <v/>
      </c>
      <c r="H21" s="450">
        <f>IF(OR(H$6="",COUNTIFS(History_Q!$C$2:$C$1000,"base_ebitda",History_Q!$B$2:$B$1000,"&gt;="&amp;((SUMIFS(History_Q!$B$2:$B$1000,History_Q!$A$2:$A$1000,H$6,History_Q!$C$2:$C$1000,"base_ebitda"))-3),History_Q!$B$2:$B$1000,"&lt;="&amp;(SUMIFS(History_Q!$B$2:$B$1000,History_Q!$A$2:$A$1000,H$6,History_Q!$C$2:$C$1000,"base_ebitda")),History_Q!$E$2:$E$1000,"$m",History_Q!$G$2:$G$1000,"populated")&lt;&gt;4,_xlfn.MAXIFS(History_Q!$B$2:$B$1000,History_Q!$C$2:$C$1000,"base_ebitda",History_Q!$B$2:$B$1000,"&gt;="&amp;((SUMIFS(History_Q!$B$2:$B$1000,History_Q!$A$2:$A$1000,H$6,History_Q!$C$2:$C$1000,"base_ebitda"))-3),History_Q!$B$2:$B$1000,"&lt;="&amp;(SUMIFS(History_Q!$B$2:$B$1000,History_Q!$A$2:$A$1000,H$6,History_Q!$C$2:$C$1000,"base_ebitda")),History_Q!$E$2:$E$1000,"$m",History_Q!$G$2:$G$1000,"populated")-_xlfn.MINIFS(History_Q!$B$2:$B$1000,History_Q!$C$2:$C$1000,"base_ebitda",History_Q!$B$2:$B$1000,"&gt;="&amp;((SUMIFS(History_Q!$B$2:$B$1000,History_Q!$A$2:$A$1000,H$6,History_Q!$C$2:$C$1000,"base_ebitda"))-3),History_Q!$B$2:$B$1000,"&lt;="&amp;(SUMIFS(History_Q!$B$2:$B$1000,History_Q!$A$2:$A$1000,H$6,History_Q!$C$2:$C$1000,"base_ebitda")),History_Q!$E$2:$E$1000,"$m",History_Q!$G$2:$G$1000,"populated")&lt;&gt;3),"",SUMIFS(History_Q!$D$2:$D$1000,History_Q!$C$2:$C$1000,"base_ebitda",History_Q!$B$2:$B$1000,"&gt;="&amp;((SUMIFS(History_Q!$B$2:$B$1000,History_Q!$A$2:$A$1000,H$6,History_Q!$C$2:$C$1000,"base_ebitda"))-3),History_Q!$B$2:$B$1000,"&lt;="&amp;(SUMIFS(History_Q!$B$2:$B$1000,History_Q!$A$2:$A$1000,H$6,History_Q!$C$2:$C$1000,"base_ebitda")),History_Q!$E$2:$E$1000,"$m",History_Q!$G$2:$G$1000,"populated"))</f>
        <v/>
      </c>
      <c r="I21" s="450">
        <f>IF(OR(I$6="",COUNTIFS(History_Q!$C$2:$C$1000,"base_ebitda",History_Q!$B$2:$B$1000,"&gt;="&amp;((SUMIFS(History_Q!$B$2:$B$1000,History_Q!$A$2:$A$1000,I$6,History_Q!$C$2:$C$1000,"base_ebitda"))-3),History_Q!$B$2:$B$1000,"&lt;="&amp;(SUMIFS(History_Q!$B$2:$B$1000,History_Q!$A$2:$A$1000,I$6,History_Q!$C$2:$C$1000,"base_ebitda")),History_Q!$E$2:$E$1000,"$m",History_Q!$G$2:$G$1000,"populated")&lt;&gt;4,_xlfn.MAXIFS(History_Q!$B$2:$B$1000,History_Q!$C$2:$C$1000,"base_ebitda",History_Q!$B$2:$B$1000,"&gt;="&amp;((SUMIFS(History_Q!$B$2:$B$1000,History_Q!$A$2:$A$1000,I$6,History_Q!$C$2:$C$1000,"base_ebitda"))-3),History_Q!$B$2:$B$1000,"&lt;="&amp;(SUMIFS(History_Q!$B$2:$B$1000,History_Q!$A$2:$A$1000,I$6,History_Q!$C$2:$C$1000,"base_ebitda")),History_Q!$E$2:$E$1000,"$m",History_Q!$G$2:$G$1000,"populated")-_xlfn.MINIFS(History_Q!$B$2:$B$1000,History_Q!$C$2:$C$1000,"base_ebitda",History_Q!$B$2:$B$1000,"&gt;="&amp;((SUMIFS(History_Q!$B$2:$B$1000,History_Q!$A$2:$A$1000,I$6,History_Q!$C$2:$C$1000,"base_ebitda"))-3),History_Q!$B$2:$B$1000,"&lt;="&amp;(SUMIFS(History_Q!$B$2:$B$1000,History_Q!$A$2:$A$1000,I$6,History_Q!$C$2:$C$1000,"base_ebitda")),History_Q!$E$2:$E$1000,"$m",History_Q!$G$2:$G$1000,"populated")&lt;&gt;3),"",SUMIFS(History_Q!$D$2:$D$1000,History_Q!$C$2:$C$1000,"base_ebitda",History_Q!$B$2:$B$1000,"&gt;="&amp;((SUMIFS(History_Q!$B$2:$B$1000,History_Q!$A$2:$A$1000,I$6,History_Q!$C$2:$C$1000,"base_ebitda"))-3),History_Q!$B$2:$B$1000,"&lt;="&amp;(SUMIFS(History_Q!$B$2:$B$1000,History_Q!$A$2:$A$1000,I$6,History_Q!$C$2:$C$1000,"base_ebitda")),History_Q!$E$2:$E$1000,"$m",History_Q!$G$2:$G$1000,"populated"))</f>
        <v/>
      </c>
      <c r="J21" s="450">
        <f>IF(OR(J$6="",COUNTIFS(History_Q!$C$2:$C$1000,"base_ebitda",History_Q!$B$2:$B$1000,"&gt;="&amp;((SUMIFS(History_Q!$B$2:$B$1000,History_Q!$A$2:$A$1000,J$6,History_Q!$C$2:$C$1000,"base_ebitda"))-3),History_Q!$B$2:$B$1000,"&lt;="&amp;(SUMIFS(History_Q!$B$2:$B$1000,History_Q!$A$2:$A$1000,J$6,History_Q!$C$2:$C$1000,"base_ebitda")),History_Q!$E$2:$E$1000,"$m",History_Q!$G$2:$G$1000,"populated")&lt;&gt;4,_xlfn.MAXIFS(History_Q!$B$2:$B$1000,History_Q!$C$2:$C$1000,"base_ebitda",History_Q!$B$2:$B$1000,"&gt;="&amp;((SUMIFS(History_Q!$B$2:$B$1000,History_Q!$A$2:$A$1000,J$6,History_Q!$C$2:$C$1000,"base_ebitda"))-3),History_Q!$B$2:$B$1000,"&lt;="&amp;(SUMIFS(History_Q!$B$2:$B$1000,History_Q!$A$2:$A$1000,J$6,History_Q!$C$2:$C$1000,"base_ebitda")),History_Q!$E$2:$E$1000,"$m",History_Q!$G$2:$G$1000,"populated")-_xlfn.MINIFS(History_Q!$B$2:$B$1000,History_Q!$C$2:$C$1000,"base_ebitda",History_Q!$B$2:$B$1000,"&gt;="&amp;((SUMIFS(History_Q!$B$2:$B$1000,History_Q!$A$2:$A$1000,J$6,History_Q!$C$2:$C$1000,"base_ebitda"))-3),History_Q!$B$2:$B$1000,"&lt;="&amp;(SUMIFS(History_Q!$B$2:$B$1000,History_Q!$A$2:$A$1000,J$6,History_Q!$C$2:$C$1000,"base_ebitda")),History_Q!$E$2:$E$1000,"$m",History_Q!$G$2:$G$1000,"populated")&lt;&gt;3),"",SUMIFS(History_Q!$D$2:$D$1000,History_Q!$C$2:$C$1000,"base_ebitda",History_Q!$B$2:$B$1000,"&gt;="&amp;((SUMIFS(History_Q!$B$2:$B$1000,History_Q!$A$2:$A$1000,J$6,History_Q!$C$2:$C$1000,"base_ebitda"))-3),History_Q!$B$2:$B$1000,"&lt;="&amp;(SUMIFS(History_Q!$B$2:$B$1000,History_Q!$A$2:$A$1000,J$6,History_Q!$C$2:$C$1000,"base_ebitda")),History_Q!$E$2:$E$1000,"$m",History_Q!$G$2:$G$1000,"populated"))</f>
        <v/>
      </c>
      <c r="K21" s="450">
        <f>IF(OR(K$6="",COUNTIFS(History_Q!$C$2:$C$1000,"base_ebitda",History_Q!$B$2:$B$1000,"&gt;="&amp;((SUMIFS(History_Q!$B$2:$B$1000,History_Q!$A$2:$A$1000,K$6,History_Q!$C$2:$C$1000,"base_ebitda"))-3),History_Q!$B$2:$B$1000,"&lt;="&amp;(SUMIFS(History_Q!$B$2:$B$1000,History_Q!$A$2:$A$1000,K$6,History_Q!$C$2:$C$1000,"base_ebitda")),History_Q!$E$2:$E$1000,"$m",History_Q!$G$2:$G$1000,"populated")&lt;&gt;4,_xlfn.MAXIFS(History_Q!$B$2:$B$1000,History_Q!$C$2:$C$1000,"base_ebitda",History_Q!$B$2:$B$1000,"&gt;="&amp;((SUMIFS(History_Q!$B$2:$B$1000,History_Q!$A$2:$A$1000,K$6,History_Q!$C$2:$C$1000,"base_ebitda"))-3),History_Q!$B$2:$B$1000,"&lt;="&amp;(SUMIFS(History_Q!$B$2:$B$1000,History_Q!$A$2:$A$1000,K$6,History_Q!$C$2:$C$1000,"base_ebitda")),History_Q!$E$2:$E$1000,"$m",History_Q!$G$2:$G$1000,"populated")-_xlfn.MINIFS(History_Q!$B$2:$B$1000,History_Q!$C$2:$C$1000,"base_ebitda",History_Q!$B$2:$B$1000,"&gt;="&amp;((SUMIFS(History_Q!$B$2:$B$1000,History_Q!$A$2:$A$1000,K$6,History_Q!$C$2:$C$1000,"base_ebitda"))-3),History_Q!$B$2:$B$1000,"&lt;="&amp;(SUMIFS(History_Q!$B$2:$B$1000,History_Q!$A$2:$A$1000,K$6,History_Q!$C$2:$C$1000,"base_ebitda")),History_Q!$E$2:$E$1000,"$m",History_Q!$G$2:$G$1000,"populated")&lt;&gt;3),"",SUMIFS(History_Q!$D$2:$D$1000,History_Q!$C$2:$C$1000,"base_ebitda",History_Q!$B$2:$B$1000,"&gt;="&amp;((SUMIFS(History_Q!$B$2:$B$1000,History_Q!$A$2:$A$1000,K$6,History_Q!$C$2:$C$1000,"base_ebitda"))-3),History_Q!$B$2:$B$1000,"&lt;="&amp;(SUMIFS(History_Q!$B$2:$B$1000,History_Q!$A$2:$A$1000,K$6,History_Q!$C$2:$C$1000,"base_ebitda")),History_Q!$E$2:$E$1000,"$m",History_Q!$G$2:$G$1000,"populated"))</f>
        <v/>
      </c>
      <c r="L21" s="450">
        <f>IF(OR(L$6="",COUNTIFS(History_Q!$C$2:$C$1000,"base_ebitda",History_Q!$B$2:$B$1000,"&gt;="&amp;((SUMIFS(History_Q!$B$2:$B$1000,History_Q!$A$2:$A$1000,L$6,History_Q!$C$2:$C$1000,"base_ebitda"))-3),History_Q!$B$2:$B$1000,"&lt;="&amp;(SUMIFS(History_Q!$B$2:$B$1000,History_Q!$A$2:$A$1000,L$6,History_Q!$C$2:$C$1000,"base_ebitda")),History_Q!$E$2:$E$1000,"$m",History_Q!$G$2:$G$1000,"populated")&lt;&gt;4,_xlfn.MAXIFS(History_Q!$B$2:$B$1000,History_Q!$C$2:$C$1000,"base_ebitda",History_Q!$B$2:$B$1000,"&gt;="&amp;((SUMIFS(History_Q!$B$2:$B$1000,History_Q!$A$2:$A$1000,L$6,History_Q!$C$2:$C$1000,"base_ebitda"))-3),History_Q!$B$2:$B$1000,"&lt;="&amp;(SUMIFS(History_Q!$B$2:$B$1000,History_Q!$A$2:$A$1000,L$6,History_Q!$C$2:$C$1000,"base_ebitda")),History_Q!$E$2:$E$1000,"$m",History_Q!$G$2:$G$1000,"populated")-_xlfn.MINIFS(History_Q!$B$2:$B$1000,History_Q!$C$2:$C$1000,"base_ebitda",History_Q!$B$2:$B$1000,"&gt;="&amp;((SUMIFS(History_Q!$B$2:$B$1000,History_Q!$A$2:$A$1000,L$6,History_Q!$C$2:$C$1000,"base_ebitda"))-3),History_Q!$B$2:$B$1000,"&lt;="&amp;(SUMIFS(History_Q!$B$2:$B$1000,History_Q!$A$2:$A$1000,L$6,History_Q!$C$2:$C$1000,"base_ebitda")),History_Q!$E$2:$E$1000,"$m",History_Q!$G$2:$G$1000,"populated")&lt;&gt;3),"",SUMIFS(History_Q!$D$2:$D$1000,History_Q!$C$2:$C$1000,"base_ebitda",History_Q!$B$2:$B$1000,"&gt;="&amp;((SUMIFS(History_Q!$B$2:$B$1000,History_Q!$A$2:$A$1000,L$6,History_Q!$C$2:$C$1000,"base_ebitda"))-3),History_Q!$B$2:$B$1000,"&lt;="&amp;(SUMIFS(History_Q!$B$2:$B$1000,History_Q!$A$2:$A$1000,L$6,History_Q!$C$2:$C$1000,"base_ebitda")),History_Q!$E$2:$E$1000,"$m",History_Q!$G$2:$G$1000,"populated"))</f>
        <v/>
      </c>
      <c r="M21" s="450">
        <f>IF(OR(M$6="",COUNTIFS(History_Q!$C$2:$C$1000,"base_ebitda",History_Q!$B$2:$B$1000,"&gt;="&amp;((SUMIFS(History_Q!$B$2:$B$1000,History_Q!$A$2:$A$1000,M$6,History_Q!$C$2:$C$1000,"base_ebitda"))-3),History_Q!$B$2:$B$1000,"&lt;="&amp;(SUMIFS(History_Q!$B$2:$B$1000,History_Q!$A$2:$A$1000,M$6,History_Q!$C$2:$C$1000,"base_ebitda")),History_Q!$E$2:$E$1000,"$m",History_Q!$G$2:$G$1000,"populated")&lt;&gt;4,_xlfn.MAXIFS(History_Q!$B$2:$B$1000,History_Q!$C$2:$C$1000,"base_ebitda",History_Q!$B$2:$B$1000,"&gt;="&amp;((SUMIFS(History_Q!$B$2:$B$1000,History_Q!$A$2:$A$1000,M$6,History_Q!$C$2:$C$1000,"base_ebitda"))-3),History_Q!$B$2:$B$1000,"&lt;="&amp;(SUMIFS(History_Q!$B$2:$B$1000,History_Q!$A$2:$A$1000,M$6,History_Q!$C$2:$C$1000,"base_ebitda")),History_Q!$E$2:$E$1000,"$m",History_Q!$G$2:$G$1000,"populated")-_xlfn.MINIFS(History_Q!$B$2:$B$1000,History_Q!$C$2:$C$1000,"base_ebitda",History_Q!$B$2:$B$1000,"&gt;="&amp;((SUMIFS(History_Q!$B$2:$B$1000,History_Q!$A$2:$A$1000,M$6,History_Q!$C$2:$C$1000,"base_ebitda"))-3),History_Q!$B$2:$B$1000,"&lt;="&amp;(SUMIFS(History_Q!$B$2:$B$1000,History_Q!$A$2:$A$1000,M$6,History_Q!$C$2:$C$1000,"base_ebitda")),History_Q!$E$2:$E$1000,"$m",History_Q!$G$2:$G$1000,"populated")&lt;&gt;3),"",SUMIFS(History_Q!$D$2:$D$1000,History_Q!$C$2:$C$1000,"base_ebitda",History_Q!$B$2:$B$1000,"&gt;="&amp;((SUMIFS(History_Q!$B$2:$B$1000,History_Q!$A$2:$A$1000,M$6,History_Q!$C$2:$C$1000,"base_ebitda"))-3),History_Q!$B$2:$B$1000,"&lt;="&amp;(SUMIFS(History_Q!$B$2:$B$1000,History_Q!$A$2:$A$1000,M$6,History_Q!$C$2:$C$1000,"base_ebitda")),History_Q!$E$2:$E$1000,"$m",History_Q!$G$2:$G$1000,"populated"))</f>
        <v/>
      </c>
      <c r="N21" s="22" t="n"/>
      <c r="O21" s="52" t="n"/>
      <c r="P21" s="46" t="n"/>
      <c r="Q21" s="52" t="n"/>
      <c r="R21" s="52" t="n"/>
      <c r="S21" s="52" t="n"/>
      <c r="T21" s="47" t="n"/>
      <c r="U21" s="47" t="n"/>
      <c r="V21" s="47" t="n"/>
      <c r="W21" s="46" t="n"/>
      <c r="AA21" s="52" t="n"/>
      <c r="AB21" s="47" t="n"/>
      <c r="AC21" s="46" t="n"/>
      <c r="AD21" s="22" t="n"/>
      <c r="AE21" s="22" t="n"/>
      <c r="AF21" s="22" t="n"/>
      <c r="AG21" s="22" t="n"/>
      <c r="AH21" s="22" t="n"/>
      <c r="AI21" s="22" t="n"/>
    </row>
    <row r="22" ht="19.5" customHeight="1">
      <c r="A22" s="48" t="inlineStr">
        <is>
          <t>EBITDA margin (TTM)</t>
        </is>
      </c>
      <c r="B22" s="451">
        <f>IF(OR(B21="",B10="",B10=0),"",B21/B10)</f>
        <v/>
      </c>
      <c r="C22" s="451">
        <f>IF(OR(C21="",C10="",C10=0),"",C21/C10)</f>
        <v/>
      </c>
      <c r="D22" s="451">
        <f>IF(OR(D21="",D10="",D10=0),"",D21/D10)</f>
        <v/>
      </c>
      <c r="E22" s="451">
        <f>IF(OR(E21="",E10="",E10=0),"",E21/E10)</f>
        <v/>
      </c>
      <c r="F22" s="451">
        <f>IF(OR(F21="",F10="",F10=0),"",F21/F10)</f>
        <v/>
      </c>
      <c r="G22" s="451">
        <f>IF(OR(G21="",G10="",G10=0),"",G21/G10)</f>
        <v/>
      </c>
      <c r="H22" s="451">
        <f>IF(OR(H21="",H10="",H10=0),"",H21/H10)</f>
        <v/>
      </c>
      <c r="I22" s="451">
        <f>IF(OR(I21="",I10="",I10=0),"",I21/I10)</f>
        <v/>
      </c>
      <c r="J22" s="451">
        <f>IF(OR(J21="",J10="",J10=0),"",J21/J10)</f>
        <v/>
      </c>
      <c r="K22" s="451">
        <f>IF(OR(K21="",K10="",K10=0),"",K21/K10)</f>
        <v/>
      </c>
      <c r="L22" s="451">
        <f>IF(OR(L21="",L10="",L10=0),"",L21/L10)</f>
        <v/>
      </c>
      <c r="M22" s="451">
        <f>IF(OR(M21="",M10="",M10=0),"",M21/M10)</f>
        <v/>
      </c>
      <c r="N22" s="22" t="n"/>
      <c r="AD22" s="22" t="n"/>
      <c r="AE22" s="22" t="n"/>
      <c r="AF22" s="22" t="n"/>
      <c r="AG22" s="22" t="n"/>
      <c r="AH22" s="22" t="n"/>
      <c r="AI22" s="22" t="n"/>
    </row>
    <row r="23" ht="19.5" customHeight="1">
      <c r="A23" s="96" t="inlineStr">
        <is>
          <t>Adjusted operating</t>
        </is>
      </c>
      <c r="B23" s="104" t="n"/>
      <c r="C23" s="104" t="n"/>
      <c r="D23" s="104" t="n"/>
      <c r="E23" s="104" t="n"/>
      <c r="F23" s="104" t="n"/>
      <c r="G23" s="104" t="n"/>
      <c r="H23" s="104" t="n"/>
      <c r="I23" s="104" t="n"/>
      <c r="J23" s="104" t="n"/>
      <c r="K23" s="104" t="n"/>
      <c r="L23" s="104" t="n"/>
      <c r="M23" s="105" t="n"/>
      <c r="N23" s="22" t="n"/>
      <c r="AD23" s="22" t="n"/>
      <c r="AE23" s="22" t="n"/>
      <c r="AF23" s="22" t="n"/>
      <c r="AG23" s="22" t="n"/>
      <c r="AH23" s="22" t="n"/>
      <c r="AI23" s="22" t="n"/>
    </row>
    <row r="24" ht="19.5" customHeight="1">
      <c r="A24" s="48" t="inlineStr">
        <is>
          <t>Adjusted EBITDA</t>
        </is>
      </c>
      <c r="B24" s="62" t="n"/>
      <c r="C24" s="62" t="n"/>
      <c r="D24" s="62" t="n"/>
      <c r="E24" s="62" t="n"/>
      <c r="F24" s="62" t="n"/>
      <c r="G24" s="62" t="n"/>
      <c r="H24" s="62" t="n"/>
      <c r="I24" s="62" t="n"/>
      <c r="J24" s="62" t="n"/>
      <c r="K24" s="62" t="n"/>
      <c r="L24" s="62" t="n"/>
      <c r="M24" s="62" t="n"/>
      <c r="N24" s="22" t="n"/>
      <c r="AD24" s="22" t="n"/>
      <c r="AE24" s="22" t="n"/>
      <c r="AF24" s="22" t="n"/>
      <c r="AG24" s="22" t="n"/>
      <c r="AH24" s="22" t="n"/>
      <c r="AI24" s="22" t="n"/>
    </row>
    <row r="25" ht="19.5" customHeight="1">
      <c r="A25" s="48" t="inlineStr">
        <is>
          <t>Adjusted EBITDA (TTM)</t>
        </is>
      </c>
      <c r="B25" s="450">
        <f>IF(OR(B$6="",COUNTIFS(History_Q!$C$2:$C$1000,"adjusted_ebitda",History_Q!$B$2:$B$1000,"&gt;="&amp;((SUMIFS(History_Q!$B$2:$B$1000,History_Q!$A$2:$A$1000,B$6,History_Q!$C$2:$C$1000,"adjusted_ebitda"))-3),History_Q!$B$2:$B$1000,"&lt;="&amp;(SUMIFS(History_Q!$B$2:$B$1000,History_Q!$A$2:$A$1000,B$6,History_Q!$C$2:$C$1000,"adjusted_ebitda")),History_Q!$E$2:$E$1000,"$m",History_Q!$G$2:$G$1000,"populated")&lt;&gt;4,_xlfn.MAXIFS(History_Q!$B$2:$B$1000,History_Q!$C$2:$C$1000,"adjusted_ebitda",History_Q!$B$2:$B$1000,"&gt;="&amp;((SUMIFS(History_Q!$B$2:$B$1000,History_Q!$A$2:$A$1000,B$6,History_Q!$C$2:$C$1000,"adjusted_ebitda"))-3),History_Q!$B$2:$B$1000,"&lt;="&amp;(SUMIFS(History_Q!$B$2:$B$1000,History_Q!$A$2:$A$1000,B$6,History_Q!$C$2:$C$1000,"adjusted_ebitda")),History_Q!$E$2:$E$1000,"$m",History_Q!$G$2:$G$1000,"populated")-_xlfn.MINIFS(History_Q!$B$2:$B$1000,History_Q!$C$2:$C$1000,"adjusted_ebitda",History_Q!$B$2:$B$1000,"&gt;="&amp;((SUMIFS(History_Q!$B$2:$B$1000,History_Q!$A$2:$A$1000,B$6,History_Q!$C$2:$C$1000,"adjusted_ebitda"))-3),History_Q!$B$2:$B$1000,"&lt;="&amp;(SUMIFS(History_Q!$B$2:$B$1000,History_Q!$A$2:$A$1000,B$6,History_Q!$C$2:$C$1000,"adjusted_ebitda")),History_Q!$E$2:$E$1000,"$m",History_Q!$G$2:$G$1000,"populated")&lt;&gt;3),"",SUMIFS(History_Q!$D$2:$D$1000,History_Q!$C$2:$C$1000,"adjusted_ebitda",History_Q!$B$2:$B$1000,"&gt;="&amp;((SUMIFS(History_Q!$B$2:$B$1000,History_Q!$A$2:$A$1000,B$6,History_Q!$C$2:$C$1000,"adjusted_ebitda"))-3),History_Q!$B$2:$B$1000,"&lt;="&amp;(SUMIFS(History_Q!$B$2:$B$1000,History_Q!$A$2:$A$1000,B$6,History_Q!$C$2:$C$1000,"adjusted_ebitda")),History_Q!$E$2:$E$1000,"$m",History_Q!$G$2:$G$1000,"populated"))</f>
        <v/>
      </c>
      <c r="C25" s="450">
        <f>IF(OR(C$6="",COUNTIFS(History_Q!$C$2:$C$1000,"adjusted_ebitda",History_Q!$B$2:$B$1000,"&gt;="&amp;((SUMIFS(History_Q!$B$2:$B$1000,History_Q!$A$2:$A$1000,C$6,History_Q!$C$2:$C$1000,"adjusted_ebitda"))-3),History_Q!$B$2:$B$1000,"&lt;="&amp;(SUMIFS(History_Q!$B$2:$B$1000,History_Q!$A$2:$A$1000,C$6,History_Q!$C$2:$C$1000,"adjusted_ebitda")),History_Q!$E$2:$E$1000,"$m",History_Q!$G$2:$G$1000,"populated")&lt;&gt;4,_xlfn.MAXIFS(History_Q!$B$2:$B$1000,History_Q!$C$2:$C$1000,"adjusted_ebitda",History_Q!$B$2:$B$1000,"&gt;="&amp;((SUMIFS(History_Q!$B$2:$B$1000,History_Q!$A$2:$A$1000,C$6,History_Q!$C$2:$C$1000,"adjusted_ebitda"))-3),History_Q!$B$2:$B$1000,"&lt;="&amp;(SUMIFS(History_Q!$B$2:$B$1000,History_Q!$A$2:$A$1000,C$6,History_Q!$C$2:$C$1000,"adjusted_ebitda")),History_Q!$E$2:$E$1000,"$m",History_Q!$G$2:$G$1000,"populated")-_xlfn.MINIFS(History_Q!$B$2:$B$1000,History_Q!$C$2:$C$1000,"adjusted_ebitda",History_Q!$B$2:$B$1000,"&gt;="&amp;((SUMIFS(History_Q!$B$2:$B$1000,History_Q!$A$2:$A$1000,C$6,History_Q!$C$2:$C$1000,"adjusted_ebitda"))-3),History_Q!$B$2:$B$1000,"&lt;="&amp;(SUMIFS(History_Q!$B$2:$B$1000,History_Q!$A$2:$A$1000,C$6,History_Q!$C$2:$C$1000,"adjusted_ebitda")),History_Q!$E$2:$E$1000,"$m",History_Q!$G$2:$G$1000,"populated")&lt;&gt;3),"",SUMIFS(History_Q!$D$2:$D$1000,History_Q!$C$2:$C$1000,"adjusted_ebitda",History_Q!$B$2:$B$1000,"&gt;="&amp;((SUMIFS(History_Q!$B$2:$B$1000,History_Q!$A$2:$A$1000,C$6,History_Q!$C$2:$C$1000,"adjusted_ebitda"))-3),History_Q!$B$2:$B$1000,"&lt;="&amp;(SUMIFS(History_Q!$B$2:$B$1000,History_Q!$A$2:$A$1000,C$6,History_Q!$C$2:$C$1000,"adjusted_ebitda")),History_Q!$E$2:$E$1000,"$m",History_Q!$G$2:$G$1000,"populated"))</f>
        <v/>
      </c>
      <c r="D25" s="450">
        <f>IF(OR(D$6="",COUNTIFS(History_Q!$C$2:$C$1000,"adjusted_ebitda",History_Q!$B$2:$B$1000,"&gt;="&amp;((SUMIFS(History_Q!$B$2:$B$1000,History_Q!$A$2:$A$1000,D$6,History_Q!$C$2:$C$1000,"adjusted_ebitda"))-3),History_Q!$B$2:$B$1000,"&lt;="&amp;(SUMIFS(History_Q!$B$2:$B$1000,History_Q!$A$2:$A$1000,D$6,History_Q!$C$2:$C$1000,"adjusted_ebitda")),History_Q!$E$2:$E$1000,"$m",History_Q!$G$2:$G$1000,"populated")&lt;&gt;4,_xlfn.MAXIFS(History_Q!$B$2:$B$1000,History_Q!$C$2:$C$1000,"adjusted_ebitda",History_Q!$B$2:$B$1000,"&gt;="&amp;((SUMIFS(History_Q!$B$2:$B$1000,History_Q!$A$2:$A$1000,D$6,History_Q!$C$2:$C$1000,"adjusted_ebitda"))-3),History_Q!$B$2:$B$1000,"&lt;="&amp;(SUMIFS(History_Q!$B$2:$B$1000,History_Q!$A$2:$A$1000,D$6,History_Q!$C$2:$C$1000,"adjusted_ebitda")),History_Q!$E$2:$E$1000,"$m",History_Q!$G$2:$G$1000,"populated")-_xlfn.MINIFS(History_Q!$B$2:$B$1000,History_Q!$C$2:$C$1000,"adjusted_ebitda",History_Q!$B$2:$B$1000,"&gt;="&amp;((SUMIFS(History_Q!$B$2:$B$1000,History_Q!$A$2:$A$1000,D$6,History_Q!$C$2:$C$1000,"adjusted_ebitda"))-3),History_Q!$B$2:$B$1000,"&lt;="&amp;(SUMIFS(History_Q!$B$2:$B$1000,History_Q!$A$2:$A$1000,D$6,History_Q!$C$2:$C$1000,"adjusted_ebitda")),History_Q!$E$2:$E$1000,"$m",History_Q!$G$2:$G$1000,"populated")&lt;&gt;3),"",SUMIFS(History_Q!$D$2:$D$1000,History_Q!$C$2:$C$1000,"adjusted_ebitda",History_Q!$B$2:$B$1000,"&gt;="&amp;((SUMIFS(History_Q!$B$2:$B$1000,History_Q!$A$2:$A$1000,D$6,History_Q!$C$2:$C$1000,"adjusted_ebitda"))-3),History_Q!$B$2:$B$1000,"&lt;="&amp;(SUMIFS(History_Q!$B$2:$B$1000,History_Q!$A$2:$A$1000,D$6,History_Q!$C$2:$C$1000,"adjusted_ebitda")),History_Q!$E$2:$E$1000,"$m",History_Q!$G$2:$G$1000,"populated"))</f>
        <v/>
      </c>
      <c r="E25" s="450">
        <f>IF(OR(E$6="",COUNTIFS(History_Q!$C$2:$C$1000,"adjusted_ebitda",History_Q!$B$2:$B$1000,"&gt;="&amp;((SUMIFS(History_Q!$B$2:$B$1000,History_Q!$A$2:$A$1000,E$6,History_Q!$C$2:$C$1000,"adjusted_ebitda"))-3),History_Q!$B$2:$B$1000,"&lt;="&amp;(SUMIFS(History_Q!$B$2:$B$1000,History_Q!$A$2:$A$1000,E$6,History_Q!$C$2:$C$1000,"adjusted_ebitda")),History_Q!$E$2:$E$1000,"$m",History_Q!$G$2:$G$1000,"populated")&lt;&gt;4,_xlfn.MAXIFS(History_Q!$B$2:$B$1000,History_Q!$C$2:$C$1000,"adjusted_ebitda",History_Q!$B$2:$B$1000,"&gt;="&amp;((SUMIFS(History_Q!$B$2:$B$1000,History_Q!$A$2:$A$1000,E$6,History_Q!$C$2:$C$1000,"adjusted_ebitda"))-3),History_Q!$B$2:$B$1000,"&lt;="&amp;(SUMIFS(History_Q!$B$2:$B$1000,History_Q!$A$2:$A$1000,E$6,History_Q!$C$2:$C$1000,"adjusted_ebitda")),History_Q!$E$2:$E$1000,"$m",History_Q!$G$2:$G$1000,"populated")-_xlfn.MINIFS(History_Q!$B$2:$B$1000,History_Q!$C$2:$C$1000,"adjusted_ebitda",History_Q!$B$2:$B$1000,"&gt;="&amp;((SUMIFS(History_Q!$B$2:$B$1000,History_Q!$A$2:$A$1000,E$6,History_Q!$C$2:$C$1000,"adjusted_ebitda"))-3),History_Q!$B$2:$B$1000,"&lt;="&amp;(SUMIFS(History_Q!$B$2:$B$1000,History_Q!$A$2:$A$1000,E$6,History_Q!$C$2:$C$1000,"adjusted_ebitda")),History_Q!$E$2:$E$1000,"$m",History_Q!$G$2:$G$1000,"populated")&lt;&gt;3),"",SUMIFS(History_Q!$D$2:$D$1000,History_Q!$C$2:$C$1000,"adjusted_ebitda",History_Q!$B$2:$B$1000,"&gt;="&amp;((SUMIFS(History_Q!$B$2:$B$1000,History_Q!$A$2:$A$1000,E$6,History_Q!$C$2:$C$1000,"adjusted_ebitda"))-3),History_Q!$B$2:$B$1000,"&lt;="&amp;(SUMIFS(History_Q!$B$2:$B$1000,History_Q!$A$2:$A$1000,E$6,History_Q!$C$2:$C$1000,"adjusted_ebitda")),History_Q!$E$2:$E$1000,"$m",History_Q!$G$2:$G$1000,"populated"))</f>
        <v/>
      </c>
      <c r="F25" s="450">
        <f>IF(OR(F$6="",COUNTIFS(History_Q!$C$2:$C$1000,"adjusted_ebitda",History_Q!$B$2:$B$1000,"&gt;="&amp;((SUMIFS(History_Q!$B$2:$B$1000,History_Q!$A$2:$A$1000,F$6,History_Q!$C$2:$C$1000,"adjusted_ebitda"))-3),History_Q!$B$2:$B$1000,"&lt;="&amp;(SUMIFS(History_Q!$B$2:$B$1000,History_Q!$A$2:$A$1000,F$6,History_Q!$C$2:$C$1000,"adjusted_ebitda")),History_Q!$E$2:$E$1000,"$m",History_Q!$G$2:$G$1000,"populated")&lt;&gt;4,_xlfn.MAXIFS(History_Q!$B$2:$B$1000,History_Q!$C$2:$C$1000,"adjusted_ebitda",History_Q!$B$2:$B$1000,"&gt;="&amp;((SUMIFS(History_Q!$B$2:$B$1000,History_Q!$A$2:$A$1000,F$6,History_Q!$C$2:$C$1000,"adjusted_ebitda"))-3),History_Q!$B$2:$B$1000,"&lt;="&amp;(SUMIFS(History_Q!$B$2:$B$1000,History_Q!$A$2:$A$1000,F$6,History_Q!$C$2:$C$1000,"adjusted_ebitda")),History_Q!$E$2:$E$1000,"$m",History_Q!$G$2:$G$1000,"populated")-_xlfn.MINIFS(History_Q!$B$2:$B$1000,History_Q!$C$2:$C$1000,"adjusted_ebitda",History_Q!$B$2:$B$1000,"&gt;="&amp;((SUMIFS(History_Q!$B$2:$B$1000,History_Q!$A$2:$A$1000,F$6,History_Q!$C$2:$C$1000,"adjusted_ebitda"))-3),History_Q!$B$2:$B$1000,"&lt;="&amp;(SUMIFS(History_Q!$B$2:$B$1000,History_Q!$A$2:$A$1000,F$6,History_Q!$C$2:$C$1000,"adjusted_ebitda")),History_Q!$E$2:$E$1000,"$m",History_Q!$G$2:$G$1000,"populated")&lt;&gt;3),"",SUMIFS(History_Q!$D$2:$D$1000,History_Q!$C$2:$C$1000,"adjusted_ebitda",History_Q!$B$2:$B$1000,"&gt;="&amp;((SUMIFS(History_Q!$B$2:$B$1000,History_Q!$A$2:$A$1000,F$6,History_Q!$C$2:$C$1000,"adjusted_ebitda"))-3),History_Q!$B$2:$B$1000,"&lt;="&amp;(SUMIFS(History_Q!$B$2:$B$1000,History_Q!$A$2:$A$1000,F$6,History_Q!$C$2:$C$1000,"adjusted_ebitda")),History_Q!$E$2:$E$1000,"$m",History_Q!$G$2:$G$1000,"populated"))</f>
        <v/>
      </c>
      <c r="G25" s="450">
        <f>IF(OR(G$6="",COUNTIFS(History_Q!$C$2:$C$1000,"adjusted_ebitda",History_Q!$B$2:$B$1000,"&gt;="&amp;((SUMIFS(History_Q!$B$2:$B$1000,History_Q!$A$2:$A$1000,G$6,History_Q!$C$2:$C$1000,"adjusted_ebitda"))-3),History_Q!$B$2:$B$1000,"&lt;="&amp;(SUMIFS(History_Q!$B$2:$B$1000,History_Q!$A$2:$A$1000,G$6,History_Q!$C$2:$C$1000,"adjusted_ebitda")),History_Q!$E$2:$E$1000,"$m",History_Q!$G$2:$G$1000,"populated")&lt;&gt;4,_xlfn.MAXIFS(History_Q!$B$2:$B$1000,History_Q!$C$2:$C$1000,"adjusted_ebitda",History_Q!$B$2:$B$1000,"&gt;="&amp;((SUMIFS(History_Q!$B$2:$B$1000,History_Q!$A$2:$A$1000,G$6,History_Q!$C$2:$C$1000,"adjusted_ebitda"))-3),History_Q!$B$2:$B$1000,"&lt;="&amp;(SUMIFS(History_Q!$B$2:$B$1000,History_Q!$A$2:$A$1000,G$6,History_Q!$C$2:$C$1000,"adjusted_ebitda")),History_Q!$E$2:$E$1000,"$m",History_Q!$G$2:$G$1000,"populated")-_xlfn.MINIFS(History_Q!$B$2:$B$1000,History_Q!$C$2:$C$1000,"adjusted_ebitda",History_Q!$B$2:$B$1000,"&gt;="&amp;((SUMIFS(History_Q!$B$2:$B$1000,History_Q!$A$2:$A$1000,G$6,History_Q!$C$2:$C$1000,"adjusted_ebitda"))-3),History_Q!$B$2:$B$1000,"&lt;="&amp;(SUMIFS(History_Q!$B$2:$B$1000,History_Q!$A$2:$A$1000,G$6,History_Q!$C$2:$C$1000,"adjusted_ebitda")),History_Q!$E$2:$E$1000,"$m",History_Q!$G$2:$G$1000,"populated")&lt;&gt;3),"",SUMIFS(History_Q!$D$2:$D$1000,History_Q!$C$2:$C$1000,"adjusted_ebitda",History_Q!$B$2:$B$1000,"&gt;="&amp;((SUMIFS(History_Q!$B$2:$B$1000,History_Q!$A$2:$A$1000,G$6,History_Q!$C$2:$C$1000,"adjusted_ebitda"))-3),History_Q!$B$2:$B$1000,"&lt;="&amp;(SUMIFS(History_Q!$B$2:$B$1000,History_Q!$A$2:$A$1000,G$6,History_Q!$C$2:$C$1000,"adjusted_ebitda")),History_Q!$E$2:$E$1000,"$m",History_Q!$G$2:$G$1000,"populated"))</f>
        <v/>
      </c>
      <c r="H25" s="450">
        <f>IF(OR(H$6="",COUNTIFS(History_Q!$C$2:$C$1000,"adjusted_ebitda",History_Q!$B$2:$B$1000,"&gt;="&amp;((SUMIFS(History_Q!$B$2:$B$1000,History_Q!$A$2:$A$1000,H$6,History_Q!$C$2:$C$1000,"adjusted_ebitda"))-3),History_Q!$B$2:$B$1000,"&lt;="&amp;(SUMIFS(History_Q!$B$2:$B$1000,History_Q!$A$2:$A$1000,H$6,History_Q!$C$2:$C$1000,"adjusted_ebitda")),History_Q!$E$2:$E$1000,"$m",History_Q!$G$2:$G$1000,"populated")&lt;&gt;4,_xlfn.MAXIFS(History_Q!$B$2:$B$1000,History_Q!$C$2:$C$1000,"adjusted_ebitda",History_Q!$B$2:$B$1000,"&gt;="&amp;((SUMIFS(History_Q!$B$2:$B$1000,History_Q!$A$2:$A$1000,H$6,History_Q!$C$2:$C$1000,"adjusted_ebitda"))-3),History_Q!$B$2:$B$1000,"&lt;="&amp;(SUMIFS(History_Q!$B$2:$B$1000,History_Q!$A$2:$A$1000,H$6,History_Q!$C$2:$C$1000,"adjusted_ebitda")),History_Q!$E$2:$E$1000,"$m",History_Q!$G$2:$G$1000,"populated")-_xlfn.MINIFS(History_Q!$B$2:$B$1000,History_Q!$C$2:$C$1000,"adjusted_ebitda",History_Q!$B$2:$B$1000,"&gt;="&amp;((SUMIFS(History_Q!$B$2:$B$1000,History_Q!$A$2:$A$1000,H$6,History_Q!$C$2:$C$1000,"adjusted_ebitda"))-3),History_Q!$B$2:$B$1000,"&lt;="&amp;(SUMIFS(History_Q!$B$2:$B$1000,History_Q!$A$2:$A$1000,H$6,History_Q!$C$2:$C$1000,"adjusted_ebitda")),History_Q!$E$2:$E$1000,"$m",History_Q!$G$2:$G$1000,"populated")&lt;&gt;3),"",SUMIFS(History_Q!$D$2:$D$1000,History_Q!$C$2:$C$1000,"adjusted_ebitda",History_Q!$B$2:$B$1000,"&gt;="&amp;((SUMIFS(History_Q!$B$2:$B$1000,History_Q!$A$2:$A$1000,H$6,History_Q!$C$2:$C$1000,"adjusted_ebitda"))-3),History_Q!$B$2:$B$1000,"&lt;="&amp;(SUMIFS(History_Q!$B$2:$B$1000,History_Q!$A$2:$A$1000,H$6,History_Q!$C$2:$C$1000,"adjusted_ebitda")),History_Q!$E$2:$E$1000,"$m",History_Q!$G$2:$G$1000,"populated"))</f>
        <v/>
      </c>
      <c r="I25" s="450">
        <f>IF(OR(I$6="",COUNTIFS(History_Q!$C$2:$C$1000,"adjusted_ebitda",History_Q!$B$2:$B$1000,"&gt;="&amp;((SUMIFS(History_Q!$B$2:$B$1000,History_Q!$A$2:$A$1000,I$6,History_Q!$C$2:$C$1000,"adjusted_ebitda"))-3),History_Q!$B$2:$B$1000,"&lt;="&amp;(SUMIFS(History_Q!$B$2:$B$1000,History_Q!$A$2:$A$1000,I$6,History_Q!$C$2:$C$1000,"adjusted_ebitda")),History_Q!$E$2:$E$1000,"$m",History_Q!$G$2:$G$1000,"populated")&lt;&gt;4,_xlfn.MAXIFS(History_Q!$B$2:$B$1000,History_Q!$C$2:$C$1000,"adjusted_ebitda",History_Q!$B$2:$B$1000,"&gt;="&amp;((SUMIFS(History_Q!$B$2:$B$1000,History_Q!$A$2:$A$1000,I$6,History_Q!$C$2:$C$1000,"adjusted_ebitda"))-3),History_Q!$B$2:$B$1000,"&lt;="&amp;(SUMIFS(History_Q!$B$2:$B$1000,History_Q!$A$2:$A$1000,I$6,History_Q!$C$2:$C$1000,"adjusted_ebitda")),History_Q!$E$2:$E$1000,"$m",History_Q!$G$2:$G$1000,"populated")-_xlfn.MINIFS(History_Q!$B$2:$B$1000,History_Q!$C$2:$C$1000,"adjusted_ebitda",History_Q!$B$2:$B$1000,"&gt;="&amp;((SUMIFS(History_Q!$B$2:$B$1000,History_Q!$A$2:$A$1000,I$6,History_Q!$C$2:$C$1000,"adjusted_ebitda"))-3),History_Q!$B$2:$B$1000,"&lt;="&amp;(SUMIFS(History_Q!$B$2:$B$1000,History_Q!$A$2:$A$1000,I$6,History_Q!$C$2:$C$1000,"adjusted_ebitda")),History_Q!$E$2:$E$1000,"$m",History_Q!$G$2:$G$1000,"populated")&lt;&gt;3),"",SUMIFS(History_Q!$D$2:$D$1000,History_Q!$C$2:$C$1000,"adjusted_ebitda",History_Q!$B$2:$B$1000,"&gt;="&amp;((SUMIFS(History_Q!$B$2:$B$1000,History_Q!$A$2:$A$1000,I$6,History_Q!$C$2:$C$1000,"adjusted_ebitda"))-3),History_Q!$B$2:$B$1000,"&lt;="&amp;(SUMIFS(History_Q!$B$2:$B$1000,History_Q!$A$2:$A$1000,I$6,History_Q!$C$2:$C$1000,"adjusted_ebitda")),History_Q!$E$2:$E$1000,"$m",History_Q!$G$2:$G$1000,"populated"))</f>
        <v/>
      </c>
      <c r="J25" s="450">
        <f>IF(OR(J$6="",COUNTIFS(History_Q!$C$2:$C$1000,"adjusted_ebitda",History_Q!$B$2:$B$1000,"&gt;="&amp;((SUMIFS(History_Q!$B$2:$B$1000,History_Q!$A$2:$A$1000,J$6,History_Q!$C$2:$C$1000,"adjusted_ebitda"))-3),History_Q!$B$2:$B$1000,"&lt;="&amp;(SUMIFS(History_Q!$B$2:$B$1000,History_Q!$A$2:$A$1000,J$6,History_Q!$C$2:$C$1000,"adjusted_ebitda")),History_Q!$E$2:$E$1000,"$m",History_Q!$G$2:$G$1000,"populated")&lt;&gt;4,_xlfn.MAXIFS(History_Q!$B$2:$B$1000,History_Q!$C$2:$C$1000,"adjusted_ebitda",History_Q!$B$2:$B$1000,"&gt;="&amp;((SUMIFS(History_Q!$B$2:$B$1000,History_Q!$A$2:$A$1000,J$6,History_Q!$C$2:$C$1000,"adjusted_ebitda"))-3),History_Q!$B$2:$B$1000,"&lt;="&amp;(SUMIFS(History_Q!$B$2:$B$1000,History_Q!$A$2:$A$1000,J$6,History_Q!$C$2:$C$1000,"adjusted_ebitda")),History_Q!$E$2:$E$1000,"$m",History_Q!$G$2:$G$1000,"populated")-_xlfn.MINIFS(History_Q!$B$2:$B$1000,History_Q!$C$2:$C$1000,"adjusted_ebitda",History_Q!$B$2:$B$1000,"&gt;="&amp;((SUMIFS(History_Q!$B$2:$B$1000,History_Q!$A$2:$A$1000,J$6,History_Q!$C$2:$C$1000,"adjusted_ebitda"))-3),History_Q!$B$2:$B$1000,"&lt;="&amp;(SUMIFS(History_Q!$B$2:$B$1000,History_Q!$A$2:$A$1000,J$6,History_Q!$C$2:$C$1000,"adjusted_ebitda")),History_Q!$E$2:$E$1000,"$m",History_Q!$G$2:$G$1000,"populated")&lt;&gt;3),"",SUMIFS(History_Q!$D$2:$D$1000,History_Q!$C$2:$C$1000,"adjusted_ebitda",History_Q!$B$2:$B$1000,"&gt;="&amp;((SUMIFS(History_Q!$B$2:$B$1000,History_Q!$A$2:$A$1000,J$6,History_Q!$C$2:$C$1000,"adjusted_ebitda"))-3),History_Q!$B$2:$B$1000,"&lt;="&amp;(SUMIFS(History_Q!$B$2:$B$1000,History_Q!$A$2:$A$1000,J$6,History_Q!$C$2:$C$1000,"adjusted_ebitda")),History_Q!$E$2:$E$1000,"$m",History_Q!$G$2:$G$1000,"populated"))</f>
        <v/>
      </c>
      <c r="K25" s="450">
        <f>IF(OR(K$6="",COUNTIFS(History_Q!$C$2:$C$1000,"adjusted_ebitda",History_Q!$B$2:$B$1000,"&gt;="&amp;((SUMIFS(History_Q!$B$2:$B$1000,History_Q!$A$2:$A$1000,K$6,History_Q!$C$2:$C$1000,"adjusted_ebitda"))-3),History_Q!$B$2:$B$1000,"&lt;="&amp;(SUMIFS(History_Q!$B$2:$B$1000,History_Q!$A$2:$A$1000,K$6,History_Q!$C$2:$C$1000,"adjusted_ebitda")),History_Q!$E$2:$E$1000,"$m",History_Q!$G$2:$G$1000,"populated")&lt;&gt;4,_xlfn.MAXIFS(History_Q!$B$2:$B$1000,History_Q!$C$2:$C$1000,"adjusted_ebitda",History_Q!$B$2:$B$1000,"&gt;="&amp;((SUMIFS(History_Q!$B$2:$B$1000,History_Q!$A$2:$A$1000,K$6,History_Q!$C$2:$C$1000,"adjusted_ebitda"))-3),History_Q!$B$2:$B$1000,"&lt;="&amp;(SUMIFS(History_Q!$B$2:$B$1000,History_Q!$A$2:$A$1000,K$6,History_Q!$C$2:$C$1000,"adjusted_ebitda")),History_Q!$E$2:$E$1000,"$m",History_Q!$G$2:$G$1000,"populated")-_xlfn.MINIFS(History_Q!$B$2:$B$1000,History_Q!$C$2:$C$1000,"adjusted_ebitda",History_Q!$B$2:$B$1000,"&gt;="&amp;((SUMIFS(History_Q!$B$2:$B$1000,History_Q!$A$2:$A$1000,K$6,History_Q!$C$2:$C$1000,"adjusted_ebitda"))-3),History_Q!$B$2:$B$1000,"&lt;="&amp;(SUMIFS(History_Q!$B$2:$B$1000,History_Q!$A$2:$A$1000,K$6,History_Q!$C$2:$C$1000,"adjusted_ebitda")),History_Q!$E$2:$E$1000,"$m",History_Q!$G$2:$G$1000,"populated")&lt;&gt;3),"",SUMIFS(History_Q!$D$2:$D$1000,History_Q!$C$2:$C$1000,"adjusted_ebitda",History_Q!$B$2:$B$1000,"&gt;="&amp;((SUMIFS(History_Q!$B$2:$B$1000,History_Q!$A$2:$A$1000,K$6,History_Q!$C$2:$C$1000,"adjusted_ebitda"))-3),History_Q!$B$2:$B$1000,"&lt;="&amp;(SUMIFS(History_Q!$B$2:$B$1000,History_Q!$A$2:$A$1000,K$6,History_Q!$C$2:$C$1000,"adjusted_ebitda")),History_Q!$E$2:$E$1000,"$m",History_Q!$G$2:$G$1000,"populated"))</f>
        <v/>
      </c>
      <c r="L25" s="450">
        <f>IF(OR(L$6="",COUNTIFS(History_Q!$C$2:$C$1000,"adjusted_ebitda",History_Q!$B$2:$B$1000,"&gt;="&amp;((SUMIFS(History_Q!$B$2:$B$1000,History_Q!$A$2:$A$1000,L$6,History_Q!$C$2:$C$1000,"adjusted_ebitda"))-3),History_Q!$B$2:$B$1000,"&lt;="&amp;(SUMIFS(History_Q!$B$2:$B$1000,History_Q!$A$2:$A$1000,L$6,History_Q!$C$2:$C$1000,"adjusted_ebitda")),History_Q!$E$2:$E$1000,"$m",History_Q!$G$2:$G$1000,"populated")&lt;&gt;4,_xlfn.MAXIFS(History_Q!$B$2:$B$1000,History_Q!$C$2:$C$1000,"adjusted_ebitda",History_Q!$B$2:$B$1000,"&gt;="&amp;((SUMIFS(History_Q!$B$2:$B$1000,History_Q!$A$2:$A$1000,L$6,History_Q!$C$2:$C$1000,"adjusted_ebitda"))-3),History_Q!$B$2:$B$1000,"&lt;="&amp;(SUMIFS(History_Q!$B$2:$B$1000,History_Q!$A$2:$A$1000,L$6,History_Q!$C$2:$C$1000,"adjusted_ebitda")),History_Q!$E$2:$E$1000,"$m",History_Q!$G$2:$G$1000,"populated")-_xlfn.MINIFS(History_Q!$B$2:$B$1000,History_Q!$C$2:$C$1000,"adjusted_ebitda",History_Q!$B$2:$B$1000,"&gt;="&amp;((SUMIFS(History_Q!$B$2:$B$1000,History_Q!$A$2:$A$1000,L$6,History_Q!$C$2:$C$1000,"adjusted_ebitda"))-3),History_Q!$B$2:$B$1000,"&lt;="&amp;(SUMIFS(History_Q!$B$2:$B$1000,History_Q!$A$2:$A$1000,L$6,History_Q!$C$2:$C$1000,"adjusted_ebitda")),History_Q!$E$2:$E$1000,"$m",History_Q!$G$2:$G$1000,"populated")&lt;&gt;3),"",SUMIFS(History_Q!$D$2:$D$1000,History_Q!$C$2:$C$1000,"adjusted_ebitda",History_Q!$B$2:$B$1000,"&gt;="&amp;((SUMIFS(History_Q!$B$2:$B$1000,History_Q!$A$2:$A$1000,L$6,History_Q!$C$2:$C$1000,"adjusted_ebitda"))-3),History_Q!$B$2:$B$1000,"&lt;="&amp;(SUMIFS(History_Q!$B$2:$B$1000,History_Q!$A$2:$A$1000,L$6,History_Q!$C$2:$C$1000,"adjusted_ebitda")),History_Q!$E$2:$E$1000,"$m",History_Q!$G$2:$G$1000,"populated"))</f>
        <v/>
      </c>
      <c r="M25" s="450">
        <f>IF(OR(M$6="",COUNTIFS(History_Q!$C$2:$C$1000,"adjusted_ebitda",History_Q!$B$2:$B$1000,"&gt;="&amp;((SUMIFS(History_Q!$B$2:$B$1000,History_Q!$A$2:$A$1000,M$6,History_Q!$C$2:$C$1000,"adjusted_ebitda"))-3),History_Q!$B$2:$B$1000,"&lt;="&amp;(SUMIFS(History_Q!$B$2:$B$1000,History_Q!$A$2:$A$1000,M$6,History_Q!$C$2:$C$1000,"adjusted_ebitda")),History_Q!$E$2:$E$1000,"$m",History_Q!$G$2:$G$1000,"populated")&lt;&gt;4,_xlfn.MAXIFS(History_Q!$B$2:$B$1000,History_Q!$C$2:$C$1000,"adjusted_ebitda",History_Q!$B$2:$B$1000,"&gt;="&amp;((SUMIFS(History_Q!$B$2:$B$1000,History_Q!$A$2:$A$1000,M$6,History_Q!$C$2:$C$1000,"adjusted_ebitda"))-3),History_Q!$B$2:$B$1000,"&lt;="&amp;(SUMIFS(History_Q!$B$2:$B$1000,History_Q!$A$2:$A$1000,M$6,History_Q!$C$2:$C$1000,"adjusted_ebitda")),History_Q!$E$2:$E$1000,"$m",History_Q!$G$2:$G$1000,"populated")-_xlfn.MINIFS(History_Q!$B$2:$B$1000,History_Q!$C$2:$C$1000,"adjusted_ebitda",History_Q!$B$2:$B$1000,"&gt;="&amp;((SUMIFS(History_Q!$B$2:$B$1000,History_Q!$A$2:$A$1000,M$6,History_Q!$C$2:$C$1000,"adjusted_ebitda"))-3),History_Q!$B$2:$B$1000,"&lt;="&amp;(SUMIFS(History_Q!$B$2:$B$1000,History_Q!$A$2:$A$1000,M$6,History_Q!$C$2:$C$1000,"adjusted_ebitda")),History_Q!$E$2:$E$1000,"$m",History_Q!$G$2:$G$1000,"populated")&lt;&gt;3),"",SUMIFS(History_Q!$D$2:$D$1000,History_Q!$C$2:$C$1000,"adjusted_ebitda",History_Q!$B$2:$B$1000,"&gt;="&amp;((SUMIFS(History_Q!$B$2:$B$1000,History_Q!$A$2:$A$1000,M$6,History_Q!$C$2:$C$1000,"adjusted_ebitda"))-3),History_Q!$B$2:$B$1000,"&lt;="&amp;(SUMIFS(History_Q!$B$2:$B$1000,History_Q!$A$2:$A$1000,M$6,History_Q!$C$2:$C$1000,"adjusted_ebitda")),History_Q!$E$2:$E$1000,"$m",History_Q!$G$2:$G$1000,"populated"))</f>
        <v/>
      </c>
      <c r="N25" s="22" t="n"/>
      <c r="AD25" s="22" t="n"/>
      <c r="AE25" s="22" t="n"/>
      <c r="AF25" s="22" t="n"/>
      <c r="AG25" s="22" t="n"/>
      <c r="AH25" s="22" t="n"/>
      <c r="AI25" s="22" t="n"/>
    </row>
    <row r="26" ht="19.5" customHeight="1">
      <c r="A26" s="48" t="inlineStr">
        <is>
          <t>Adjusted EBITDA - EBITDA</t>
        </is>
      </c>
      <c r="B26" s="450">
        <f>IF(OR(B24="",B18=""),"",B24-B18)</f>
        <v/>
      </c>
      <c r="C26" s="450">
        <f>IF(OR(C24="",C18=""),"",C24-C18)</f>
        <v/>
      </c>
      <c r="D26" s="450">
        <f>IF(OR(D24="",D18=""),"",D24-D18)</f>
        <v/>
      </c>
      <c r="E26" s="450">
        <f>IF(OR(E24="",E18=""),"",E24-E18)</f>
        <v/>
      </c>
      <c r="F26" s="450">
        <f>IF(OR(F24="",F18=""),"",F24-F18)</f>
        <v/>
      </c>
      <c r="G26" s="450">
        <f>IF(OR(G24="",G18=""),"",G24-G18)</f>
        <v/>
      </c>
      <c r="H26" s="450">
        <f>IF(OR(H24="",H18=""),"",H24-H18)</f>
        <v/>
      </c>
      <c r="I26" s="450">
        <f>IF(OR(I24="",I18=""),"",I24-I18)</f>
        <v/>
      </c>
      <c r="J26" s="450">
        <f>IF(OR(J24="",J18=""),"",J24-J18)</f>
        <v/>
      </c>
      <c r="K26" s="450">
        <f>IF(OR(K24="",K18=""),"",K24-K18)</f>
        <v/>
      </c>
      <c r="L26" s="450">
        <f>IF(OR(L24="",L18=""),"",L24-L18)</f>
        <v/>
      </c>
      <c r="M26" s="450">
        <f>IF(OR(M24="",M18=""),"",M24-M18)</f>
        <v/>
      </c>
      <c r="N26" s="22" t="n"/>
      <c r="AD26" s="22" t="n"/>
      <c r="AE26" s="22" t="n"/>
      <c r="AF26" s="22" t="n"/>
      <c r="AG26" s="22" t="n"/>
      <c r="AH26" s="22" t="n"/>
      <c r="AI26" s="22" t="n"/>
    </row>
    <row r="27" ht="19.5" customHeight="1">
      <c r="A27" s="48" t="inlineStr">
        <is>
          <t>Adjusted EBITDA margin %</t>
        </is>
      </c>
      <c r="B27" s="451">
        <f>IF(OR(B24="",B9="",B9=0),"",B24/B9)</f>
        <v/>
      </c>
      <c r="C27" s="451">
        <f>IF(OR(C24="",C9="",C9=0),"",C24/C9)</f>
        <v/>
      </c>
      <c r="D27" s="451">
        <f>IF(OR(D24="",D9="",D9=0),"",D24/D9)</f>
        <v/>
      </c>
      <c r="E27" s="451">
        <f>IF(OR(E24="",E9="",E9=0),"",E24/E9)</f>
        <v/>
      </c>
      <c r="F27" s="451">
        <f>IF(OR(F24="",F9="",F9=0),"",F24/F9)</f>
        <v/>
      </c>
      <c r="G27" s="451">
        <f>IF(OR(G24="",G9="",G9=0),"",G24/G9)</f>
        <v/>
      </c>
      <c r="H27" s="451">
        <f>IF(OR(H24="",H9="",H9=0),"",H24/H9)</f>
        <v/>
      </c>
      <c r="I27" s="451">
        <f>IF(OR(I24="",I9="",I9=0),"",I24/I9)</f>
        <v/>
      </c>
      <c r="J27" s="451">
        <f>IF(OR(J24="",J9="",J9=0),"",J24/J9)</f>
        <v/>
      </c>
      <c r="K27" s="451">
        <f>IF(OR(K24="",K9="",K9=0),"",K24/K9)</f>
        <v/>
      </c>
      <c r="L27" s="451">
        <f>IF(OR(L24="",L9="",L9=0),"",L24/L9)</f>
        <v/>
      </c>
      <c r="M27" s="451">
        <f>IF(OR(M24="",M9="",M9=0),"",M24/M9)</f>
        <v/>
      </c>
      <c r="N27" s="22" t="n"/>
      <c r="O27" s="447" t="inlineStr">
        <is>
          <t>Historical guidance</t>
        </is>
      </c>
      <c r="P27" s="47" t="n"/>
      <c r="Q27" s="47" t="n"/>
      <c r="R27" s="47" t="n"/>
      <c r="S27" s="47" t="n"/>
      <c r="T27" s="47" t="n"/>
      <c r="U27" s="47" t="n"/>
      <c r="V27" s="47" t="n"/>
      <c r="W27" s="47" t="n"/>
      <c r="X27" s="47" t="n"/>
      <c r="Y27" s="47" t="n"/>
      <c r="Z27" s="47" t="n"/>
      <c r="AA27" s="47" t="n"/>
      <c r="AB27" s="47" t="n"/>
      <c r="AC27" s="46" t="n"/>
      <c r="AD27" s="22" t="n"/>
      <c r="AE27" s="22" t="n"/>
      <c r="AF27" s="22" t="n"/>
      <c r="AG27" s="22" t="n"/>
      <c r="AH27" s="22" t="n"/>
      <c r="AI27" s="22" t="n"/>
    </row>
    <row r="28" ht="19.5" customHeight="1">
      <c r="A28" s="48" t="inlineStr">
        <is>
          <t>Adjusted EBITDA YoY %</t>
        </is>
      </c>
      <c r="B28" s="451">
        <f>IF(OR(B$6="",COUNTIFS(History_Q!$C$2:$C$1000,"adjusted_ebitda",History_Q!$B$2:$B$1000,(SUMIFS(History_Q!$B$2:$B$1000,History_Q!$A$2:$A$1000,B$6,History_Q!$C$2:$C$1000,"adjusted_ebitda")),History_Q!$E$2:$E$1000,"$m",History_Q!$G$2:$G$1000,"populated")&lt;&gt;1,COUNTIFS(History_Q!$C$2:$C$1000,"adjusted_ebitda",History_Q!$B$2:$B$1000,(SUMIFS(History_Q!$B$2:$B$1000,History_Q!$A$2:$A$1000,B$6,History_Q!$C$2:$C$1000,"adjusted_ebitda")-4),History_Q!$E$2:$E$1000,"$m",History_Q!$G$2:$G$1000,"populated")&lt;&gt;1,SUMIFS(History_Q!$D$2:$D$1000,History_Q!$C$2:$C$1000,"adjusted_ebitda",History_Q!$B$2:$B$1000,(SUMIFS(History_Q!$B$2:$B$1000,History_Q!$A$2:$A$1000,B$6,History_Q!$C$2:$C$1000,"adjusted_ebitda")-4),History_Q!$E$2:$E$1000,"$m",History_Q!$G$2:$G$1000,"populated")=0),"",SUMIFS(History_Q!$D$2:$D$1000,History_Q!$C$2:$C$1000,"adjusted_ebitda",History_Q!$B$2:$B$1000,(SUMIFS(History_Q!$B$2:$B$1000,History_Q!$A$2:$A$1000,B$6,History_Q!$C$2:$C$1000,"adjusted_ebitda")),History_Q!$E$2:$E$1000,"$m",History_Q!$G$2:$G$1000,"populated")/SUMIFS(History_Q!$D$2:$D$1000,History_Q!$C$2:$C$1000,"adjusted_ebitda",History_Q!$B$2:$B$1000,(SUMIFS(History_Q!$B$2:$B$1000,History_Q!$A$2:$A$1000,B$6,History_Q!$C$2:$C$1000,"adjusted_ebitda")-4),History_Q!$E$2:$E$1000,"$m",History_Q!$G$2:$G$1000,"populated")-1)</f>
        <v/>
      </c>
      <c r="C28" s="451">
        <f>IF(OR(C$6="",COUNTIFS(History_Q!$C$2:$C$1000,"adjusted_ebitda",History_Q!$B$2:$B$1000,(SUMIFS(History_Q!$B$2:$B$1000,History_Q!$A$2:$A$1000,C$6,History_Q!$C$2:$C$1000,"adjusted_ebitda")),History_Q!$E$2:$E$1000,"$m",History_Q!$G$2:$G$1000,"populated")&lt;&gt;1,COUNTIFS(History_Q!$C$2:$C$1000,"adjusted_ebitda",History_Q!$B$2:$B$1000,(SUMIFS(History_Q!$B$2:$B$1000,History_Q!$A$2:$A$1000,C$6,History_Q!$C$2:$C$1000,"adjusted_ebitda")-4),History_Q!$E$2:$E$1000,"$m",History_Q!$G$2:$G$1000,"populated")&lt;&gt;1,SUMIFS(History_Q!$D$2:$D$1000,History_Q!$C$2:$C$1000,"adjusted_ebitda",History_Q!$B$2:$B$1000,(SUMIFS(History_Q!$B$2:$B$1000,History_Q!$A$2:$A$1000,C$6,History_Q!$C$2:$C$1000,"adjusted_ebitda")-4),History_Q!$E$2:$E$1000,"$m",History_Q!$G$2:$G$1000,"populated")=0),"",SUMIFS(History_Q!$D$2:$D$1000,History_Q!$C$2:$C$1000,"adjusted_ebitda",History_Q!$B$2:$B$1000,(SUMIFS(History_Q!$B$2:$B$1000,History_Q!$A$2:$A$1000,C$6,History_Q!$C$2:$C$1000,"adjusted_ebitda")),History_Q!$E$2:$E$1000,"$m",History_Q!$G$2:$G$1000,"populated")/SUMIFS(History_Q!$D$2:$D$1000,History_Q!$C$2:$C$1000,"adjusted_ebitda",History_Q!$B$2:$B$1000,(SUMIFS(History_Q!$B$2:$B$1000,History_Q!$A$2:$A$1000,C$6,History_Q!$C$2:$C$1000,"adjusted_ebitda")-4),History_Q!$E$2:$E$1000,"$m",History_Q!$G$2:$G$1000,"populated")-1)</f>
        <v/>
      </c>
      <c r="D28" s="451">
        <f>IF(OR(D$6="",COUNTIFS(History_Q!$C$2:$C$1000,"adjusted_ebitda",History_Q!$B$2:$B$1000,(SUMIFS(History_Q!$B$2:$B$1000,History_Q!$A$2:$A$1000,D$6,History_Q!$C$2:$C$1000,"adjusted_ebitda")),History_Q!$E$2:$E$1000,"$m",History_Q!$G$2:$G$1000,"populated")&lt;&gt;1,COUNTIFS(History_Q!$C$2:$C$1000,"adjusted_ebitda",History_Q!$B$2:$B$1000,(SUMIFS(History_Q!$B$2:$B$1000,History_Q!$A$2:$A$1000,D$6,History_Q!$C$2:$C$1000,"adjusted_ebitda")-4),History_Q!$E$2:$E$1000,"$m",History_Q!$G$2:$G$1000,"populated")&lt;&gt;1,SUMIFS(History_Q!$D$2:$D$1000,History_Q!$C$2:$C$1000,"adjusted_ebitda",History_Q!$B$2:$B$1000,(SUMIFS(History_Q!$B$2:$B$1000,History_Q!$A$2:$A$1000,D$6,History_Q!$C$2:$C$1000,"adjusted_ebitda")-4),History_Q!$E$2:$E$1000,"$m",History_Q!$G$2:$G$1000,"populated")=0),"",SUMIFS(History_Q!$D$2:$D$1000,History_Q!$C$2:$C$1000,"adjusted_ebitda",History_Q!$B$2:$B$1000,(SUMIFS(History_Q!$B$2:$B$1000,History_Q!$A$2:$A$1000,D$6,History_Q!$C$2:$C$1000,"adjusted_ebitda")),History_Q!$E$2:$E$1000,"$m",History_Q!$G$2:$G$1000,"populated")/SUMIFS(History_Q!$D$2:$D$1000,History_Q!$C$2:$C$1000,"adjusted_ebitda",History_Q!$B$2:$B$1000,(SUMIFS(History_Q!$B$2:$B$1000,History_Q!$A$2:$A$1000,D$6,History_Q!$C$2:$C$1000,"adjusted_ebitda")-4),History_Q!$E$2:$E$1000,"$m",History_Q!$G$2:$G$1000,"populated")-1)</f>
        <v/>
      </c>
      <c r="E28" s="451">
        <f>IF(OR(E$6="",COUNTIFS(History_Q!$C$2:$C$1000,"adjusted_ebitda",History_Q!$B$2:$B$1000,(SUMIFS(History_Q!$B$2:$B$1000,History_Q!$A$2:$A$1000,E$6,History_Q!$C$2:$C$1000,"adjusted_ebitda")),History_Q!$E$2:$E$1000,"$m",History_Q!$G$2:$G$1000,"populated")&lt;&gt;1,COUNTIFS(History_Q!$C$2:$C$1000,"adjusted_ebitda",History_Q!$B$2:$B$1000,(SUMIFS(History_Q!$B$2:$B$1000,History_Q!$A$2:$A$1000,E$6,History_Q!$C$2:$C$1000,"adjusted_ebitda")-4),History_Q!$E$2:$E$1000,"$m",History_Q!$G$2:$G$1000,"populated")&lt;&gt;1,SUMIFS(History_Q!$D$2:$D$1000,History_Q!$C$2:$C$1000,"adjusted_ebitda",History_Q!$B$2:$B$1000,(SUMIFS(History_Q!$B$2:$B$1000,History_Q!$A$2:$A$1000,E$6,History_Q!$C$2:$C$1000,"adjusted_ebitda")-4),History_Q!$E$2:$E$1000,"$m",History_Q!$G$2:$G$1000,"populated")=0),"",SUMIFS(History_Q!$D$2:$D$1000,History_Q!$C$2:$C$1000,"adjusted_ebitda",History_Q!$B$2:$B$1000,(SUMIFS(History_Q!$B$2:$B$1000,History_Q!$A$2:$A$1000,E$6,History_Q!$C$2:$C$1000,"adjusted_ebitda")),History_Q!$E$2:$E$1000,"$m",History_Q!$G$2:$G$1000,"populated")/SUMIFS(History_Q!$D$2:$D$1000,History_Q!$C$2:$C$1000,"adjusted_ebitda",History_Q!$B$2:$B$1000,(SUMIFS(History_Q!$B$2:$B$1000,History_Q!$A$2:$A$1000,E$6,History_Q!$C$2:$C$1000,"adjusted_ebitda")-4),History_Q!$E$2:$E$1000,"$m",History_Q!$G$2:$G$1000,"populated")-1)</f>
        <v/>
      </c>
      <c r="F28" s="451">
        <f>IF(OR(F$6="",COUNTIFS(History_Q!$C$2:$C$1000,"adjusted_ebitda",History_Q!$B$2:$B$1000,(SUMIFS(History_Q!$B$2:$B$1000,History_Q!$A$2:$A$1000,F$6,History_Q!$C$2:$C$1000,"adjusted_ebitda")),History_Q!$E$2:$E$1000,"$m",History_Q!$G$2:$G$1000,"populated")&lt;&gt;1,COUNTIFS(History_Q!$C$2:$C$1000,"adjusted_ebitda",History_Q!$B$2:$B$1000,(SUMIFS(History_Q!$B$2:$B$1000,History_Q!$A$2:$A$1000,F$6,History_Q!$C$2:$C$1000,"adjusted_ebitda")-4),History_Q!$E$2:$E$1000,"$m",History_Q!$G$2:$G$1000,"populated")&lt;&gt;1,SUMIFS(History_Q!$D$2:$D$1000,History_Q!$C$2:$C$1000,"adjusted_ebitda",History_Q!$B$2:$B$1000,(SUMIFS(History_Q!$B$2:$B$1000,History_Q!$A$2:$A$1000,F$6,History_Q!$C$2:$C$1000,"adjusted_ebitda")-4),History_Q!$E$2:$E$1000,"$m",History_Q!$G$2:$G$1000,"populated")=0),"",SUMIFS(History_Q!$D$2:$D$1000,History_Q!$C$2:$C$1000,"adjusted_ebitda",History_Q!$B$2:$B$1000,(SUMIFS(History_Q!$B$2:$B$1000,History_Q!$A$2:$A$1000,F$6,History_Q!$C$2:$C$1000,"adjusted_ebitda")),History_Q!$E$2:$E$1000,"$m",History_Q!$G$2:$G$1000,"populated")/SUMIFS(History_Q!$D$2:$D$1000,History_Q!$C$2:$C$1000,"adjusted_ebitda",History_Q!$B$2:$B$1000,(SUMIFS(History_Q!$B$2:$B$1000,History_Q!$A$2:$A$1000,F$6,History_Q!$C$2:$C$1000,"adjusted_ebitda")-4),History_Q!$E$2:$E$1000,"$m",History_Q!$G$2:$G$1000,"populated")-1)</f>
        <v/>
      </c>
      <c r="G28" s="451">
        <f>IF(OR(G$6="",COUNTIFS(History_Q!$C$2:$C$1000,"adjusted_ebitda",History_Q!$B$2:$B$1000,(SUMIFS(History_Q!$B$2:$B$1000,History_Q!$A$2:$A$1000,G$6,History_Q!$C$2:$C$1000,"adjusted_ebitda")),History_Q!$E$2:$E$1000,"$m",History_Q!$G$2:$G$1000,"populated")&lt;&gt;1,COUNTIFS(History_Q!$C$2:$C$1000,"adjusted_ebitda",History_Q!$B$2:$B$1000,(SUMIFS(History_Q!$B$2:$B$1000,History_Q!$A$2:$A$1000,G$6,History_Q!$C$2:$C$1000,"adjusted_ebitda")-4),History_Q!$E$2:$E$1000,"$m",History_Q!$G$2:$G$1000,"populated")&lt;&gt;1,SUMIFS(History_Q!$D$2:$D$1000,History_Q!$C$2:$C$1000,"adjusted_ebitda",History_Q!$B$2:$B$1000,(SUMIFS(History_Q!$B$2:$B$1000,History_Q!$A$2:$A$1000,G$6,History_Q!$C$2:$C$1000,"adjusted_ebitda")-4),History_Q!$E$2:$E$1000,"$m",History_Q!$G$2:$G$1000,"populated")=0),"",SUMIFS(History_Q!$D$2:$D$1000,History_Q!$C$2:$C$1000,"adjusted_ebitda",History_Q!$B$2:$B$1000,(SUMIFS(History_Q!$B$2:$B$1000,History_Q!$A$2:$A$1000,G$6,History_Q!$C$2:$C$1000,"adjusted_ebitda")),History_Q!$E$2:$E$1000,"$m",History_Q!$G$2:$G$1000,"populated")/SUMIFS(History_Q!$D$2:$D$1000,History_Q!$C$2:$C$1000,"adjusted_ebitda",History_Q!$B$2:$B$1000,(SUMIFS(History_Q!$B$2:$B$1000,History_Q!$A$2:$A$1000,G$6,History_Q!$C$2:$C$1000,"adjusted_ebitda")-4),History_Q!$E$2:$E$1000,"$m",History_Q!$G$2:$G$1000,"populated")-1)</f>
        <v/>
      </c>
      <c r="H28" s="451">
        <f>IF(OR(H$6="",COUNTIFS(History_Q!$C$2:$C$1000,"adjusted_ebitda",History_Q!$B$2:$B$1000,(SUMIFS(History_Q!$B$2:$B$1000,History_Q!$A$2:$A$1000,H$6,History_Q!$C$2:$C$1000,"adjusted_ebitda")),History_Q!$E$2:$E$1000,"$m",History_Q!$G$2:$G$1000,"populated")&lt;&gt;1,COUNTIFS(History_Q!$C$2:$C$1000,"adjusted_ebitda",History_Q!$B$2:$B$1000,(SUMIFS(History_Q!$B$2:$B$1000,History_Q!$A$2:$A$1000,H$6,History_Q!$C$2:$C$1000,"adjusted_ebitda")-4),History_Q!$E$2:$E$1000,"$m",History_Q!$G$2:$G$1000,"populated")&lt;&gt;1,SUMIFS(History_Q!$D$2:$D$1000,History_Q!$C$2:$C$1000,"adjusted_ebitda",History_Q!$B$2:$B$1000,(SUMIFS(History_Q!$B$2:$B$1000,History_Q!$A$2:$A$1000,H$6,History_Q!$C$2:$C$1000,"adjusted_ebitda")-4),History_Q!$E$2:$E$1000,"$m",History_Q!$G$2:$G$1000,"populated")=0),"",SUMIFS(History_Q!$D$2:$D$1000,History_Q!$C$2:$C$1000,"adjusted_ebitda",History_Q!$B$2:$B$1000,(SUMIFS(History_Q!$B$2:$B$1000,History_Q!$A$2:$A$1000,H$6,History_Q!$C$2:$C$1000,"adjusted_ebitda")),History_Q!$E$2:$E$1000,"$m",History_Q!$G$2:$G$1000,"populated")/SUMIFS(History_Q!$D$2:$D$1000,History_Q!$C$2:$C$1000,"adjusted_ebitda",History_Q!$B$2:$B$1000,(SUMIFS(History_Q!$B$2:$B$1000,History_Q!$A$2:$A$1000,H$6,History_Q!$C$2:$C$1000,"adjusted_ebitda")-4),History_Q!$E$2:$E$1000,"$m",History_Q!$G$2:$G$1000,"populated")-1)</f>
        <v/>
      </c>
      <c r="I28" s="451">
        <f>IF(OR(I$6="",COUNTIFS(History_Q!$C$2:$C$1000,"adjusted_ebitda",History_Q!$B$2:$B$1000,(SUMIFS(History_Q!$B$2:$B$1000,History_Q!$A$2:$A$1000,I$6,History_Q!$C$2:$C$1000,"adjusted_ebitda")),History_Q!$E$2:$E$1000,"$m",History_Q!$G$2:$G$1000,"populated")&lt;&gt;1,COUNTIFS(History_Q!$C$2:$C$1000,"adjusted_ebitda",History_Q!$B$2:$B$1000,(SUMIFS(History_Q!$B$2:$B$1000,History_Q!$A$2:$A$1000,I$6,History_Q!$C$2:$C$1000,"adjusted_ebitda")-4),History_Q!$E$2:$E$1000,"$m",History_Q!$G$2:$G$1000,"populated")&lt;&gt;1,SUMIFS(History_Q!$D$2:$D$1000,History_Q!$C$2:$C$1000,"adjusted_ebitda",History_Q!$B$2:$B$1000,(SUMIFS(History_Q!$B$2:$B$1000,History_Q!$A$2:$A$1000,I$6,History_Q!$C$2:$C$1000,"adjusted_ebitda")-4),History_Q!$E$2:$E$1000,"$m",History_Q!$G$2:$G$1000,"populated")=0),"",SUMIFS(History_Q!$D$2:$D$1000,History_Q!$C$2:$C$1000,"adjusted_ebitda",History_Q!$B$2:$B$1000,(SUMIFS(History_Q!$B$2:$B$1000,History_Q!$A$2:$A$1000,I$6,History_Q!$C$2:$C$1000,"adjusted_ebitda")),History_Q!$E$2:$E$1000,"$m",History_Q!$G$2:$G$1000,"populated")/SUMIFS(History_Q!$D$2:$D$1000,History_Q!$C$2:$C$1000,"adjusted_ebitda",History_Q!$B$2:$B$1000,(SUMIFS(History_Q!$B$2:$B$1000,History_Q!$A$2:$A$1000,I$6,History_Q!$C$2:$C$1000,"adjusted_ebitda")-4),History_Q!$E$2:$E$1000,"$m",History_Q!$G$2:$G$1000,"populated")-1)</f>
        <v/>
      </c>
      <c r="J28" s="451">
        <f>IF(OR(J$6="",COUNTIFS(History_Q!$C$2:$C$1000,"adjusted_ebitda",History_Q!$B$2:$B$1000,(SUMIFS(History_Q!$B$2:$B$1000,History_Q!$A$2:$A$1000,J$6,History_Q!$C$2:$C$1000,"adjusted_ebitda")),History_Q!$E$2:$E$1000,"$m",History_Q!$G$2:$G$1000,"populated")&lt;&gt;1,COUNTIFS(History_Q!$C$2:$C$1000,"adjusted_ebitda",History_Q!$B$2:$B$1000,(SUMIFS(History_Q!$B$2:$B$1000,History_Q!$A$2:$A$1000,J$6,History_Q!$C$2:$C$1000,"adjusted_ebitda")-4),History_Q!$E$2:$E$1000,"$m",History_Q!$G$2:$G$1000,"populated")&lt;&gt;1,SUMIFS(History_Q!$D$2:$D$1000,History_Q!$C$2:$C$1000,"adjusted_ebitda",History_Q!$B$2:$B$1000,(SUMIFS(History_Q!$B$2:$B$1000,History_Q!$A$2:$A$1000,J$6,History_Q!$C$2:$C$1000,"adjusted_ebitda")-4),History_Q!$E$2:$E$1000,"$m",History_Q!$G$2:$G$1000,"populated")=0),"",SUMIFS(History_Q!$D$2:$D$1000,History_Q!$C$2:$C$1000,"adjusted_ebitda",History_Q!$B$2:$B$1000,(SUMIFS(History_Q!$B$2:$B$1000,History_Q!$A$2:$A$1000,J$6,History_Q!$C$2:$C$1000,"adjusted_ebitda")),History_Q!$E$2:$E$1000,"$m",History_Q!$G$2:$G$1000,"populated")/SUMIFS(History_Q!$D$2:$D$1000,History_Q!$C$2:$C$1000,"adjusted_ebitda",History_Q!$B$2:$B$1000,(SUMIFS(History_Q!$B$2:$B$1000,History_Q!$A$2:$A$1000,J$6,History_Q!$C$2:$C$1000,"adjusted_ebitda")-4),History_Q!$E$2:$E$1000,"$m",History_Q!$G$2:$G$1000,"populated")-1)</f>
        <v/>
      </c>
      <c r="K28" s="451">
        <f>IF(OR(K$6="",COUNTIFS(History_Q!$C$2:$C$1000,"adjusted_ebitda",History_Q!$B$2:$B$1000,(SUMIFS(History_Q!$B$2:$B$1000,History_Q!$A$2:$A$1000,K$6,History_Q!$C$2:$C$1000,"adjusted_ebitda")),History_Q!$E$2:$E$1000,"$m",History_Q!$G$2:$G$1000,"populated")&lt;&gt;1,COUNTIFS(History_Q!$C$2:$C$1000,"adjusted_ebitda",History_Q!$B$2:$B$1000,(SUMIFS(History_Q!$B$2:$B$1000,History_Q!$A$2:$A$1000,K$6,History_Q!$C$2:$C$1000,"adjusted_ebitda")-4),History_Q!$E$2:$E$1000,"$m",History_Q!$G$2:$G$1000,"populated")&lt;&gt;1,SUMIFS(History_Q!$D$2:$D$1000,History_Q!$C$2:$C$1000,"adjusted_ebitda",History_Q!$B$2:$B$1000,(SUMIFS(History_Q!$B$2:$B$1000,History_Q!$A$2:$A$1000,K$6,History_Q!$C$2:$C$1000,"adjusted_ebitda")-4),History_Q!$E$2:$E$1000,"$m",History_Q!$G$2:$G$1000,"populated")=0),"",SUMIFS(History_Q!$D$2:$D$1000,History_Q!$C$2:$C$1000,"adjusted_ebitda",History_Q!$B$2:$B$1000,(SUMIFS(History_Q!$B$2:$B$1000,History_Q!$A$2:$A$1000,K$6,History_Q!$C$2:$C$1000,"adjusted_ebitda")),History_Q!$E$2:$E$1000,"$m",History_Q!$G$2:$G$1000,"populated")/SUMIFS(History_Q!$D$2:$D$1000,History_Q!$C$2:$C$1000,"adjusted_ebitda",History_Q!$B$2:$B$1000,(SUMIFS(History_Q!$B$2:$B$1000,History_Q!$A$2:$A$1000,K$6,History_Q!$C$2:$C$1000,"adjusted_ebitda")-4),History_Q!$E$2:$E$1000,"$m",History_Q!$G$2:$G$1000,"populated")-1)</f>
        <v/>
      </c>
      <c r="L28" s="451">
        <f>IF(OR(L$6="",COUNTIFS(History_Q!$C$2:$C$1000,"adjusted_ebitda",History_Q!$B$2:$B$1000,(SUMIFS(History_Q!$B$2:$B$1000,History_Q!$A$2:$A$1000,L$6,History_Q!$C$2:$C$1000,"adjusted_ebitda")),History_Q!$E$2:$E$1000,"$m",History_Q!$G$2:$G$1000,"populated")&lt;&gt;1,COUNTIFS(History_Q!$C$2:$C$1000,"adjusted_ebitda",History_Q!$B$2:$B$1000,(SUMIFS(History_Q!$B$2:$B$1000,History_Q!$A$2:$A$1000,L$6,History_Q!$C$2:$C$1000,"adjusted_ebitda")-4),History_Q!$E$2:$E$1000,"$m",History_Q!$G$2:$G$1000,"populated")&lt;&gt;1,SUMIFS(History_Q!$D$2:$D$1000,History_Q!$C$2:$C$1000,"adjusted_ebitda",History_Q!$B$2:$B$1000,(SUMIFS(History_Q!$B$2:$B$1000,History_Q!$A$2:$A$1000,L$6,History_Q!$C$2:$C$1000,"adjusted_ebitda")-4),History_Q!$E$2:$E$1000,"$m",History_Q!$G$2:$G$1000,"populated")=0),"",SUMIFS(History_Q!$D$2:$D$1000,History_Q!$C$2:$C$1000,"adjusted_ebitda",History_Q!$B$2:$B$1000,(SUMIFS(History_Q!$B$2:$B$1000,History_Q!$A$2:$A$1000,L$6,History_Q!$C$2:$C$1000,"adjusted_ebitda")),History_Q!$E$2:$E$1000,"$m",History_Q!$G$2:$G$1000,"populated")/SUMIFS(History_Q!$D$2:$D$1000,History_Q!$C$2:$C$1000,"adjusted_ebitda",History_Q!$B$2:$B$1000,(SUMIFS(History_Q!$B$2:$B$1000,History_Q!$A$2:$A$1000,L$6,History_Q!$C$2:$C$1000,"adjusted_ebitda")-4),History_Q!$E$2:$E$1000,"$m",History_Q!$G$2:$G$1000,"populated")-1)</f>
        <v/>
      </c>
      <c r="M28" s="451">
        <f>IF(OR(M$6="",COUNTIFS(History_Q!$C$2:$C$1000,"adjusted_ebitda",History_Q!$B$2:$B$1000,(SUMIFS(History_Q!$B$2:$B$1000,History_Q!$A$2:$A$1000,M$6,History_Q!$C$2:$C$1000,"adjusted_ebitda")),History_Q!$E$2:$E$1000,"$m",History_Q!$G$2:$G$1000,"populated")&lt;&gt;1,COUNTIFS(History_Q!$C$2:$C$1000,"adjusted_ebitda",History_Q!$B$2:$B$1000,(SUMIFS(History_Q!$B$2:$B$1000,History_Q!$A$2:$A$1000,M$6,History_Q!$C$2:$C$1000,"adjusted_ebitda")-4),History_Q!$E$2:$E$1000,"$m",History_Q!$G$2:$G$1000,"populated")&lt;&gt;1,SUMIFS(History_Q!$D$2:$D$1000,History_Q!$C$2:$C$1000,"adjusted_ebitda",History_Q!$B$2:$B$1000,(SUMIFS(History_Q!$B$2:$B$1000,History_Q!$A$2:$A$1000,M$6,History_Q!$C$2:$C$1000,"adjusted_ebitda")-4),History_Q!$E$2:$E$1000,"$m",History_Q!$G$2:$G$1000,"populated")=0),"",SUMIFS(History_Q!$D$2:$D$1000,History_Q!$C$2:$C$1000,"adjusted_ebitda",History_Q!$B$2:$B$1000,(SUMIFS(History_Q!$B$2:$B$1000,History_Q!$A$2:$A$1000,M$6,History_Q!$C$2:$C$1000,"adjusted_ebitda")),History_Q!$E$2:$E$1000,"$m",History_Q!$G$2:$G$1000,"populated")/SUMIFS(History_Q!$D$2:$D$1000,History_Q!$C$2:$C$1000,"adjusted_ebitda",History_Q!$B$2:$B$1000,(SUMIFS(History_Q!$B$2:$B$1000,History_Q!$A$2:$A$1000,M$6,History_Q!$C$2:$C$1000,"adjusted_ebitda")-4),History_Q!$E$2:$E$1000,"$m",History_Q!$G$2:$G$1000,"populated")-1)</f>
        <v/>
      </c>
      <c r="N28" s="22" t="n"/>
      <c r="O28" s="448" t="inlineStr">
        <is>
          <t>Metric</t>
        </is>
      </c>
      <c r="P28" s="46" t="n"/>
      <c r="Q28" s="448" t="inlineStr">
        <is>
          <t>Stated in</t>
        </is>
      </c>
      <c r="R28" s="448" t="inlineStr">
        <is>
          <t>Applies to</t>
        </is>
      </c>
      <c r="S28" s="448" t="inlineStr">
        <is>
          <t>Guidance</t>
        </is>
      </c>
      <c r="T28" s="47" t="n"/>
      <c r="U28" s="47" t="n"/>
      <c r="V28" s="47" t="n"/>
      <c r="W28" s="46" t="n"/>
      <c r="X28" s="449" t="inlineStr">
        <is>
          <t>Unit</t>
        </is>
      </c>
      <c r="Y28" s="449" t="inlineStr">
        <is>
          <t>Published</t>
        </is>
      </c>
      <c r="Z28" s="449" t="inlineStr">
        <is>
          <t>Evidence</t>
        </is>
      </c>
      <c r="AA28" s="448" t="inlineStr">
        <is>
          <t>Role / source status</t>
        </is>
      </c>
      <c r="AB28" s="47" t="n"/>
      <c r="AC28" s="46" t="n"/>
      <c r="AD28" s="22" t="n"/>
      <c r="AE28" s="22" t="n"/>
      <c r="AF28" s="22" t="n"/>
      <c r="AG28" s="22" t="n"/>
      <c r="AH28" s="22" t="n"/>
      <c r="AI28" s="22" t="n"/>
    </row>
    <row r="29" ht="19.5" customHeight="1">
      <c r="A29" s="48" t="inlineStr">
        <is>
          <t>Adjusted EBITDA margin (TTM)</t>
        </is>
      </c>
      <c r="B29" s="451">
        <f>IF(OR(B25="",B10="",B10=0),"",B25/B10)</f>
        <v/>
      </c>
      <c r="C29" s="451">
        <f>IF(OR(C25="",C10="",C10=0),"",C25/C10)</f>
        <v/>
      </c>
      <c r="D29" s="451">
        <f>IF(OR(D25="",D10="",D10=0),"",D25/D10)</f>
        <v/>
      </c>
      <c r="E29" s="451">
        <f>IF(OR(E25="",E10="",E10=0),"",E25/E10)</f>
        <v/>
      </c>
      <c r="F29" s="451">
        <f>IF(OR(F25="",F10="",F10=0),"",F25/F10)</f>
        <v/>
      </c>
      <c r="G29" s="451">
        <f>IF(OR(G25="",G10="",G10=0),"",G25/G10)</f>
        <v/>
      </c>
      <c r="H29" s="451">
        <f>IF(OR(H25="",H10="",H10=0),"",H25/H10)</f>
        <v/>
      </c>
      <c r="I29" s="451">
        <f>IF(OR(I25="",I10="",I10=0),"",I25/I10)</f>
        <v/>
      </c>
      <c r="J29" s="451">
        <f>IF(OR(J25="",J10="",J10=0),"",J25/J10)</f>
        <v/>
      </c>
      <c r="K29" s="451">
        <f>IF(OR(K25="",K10="",K10=0),"",K25/K10)</f>
        <v/>
      </c>
      <c r="L29" s="451">
        <f>IF(OR(L25="",L10="",L10=0),"",L25/L10)</f>
        <v/>
      </c>
      <c r="M29" s="451">
        <f>IF(OR(M25="",M10="",M10=0),"",M25/M10)</f>
        <v/>
      </c>
      <c r="N29" s="22" t="n"/>
      <c r="O29" s="52" t="n"/>
      <c r="P29" s="46" t="n"/>
      <c r="Q29" s="52" t="n"/>
      <c r="R29" s="52" t="n"/>
      <c r="S29" s="52" t="n"/>
      <c r="T29" s="47" t="n"/>
      <c r="U29" s="47" t="n"/>
      <c r="V29" s="47" t="n"/>
      <c r="W29" s="46" t="n"/>
      <c r="AA29" s="52" t="n"/>
      <c r="AB29" s="47" t="n"/>
      <c r="AC29" s="46" t="n"/>
      <c r="AD29" s="22" t="n"/>
      <c r="AE29" s="22" t="n"/>
      <c r="AF29" s="22" t="n"/>
      <c r="AG29" s="22" t="n"/>
      <c r="AH29" s="22" t="n"/>
      <c r="AI29" s="22" t="n"/>
    </row>
    <row r="30" ht="19.5" customHeight="1">
      <c r="A30" s="48" t="inlineStr">
        <is>
          <t>Adj EBIT (TTM)</t>
        </is>
      </c>
      <c r="B30" s="62" t="n"/>
      <c r="C30" s="62" t="n"/>
      <c r="D30" s="62" t="n"/>
      <c r="E30" s="62" t="n"/>
      <c r="F30" s="62" t="n"/>
      <c r="G30" s="62" t="n"/>
      <c r="H30" s="62" t="n"/>
      <c r="I30" s="62" t="n"/>
      <c r="J30" s="62" t="n"/>
      <c r="K30" s="62" t="n"/>
      <c r="L30" s="62" t="n"/>
      <c r="M30" s="62" t="n"/>
      <c r="N30" s="22" t="n"/>
      <c r="O30" s="53" t="n"/>
      <c r="P30" s="46" t="n"/>
      <c r="Q30" s="53" t="n"/>
      <c r="R30" s="53" t="n"/>
      <c r="S30" s="53" t="n"/>
      <c r="T30" s="47" t="n"/>
      <c r="U30" s="47" t="n"/>
      <c r="V30" s="47" t="n"/>
      <c r="W30" s="46" t="n"/>
      <c r="AA30" s="53" t="n"/>
      <c r="AB30" s="47" t="n"/>
      <c r="AC30" s="46" t="n"/>
      <c r="AD30" s="22" t="n"/>
      <c r="AE30" s="22" t="n"/>
      <c r="AF30" s="22" t="n"/>
      <c r="AG30" s="22" t="n"/>
      <c r="AH30" s="22" t="n"/>
      <c r="AI30" s="22" t="n"/>
    </row>
    <row r="31" ht="19.5" customHeight="1">
      <c r="A31" s="96" t="inlineStr">
        <is>
          <t>GAAP earnings</t>
        </is>
      </c>
      <c r="B31" s="104" t="n"/>
      <c r="C31" s="104" t="n"/>
      <c r="D31" s="104" t="n"/>
      <c r="E31" s="104" t="n"/>
      <c r="F31" s="104" t="n"/>
      <c r="G31" s="104" t="n"/>
      <c r="H31" s="104" t="n"/>
      <c r="I31" s="104" t="n"/>
      <c r="J31" s="104" t="n"/>
      <c r="K31" s="104" t="n"/>
      <c r="L31" s="104" t="n"/>
      <c r="M31" s="105" t="n"/>
      <c r="N31" s="22" t="n"/>
      <c r="O31" s="52" t="n"/>
      <c r="P31" s="46" t="n"/>
      <c r="Q31" s="52" t="n"/>
      <c r="R31" s="52" t="n"/>
      <c r="S31" s="52" t="n"/>
      <c r="T31" s="47" t="n"/>
      <c r="U31" s="47" t="n"/>
      <c r="V31" s="47" t="n"/>
      <c r="W31" s="46" t="n"/>
      <c r="AA31" s="52" t="n"/>
      <c r="AB31" s="47" t="n"/>
      <c r="AC31" s="46" t="n"/>
      <c r="AD31" s="22" t="n"/>
      <c r="AE31" s="22" t="n"/>
      <c r="AF31" s="22" t="n"/>
      <c r="AG31" s="22" t="n"/>
      <c r="AH31" s="22" t="n"/>
      <c r="AI31" s="22" t="n"/>
    </row>
    <row r="32" ht="19.5" customHeight="1">
      <c r="A32" s="48" t="inlineStr">
        <is>
          <t>EBIT</t>
        </is>
      </c>
      <c r="B32" s="62" t="n"/>
      <c r="C32" s="62" t="n"/>
      <c r="D32" s="62" t="n"/>
      <c r="E32" s="62" t="n"/>
      <c r="F32" s="62" t="n"/>
      <c r="G32" s="62" t="n"/>
      <c r="H32" s="62" t="n"/>
      <c r="I32" s="62" t="n"/>
      <c r="J32" s="62" t="n"/>
      <c r="K32" s="62" t="n"/>
      <c r="L32" s="62" t="n"/>
      <c r="M32" s="62" t="n"/>
      <c r="N32" s="22" t="n"/>
      <c r="O32" s="53" t="n"/>
      <c r="P32" s="46" t="n"/>
      <c r="Q32" s="53" t="n"/>
      <c r="R32" s="53" t="n"/>
      <c r="S32" s="53" t="n"/>
      <c r="T32" s="47" t="n"/>
      <c r="U32" s="47" t="n"/>
      <c r="V32" s="47" t="n"/>
      <c r="W32" s="46" t="n"/>
      <c r="AA32" s="53" t="n"/>
      <c r="AB32" s="47" t="n"/>
      <c r="AC32" s="46" t="n"/>
      <c r="AD32" s="22" t="n"/>
      <c r="AE32" s="22" t="n"/>
      <c r="AF32" s="22" t="n"/>
      <c r="AG32" s="22" t="n"/>
      <c r="AH32" s="22" t="n"/>
      <c r="AI32" s="22" t="n"/>
    </row>
    <row r="33" ht="19.5" customHeight="1">
      <c r="A33" s="48" t="inlineStr">
        <is>
          <t>EBIT margin %</t>
        </is>
      </c>
      <c r="B33" s="451">
        <f>IF(OR(B32="",B9="",B9=0),"",B32/B9)</f>
        <v/>
      </c>
      <c r="C33" s="451">
        <f>IF(OR(C32="",C9="",C9=0),"",C32/C9)</f>
        <v/>
      </c>
      <c r="D33" s="451">
        <f>IF(OR(D32="",D9="",D9=0),"",D32/D9)</f>
        <v/>
      </c>
      <c r="E33" s="451">
        <f>IF(OR(E32="",E9="",E9=0),"",E32/E9)</f>
        <v/>
      </c>
      <c r="F33" s="451">
        <f>IF(OR(F32="",F9="",F9=0),"",F32/F9)</f>
        <v/>
      </c>
      <c r="G33" s="451">
        <f>IF(OR(G32="",G9="",G9=0),"",G32/G9)</f>
        <v/>
      </c>
      <c r="H33" s="451">
        <f>IF(OR(H32="",H9="",H9=0),"",H32/H9)</f>
        <v/>
      </c>
      <c r="I33" s="451">
        <f>IF(OR(I32="",I9="",I9=0),"",I32/I9)</f>
        <v/>
      </c>
      <c r="J33" s="451">
        <f>IF(OR(J32="",J9="",J9=0),"",J32/J9)</f>
        <v/>
      </c>
      <c r="K33" s="451">
        <f>IF(OR(K32="",K9="",K9=0),"",K32/K9)</f>
        <v/>
      </c>
      <c r="L33" s="451">
        <f>IF(OR(L32="",L9="",L9=0),"",L32/L9)</f>
        <v/>
      </c>
      <c r="M33" s="451">
        <f>IF(OR(M32="",M9="",M9=0),"",M32/M9)</f>
        <v/>
      </c>
      <c r="N33" s="22" t="n"/>
      <c r="O33" s="52" t="n"/>
      <c r="P33" s="46" t="n"/>
      <c r="Q33" s="52" t="n"/>
      <c r="R33" s="52" t="n"/>
      <c r="S33" s="52" t="n"/>
      <c r="T33" s="47" t="n"/>
      <c r="U33" s="47" t="n"/>
      <c r="V33" s="47" t="n"/>
      <c r="W33" s="46" t="n"/>
      <c r="AA33" s="52" t="n"/>
      <c r="AB33" s="47" t="n"/>
      <c r="AC33" s="46" t="n"/>
      <c r="AD33" s="22" t="n"/>
      <c r="AE33" s="22" t="n"/>
      <c r="AF33" s="22" t="n"/>
      <c r="AG33" s="22" t="n"/>
      <c r="AH33" s="22" t="n"/>
      <c r="AI33" s="22" t="n"/>
    </row>
    <row r="34" ht="19.5" customHeight="1">
      <c r="A34" s="48" t="inlineStr">
        <is>
          <t>EBIT (TTM)</t>
        </is>
      </c>
      <c r="B34" s="450">
        <f>IF(OR(B$6="",COUNTIFS(History_Q!$C$2:$C$1000,"operating_income",History_Q!$B$2:$B$1000,"&gt;="&amp;((SUMIFS(History_Q!$B$2:$B$1000,History_Q!$A$2:$A$1000,B$6,History_Q!$C$2:$C$1000,"operating_income"))-3),History_Q!$B$2:$B$1000,"&lt;="&amp;(SUMIFS(History_Q!$B$2:$B$1000,History_Q!$A$2:$A$1000,B$6,History_Q!$C$2:$C$1000,"operating_income")),History_Q!$E$2:$E$1000,"$m",History_Q!$G$2:$G$1000,"populated")&lt;&gt;4,_xlfn.MAXIFS(History_Q!$B$2:$B$1000,History_Q!$C$2:$C$1000,"operating_income",History_Q!$B$2:$B$1000,"&gt;="&amp;((SUMIFS(History_Q!$B$2:$B$1000,History_Q!$A$2:$A$1000,B$6,History_Q!$C$2:$C$1000,"operating_income"))-3),History_Q!$B$2:$B$1000,"&lt;="&amp;(SUMIFS(History_Q!$B$2:$B$1000,History_Q!$A$2:$A$1000,B$6,History_Q!$C$2:$C$1000,"operating_income")),History_Q!$E$2:$E$1000,"$m",History_Q!$G$2:$G$1000,"populated")-_xlfn.MINIFS(History_Q!$B$2:$B$1000,History_Q!$C$2:$C$1000,"operating_income",History_Q!$B$2:$B$1000,"&gt;="&amp;((SUMIFS(History_Q!$B$2:$B$1000,History_Q!$A$2:$A$1000,B$6,History_Q!$C$2:$C$1000,"operating_income"))-3),History_Q!$B$2:$B$1000,"&lt;="&amp;(SUMIFS(History_Q!$B$2:$B$1000,History_Q!$A$2:$A$1000,B$6,History_Q!$C$2:$C$1000,"operating_income")),History_Q!$E$2:$E$1000,"$m",History_Q!$G$2:$G$1000,"populated")&lt;&gt;3),"",SUMIFS(History_Q!$D$2:$D$1000,History_Q!$C$2:$C$1000,"operating_income",History_Q!$B$2:$B$1000,"&gt;="&amp;((SUMIFS(History_Q!$B$2:$B$1000,History_Q!$A$2:$A$1000,B$6,History_Q!$C$2:$C$1000,"operating_income"))-3),History_Q!$B$2:$B$1000,"&lt;="&amp;(SUMIFS(History_Q!$B$2:$B$1000,History_Q!$A$2:$A$1000,B$6,History_Q!$C$2:$C$1000,"operating_income")),History_Q!$E$2:$E$1000,"$m",History_Q!$G$2:$G$1000,"populated"))</f>
        <v/>
      </c>
      <c r="C34" s="450">
        <f>IF(OR(C$6="",COUNTIFS(History_Q!$C$2:$C$1000,"operating_income",History_Q!$B$2:$B$1000,"&gt;="&amp;((SUMIFS(History_Q!$B$2:$B$1000,History_Q!$A$2:$A$1000,C$6,History_Q!$C$2:$C$1000,"operating_income"))-3),History_Q!$B$2:$B$1000,"&lt;="&amp;(SUMIFS(History_Q!$B$2:$B$1000,History_Q!$A$2:$A$1000,C$6,History_Q!$C$2:$C$1000,"operating_income")),History_Q!$E$2:$E$1000,"$m",History_Q!$G$2:$G$1000,"populated")&lt;&gt;4,_xlfn.MAXIFS(History_Q!$B$2:$B$1000,History_Q!$C$2:$C$1000,"operating_income",History_Q!$B$2:$B$1000,"&gt;="&amp;((SUMIFS(History_Q!$B$2:$B$1000,History_Q!$A$2:$A$1000,C$6,History_Q!$C$2:$C$1000,"operating_income"))-3),History_Q!$B$2:$B$1000,"&lt;="&amp;(SUMIFS(History_Q!$B$2:$B$1000,History_Q!$A$2:$A$1000,C$6,History_Q!$C$2:$C$1000,"operating_income")),History_Q!$E$2:$E$1000,"$m",History_Q!$G$2:$G$1000,"populated")-_xlfn.MINIFS(History_Q!$B$2:$B$1000,History_Q!$C$2:$C$1000,"operating_income",History_Q!$B$2:$B$1000,"&gt;="&amp;((SUMIFS(History_Q!$B$2:$B$1000,History_Q!$A$2:$A$1000,C$6,History_Q!$C$2:$C$1000,"operating_income"))-3),History_Q!$B$2:$B$1000,"&lt;="&amp;(SUMIFS(History_Q!$B$2:$B$1000,History_Q!$A$2:$A$1000,C$6,History_Q!$C$2:$C$1000,"operating_income")),History_Q!$E$2:$E$1000,"$m",History_Q!$G$2:$G$1000,"populated")&lt;&gt;3),"",SUMIFS(History_Q!$D$2:$D$1000,History_Q!$C$2:$C$1000,"operating_income",History_Q!$B$2:$B$1000,"&gt;="&amp;((SUMIFS(History_Q!$B$2:$B$1000,History_Q!$A$2:$A$1000,C$6,History_Q!$C$2:$C$1000,"operating_income"))-3),History_Q!$B$2:$B$1000,"&lt;="&amp;(SUMIFS(History_Q!$B$2:$B$1000,History_Q!$A$2:$A$1000,C$6,History_Q!$C$2:$C$1000,"operating_income")),History_Q!$E$2:$E$1000,"$m",History_Q!$G$2:$G$1000,"populated"))</f>
        <v/>
      </c>
      <c r="D34" s="450">
        <f>IF(OR(D$6="",COUNTIFS(History_Q!$C$2:$C$1000,"operating_income",History_Q!$B$2:$B$1000,"&gt;="&amp;((SUMIFS(History_Q!$B$2:$B$1000,History_Q!$A$2:$A$1000,D$6,History_Q!$C$2:$C$1000,"operating_income"))-3),History_Q!$B$2:$B$1000,"&lt;="&amp;(SUMIFS(History_Q!$B$2:$B$1000,History_Q!$A$2:$A$1000,D$6,History_Q!$C$2:$C$1000,"operating_income")),History_Q!$E$2:$E$1000,"$m",History_Q!$G$2:$G$1000,"populated")&lt;&gt;4,_xlfn.MAXIFS(History_Q!$B$2:$B$1000,History_Q!$C$2:$C$1000,"operating_income",History_Q!$B$2:$B$1000,"&gt;="&amp;((SUMIFS(History_Q!$B$2:$B$1000,History_Q!$A$2:$A$1000,D$6,History_Q!$C$2:$C$1000,"operating_income"))-3),History_Q!$B$2:$B$1000,"&lt;="&amp;(SUMIFS(History_Q!$B$2:$B$1000,History_Q!$A$2:$A$1000,D$6,History_Q!$C$2:$C$1000,"operating_income")),History_Q!$E$2:$E$1000,"$m",History_Q!$G$2:$G$1000,"populated")-_xlfn.MINIFS(History_Q!$B$2:$B$1000,History_Q!$C$2:$C$1000,"operating_income",History_Q!$B$2:$B$1000,"&gt;="&amp;((SUMIFS(History_Q!$B$2:$B$1000,History_Q!$A$2:$A$1000,D$6,History_Q!$C$2:$C$1000,"operating_income"))-3),History_Q!$B$2:$B$1000,"&lt;="&amp;(SUMIFS(History_Q!$B$2:$B$1000,History_Q!$A$2:$A$1000,D$6,History_Q!$C$2:$C$1000,"operating_income")),History_Q!$E$2:$E$1000,"$m",History_Q!$G$2:$G$1000,"populated")&lt;&gt;3),"",SUMIFS(History_Q!$D$2:$D$1000,History_Q!$C$2:$C$1000,"operating_income",History_Q!$B$2:$B$1000,"&gt;="&amp;((SUMIFS(History_Q!$B$2:$B$1000,History_Q!$A$2:$A$1000,D$6,History_Q!$C$2:$C$1000,"operating_income"))-3),History_Q!$B$2:$B$1000,"&lt;="&amp;(SUMIFS(History_Q!$B$2:$B$1000,History_Q!$A$2:$A$1000,D$6,History_Q!$C$2:$C$1000,"operating_income")),History_Q!$E$2:$E$1000,"$m",History_Q!$G$2:$G$1000,"populated"))</f>
        <v/>
      </c>
      <c r="E34" s="450">
        <f>IF(OR(E$6="",COUNTIFS(History_Q!$C$2:$C$1000,"operating_income",History_Q!$B$2:$B$1000,"&gt;="&amp;((SUMIFS(History_Q!$B$2:$B$1000,History_Q!$A$2:$A$1000,E$6,History_Q!$C$2:$C$1000,"operating_income"))-3),History_Q!$B$2:$B$1000,"&lt;="&amp;(SUMIFS(History_Q!$B$2:$B$1000,History_Q!$A$2:$A$1000,E$6,History_Q!$C$2:$C$1000,"operating_income")),History_Q!$E$2:$E$1000,"$m",History_Q!$G$2:$G$1000,"populated")&lt;&gt;4,_xlfn.MAXIFS(History_Q!$B$2:$B$1000,History_Q!$C$2:$C$1000,"operating_income",History_Q!$B$2:$B$1000,"&gt;="&amp;((SUMIFS(History_Q!$B$2:$B$1000,History_Q!$A$2:$A$1000,E$6,History_Q!$C$2:$C$1000,"operating_income"))-3),History_Q!$B$2:$B$1000,"&lt;="&amp;(SUMIFS(History_Q!$B$2:$B$1000,History_Q!$A$2:$A$1000,E$6,History_Q!$C$2:$C$1000,"operating_income")),History_Q!$E$2:$E$1000,"$m",History_Q!$G$2:$G$1000,"populated")-_xlfn.MINIFS(History_Q!$B$2:$B$1000,History_Q!$C$2:$C$1000,"operating_income",History_Q!$B$2:$B$1000,"&gt;="&amp;((SUMIFS(History_Q!$B$2:$B$1000,History_Q!$A$2:$A$1000,E$6,History_Q!$C$2:$C$1000,"operating_income"))-3),History_Q!$B$2:$B$1000,"&lt;="&amp;(SUMIFS(History_Q!$B$2:$B$1000,History_Q!$A$2:$A$1000,E$6,History_Q!$C$2:$C$1000,"operating_income")),History_Q!$E$2:$E$1000,"$m",History_Q!$G$2:$G$1000,"populated")&lt;&gt;3),"",SUMIFS(History_Q!$D$2:$D$1000,History_Q!$C$2:$C$1000,"operating_income",History_Q!$B$2:$B$1000,"&gt;="&amp;((SUMIFS(History_Q!$B$2:$B$1000,History_Q!$A$2:$A$1000,E$6,History_Q!$C$2:$C$1000,"operating_income"))-3),History_Q!$B$2:$B$1000,"&lt;="&amp;(SUMIFS(History_Q!$B$2:$B$1000,History_Q!$A$2:$A$1000,E$6,History_Q!$C$2:$C$1000,"operating_income")),History_Q!$E$2:$E$1000,"$m",History_Q!$G$2:$G$1000,"populated"))</f>
        <v/>
      </c>
      <c r="F34" s="450">
        <f>IF(OR(F$6="",COUNTIFS(History_Q!$C$2:$C$1000,"operating_income",History_Q!$B$2:$B$1000,"&gt;="&amp;((SUMIFS(History_Q!$B$2:$B$1000,History_Q!$A$2:$A$1000,F$6,History_Q!$C$2:$C$1000,"operating_income"))-3),History_Q!$B$2:$B$1000,"&lt;="&amp;(SUMIFS(History_Q!$B$2:$B$1000,History_Q!$A$2:$A$1000,F$6,History_Q!$C$2:$C$1000,"operating_income")),History_Q!$E$2:$E$1000,"$m",History_Q!$G$2:$G$1000,"populated")&lt;&gt;4,_xlfn.MAXIFS(History_Q!$B$2:$B$1000,History_Q!$C$2:$C$1000,"operating_income",History_Q!$B$2:$B$1000,"&gt;="&amp;((SUMIFS(History_Q!$B$2:$B$1000,History_Q!$A$2:$A$1000,F$6,History_Q!$C$2:$C$1000,"operating_income"))-3),History_Q!$B$2:$B$1000,"&lt;="&amp;(SUMIFS(History_Q!$B$2:$B$1000,History_Q!$A$2:$A$1000,F$6,History_Q!$C$2:$C$1000,"operating_income")),History_Q!$E$2:$E$1000,"$m",History_Q!$G$2:$G$1000,"populated")-_xlfn.MINIFS(History_Q!$B$2:$B$1000,History_Q!$C$2:$C$1000,"operating_income",History_Q!$B$2:$B$1000,"&gt;="&amp;((SUMIFS(History_Q!$B$2:$B$1000,History_Q!$A$2:$A$1000,F$6,History_Q!$C$2:$C$1000,"operating_income"))-3),History_Q!$B$2:$B$1000,"&lt;="&amp;(SUMIFS(History_Q!$B$2:$B$1000,History_Q!$A$2:$A$1000,F$6,History_Q!$C$2:$C$1000,"operating_income")),History_Q!$E$2:$E$1000,"$m",History_Q!$G$2:$G$1000,"populated")&lt;&gt;3),"",SUMIFS(History_Q!$D$2:$D$1000,History_Q!$C$2:$C$1000,"operating_income",History_Q!$B$2:$B$1000,"&gt;="&amp;((SUMIFS(History_Q!$B$2:$B$1000,History_Q!$A$2:$A$1000,F$6,History_Q!$C$2:$C$1000,"operating_income"))-3),History_Q!$B$2:$B$1000,"&lt;="&amp;(SUMIFS(History_Q!$B$2:$B$1000,History_Q!$A$2:$A$1000,F$6,History_Q!$C$2:$C$1000,"operating_income")),History_Q!$E$2:$E$1000,"$m",History_Q!$G$2:$G$1000,"populated"))</f>
        <v/>
      </c>
      <c r="G34" s="450">
        <f>IF(OR(G$6="",COUNTIFS(History_Q!$C$2:$C$1000,"operating_income",History_Q!$B$2:$B$1000,"&gt;="&amp;((SUMIFS(History_Q!$B$2:$B$1000,History_Q!$A$2:$A$1000,G$6,History_Q!$C$2:$C$1000,"operating_income"))-3),History_Q!$B$2:$B$1000,"&lt;="&amp;(SUMIFS(History_Q!$B$2:$B$1000,History_Q!$A$2:$A$1000,G$6,History_Q!$C$2:$C$1000,"operating_income")),History_Q!$E$2:$E$1000,"$m",History_Q!$G$2:$G$1000,"populated")&lt;&gt;4,_xlfn.MAXIFS(History_Q!$B$2:$B$1000,History_Q!$C$2:$C$1000,"operating_income",History_Q!$B$2:$B$1000,"&gt;="&amp;((SUMIFS(History_Q!$B$2:$B$1000,History_Q!$A$2:$A$1000,G$6,History_Q!$C$2:$C$1000,"operating_income"))-3),History_Q!$B$2:$B$1000,"&lt;="&amp;(SUMIFS(History_Q!$B$2:$B$1000,History_Q!$A$2:$A$1000,G$6,History_Q!$C$2:$C$1000,"operating_income")),History_Q!$E$2:$E$1000,"$m",History_Q!$G$2:$G$1000,"populated")-_xlfn.MINIFS(History_Q!$B$2:$B$1000,History_Q!$C$2:$C$1000,"operating_income",History_Q!$B$2:$B$1000,"&gt;="&amp;((SUMIFS(History_Q!$B$2:$B$1000,History_Q!$A$2:$A$1000,G$6,History_Q!$C$2:$C$1000,"operating_income"))-3),History_Q!$B$2:$B$1000,"&lt;="&amp;(SUMIFS(History_Q!$B$2:$B$1000,History_Q!$A$2:$A$1000,G$6,History_Q!$C$2:$C$1000,"operating_income")),History_Q!$E$2:$E$1000,"$m",History_Q!$G$2:$G$1000,"populated")&lt;&gt;3),"",SUMIFS(History_Q!$D$2:$D$1000,History_Q!$C$2:$C$1000,"operating_income",History_Q!$B$2:$B$1000,"&gt;="&amp;((SUMIFS(History_Q!$B$2:$B$1000,History_Q!$A$2:$A$1000,G$6,History_Q!$C$2:$C$1000,"operating_income"))-3),History_Q!$B$2:$B$1000,"&lt;="&amp;(SUMIFS(History_Q!$B$2:$B$1000,History_Q!$A$2:$A$1000,G$6,History_Q!$C$2:$C$1000,"operating_income")),History_Q!$E$2:$E$1000,"$m",History_Q!$G$2:$G$1000,"populated"))</f>
        <v/>
      </c>
      <c r="H34" s="450">
        <f>IF(OR(H$6="",COUNTIFS(History_Q!$C$2:$C$1000,"operating_income",History_Q!$B$2:$B$1000,"&gt;="&amp;((SUMIFS(History_Q!$B$2:$B$1000,History_Q!$A$2:$A$1000,H$6,History_Q!$C$2:$C$1000,"operating_income"))-3),History_Q!$B$2:$B$1000,"&lt;="&amp;(SUMIFS(History_Q!$B$2:$B$1000,History_Q!$A$2:$A$1000,H$6,History_Q!$C$2:$C$1000,"operating_income")),History_Q!$E$2:$E$1000,"$m",History_Q!$G$2:$G$1000,"populated")&lt;&gt;4,_xlfn.MAXIFS(History_Q!$B$2:$B$1000,History_Q!$C$2:$C$1000,"operating_income",History_Q!$B$2:$B$1000,"&gt;="&amp;((SUMIFS(History_Q!$B$2:$B$1000,History_Q!$A$2:$A$1000,H$6,History_Q!$C$2:$C$1000,"operating_income"))-3),History_Q!$B$2:$B$1000,"&lt;="&amp;(SUMIFS(History_Q!$B$2:$B$1000,History_Q!$A$2:$A$1000,H$6,History_Q!$C$2:$C$1000,"operating_income")),History_Q!$E$2:$E$1000,"$m",History_Q!$G$2:$G$1000,"populated")-_xlfn.MINIFS(History_Q!$B$2:$B$1000,History_Q!$C$2:$C$1000,"operating_income",History_Q!$B$2:$B$1000,"&gt;="&amp;((SUMIFS(History_Q!$B$2:$B$1000,History_Q!$A$2:$A$1000,H$6,History_Q!$C$2:$C$1000,"operating_income"))-3),History_Q!$B$2:$B$1000,"&lt;="&amp;(SUMIFS(History_Q!$B$2:$B$1000,History_Q!$A$2:$A$1000,H$6,History_Q!$C$2:$C$1000,"operating_income")),History_Q!$E$2:$E$1000,"$m",History_Q!$G$2:$G$1000,"populated")&lt;&gt;3),"",SUMIFS(History_Q!$D$2:$D$1000,History_Q!$C$2:$C$1000,"operating_income",History_Q!$B$2:$B$1000,"&gt;="&amp;((SUMIFS(History_Q!$B$2:$B$1000,History_Q!$A$2:$A$1000,H$6,History_Q!$C$2:$C$1000,"operating_income"))-3),History_Q!$B$2:$B$1000,"&lt;="&amp;(SUMIFS(History_Q!$B$2:$B$1000,History_Q!$A$2:$A$1000,H$6,History_Q!$C$2:$C$1000,"operating_income")),History_Q!$E$2:$E$1000,"$m",History_Q!$G$2:$G$1000,"populated"))</f>
        <v/>
      </c>
      <c r="I34" s="450">
        <f>IF(OR(I$6="",COUNTIFS(History_Q!$C$2:$C$1000,"operating_income",History_Q!$B$2:$B$1000,"&gt;="&amp;((SUMIFS(History_Q!$B$2:$B$1000,History_Q!$A$2:$A$1000,I$6,History_Q!$C$2:$C$1000,"operating_income"))-3),History_Q!$B$2:$B$1000,"&lt;="&amp;(SUMIFS(History_Q!$B$2:$B$1000,History_Q!$A$2:$A$1000,I$6,History_Q!$C$2:$C$1000,"operating_income")),History_Q!$E$2:$E$1000,"$m",History_Q!$G$2:$G$1000,"populated")&lt;&gt;4,_xlfn.MAXIFS(History_Q!$B$2:$B$1000,History_Q!$C$2:$C$1000,"operating_income",History_Q!$B$2:$B$1000,"&gt;="&amp;((SUMIFS(History_Q!$B$2:$B$1000,History_Q!$A$2:$A$1000,I$6,History_Q!$C$2:$C$1000,"operating_income"))-3),History_Q!$B$2:$B$1000,"&lt;="&amp;(SUMIFS(History_Q!$B$2:$B$1000,History_Q!$A$2:$A$1000,I$6,History_Q!$C$2:$C$1000,"operating_income")),History_Q!$E$2:$E$1000,"$m",History_Q!$G$2:$G$1000,"populated")-_xlfn.MINIFS(History_Q!$B$2:$B$1000,History_Q!$C$2:$C$1000,"operating_income",History_Q!$B$2:$B$1000,"&gt;="&amp;((SUMIFS(History_Q!$B$2:$B$1000,History_Q!$A$2:$A$1000,I$6,History_Q!$C$2:$C$1000,"operating_income"))-3),History_Q!$B$2:$B$1000,"&lt;="&amp;(SUMIFS(History_Q!$B$2:$B$1000,History_Q!$A$2:$A$1000,I$6,History_Q!$C$2:$C$1000,"operating_income")),History_Q!$E$2:$E$1000,"$m",History_Q!$G$2:$G$1000,"populated")&lt;&gt;3),"",SUMIFS(History_Q!$D$2:$D$1000,History_Q!$C$2:$C$1000,"operating_income",History_Q!$B$2:$B$1000,"&gt;="&amp;((SUMIFS(History_Q!$B$2:$B$1000,History_Q!$A$2:$A$1000,I$6,History_Q!$C$2:$C$1000,"operating_income"))-3),History_Q!$B$2:$B$1000,"&lt;="&amp;(SUMIFS(History_Q!$B$2:$B$1000,History_Q!$A$2:$A$1000,I$6,History_Q!$C$2:$C$1000,"operating_income")),History_Q!$E$2:$E$1000,"$m",History_Q!$G$2:$G$1000,"populated"))</f>
        <v/>
      </c>
      <c r="J34" s="450">
        <f>IF(OR(J$6="",COUNTIFS(History_Q!$C$2:$C$1000,"operating_income",History_Q!$B$2:$B$1000,"&gt;="&amp;((SUMIFS(History_Q!$B$2:$B$1000,History_Q!$A$2:$A$1000,J$6,History_Q!$C$2:$C$1000,"operating_income"))-3),History_Q!$B$2:$B$1000,"&lt;="&amp;(SUMIFS(History_Q!$B$2:$B$1000,History_Q!$A$2:$A$1000,J$6,History_Q!$C$2:$C$1000,"operating_income")),History_Q!$E$2:$E$1000,"$m",History_Q!$G$2:$G$1000,"populated")&lt;&gt;4,_xlfn.MAXIFS(History_Q!$B$2:$B$1000,History_Q!$C$2:$C$1000,"operating_income",History_Q!$B$2:$B$1000,"&gt;="&amp;((SUMIFS(History_Q!$B$2:$B$1000,History_Q!$A$2:$A$1000,J$6,History_Q!$C$2:$C$1000,"operating_income"))-3),History_Q!$B$2:$B$1000,"&lt;="&amp;(SUMIFS(History_Q!$B$2:$B$1000,History_Q!$A$2:$A$1000,J$6,History_Q!$C$2:$C$1000,"operating_income")),History_Q!$E$2:$E$1000,"$m",History_Q!$G$2:$G$1000,"populated")-_xlfn.MINIFS(History_Q!$B$2:$B$1000,History_Q!$C$2:$C$1000,"operating_income",History_Q!$B$2:$B$1000,"&gt;="&amp;((SUMIFS(History_Q!$B$2:$B$1000,History_Q!$A$2:$A$1000,J$6,History_Q!$C$2:$C$1000,"operating_income"))-3),History_Q!$B$2:$B$1000,"&lt;="&amp;(SUMIFS(History_Q!$B$2:$B$1000,History_Q!$A$2:$A$1000,J$6,History_Q!$C$2:$C$1000,"operating_income")),History_Q!$E$2:$E$1000,"$m",History_Q!$G$2:$G$1000,"populated")&lt;&gt;3),"",SUMIFS(History_Q!$D$2:$D$1000,History_Q!$C$2:$C$1000,"operating_income",History_Q!$B$2:$B$1000,"&gt;="&amp;((SUMIFS(History_Q!$B$2:$B$1000,History_Q!$A$2:$A$1000,J$6,History_Q!$C$2:$C$1000,"operating_income"))-3),History_Q!$B$2:$B$1000,"&lt;="&amp;(SUMIFS(History_Q!$B$2:$B$1000,History_Q!$A$2:$A$1000,J$6,History_Q!$C$2:$C$1000,"operating_income")),History_Q!$E$2:$E$1000,"$m",History_Q!$G$2:$G$1000,"populated"))</f>
        <v/>
      </c>
      <c r="K34" s="450">
        <f>IF(OR(K$6="",COUNTIFS(History_Q!$C$2:$C$1000,"operating_income",History_Q!$B$2:$B$1000,"&gt;="&amp;((SUMIFS(History_Q!$B$2:$B$1000,History_Q!$A$2:$A$1000,K$6,History_Q!$C$2:$C$1000,"operating_income"))-3),History_Q!$B$2:$B$1000,"&lt;="&amp;(SUMIFS(History_Q!$B$2:$B$1000,History_Q!$A$2:$A$1000,K$6,History_Q!$C$2:$C$1000,"operating_income")),History_Q!$E$2:$E$1000,"$m",History_Q!$G$2:$G$1000,"populated")&lt;&gt;4,_xlfn.MAXIFS(History_Q!$B$2:$B$1000,History_Q!$C$2:$C$1000,"operating_income",History_Q!$B$2:$B$1000,"&gt;="&amp;((SUMIFS(History_Q!$B$2:$B$1000,History_Q!$A$2:$A$1000,K$6,History_Q!$C$2:$C$1000,"operating_income"))-3),History_Q!$B$2:$B$1000,"&lt;="&amp;(SUMIFS(History_Q!$B$2:$B$1000,History_Q!$A$2:$A$1000,K$6,History_Q!$C$2:$C$1000,"operating_income")),History_Q!$E$2:$E$1000,"$m",History_Q!$G$2:$G$1000,"populated")-_xlfn.MINIFS(History_Q!$B$2:$B$1000,History_Q!$C$2:$C$1000,"operating_income",History_Q!$B$2:$B$1000,"&gt;="&amp;((SUMIFS(History_Q!$B$2:$B$1000,History_Q!$A$2:$A$1000,K$6,History_Q!$C$2:$C$1000,"operating_income"))-3),History_Q!$B$2:$B$1000,"&lt;="&amp;(SUMIFS(History_Q!$B$2:$B$1000,History_Q!$A$2:$A$1000,K$6,History_Q!$C$2:$C$1000,"operating_income")),History_Q!$E$2:$E$1000,"$m",History_Q!$G$2:$G$1000,"populated")&lt;&gt;3),"",SUMIFS(History_Q!$D$2:$D$1000,History_Q!$C$2:$C$1000,"operating_income",History_Q!$B$2:$B$1000,"&gt;="&amp;((SUMIFS(History_Q!$B$2:$B$1000,History_Q!$A$2:$A$1000,K$6,History_Q!$C$2:$C$1000,"operating_income"))-3),History_Q!$B$2:$B$1000,"&lt;="&amp;(SUMIFS(History_Q!$B$2:$B$1000,History_Q!$A$2:$A$1000,K$6,History_Q!$C$2:$C$1000,"operating_income")),History_Q!$E$2:$E$1000,"$m",History_Q!$G$2:$G$1000,"populated"))</f>
        <v/>
      </c>
      <c r="L34" s="450">
        <f>IF(OR(L$6="",COUNTIFS(History_Q!$C$2:$C$1000,"operating_income",History_Q!$B$2:$B$1000,"&gt;="&amp;((SUMIFS(History_Q!$B$2:$B$1000,History_Q!$A$2:$A$1000,L$6,History_Q!$C$2:$C$1000,"operating_income"))-3),History_Q!$B$2:$B$1000,"&lt;="&amp;(SUMIFS(History_Q!$B$2:$B$1000,History_Q!$A$2:$A$1000,L$6,History_Q!$C$2:$C$1000,"operating_income")),History_Q!$E$2:$E$1000,"$m",History_Q!$G$2:$G$1000,"populated")&lt;&gt;4,_xlfn.MAXIFS(History_Q!$B$2:$B$1000,History_Q!$C$2:$C$1000,"operating_income",History_Q!$B$2:$B$1000,"&gt;="&amp;((SUMIFS(History_Q!$B$2:$B$1000,History_Q!$A$2:$A$1000,L$6,History_Q!$C$2:$C$1000,"operating_income"))-3),History_Q!$B$2:$B$1000,"&lt;="&amp;(SUMIFS(History_Q!$B$2:$B$1000,History_Q!$A$2:$A$1000,L$6,History_Q!$C$2:$C$1000,"operating_income")),History_Q!$E$2:$E$1000,"$m",History_Q!$G$2:$G$1000,"populated")-_xlfn.MINIFS(History_Q!$B$2:$B$1000,History_Q!$C$2:$C$1000,"operating_income",History_Q!$B$2:$B$1000,"&gt;="&amp;((SUMIFS(History_Q!$B$2:$B$1000,History_Q!$A$2:$A$1000,L$6,History_Q!$C$2:$C$1000,"operating_income"))-3),History_Q!$B$2:$B$1000,"&lt;="&amp;(SUMIFS(History_Q!$B$2:$B$1000,History_Q!$A$2:$A$1000,L$6,History_Q!$C$2:$C$1000,"operating_income")),History_Q!$E$2:$E$1000,"$m",History_Q!$G$2:$G$1000,"populated")&lt;&gt;3),"",SUMIFS(History_Q!$D$2:$D$1000,History_Q!$C$2:$C$1000,"operating_income",History_Q!$B$2:$B$1000,"&gt;="&amp;((SUMIFS(History_Q!$B$2:$B$1000,History_Q!$A$2:$A$1000,L$6,History_Q!$C$2:$C$1000,"operating_income"))-3),History_Q!$B$2:$B$1000,"&lt;="&amp;(SUMIFS(History_Q!$B$2:$B$1000,History_Q!$A$2:$A$1000,L$6,History_Q!$C$2:$C$1000,"operating_income")),History_Q!$E$2:$E$1000,"$m",History_Q!$G$2:$G$1000,"populated"))</f>
        <v/>
      </c>
      <c r="M34" s="450">
        <f>IF(OR(M$6="",COUNTIFS(History_Q!$C$2:$C$1000,"operating_income",History_Q!$B$2:$B$1000,"&gt;="&amp;((SUMIFS(History_Q!$B$2:$B$1000,History_Q!$A$2:$A$1000,M$6,History_Q!$C$2:$C$1000,"operating_income"))-3),History_Q!$B$2:$B$1000,"&lt;="&amp;(SUMIFS(History_Q!$B$2:$B$1000,History_Q!$A$2:$A$1000,M$6,History_Q!$C$2:$C$1000,"operating_income")),History_Q!$E$2:$E$1000,"$m",History_Q!$G$2:$G$1000,"populated")&lt;&gt;4,_xlfn.MAXIFS(History_Q!$B$2:$B$1000,History_Q!$C$2:$C$1000,"operating_income",History_Q!$B$2:$B$1000,"&gt;="&amp;((SUMIFS(History_Q!$B$2:$B$1000,History_Q!$A$2:$A$1000,M$6,History_Q!$C$2:$C$1000,"operating_income"))-3),History_Q!$B$2:$B$1000,"&lt;="&amp;(SUMIFS(History_Q!$B$2:$B$1000,History_Q!$A$2:$A$1000,M$6,History_Q!$C$2:$C$1000,"operating_income")),History_Q!$E$2:$E$1000,"$m",History_Q!$G$2:$G$1000,"populated")-_xlfn.MINIFS(History_Q!$B$2:$B$1000,History_Q!$C$2:$C$1000,"operating_income",History_Q!$B$2:$B$1000,"&gt;="&amp;((SUMIFS(History_Q!$B$2:$B$1000,History_Q!$A$2:$A$1000,M$6,History_Q!$C$2:$C$1000,"operating_income"))-3),History_Q!$B$2:$B$1000,"&lt;="&amp;(SUMIFS(History_Q!$B$2:$B$1000,History_Q!$A$2:$A$1000,M$6,History_Q!$C$2:$C$1000,"operating_income")),History_Q!$E$2:$E$1000,"$m",History_Q!$G$2:$G$1000,"populated")&lt;&gt;3),"",SUMIFS(History_Q!$D$2:$D$1000,History_Q!$C$2:$C$1000,"operating_income",History_Q!$B$2:$B$1000,"&gt;="&amp;((SUMIFS(History_Q!$B$2:$B$1000,History_Q!$A$2:$A$1000,M$6,History_Q!$C$2:$C$1000,"operating_income"))-3),History_Q!$B$2:$B$1000,"&lt;="&amp;(SUMIFS(History_Q!$B$2:$B$1000,History_Q!$A$2:$A$1000,M$6,History_Q!$C$2:$C$1000,"operating_income")),History_Q!$E$2:$E$1000,"$m",History_Q!$G$2:$G$1000,"populated"))</f>
        <v/>
      </c>
      <c r="N34" s="22" t="n"/>
      <c r="O34" s="53" t="n"/>
      <c r="P34" s="46" t="n"/>
      <c r="Q34" s="53" t="n"/>
      <c r="R34" s="53" t="n"/>
      <c r="S34" s="53" t="n"/>
      <c r="T34" s="47" t="n"/>
      <c r="U34" s="47" t="n"/>
      <c r="V34" s="47" t="n"/>
      <c r="W34" s="46" t="n"/>
      <c r="AA34" s="53" t="n"/>
      <c r="AB34" s="47" t="n"/>
      <c r="AC34" s="46" t="n"/>
      <c r="AD34" s="22" t="n"/>
      <c r="AE34" s="22" t="n"/>
      <c r="AF34" s="22" t="n"/>
      <c r="AG34" s="22" t="n"/>
      <c r="AH34" s="22" t="n"/>
      <c r="AI34" s="22" t="n"/>
    </row>
    <row r="35" ht="19.5" customHeight="1">
      <c r="A35" s="48" t="inlineStr">
        <is>
          <t>EBIT margin (TTM)</t>
        </is>
      </c>
      <c r="B35" s="451">
        <f>IF(OR(B34="",B10="",B10=0),"",B34/B10)</f>
        <v/>
      </c>
      <c r="C35" s="451">
        <f>IF(OR(C34="",C10="",C10=0),"",C34/C10)</f>
        <v/>
      </c>
      <c r="D35" s="451">
        <f>IF(OR(D34="",D10="",D10=0),"",D34/D10)</f>
        <v/>
      </c>
      <c r="E35" s="451">
        <f>IF(OR(E34="",E10="",E10=0),"",E34/E10)</f>
        <v/>
      </c>
      <c r="F35" s="451">
        <f>IF(OR(F34="",F10="",F10=0),"",F34/F10)</f>
        <v/>
      </c>
      <c r="G35" s="451">
        <f>IF(OR(G34="",G10="",G10=0),"",G34/G10)</f>
        <v/>
      </c>
      <c r="H35" s="451">
        <f>IF(OR(H34="",H10="",H10=0),"",H34/H10)</f>
        <v/>
      </c>
      <c r="I35" s="451">
        <f>IF(OR(I34="",I10="",I10=0),"",I34/I10)</f>
        <v/>
      </c>
      <c r="J35" s="451">
        <f>IF(OR(J34="",J10="",J10=0),"",J34/J10)</f>
        <v/>
      </c>
      <c r="K35" s="451">
        <f>IF(OR(K34="",K10="",K10=0),"",K34/K10)</f>
        <v/>
      </c>
      <c r="L35" s="451">
        <f>IF(OR(L34="",L10="",L10=0),"",L34/L10)</f>
        <v/>
      </c>
      <c r="M35" s="451">
        <f>IF(OR(M34="",M10="",M10=0),"",M34/M10)</f>
        <v/>
      </c>
      <c r="N35" s="22" t="n"/>
      <c r="O35" s="52" t="n"/>
      <c r="P35" s="46" t="n"/>
      <c r="Q35" s="52" t="n"/>
      <c r="R35" s="52" t="n"/>
      <c r="S35" s="52" t="n"/>
      <c r="T35" s="47" t="n"/>
      <c r="U35" s="47" t="n"/>
      <c r="V35" s="47" t="n"/>
      <c r="W35" s="46" t="n"/>
      <c r="AA35" s="52" t="n"/>
      <c r="AB35" s="47" t="n"/>
      <c r="AC35" s="46" t="n"/>
      <c r="AD35" s="22" t="n"/>
      <c r="AE35" s="22" t="n"/>
      <c r="AF35" s="22" t="n"/>
      <c r="AG35" s="22" t="n"/>
      <c r="AH35" s="22" t="n"/>
      <c r="AI35" s="22" t="n"/>
    </row>
    <row r="36" ht="19.5" customHeight="1">
      <c r="A36" s="48" t="inlineStr">
        <is>
          <t>Net income</t>
        </is>
      </c>
      <c r="B36" s="62" t="n"/>
      <c r="C36" s="62" t="n"/>
      <c r="D36" s="62" t="n"/>
      <c r="E36" s="62" t="n"/>
      <c r="F36" s="62" t="n"/>
      <c r="G36" s="62" t="n"/>
      <c r="H36" s="62" t="n"/>
      <c r="I36" s="62" t="n"/>
      <c r="J36" s="62" t="n"/>
      <c r="K36" s="62" t="n"/>
      <c r="L36" s="62" t="n"/>
      <c r="M36" s="62" t="n"/>
      <c r="N36" s="22" t="n"/>
      <c r="O36" s="63" t="n"/>
      <c r="P36" s="64" t="n"/>
      <c r="Q36" s="64" t="n"/>
      <c r="R36" s="64" t="n"/>
      <c r="S36" s="64" t="n"/>
      <c r="T36" s="64" t="n"/>
      <c r="U36" s="65" t="n"/>
      <c r="V36" s="64" t="n"/>
      <c r="W36" s="64" t="n"/>
      <c r="X36" s="63" t="n"/>
      <c r="Y36" s="64" t="n"/>
      <c r="Z36" s="64" t="n"/>
      <c r="AA36" s="64" t="n"/>
      <c r="AB36" s="64" t="n"/>
      <c r="AC36" s="64" t="n"/>
      <c r="AD36" s="22" t="n"/>
      <c r="AE36" s="22" t="n"/>
      <c r="AF36" s="22" t="n"/>
      <c r="AG36" s="22" t="n"/>
      <c r="AH36" s="22" t="n"/>
      <c r="AI36" s="22" t="n"/>
    </row>
    <row r="37" ht="19.5" customHeight="1">
      <c r="A37" s="48" t="inlineStr">
        <is>
          <t>Net margin %</t>
        </is>
      </c>
      <c r="B37" s="451">
        <f>IF(OR(B36="",B9="",B9=0),"",B36/B9)</f>
        <v/>
      </c>
      <c r="C37" s="451">
        <f>IF(OR(C36="",C9="",C9=0),"",C36/C9)</f>
        <v/>
      </c>
      <c r="D37" s="451">
        <f>IF(OR(D36="",D9="",D9=0),"",D36/D9)</f>
        <v/>
      </c>
      <c r="E37" s="451">
        <f>IF(OR(E36="",E9="",E9=0),"",E36/E9)</f>
        <v/>
      </c>
      <c r="F37" s="451">
        <f>IF(OR(F36="",F9="",F9=0),"",F36/F9)</f>
        <v/>
      </c>
      <c r="G37" s="451">
        <f>IF(OR(G36="",G9="",G9=0),"",G36/G9)</f>
        <v/>
      </c>
      <c r="H37" s="451">
        <f>IF(OR(H36="",H9="",H9=0),"",H36/H9)</f>
        <v/>
      </c>
      <c r="I37" s="451">
        <f>IF(OR(I36="",I9="",I9=0),"",I36/I9)</f>
        <v/>
      </c>
      <c r="J37" s="451">
        <f>IF(OR(J36="",J9="",J9=0),"",J36/J9)</f>
        <v/>
      </c>
      <c r="K37" s="451">
        <f>IF(OR(K36="",K9="",K9=0),"",K36/K9)</f>
        <v/>
      </c>
      <c r="L37" s="451">
        <f>IF(OR(L36="",L9="",L9=0),"",L36/L9)</f>
        <v/>
      </c>
      <c r="M37" s="451">
        <f>IF(OR(M36="",M9="",M9=0),"",M36/M9)</f>
        <v/>
      </c>
      <c r="N37" s="22" t="n"/>
      <c r="AD37" s="22" t="n"/>
      <c r="AE37" s="22" t="n"/>
      <c r="AF37" s="22" t="n"/>
      <c r="AG37" s="22" t="n"/>
      <c r="AH37" s="22" t="n"/>
      <c r="AI37" s="22" t="n"/>
    </row>
    <row r="38" ht="19.5" customHeight="1">
      <c r="A38" s="48" t="inlineStr">
        <is>
          <t>Net income YoY %</t>
        </is>
      </c>
      <c r="B38" s="451">
        <f>IF(OR(B$6="",COUNTIFS(History_Q!$C$2:$C$1000,"net_income",History_Q!$B$2:$B$1000,(SUMIFS(History_Q!$B$2:$B$1000,History_Q!$A$2:$A$1000,B$6,History_Q!$C$2:$C$1000,"net_income")),History_Q!$E$2:$E$1000,"$m",History_Q!$G$2:$G$1000,"populated")&lt;&gt;1,COUNTIFS(History_Q!$C$2:$C$1000,"net_income",History_Q!$B$2:$B$1000,(SUMIFS(History_Q!$B$2:$B$1000,History_Q!$A$2:$A$1000,B$6,History_Q!$C$2:$C$1000,"net_income")-4),History_Q!$E$2:$E$1000,"$m",History_Q!$G$2:$G$1000,"populated")&lt;&gt;1,SUMIFS(History_Q!$D$2:$D$1000,History_Q!$C$2:$C$1000,"net_income",History_Q!$B$2:$B$1000,(SUMIFS(History_Q!$B$2:$B$1000,History_Q!$A$2:$A$1000,B$6,History_Q!$C$2:$C$1000,"net_income")-4),History_Q!$E$2:$E$1000,"$m",History_Q!$G$2:$G$1000,"populated")=0),"",SUMIFS(History_Q!$D$2:$D$1000,History_Q!$C$2:$C$1000,"net_income",History_Q!$B$2:$B$1000,(SUMIFS(History_Q!$B$2:$B$1000,History_Q!$A$2:$A$1000,B$6,History_Q!$C$2:$C$1000,"net_income")),History_Q!$E$2:$E$1000,"$m",History_Q!$G$2:$G$1000,"populated")/SUMIFS(History_Q!$D$2:$D$1000,History_Q!$C$2:$C$1000,"net_income",History_Q!$B$2:$B$1000,(SUMIFS(History_Q!$B$2:$B$1000,History_Q!$A$2:$A$1000,B$6,History_Q!$C$2:$C$1000,"net_income")-4),History_Q!$E$2:$E$1000,"$m",History_Q!$G$2:$G$1000,"populated")-1)</f>
        <v/>
      </c>
      <c r="C38" s="451">
        <f>IF(OR(C$6="",COUNTIFS(History_Q!$C$2:$C$1000,"net_income",History_Q!$B$2:$B$1000,(SUMIFS(History_Q!$B$2:$B$1000,History_Q!$A$2:$A$1000,C$6,History_Q!$C$2:$C$1000,"net_income")),History_Q!$E$2:$E$1000,"$m",History_Q!$G$2:$G$1000,"populated")&lt;&gt;1,COUNTIFS(History_Q!$C$2:$C$1000,"net_income",History_Q!$B$2:$B$1000,(SUMIFS(History_Q!$B$2:$B$1000,History_Q!$A$2:$A$1000,C$6,History_Q!$C$2:$C$1000,"net_income")-4),History_Q!$E$2:$E$1000,"$m",History_Q!$G$2:$G$1000,"populated")&lt;&gt;1,SUMIFS(History_Q!$D$2:$D$1000,History_Q!$C$2:$C$1000,"net_income",History_Q!$B$2:$B$1000,(SUMIFS(History_Q!$B$2:$B$1000,History_Q!$A$2:$A$1000,C$6,History_Q!$C$2:$C$1000,"net_income")-4),History_Q!$E$2:$E$1000,"$m",History_Q!$G$2:$G$1000,"populated")=0),"",SUMIFS(History_Q!$D$2:$D$1000,History_Q!$C$2:$C$1000,"net_income",History_Q!$B$2:$B$1000,(SUMIFS(History_Q!$B$2:$B$1000,History_Q!$A$2:$A$1000,C$6,History_Q!$C$2:$C$1000,"net_income")),History_Q!$E$2:$E$1000,"$m",History_Q!$G$2:$G$1000,"populated")/SUMIFS(History_Q!$D$2:$D$1000,History_Q!$C$2:$C$1000,"net_income",History_Q!$B$2:$B$1000,(SUMIFS(History_Q!$B$2:$B$1000,History_Q!$A$2:$A$1000,C$6,History_Q!$C$2:$C$1000,"net_income")-4),History_Q!$E$2:$E$1000,"$m",History_Q!$G$2:$G$1000,"populated")-1)</f>
        <v/>
      </c>
      <c r="D38" s="451">
        <f>IF(OR(D$6="",COUNTIFS(History_Q!$C$2:$C$1000,"net_income",History_Q!$B$2:$B$1000,(SUMIFS(History_Q!$B$2:$B$1000,History_Q!$A$2:$A$1000,D$6,History_Q!$C$2:$C$1000,"net_income")),History_Q!$E$2:$E$1000,"$m",History_Q!$G$2:$G$1000,"populated")&lt;&gt;1,COUNTIFS(History_Q!$C$2:$C$1000,"net_income",History_Q!$B$2:$B$1000,(SUMIFS(History_Q!$B$2:$B$1000,History_Q!$A$2:$A$1000,D$6,History_Q!$C$2:$C$1000,"net_income")-4),History_Q!$E$2:$E$1000,"$m",History_Q!$G$2:$G$1000,"populated")&lt;&gt;1,SUMIFS(History_Q!$D$2:$D$1000,History_Q!$C$2:$C$1000,"net_income",History_Q!$B$2:$B$1000,(SUMIFS(History_Q!$B$2:$B$1000,History_Q!$A$2:$A$1000,D$6,History_Q!$C$2:$C$1000,"net_income")-4),History_Q!$E$2:$E$1000,"$m",History_Q!$G$2:$G$1000,"populated")=0),"",SUMIFS(History_Q!$D$2:$D$1000,History_Q!$C$2:$C$1000,"net_income",History_Q!$B$2:$B$1000,(SUMIFS(History_Q!$B$2:$B$1000,History_Q!$A$2:$A$1000,D$6,History_Q!$C$2:$C$1000,"net_income")),History_Q!$E$2:$E$1000,"$m",History_Q!$G$2:$G$1000,"populated")/SUMIFS(History_Q!$D$2:$D$1000,History_Q!$C$2:$C$1000,"net_income",History_Q!$B$2:$B$1000,(SUMIFS(History_Q!$B$2:$B$1000,History_Q!$A$2:$A$1000,D$6,History_Q!$C$2:$C$1000,"net_income")-4),History_Q!$E$2:$E$1000,"$m",History_Q!$G$2:$G$1000,"populated")-1)</f>
        <v/>
      </c>
      <c r="E38" s="451">
        <f>IF(OR(E$6="",COUNTIFS(History_Q!$C$2:$C$1000,"net_income",History_Q!$B$2:$B$1000,(SUMIFS(History_Q!$B$2:$B$1000,History_Q!$A$2:$A$1000,E$6,History_Q!$C$2:$C$1000,"net_income")),History_Q!$E$2:$E$1000,"$m",History_Q!$G$2:$G$1000,"populated")&lt;&gt;1,COUNTIFS(History_Q!$C$2:$C$1000,"net_income",History_Q!$B$2:$B$1000,(SUMIFS(History_Q!$B$2:$B$1000,History_Q!$A$2:$A$1000,E$6,History_Q!$C$2:$C$1000,"net_income")-4),History_Q!$E$2:$E$1000,"$m",History_Q!$G$2:$G$1000,"populated")&lt;&gt;1,SUMIFS(History_Q!$D$2:$D$1000,History_Q!$C$2:$C$1000,"net_income",History_Q!$B$2:$B$1000,(SUMIFS(History_Q!$B$2:$B$1000,History_Q!$A$2:$A$1000,E$6,History_Q!$C$2:$C$1000,"net_income")-4),History_Q!$E$2:$E$1000,"$m",History_Q!$G$2:$G$1000,"populated")=0),"",SUMIFS(History_Q!$D$2:$D$1000,History_Q!$C$2:$C$1000,"net_income",History_Q!$B$2:$B$1000,(SUMIFS(History_Q!$B$2:$B$1000,History_Q!$A$2:$A$1000,E$6,History_Q!$C$2:$C$1000,"net_income")),History_Q!$E$2:$E$1000,"$m",History_Q!$G$2:$G$1000,"populated")/SUMIFS(History_Q!$D$2:$D$1000,History_Q!$C$2:$C$1000,"net_income",History_Q!$B$2:$B$1000,(SUMIFS(History_Q!$B$2:$B$1000,History_Q!$A$2:$A$1000,E$6,History_Q!$C$2:$C$1000,"net_income")-4),History_Q!$E$2:$E$1000,"$m",History_Q!$G$2:$G$1000,"populated")-1)</f>
        <v/>
      </c>
      <c r="F38" s="451">
        <f>IF(OR(F$6="",COUNTIFS(History_Q!$C$2:$C$1000,"net_income",History_Q!$B$2:$B$1000,(SUMIFS(History_Q!$B$2:$B$1000,History_Q!$A$2:$A$1000,F$6,History_Q!$C$2:$C$1000,"net_income")),History_Q!$E$2:$E$1000,"$m",History_Q!$G$2:$G$1000,"populated")&lt;&gt;1,COUNTIFS(History_Q!$C$2:$C$1000,"net_income",History_Q!$B$2:$B$1000,(SUMIFS(History_Q!$B$2:$B$1000,History_Q!$A$2:$A$1000,F$6,History_Q!$C$2:$C$1000,"net_income")-4),History_Q!$E$2:$E$1000,"$m",History_Q!$G$2:$G$1000,"populated")&lt;&gt;1,SUMIFS(History_Q!$D$2:$D$1000,History_Q!$C$2:$C$1000,"net_income",History_Q!$B$2:$B$1000,(SUMIFS(History_Q!$B$2:$B$1000,History_Q!$A$2:$A$1000,F$6,History_Q!$C$2:$C$1000,"net_income")-4),History_Q!$E$2:$E$1000,"$m",History_Q!$G$2:$G$1000,"populated")=0),"",SUMIFS(History_Q!$D$2:$D$1000,History_Q!$C$2:$C$1000,"net_income",History_Q!$B$2:$B$1000,(SUMIFS(History_Q!$B$2:$B$1000,History_Q!$A$2:$A$1000,F$6,History_Q!$C$2:$C$1000,"net_income")),History_Q!$E$2:$E$1000,"$m",History_Q!$G$2:$G$1000,"populated")/SUMIFS(History_Q!$D$2:$D$1000,History_Q!$C$2:$C$1000,"net_income",History_Q!$B$2:$B$1000,(SUMIFS(History_Q!$B$2:$B$1000,History_Q!$A$2:$A$1000,F$6,History_Q!$C$2:$C$1000,"net_income")-4),History_Q!$E$2:$E$1000,"$m",History_Q!$G$2:$G$1000,"populated")-1)</f>
        <v/>
      </c>
      <c r="G38" s="451">
        <f>IF(OR(G$6="",COUNTIFS(History_Q!$C$2:$C$1000,"net_income",History_Q!$B$2:$B$1000,(SUMIFS(History_Q!$B$2:$B$1000,History_Q!$A$2:$A$1000,G$6,History_Q!$C$2:$C$1000,"net_income")),History_Q!$E$2:$E$1000,"$m",History_Q!$G$2:$G$1000,"populated")&lt;&gt;1,COUNTIFS(History_Q!$C$2:$C$1000,"net_income",History_Q!$B$2:$B$1000,(SUMIFS(History_Q!$B$2:$B$1000,History_Q!$A$2:$A$1000,G$6,History_Q!$C$2:$C$1000,"net_income")-4),History_Q!$E$2:$E$1000,"$m",History_Q!$G$2:$G$1000,"populated")&lt;&gt;1,SUMIFS(History_Q!$D$2:$D$1000,History_Q!$C$2:$C$1000,"net_income",History_Q!$B$2:$B$1000,(SUMIFS(History_Q!$B$2:$B$1000,History_Q!$A$2:$A$1000,G$6,History_Q!$C$2:$C$1000,"net_income")-4),History_Q!$E$2:$E$1000,"$m",History_Q!$G$2:$G$1000,"populated")=0),"",SUMIFS(History_Q!$D$2:$D$1000,History_Q!$C$2:$C$1000,"net_income",History_Q!$B$2:$B$1000,(SUMIFS(History_Q!$B$2:$B$1000,History_Q!$A$2:$A$1000,G$6,History_Q!$C$2:$C$1000,"net_income")),History_Q!$E$2:$E$1000,"$m",History_Q!$G$2:$G$1000,"populated")/SUMIFS(History_Q!$D$2:$D$1000,History_Q!$C$2:$C$1000,"net_income",History_Q!$B$2:$B$1000,(SUMIFS(History_Q!$B$2:$B$1000,History_Q!$A$2:$A$1000,G$6,History_Q!$C$2:$C$1000,"net_income")-4),History_Q!$E$2:$E$1000,"$m",History_Q!$G$2:$G$1000,"populated")-1)</f>
        <v/>
      </c>
      <c r="H38" s="451">
        <f>IF(OR(H$6="",COUNTIFS(History_Q!$C$2:$C$1000,"net_income",History_Q!$B$2:$B$1000,(SUMIFS(History_Q!$B$2:$B$1000,History_Q!$A$2:$A$1000,H$6,History_Q!$C$2:$C$1000,"net_income")),History_Q!$E$2:$E$1000,"$m",History_Q!$G$2:$G$1000,"populated")&lt;&gt;1,COUNTIFS(History_Q!$C$2:$C$1000,"net_income",History_Q!$B$2:$B$1000,(SUMIFS(History_Q!$B$2:$B$1000,History_Q!$A$2:$A$1000,H$6,History_Q!$C$2:$C$1000,"net_income")-4),History_Q!$E$2:$E$1000,"$m",History_Q!$G$2:$G$1000,"populated")&lt;&gt;1,SUMIFS(History_Q!$D$2:$D$1000,History_Q!$C$2:$C$1000,"net_income",History_Q!$B$2:$B$1000,(SUMIFS(History_Q!$B$2:$B$1000,History_Q!$A$2:$A$1000,H$6,History_Q!$C$2:$C$1000,"net_income")-4),History_Q!$E$2:$E$1000,"$m",History_Q!$G$2:$G$1000,"populated")=0),"",SUMIFS(History_Q!$D$2:$D$1000,History_Q!$C$2:$C$1000,"net_income",History_Q!$B$2:$B$1000,(SUMIFS(History_Q!$B$2:$B$1000,History_Q!$A$2:$A$1000,H$6,History_Q!$C$2:$C$1000,"net_income")),History_Q!$E$2:$E$1000,"$m",History_Q!$G$2:$G$1000,"populated")/SUMIFS(History_Q!$D$2:$D$1000,History_Q!$C$2:$C$1000,"net_income",History_Q!$B$2:$B$1000,(SUMIFS(History_Q!$B$2:$B$1000,History_Q!$A$2:$A$1000,H$6,History_Q!$C$2:$C$1000,"net_income")-4),History_Q!$E$2:$E$1000,"$m",History_Q!$G$2:$G$1000,"populated")-1)</f>
        <v/>
      </c>
      <c r="I38" s="451">
        <f>IF(OR(I$6="",COUNTIFS(History_Q!$C$2:$C$1000,"net_income",History_Q!$B$2:$B$1000,(SUMIFS(History_Q!$B$2:$B$1000,History_Q!$A$2:$A$1000,I$6,History_Q!$C$2:$C$1000,"net_income")),History_Q!$E$2:$E$1000,"$m",History_Q!$G$2:$G$1000,"populated")&lt;&gt;1,COUNTIFS(History_Q!$C$2:$C$1000,"net_income",History_Q!$B$2:$B$1000,(SUMIFS(History_Q!$B$2:$B$1000,History_Q!$A$2:$A$1000,I$6,History_Q!$C$2:$C$1000,"net_income")-4),History_Q!$E$2:$E$1000,"$m",History_Q!$G$2:$G$1000,"populated")&lt;&gt;1,SUMIFS(History_Q!$D$2:$D$1000,History_Q!$C$2:$C$1000,"net_income",History_Q!$B$2:$B$1000,(SUMIFS(History_Q!$B$2:$B$1000,History_Q!$A$2:$A$1000,I$6,History_Q!$C$2:$C$1000,"net_income")-4),History_Q!$E$2:$E$1000,"$m",History_Q!$G$2:$G$1000,"populated")=0),"",SUMIFS(History_Q!$D$2:$D$1000,History_Q!$C$2:$C$1000,"net_income",History_Q!$B$2:$B$1000,(SUMIFS(History_Q!$B$2:$B$1000,History_Q!$A$2:$A$1000,I$6,History_Q!$C$2:$C$1000,"net_income")),History_Q!$E$2:$E$1000,"$m",History_Q!$G$2:$G$1000,"populated")/SUMIFS(History_Q!$D$2:$D$1000,History_Q!$C$2:$C$1000,"net_income",History_Q!$B$2:$B$1000,(SUMIFS(History_Q!$B$2:$B$1000,History_Q!$A$2:$A$1000,I$6,History_Q!$C$2:$C$1000,"net_income")-4),History_Q!$E$2:$E$1000,"$m",History_Q!$G$2:$G$1000,"populated")-1)</f>
        <v/>
      </c>
      <c r="J38" s="451">
        <f>IF(OR(J$6="",COUNTIFS(History_Q!$C$2:$C$1000,"net_income",History_Q!$B$2:$B$1000,(SUMIFS(History_Q!$B$2:$B$1000,History_Q!$A$2:$A$1000,J$6,History_Q!$C$2:$C$1000,"net_income")),History_Q!$E$2:$E$1000,"$m",History_Q!$G$2:$G$1000,"populated")&lt;&gt;1,COUNTIFS(History_Q!$C$2:$C$1000,"net_income",History_Q!$B$2:$B$1000,(SUMIFS(History_Q!$B$2:$B$1000,History_Q!$A$2:$A$1000,J$6,History_Q!$C$2:$C$1000,"net_income")-4),History_Q!$E$2:$E$1000,"$m",History_Q!$G$2:$G$1000,"populated")&lt;&gt;1,SUMIFS(History_Q!$D$2:$D$1000,History_Q!$C$2:$C$1000,"net_income",History_Q!$B$2:$B$1000,(SUMIFS(History_Q!$B$2:$B$1000,History_Q!$A$2:$A$1000,J$6,History_Q!$C$2:$C$1000,"net_income")-4),History_Q!$E$2:$E$1000,"$m",History_Q!$G$2:$G$1000,"populated")=0),"",SUMIFS(History_Q!$D$2:$D$1000,History_Q!$C$2:$C$1000,"net_income",History_Q!$B$2:$B$1000,(SUMIFS(History_Q!$B$2:$B$1000,History_Q!$A$2:$A$1000,J$6,History_Q!$C$2:$C$1000,"net_income")),History_Q!$E$2:$E$1000,"$m",History_Q!$G$2:$G$1000,"populated")/SUMIFS(History_Q!$D$2:$D$1000,History_Q!$C$2:$C$1000,"net_income",History_Q!$B$2:$B$1000,(SUMIFS(History_Q!$B$2:$B$1000,History_Q!$A$2:$A$1000,J$6,History_Q!$C$2:$C$1000,"net_income")-4),History_Q!$E$2:$E$1000,"$m",History_Q!$G$2:$G$1000,"populated")-1)</f>
        <v/>
      </c>
      <c r="K38" s="451">
        <f>IF(OR(K$6="",COUNTIFS(History_Q!$C$2:$C$1000,"net_income",History_Q!$B$2:$B$1000,(SUMIFS(History_Q!$B$2:$B$1000,History_Q!$A$2:$A$1000,K$6,History_Q!$C$2:$C$1000,"net_income")),History_Q!$E$2:$E$1000,"$m",History_Q!$G$2:$G$1000,"populated")&lt;&gt;1,COUNTIFS(History_Q!$C$2:$C$1000,"net_income",History_Q!$B$2:$B$1000,(SUMIFS(History_Q!$B$2:$B$1000,History_Q!$A$2:$A$1000,K$6,History_Q!$C$2:$C$1000,"net_income")-4),History_Q!$E$2:$E$1000,"$m",History_Q!$G$2:$G$1000,"populated")&lt;&gt;1,SUMIFS(History_Q!$D$2:$D$1000,History_Q!$C$2:$C$1000,"net_income",History_Q!$B$2:$B$1000,(SUMIFS(History_Q!$B$2:$B$1000,History_Q!$A$2:$A$1000,K$6,History_Q!$C$2:$C$1000,"net_income")-4),History_Q!$E$2:$E$1000,"$m",History_Q!$G$2:$G$1000,"populated")=0),"",SUMIFS(History_Q!$D$2:$D$1000,History_Q!$C$2:$C$1000,"net_income",History_Q!$B$2:$B$1000,(SUMIFS(History_Q!$B$2:$B$1000,History_Q!$A$2:$A$1000,K$6,History_Q!$C$2:$C$1000,"net_income")),History_Q!$E$2:$E$1000,"$m",History_Q!$G$2:$G$1000,"populated")/SUMIFS(History_Q!$D$2:$D$1000,History_Q!$C$2:$C$1000,"net_income",History_Q!$B$2:$B$1000,(SUMIFS(History_Q!$B$2:$B$1000,History_Q!$A$2:$A$1000,K$6,History_Q!$C$2:$C$1000,"net_income")-4),History_Q!$E$2:$E$1000,"$m",History_Q!$G$2:$G$1000,"populated")-1)</f>
        <v/>
      </c>
      <c r="L38" s="451">
        <f>IF(OR(L$6="",COUNTIFS(History_Q!$C$2:$C$1000,"net_income",History_Q!$B$2:$B$1000,(SUMIFS(History_Q!$B$2:$B$1000,History_Q!$A$2:$A$1000,L$6,History_Q!$C$2:$C$1000,"net_income")),History_Q!$E$2:$E$1000,"$m",History_Q!$G$2:$G$1000,"populated")&lt;&gt;1,COUNTIFS(History_Q!$C$2:$C$1000,"net_income",History_Q!$B$2:$B$1000,(SUMIFS(History_Q!$B$2:$B$1000,History_Q!$A$2:$A$1000,L$6,History_Q!$C$2:$C$1000,"net_income")-4),History_Q!$E$2:$E$1000,"$m",History_Q!$G$2:$G$1000,"populated")&lt;&gt;1,SUMIFS(History_Q!$D$2:$D$1000,History_Q!$C$2:$C$1000,"net_income",History_Q!$B$2:$B$1000,(SUMIFS(History_Q!$B$2:$B$1000,History_Q!$A$2:$A$1000,L$6,History_Q!$C$2:$C$1000,"net_income")-4),History_Q!$E$2:$E$1000,"$m",History_Q!$G$2:$G$1000,"populated")=0),"",SUMIFS(History_Q!$D$2:$D$1000,History_Q!$C$2:$C$1000,"net_income",History_Q!$B$2:$B$1000,(SUMIFS(History_Q!$B$2:$B$1000,History_Q!$A$2:$A$1000,L$6,History_Q!$C$2:$C$1000,"net_income")),History_Q!$E$2:$E$1000,"$m",History_Q!$G$2:$G$1000,"populated")/SUMIFS(History_Q!$D$2:$D$1000,History_Q!$C$2:$C$1000,"net_income",History_Q!$B$2:$B$1000,(SUMIFS(History_Q!$B$2:$B$1000,History_Q!$A$2:$A$1000,L$6,History_Q!$C$2:$C$1000,"net_income")-4),History_Q!$E$2:$E$1000,"$m",History_Q!$G$2:$G$1000,"populated")-1)</f>
        <v/>
      </c>
      <c r="M38" s="451">
        <f>IF(OR(M$6="",COUNTIFS(History_Q!$C$2:$C$1000,"net_income",History_Q!$B$2:$B$1000,(SUMIFS(History_Q!$B$2:$B$1000,History_Q!$A$2:$A$1000,M$6,History_Q!$C$2:$C$1000,"net_income")),History_Q!$E$2:$E$1000,"$m",History_Q!$G$2:$G$1000,"populated")&lt;&gt;1,COUNTIFS(History_Q!$C$2:$C$1000,"net_income",History_Q!$B$2:$B$1000,(SUMIFS(History_Q!$B$2:$B$1000,History_Q!$A$2:$A$1000,M$6,History_Q!$C$2:$C$1000,"net_income")-4),History_Q!$E$2:$E$1000,"$m",History_Q!$G$2:$G$1000,"populated")&lt;&gt;1,SUMIFS(History_Q!$D$2:$D$1000,History_Q!$C$2:$C$1000,"net_income",History_Q!$B$2:$B$1000,(SUMIFS(History_Q!$B$2:$B$1000,History_Q!$A$2:$A$1000,M$6,History_Q!$C$2:$C$1000,"net_income")-4),History_Q!$E$2:$E$1000,"$m",History_Q!$G$2:$G$1000,"populated")=0),"",SUMIFS(History_Q!$D$2:$D$1000,History_Q!$C$2:$C$1000,"net_income",History_Q!$B$2:$B$1000,(SUMIFS(History_Q!$B$2:$B$1000,History_Q!$A$2:$A$1000,M$6,History_Q!$C$2:$C$1000,"net_income")),History_Q!$E$2:$E$1000,"$m",History_Q!$G$2:$G$1000,"populated")/SUMIFS(History_Q!$D$2:$D$1000,History_Q!$C$2:$C$1000,"net_income",History_Q!$B$2:$B$1000,(SUMIFS(History_Q!$B$2:$B$1000,History_Q!$A$2:$A$1000,M$6,History_Q!$C$2:$C$1000,"net_income")-4),History_Q!$E$2:$E$1000,"$m",History_Q!$G$2:$G$1000,"populated")-1)</f>
        <v/>
      </c>
      <c r="N38" s="22" t="n"/>
      <c r="AD38" s="22" t="n"/>
      <c r="AE38" s="22" t="n"/>
      <c r="AF38" s="22" t="n"/>
      <c r="AG38" s="22" t="n"/>
      <c r="AH38" s="22" t="n"/>
      <c r="AI38" s="22" t="n"/>
    </row>
    <row r="39" ht="19.5" customHeight="1">
      <c r="A39" s="48" t="inlineStr">
        <is>
          <t>Net income (TTM)</t>
        </is>
      </c>
      <c r="B39" s="450">
        <f>IF(OR(B$6="",COUNTIFS(History_Q!$C$2:$C$1000,"net_income",History_Q!$B$2:$B$1000,"&gt;="&amp;((SUMIFS(History_Q!$B$2:$B$1000,History_Q!$A$2:$A$1000,B$6,History_Q!$C$2:$C$1000,"net_income"))-3),History_Q!$B$2:$B$1000,"&lt;="&amp;(SUMIFS(History_Q!$B$2:$B$1000,History_Q!$A$2:$A$1000,B$6,History_Q!$C$2:$C$1000,"net_income")),History_Q!$E$2:$E$1000,"$m",History_Q!$G$2:$G$1000,"populated")&lt;&gt;4,_xlfn.MAXIFS(History_Q!$B$2:$B$1000,History_Q!$C$2:$C$1000,"net_income",History_Q!$B$2:$B$1000,"&gt;="&amp;((SUMIFS(History_Q!$B$2:$B$1000,History_Q!$A$2:$A$1000,B$6,History_Q!$C$2:$C$1000,"net_income"))-3),History_Q!$B$2:$B$1000,"&lt;="&amp;(SUMIFS(History_Q!$B$2:$B$1000,History_Q!$A$2:$A$1000,B$6,History_Q!$C$2:$C$1000,"net_income")),History_Q!$E$2:$E$1000,"$m",History_Q!$G$2:$G$1000,"populated")-_xlfn.MINIFS(History_Q!$B$2:$B$1000,History_Q!$C$2:$C$1000,"net_income",History_Q!$B$2:$B$1000,"&gt;="&amp;((SUMIFS(History_Q!$B$2:$B$1000,History_Q!$A$2:$A$1000,B$6,History_Q!$C$2:$C$1000,"net_income"))-3),History_Q!$B$2:$B$1000,"&lt;="&amp;(SUMIFS(History_Q!$B$2:$B$1000,History_Q!$A$2:$A$1000,B$6,History_Q!$C$2:$C$1000,"net_income")),History_Q!$E$2:$E$1000,"$m",History_Q!$G$2:$G$1000,"populated")&lt;&gt;3),"",SUMIFS(History_Q!$D$2:$D$1000,History_Q!$C$2:$C$1000,"net_income",History_Q!$B$2:$B$1000,"&gt;="&amp;((SUMIFS(History_Q!$B$2:$B$1000,History_Q!$A$2:$A$1000,B$6,History_Q!$C$2:$C$1000,"net_income"))-3),History_Q!$B$2:$B$1000,"&lt;="&amp;(SUMIFS(History_Q!$B$2:$B$1000,History_Q!$A$2:$A$1000,B$6,History_Q!$C$2:$C$1000,"net_income")),History_Q!$E$2:$E$1000,"$m",History_Q!$G$2:$G$1000,"populated"))</f>
        <v/>
      </c>
      <c r="C39" s="450">
        <f>IF(OR(C$6="",COUNTIFS(History_Q!$C$2:$C$1000,"net_income",History_Q!$B$2:$B$1000,"&gt;="&amp;((SUMIFS(History_Q!$B$2:$B$1000,History_Q!$A$2:$A$1000,C$6,History_Q!$C$2:$C$1000,"net_income"))-3),History_Q!$B$2:$B$1000,"&lt;="&amp;(SUMIFS(History_Q!$B$2:$B$1000,History_Q!$A$2:$A$1000,C$6,History_Q!$C$2:$C$1000,"net_income")),History_Q!$E$2:$E$1000,"$m",History_Q!$G$2:$G$1000,"populated")&lt;&gt;4,_xlfn.MAXIFS(History_Q!$B$2:$B$1000,History_Q!$C$2:$C$1000,"net_income",History_Q!$B$2:$B$1000,"&gt;="&amp;((SUMIFS(History_Q!$B$2:$B$1000,History_Q!$A$2:$A$1000,C$6,History_Q!$C$2:$C$1000,"net_income"))-3),History_Q!$B$2:$B$1000,"&lt;="&amp;(SUMIFS(History_Q!$B$2:$B$1000,History_Q!$A$2:$A$1000,C$6,History_Q!$C$2:$C$1000,"net_income")),History_Q!$E$2:$E$1000,"$m",History_Q!$G$2:$G$1000,"populated")-_xlfn.MINIFS(History_Q!$B$2:$B$1000,History_Q!$C$2:$C$1000,"net_income",History_Q!$B$2:$B$1000,"&gt;="&amp;((SUMIFS(History_Q!$B$2:$B$1000,History_Q!$A$2:$A$1000,C$6,History_Q!$C$2:$C$1000,"net_income"))-3),History_Q!$B$2:$B$1000,"&lt;="&amp;(SUMIFS(History_Q!$B$2:$B$1000,History_Q!$A$2:$A$1000,C$6,History_Q!$C$2:$C$1000,"net_income")),History_Q!$E$2:$E$1000,"$m",History_Q!$G$2:$G$1000,"populated")&lt;&gt;3),"",SUMIFS(History_Q!$D$2:$D$1000,History_Q!$C$2:$C$1000,"net_income",History_Q!$B$2:$B$1000,"&gt;="&amp;((SUMIFS(History_Q!$B$2:$B$1000,History_Q!$A$2:$A$1000,C$6,History_Q!$C$2:$C$1000,"net_income"))-3),History_Q!$B$2:$B$1000,"&lt;="&amp;(SUMIFS(History_Q!$B$2:$B$1000,History_Q!$A$2:$A$1000,C$6,History_Q!$C$2:$C$1000,"net_income")),History_Q!$E$2:$E$1000,"$m",History_Q!$G$2:$G$1000,"populated"))</f>
        <v/>
      </c>
      <c r="D39" s="450">
        <f>IF(OR(D$6="",COUNTIFS(History_Q!$C$2:$C$1000,"net_income",History_Q!$B$2:$B$1000,"&gt;="&amp;((SUMIFS(History_Q!$B$2:$B$1000,History_Q!$A$2:$A$1000,D$6,History_Q!$C$2:$C$1000,"net_income"))-3),History_Q!$B$2:$B$1000,"&lt;="&amp;(SUMIFS(History_Q!$B$2:$B$1000,History_Q!$A$2:$A$1000,D$6,History_Q!$C$2:$C$1000,"net_income")),History_Q!$E$2:$E$1000,"$m",History_Q!$G$2:$G$1000,"populated")&lt;&gt;4,_xlfn.MAXIFS(History_Q!$B$2:$B$1000,History_Q!$C$2:$C$1000,"net_income",History_Q!$B$2:$B$1000,"&gt;="&amp;((SUMIFS(History_Q!$B$2:$B$1000,History_Q!$A$2:$A$1000,D$6,History_Q!$C$2:$C$1000,"net_income"))-3),History_Q!$B$2:$B$1000,"&lt;="&amp;(SUMIFS(History_Q!$B$2:$B$1000,History_Q!$A$2:$A$1000,D$6,History_Q!$C$2:$C$1000,"net_income")),History_Q!$E$2:$E$1000,"$m",History_Q!$G$2:$G$1000,"populated")-_xlfn.MINIFS(History_Q!$B$2:$B$1000,History_Q!$C$2:$C$1000,"net_income",History_Q!$B$2:$B$1000,"&gt;="&amp;((SUMIFS(History_Q!$B$2:$B$1000,History_Q!$A$2:$A$1000,D$6,History_Q!$C$2:$C$1000,"net_income"))-3),History_Q!$B$2:$B$1000,"&lt;="&amp;(SUMIFS(History_Q!$B$2:$B$1000,History_Q!$A$2:$A$1000,D$6,History_Q!$C$2:$C$1000,"net_income")),History_Q!$E$2:$E$1000,"$m",History_Q!$G$2:$G$1000,"populated")&lt;&gt;3),"",SUMIFS(History_Q!$D$2:$D$1000,History_Q!$C$2:$C$1000,"net_income",History_Q!$B$2:$B$1000,"&gt;="&amp;((SUMIFS(History_Q!$B$2:$B$1000,History_Q!$A$2:$A$1000,D$6,History_Q!$C$2:$C$1000,"net_income"))-3),History_Q!$B$2:$B$1000,"&lt;="&amp;(SUMIFS(History_Q!$B$2:$B$1000,History_Q!$A$2:$A$1000,D$6,History_Q!$C$2:$C$1000,"net_income")),History_Q!$E$2:$E$1000,"$m",History_Q!$G$2:$G$1000,"populated"))</f>
        <v/>
      </c>
      <c r="E39" s="450">
        <f>IF(OR(E$6="",COUNTIFS(History_Q!$C$2:$C$1000,"net_income",History_Q!$B$2:$B$1000,"&gt;="&amp;((SUMIFS(History_Q!$B$2:$B$1000,History_Q!$A$2:$A$1000,E$6,History_Q!$C$2:$C$1000,"net_income"))-3),History_Q!$B$2:$B$1000,"&lt;="&amp;(SUMIFS(History_Q!$B$2:$B$1000,History_Q!$A$2:$A$1000,E$6,History_Q!$C$2:$C$1000,"net_income")),History_Q!$E$2:$E$1000,"$m",History_Q!$G$2:$G$1000,"populated")&lt;&gt;4,_xlfn.MAXIFS(History_Q!$B$2:$B$1000,History_Q!$C$2:$C$1000,"net_income",History_Q!$B$2:$B$1000,"&gt;="&amp;((SUMIFS(History_Q!$B$2:$B$1000,History_Q!$A$2:$A$1000,E$6,History_Q!$C$2:$C$1000,"net_income"))-3),History_Q!$B$2:$B$1000,"&lt;="&amp;(SUMIFS(History_Q!$B$2:$B$1000,History_Q!$A$2:$A$1000,E$6,History_Q!$C$2:$C$1000,"net_income")),History_Q!$E$2:$E$1000,"$m",History_Q!$G$2:$G$1000,"populated")-_xlfn.MINIFS(History_Q!$B$2:$B$1000,History_Q!$C$2:$C$1000,"net_income",History_Q!$B$2:$B$1000,"&gt;="&amp;((SUMIFS(History_Q!$B$2:$B$1000,History_Q!$A$2:$A$1000,E$6,History_Q!$C$2:$C$1000,"net_income"))-3),History_Q!$B$2:$B$1000,"&lt;="&amp;(SUMIFS(History_Q!$B$2:$B$1000,History_Q!$A$2:$A$1000,E$6,History_Q!$C$2:$C$1000,"net_income")),History_Q!$E$2:$E$1000,"$m",History_Q!$G$2:$G$1000,"populated")&lt;&gt;3),"",SUMIFS(History_Q!$D$2:$D$1000,History_Q!$C$2:$C$1000,"net_income",History_Q!$B$2:$B$1000,"&gt;="&amp;((SUMIFS(History_Q!$B$2:$B$1000,History_Q!$A$2:$A$1000,E$6,History_Q!$C$2:$C$1000,"net_income"))-3),History_Q!$B$2:$B$1000,"&lt;="&amp;(SUMIFS(History_Q!$B$2:$B$1000,History_Q!$A$2:$A$1000,E$6,History_Q!$C$2:$C$1000,"net_income")),History_Q!$E$2:$E$1000,"$m",History_Q!$G$2:$G$1000,"populated"))</f>
        <v/>
      </c>
      <c r="F39" s="450">
        <f>IF(OR(F$6="",COUNTIFS(History_Q!$C$2:$C$1000,"net_income",History_Q!$B$2:$B$1000,"&gt;="&amp;((SUMIFS(History_Q!$B$2:$B$1000,History_Q!$A$2:$A$1000,F$6,History_Q!$C$2:$C$1000,"net_income"))-3),History_Q!$B$2:$B$1000,"&lt;="&amp;(SUMIFS(History_Q!$B$2:$B$1000,History_Q!$A$2:$A$1000,F$6,History_Q!$C$2:$C$1000,"net_income")),History_Q!$E$2:$E$1000,"$m",History_Q!$G$2:$G$1000,"populated")&lt;&gt;4,_xlfn.MAXIFS(History_Q!$B$2:$B$1000,History_Q!$C$2:$C$1000,"net_income",History_Q!$B$2:$B$1000,"&gt;="&amp;((SUMIFS(History_Q!$B$2:$B$1000,History_Q!$A$2:$A$1000,F$6,History_Q!$C$2:$C$1000,"net_income"))-3),History_Q!$B$2:$B$1000,"&lt;="&amp;(SUMIFS(History_Q!$B$2:$B$1000,History_Q!$A$2:$A$1000,F$6,History_Q!$C$2:$C$1000,"net_income")),History_Q!$E$2:$E$1000,"$m",History_Q!$G$2:$G$1000,"populated")-_xlfn.MINIFS(History_Q!$B$2:$B$1000,History_Q!$C$2:$C$1000,"net_income",History_Q!$B$2:$B$1000,"&gt;="&amp;((SUMIFS(History_Q!$B$2:$B$1000,History_Q!$A$2:$A$1000,F$6,History_Q!$C$2:$C$1000,"net_income"))-3),History_Q!$B$2:$B$1000,"&lt;="&amp;(SUMIFS(History_Q!$B$2:$B$1000,History_Q!$A$2:$A$1000,F$6,History_Q!$C$2:$C$1000,"net_income")),History_Q!$E$2:$E$1000,"$m",History_Q!$G$2:$G$1000,"populated")&lt;&gt;3),"",SUMIFS(History_Q!$D$2:$D$1000,History_Q!$C$2:$C$1000,"net_income",History_Q!$B$2:$B$1000,"&gt;="&amp;((SUMIFS(History_Q!$B$2:$B$1000,History_Q!$A$2:$A$1000,F$6,History_Q!$C$2:$C$1000,"net_income"))-3),History_Q!$B$2:$B$1000,"&lt;="&amp;(SUMIFS(History_Q!$B$2:$B$1000,History_Q!$A$2:$A$1000,F$6,History_Q!$C$2:$C$1000,"net_income")),History_Q!$E$2:$E$1000,"$m",History_Q!$G$2:$G$1000,"populated"))</f>
        <v/>
      </c>
      <c r="G39" s="450">
        <f>IF(OR(G$6="",COUNTIFS(History_Q!$C$2:$C$1000,"net_income",History_Q!$B$2:$B$1000,"&gt;="&amp;((SUMIFS(History_Q!$B$2:$B$1000,History_Q!$A$2:$A$1000,G$6,History_Q!$C$2:$C$1000,"net_income"))-3),History_Q!$B$2:$B$1000,"&lt;="&amp;(SUMIFS(History_Q!$B$2:$B$1000,History_Q!$A$2:$A$1000,G$6,History_Q!$C$2:$C$1000,"net_income")),History_Q!$E$2:$E$1000,"$m",History_Q!$G$2:$G$1000,"populated")&lt;&gt;4,_xlfn.MAXIFS(History_Q!$B$2:$B$1000,History_Q!$C$2:$C$1000,"net_income",History_Q!$B$2:$B$1000,"&gt;="&amp;((SUMIFS(History_Q!$B$2:$B$1000,History_Q!$A$2:$A$1000,G$6,History_Q!$C$2:$C$1000,"net_income"))-3),History_Q!$B$2:$B$1000,"&lt;="&amp;(SUMIFS(History_Q!$B$2:$B$1000,History_Q!$A$2:$A$1000,G$6,History_Q!$C$2:$C$1000,"net_income")),History_Q!$E$2:$E$1000,"$m",History_Q!$G$2:$G$1000,"populated")-_xlfn.MINIFS(History_Q!$B$2:$B$1000,History_Q!$C$2:$C$1000,"net_income",History_Q!$B$2:$B$1000,"&gt;="&amp;((SUMIFS(History_Q!$B$2:$B$1000,History_Q!$A$2:$A$1000,G$6,History_Q!$C$2:$C$1000,"net_income"))-3),History_Q!$B$2:$B$1000,"&lt;="&amp;(SUMIFS(History_Q!$B$2:$B$1000,History_Q!$A$2:$A$1000,G$6,History_Q!$C$2:$C$1000,"net_income")),History_Q!$E$2:$E$1000,"$m",History_Q!$G$2:$G$1000,"populated")&lt;&gt;3),"",SUMIFS(History_Q!$D$2:$D$1000,History_Q!$C$2:$C$1000,"net_income",History_Q!$B$2:$B$1000,"&gt;="&amp;((SUMIFS(History_Q!$B$2:$B$1000,History_Q!$A$2:$A$1000,G$6,History_Q!$C$2:$C$1000,"net_income"))-3),History_Q!$B$2:$B$1000,"&lt;="&amp;(SUMIFS(History_Q!$B$2:$B$1000,History_Q!$A$2:$A$1000,G$6,History_Q!$C$2:$C$1000,"net_income")),History_Q!$E$2:$E$1000,"$m",History_Q!$G$2:$G$1000,"populated"))</f>
        <v/>
      </c>
      <c r="H39" s="450">
        <f>IF(OR(H$6="",COUNTIFS(History_Q!$C$2:$C$1000,"net_income",History_Q!$B$2:$B$1000,"&gt;="&amp;((SUMIFS(History_Q!$B$2:$B$1000,History_Q!$A$2:$A$1000,H$6,History_Q!$C$2:$C$1000,"net_income"))-3),History_Q!$B$2:$B$1000,"&lt;="&amp;(SUMIFS(History_Q!$B$2:$B$1000,History_Q!$A$2:$A$1000,H$6,History_Q!$C$2:$C$1000,"net_income")),History_Q!$E$2:$E$1000,"$m",History_Q!$G$2:$G$1000,"populated")&lt;&gt;4,_xlfn.MAXIFS(History_Q!$B$2:$B$1000,History_Q!$C$2:$C$1000,"net_income",History_Q!$B$2:$B$1000,"&gt;="&amp;((SUMIFS(History_Q!$B$2:$B$1000,History_Q!$A$2:$A$1000,H$6,History_Q!$C$2:$C$1000,"net_income"))-3),History_Q!$B$2:$B$1000,"&lt;="&amp;(SUMIFS(History_Q!$B$2:$B$1000,History_Q!$A$2:$A$1000,H$6,History_Q!$C$2:$C$1000,"net_income")),History_Q!$E$2:$E$1000,"$m",History_Q!$G$2:$G$1000,"populated")-_xlfn.MINIFS(History_Q!$B$2:$B$1000,History_Q!$C$2:$C$1000,"net_income",History_Q!$B$2:$B$1000,"&gt;="&amp;((SUMIFS(History_Q!$B$2:$B$1000,History_Q!$A$2:$A$1000,H$6,History_Q!$C$2:$C$1000,"net_income"))-3),History_Q!$B$2:$B$1000,"&lt;="&amp;(SUMIFS(History_Q!$B$2:$B$1000,History_Q!$A$2:$A$1000,H$6,History_Q!$C$2:$C$1000,"net_income")),History_Q!$E$2:$E$1000,"$m",History_Q!$G$2:$G$1000,"populated")&lt;&gt;3),"",SUMIFS(History_Q!$D$2:$D$1000,History_Q!$C$2:$C$1000,"net_income",History_Q!$B$2:$B$1000,"&gt;="&amp;((SUMIFS(History_Q!$B$2:$B$1000,History_Q!$A$2:$A$1000,H$6,History_Q!$C$2:$C$1000,"net_income"))-3),History_Q!$B$2:$B$1000,"&lt;="&amp;(SUMIFS(History_Q!$B$2:$B$1000,History_Q!$A$2:$A$1000,H$6,History_Q!$C$2:$C$1000,"net_income")),History_Q!$E$2:$E$1000,"$m",History_Q!$G$2:$G$1000,"populated"))</f>
        <v/>
      </c>
      <c r="I39" s="450">
        <f>IF(OR(I$6="",COUNTIFS(History_Q!$C$2:$C$1000,"net_income",History_Q!$B$2:$B$1000,"&gt;="&amp;((SUMIFS(History_Q!$B$2:$B$1000,History_Q!$A$2:$A$1000,I$6,History_Q!$C$2:$C$1000,"net_income"))-3),History_Q!$B$2:$B$1000,"&lt;="&amp;(SUMIFS(History_Q!$B$2:$B$1000,History_Q!$A$2:$A$1000,I$6,History_Q!$C$2:$C$1000,"net_income")),History_Q!$E$2:$E$1000,"$m",History_Q!$G$2:$G$1000,"populated")&lt;&gt;4,_xlfn.MAXIFS(History_Q!$B$2:$B$1000,History_Q!$C$2:$C$1000,"net_income",History_Q!$B$2:$B$1000,"&gt;="&amp;((SUMIFS(History_Q!$B$2:$B$1000,History_Q!$A$2:$A$1000,I$6,History_Q!$C$2:$C$1000,"net_income"))-3),History_Q!$B$2:$B$1000,"&lt;="&amp;(SUMIFS(History_Q!$B$2:$B$1000,History_Q!$A$2:$A$1000,I$6,History_Q!$C$2:$C$1000,"net_income")),History_Q!$E$2:$E$1000,"$m",History_Q!$G$2:$G$1000,"populated")-_xlfn.MINIFS(History_Q!$B$2:$B$1000,History_Q!$C$2:$C$1000,"net_income",History_Q!$B$2:$B$1000,"&gt;="&amp;((SUMIFS(History_Q!$B$2:$B$1000,History_Q!$A$2:$A$1000,I$6,History_Q!$C$2:$C$1000,"net_income"))-3),History_Q!$B$2:$B$1000,"&lt;="&amp;(SUMIFS(History_Q!$B$2:$B$1000,History_Q!$A$2:$A$1000,I$6,History_Q!$C$2:$C$1000,"net_income")),History_Q!$E$2:$E$1000,"$m",History_Q!$G$2:$G$1000,"populated")&lt;&gt;3),"",SUMIFS(History_Q!$D$2:$D$1000,History_Q!$C$2:$C$1000,"net_income",History_Q!$B$2:$B$1000,"&gt;="&amp;((SUMIFS(History_Q!$B$2:$B$1000,History_Q!$A$2:$A$1000,I$6,History_Q!$C$2:$C$1000,"net_income"))-3),History_Q!$B$2:$B$1000,"&lt;="&amp;(SUMIFS(History_Q!$B$2:$B$1000,History_Q!$A$2:$A$1000,I$6,History_Q!$C$2:$C$1000,"net_income")),History_Q!$E$2:$E$1000,"$m",History_Q!$G$2:$G$1000,"populated"))</f>
        <v/>
      </c>
      <c r="J39" s="450">
        <f>IF(OR(J$6="",COUNTIFS(History_Q!$C$2:$C$1000,"net_income",History_Q!$B$2:$B$1000,"&gt;="&amp;((SUMIFS(History_Q!$B$2:$B$1000,History_Q!$A$2:$A$1000,J$6,History_Q!$C$2:$C$1000,"net_income"))-3),History_Q!$B$2:$B$1000,"&lt;="&amp;(SUMIFS(History_Q!$B$2:$B$1000,History_Q!$A$2:$A$1000,J$6,History_Q!$C$2:$C$1000,"net_income")),History_Q!$E$2:$E$1000,"$m",History_Q!$G$2:$G$1000,"populated")&lt;&gt;4,_xlfn.MAXIFS(History_Q!$B$2:$B$1000,History_Q!$C$2:$C$1000,"net_income",History_Q!$B$2:$B$1000,"&gt;="&amp;((SUMIFS(History_Q!$B$2:$B$1000,History_Q!$A$2:$A$1000,J$6,History_Q!$C$2:$C$1000,"net_income"))-3),History_Q!$B$2:$B$1000,"&lt;="&amp;(SUMIFS(History_Q!$B$2:$B$1000,History_Q!$A$2:$A$1000,J$6,History_Q!$C$2:$C$1000,"net_income")),History_Q!$E$2:$E$1000,"$m",History_Q!$G$2:$G$1000,"populated")-_xlfn.MINIFS(History_Q!$B$2:$B$1000,History_Q!$C$2:$C$1000,"net_income",History_Q!$B$2:$B$1000,"&gt;="&amp;((SUMIFS(History_Q!$B$2:$B$1000,History_Q!$A$2:$A$1000,J$6,History_Q!$C$2:$C$1000,"net_income"))-3),History_Q!$B$2:$B$1000,"&lt;="&amp;(SUMIFS(History_Q!$B$2:$B$1000,History_Q!$A$2:$A$1000,J$6,History_Q!$C$2:$C$1000,"net_income")),History_Q!$E$2:$E$1000,"$m",History_Q!$G$2:$G$1000,"populated")&lt;&gt;3),"",SUMIFS(History_Q!$D$2:$D$1000,History_Q!$C$2:$C$1000,"net_income",History_Q!$B$2:$B$1000,"&gt;="&amp;((SUMIFS(History_Q!$B$2:$B$1000,History_Q!$A$2:$A$1000,J$6,History_Q!$C$2:$C$1000,"net_income"))-3),History_Q!$B$2:$B$1000,"&lt;="&amp;(SUMIFS(History_Q!$B$2:$B$1000,History_Q!$A$2:$A$1000,J$6,History_Q!$C$2:$C$1000,"net_income")),History_Q!$E$2:$E$1000,"$m",History_Q!$G$2:$G$1000,"populated"))</f>
        <v/>
      </c>
      <c r="K39" s="450">
        <f>IF(OR(K$6="",COUNTIFS(History_Q!$C$2:$C$1000,"net_income",History_Q!$B$2:$B$1000,"&gt;="&amp;((SUMIFS(History_Q!$B$2:$B$1000,History_Q!$A$2:$A$1000,K$6,History_Q!$C$2:$C$1000,"net_income"))-3),History_Q!$B$2:$B$1000,"&lt;="&amp;(SUMIFS(History_Q!$B$2:$B$1000,History_Q!$A$2:$A$1000,K$6,History_Q!$C$2:$C$1000,"net_income")),History_Q!$E$2:$E$1000,"$m",History_Q!$G$2:$G$1000,"populated")&lt;&gt;4,_xlfn.MAXIFS(History_Q!$B$2:$B$1000,History_Q!$C$2:$C$1000,"net_income",History_Q!$B$2:$B$1000,"&gt;="&amp;((SUMIFS(History_Q!$B$2:$B$1000,History_Q!$A$2:$A$1000,K$6,History_Q!$C$2:$C$1000,"net_income"))-3),History_Q!$B$2:$B$1000,"&lt;="&amp;(SUMIFS(History_Q!$B$2:$B$1000,History_Q!$A$2:$A$1000,K$6,History_Q!$C$2:$C$1000,"net_income")),History_Q!$E$2:$E$1000,"$m",History_Q!$G$2:$G$1000,"populated")-_xlfn.MINIFS(History_Q!$B$2:$B$1000,History_Q!$C$2:$C$1000,"net_income",History_Q!$B$2:$B$1000,"&gt;="&amp;((SUMIFS(History_Q!$B$2:$B$1000,History_Q!$A$2:$A$1000,K$6,History_Q!$C$2:$C$1000,"net_income"))-3),History_Q!$B$2:$B$1000,"&lt;="&amp;(SUMIFS(History_Q!$B$2:$B$1000,History_Q!$A$2:$A$1000,K$6,History_Q!$C$2:$C$1000,"net_income")),History_Q!$E$2:$E$1000,"$m",History_Q!$G$2:$G$1000,"populated")&lt;&gt;3),"",SUMIFS(History_Q!$D$2:$D$1000,History_Q!$C$2:$C$1000,"net_income",History_Q!$B$2:$B$1000,"&gt;="&amp;((SUMIFS(History_Q!$B$2:$B$1000,History_Q!$A$2:$A$1000,K$6,History_Q!$C$2:$C$1000,"net_income"))-3),History_Q!$B$2:$B$1000,"&lt;="&amp;(SUMIFS(History_Q!$B$2:$B$1000,History_Q!$A$2:$A$1000,K$6,History_Q!$C$2:$C$1000,"net_income")),History_Q!$E$2:$E$1000,"$m",History_Q!$G$2:$G$1000,"populated"))</f>
        <v/>
      </c>
      <c r="L39" s="450">
        <f>IF(OR(L$6="",COUNTIFS(History_Q!$C$2:$C$1000,"net_income",History_Q!$B$2:$B$1000,"&gt;="&amp;((SUMIFS(History_Q!$B$2:$B$1000,History_Q!$A$2:$A$1000,L$6,History_Q!$C$2:$C$1000,"net_income"))-3),History_Q!$B$2:$B$1000,"&lt;="&amp;(SUMIFS(History_Q!$B$2:$B$1000,History_Q!$A$2:$A$1000,L$6,History_Q!$C$2:$C$1000,"net_income")),History_Q!$E$2:$E$1000,"$m",History_Q!$G$2:$G$1000,"populated")&lt;&gt;4,_xlfn.MAXIFS(History_Q!$B$2:$B$1000,History_Q!$C$2:$C$1000,"net_income",History_Q!$B$2:$B$1000,"&gt;="&amp;((SUMIFS(History_Q!$B$2:$B$1000,History_Q!$A$2:$A$1000,L$6,History_Q!$C$2:$C$1000,"net_income"))-3),History_Q!$B$2:$B$1000,"&lt;="&amp;(SUMIFS(History_Q!$B$2:$B$1000,History_Q!$A$2:$A$1000,L$6,History_Q!$C$2:$C$1000,"net_income")),History_Q!$E$2:$E$1000,"$m",History_Q!$G$2:$G$1000,"populated")-_xlfn.MINIFS(History_Q!$B$2:$B$1000,History_Q!$C$2:$C$1000,"net_income",History_Q!$B$2:$B$1000,"&gt;="&amp;((SUMIFS(History_Q!$B$2:$B$1000,History_Q!$A$2:$A$1000,L$6,History_Q!$C$2:$C$1000,"net_income"))-3),History_Q!$B$2:$B$1000,"&lt;="&amp;(SUMIFS(History_Q!$B$2:$B$1000,History_Q!$A$2:$A$1000,L$6,History_Q!$C$2:$C$1000,"net_income")),History_Q!$E$2:$E$1000,"$m",History_Q!$G$2:$G$1000,"populated")&lt;&gt;3),"",SUMIFS(History_Q!$D$2:$D$1000,History_Q!$C$2:$C$1000,"net_income",History_Q!$B$2:$B$1000,"&gt;="&amp;((SUMIFS(History_Q!$B$2:$B$1000,History_Q!$A$2:$A$1000,L$6,History_Q!$C$2:$C$1000,"net_income"))-3),History_Q!$B$2:$B$1000,"&lt;="&amp;(SUMIFS(History_Q!$B$2:$B$1000,History_Q!$A$2:$A$1000,L$6,History_Q!$C$2:$C$1000,"net_income")),History_Q!$E$2:$E$1000,"$m",History_Q!$G$2:$G$1000,"populated"))</f>
        <v/>
      </c>
      <c r="M39" s="450">
        <f>IF(OR(M$6="",COUNTIFS(History_Q!$C$2:$C$1000,"net_income",History_Q!$B$2:$B$1000,"&gt;="&amp;((SUMIFS(History_Q!$B$2:$B$1000,History_Q!$A$2:$A$1000,M$6,History_Q!$C$2:$C$1000,"net_income"))-3),History_Q!$B$2:$B$1000,"&lt;="&amp;(SUMIFS(History_Q!$B$2:$B$1000,History_Q!$A$2:$A$1000,M$6,History_Q!$C$2:$C$1000,"net_income")),History_Q!$E$2:$E$1000,"$m",History_Q!$G$2:$G$1000,"populated")&lt;&gt;4,_xlfn.MAXIFS(History_Q!$B$2:$B$1000,History_Q!$C$2:$C$1000,"net_income",History_Q!$B$2:$B$1000,"&gt;="&amp;((SUMIFS(History_Q!$B$2:$B$1000,History_Q!$A$2:$A$1000,M$6,History_Q!$C$2:$C$1000,"net_income"))-3),History_Q!$B$2:$B$1000,"&lt;="&amp;(SUMIFS(History_Q!$B$2:$B$1000,History_Q!$A$2:$A$1000,M$6,History_Q!$C$2:$C$1000,"net_income")),History_Q!$E$2:$E$1000,"$m",History_Q!$G$2:$G$1000,"populated")-_xlfn.MINIFS(History_Q!$B$2:$B$1000,History_Q!$C$2:$C$1000,"net_income",History_Q!$B$2:$B$1000,"&gt;="&amp;((SUMIFS(History_Q!$B$2:$B$1000,History_Q!$A$2:$A$1000,M$6,History_Q!$C$2:$C$1000,"net_income"))-3),History_Q!$B$2:$B$1000,"&lt;="&amp;(SUMIFS(History_Q!$B$2:$B$1000,History_Q!$A$2:$A$1000,M$6,History_Q!$C$2:$C$1000,"net_income")),History_Q!$E$2:$E$1000,"$m",History_Q!$G$2:$G$1000,"populated")&lt;&gt;3),"",SUMIFS(History_Q!$D$2:$D$1000,History_Q!$C$2:$C$1000,"net_income",History_Q!$B$2:$B$1000,"&gt;="&amp;((SUMIFS(History_Q!$B$2:$B$1000,History_Q!$A$2:$A$1000,M$6,History_Q!$C$2:$C$1000,"net_income"))-3),History_Q!$B$2:$B$1000,"&lt;="&amp;(SUMIFS(History_Q!$B$2:$B$1000,History_Q!$A$2:$A$1000,M$6,History_Q!$C$2:$C$1000,"net_income")),History_Q!$E$2:$E$1000,"$m",History_Q!$G$2:$G$1000,"populated"))</f>
        <v/>
      </c>
      <c r="N39" s="22" t="n"/>
      <c r="AD39" s="22" t="n"/>
      <c r="AE39" s="22" t="n"/>
      <c r="AF39" s="22" t="n"/>
      <c r="AG39" s="22" t="n"/>
      <c r="AH39" s="22" t="n"/>
      <c r="AI39" s="22" t="n"/>
    </row>
    <row r="40" ht="19.5" customHeight="1">
      <c r="A40" s="48" t="inlineStr">
        <is>
          <t>Net margin (TTM)</t>
        </is>
      </c>
      <c r="B40" s="451">
        <f>IF(OR(B39="",B10="",B10=0),"",B39/B10)</f>
        <v/>
      </c>
      <c r="C40" s="451">
        <f>IF(OR(C39="",C10="",C10=0),"",C39/C10)</f>
        <v/>
      </c>
      <c r="D40" s="451">
        <f>IF(OR(D39="",D10="",D10=0),"",D39/D10)</f>
        <v/>
      </c>
      <c r="E40" s="451">
        <f>IF(OR(E39="",E10="",E10=0),"",E39/E10)</f>
        <v/>
      </c>
      <c r="F40" s="451">
        <f>IF(OR(F39="",F10="",F10=0),"",F39/F10)</f>
        <v/>
      </c>
      <c r="G40" s="451">
        <f>IF(OR(G39="",G10="",G10=0),"",G39/G10)</f>
        <v/>
      </c>
      <c r="H40" s="451">
        <f>IF(OR(H39="",H10="",H10=0),"",H39/H10)</f>
        <v/>
      </c>
      <c r="I40" s="451">
        <f>IF(OR(I39="",I10="",I10=0),"",I39/I10)</f>
        <v/>
      </c>
      <c r="J40" s="451">
        <f>IF(OR(J39="",J10="",J10=0),"",J39/J10)</f>
        <v/>
      </c>
      <c r="K40" s="451">
        <f>IF(OR(K39="",K10="",K10=0),"",K39/K10)</f>
        <v/>
      </c>
      <c r="L40" s="451">
        <f>IF(OR(L39="",L10="",L10=0),"",L39/L10)</f>
        <v/>
      </c>
      <c r="M40" s="451">
        <f>IF(OR(M39="",M10="",M10=0),"",M39/M10)</f>
        <v/>
      </c>
      <c r="N40" s="22" t="n"/>
      <c r="AD40" s="22" t="n"/>
      <c r="AE40" s="22" t="n"/>
      <c r="AF40" s="22" t="n"/>
      <c r="AG40" s="22" t="n"/>
      <c r="AH40" s="22" t="n"/>
      <c r="AI40" s="22" t="n"/>
    </row>
    <row r="41" ht="19.5" customHeight="1">
      <c r="A41" s="38" t="inlineStr">
        <is>
          <t>Cash Flow</t>
        </is>
      </c>
      <c r="B41" s="39" t="n"/>
      <c r="C41" s="39" t="n"/>
      <c r="D41" s="39" t="n"/>
      <c r="E41" s="39" t="n"/>
      <c r="F41" s="39" t="n"/>
      <c r="G41" s="39" t="n"/>
      <c r="H41" s="39" t="n"/>
      <c r="I41" s="39" t="n"/>
      <c r="J41" s="39" t="n"/>
      <c r="K41" s="39" t="n"/>
      <c r="L41" s="39" t="n"/>
      <c r="M41" s="39" t="n"/>
      <c r="N41" s="22" t="n"/>
      <c r="AD41" s="22" t="n"/>
      <c r="AE41" s="22" t="n"/>
      <c r="AF41" s="22" t="n"/>
      <c r="AG41" s="22" t="n"/>
      <c r="AH41" s="22" t="n"/>
      <c r="AI41" s="22" t="n"/>
    </row>
    <row r="42" ht="19.5" customHeight="1">
      <c r="A42" s="96" t="inlineStr">
        <is>
          <t>Core cash flow</t>
        </is>
      </c>
      <c r="B42" s="104" t="n"/>
      <c r="C42" s="104" t="n"/>
      <c r="D42" s="104" t="n"/>
      <c r="E42" s="104" t="n"/>
      <c r="F42" s="104" t="n"/>
      <c r="G42" s="104" t="n"/>
      <c r="H42" s="104" t="n"/>
      <c r="I42" s="104" t="n"/>
      <c r="J42" s="104" t="n"/>
      <c r="K42" s="104" t="n"/>
      <c r="L42" s="104" t="n"/>
      <c r="M42" s="105" t="n"/>
      <c r="N42" s="22" t="n"/>
      <c r="AD42" s="22" t="n"/>
      <c r="AE42" s="22" t="n"/>
      <c r="AF42" s="22" t="n"/>
      <c r="AG42" s="22" t="n"/>
      <c r="AH42" s="22" t="n"/>
      <c r="AI42" s="22" t="n"/>
    </row>
    <row r="43" ht="19.5" customHeight="1">
      <c r="A43" s="48" t="inlineStr">
        <is>
          <t>CFO</t>
        </is>
      </c>
      <c r="B43" s="62" t="n"/>
      <c r="C43" s="62" t="n"/>
      <c r="D43" s="62" t="n"/>
      <c r="E43" s="62" t="n"/>
      <c r="F43" s="62" t="n"/>
      <c r="G43" s="62" t="n"/>
      <c r="H43" s="62" t="n"/>
      <c r="I43" s="62" t="n"/>
      <c r="J43" s="62" t="n"/>
      <c r="K43" s="62" t="n"/>
      <c r="L43" s="62" t="n"/>
      <c r="M43" s="62" t="n"/>
      <c r="N43" s="22" t="n"/>
      <c r="AD43" s="22" t="n"/>
      <c r="AE43" s="22" t="n"/>
      <c r="AF43" s="22" t="n"/>
      <c r="AG43" s="22" t="n"/>
      <c r="AH43" s="22" t="n"/>
      <c r="AI43" s="22" t="n"/>
    </row>
    <row r="44" ht="19.5" customHeight="1">
      <c r="A44" s="48" t="inlineStr">
        <is>
          <t>Capex</t>
        </is>
      </c>
      <c r="B44" s="62" t="n"/>
      <c r="C44" s="62" t="n"/>
      <c r="D44" s="62" t="n"/>
      <c r="E44" s="62" t="n"/>
      <c r="F44" s="62" t="n"/>
      <c r="G44" s="62" t="n"/>
      <c r="H44" s="62" t="n"/>
      <c r="I44" s="62" t="n"/>
      <c r="J44" s="62" t="n"/>
      <c r="K44" s="62" t="n"/>
      <c r="L44" s="62" t="n"/>
      <c r="M44" s="62" t="n"/>
      <c r="N44" s="22" t="n"/>
      <c r="AD44" s="22" t="n"/>
      <c r="AE44" s="22" t="n"/>
      <c r="AF44" s="22" t="n"/>
      <c r="AG44" s="22" t="n"/>
      <c r="AH44" s="22" t="n"/>
      <c r="AI44" s="22" t="n"/>
    </row>
    <row r="45" ht="19.5" customHeight="1">
      <c r="A45" s="48" t="inlineStr">
        <is>
          <t>Capex % of revenue</t>
        </is>
      </c>
      <c r="B45" s="451">
        <f>IF(OR(B44="",B9="",B9=0),"",B44/B9)</f>
        <v/>
      </c>
      <c r="C45" s="451">
        <f>IF(OR(C44="",C9="",C9=0),"",C44/C9)</f>
        <v/>
      </c>
      <c r="D45" s="451">
        <f>IF(OR(D44="",D9="",D9=0),"",D44/D9)</f>
        <v/>
      </c>
      <c r="E45" s="451">
        <f>IF(OR(E44="",E9="",E9=0),"",E44/E9)</f>
        <v/>
      </c>
      <c r="F45" s="451">
        <f>IF(OR(F44="",F9="",F9=0),"",F44/F9)</f>
        <v/>
      </c>
      <c r="G45" s="451">
        <f>IF(OR(G44="",G9="",G9=0),"",G44/G9)</f>
        <v/>
      </c>
      <c r="H45" s="451">
        <f>IF(OR(H44="",H9="",H9=0),"",H44/H9)</f>
        <v/>
      </c>
      <c r="I45" s="451">
        <f>IF(OR(I44="",I9="",I9=0),"",I44/I9)</f>
        <v/>
      </c>
      <c r="J45" s="451">
        <f>IF(OR(J44="",J9="",J9=0),"",J44/J9)</f>
        <v/>
      </c>
      <c r="K45" s="451">
        <f>IF(OR(K44="",K9="",K9=0),"",K44/K9)</f>
        <v/>
      </c>
      <c r="L45" s="451">
        <f>IF(OR(L44="",L9="",L9=0),"",L44/L9)</f>
        <v/>
      </c>
      <c r="M45" s="451">
        <f>IF(OR(M44="",M9="",M9=0),"",M44/M9)</f>
        <v/>
      </c>
      <c r="N45" s="22" t="n"/>
      <c r="AD45" s="22" t="n"/>
      <c r="AE45" s="22" t="n"/>
      <c r="AF45" s="22" t="n"/>
      <c r="AG45" s="22" t="n"/>
      <c r="AH45" s="22" t="n"/>
      <c r="AI45" s="22" t="n"/>
    </row>
    <row r="46" ht="19.5" customHeight="1">
      <c r="A46" s="48" t="inlineStr">
        <is>
          <t>Capex % of revenue (TTM)</t>
        </is>
      </c>
      <c r="B46" s="451">
        <f>IF(OR(B$6="",COUNTIFS(History_Q!$C$2:$C$1000,"capital_expenditures",History_Q!$B$2:$B$1000,"&gt;="&amp;((SUMIFS(History_Q!$B$2:$B$1000,History_Q!$A$2:$A$1000,B$6,History_Q!$C$2:$C$1000,"capital_expenditures"))-3),History_Q!$B$2:$B$1000,"&lt;="&amp;(SUMIFS(History_Q!$B$2:$B$1000,History_Q!$A$2:$A$1000,B$6,History_Q!$C$2:$C$1000,"capital_expenditures")),History_Q!$E$2:$E$1000,"$m",History_Q!$G$2:$G$1000,"populated")&lt;&gt;4,COUNTIFS(History_Q!$C$2:$C$1000,"revenue",History_Q!$B$2:$B$1000,"&gt;="&amp;((SUMIFS(History_Q!$B$2:$B$1000,History_Q!$A$2:$A$1000,B$6,History_Q!$C$2:$C$1000,"revenue"))-3),History_Q!$B$2:$B$1000,"&lt;="&amp;(SUMIFS(History_Q!$B$2:$B$1000,History_Q!$A$2:$A$1000,B$6,History_Q!$C$2:$C$1000,"revenue")),History_Q!$E$2:$E$1000,"$m",History_Q!$G$2:$G$1000,"populated")&lt;&gt;4,_xlfn.MAXIFS(History_Q!$B$2:$B$1000,History_Q!$C$2:$C$1000,"capital_expenditures",History_Q!$B$2:$B$1000,"&gt;="&amp;((SUMIFS(History_Q!$B$2:$B$1000,History_Q!$A$2:$A$1000,B$6,History_Q!$C$2:$C$1000,"capital_expenditures"))-3),History_Q!$B$2:$B$1000,"&lt;="&amp;(SUMIFS(History_Q!$B$2:$B$1000,History_Q!$A$2:$A$1000,B$6,History_Q!$C$2:$C$1000,"capital_expenditures")),History_Q!$E$2:$E$1000,"$m",History_Q!$G$2:$G$1000,"populated")-_xlfn.MINIFS(History_Q!$B$2:$B$1000,History_Q!$C$2:$C$1000,"capital_expenditures",History_Q!$B$2:$B$1000,"&gt;="&amp;((SUMIFS(History_Q!$B$2:$B$1000,History_Q!$A$2:$A$1000,B$6,History_Q!$C$2:$C$1000,"capital_expenditures"))-3),History_Q!$B$2:$B$1000,"&lt;="&amp;(SUMIFS(History_Q!$B$2:$B$1000,History_Q!$A$2:$A$1000,B$6,History_Q!$C$2:$C$1000,"capital_expenditures")),History_Q!$E$2:$E$1000,"$m",History_Q!$G$2:$G$1000,"populated")&lt;&gt;3,_xlfn.MAXIFS(History_Q!$B$2:$B$1000,History_Q!$C$2:$C$1000,"revenue",History_Q!$B$2:$B$1000,"&gt;="&amp;((SUMIFS(History_Q!$B$2:$B$1000,History_Q!$A$2:$A$1000,B$6,History_Q!$C$2:$C$1000,"revenue"))-3),History_Q!$B$2:$B$1000,"&lt;="&amp;(SUMIFS(History_Q!$B$2:$B$1000,History_Q!$A$2:$A$1000,B$6,History_Q!$C$2:$C$1000,"revenue")),History_Q!$E$2:$E$1000,"$m",History_Q!$G$2:$G$1000,"populated")-_xlfn.MINIFS(History_Q!$B$2:$B$1000,History_Q!$C$2:$C$1000,"revenue",History_Q!$B$2:$B$1000,"&gt;="&amp;((SUMIFS(History_Q!$B$2:$B$1000,History_Q!$A$2:$A$1000,B$6,History_Q!$C$2:$C$1000,"revenue"))-3),History_Q!$B$2:$B$1000,"&lt;="&amp;(SUMIFS(History_Q!$B$2:$B$1000,History_Q!$A$2:$A$1000,B$6,History_Q!$C$2:$C$1000,"revenue")),History_Q!$E$2:$E$1000,"$m",History_Q!$G$2:$G$1000,"populated")&lt;&gt;3,SUMIFS(History_Q!$D$2:$D$1000,History_Q!$C$2:$C$1000,"revenue",History_Q!$B$2:$B$1000,"&gt;="&amp;((SUMIFS(History_Q!$B$2:$B$1000,History_Q!$A$2:$A$1000,B$6,History_Q!$C$2:$C$1000,"revenue"))-3),History_Q!$B$2:$B$1000,"&lt;="&amp;(SUMIFS(History_Q!$B$2:$B$1000,History_Q!$A$2:$A$1000,B$6,History_Q!$C$2:$C$1000,"revenue")),History_Q!$E$2:$E$1000,"$m",History_Q!$G$2:$G$1000,"populated")=0),"",SUMIFS(History_Q!$D$2:$D$1000,History_Q!$C$2:$C$1000,"capital_expenditures",History_Q!$B$2:$B$1000,"&gt;="&amp;((SUMIFS(History_Q!$B$2:$B$1000,History_Q!$A$2:$A$1000,B$6,History_Q!$C$2:$C$1000,"capital_expenditures"))-3),History_Q!$B$2:$B$1000,"&lt;="&amp;(SUMIFS(History_Q!$B$2:$B$1000,History_Q!$A$2:$A$1000,B$6,History_Q!$C$2:$C$1000,"capital_expenditures")),History_Q!$E$2:$E$1000,"$m",History_Q!$G$2:$G$1000,"populated")/SUMIFS(History_Q!$D$2:$D$1000,History_Q!$C$2:$C$1000,"revenue",History_Q!$B$2:$B$1000,"&gt;="&amp;((SUMIFS(History_Q!$B$2:$B$1000,History_Q!$A$2:$A$1000,B$6,History_Q!$C$2:$C$1000,"revenue"))-3),History_Q!$B$2:$B$1000,"&lt;="&amp;(SUMIFS(History_Q!$B$2:$B$1000,History_Q!$A$2:$A$1000,B$6,History_Q!$C$2:$C$1000,"revenue")),History_Q!$E$2:$E$1000,"$m",History_Q!$G$2:$G$1000,"populated"))</f>
        <v/>
      </c>
      <c r="C46" s="451">
        <f>IF(OR(C$6="",COUNTIFS(History_Q!$C$2:$C$1000,"capital_expenditures",History_Q!$B$2:$B$1000,"&gt;="&amp;((SUMIFS(History_Q!$B$2:$B$1000,History_Q!$A$2:$A$1000,C$6,History_Q!$C$2:$C$1000,"capital_expenditures"))-3),History_Q!$B$2:$B$1000,"&lt;="&amp;(SUMIFS(History_Q!$B$2:$B$1000,History_Q!$A$2:$A$1000,C$6,History_Q!$C$2:$C$1000,"capital_expenditures")),History_Q!$E$2:$E$1000,"$m",History_Q!$G$2:$G$1000,"populated")&lt;&gt;4,COUNTIFS(History_Q!$C$2:$C$1000,"revenue",History_Q!$B$2:$B$1000,"&gt;="&amp;((SUMIFS(History_Q!$B$2:$B$1000,History_Q!$A$2:$A$1000,C$6,History_Q!$C$2:$C$1000,"revenue"))-3),History_Q!$B$2:$B$1000,"&lt;="&amp;(SUMIFS(History_Q!$B$2:$B$1000,History_Q!$A$2:$A$1000,C$6,History_Q!$C$2:$C$1000,"revenue")),History_Q!$E$2:$E$1000,"$m",History_Q!$G$2:$G$1000,"populated")&lt;&gt;4,_xlfn.MAXIFS(History_Q!$B$2:$B$1000,History_Q!$C$2:$C$1000,"capital_expenditures",History_Q!$B$2:$B$1000,"&gt;="&amp;((SUMIFS(History_Q!$B$2:$B$1000,History_Q!$A$2:$A$1000,C$6,History_Q!$C$2:$C$1000,"capital_expenditures"))-3),History_Q!$B$2:$B$1000,"&lt;="&amp;(SUMIFS(History_Q!$B$2:$B$1000,History_Q!$A$2:$A$1000,C$6,History_Q!$C$2:$C$1000,"capital_expenditures")),History_Q!$E$2:$E$1000,"$m",History_Q!$G$2:$G$1000,"populated")-_xlfn.MINIFS(History_Q!$B$2:$B$1000,History_Q!$C$2:$C$1000,"capital_expenditures",History_Q!$B$2:$B$1000,"&gt;="&amp;((SUMIFS(History_Q!$B$2:$B$1000,History_Q!$A$2:$A$1000,C$6,History_Q!$C$2:$C$1000,"capital_expenditures"))-3),History_Q!$B$2:$B$1000,"&lt;="&amp;(SUMIFS(History_Q!$B$2:$B$1000,History_Q!$A$2:$A$1000,C$6,History_Q!$C$2:$C$1000,"capital_expenditures")),History_Q!$E$2:$E$1000,"$m",History_Q!$G$2:$G$1000,"populated")&lt;&gt;3,_xlfn.MAXIFS(History_Q!$B$2:$B$1000,History_Q!$C$2:$C$1000,"revenue",History_Q!$B$2:$B$1000,"&gt;="&amp;((SUMIFS(History_Q!$B$2:$B$1000,History_Q!$A$2:$A$1000,C$6,History_Q!$C$2:$C$1000,"revenue"))-3),History_Q!$B$2:$B$1000,"&lt;="&amp;(SUMIFS(History_Q!$B$2:$B$1000,History_Q!$A$2:$A$1000,C$6,History_Q!$C$2:$C$1000,"revenue")),History_Q!$E$2:$E$1000,"$m",History_Q!$G$2:$G$1000,"populated")-_xlfn.MINIFS(History_Q!$B$2:$B$1000,History_Q!$C$2:$C$1000,"revenue",History_Q!$B$2:$B$1000,"&gt;="&amp;((SUMIFS(History_Q!$B$2:$B$1000,History_Q!$A$2:$A$1000,C$6,History_Q!$C$2:$C$1000,"revenue"))-3),History_Q!$B$2:$B$1000,"&lt;="&amp;(SUMIFS(History_Q!$B$2:$B$1000,History_Q!$A$2:$A$1000,C$6,History_Q!$C$2:$C$1000,"revenue")),History_Q!$E$2:$E$1000,"$m",History_Q!$G$2:$G$1000,"populated")&lt;&gt;3,SUMIFS(History_Q!$D$2:$D$1000,History_Q!$C$2:$C$1000,"revenue",History_Q!$B$2:$B$1000,"&gt;="&amp;((SUMIFS(History_Q!$B$2:$B$1000,History_Q!$A$2:$A$1000,C$6,History_Q!$C$2:$C$1000,"revenue"))-3),History_Q!$B$2:$B$1000,"&lt;="&amp;(SUMIFS(History_Q!$B$2:$B$1000,History_Q!$A$2:$A$1000,C$6,History_Q!$C$2:$C$1000,"revenue")),History_Q!$E$2:$E$1000,"$m",History_Q!$G$2:$G$1000,"populated")=0),"",SUMIFS(History_Q!$D$2:$D$1000,History_Q!$C$2:$C$1000,"capital_expenditures",History_Q!$B$2:$B$1000,"&gt;="&amp;((SUMIFS(History_Q!$B$2:$B$1000,History_Q!$A$2:$A$1000,C$6,History_Q!$C$2:$C$1000,"capital_expenditures"))-3),History_Q!$B$2:$B$1000,"&lt;="&amp;(SUMIFS(History_Q!$B$2:$B$1000,History_Q!$A$2:$A$1000,C$6,History_Q!$C$2:$C$1000,"capital_expenditures")),History_Q!$E$2:$E$1000,"$m",History_Q!$G$2:$G$1000,"populated")/SUMIFS(History_Q!$D$2:$D$1000,History_Q!$C$2:$C$1000,"revenue",History_Q!$B$2:$B$1000,"&gt;="&amp;((SUMIFS(History_Q!$B$2:$B$1000,History_Q!$A$2:$A$1000,C$6,History_Q!$C$2:$C$1000,"revenue"))-3),History_Q!$B$2:$B$1000,"&lt;="&amp;(SUMIFS(History_Q!$B$2:$B$1000,History_Q!$A$2:$A$1000,C$6,History_Q!$C$2:$C$1000,"revenue")),History_Q!$E$2:$E$1000,"$m",History_Q!$G$2:$G$1000,"populated"))</f>
        <v/>
      </c>
      <c r="D46" s="451">
        <f>IF(OR(D$6="",COUNTIFS(History_Q!$C$2:$C$1000,"capital_expenditures",History_Q!$B$2:$B$1000,"&gt;="&amp;((SUMIFS(History_Q!$B$2:$B$1000,History_Q!$A$2:$A$1000,D$6,History_Q!$C$2:$C$1000,"capital_expenditures"))-3),History_Q!$B$2:$B$1000,"&lt;="&amp;(SUMIFS(History_Q!$B$2:$B$1000,History_Q!$A$2:$A$1000,D$6,History_Q!$C$2:$C$1000,"capital_expenditures")),History_Q!$E$2:$E$1000,"$m",History_Q!$G$2:$G$1000,"populated")&lt;&gt;4,COUNTIFS(History_Q!$C$2:$C$1000,"revenue",History_Q!$B$2:$B$1000,"&gt;="&amp;((SUMIFS(History_Q!$B$2:$B$1000,History_Q!$A$2:$A$1000,D$6,History_Q!$C$2:$C$1000,"revenue"))-3),History_Q!$B$2:$B$1000,"&lt;="&amp;(SUMIFS(History_Q!$B$2:$B$1000,History_Q!$A$2:$A$1000,D$6,History_Q!$C$2:$C$1000,"revenue")),History_Q!$E$2:$E$1000,"$m",History_Q!$G$2:$G$1000,"populated")&lt;&gt;4,_xlfn.MAXIFS(History_Q!$B$2:$B$1000,History_Q!$C$2:$C$1000,"capital_expenditures",History_Q!$B$2:$B$1000,"&gt;="&amp;((SUMIFS(History_Q!$B$2:$B$1000,History_Q!$A$2:$A$1000,D$6,History_Q!$C$2:$C$1000,"capital_expenditures"))-3),History_Q!$B$2:$B$1000,"&lt;="&amp;(SUMIFS(History_Q!$B$2:$B$1000,History_Q!$A$2:$A$1000,D$6,History_Q!$C$2:$C$1000,"capital_expenditures")),History_Q!$E$2:$E$1000,"$m",History_Q!$G$2:$G$1000,"populated")-_xlfn.MINIFS(History_Q!$B$2:$B$1000,History_Q!$C$2:$C$1000,"capital_expenditures",History_Q!$B$2:$B$1000,"&gt;="&amp;((SUMIFS(History_Q!$B$2:$B$1000,History_Q!$A$2:$A$1000,D$6,History_Q!$C$2:$C$1000,"capital_expenditures"))-3),History_Q!$B$2:$B$1000,"&lt;="&amp;(SUMIFS(History_Q!$B$2:$B$1000,History_Q!$A$2:$A$1000,D$6,History_Q!$C$2:$C$1000,"capital_expenditures")),History_Q!$E$2:$E$1000,"$m",History_Q!$G$2:$G$1000,"populated")&lt;&gt;3,_xlfn.MAXIFS(History_Q!$B$2:$B$1000,History_Q!$C$2:$C$1000,"revenue",History_Q!$B$2:$B$1000,"&gt;="&amp;((SUMIFS(History_Q!$B$2:$B$1000,History_Q!$A$2:$A$1000,D$6,History_Q!$C$2:$C$1000,"revenue"))-3),History_Q!$B$2:$B$1000,"&lt;="&amp;(SUMIFS(History_Q!$B$2:$B$1000,History_Q!$A$2:$A$1000,D$6,History_Q!$C$2:$C$1000,"revenue")),History_Q!$E$2:$E$1000,"$m",History_Q!$G$2:$G$1000,"populated")-_xlfn.MINIFS(History_Q!$B$2:$B$1000,History_Q!$C$2:$C$1000,"revenue",History_Q!$B$2:$B$1000,"&gt;="&amp;((SUMIFS(History_Q!$B$2:$B$1000,History_Q!$A$2:$A$1000,D$6,History_Q!$C$2:$C$1000,"revenue"))-3),History_Q!$B$2:$B$1000,"&lt;="&amp;(SUMIFS(History_Q!$B$2:$B$1000,History_Q!$A$2:$A$1000,D$6,History_Q!$C$2:$C$1000,"revenue")),History_Q!$E$2:$E$1000,"$m",History_Q!$G$2:$G$1000,"populated")&lt;&gt;3,SUMIFS(History_Q!$D$2:$D$1000,History_Q!$C$2:$C$1000,"revenue",History_Q!$B$2:$B$1000,"&gt;="&amp;((SUMIFS(History_Q!$B$2:$B$1000,History_Q!$A$2:$A$1000,D$6,History_Q!$C$2:$C$1000,"revenue"))-3),History_Q!$B$2:$B$1000,"&lt;="&amp;(SUMIFS(History_Q!$B$2:$B$1000,History_Q!$A$2:$A$1000,D$6,History_Q!$C$2:$C$1000,"revenue")),History_Q!$E$2:$E$1000,"$m",History_Q!$G$2:$G$1000,"populated")=0),"",SUMIFS(History_Q!$D$2:$D$1000,History_Q!$C$2:$C$1000,"capital_expenditures",History_Q!$B$2:$B$1000,"&gt;="&amp;((SUMIFS(History_Q!$B$2:$B$1000,History_Q!$A$2:$A$1000,D$6,History_Q!$C$2:$C$1000,"capital_expenditures"))-3),History_Q!$B$2:$B$1000,"&lt;="&amp;(SUMIFS(History_Q!$B$2:$B$1000,History_Q!$A$2:$A$1000,D$6,History_Q!$C$2:$C$1000,"capital_expenditures")),History_Q!$E$2:$E$1000,"$m",History_Q!$G$2:$G$1000,"populated")/SUMIFS(History_Q!$D$2:$D$1000,History_Q!$C$2:$C$1000,"revenue",History_Q!$B$2:$B$1000,"&gt;="&amp;((SUMIFS(History_Q!$B$2:$B$1000,History_Q!$A$2:$A$1000,D$6,History_Q!$C$2:$C$1000,"revenue"))-3),History_Q!$B$2:$B$1000,"&lt;="&amp;(SUMIFS(History_Q!$B$2:$B$1000,History_Q!$A$2:$A$1000,D$6,History_Q!$C$2:$C$1000,"revenue")),History_Q!$E$2:$E$1000,"$m",History_Q!$G$2:$G$1000,"populated"))</f>
        <v/>
      </c>
      <c r="E46" s="451">
        <f>IF(OR(E$6="",COUNTIFS(History_Q!$C$2:$C$1000,"capital_expenditures",History_Q!$B$2:$B$1000,"&gt;="&amp;((SUMIFS(History_Q!$B$2:$B$1000,History_Q!$A$2:$A$1000,E$6,History_Q!$C$2:$C$1000,"capital_expenditures"))-3),History_Q!$B$2:$B$1000,"&lt;="&amp;(SUMIFS(History_Q!$B$2:$B$1000,History_Q!$A$2:$A$1000,E$6,History_Q!$C$2:$C$1000,"capital_expenditures")),History_Q!$E$2:$E$1000,"$m",History_Q!$G$2:$G$1000,"populated")&lt;&gt;4,COUNTIFS(History_Q!$C$2:$C$1000,"revenue",History_Q!$B$2:$B$1000,"&gt;="&amp;((SUMIFS(History_Q!$B$2:$B$1000,History_Q!$A$2:$A$1000,E$6,History_Q!$C$2:$C$1000,"revenue"))-3),History_Q!$B$2:$B$1000,"&lt;="&amp;(SUMIFS(History_Q!$B$2:$B$1000,History_Q!$A$2:$A$1000,E$6,History_Q!$C$2:$C$1000,"revenue")),History_Q!$E$2:$E$1000,"$m",History_Q!$G$2:$G$1000,"populated")&lt;&gt;4,_xlfn.MAXIFS(History_Q!$B$2:$B$1000,History_Q!$C$2:$C$1000,"capital_expenditures",History_Q!$B$2:$B$1000,"&gt;="&amp;((SUMIFS(History_Q!$B$2:$B$1000,History_Q!$A$2:$A$1000,E$6,History_Q!$C$2:$C$1000,"capital_expenditures"))-3),History_Q!$B$2:$B$1000,"&lt;="&amp;(SUMIFS(History_Q!$B$2:$B$1000,History_Q!$A$2:$A$1000,E$6,History_Q!$C$2:$C$1000,"capital_expenditures")),History_Q!$E$2:$E$1000,"$m",History_Q!$G$2:$G$1000,"populated")-_xlfn.MINIFS(History_Q!$B$2:$B$1000,History_Q!$C$2:$C$1000,"capital_expenditures",History_Q!$B$2:$B$1000,"&gt;="&amp;((SUMIFS(History_Q!$B$2:$B$1000,History_Q!$A$2:$A$1000,E$6,History_Q!$C$2:$C$1000,"capital_expenditures"))-3),History_Q!$B$2:$B$1000,"&lt;="&amp;(SUMIFS(History_Q!$B$2:$B$1000,History_Q!$A$2:$A$1000,E$6,History_Q!$C$2:$C$1000,"capital_expenditures")),History_Q!$E$2:$E$1000,"$m",History_Q!$G$2:$G$1000,"populated")&lt;&gt;3,_xlfn.MAXIFS(History_Q!$B$2:$B$1000,History_Q!$C$2:$C$1000,"revenue",History_Q!$B$2:$B$1000,"&gt;="&amp;((SUMIFS(History_Q!$B$2:$B$1000,History_Q!$A$2:$A$1000,E$6,History_Q!$C$2:$C$1000,"revenue"))-3),History_Q!$B$2:$B$1000,"&lt;="&amp;(SUMIFS(History_Q!$B$2:$B$1000,History_Q!$A$2:$A$1000,E$6,History_Q!$C$2:$C$1000,"revenue")),History_Q!$E$2:$E$1000,"$m",History_Q!$G$2:$G$1000,"populated")-_xlfn.MINIFS(History_Q!$B$2:$B$1000,History_Q!$C$2:$C$1000,"revenue",History_Q!$B$2:$B$1000,"&gt;="&amp;((SUMIFS(History_Q!$B$2:$B$1000,History_Q!$A$2:$A$1000,E$6,History_Q!$C$2:$C$1000,"revenue"))-3),History_Q!$B$2:$B$1000,"&lt;="&amp;(SUMIFS(History_Q!$B$2:$B$1000,History_Q!$A$2:$A$1000,E$6,History_Q!$C$2:$C$1000,"revenue")),History_Q!$E$2:$E$1000,"$m",History_Q!$G$2:$G$1000,"populated")&lt;&gt;3,SUMIFS(History_Q!$D$2:$D$1000,History_Q!$C$2:$C$1000,"revenue",History_Q!$B$2:$B$1000,"&gt;="&amp;((SUMIFS(History_Q!$B$2:$B$1000,History_Q!$A$2:$A$1000,E$6,History_Q!$C$2:$C$1000,"revenue"))-3),History_Q!$B$2:$B$1000,"&lt;="&amp;(SUMIFS(History_Q!$B$2:$B$1000,History_Q!$A$2:$A$1000,E$6,History_Q!$C$2:$C$1000,"revenue")),History_Q!$E$2:$E$1000,"$m",History_Q!$G$2:$G$1000,"populated")=0),"",SUMIFS(History_Q!$D$2:$D$1000,History_Q!$C$2:$C$1000,"capital_expenditures",History_Q!$B$2:$B$1000,"&gt;="&amp;((SUMIFS(History_Q!$B$2:$B$1000,History_Q!$A$2:$A$1000,E$6,History_Q!$C$2:$C$1000,"capital_expenditures"))-3),History_Q!$B$2:$B$1000,"&lt;="&amp;(SUMIFS(History_Q!$B$2:$B$1000,History_Q!$A$2:$A$1000,E$6,History_Q!$C$2:$C$1000,"capital_expenditures")),History_Q!$E$2:$E$1000,"$m",History_Q!$G$2:$G$1000,"populated")/SUMIFS(History_Q!$D$2:$D$1000,History_Q!$C$2:$C$1000,"revenue",History_Q!$B$2:$B$1000,"&gt;="&amp;((SUMIFS(History_Q!$B$2:$B$1000,History_Q!$A$2:$A$1000,E$6,History_Q!$C$2:$C$1000,"revenue"))-3),History_Q!$B$2:$B$1000,"&lt;="&amp;(SUMIFS(History_Q!$B$2:$B$1000,History_Q!$A$2:$A$1000,E$6,History_Q!$C$2:$C$1000,"revenue")),History_Q!$E$2:$E$1000,"$m",History_Q!$G$2:$G$1000,"populated"))</f>
        <v/>
      </c>
      <c r="F46" s="451">
        <f>IF(OR(F$6="",COUNTIFS(History_Q!$C$2:$C$1000,"capital_expenditures",History_Q!$B$2:$B$1000,"&gt;="&amp;((SUMIFS(History_Q!$B$2:$B$1000,History_Q!$A$2:$A$1000,F$6,History_Q!$C$2:$C$1000,"capital_expenditures"))-3),History_Q!$B$2:$B$1000,"&lt;="&amp;(SUMIFS(History_Q!$B$2:$B$1000,History_Q!$A$2:$A$1000,F$6,History_Q!$C$2:$C$1000,"capital_expenditures")),History_Q!$E$2:$E$1000,"$m",History_Q!$G$2:$G$1000,"populated")&lt;&gt;4,COUNTIFS(History_Q!$C$2:$C$1000,"revenue",History_Q!$B$2:$B$1000,"&gt;="&amp;((SUMIFS(History_Q!$B$2:$B$1000,History_Q!$A$2:$A$1000,F$6,History_Q!$C$2:$C$1000,"revenue"))-3),History_Q!$B$2:$B$1000,"&lt;="&amp;(SUMIFS(History_Q!$B$2:$B$1000,History_Q!$A$2:$A$1000,F$6,History_Q!$C$2:$C$1000,"revenue")),History_Q!$E$2:$E$1000,"$m",History_Q!$G$2:$G$1000,"populated")&lt;&gt;4,_xlfn.MAXIFS(History_Q!$B$2:$B$1000,History_Q!$C$2:$C$1000,"capital_expenditures",History_Q!$B$2:$B$1000,"&gt;="&amp;((SUMIFS(History_Q!$B$2:$B$1000,History_Q!$A$2:$A$1000,F$6,History_Q!$C$2:$C$1000,"capital_expenditures"))-3),History_Q!$B$2:$B$1000,"&lt;="&amp;(SUMIFS(History_Q!$B$2:$B$1000,History_Q!$A$2:$A$1000,F$6,History_Q!$C$2:$C$1000,"capital_expenditures")),History_Q!$E$2:$E$1000,"$m",History_Q!$G$2:$G$1000,"populated")-_xlfn.MINIFS(History_Q!$B$2:$B$1000,History_Q!$C$2:$C$1000,"capital_expenditures",History_Q!$B$2:$B$1000,"&gt;="&amp;((SUMIFS(History_Q!$B$2:$B$1000,History_Q!$A$2:$A$1000,F$6,History_Q!$C$2:$C$1000,"capital_expenditures"))-3),History_Q!$B$2:$B$1000,"&lt;="&amp;(SUMIFS(History_Q!$B$2:$B$1000,History_Q!$A$2:$A$1000,F$6,History_Q!$C$2:$C$1000,"capital_expenditures")),History_Q!$E$2:$E$1000,"$m",History_Q!$G$2:$G$1000,"populated")&lt;&gt;3,_xlfn.MAXIFS(History_Q!$B$2:$B$1000,History_Q!$C$2:$C$1000,"revenue",History_Q!$B$2:$B$1000,"&gt;="&amp;((SUMIFS(History_Q!$B$2:$B$1000,History_Q!$A$2:$A$1000,F$6,History_Q!$C$2:$C$1000,"revenue"))-3),History_Q!$B$2:$B$1000,"&lt;="&amp;(SUMIFS(History_Q!$B$2:$B$1000,History_Q!$A$2:$A$1000,F$6,History_Q!$C$2:$C$1000,"revenue")),History_Q!$E$2:$E$1000,"$m",History_Q!$G$2:$G$1000,"populated")-_xlfn.MINIFS(History_Q!$B$2:$B$1000,History_Q!$C$2:$C$1000,"revenue",History_Q!$B$2:$B$1000,"&gt;="&amp;((SUMIFS(History_Q!$B$2:$B$1000,History_Q!$A$2:$A$1000,F$6,History_Q!$C$2:$C$1000,"revenue"))-3),History_Q!$B$2:$B$1000,"&lt;="&amp;(SUMIFS(History_Q!$B$2:$B$1000,History_Q!$A$2:$A$1000,F$6,History_Q!$C$2:$C$1000,"revenue")),History_Q!$E$2:$E$1000,"$m",History_Q!$G$2:$G$1000,"populated")&lt;&gt;3,SUMIFS(History_Q!$D$2:$D$1000,History_Q!$C$2:$C$1000,"revenue",History_Q!$B$2:$B$1000,"&gt;="&amp;((SUMIFS(History_Q!$B$2:$B$1000,History_Q!$A$2:$A$1000,F$6,History_Q!$C$2:$C$1000,"revenue"))-3),History_Q!$B$2:$B$1000,"&lt;="&amp;(SUMIFS(History_Q!$B$2:$B$1000,History_Q!$A$2:$A$1000,F$6,History_Q!$C$2:$C$1000,"revenue")),History_Q!$E$2:$E$1000,"$m",History_Q!$G$2:$G$1000,"populated")=0),"",SUMIFS(History_Q!$D$2:$D$1000,History_Q!$C$2:$C$1000,"capital_expenditures",History_Q!$B$2:$B$1000,"&gt;="&amp;((SUMIFS(History_Q!$B$2:$B$1000,History_Q!$A$2:$A$1000,F$6,History_Q!$C$2:$C$1000,"capital_expenditures"))-3),History_Q!$B$2:$B$1000,"&lt;="&amp;(SUMIFS(History_Q!$B$2:$B$1000,History_Q!$A$2:$A$1000,F$6,History_Q!$C$2:$C$1000,"capital_expenditures")),History_Q!$E$2:$E$1000,"$m",History_Q!$G$2:$G$1000,"populated")/SUMIFS(History_Q!$D$2:$D$1000,History_Q!$C$2:$C$1000,"revenue",History_Q!$B$2:$B$1000,"&gt;="&amp;((SUMIFS(History_Q!$B$2:$B$1000,History_Q!$A$2:$A$1000,F$6,History_Q!$C$2:$C$1000,"revenue"))-3),History_Q!$B$2:$B$1000,"&lt;="&amp;(SUMIFS(History_Q!$B$2:$B$1000,History_Q!$A$2:$A$1000,F$6,History_Q!$C$2:$C$1000,"revenue")),History_Q!$E$2:$E$1000,"$m",History_Q!$G$2:$G$1000,"populated"))</f>
        <v/>
      </c>
      <c r="G46" s="451">
        <f>IF(OR(G$6="",COUNTIFS(History_Q!$C$2:$C$1000,"capital_expenditures",History_Q!$B$2:$B$1000,"&gt;="&amp;((SUMIFS(History_Q!$B$2:$B$1000,History_Q!$A$2:$A$1000,G$6,History_Q!$C$2:$C$1000,"capital_expenditures"))-3),History_Q!$B$2:$B$1000,"&lt;="&amp;(SUMIFS(History_Q!$B$2:$B$1000,History_Q!$A$2:$A$1000,G$6,History_Q!$C$2:$C$1000,"capital_expenditures")),History_Q!$E$2:$E$1000,"$m",History_Q!$G$2:$G$1000,"populated")&lt;&gt;4,COUNTIFS(History_Q!$C$2:$C$1000,"revenue",History_Q!$B$2:$B$1000,"&gt;="&amp;((SUMIFS(History_Q!$B$2:$B$1000,History_Q!$A$2:$A$1000,G$6,History_Q!$C$2:$C$1000,"revenue"))-3),History_Q!$B$2:$B$1000,"&lt;="&amp;(SUMIFS(History_Q!$B$2:$B$1000,History_Q!$A$2:$A$1000,G$6,History_Q!$C$2:$C$1000,"revenue")),History_Q!$E$2:$E$1000,"$m",History_Q!$G$2:$G$1000,"populated")&lt;&gt;4,_xlfn.MAXIFS(History_Q!$B$2:$B$1000,History_Q!$C$2:$C$1000,"capital_expenditures",History_Q!$B$2:$B$1000,"&gt;="&amp;((SUMIFS(History_Q!$B$2:$B$1000,History_Q!$A$2:$A$1000,G$6,History_Q!$C$2:$C$1000,"capital_expenditures"))-3),History_Q!$B$2:$B$1000,"&lt;="&amp;(SUMIFS(History_Q!$B$2:$B$1000,History_Q!$A$2:$A$1000,G$6,History_Q!$C$2:$C$1000,"capital_expenditures")),History_Q!$E$2:$E$1000,"$m",History_Q!$G$2:$G$1000,"populated")-_xlfn.MINIFS(History_Q!$B$2:$B$1000,History_Q!$C$2:$C$1000,"capital_expenditures",History_Q!$B$2:$B$1000,"&gt;="&amp;((SUMIFS(History_Q!$B$2:$B$1000,History_Q!$A$2:$A$1000,G$6,History_Q!$C$2:$C$1000,"capital_expenditures"))-3),History_Q!$B$2:$B$1000,"&lt;="&amp;(SUMIFS(History_Q!$B$2:$B$1000,History_Q!$A$2:$A$1000,G$6,History_Q!$C$2:$C$1000,"capital_expenditures")),History_Q!$E$2:$E$1000,"$m",History_Q!$G$2:$G$1000,"populated")&lt;&gt;3,_xlfn.MAXIFS(History_Q!$B$2:$B$1000,History_Q!$C$2:$C$1000,"revenue",History_Q!$B$2:$B$1000,"&gt;="&amp;((SUMIFS(History_Q!$B$2:$B$1000,History_Q!$A$2:$A$1000,G$6,History_Q!$C$2:$C$1000,"revenue"))-3),History_Q!$B$2:$B$1000,"&lt;="&amp;(SUMIFS(History_Q!$B$2:$B$1000,History_Q!$A$2:$A$1000,G$6,History_Q!$C$2:$C$1000,"revenue")),History_Q!$E$2:$E$1000,"$m",History_Q!$G$2:$G$1000,"populated")-_xlfn.MINIFS(History_Q!$B$2:$B$1000,History_Q!$C$2:$C$1000,"revenue",History_Q!$B$2:$B$1000,"&gt;="&amp;((SUMIFS(History_Q!$B$2:$B$1000,History_Q!$A$2:$A$1000,G$6,History_Q!$C$2:$C$1000,"revenue"))-3),History_Q!$B$2:$B$1000,"&lt;="&amp;(SUMIFS(History_Q!$B$2:$B$1000,History_Q!$A$2:$A$1000,G$6,History_Q!$C$2:$C$1000,"revenue")),History_Q!$E$2:$E$1000,"$m",History_Q!$G$2:$G$1000,"populated")&lt;&gt;3,SUMIFS(History_Q!$D$2:$D$1000,History_Q!$C$2:$C$1000,"revenue",History_Q!$B$2:$B$1000,"&gt;="&amp;((SUMIFS(History_Q!$B$2:$B$1000,History_Q!$A$2:$A$1000,G$6,History_Q!$C$2:$C$1000,"revenue"))-3),History_Q!$B$2:$B$1000,"&lt;="&amp;(SUMIFS(History_Q!$B$2:$B$1000,History_Q!$A$2:$A$1000,G$6,History_Q!$C$2:$C$1000,"revenue")),History_Q!$E$2:$E$1000,"$m",History_Q!$G$2:$G$1000,"populated")=0),"",SUMIFS(History_Q!$D$2:$D$1000,History_Q!$C$2:$C$1000,"capital_expenditures",History_Q!$B$2:$B$1000,"&gt;="&amp;((SUMIFS(History_Q!$B$2:$B$1000,History_Q!$A$2:$A$1000,G$6,History_Q!$C$2:$C$1000,"capital_expenditures"))-3),History_Q!$B$2:$B$1000,"&lt;="&amp;(SUMIFS(History_Q!$B$2:$B$1000,History_Q!$A$2:$A$1000,G$6,History_Q!$C$2:$C$1000,"capital_expenditures")),History_Q!$E$2:$E$1000,"$m",History_Q!$G$2:$G$1000,"populated")/SUMIFS(History_Q!$D$2:$D$1000,History_Q!$C$2:$C$1000,"revenue",History_Q!$B$2:$B$1000,"&gt;="&amp;((SUMIFS(History_Q!$B$2:$B$1000,History_Q!$A$2:$A$1000,G$6,History_Q!$C$2:$C$1000,"revenue"))-3),History_Q!$B$2:$B$1000,"&lt;="&amp;(SUMIFS(History_Q!$B$2:$B$1000,History_Q!$A$2:$A$1000,G$6,History_Q!$C$2:$C$1000,"revenue")),History_Q!$E$2:$E$1000,"$m",History_Q!$G$2:$G$1000,"populated"))</f>
        <v/>
      </c>
      <c r="H46" s="451">
        <f>IF(OR(H$6="",COUNTIFS(History_Q!$C$2:$C$1000,"capital_expenditures",History_Q!$B$2:$B$1000,"&gt;="&amp;((SUMIFS(History_Q!$B$2:$B$1000,History_Q!$A$2:$A$1000,H$6,History_Q!$C$2:$C$1000,"capital_expenditures"))-3),History_Q!$B$2:$B$1000,"&lt;="&amp;(SUMIFS(History_Q!$B$2:$B$1000,History_Q!$A$2:$A$1000,H$6,History_Q!$C$2:$C$1000,"capital_expenditures")),History_Q!$E$2:$E$1000,"$m",History_Q!$G$2:$G$1000,"populated")&lt;&gt;4,COUNTIFS(History_Q!$C$2:$C$1000,"revenue",History_Q!$B$2:$B$1000,"&gt;="&amp;((SUMIFS(History_Q!$B$2:$B$1000,History_Q!$A$2:$A$1000,H$6,History_Q!$C$2:$C$1000,"revenue"))-3),History_Q!$B$2:$B$1000,"&lt;="&amp;(SUMIFS(History_Q!$B$2:$B$1000,History_Q!$A$2:$A$1000,H$6,History_Q!$C$2:$C$1000,"revenue")),History_Q!$E$2:$E$1000,"$m",History_Q!$G$2:$G$1000,"populated")&lt;&gt;4,_xlfn.MAXIFS(History_Q!$B$2:$B$1000,History_Q!$C$2:$C$1000,"capital_expenditures",History_Q!$B$2:$B$1000,"&gt;="&amp;((SUMIFS(History_Q!$B$2:$B$1000,History_Q!$A$2:$A$1000,H$6,History_Q!$C$2:$C$1000,"capital_expenditures"))-3),History_Q!$B$2:$B$1000,"&lt;="&amp;(SUMIFS(History_Q!$B$2:$B$1000,History_Q!$A$2:$A$1000,H$6,History_Q!$C$2:$C$1000,"capital_expenditures")),History_Q!$E$2:$E$1000,"$m",History_Q!$G$2:$G$1000,"populated")-_xlfn.MINIFS(History_Q!$B$2:$B$1000,History_Q!$C$2:$C$1000,"capital_expenditures",History_Q!$B$2:$B$1000,"&gt;="&amp;((SUMIFS(History_Q!$B$2:$B$1000,History_Q!$A$2:$A$1000,H$6,History_Q!$C$2:$C$1000,"capital_expenditures"))-3),History_Q!$B$2:$B$1000,"&lt;="&amp;(SUMIFS(History_Q!$B$2:$B$1000,History_Q!$A$2:$A$1000,H$6,History_Q!$C$2:$C$1000,"capital_expenditures")),History_Q!$E$2:$E$1000,"$m",History_Q!$G$2:$G$1000,"populated")&lt;&gt;3,_xlfn.MAXIFS(History_Q!$B$2:$B$1000,History_Q!$C$2:$C$1000,"revenue",History_Q!$B$2:$B$1000,"&gt;="&amp;((SUMIFS(History_Q!$B$2:$B$1000,History_Q!$A$2:$A$1000,H$6,History_Q!$C$2:$C$1000,"revenue"))-3),History_Q!$B$2:$B$1000,"&lt;="&amp;(SUMIFS(History_Q!$B$2:$B$1000,History_Q!$A$2:$A$1000,H$6,History_Q!$C$2:$C$1000,"revenue")),History_Q!$E$2:$E$1000,"$m",History_Q!$G$2:$G$1000,"populated")-_xlfn.MINIFS(History_Q!$B$2:$B$1000,History_Q!$C$2:$C$1000,"revenue",History_Q!$B$2:$B$1000,"&gt;="&amp;((SUMIFS(History_Q!$B$2:$B$1000,History_Q!$A$2:$A$1000,H$6,History_Q!$C$2:$C$1000,"revenue"))-3),History_Q!$B$2:$B$1000,"&lt;="&amp;(SUMIFS(History_Q!$B$2:$B$1000,History_Q!$A$2:$A$1000,H$6,History_Q!$C$2:$C$1000,"revenue")),History_Q!$E$2:$E$1000,"$m",History_Q!$G$2:$G$1000,"populated")&lt;&gt;3,SUMIFS(History_Q!$D$2:$D$1000,History_Q!$C$2:$C$1000,"revenue",History_Q!$B$2:$B$1000,"&gt;="&amp;((SUMIFS(History_Q!$B$2:$B$1000,History_Q!$A$2:$A$1000,H$6,History_Q!$C$2:$C$1000,"revenue"))-3),History_Q!$B$2:$B$1000,"&lt;="&amp;(SUMIFS(History_Q!$B$2:$B$1000,History_Q!$A$2:$A$1000,H$6,History_Q!$C$2:$C$1000,"revenue")),History_Q!$E$2:$E$1000,"$m",History_Q!$G$2:$G$1000,"populated")=0),"",SUMIFS(History_Q!$D$2:$D$1000,History_Q!$C$2:$C$1000,"capital_expenditures",History_Q!$B$2:$B$1000,"&gt;="&amp;((SUMIFS(History_Q!$B$2:$B$1000,History_Q!$A$2:$A$1000,H$6,History_Q!$C$2:$C$1000,"capital_expenditures"))-3),History_Q!$B$2:$B$1000,"&lt;="&amp;(SUMIFS(History_Q!$B$2:$B$1000,History_Q!$A$2:$A$1000,H$6,History_Q!$C$2:$C$1000,"capital_expenditures")),History_Q!$E$2:$E$1000,"$m",History_Q!$G$2:$G$1000,"populated")/SUMIFS(History_Q!$D$2:$D$1000,History_Q!$C$2:$C$1000,"revenue",History_Q!$B$2:$B$1000,"&gt;="&amp;((SUMIFS(History_Q!$B$2:$B$1000,History_Q!$A$2:$A$1000,H$6,History_Q!$C$2:$C$1000,"revenue"))-3),History_Q!$B$2:$B$1000,"&lt;="&amp;(SUMIFS(History_Q!$B$2:$B$1000,History_Q!$A$2:$A$1000,H$6,History_Q!$C$2:$C$1000,"revenue")),History_Q!$E$2:$E$1000,"$m",History_Q!$G$2:$G$1000,"populated"))</f>
        <v/>
      </c>
      <c r="I46" s="451">
        <f>IF(OR(I$6="",COUNTIFS(History_Q!$C$2:$C$1000,"capital_expenditures",History_Q!$B$2:$B$1000,"&gt;="&amp;((SUMIFS(History_Q!$B$2:$B$1000,History_Q!$A$2:$A$1000,I$6,History_Q!$C$2:$C$1000,"capital_expenditures"))-3),History_Q!$B$2:$B$1000,"&lt;="&amp;(SUMIFS(History_Q!$B$2:$B$1000,History_Q!$A$2:$A$1000,I$6,History_Q!$C$2:$C$1000,"capital_expenditures")),History_Q!$E$2:$E$1000,"$m",History_Q!$G$2:$G$1000,"populated")&lt;&gt;4,COUNTIFS(History_Q!$C$2:$C$1000,"revenue",History_Q!$B$2:$B$1000,"&gt;="&amp;((SUMIFS(History_Q!$B$2:$B$1000,History_Q!$A$2:$A$1000,I$6,History_Q!$C$2:$C$1000,"revenue"))-3),History_Q!$B$2:$B$1000,"&lt;="&amp;(SUMIFS(History_Q!$B$2:$B$1000,History_Q!$A$2:$A$1000,I$6,History_Q!$C$2:$C$1000,"revenue")),History_Q!$E$2:$E$1000,"$m",History_Q!$G$2:$G$1000,"populated")&lt;&gt;4,_xlfn.MAXIFS(History_Q!$B$2:$B$1000,History_Q!$C$2:$C$1000,"capital_expenditures",History_Q!$B$2:$B$1000,"&gt;="&amp;((SUMIFS(History_Q!$B$2:$B$1000,History_Q!$A$2:$A$1000,I$6,History_Q!$C$2:$C$1000,"capital_expenditures"))-3),History_Q!$B$2:$B$1000,"&lt;="&amp;(SUMIFS(History_Q!$B$2:$B$1000,History_Q!$A$2:$A$1000,I$6,History_Q!$C$2:$C$1000,"capital_expenditures")),History_Q!$E$2:$E$1000,"$m",History_Q!$G$2:$G$1000,"populated")-_xlfn.MINIFS(History_Q!$B$2:$B$1000,History_Q!$C$2:$C$1000,"capital_expenditures",History_Q!$B$2:$B$1000,"&gt;="&amp;((SUMIFS(History_Q!$B$2:$B$1000,History_Q!$A$2:$A$1000,I$6,History_Q!$C$2:$C$1000,"capital_expenditures"))-3),History_Q!$B$2:$B$1000,"&lt;="&amp;(SUMIFS(History_Q!$B$2:$B$1000,History_Q!$A$2:$A$1000,I$6,History_Q!$C$2:$C$1000,"capital_expenditures")),History_Q!$E$2:$E$1000,"$m",History_Q!$G$2:$G$1000,"populated")&lt;&gt;3,_xlfn.MAXIFS(History_Q!$B$2:$B$1000,History_Q!$C$2:$C$1000,"revenue",History_Q!$B$2:$B$1000,"&gt;="&amp;((SUMIFS(History_Q!$B$2:$B$1000,History_Q!$A$2:$A$1000,I$6,History_Q!$C$2:$C$1000,"revenue"))-3),History_Q!$B$2:$B$1000,"&lt;="&amp;(SUMIFS(History_Q!$B$2:$B$1000,History_Q!$A$2:$A$1000,I$6,History_Q!$C$2:$C$1000,"revenue")),History_Q!$E$2:$E$1000,"$m",History_Q!$G$2:$G$1000,"populated")-_xlfn.MINIFS(History_Q!$B$2:$B$1000,History_Q!$C$2:$C$1000,"revenue",History_Q!$B$2:$B$1000,"&gt;="&amp;((SUMIFS(History_Q!$B$2:$B$1000,History_Q!$A$2:$A$1000,I$6,History_Q!$C$2:$C$1000,"revenue"))-3),History_Q!$B$2:$B$1000,"&lt;="&amp;(SUMIFS(History_Q!$B$2:$B$1000,History_Q!$A$2:$A$1000,I$6,History_Q!$C$2:$C$1000,"revenue")),History_Q!$E$2:$E$1000,"$m",History_Q!$G$2:$G$1000,"populated")&lt;&gt;3,SUMIFS(History_Q!$D$2:$D$1000,History_Q!$C$2:$C$1000,"revenue",History_Q!$B$2:$B$1000,"&gt;="&amp;((SUMIFS(History_Q!$B$2:$B$1000,History_Q!$A$2:$A$1000,I$6,History_Q!$C$2:$C$1000,"revenue"))-3),History_Q!$B$2:$B$1000,"&lt;="&amp;(SUMIFS(History_Q!$B$2:$B$1000,History_Q!$A$2:$A$1000,I$6,History_Q!$C$2:$C$1000,"revenue")),History_Q!$E$2:$E$1000,"$m",History_Q!$G$2:$G$1000,"populated")=0),"",SUMIFS(History_Q!$D$2:$D$1000,History_Q!$C$2:$C$1000,"capital_expenditures",History_Q!$B$2:$B$1000,"&gt;="&amp;((SUMIFS(History_Q!$B$2:$B$1000,History_Q!$A$2:$A$1000,I$6,History_Q!$C$2:$C$1000,"capital_expenditures"))-3),History_Q!$B$2:$B$1000,"&lt;="&amp;(SUMIFS(History_Q!$B$2:$B$1000,History_Q!$A$2:$A$1000,I$6,History_Q!$C$2:$C$1000,"capital_expenditures")),History_Q!$E$2:$E$1000,"$m",History_Q!$G$2:$G$1000,"populated")/SUMIFS(History_Q!$D$2:$D$1000,History_Q!$C$2:$C$1000,"revenue",History_Q!$B$2:$B$1000,"&gt;="&amp;((SUMIFS(History_Q!$B$2:$B$1000,History_Q!$A$2:$A$1000,I$6,History_Q!$C$2:$C$1000,"revenue"))-3),History_Q!$B$2:$B$1000,"&lt;="&amp;(SUMIFS(History_Q!$B$2:$B$1000,History_Q!$A$2:$A$1000,I$6,History_Q!$C$2:$C$1000,"revenue")),History_Q!$E$2:$E$1000,"$m",History_Q!$G$2:$G$1000,"populated"))</f>
        <v/>
      </c>
      <c r="J46" s="451">
        <f>IF(OR(J$6="",COUNTIFS(History_Q!$C$2:$C$1000,"capital_expenditures",History_Q!$B$2:$B$1000,"&gt;="&amp;((SUMIFS(History_Q!$B$2:$B$1000,History_Q!$A$2:$A$1000,J$6,History_Q!$C$2:$C$1000,"capital_expenditures"))-3),History_Q!$B$2:$B$1000,"&lt;="&amp;(SUMIFS(History_Q!$B$2:$B$1000,History_Q!$A$2:$A$1000,J$6,History_Q!$C$2:$C$1000,"capital_expenditures")),History_Q!$E$2:$E$1000,"$m",History_Q!$G$2:$G$1000,"populated")&lt;&gt;4,COUNTIFS(History_Q!$C$2:$C$1000,"revenue",History_Q!$B$2:$B$1000,"&gt;="&amp;((SUMIFS(History_Q!$B$2:$B$1000,History_Q!$A$2:$A$1000,J$6,History_Q!$C$2:$C$1000,"revenue"))-3),History_Q!$B$2:$B$1000,"&lt;="&amp;(SUMIFS(History_Q!$B$2:$B$1000,History_Q!$A$2:$A$1000,J$6,History_Q!$C$2:$C$1000,"revenue")),History_Q!$E$2:$E$1000,"$m",History_Q!$G$2:$G$1000,"populated")&lt;&gt;4,_xlfn.MAXIFS(History_Q!$B$2:$B$1000,History_Q!$C$2:$C$1000,"capital_expenditures",History_Q!$B$2:$B$1000,"&gt;="&amp;((SUMIFS(History_Q!$B$2:$B$1000,History_Q!$A$2:$A$1000,J$6,History_Q!$C$2:$C$1000,"capital_expenditures"))-3),History_Q!$B$2:$B$1000,"&lt;="&amp;(SUMIFS(History_Q!$B$2:$B$1000,History_Q!$A$2:$A$1000,J$6,History_Q!$C$2:$C$1000,"capital_expenditures")),History_Q!$E$2:$E$1000,"$m",History_Q!$G$2:$G$1000,"populated")-_xlfn.MINIFS(History_Q!$B$2:$B$1000,History_Q!$C$2:$C$1000,"capital_expenditures",History_Q!$B$2:$B$1000,"&gt;="&amp;((SUMIFS(History_Q!$B$2:$B$1000,History_Q!$A$2:$A$1000,J$6,History_Q!$C$2:$C$1000,"capital_expenditures"))-3),History_Q!$B$2:$B$1000,"&lt;="&amp;(SUMIFS(History_Q!$B$2:$B$1000,History_Q!$A$2:$A$1000,J$6,History_Q!$C$2:$C$1000,"capital_expenditures")),History_Q!$E$2:$E$1000,"$m",History_Q!$G$2:$G$1000,"populated")&lt;&gt;3,_xlfn.MAXIFS(History_Q!$B$2:$B$1000,History_Q!$C$2:$C$1000,"revenue",History_Q!$B$2:$B$1000,"&gt;="&amp;((SUMIFS(History_Q!$B$2:$B$1000,History_Q!$A$2:$A$1000,J$6,History_Q!$C$2:$C$1000,"revenue"))-3),History_Q!$B$2:$B$1000,"&lt;="&amp;(SUMIFS(History_Q!$B$2:$B$1000,History_Q!$A$2:$A$1000,J$6,History_Q!$C$2:$C$1000,"revenue")),History_Q!$E$2:$E$1000,"$m",History_Q!$G$2:$G$1000,"populated")-_xlfn.MINIFS(History_Q!$B$2:$B$1000,History_Q!$C$2:$C$1000,"revenue",History_Q!$B$2:$B$1000,"&gt;="&amp;((SUMIFS(History_Q!$B$2:$B$1000,History_Q!$A$2:$A$1000,J$6,History_Q!$C$2:$C$1000,"revenue"))-3),History_Q!$B$2:$B$1000,"&lt;="&amp;(SUMIFS(History_Q!$B$2:$B$1000,History_Q!$A$2:$A$1000,J$6,History_Q!$C$2:$C$1000,"revenue")),History_Q!$E$2:$E$1000,"$m",History_Q!$G$2:$G$1000,"populated")&lt;&gt;3,SUMIFS(History_Q!$D$2:$D$1000,History_Q!$C$2:$C$1000,"revenue",History_Q!$B$2:$B$1000,"&gt;="&amp;((SUMIFS(History_Q!$B$2:$B$1000,History_Q!$A$2:$A$1000,J$6,History_Q!$C$2:$C$1000,"revenue"))-3),History_Q!$B$2:$B$1000,"&lt;="&amp;(SUMIFS(History_Q!$B$2:$B$1000,History_Q!$A$2:$A$1000,J$6,History_Q!$C$2:$C$1000,"revenue")),History_Q!$E$2:$E$1000,"$m",History_Q!$G$2:$G$1000,"populated")=0),"",SUMIFS(History_Q!$D$2:$D$1000,History_Q!$C$2:$C$1000,"capital_expenditures",History_Q!$B$2:$B$1000,"&gt;="&amp;((SUMIFS(History_Q!$B$2:$B$1000,History_Q!$A$2:$A$1000,J$6,History_Q!$C$2:$C$1000,"capital_expenditures"))-3),History_Q!$B$2:$B$1000,"&lt;="&amp;(SUMIFS(History_Q!$B$2:$B$1000,History_Q!$A$2:$A$1000,J$6,History_Q!$C$2:$C$1000,"capital_expenditures")),History_Q!$E$2:$E$1000,"$m",History_Q!$G$2:$G$1000,"populated")/SUMIFS(History_Q!$D$2:$D$1000,History_Q!$C$2:$C$1000,"revenue",History_Q!$B$2:$B$1000,"&gt;="&amp;((SUMIFS(History_Q!$B$2:$B$1000,History_Q!$A$2:$A$1000,J$6,History_Q!$C$2:$C$1000,"revenue"))-3),History_Q!$B$2:$B$1000,"&lt;="&amp;(SUMIFS(History_Q!$B$2:$B$1000,History_Q!$A$2:$A$1000,J$6,History_Q!$C$2:$C$1000,"revenue")),History_Q!$E$2:$E$1000,"$m",History_Q!$G$2:$G$1000,"populated"))</f>
        <v/>
      </c>
      <c r="K46" s="451">
        <f>IF(OR(K$6="",COUNTIFS(History_Q!$C$2:$C$1000,"capital_expenditures",History_Q!$B$2:$B$1000,"&gt;="&amp;((SUMIFS(History_Q!$B$2:$B$1000,History_Q!$A$2:$A$1000,K$6,History_Q!$C$2:$C$1000,"capital_expenditures"))-3),History_Q!$B$2:$B$1000,"&lt;="&amp;(SUMIFS(History_Q!$B$2:$B$1000,History_Q!$A$2:$A$1000,K$6,History_Q!$C$2:$C$1000,"capital_expenditures")),History_Q!$E$2:$E$1000,"$m",History_Q!$G$2:$G$1000,"populated")&lt;&gt;4,COUNTIFS(History_Q!$C$2:$C$1000,"revenue",History_Q!$B$2:$B$1000,"&gt;="&amp;((SUMIFS(History_Q!$B$2:$B$1000,History_Q!$A$2:$A$1000,K$6,History_Q!$C$2:$C$1000,"revenue"))-3),History_Q!$B$2:$B$1000,"&lt;="&amp;(SUMIFS(History_Q!$B$2:$B$1000,History_Q!$A$2:$A$1000,K$6,History_Q!$C$2:$C$1000,"revenue")),History_Q!$E$2:$E$1000,"$m",History_Q!$G$2:$G$1000,"populated")&lt;&gt;4,_xlfn.MAXIFS(History_Q!$B$2:$B$1000,History_Q!$C$2:$C$1000,"capital_expenditures",History_Q!$B$2:$B$1000,"&gt;="&amp;((SUMIFS(History_Q!$B$2:$B$1000,History_Q!$A$2:$A$1000,K$6,History_Q!$C$2:$C$1000,"capital_expenditures"))-3),History_Q!$B$2:$B$1000,"&lt;="&amp;(SUMIFS(History_Q!$B$2:$B$1000,History_Q!$A$2:$A$1000,K$6,History_Q!$C$2:$C$1000,"capital_expenditures")),History_Q!$E$2:$E$1000,"$m",History_Q!$G$2:$G$1000,"populated")-_xlfn.MINIFS(History_Q!$B$2:$B$1000,History_Q!$C$2:$C$1000,"capital_expenditures",History_Q!$B$2:$B$1000,"&gt;="&amp;((SUMIFS(History_Q!$B$2:$B$1000,History_Q!$A$2:$A$1000,K$6,History_Q!$C$2:$C$1000,"capital_expenditures"))-3),History_Q!$B$2:$B$1000,"&lt;="&amp;(SUMIFS(History_Q!$B$2:$B$1000,History_Q!$A$2:$A$1000,K$6,History_Q!$C$2:$C$1000,"capital_expenditures")),History_Q!$E$2:$E$1000,"$m",History_Q!$G$2:$G$1000,"populated")&lt;&gt;3,_xlfn.MAXIFS(History_Q!$B$2:$B$1000,History_Q!$C$2:$C$1000,"revenue",History_Q!$B$2:$B$1000,"&gt;="&amp;((SUMIFS(History_Q!$B$2:$B$1000,History_Q!$A$2:$A$1000,K$6,History_Q!$C$2:$C$1000,"revenue"))-3),History_Q!$B$2:$B$1000,"&lt;="&amp;(SUMIFS(History_Q!$B$2:$B$1000,History_Q!$A$2:$A$1000,K$6,History_Q!$C$2:$C$1000,"revenue")),History_Q!$E$2:$E$1000,"$m",History_Q!$G$2:$G$1000,"populated")-_xlfn.MINIFS(History_Q!$B$2:$B$1000,History_Q!$C$2:$C$1000,"revenue",History_Q!$B$2:$B$1000,"&gt;="&amp;((SUMIFS(History_Q!$B$2:$B$1000,History_Q!$A$2:$A$1000,K$6,History_Q!$C$2:$C$1000,"revenue"))-3),History_Q!$B$2:$B$1000,"&lt;="&amp;(SUMIFS(History_Q!$B$2:$B$1000,History_Q!$A$2:$A$1000,K$6,History_Q!$C$2:$C$1000,"revenue")),History_Q!$E$2:$E$1000,"$m",History_Q!$G$2:$G$1000,"populated")&lt;&gt;3,SUMIFS(History_Q!$D$2:$D$1000,History_Q!$C$2:$C$1000,"revenue",History_Q!$B$2:$B$1000,"&gt;="&amp;((SUMIFS(History_Q!$B$2:$B$1000,History_Q!$A$2:$A$1000,K$6,History_Q!$C$2:$C$1000,"revenue"))-3),History_Q!$B$2:$B$1000,"&lt;="&amp;(SUMIFS(History_Q!$B$2:$B$1000,History_Q!$A$2:$A$1000,K$6,History_Q!$C$2:$C$1000,"revenue")),History_Q!$E$2:$E$1000,"$m",History_Q!$G$2:$G$1000,"populated")=0),"",SUMIFS(History_Q!$D$2:$D$1000,History_Q!$C$2:$C$1000,"capital_expenditures",History_Q!$B$2:$B$1000,"&gt;="&amp;((SUMIFS(History_Q!$B$2:$B$1000,History_Q!$A$2:$A$1000,K$6,History_Q!$C$2:$C$1000,"capital_expenditures"))-3),History_Q!$B$2:$B$1000,"&lt;="&amp;(SUMIFS(History_Q!$B$2:$B$1000,History_Q!$A$2:$A$1000,K$6,History_Q!$C$2:$C$1000,"capital_expenditures")),History_Q!$E$2:$E$1000,"$m",History_Q!$G$2:$G$1000,"populated")/SUMIFS(History_Q!$D$2:$D$1000,History_Q!$C$2:$C$1000,"revenue",History_Q!$B$2:$B$1000,"&gt;="&amp;((SUMIFS(History_Q!$B$2:$B$1000,History_Q!$A$2:$A$1000,K$6,History_Q!$C$2:$C$1000,"revenue"))-3),History_Q!$B$2:$B$1000,"&lt;="&amp;(SUMIFS(History_Q!$B$2:$B$1000,History_Q!$A$2:$A$1000,K$6,History_Q!$C$2:$C$1000,"revenue")),History_Q!$E$2:$E$1000,"$m",History_Q!$G$2:$G$1000,"populated"))</f>
        <v/>
      </c>
      <c r="L46" s="451">
        <f>IF(OR(L$6="",COUNTIFS(History_Q!$C$2:$C$1000,"capital_expenditures",History_Q!$B$2:$B$1000,"&gt;="&amp;((SUMIFS(History_Q!$B$2:$B$1000,History_Q!$A$2:$A$1000,L$6,History_Q!$C$2:$C$1000,"capital_expenditures"))-3),History_Q!$B$2:$B$1000,"&lt;="&amp;(SUMIFS(History_Q!$B$2:$B$1000,History_Q!$A$2:$A$1000,L$6,History_Q!$C$2:$C$1000,"capital_expenditures")),History_Q!$E$2:$E$1000,"$m",History_Q!$G$2:$G$1000,"populated")&lt;&gt;4,COUNTIFS(History_Q!$C$2:$C$1000,"revenue",History_Q!$B$2:$B$1000,"&gt;="&amp;((SUMIFS(History_Q!$B$2:$B$1000,History_Q!$A$2:$A$1000,L$6,History_Q!$C$2:$C$1000,"revenue"))-3),History_Q!$B$2:$B$1000,"&lt;="&amp;(SUMIFS(History_Q!$B$2:$B$1000,History_Q!$A$2:$A$1000,L$6,History_Q!$C$2:$C$1000,"revenue")),History_Q!$E$2:$E$1000,"$m",History_Q!$G$2:$G$1000,"populated")&lt;&gt;4,_xlfn.MAXIFS(History_Q!$B$2:$B$1000,History_Q!$C$2:$C$1000,"capital_expenditures",History_Q!$B$2:$B$1000,"&gt;="&amp;((SUMIFS(History_Q!$B$2:$B$1000,History_Q!$A$2:$A$1000,L$6,History_Q!$C$2:$C$1000,"capital_expenditures"))-3),History_Q!$B$2:$B$1000,"&lt;="&amp;(SUMIFS(History_Q!$B$2:$B$1000,History_Q!$A$2:$A$1000,L$6,History_Q!$C$2:$C$1000,"capital_expenditures")),History_Q!$E$2:$E$1000,"$m",History_Q!$G$2:$G$1000,"populated")-_xlfn.MINIFS(History_Q!$B$2:$B$1000,History_Q!$C$2:$C$1000,"capital_expenditures",History_Q!$B$2:$B$1000,"&gt;="&amp;((SUMIFS(History_Q!$B$2:$B$1000,History_Q!$A$2:$A$1000,L$6,History_Q!$C$2:$C$1000,"capital_expenditures"))-3),History_Q!$B$2:$B$1000,"&lt;="&amp;(SUMIFS(History_Q!$B$2:$B$1000,History_Q!$A$2:$A$1000,L$6,History_Q!$C$2:$C$1000,"capital_expenditures")),History_Q!$E$2:$E$1000,"$m",History_Q!$G$2:$G$1000,"populated")&lt;&gt;3,_xlfn.MAXIFS(History_Q!$B$2:$B$1000,History_Q!$C$2:$C$1000,"revenue",History_Q!$B$2:$B$1000,"&gt;="&amp;((SUMIFS(History_Q!$B$2:$B$1000,History_Q!$A$2:$A$1000,L$6,History_Q!$C$2:$C$1000,"revenue"))-3),History_Q!$B$2:$B$1000,"&lt;="&amp;(SUMIFS(History_Q!$B$2:$B$1000,History_Q!$A$2:$A$1000,L$6,History_Q!$C$2:$C$1000,"revenue")),History_Q!$E$2:$E$1000,"$m",History_Q!$G$2:$G$1000,"populated")-_xlfn.MINIFS(History_Q!$B$2:$B$1000,History_Q!$C$2:$C$1000,"revenue",History_Q!$B$2:$B$1000,"&gt;="&amp;((SUMIFS(History_Q!$B$2:$B$1000,History_Q!$A$2:$A$1000,L$6,History_Q!$C$2:$C$1000,"revenue"))-3),History_Q!$B$2:$B$1000,"&lt;="&amp;(SUMIFS(History_Q!$B$2:$B$1000,History_Q!$A$2:$A$1000,L$6,History_Q!$C$2:$C$1000,"revenue")),History_Q!$E$2:$E$1000,"$m",History_Q!$G$2:$G$1000,"populated")&lt;&gt;3,SUMIFS(History_Q!$D$2:$D$1000,History_Q!$C$2:$C$1000,"revenue",History_Q!$B$2:$B$1000,"&gt;="&amp;((SUMIFS(History_Q!$B$2:$B$1000,History_Q!$A$2:$A$1000,L$6,History_Q!$C$2:$C$1000,"revenue"))-3),History_Q!$B$2:$B$1000,"&lt;="&amp;(SUMIFS(History_Q!$B$2:$B$1000,History_Q!$A$2:$A$1000,L$6,History_Q!$C$2:$C$1000,"revenue")),History_Q!$E$2:$E$1000,"$m",History_Q!$G$2:$G$1000,"populated")=0),"",SUMIFS(History_Q!$D$2:$D$1000,History_Q!$C$2:$C$1000,"capital_expenditures",History_Q!$B$2:$B$1000,"&gt;="&amp;((SUMIFS(History_Q!$B$2:$B$1000,History_Q!$A$2:$A$1000,L$6,History_Q!$C$2:$C$1000,"capital_expenditures"))-3),History_Q!$B$2:$B$1000,"&lt;="&amp;(SUMIFS(History_Q!$B$2:$B$1000,History_Q!$A$2:$A$1000,L$6,History_Q!$C$2:$C$1000,"capital_expenditures")),History_Q!$E$2:$E$1000,"$m",History_Q!$G$2:$G$1000,"populated")/SUMIFS(History_Q!$D$2:$D$1000,History_Q!$C$2:$C$1000,"revenue",History_Q!$B$2:$B$1000,"&gt;="&amp;((SUMIFS(History_Q!$B$2:$B$1000,History_Q!$A$2:$A$1000,L$6,History_Q!$C$2:$C$1000,"revenue"))-3),History_Q!$B$2:$B$1000,"&lt;="&amp;(SUMIFS(History_Q!$B$2:$B$1000,History_Q!$A$2:$A$1000,L$6,History_Q!$C$2:$C$1000,"revenue")),History_Q!$E$2:$E$1000,"$m",History_Q!$G$2:$G$1000,"populated"))</f>
        <v/>
      </c>
      <c r="M46" s="451">
        <f>IF(OR(M$6="",COUNTIFS(History_Q!$C$2:$C$1000,"capital_expenditures",History_Q!$B$2:$B$1000,"&gt;="&amp;((SUMIFS(History_Q!$B$2:$B$1000,History_Q!$A$2:$A$1000,M$6,History_Q!$C$2:$C$1000,"capital_expenditures"))-3),History_Q!$B$2:$B$1000,"&lt;="&amp;(SUMIFS(History_Q!$B$2:$B$1000,History_Q!$A$2:$A$1000,M$6,History_Q!$C$2:$C$1000,"capital_expenditures")),History_Q!$E$2:$E$1000,"$m",History_Q!$G$2:$G$1000,"populated")&lt;&gt;4,COUNTIFS(History_Q!$C$2:$C$1000,"revenue",History_Q!$B$2:$B$1000,"&gt;="&amp;((SUMIFS(History_Q!$B$2:$B$1000,History_Q!$A$2:$A$1000,M$6,History_Q!$C$2:$C$1000,"revenue"))-3),History_Q!$B$2:$B$1000,"&lt;="&amp;(SUMIFS(History_Q!$B$2:$B$1000,History_Q!$A$2:$A$1000,M$6,History_Q!$C$2:$C$1000,"revenue")),History_Q!$E$2:$E$1000,"$m",History_Q!$G$2:$G$1000,"populated")&lt;&gt;4,_xlfn.MAXIFS(History_Q!$B$2:$B$1000,History_Q!$C$2:$C$1000,"capital_expenditures",History_Q!$B$2:$B$1000,"&gt;="&amp;((SUMIFS(History_Q!$B$2:$B$1000,History_Q!$A$2:$A$1000,M$6,History_Q!$C$2:$C$1000,"capital_expenditures"))-3),History_Q!$B$2:$B$1000,"&lt;="&amp;(SUMIFS(History_Q!$B$2:$B$1000,History_Q!$A$2:$A$1000,M$6,History_Q!$C$2:$C$1000,"capital_expenditures")),History_Q!$E$2:$E$1000,"$m",History_Q!$G$2:$G$1000,"populated")-_xlfn.MINIFS(History_Q!$B$2:$B$1000,History_Q!$C$2:$C$1000,"capital_expenditures",History_Q!$B$2:$B$1000,"&gt;="&amp;((SUMIFS(History_Q!$B$2:$B$1000,History_Q!$A$2:$A$1000,M$6,History_Q!$C$2:$C$1000,"capital_expenditures"))-3),History_Q!$B$2:$B$1000,"&lt;="&amp;(SUMIFS(History_Q!$B$2:$B$1000,History_Q!$A$2:$A$1000,M$6,History_Q!$C$2:$C$1000,"capital_expenditures")),History_Q!$E$2:$E$1000,"$m",History_Q!$G$2:$G$1000,"populated")&lt;&gt;3,_xlfn.MAXIFS(History_Q!$B$2:$B$1000,History_Q!$C$2:$C$1000,"revenue",History_Q!$B$2:$B$1000,"&gt;="&amp;((SUMIFS(History_Q!$B$2:$B$1000,History_Q!$A$2:$A$1000,M$6,History_Q!$C$2:$C$1000,"revenue"))-3),History_Q!$B$2:$B$1000,"&lt;="&amp;(SUMIFS(History_Q!$B$2:$B$1000,History_Q!$A$2:$A$1000,M$6,History_Q!$C$2:$C$1000,"revenue")),History_Q!$E$2:$E$1000,"$m",History_Q!$G$2:$G$1000,"populated")-_xlfn.MINIFS(History_Q!$B$2:$B$1000,History_Q!$C$2:$C$1000,"revenue",History_Q!$B$2:$B$1000,"&gt;="&amp;((SUMIFS(History_Q!$B$2:$B$1000,History_Q!$A$2:$A$1000,M$6,History_Q!$C$2:$C$1000,"revenue"))-3),History_Q!$B$2:$B$1000,"&lt;="&amp;(SUMIFS(History_Q!$B$2:$B$1000,History_Q!$A$2:$A$1000,M$6,History_Q!$C$2:$C$1000,"revenue")),History_Q!$E$2:$E$1000,"$m",History_Q!$G$2:$G$1000,"populated")&lt;&gt;3,SUMIFS(History_Q!$D$2:$D$1000,History_Q!$C$2:$C$1000,"revenue",History_Q!$B$2:$B$1000,"&gt;="&amp;((SUMIFS(History_Q!$B$2:$B$1000,History_Q!$A$2:$A$1000,M$6,History_Q!$C$2:$C$1000,"revenue"))-3),History_Q!$B$2:$B$1000,"&lt;="&amp;(SUMIFS(History_Q!$B$2:$B$1000,History_Q!$A$2:$A$1000,M$6,History_Q!$C$2:$C$1000,"revenue")),History_Q!$E$2:$E$1000,"$m",History_Q!$G$2:$G$1000,"populated")=0),"",SUMIFS(History_Q!$D$2:$D$1000,History_Q!$C$2:$C$1000,"capital_expenditures",History_Q!$B$2:$B$1000,"&gt;="&amp;((SUMIFS(History_Q!$B$2:$B$1000,History_Q!$A$2:$A$1000,M$6,History_Q!$C$2:$C$1000,"capital_expenditures"))-3),History_Q!$B$2:$B$1000,"&lt;="&amp;(SUMIFS(History_Q!$B$2:$B$1000,History_Q!$A$2:$A$1000,M$6,History_Q!$C$2:$C$1000,"capital_expenditures")),History_Q!$E$2:$E$1000,"$m",History_Q!$G$2:$G$1000,"populated")/SUMIFS(History_Q!$D$2:$D$1000,History_Q!$C$2:$C$1000,"revenue",History_Q!$B$2:$B$1000,"&gt;="&amp;((SUMIFS(History_Q!$B$2:$B$1000,History_Q!$A$2:$A$1000,M$6,History_Q!$C$2:$C$1000,"revenue"))-3),History_Q!$B$2:$B$1000,"&lt;="&amp;(SUMIFS(History_Q!$B$2:$B$1000,History_Q!$A$2:$A$1000,M$6,History_Q!$C$2:$C$1000,"revenue")),History_Q!$E$2:$E$1000,"$m",History_Q!$G$2:$G$1000,"populated"))</f>
        <v/>
      </c>
      <c r="N46" s="22" t="n"/>
      <c r="AD46" s="22" t="n"/>
      <c r="AE46" s="22" t="n"/>
      <c r="AF46" s="22" t="n"/>
      <c r="AG46" s="22" t="n"/>
      <c r="AH46" s="22" t="n"/>
      <c r="AI46" s="22" t="n"/>
    </row>
    <row r="47" ht="19.5" customHeight="1">
      <c r="A47" s="48" t="inlineStr">
        <is>
          <t>FCF (CFO - Capex)</t>
        </is>
      </c>
      <c r="B47" s="450">
        <f>IF(OR(B43="",B44=""),"",B43-B44)</f>
        <v/>
      </c>
      <c r="C47" s="450">
        <f>IF(OR(C43="",C44=""),"",C43-C44)</f>
        <v/>
      </c>
      <c r="D47" s="450">
        <f>IF(OR(D43="",D44=""),"",D43-D44)</f>
        <v/>
      </c>
      <c r="E47" s="450">
        <f>IF(OR(E43="",E44=""),"",E43-E44)</f>
        <v/>
      </c>
      <c r="F47" s="450">
        <f>IF(OR(F43="",F44=""),"",F43-F44)</f>
        <v/>
      </c>
      <c r="G47" s="450">
        <f>IF(OR(G43="",G44=""),"",G43-G44)</f>
        <v/>
      </c>
      <c r="H47" s="450">
        <f>IF(OR(H43="",H44=""),"",H43-H44)</f>
        <v/>
      </c>
      <c r="I47" s="450">
        <f>IF(OR(I43="",I44=""),"",I43-I44)</f>
        <v/>
      </c>
      <c r="J47" s="450">
        <f>IF(OR(J43="",J44=""),"",J43-J44)</f>
        <v/>
      </c>
      <c r="K47" s="450">
        <f>IF(OR(K43="",K44=""),"",K43-K44)</f>
        <v/>
      </c>
      <c r="L47" s="450">
        <f>IF(OR(L43="",L44=""),"",L43-L44)</f>
        <v/>
      </c>
      <c r="M47" s="450">
        <f>IF(OR(M43="",M44=""),"",M43-M44)</f>
        <v/>
      </c>
      <c r="N47" s="22" t="n"/>
      <c r="AD47" s="22" t="n"/>
      <c r="AE47" s="22" t="n"/>
      <c r="AF47" s="22" t="n"/>
      <c r="AG47" s="22" t="n"/>
      <c r="AH47" s="22" t="n"/>
      <c r="AI47" s="22" t="n"/>
    </row>
    <row r="48" ht="19.5" customHeight="1">
      <c r="A48" s="48" t="inlineStr">
        <is>
          <t>FCF YoY Δ ($m)</t>
        </is>
      </c>
      <c r="B48" s="450">
        <f>IF(OR(B$6="",COUNTIFS(History_Q!$C$2:$C$1000,"operating_cash_flow",History_Q!$B$2:$B$1000,(SUMIFS(History_Q!$B$2:$B$1000,History_Q!$A$2:$A$1000,B$6,History_Q!$C$2:$C$1000,"operating_cash_flow")),History_Q!$E$2:$E$1000,"$m",History_Q!$G$2:$G$1000,"populated")&lt;&gt;1,COUNTIFS(History_Q!$C$2:$C$1000,"capital_expenditures",History_Q!$B$2:$B$1000,(SUMIFS(History_Q!$B$2:$B$1000,History_Q!$A$2:$A$1000,B$6,History_Q!$C$2:$C$1000,"capital_expenditures")),History_Q!$E$2:$E$1000,"$m",History_Q!$G$2:$G$1000,"populated")&lt;&gt;1,COUNTIFS(History_Q!$C$2:$C$1000,"operating_cash_flow",History_Q!$B$2:$B$1000,(SUMIFS(History_Q!$B$2:$B$1000,History_Q!$A$2:$A$1000,B$6,History_Q!$C$2:$C$1000,"operating_cash_flow")-4),History_Q!$E$2:$E$1000,"$m",History_Q!$G$2:$G$1000,"populated")&lt;&gt;1,COUNTIFS(History_Q!$C$2:$C$1000,"capital_expenditures",History_Q!$B$2:$B$1000,(SUMIFS(History_Q!$B$2:$B$1000,History_Q!$A$2:$A$1000,B$6,History_Q!$C$2:$C$1000,"capital_expenditures")-4),History_Q!$E$2:$E$1000,"$m",History_Q!$G$2:$G$1000,"populated")&lt;&gt;1),"",(SUMIFS(History_Q!$D$2:$D$1000,History_Q!$C$2:$C$1000,"operating_cash_flow",History_Q!$B$2:$B$1000,(SUMIFS(History_Q!$B$2:$B$1000,History_Q!$A$2:$A$1000,B$6,History_Q!$C$2:$C$1000,"operating_cash_flow")),History_Q!$E$2:$E$1000,"$m",History_Q!$G$2:$G$1000,"populated")-SUMIFS(History_Q!$D$2:$D$1000,History_Q!$C$2:$C$1000,"capital_expenditures",History_Q!$B$2:$B$1000,(SUMIFS(History_Q!$B$2:$B$1000,History_Q!$A$2:$A$1000,B$6,History_Q!$C$2:$C$1000,"capital_expenditures")),History_Q!$E$2:$E$1000,"$m",History_Q!$G$2:$G$1000,"populated"))-(SUMIFS(History_Q!$D$2:$D$1000,History_Q!$C$2:$C$1000,"operating_cash_flow",History_Q!$B$2:$B$1000,(SUMIFS(History_Q!$B$2:$B$1000,History_Q!$A$2:$A$1000,B$6,History_Q!$C$2:$C$1000,"operating_cash_flow")-4),History_Q!$E$2:$E$1000,"$m",History_Q!$G$2:$G$1000,"populated")-SUMIFS(History_Q!$D$2:$D$1000,History_Q!$C$2:$C$1000,"capital_expenditures",History_Q!$B$2:$B$1000,(SUMIFS(History_Q!$B$2:$B$1000,History_Q!$A$2:$A$1000,B$6,History_Q!$C$2:$C$1000,"capital_expenditures")-4),History_Q!$E$2:$E$1000,"$m",History_Q!$G$2:$G$1000,"populated")))</f>
        <v/>
      </c>
      <c r="C48" s="450">
        <f>IF(OR(C$6="",COUNTIFS(History_Q!$C$2:$C$1000,"operating_cash_flow",History_Q!$B$2:$B$1000,(SUMIFS(History_Q!$B$2:$B$1000,History_Q!$A$2:$A$1000,C$6,History_Q!$C$2:$C$1000,"operating_cash_flow")),History_Q!$E$2:$E$1000,"$m",History_Q!$G$2:$G$1000,"populated")&lt;&gt;1,COUNTIFS(History_Q!$C$2:$C$1000,"capital_expenditures",History_Q!$B$2:$B$1000,(SUMIFS(History_Q!$B$2:$B$1000,History_Q!$A$2:$A$1000,C$6,History_Q!$C$2:$C$1000,"capital_expenditures")),History_Q!$E$2:$E$1000,"$m",History_Q!$G$2:$G$1000,"populated")&lt;&gt;1,COUNTIFS(History_Q!$C$2:$C$1000,"operating_cash_flow",History_Q!$B$2:$B$1000,(SUMIFS(History_Q!$B$2:$B$1000,History_Q!$A$2:$A$1000,C$6,History_Q!$C$2:$C$1000,"operating_cash_flow")-4),History_Q!$E$2:$E$1000,"$m",History_Q!$G$2:$G$1000,"populated")&lt;&gt;1,COUNTIFS(History_Q!$C$2:$C$1000,"capital_expenditures",History_Q!$B$2:$B$1000,(SUMIFS(History_Q!$B$2:$B$1000,History_Q!$A$2:$A$1000,C$6,History_Q!$C$2:$C$1000,"capital_expenditures")-4),History_Q!$E$2:$E$1000,"$m",History_Q!$G$2:$G$1000,"populated")&lt;&gt;1),"",(SUMIFS(History_Q!$D$2:$D$1000,History_Q!$C$2:$C$1000,"operating_cash_flow",History_Q!$B$2:$B$1000,(SUMIFS(History_Q!$B$2:$B$1000,History_Q!$A$2:$A$1000,C$6,History_Q!$C$2:$C$1000,"operating_cash_flow")),History_Q!$E$2:$E$1000,"$m",History_Q!$G$2:$G$1000,"populated")-SUMIFS(History_Q!$D$2:$D$1000,History_Q!$C$2:$C$1000,"capital_expenditures",History_Q!$B$2:$B$1000,(SUMIFS(History_Q!$B$2:$B$1000,History_Q!$A$2:$A$1000,C$6,History_Q!$C$2:$C$1000,"capital_expenditures")),History_Q!$E$2:$E$1000,"$m",History_Q!$G$2:$G$1000,"populated"))-(SUMIFS(History_Q!$D$2:$D$1000,History_Q!$C$2:$C$1000,"operating_cash_flow",History_Q!$B$2:$B$1000,(SUMIFS(History_Q!$B$2:$B$1000,History_Q!$A$2:$A$1000,C$6,History_Q!$C$2:$C$1000,"operating_cash_flow")-4),History_Q!$E$2:$E$1000,"$m",History_Q!$G$2:$G$1000,"populated")-SUMIFS(History_Q!$D$2:$D$1000,History_Q!$C$2:$C$1000,"capital_expenditures",History_Q!$B$2:$B$1000,(SUMIFS(History_Q!$B$2:$B$1000,History_Q!$A$2:$A$1000,C$6,History_Q!$C$2:$C$1000,"capital_expenditures")-4),History_Q!$E$2:$E$1000,"$m",History_Q!$G$2:$G$1000,"populated")))</f>
        <v/>
      </c>
      <c r="D48" s="450">
        <f>IF(OR(D$6="",COUNTIFS(History_Q!$C$2:$C$1000,"operating_cash_flow",History_Q!$B$2:$B$1000,(SUMIFS(History_Q!$B$2:$B$1000,History_Q!$A$2:$A$1000,D$6,History_Q!$C$2:$C$1000,"operating_cash_flow")),History_Q!$E$2:$E$1000,"$m",History_Q!$G$2:$G$1000,"populated")&lt;&gt;1,COUNTIFS(History_Q!$C$2:$C$1000,"capital_expenditures",History_Q!$B$2:$B$1000,(SUMIFS(History_Q!$B$2:$B$1000,History_Q!$A$2:$A$1000,D$6,History_Q!$C$2:$C$1000,"capital_expenditures")),History_Q!$E$2:$E$1000,"$m",History_Q!$G$2:$G$1000,"populated")&lt;&gt;1,COUNTIFS(History_Q!$C$2:$C$1000,"operating_cash_flow",History_Q!$B$2:$B$1000,(SUMIFS(History_Q!$B$2:$B$1000,History_Q!$A$2:$A$1000,D$6,History_Q!$C$2:$C$1000,"operating_cash_flow")-4),History_Q!$E$2:$E$1000,"$m",History_Q!$G$2:$G$1000,"populated")&lt;&gt;1,COUNTIFS(History_Q!$C$2:$C$1000,"capital_expenditures",History_Q!$B$2:$B$1000,(SUMIFS(History_Q!$B$2:$B$1000,History_Q!$A$2:$A$1000,D$6,History_Q!$C$2:$C$1000,"capital_expenditures")-4),History_Q!$E$2:$E$1000,"$m",History_Q!$G$2:$G$1000,"populated")&lt;&gt;1),"",(SUMIFS(History_Q!$D$2:$D$1000,History_Q!$C$2:$C$1000,"operating_cash_flow",History_Q!$B$2:$B$1000,(SUMIFS(History_Q!$B$2:$B$1000,History_Q!$A$2:$A$1000,D$6,History_Q!$C$2:$C$1000,"operating_cash_flow")),History_Q!$E$2:$E$1000,"$m",History_Q!$G$2:$G$1000,"populated")-SUMIFS(History_Q!$D$2:$D$1000,History_Q!$C$2:$C$1000,"capital_expenditures",History_Q!$B$2:$B$1000,(SUMIFS(History_Q!$B$2:$B$1000,History_Q!$A$2:$A$1000,D$6,History_Q!$C$2:$C$1000,"capital_expenditures")),History_Q!$E$2:$E$1000,"$m",History_Q!$G$2:$G$1000,"populated"))-(SUMIFS(History_Q!$D$2:$D$1000,History_Q!$C$2:$C$1000,"operating_cash_flow",History_Q!$B$2:$B$1000,(SUMIFS(History_Q!$B$2:$B$1000,History_Q!$A$2:$A$1000,D$6,History_Q!$C$2:$C$1000,"operating_cash_flow")-4),History_Q!$E$2:$E$1000,"$m",History_Q!$G$2:$G$1000,"populated")-SUMIFS(History_Q!$D$2:$D$1000,History_Q!$C$2:$C$1000,"capital_expenditures",History_Q!$B$2:$B$1000,(SUMIFS(History_Q!$B$2:$B$1000,History_Q!$A$2:$A$1000,D$6,History_Q!$C$2:$C$1000,"capital_expenditures")-4),History_Q!$E$2:$E$1000,"$m",History_Q!$G$2:$G$1000,"populated")))</f>
        <v/>
      </c>
      <c r="E48" s="450">
        <f>IF(OR(E$6="",COUNTIFS(History_Q!$C$2:$C$1000,"operating_cash_flow",History_Q!$B$2:$B$1000,(SUMIFS(History_Q!$B$2:$B$1000,History_Q!$A$2:$A$1000,E$6,History_Q!$C$2:$C$1000,"operating_cash_flow")),History_Q!$E$2:$E$1000,"$m",History_Q!$G$2:$G$1000,"populated")&lt;&gt;1,COUNTIFS(History_Q!$C$2:$C$1000,"capital_expenditures",History_Q!$B$2:$B$1000,(SUMIFS(History_Q!$B$2:$B$1000,History_Q!$A$2:$A$1000,E$6,History_Q!$C$2:$C$1000,"capital_expenditures")),History_Q!$E$2:$E$1000,"$m",History_Q!$G$2:$G$1000,"populated")&lt;&gt;1,COUNTIFS(History_Q!$C$2:$C$1000,"operating_cash_flow",History_Q!$B$2:$B$1000,(SUMIFS(History_Q!$B$2:$B$1000,History_Q!$A$2:$A$1000,E$6,History_Q!$C$2:$C$1000,"operating_cash_flow")-4),History_Q!$E$2:$E$1000,"$m",History_Q!$G$2:$G$1000,"populated")&lt;&gt;1,COUNTIFS(History_Q!$C$2:$C$1000,"capital_expenditures",History_Q!$B$2:$B$1000,(SUMIFS(History_Q!$B$2:$B$1000,History_Q!$A$2:$A$1000,E$6,History_Q!$C$2:$C$1000,"capital_expenditures")-4),History_Q!$E$2:$E$1000,"$m",History_Q!$G$2:$G$1000,"populated")&lt;&gt;1),"",(SUMIFS(History_Q!$D$2:$D$1000,History_Q!$C$2:$C$1000,"operating_cash_flow",History_Q!$B$2:$B$1000,(SUMIFS(History_Q!$B$2:$B$1000,History_Q!$A$2:$A$1000,E$6,History_Q!$C$2:$C$1000,"operating_cash_flow")),History_Q!$E$2:$E$1000,"$m",History_Q!$G$2:$G$1000,"populated")-SUMIFS(History_Q!$D$2:$D$1000,History_Q!$C$2:$C$1000,"capital_expenditures",History_Q!$B$2:$B$1000,(SUMIFS(History_Q!$B$2:$B$1000,History_Q!$A$2:$A$1000,E$6,History_Q!$C$2:$C$1000,"capital_expenditures")),History_Q!$E$2:$E$1000,"$m",History_Q!$G$2:$G$1000,"populated"))-(SUMIFS(History_Q!$D$2:$D$1000,History_Q!$C$2:$C$1000,"operating_cash_flow",History_Q!$B$2:$B$1000,(SUMIFS(History_Q!$B$2:$B$1000,History_Q!$A$2:$A$1000,E$6,History_Q!$C$2:$C$1000,"operating_cash_flow")-4),History_Q!$E$2:$E$1000,"$m",History_Q!$G$2:$G$1000,"populated")-SUMIFS(History_Q!$D$2:$D$1000,History_Q!$C$2:$C$1000,"capital_expenditures",History_Q!$B$2:$B$1000,(SUMIFS(History_Q!$B$2:$B$1000,History_Q!$A$2:$A$1000,E$6,History_Q!$C$2:$C$1000,"capital_expenditures")-4),History_Q!$E$2:$E$1000,"$m",History_Q!$G$2:$G$1000,"populated")))</f>
        <v/>
      </c>
      <c r="F48" s="450">
        <f>IF(OR(F$6="",COUNTIFS(History_Q!$C$2:$C$1000,"operating_cash_flow",History_Q!$B$2:$B$1000,(SUMIFS(History_Q!$B$2:$B$1000,History_Q!$A$2:$A$1000,F$6,History_Q!$C$2:$C$1000,"operating_cash_flow")),History_Q!$E$2:$E$1000,"$m",History_Q!$G$2:$G$1000,"populated")&lt;&gt;1,COUNTIFS(History_Q!$C$2:$C$1000,"capital_expenditures",History_Q!$B$2:$B$1000,(SUMIFS(History_Q!$B$2:$B$1000,History_Q!$A$2:$A$1000,F$6,History_Q!$C$2:$C$1000,"capital_expenditures")),History_Q!$E$2:$E$1000,"$m",History_Q!$G$2:$G$1000,"populated")&lt;&gt;1,COUNTIFS(History_Q!$C$2:$C$1000,"operating_cash_flow",History_Q!$B$2:$B$1000,(SUMIFS(History_Q!$B$2:$B$1000,History_Q!$A$2:$A$1000,F$6,History_Q!$C$2:$C$1000,"operating_cash_flow")-4),History_Q!$E$2:$E$1000,"$m",History_Q!$G$2:$G$1000,"populated")&lt;&gt;1,COUNTIFS(History_Q!$C$2:$C$1000,"capital_expenditures",History_Q!$B$2:$B$1000,(SUMIFS(History_Q!$B$2:$B$1000,History_Q!$A$2:$A$1000,F$6,History_Q!$C$2:$C$1000,"capital_expenditures")-4),History_Q!$E$2:$E$1000,"$m",History_Q!$G$2:$G$1000,"populated")&lt;&gt;1),"",(SUMIFS(History_Q!$D$2:$D$1000,History_Q!$C$2:$C$1000,"operating_cash_flow",History_Q!$B$2:$B$1000,(SUMIFS(History_Q!$B$2:$B$1000,History_Q!$A$2:$A$1000,F$6,History_Q!$C$2:$C$1000,"operating_cash_flow")),History_Q!$E$2:$E$1000,"$m",History_Q!$G$2:$G$1000,"populated")-SUMIFS(History_Q!$D$2:$D$1000,History_Q!$C$2:$C$1000,"capital_expenditures",History_Q!$B$2:$B$1000,(SUMIFS(History_Q!$B$2:$B$1000,History_Q!$A$2:$A$1000,F$6,History_Q!$C$2:$C$1000,"capital_expenditures")),History_Q!$E$2:$E$1000,"$m",History_Q!$G$2:$G$1000,"populated"))-(SUMIFS(History_Q!$D$2:$D$1000,History_Q!$C$2:$C$1000,"operating_cash_flow",History_Q!$B$2:$B$1000,(SUMIFS(History_Q!$B$2:$B$1000,History_Q!$A$2:$A$1000,F$6,History_Q!$C$2:$C$1000,"operating_cash_flow")-4),History_Q!$E$2:$E$1000,"$m",History_Q!$G$2:$G$1000,"populated")-SUMIFS(History_Q!$D$2:$D$1000,History_Q!$C$2:$C$1000,"capital_expenditures",History_Q!$B$2:$B$1000,(SUMIFS(History_Q!$B$2:$B$1000,History_Q!$A$2:$A$1000,F$6,History_Q!$C$2:$C$1000,"capital_expenditures")-4),History_Q!$E$2:$E$1000,"$m",History_Q!$G$2:$G$1000,"populated")))</f>
        <v/>
      </c>
      <c r="G48" s="450">
        <f>IF(OR(G$6="",COUNTIFS(History_Q!$C$2:$C$1000,"operating_cash_flow",History_Q!$B$2:$B$1000,(SUMIFS(History_Q!$B$2:$B$1000,History_Q!$A$2:$A$1000,G$6,History_Q!$C$2:$C$1000,"operating_cash_flow")),History_Q!$E$2:$E$1000,"$m",History_Q!$G$2:$G$1000,"populated")&lt;&gt;1,COUNTIFS(History_Q!$C$2:$C$1000,"capital_expenditures",History_Q!$B$2:$B$1000,(SUMIFS(History_Q!$B$2:$B$1000,History_Q!$A$2:$A$1000,G$6,History_Q!$C$2:$C$1000,"capital_expenditures")),History_Q!$E$2:$E$1000,"$m",History_Q!$G$2:$G$1000,"populated")&lt;&gt;1,COUNTIFS(History_Q!$C$2:$C$1000,"operating_cash_flow",History_Q!$B$2:$B$1000,(SUMIFS(History_Q!$B$2:$B$1000,History_Q!$A$2:$A$1000,G$6,History_Q!$C$2:$C$1000,"operating_cash_flow")-4),History_Q!$E$2:$E$1000,"$m",History_Q!$G$2:$G$1000,"populated")&lt;&gt;1,COUNTIFS(History_Q!$C$2:$C$1000,"capital_expenditures",History_Q!$B$2:$B$1000,(SUMIFS(History_Q!$B$2:$B$1000,History_Q!$A$2:$A$1000,G$6,History_Q!$C$2:$C$1000,"capital_expenditures")-4),History_Q!$E$2:$E$1000,"$m",History_Q!$G$2:$G$1000,"populated")&lt;&gt;1),"",(SUMIFS(History_Q!$D$2:$D$1000,History_Q!$C$2:$C$1000,"operating_cash_flow",History_Q!$B$2:$B$1000,(SUMIFS(History_Q!$B$2:$B$1000,History_Q!$A$2:$A$1000,G$6,History_Q!$C$2:$C$1000,"operating_cash_flow")),History_Q!$E$2:$E$1000,"$m",History_Q!$G$2:$G$1000,"populated")-SUMIFS(History_Q!$D$2:$D$1000,History_Q!$C$2:$C$1000,"capital_expenditures",History_Q!$B$2:$B$1000,(SUMIFS(History_Q!$B$2:$B$1000,History_Q!$A$2:$A$1000,G$6,History_Q!$C$2:$C$1000,"capital_expenditures")),History_Q!$E$2:$E$1000,"$m",History_Q!$G$2:$G$1000,"populated"))-(SUMIFS(History_Q!$D$2:$D$1000,History_Q!$C$2:$C$1000,"operating_cash_flow",History_Q!$B$2:$B$1000,(SUMIFS(History_Q!$B$2:$B$1000,History_Q!$A$2:$A$1000,G$6,History_Q!$C$2:$C$1000,"operating_cash_flow")-4),History_Q!$E$2:$E$1000,"$m",History_Q!$G$2:$G$1000,"populated")-SUMIFS(History_Q!$D$2:$D$1000,History_Q!$C$2:$C$1000,"capital_expenditures",History_Q!$B$2:$B$1000,(SUMIFS(History_Q!$B$2:$B$1000,History_Q!$A$2:$A$1000,G$6,History_Q!$C$2:$C$1000,"capital_expenditures")-4),History_Q!$E$2:$E$1000,"$m",History_Q!$G$2:$G$1000,"populated")))</f>
        <v/>
      </c>
      <c r="H48" s="450">
        <f>IF(OR(H$6="",COUNTIFS(History_Q!$C$2:$C$1000,"operating_cash_flow",History_Q!$B$2:$B$1000,(SUMIFS(History_Q!$B$2:$B$1000,History_Q!$A$2:$A$1000,H$6,History_Q!$C$2:$C$1000,"operating_cash_flow")),History_Q!$E$2:$E$1000,"$m",History_Q!$G$2:$G$1000,"populated")&lt;&gt;1,COUNTIFS(History_Q!$C$2:$C$1000,"capital_expenditures",History_Q!$B$2:$B$1000,(SUMIFS(History_Q!$B$2:$B$1000,History_Q!$A$2:$A$1000,H$6,History_Q!$C$2:$C$1000,"capital_expenditures")),History_Q!$E$2:$E$1000,"$m",History_Q!$G$2:$G$1000,"populated")&lt;&gt;1,COUNTIFS(History_Q!$C$2:$C$1000,"operating_cash_flow",History_Q!$B$2:$B$1000,(SUMIFS(History_Q!$B$2:$B$1000,History_Q!$A$2:$A$1000,H$6,History_Q!$C$2:$C$1000,"operating_cash_flow")-4),History_Q!$E$2:$E$1000,"$m",History_Q!$G$2:$G$1000,"populated")&lt;&gt;1,COUNTIFS(History_Q!$C$2:$C$1000,"capital_expenditures",History_Q!$B$2:$B$1000,(SUMIFS(History_Q!$B$2:$B$1000,History_Q!$A$2:$A$1000,H$6,History_Q!$C$2:$C$1000,"capital_expenditures")-4),History_Q!$E$2:$E$1000,"$m",History_Q!$G$2:$G$1000,"populated")&lt;&gt;1),"",(SUMIFS(History_Q!$D$2:$D$1000,History_Q!$C$2:$C$1000,"operating_cash_flow",History_Q!$B$2:$B$1000,(SUMIFS(History_Q!$B$2:$B$1000,History_Q!$A$2:$A$1000,H$6,History_Q!$C$2:$C$1000,"operating_cash_flow")),History_Q!$E$2:$E$1000,"$m",History_Q!$G$2:$G$1000,"populated")-SUMIFS(History_Q!$D$2:$D$1000,History_Q!$C$2:$C$1000,"capital_expenditures",History_Q!$B$2:$B$1000,(SUMIFS(History_Q!$B$2:$B$1000,History_Q!$A$2:$A$1000,H$6,History_Q!$C$2:$C$1000,"capital_expenditures")),History_Q!$E$2:$E$1000,"$m",History_Q!$G$2:$G$1000,"populated"))-(SUMIFS(History_Q!$D$2:$D$1000,History_Q!$C$2:$C$1000,"operating_cash_flow",History_Q!$B$2:$B$1000,(SUMIFS(History_Q!$B$2:$B$1000,History_Q!$A$2:$A$1000,H$6,History_Q!$C$2:$C$1000,"operating_cash_flow")-4),History_Q!$E$2:$E$1000,"$m",History_Q!$G$2:$G$1000,"populated")-SUMIFS(History_Q!$D$2:$D$1000,History_Q!$C$2:$C$1000,"capital_expenditures",History_Q!$B$2:$B$1000,(SUMIFS(History_Q!$B$2:$B$1000,History_Q!$A$2:$A$1000,H$6,History_Q!$C$2:$C$1000,"capital_expenditures")-4),History_Q!$E$2:$E$1000,"$m",History_Q!$G$2:$G$1000,"populated")))</f>
        <v/>
      </c>
      <c r="I48" s="450">
        <f>IF(OR(I$6="",COUNTIFS(History_Q!$C$2:$C$1000,"operating_cash_flow",History_Q!$B$2:$B$1000,(SUMIFS(History_Q!$B$2:$B$1000,History_Q!$A$2:$A$1000,I$6,History_Q!$C$2:$C$1000,"operating_cash_flow")),History_Q!$E$2:$E$1000,"$m",History_Q!$G$2:$G$1000,"populated")&lt;&gt;1,COUNTIFS(History_Q!$C$2:$C$1000,"capital_expenditures",History_Q!$B$2:$B$1000,(SUMIFS(History_Q!$B$2:$B$1000,History_Q!$A$2:$A$1000,I$6,History_Q!$C$2:$C$1000,"capital_expenditures")),History_Q!$E$2:$E$1000,"$m",History_Q!$G$2:$G$1000,"populated")&lt;&gt;1,COUNTIFS(History_Q!$C$2:$C$1000,"operating_cash_flow",History_Q!$B$2:$B$1000,(SUMIFS(History_Q!$B$2:$B$1000,History_Q!$A$2:$A$1000,I$6,History_Q!$C$2:$C$1000,"operating_cash_flow")-4),History_Q!$E$2:$E$1000,"$m",History_Q!$G$2:$G$1000,"populated")&lt;&gt;1,COUNTIFS(History_Q!$C$2:$C$1000,"capital_expenditures",History_Q!$B$2:$B$1000,(SUMIFS(History_Q!$B$2:$B$1000,History_Q!$A$2:$A$1000,I$6,History_Q!$C$2:$C$1000,"capital_expenditures")-4),History_Q!$E$2:$E$1000,"$m",History_Q!$G$2:$G$1000,"populated")&lt;&gt;1),"",(SUMIFS(History_Q!$D$2:$D$1000,History_Q!$C$2:$C$1000,"operating_cash_flow",History_Q!$B$2:$B$1000,(SUMIFS(History_Q!$B$2:$B$1000,History_Q!$A$2:$A$1000,I$6,History_Q!$C$2:$C$1000,"operating_cash_flow")),History_Q!$E$2:$E$1000,"$m",History_Q!$G$2:$G$1000,"populated")-SUMIFS(History_Q!$D$2:$D$1000,History_Q!$C$2:$C$1000,"capital_expenditures",History_Q!$B$2:$B$1000,(SUMIFS(History_Q!$B$2:$B$1000,History_Q!$A$2:$A$1000,I$6,History_Q!$C$2:$C$1000,"capital_expenditures")),History_Q!$E$2:$E$1000,"$m",History_Q!$G$2:$G$1000,"populated"))-(SUMIFS(History_Q!$D$2:$D$1000,History_Q!$C$2:$C$1000,"operating_cash_flow",History_Q!$B$2:$B$1000,(SUMIFS(History_Q!$B$2:$B$1000,History_Q!$A$2:$A$1000,I$6,History_Q!$C$2:$C$1000,"operating_cash_flow")-4),History_Q!$E$2:$E$1000,"$m",History_Q!$G$2:$G$1000,"populated")-SUMIFS(History_Q!$D$2:$D$1000,History_Q!$C$2:$C$1000,"capital_expenditures",History_Q!$B$2:$B$1000,(SUMIFS(History_Q!$B$2:$B$1000,History_Q!$A$2:$A$1000,I$6,History_Q!$C$2:$C$1000,"capital_expenditures")-4),History_Q!$E$2:$E$1000,"$m",History_Q!$G$2:$G$1000,"populated")))</f>
        <v/>
      </c>
      <c r="J48" s="450">
        <f>IF(OR(J$6="",COUNTIFS(History_Q!$C$2:$C$1000,"operating_cash_flow",History_Q!$B$2:$B$1000,(SUMIFS(History_Q!$B$2:$B$1000,History_Q!$A$2:$A$1000,J$6,History_Q!$C$2:$C$1000,"operating_cash_flow")),History_Q!$E$2:$E$1000,"$m",History_Q!$G$2:$G$1000,"populated")&lt;&gt;1,COUNTIFS(History_Q!$C$2:$C$1000,"capital_expenditures",History_Q!$B$2:$B$1000,(SUMIFS(History_Q!$B$2:$B$1000,History_Q!$A$2:$A$1000,J$6,History_Q!$C$2:$C$1000,"capital_expenditures")),History_Q!$E$2:$E$1000,"$m",History_Q!$G$2:$G$1000,"populated")&lt;&gt;1,COUNTIFS(History_Q!$C$2:$C$1000,"operating_cash_flow",History_Q!$B$2:$B$1000,(SUMIFS(History_Q!$B$2:$B$1000,History_Q!$A$2:$A$1000,J$6,History_Q!$C$2:$C$1000,"operating_cash_flow")-4),History_Q!$E$2:$E$1000,"$m",History_Q!$G$2:$G$1000,"populated")&lt;&gt;1,COUNTIFS(History_Q!$C$2:$C$1000,"capital_expenditures",History_Q!$B$2:$B$1000,(SUMIFS(History_Q!$B$2:$B$1000,History_Q!$A$2:$A$1000,J$6,History_Q!$C$2:$C$1000,"capital_expenditures")-4),History_Q!$E$2:$E$1000,"$m",History_Q!$G$2:$G$1000,"populated")&lt;&gt;1),"",(SUMIFS(History_Q!$D$2:$D$1000,History_Q!$C$2:$C$1000,"operating_cash_flow",History_Q!$B$2:$B$1000,(SUMIFS(History_Q!$B$2:$B$1000,History_Q!$A$2:$A$1000,J$6,History_Q!$C$2:$C$1000,"operating_cash_flow")),History_Q!$E$2:$E$1000,"$m",History_Q!$G$2:$G$1000,"populated")-SUMIFS(History_Q!$D$2:$D$1000,History_Q!$C$2:$C$1000,"capital_expenditures",History_Q!$B$2:$B$1000,(SUMIFS(History_Q!$B$2:$B$1000,History_Q!$A$2:$A$1000,J$6,History_Q!$C$2:$C$1000,"capital_expenditures")),History_Q!$E$2:$E$1000,"$m",History_Q!$G$2:$G$1000,"populated"))-(SUMIFS(History_Q!$D$2:$D$1000,History_Q!$C$2:$C$1000,"operating_cash_flow",History_Q!$B$2:$B$1000,(SUMIFS(History_Q!$B$2:$B$1000,History_Q!$A$2:$A$1000,J$6,History_Q!$C$2:$C$1000,"operating_cash_flow")-4),History_Q!$E$2:$E$1000,"$m",History_Q!$G$2:$G$1000,"populated")-SUMIFS(History_Q!$D$2:$D$1000,History_Q!$C$2:$C$1000,"capital_expenditures",History_Q!$B$2:$B$1000,(SUMIFS(History_Q!$B$2:$B$1000,History_Q!$A$2:$A$1000,J$6,History_Q!$C$2:$C$1000,"capital_expenditures")-4),History_Q!$E$2:$E$1000,"$m",History_Q!$G$2:$G$1000,"populated")))</f>
        <v/>
      </c>
      <c r="K48" s="450">
        <f>IF(OR(K$6="",COUNTIFS(History_Q!$C$2:$C$1000,"operating_cash_flow",History_Q!$B$2:$B$1000,(SUMIFS(History_Q!$B$2:$B$1000,History_Q!$A$2:$A$1000,K$6,History_Q!$C$2:$C$1000,"operating_cash_flow")),History_Q!$E$2:$E$1000,"$m",History_Q!$G$2:$G$1000,"populated")&lt;&gt;1,COUNTIFS(History_Q!$C$2:$C$1000,"capital_expenditures",History_Q!$B$2:$B$1000,(SUMIFS(History_Q!$B$2:$B$1000,History_Q!$A$2:$A$1000,K$6,History_Q!$C$2:$C$1000,"capital_expenditures")),History_Q!$E$2:$E$1000,"$m",History_Q!$G$2:$G$1000,"populated")&lt;&gt;1,COUNTIFS(History_Q!$C$2:$C$1000,"operating_cash_flow",History_Q!$B$2:$B$1000,(SUMIFS(History_Q!$B$2:$B$1000,History_Q!$A$2:$A$1000,K$6,History_Q!$C$2:$C$1000,"operating_cash_flow")-4),History_Q!$E$2:$E$1000,"$m",History_Q!$G$2:$G$1000,"populated")&lt;&gt;1,COUNTIFS(History_Q!$C$2:$C$1000,"capital_expenditures",History_Q!$B$2:$B$1000,(SUMIFS(History_Q!$B$2:$B$1000,History_Q!$A$2:$A$1000,K$6,History_Q!$C$2:$C$1000,"capital_expenditures")-4),History_Q!$E$2:$E$1000,"$m",History_Q!$G$2:$G$1000,"populated")&lt;&gt;1),"",(SUMIFS(History_Q!$D$2:$D$1000,History_Q!$C$2:$C$1000,"operating_cash_flow",History_Q!$B$2:$B$1000,(SUMIFS(History_Q!$B$2:$B$1000,History_Q!$A$2:$A$1000,K$6,History_Q!$C$2:$C$1000,"operating_cash_flow")),History_Q!$E$2:$E$1000,"$m",History_Q!$G$2:$G$1000,"populated")-SUMIFS(History_Q!$D$2:$D$1000,History_Q!$C$2:$C$1000,"capital_expenditures",History_Q!$B$2:$B$1000,(SUMIFS(History_Q!$B$2:$B$1000,History_Q!$A$2:$A$1000,K$6,History_Q!$C$2:$C$1000,"capital_expenditures")),History_Q!$E$2:$E$1000,"$m",History_Q!$G$2:$G$1000,"populated"))-(SUMIFS(History_Q!$D$2:$D$1000,History_Q!$C$2:$C$1000,"operating_cash_flow",History_Q!$B$2:$B$1000,(SUMIFS(History_Q!$B$2:$B$1000,History_Q!$A$2:$A$1000,K$6,History_Q!$C$2:$C$1000,"operating_cash_flow")-4),History_Q!$E$2:$E$1000,"$m",History_Q!$G$2:$G$1000,"populated")-SUMIFS(History_Q!$D$2:$D$1000,History_Q!$C$2:$C$1000,"capital_expenditures",History_Q!$B$2:$B$1000,(SUMIFS(History_Q!$B$2:$B$1000,History_Q!$A$2:$A$1000,K$6,History_Q!$C$2:$C$1000,"capital_expenditures")-4),History_Q!$E$2:$E$1000,"$m",History_Q!$G$2:$G$1000,"populated")))</f>
        <v/>
      </c>
      <c r="L48" s="450">
        <f>IF(OR(L$6="",COUNTIFS(History_Q!$C$2:$C$1000,"operating_cash_flow",History_Q!$B$2:$B$1000,(SUMIFS(History_Q!$B$2:$B$1000,History_Q!$A$2:$A$1000,L$6,History_Q!$C$2:$C$1000,"operating_cash_flow")),History_Q!$E$2:$E$1000,"$m",History_Q!$G$2:$G$1000,"populated")&lt;&gt;1,COUNTIFS(History_Q!$C$2:$C$1000,"capital_expenditures",History_Q!$B$2:$B$1000,(SUMIFS(History_Q!$B$2:$B$1000,History_Q!$A$2:$A$1000,L$6,History_Q!$C$2:$C$1000,"capital_expenditures")),History_Q!$E$2:$E$1000,"$m",History_Q!$G$2:$G$1000,"populated")&lt;&gt;1,COUNTIFS(History_Q!$C$2:$C$1000,"operating_cash_flow",History_Q!$B$2:$B$1000,(SUMIFS(History_Q!$B$2:$B$1000,History_Q!$A$2:$A$1000,L$6,History_Q!$C$2:$C$1000,"operating_cash_flow")-4),History_Q!$E$2:$E$1000,"$m",History_Q!$G$2:$G$1000,"populated")&lt;&gt;1,COUNTIFS(History_Q!$C$2:$C$1000,"capital_expenditures",History_Q!$B$2:$B$1000,(SUMIFS(History_Q!$B$2:$B$1000,History_Q!$A$2:$A$1000,L$6,History_Q!$C$2:$C$1000,"capital_expenditures")-4),History_Q!$E$2:$E$1000,"$m",History_Q!$G$2:$G$1000,"populated")&lt;&gt;1),"",(SUMIFS(History_Q!$D$2:$D$1000,History_Q!$C$2:$C$1000,"operating_cash_flow",History_Q!$B$2:$B$1000,(SUMIFS(History_Q!$B$2:$B$1000,History_Q!$A$2:$A$1000,L$6,History_Q!$C$2:$C$1000,"operating_cash_flow")),History_Q!$E$2:$E$1000,"$m",History_Q!$G$2:$G$1000,"populated")-SUMIFS(History_Q!$D$2:$D$1000,History_Q!$C$2:$C$1000,"capital_expenditures",History_Q!$B$2:$B$1000,(SUMIFS(History_Q!$B$2:$B$1000,History_Q!$A$2:$A$1000,L$6,History_Q!$C$2:$C$1000,"capital_expenditures")),History_Q!$E$2:$E$1000,"$m",History_Q!$G$2:$G$1000,"populated"))-(SUMIFS(History_Q!$D$2:$D$1000,History_Q!$C$2:$C$1000,"operating_cash_flow",History_Q!$B$2:$B$1000,(SUMIFS(History_Q!$B$2:$B$1000,History_Q!$A$2:$A$1000,L$6,History_Q!$C$2:$C$1000,"operating_cash_flow")-4),History_Q!$E$2:$E$1000,"$m",History_Q!$G$2:$G$1000,"populated")-SUMIFS(History_Q!$D$2:$D$1000,History_Q!$C$2:$C$1000,"capital_expenditures",History_Q!$B$2:$B$1000,(SUMIFS(History_Q!$B$2:$B$1000,History_Q!$A$2:$A$1000,L$6,History_Q!$C$2:$C$1000,"capital_expenditures")-4),History_Q!$E$2:$E$1000,"$m",History_Q!$G$2:$G$1000,"populated")))</f>
        <v/>
      </c>
      <c r="M48" s="450">
        <f>IF(OR(M$6="",COUNTIFS(History_Q!$C$2:$C$1000,"operating_cash_flow",History_Q!$B$2:$B$1000,(SUMIFS(History_Q!$B$2:$B$1000,History_Q!$A$2:$A$1000,M$6,History_Q!$C$2:$C$1000,"operating_cash_flow")),History_Q!$E$2:$E$1000,"$m",History_Q!$G$2:$G$1000,"populated")&lt;&gt;1,COUNTIFS(History_Q!$C$2:$C$1000,"capital_expenditures",History_Q!$B$2:$B$1000,(SUMIFS(History_Q!$B$2:$B$1000,History_Q!$A$2:$A$1000,M$6,History_Q!$C$2:$C$1000,"capital_expenditures")),History_Q!$E$2:$E$1000,"$m",History_Q!$G$2:$G$1000,"populated")&lt;&gt;1,COUNTIFS(History_Q!$C$2:$C$1000,"operating_cash_flow",History_Q!$B$2:$B$1000,(SUMIFS(History_Q!$B$2:$B$1000,History_Q!$A$2:$A$1000,M$6,History_Q!$C$2:$C$1000,"operating_cash_flow")-4),History_Q!$E$2:$E$1000,"$m",History_Q!$G$2:$G$1000,"populated")&lt;&gt;1,COUNTIFS(History_Q!$C$2:$C$1000,"capital_expenditures",History_Q!$B$2:$B$1000,(SUMIFS(History_Q!$B$2:$B$1000,History_Q!$A$2:$A$1000,M$6,History_Q!$C$2:$C$1000,"capital_expenditures")-4),History_Q!$E$2:$E$1000,"$m",History_Q!$G$2:$G$1000,"populated")&lt;&gt;1),"",(SUMIFS(History_Q!$D$2:$D$1000,History_Q!$C$2:$C$1000,"operating_cash_flow",History_Q!$B$2:$B$1000,(SUMIFS(History_Q!$B$2:$B$1000,History_Q!$A$2:$A$1000,M$6,History_Q!$C$2:$C$1000,"operating_cash_flow")),History_Q!$E$2:$E$1000,"$m",History_Q!$G$2:$G$1000,"populated")-SUMIFS(History_Q!$D$2:$D$1000,History_Q!$C$2:$C$1000,"capital_expenditures",History_Q!$B$2:$B$1000,(SUMIFS(History_Q!$B$2:$B$1000,History_Q!$A$2:$A$1000,M$6,History_Q!$C$2:$C$1000,"capital_expenditures")),History_Q!$E$2:$E$1000,"$m",History_Q!$G$2:$G$1000,"populated"))-(SUMIFS(History_Q!$D$2:$D$1000,History_Q!$C$2:$C$1000,"operating_cash_flow",History_Q!$B$2:$B$1000,(SUMIFS(History_Q!$B$2:$B$1000,History_Q!$A$2:$A$1000,M$6,History_Q!$C$2:$C$1000,"operating_cash_flow")-4),History_Q!$E$2:$E$1000,"$m",History_Q!$G$2:$G$1000,"populated")-SUMIFS(History_Q!$D$2:$D$1000,History_Q!$C$2:$C$1000,"capital_expenditures",History_Q!$B$2:$B$1000,(SUMIFS(History_Q!$B$2:$B$1000,History_Q!$A$2:$A$1000,M$6,History_Q!$C$2:$C$1000,"capital_expenditures")-4),History_Q!$E$2:$E$1000,"$m",History_Q!$G$2:$G$1000,"populated")))</f>
        <v/>
      </c>
      <c r="N48" s="22" t="n"/>
      <c r="O48" s="447" t="inlineStr">
        <is>
          <t>Thesis / debate evidence</t>
        </is>
      </c>
      <c r="P48" s="47" t="n"/>
      <c r="Q48" s="47" t="n"/>
      <c r="R48" s="47" t="n"/>
      <c r="S48" s="47" t="n"/>
      <c r="T48" s="47" t="n"/>
      <c r="U48" s="47" t="n"/>
      <c r="V48" s="47" t="n"/>
      <c r="W48" s="47" t="n"/>
      <c r="X48" s="47" t="n"/>
      <c r="Y48" s="47" t="n"/>
      <c r="Z48" s="47" t="n"/>
      <c r="AA48" s="46" t="n"/>
      <c r="AD48" s="22" t="n"/>
      <c r="AE48" s="22" t="n"/>
      <c r="AF48" s="22" t="n"/>
      <c r="AG48" s="22" t="n"/>
      <c r="AH48" s="22" t="n"/>
      <c r="AI48" s="22" t="n"/>
    </row>
    <row r="49" ht="19.5" customHeight="1">
      <c r="A49" s="48" t="inlineStr">
        <is>
          <t>FCF (TTM)</t>
        </is>
      </c>
      <c r="B49" s="450">
        <f>IF(OR(B$6="",COUNTIFS(History_Q!$C$2:$C$1000,"operating_cash_flow",History_Q!$B$2:$B$1000,"&gt;="&amp;((SUMIFS(History_Q!$B$2:$B$1000,History_Q!$A$2:$A$1000,B$6,History_Q!$C$2:$C$1000,"operating_cash_flow"))-3),History_Q!$B$2:$B$1000,"&lt;="&amp;(SUMIFS(History_Q!$B$2:$B$1000,History_Q!$A$2:$A$1000,B$6,History_Q!$C$2:$C$1000,"operating_cash_flow")),History_Q!$E$2:$E$1000,"$m",History_Q!$G$2:$G$1000,"populated")&lt;&gt;4,COUNTIFS(History_Q!$C$2:$C$1000,"capital_expenditures",History_Q!$B$2:$B$1000,"&gt;="&amp;((SUMIFS(History_Q!$B$2:$B$1000,History_Q!$A$2:$A$1000,B$6,History_Q!$C$2:$C$1000,"capital_expenditures"))-3),History_Q!$B$2:$B$1000,"&lt;="&amp;(SUMIFS(History_Q!$B$2:$B$1000,History_Q!$A$2:$A$1000,B$6,History_Q!$C$2:$C$1000,"capital_expenditures")),History_Q!$E$2:$E$1000,"$m",History_Q!$G$2:$G$1000,"populated")&lt;&gt;4,_xlfn.MAXIFS(History_Q!$B$2:$B$1000,History_Q!$C$2:$C$1000,"operating_cash_flow",History_Q!$B$2:$B$1000,"&gt;="&amp;((SUMIFS(History_Q!$B$2:$B$1000,History_Q!$A$2:$A$1000,B$6,History_Q!$C$2:$C$1000,"operating_cash_flow"))-3),History_Q!$B$2:$B$1000,"&lt;="&amp;(SUMIFS(History_Q!$B$2:$B$1000,History_Q!$A$2:$A$1000,B$6,History_Q!$C$2:$C$1000,"operating_cash_flow")),History_Q!$E$2:$E$1000,"$m",History_Q!$G$2:$G$1000,"populated")-_xlfn.MINIFS(History_Q!$B$2:$B$1000,History_Q!$C$2:$C$1000,"operating_cash_flow",History_Q!$B$2:$B$1000,"&gt;="&amp;((SUMIFS(History_Q!$B$2:$B$1000,History_Q!$A$2:$A$1000,B$6,History_Q!$C$2:$C$1000,"operating_cash_flow"))-3),History_Q!$B$2:$B$1000,"&lt;="&amp;(SUMIFS(History_Q!$B$2:$B$1000,History_Q!$A$2:$A$1000,B$6,History_Q!$C$2:$C$1000,"operating_cash_flow")),History_Q!$E$2:$E$1000,"$m",History_Q!$G$2:$G$1000,"populated")&lt;&gt;3,_xlfn.MAXIFS(History_Q!$B$2:$B$1000,History_Q!$C$2:$C$1000,"capital_expenditures",History_Q!$B$2:$B$1000,"&gt;="&amp;((SUMIFS(History_Q!$B$2:$B$1000,History_Q!$A$2:$A$1000,B$6,History_Q!$C$2:$C$1000,"capital_expenditures"))-3),History_Q!$B$2:$B$1000,"&lt;="&amp;(SUMIFS(History_Q!$B$2:$B$1000,History_Q!$A$2:$A$1000,B$6,History_Q!$C$2:$C$1000,"capital_expenditures")),History_Q!$E$2:$E$1000,"$m",History_Q!$G$2:$G$1000,"populated")-_xlfn.MINIFS(History_Q!$B$2:$B$1000,History_Q!$C$2:$C$1000,"capital_expenditures",History_Q!$B$2:$B$1000,"&gt;="&amp;((SUMIFS(History_Q!$B$2:$B$1000,History_Q!$A$2:$A$1000,B$6,History_Q!$C$2:$C$1000,"capital_expenditures"))-3),History_Q!$B$2:$B$1000,"&lt;="&amp;(SUMIFS(History_Q!$B$2:$B$1000,History_Q!$A$2:$A$1000,B$6,History_Q!$C$2:$C$1000,"capital_expenditures")),History_Q!$E$2:$E$1000,"$m",History_Q!$G$2:$G$1000,"populated")&lt;&gt;3),"",SUMIFS(History_Q!$D$2:$D$1000,History_Q!$C$2:$C$1000,"operating_cash_flow",History_Q!$B$2:$B$1000,"&gt;="&amp;((SUMIFS(History_Q!$B$2:$B$1000,History_Q!$A$2:$A$1000,B$6,History_Q!$C$2:$C$1000,"operating_cash_flow"))-3),History_Q!$B$2:$B$1000,"&lt;="&amp;(SUMIFS(History_Q!$B$2:$B$1000,History_Q!$A$2:$A$1000,B$6,History_Q!$C$2:$C$1000,"operating_cash_flow")),History_Q!$E$2:$E$1000,"$m",History_Q!$G$2:$G$1000,"populated")-SUMIFS(History_Q!$D$2:$D$1000,History_Q!$C$2:$C$1000,"capital_expenditures",History_Q!$B$2:$B$1000,"&gt;="&amp;((SUMIFS(History_Q!$B$2:$B$1000,History_Q!$A$2:$A$1000,B$6,History_Q!$C$2:$C$1000,"capital_expenditures"))-3),History_Q!$B$2:$B$1000,"&lt;="&amp;(SUMIFS(History_Q!$B$2:$B$1000,History_Q!$A$2:$A$1000,B$6,History_Q!$C$2:$C$1000,"capital_expenditures")),History_Q!$E$2:$E$1000,"$m",History_Q!$G$2:$G$1000,"populated"))</f>
        <v/>
      </c>
      <c r="C49" s="450">
        <f>IF(OR(C$6="",COUNTIFS(History_Q!$C$2:$C$1000,"operating_cash_flow",History_Q!$B$2:$B$1000,"&gt;="&amp;((SUMIFS(History_Q!$B$2:$B$1000,History_Q!$A$2:$A$1000,C$6,History_Q!$C$2:$C$1000,"operating_cash_flow"))-3),History_Q!$B$2:$B$1000,"&lt;="&amp;(SUMIFS(History_Q!$B$2:$B$1000,History_Q!$A$2:$A$1000,C$6,History_Q!$C$2:$C$1000,"operating_cash_flow")),History_Q!$E$2:$E$1000,"$m",History_Q!$G$2:$G$1000,"populated")&lt;&gt;4,COUNTIFS(History_Q!$C$2:$C$1000,"capital_expenditures",History_Q!$B$2:$B$1000,"&gt;="&amp;((SUMIFS(History_Q!$B$2:$B$1000,History_Q!$A$2:$A$1000,C$6,History_Q!$C$2:$C$1000,"capital_expenditures"))-3),History_Q!$B$2:$B$1000,"&lt;="&amp;(SUMIFS(History_Q!$B$2:$B$1000,History_Q!$A$2:$A$1000,C$6,History_Q!$C$2:$C$1000,"capital_expenditures")),History_Q!$E$2:$E$1000,"$m",History_Q!$G$2:$G$1000,"populated")&lt;&gt;4,_xlfn.MAXIFS(History_Q!$B$2:$B$1000,History_Q!$C$2:$C$1000,"operating_cash_flow",History_Q!$B$2:$B$1000,"&gt;="&amp;((SUMIFS(History_Q!$B$2:$B$1000,History_Q!$A$2:$A$1000,C$6,History_Q!$C$2:$C$1000,"operating_cash_flow"))-3),History_Q!$B$2:$B$1000,"&lt;="&amp;(SUMIFS(History_Q!$B$2:$B$1000,History_Q!$A$2:$A$1000,C$6,History_Q!$C$2:$C$1000,"operating_cash_flow")),History_Q!$E$2:$E$1000,"$m",History_Q!$G$2:$G$1000,"populated")-_xlfn.MINIFS(History_Q!$B$2:$B$1000,History_Q!$C$2:$C$1000,"operating_cash_flow",History_Q!$B$2:$B$1000,"&gt;="&amp;((SUMIFS(History_Q!$B$2:$B$1000,History_Q!$A$2:$A$1000,C$6,History_Q!$C$2:$C$1000,"operating_cash_flow"))-3),History_Q!$B$2:$B$1000,"&lt;="&amp;(SUMIFS(History_Q!$B$2:$B$1000,History_Q!$A$2:$A$1000,C$6,History_Q!$C$2:$C$1000,"operating_cash_flow")),History_Q!$E$2:$E$1000,"$m",History_Q!$G$2:$G$1000,"populated")&lt;&gt;3,_xlfn.MAXIFS(History_Q!$B$2:$B$1000,History_Q!$C$2:$C$1000,"capital_expenditures",History_Q!$B$2:$B$1000,"&gt;="&amp;((SUMIFS(History_Q!$B$2:$B$1000,History_Q!$A$2:$A$1000,C$6,History_Q!$C$2:$C$1000,"capital_expenditures"))-3),History_Q!$B$2:$B$1000,"&lt;="&amp;(SUMIFS(History_Q!$B$2:$B$1000,History_Q!$A$2:$A$1000,C$6,History_Q!$C$2:$C$1000,"capital_expenditures")),History_Q!$E$2:$E$1000,"$m",History_Q!$G$2:$G$1000,"populated")-_xlfn.MINIFS(History_Q!$B$2:$B$1000,History_Q!$C$2:$C$1000,"capital_expenditures",History_Q!$B$2:$B$1000,"&gt;="&amp;((SUMIFS(History_Q!$B$2:$B$1000,History_Q!$A$2:$A$1000,C$6,History_Q!$C$2:$C$1000,"capital_expenditures"))-3),History_Q!$B$2:$B$1000,"&lt;="&amp;(SUMIFS(History_Q!$B$2:$B$1000,History_Q!$A$2:$A$1000,C$6,History_Q!$C$2:$C$1000,"capital_expenditures")),History_Q!$E$2:$E$1000,"$m",History_Q!$G$2:$G$1000,"populated")&lt;&gt;3),"",SUMIFS(History_Q!$D$2:$D$1000,History_Q!$C$2:$C$1000,"operating_cash_flow",History_Q!$B$2:$B$1000,"&gt;="&amp;((SUMIFS(History_Q!$B$2:$B$1000,History_Q!$A$2:$A$1000,C$6,History_Q!$C$2:$C$1000,"operating_cash_flow"))-3),History_Q!$B$2:$B$1000,"&lt;="&amp;(SUMIFS(History_Q!$B$2:$B$1000,History_Q!$A$2:$A$1000,C$6,History_Q!$C$2:$C$1000,"operating_cash_flow")),History_Q!$E$2:$E$1000,"$m",History_Q!$G$2:$G$1000,"populated")-SUMIFS(History_Q!$D$2:$D$1000,History_Q!$C$2:$C$1000,"capital_expenditures",History_Q!$B$2:$B$1000,"&gt;="&amp;((SUMIFS(History_Q!$B$2:$B$1000,History_Q!$A$2:$A$1000,C$6,History_Q!$C$2:$C$1000,"capital_expenditures"))-3),History_Q!$B$2:$B$1000,"&lt;="&amp;(SUMIFS(History_Q!$B$2:$B$1000,History_Q!$A$2:$A$1000,C$6,History_Q!$C$2:$C$1000,"capital_expenditures")),History_Q!$E$2:$E$1000,"$m",History_Q!$G$2:$G$1000,"populated"))</f>
        <v/>
      </c>
      <c r="D49" s="450">
        <f>IF(OR(D$6="",COUNTIFS(History_Q!$C$2:$C$1000,"operating_cash_flow",History_Q!$B$2:$B$1000,"&gt;="&amp;((SUMIFS(History_Q!$B$2:$B$1000,History_Q!$A$2:$A$1000,D$6,History_Q!$C$2:$C$1000,"operating_cash_flow"))-3),History_Q!$B$2:$B$1000,"&lt;="&amp;(SUMIFS(History_Q!$B$2:$B$1000,History_Q!$A$2:$A$1000,D$6,History_Q!$C$2:$C$1000,"operating_cash_flow")),History_Q!$E$2:$E$1000,"$m",History_Q!$G$2:$G$1000,"populated")&lt;&gt;4,COUNTIFS(History_Q!$C$2:$C$1000,"capital_expenditures",History_Q!$B$2:$B$1000,"&gt;="&amp;((SUMIFS(History_Q!$B$2:$B$1000,History_Q!$A$2:$A$1000,D$6,History_Q!$C$2:$C$1000,"capital_expenditures"))-3),History_Q!$B$2:$B$1000,"&lt;="&amp;(SUMIFS(History_Q!$B$2:$B$1000,History_Q!$A$2:$A$1000,D$6,History_Q!$C$2:$C$1000,"capital_expenditures")),History_Q!$E$2:$E$1000,"$m",History_Q!$G$2:$G$1000,"populated")&lt;&gt;4,_xlfn.MAXIFS(History_Q!$B$2:$B$1000,History_Q!$C$2:$C$1000,"operating_cash_flow",History_Q!$B$2:$B$1000,"&gt;="&amp;((SUMIFS(History_Q!$B$2:$B$1000,History_Q!$A$2:$A$1000,D$6,History_Q!$C$2:$C$1000,"operating_cash_flow"))-3),History_Q!$B$2:$B$1000,"&lt;="&amp;(SUMIFS(History_Q!$B$2:$B$1000,History_Q!$A$2:$A$1000,D$6,History_Q!$C$2:$C$1000,"operating_cash_flow")),History_Q!$E$2:$E$1000,"$m",History_Q!$G$2:$G$1000,"populated")-_xlfn.MINIFS(History_Q!$B$2:$B$1000,History_Q!$C$2:$C$1000,"operating_cash_flow",History_Q!$B$2:$B$1000,"&gt;="&amp;((SUMIFS(History_Q!$B$2:$B$1000,History_Q!$A$2:$A$1000,D$6,History_Q!$C$2:$C$1000,"operating_cash_flow"))-3),History_Q!$B$2:$B$1000,"&lt;="&amp;(SUMIFS(History_Q!$B$2:$B$1000,History_Q!$A$2:$A$1000,D$6,History_Q!$C$2:$C$1000,"operating_cash_flow")),History_Q!$E$2:$E$1000,"$m",History_Q!$G$2:$G$1000,"populated")&lt;&gt;3,_xlfn.MAXIFS(History_Q!$B$2:$B$1000,History_Q!$C$2:$C$1000,"capital_expenditures",History_Q!$B$2:$B$1000,"&gt;="&amp;((SUMIFS(History_Q!$B$2:$B$1000,History_Q!$A$2:$A$1000,D$6,History_Q!$C$2:$C$1000,"capital_expenditures"))-3),History_Q!$B$2:$B$1000,"&lt;="&amp;(SUMIFS(History_Q!$B$2:$B$1000,History_Q!$A$2:$A$1000,D$6,History_Q!$C$2:$C$1000,"capital_expenditures")),History_Q!$E$2:$E$1000,"$m",History_Q!$G$2:$G$1000,"populated")-_xlfn.MINIFS(History_Q!$B$2:$B$1000,History_Q!$C$2:$C$1000,"capital_expenditures",History_Q!$B$2:$B$1000,"&gt;="&amp;((SUMIFS(History_Q!$B$2:$B$1000,History_Q!$A$2:$A$1000,D$6,History_Q!$C$2:$C$1000,"capital_expenditures"))-3),History_Q!$B$2:$B$1000,"&lt;="&amp;(SUMIFS(History_Q!$B$2:$B$1000,History_Q!$A$2:$A$1000,D$6,History_Q!$C$2:$C$1000,"capital_expenditures")),History_Q!$E$2:$E$1000,"$m",History_Q!$G$2:$G$1000,"populated")&lt;&gt;3),"",SUMIFS(History_Q!$D$2:$D$1000,History_Q!$C$2:$C$1000,"operating_cash_flow",History_Q!$B$2:$B$1000,"&gt;="&amp;((SUMIFS(History_Q!$B$2:$B$1000,History_Q!$A$2:$A$1000,D$6,History_Q!$C$2:$C$1000,"operating_cash_flow"))-3),History_Q!$B$2:$B$1000,"&lt;="&amp;(SUMIFS(History_Q!$B$2:$B$1000,History_Q!$A$2:$A$1000,D$6,History_Q!$C$2:$C$1000,"operating_cash_flow")),History_Q!$E$2:$E$1000,"$m",History_Q!$G$2:$G$1000,"populated")-SUMIFS(History_Q!$D$2:$D$1000,History_Q!$C$2:$C$1000,"capital_expenditures",History_Q!$B$2:$B$1000,"&gt;="&amp;((SUMIFS(History_Q!$B$2:$B$1000,History_Q!$A$2:$A$1000,D$6,History_Q!$C$2:$C$1000,"capital_expenditures"))-3),History_Q!$B$2:$B$1000,"&lt;="&amp;(SUMIFS(History_Q!$B$2:$B$1000,History_Q!$A$2:$A$1000,D$6,History_Q!$C$2:$C$1000,"capital_expenditures")),History_Q!$E$2:$E$1000,"$m",History_Q!$G$2:$G$1000,"populated"))</f>
        <v/>
      </c>
      <c r="E49" s="450">
        <f>IF(OR(E$6="",COUNTIFS(History_Q!$C$2:$C$1000,"operating_cash_flow",History_Q!$B$2:$B$1000,"&gt;="&amp;((SUMIFS(History_Q!$B$2:$B$1000,History_Q!$A$2:$A$1000,E$6,History_Q!$C$2:$C$1000,"operating_cash_flow"))-3),History_Q!$B$2:$B$1000,"&lt;="&amp;(SUMIFS(History_Q!$B$2:$B$1000,History_Q!$A$2:$A$1000,E$6,History_Q!$C$2:$C$1000,"operating_cash_flow")),History_Q!$E$2:$E$1000,"$m",History_Q!$G$2:$G$1000,"populated")&lt;&gt;4,COUNTIFS(History_Q!$C$2:$C$1000,"capital_expenditures",History_Q!$B$2:$B$1000,"&gt;="&amp;((SUMIFS(History_Q!$B$2:$B$1000,History_Q!$A$2:$A$1000,E$6,History_Q!$C$2:$C$1000,"capital_expenditures"))-3),History_Q!$B$2:$B$1000,"&lt;="&amp;(SUMIFS(History_Q!$B$2:$B$1000,History_Q!$A$2:$A$1000,E$6,History_Q!$C$2:$C$1000,"capital_expenditures")),History_Q!$E$2:$E$1000,"$m",History_Q!$G$2:$G$1000,"populated")&lt;&gt;4,_xlfn.MAXIFS(History_Q!$B$2:$B$1000,History_Q!$C$2:$C$1000,"operating_cash_flow",History_Q!$B$2:$B$1000,"&gt;="&amp;((SUMIFS(History_Q!$B$2:$B$1000,History_Q!$A$2:$A$1000,E$6,History_Q!$C$2:$C$1000,"operating_cash_flow"))-3),History_Q!$B$2:$B$1000,"&lt;="&amp;(SUMIFS(History_Q!$B$2:$B$1000,History_Q!$A$2:$A$1000,E$6,History_Q!$C$2:$C$1000,"operating_cash_flow")),History_Q!$E$2:$E$1000,"$m",History_Q!$G$2:$G$1000,"populated")-_xlfn.MINIFS(History_Q!$B$2:$B$1000,History_Q!$C$2:$C$1000,"operating_cash_flow",History_Q!$B$2:$B$1000,"&gt;="&amp;((SUMIFS(History_Q!$B$2:$B$1000,History_Q!$A$2:$A$1000,E$6,History_Q!$C$2:$C$1000,"operating_cash_flow"))-3),History_Q!$B$2:$B$1000,"&lt;="&amp;(SUMIFS(History_Q!$B$2:$B$1000,History_Q!$A$2:$A$1000,E$6,History_Q!$C$2:$C$1000,"operating_cash_flow")),History_Q!$E$2:$E$1000,"$m",History_Q!$G$2:$G$1000,"populated")&lt;&gt;3,_xlfn.MAXIFS(History_Q!$B$2:$B$1000,History_Q!$C$2:$C$1000,"capital_expenditures",History_Q!$B$2:$B$1000,"&gt;="&amp;((SUMIFS(History_Q!$B$2:$B$1000,History_Q!$A$2:$A$1000,E$6,History_Q!$C$2:$C$1000,"capital_expenditures"))-3),History_Q!$B$2:$B$1000,"&lt;="&amp;(SUMIFS(History_Q!$B$2:$B$1000,History_Q!$A$2:$A$1000,E$6,History_Q!$C$2:$C$1000,"capital_expenditures")),History_Q!$E$2:$E$1000,"$m",History_Q!$G$2:$G$1000,"populated")-_xlfn.MINIFS(History_Q!$B$2:$B$1000,History_Q!$C$2:$C$1000,"capital_expenditures",History_Q!$B$2:$B$1000,"&gt;="&amp;((SUMIFS(History_Q!$B$2:$B$1000,History_Q!$A$2:$A$1000,E$6,History_Q!$C$2:$C$1000,"capital_expenditures"))-3),History_Q!$B$2:$B$1000,"&lt;="&amp;(SUMIFS(History_Q!$B$2:$B$1000,History_Q!$A$2:$A$1000,E$6,History_Q!$C$2:$C$1000,"capital_expenditures")),History_Q!$E$2:$E$1000,"$m",History_Q!$G$2:$G$1000,"populated")&lt;&gt;3),"",SUMIFS(History_Q!$D$2:$D$1000,History_Q!$C$2:$C$1000,"operating_cash_flow",History_Q!$B$2:$B$1000,"&gt;="&amp;((SUMIFS(History_Q!$B$2:$B$1000,History_Q!$A$2:$A$1000,E$6,History_Q!$C$2:$C$1000,"operating_cash_flow"))-3),History_Q!$B$2:$B$1000,"&lt;="&amp;(SUMIFS(History_Q!$B$2:$B$1000,History_Q!$A$2:$A$1000,E$6,History_Q!$C$2:$C$1000,"operating_cash_flow")),History_Q!$E$2:$E$1000,"$m",History_Q!$G$2:$G$1000,"populated")-SUMIFS(History_Q!$D$2:$D$1000,History_Q!$C$2:$C$1000,"capital_expenditures",History_Q!$B$2:$B$1000,"&gt;="&amp;((SUMIFS(History_Q!$B$2:$B$1000,History_Q!$A$2:$A$1000,E$6,History_Q!$C$2:$C$1000,"capital_expenditures"))-3),History_Q!$B$2:$B$1000,"&lt;="&amp;(SUMIFS(History_Q!$B$2:$B$1000,History_Q!$A$2:$A$1000,E$6,History_Q!$C$2:$C$1000,"capital_expenditures")),History_Q!$E$2:$E$1000,"$m",History_Q!$G$2:$G$1000,"populated"))</f>
        <v/>
      </c>
      <c r="F49" s="450">
        <f>IF(OR(F$6="",COUNTIFS(History_Q!$C$2:$C$1000,"operating_cash_flow",History_Q!$B$2:$B$1000,"&gt;="&amp;((SUMIFS(History_Q!$B$2:$B$1000,History_Q!$A$2:$A$1000,F$6,History_Q!$C$2:$C$1000,"operating_cash_flow"))-3),History_Q!$B$2:$B$1000,"&lt;="&amp;(SUMIFS(History_Q!$B$2:$B$1000,History_Q!$A$2:$A$1000,F$6,History_Q!$C$2:$C$1000,"operating_cash_flow")),History_Q!$E$2:$E$1000,"$m",History_Q!$G$2:$G$1000,"populated")&lt;&gt;4,COUNTIFS(History_Q!$C$2:$C$1000,"capital_expenditures",History_Q!$B$2:$B$1000,"&gt;="&amp;((SUMIFS(History_Q!$B$2:$B$1000,History_Q!$A$2:$A$1000,F$6,History_Q!$C$2:$C$1000,"capital_expenditures"))-3),History_Q!$B$2:$B$1000,"&lt;="&amp;(SUMIFS(History_Q!$B$2:$B$1000,History_Q!$A$2:$A$1000,F$6,History_Q!$C$2:$C$1000,"capital_expenditures")),History_Q!$E$2:$E$1000,"$m",History_Q!$G$2:$G$1000,"populated")&lt;&gt;4,_xlfn.MAXIFS(History_Q!$B$2:$B$1000,History_Q!$C$2:$C$1000,"operating_cash_flow",History_Q!$B$2:$B$1000,"&gt;="&amp;((SUMIFS(History_Q!$B$2:$B$1000,History_Q!$A$2:$A$1000,F$6,History_Q!$C$2:$C$1000,"operating_cash_flow"))-3),History_Q!$B$2:$B$1000,"&lt;="&amp;(SUMIFS(History_Q!$B$2:$B$1000,History_Q!$A$2:$A$1000,F$6,History_Q!$C$2:$C$1000,"operating_cash_flow")),History_Q!$E$2:$E$1000,"$m",History_Q!$G$2:$G$1000,"populated")-_xlfn.MINIFS(History_Q!$B$2:$B$1000,History_Q!$C$2:$C$1000,"operating_cash_flow",History_Q!$B$2:$B$1000,"&gt;="&amp;((SUMIFS(History_Q!$B$2:$B$1000,History_Q!$A$2:$A$1000,F$6,History_Q!$C$2:$C$1000,"operating_cash_flow"))-3),History_Q!$B$2:$B$1000,"&lt;="&amp;(SUMIFS(History_Q!$B$2:$B$1000,History_Q!$A$2:$A$1000,F$6,History_Q!$C$2:$C$1000,"operating_cash_flow")),History_Q!$E$2:$E$1000,"$m",History_Q!$G$2:$G$1000,"populated")&lt;&gt;3,_xlfn.MAXIFS(History_Q!$B$2:$B$1000,History_Q!$C$2:$C$1000,"capital_expenditures",History_Q!$B$2:$B$1000,"&gt;="&amp;((SUMIFS(History_Q!$B$2:$B$1000,History_Q!$A$2:$A$1000,F$6,History_Q!$C$2:$C$1000,"capital_expenditures"))-3),History_Q!$B$2:$B$1000,"&lt;="&amp;(SUMIFS(History_Q!$B$2:$B$1000,History_Q!$A$2:$A$1000,F$6,History_Q!$C$2:$C$1000,"capital_expenditures")),History_Q!$E$2:$E$1000,"$m",History_Q!$G$2:$G$1000,"populated")-_xlfn.MINIFS(History_Q!$B$2:$B$1000,History_Q!$C$2:$C$1000,"capital_expenditures",History_Q!$B$2:$B$1000,"&gt;="&amp;((SUMIFS(History_Q!$B$2:$B$1000,History_Q!$A$2:$A$1000,F$6,History_Q!$C$2:$C$1000,"capital_expenditures"))-3),History_Q!$B$2:$B$1000,"&lt;="&amp;(SUMIFS(History_Q!$B$2:$B$1000,History_Q!$A$2:$A$1000,F$6,History_Q!$C$2:$C$1000,"capital_expenditures")),History_Q!$E$2:$E$1000,"$m",History_Q!$G$2:$G$1000,"populated")&lt;&gt;3),"",SUMIFS(History_Q!$D$2:$D$1000,History_Q!$C$2:$C$1000,"operating_cash_flow",History_Q!$B$2:$B$1000,"&gt;="&amp;((SUMIFS(History_Q!$B$2:$B$1000,History_Q!$A$2:$A$1000,F$6,History_Q!$C$2:$C$1000,"operating_cash_flow"))-3),History_Q!$B$2:$B$1000,"&lt;="&amp;(SUMIFS(History_Q!$B$2:$B$1000,History_Q!$A$2:$A$1000,F$6,History_Q!$C$2:$C$1000,"operating_cash_flow")),History_Q!$E$2:$E$1000,"$m",History_Q!$G$2:$G$1000,"populated")-SUMIFS(History_Q!$D$2:$D$1000,History_Q!$C$2:$C$1000,"capital_expenditures",History_Q!$B$2:$B$1000,"&gt;="&amp;((SUMIFS(History_Q!$B$2:$B$1000,History_Q!$A$2:$A$1000,F$6,History_Q!$C$2:$C$1000,"capital_expenditures"))-3),History_Q!$B$2:$B$1000,"&lt;="&amp;(SUMIFS(History_Q!$B$2:$B$1000,History_Q!$A$2:$A$1000,F$6,History_Q!$C$2:$C$1000,"capital_expenditures")),History_Q!$E$2:$E$1000,"$m",History_Q!$G$2:$G$1000,"populated"))</f>
        <v/>
      </c>
      <c r="G49" s="450">
        <f>IF(OR(G$6="",COUNTIFS(History_Q!$C$2:$C$1000,"operating_cash_flow",History_Q!$B$2:$B$1000,"&gt;="&amp;((SUMIFS(History_Q!$B$2:$B$1000,History_Q!$A$2:$A$1000,G$6,History_Q!$C$2:$C$1000,"operating_cash_flow"))-3),History_Q!$B$2:$B$1000,"&lt;="&amp;(SUMIFS(History_Q!$B$2:$B$1000,History_Q!$A$2:$A$1000,G$6,History_Q!$C$2:$C$1000,"operating_cash_flow")),History_Q!$E$2:$E$1000,"$m",History_Q!$G$2:$G$1000,"populated")&lt;&gt;4,COUNTIFS(History_Q!$C$2:$C$1000,"capital_expenditures",History_Q!$B$2:$B$1000,"&gt;="&amp;((SUMIFS(History_Q!$B$2:$B$1000,History_Q!$A$2:$A$1000,G$6,History_Q!$C$2:$C$1000,"capital_expenditures"))-3),History_Q!$B$2:$B$1000,"&lt;="&amp;(SUMIFS(History_Q!$B$2:$B$1000,History_Q!$A$2:$A$1000,G$6,History_Q!$C$2:$C$1000,"capital_expenditures")),History_Q!$E$2:$E$1000,"$m",History_Q!$G$2:$G$1000,"populated")&lt;&gt;4,_xlfn.MAXIFS(History_Q!$B$2:$B$1000,History_Q!$C$2:$C$1000,"operating_cash_flow",History_Q!$B$2:$B$1000,"&gt;="&amp;((SUMIFS(History_Q!$B$2:$B$1000,History_Q!$A$2:$A$1000,G$6,History_Q!$C$2:$C$1000,"operating_cash_flow"))-3),History_Q!$B$2:$B$1000,"&lt;="&amp;(SUMIFS(History_Q!$B$2:$B$1000,History_Q!$A$2:$A$1000,G$6,History_Q!$C$2:$C$1000,"operating_cash_flow")),History_Q!$E$2:$E$1000,"$m",History_Q!$G$2:$G$1000,"populated")-_xlfn.MINIFS(History_Q!$B$2:$B$1000,History_Q!$C$2:$C$1000,"operating_cash_flow",History_Q!$B$2:$B$1000,"&gt;="&amp;((SUMIFS(History_Q!$B$2:$B$1000,History_Q!$A$2:$A$1000,G$6,History_Q!$C$2:$C$1000,"operating_cash_flow"))-3),History_Q!$B$2:$B$1000,"&lt;="&amp;(SUMIFS(History_Q!$B$2:$B$1000,History_Q!$A$2:$A$1000,G$6,History_Q!$C$2:$C$1000,"operating_cash_flow")),History_Q!$E$2:$E$1000,"$m",History_Q!$G$2:$G$1000,"populated")&lt;&gt;3,_xlfn.MAXIFS(History_Q!$B$2:$B$1000,History_Q!$C$2:$C$1000,"capital_expenditures",History_Q!$B$2:$B$1000,"&gt;="&amp;((SUMIFS(History_Q!$B$2:$B$1000,History_Q!$A$2:$A$1000,G$6,History_Q!$C$2:$C$1000,"capital_expenditures"))-3),History_Q!$B$2:$B$1000,"&lt;="&amp;(SUMIFS(History_Q!$B$2:$B$1000,History_Q!$A$2:$A$1000,G$6,History_Q!$C$2:$C$1000,"capital_expenditures")),History_Q!$E$2:$E$1000,"$m",History_Q!$G$2:$G$1000,"populated")-_xlfn.MINIFS(History_Q!$B$2:$B$1000,History_Q!$C$2:$C$1000,"capital_expenditures",History_Q!$B$2:$B$1000,"&gt;="&amp;((SUMIFS(History_Q!$B$2:$B$1000,History_Q!$A$2:$A$1000,G$6,History_Q!$C$2:$C$1000,"capital_expenditures"))-3),History_Q!$B$2:$B$1000,"&lt;="&amp;(SUMIFS(History_Q!$B$2:$B$1000,History_Q!$A$2:$A$1000,G$6,History_Q!$C$2:$C$1000,"capital_expenditures")),History_Q!$E$2:$E$1000,"$m",History_Q!$G$2:$G$1000,"populated")&lt;&gt;3),"",SUMIFS(History_Q!$D$2:$D$1000,History_Q!$C$2:$C$1000,"operating_cash_flow",History_Q!$B$2:$B$1000,"&gt;="&amp;((SUMIFS(History_Q!$B$2:$B$1000,History_Q!$A$2:$A$1000,G$6,History_Q!$C$2:$C$1000,"operating_cash_flow"))-3),History_Q!$B$2:$B$1000,"&lt;="&amp;(SUMIFS(History_Q!$B$2:$B$1000,History_Q!$A$2:$A$1000,G$6,History_Q!$C$2:$C$1000,"operating_cash_flow")),History_Q!$E$2:$E$1000,"$m",History_Q!$G$2:$G$1000,"populated")-SUMIFS(History_Q!$D$2:$D$1000,History_Q!$C$2:$C$1000,"capital_expenditures",History_Q!$B$2:$B$1000,"&gt;="&amp;((SUMIFS(History_Q!$B$2:$B$1000,History_Q!$A$2:$A$1000,G$6,History_Q!$C$2:$C$1000,"capital_expenditures"))-3),History_Q!$B$2:$B$1000,"&lt;="&amp;(SUMIFS(History_Q!$B$2:$B$1000,History_Q!$A$2:$A$1000,G$6,History_Q!$C$2:$C$1000,"capital_expenditures")),History_Q!$E$2:$E$1000,"$m",History_Q!$G$2:$G$1000,"populated"))</f>
        <v/>
      </c>
      <c r="H49" s="450">
        <f>IF(OR(H$6="",COUNTIFS(History_Q!$C$2:$C$1000,"operating_cash_flow",History_Q!$B$2:$B$1000,"&gt;="&amp;((SUMIFS(History_Q!$B$2:$B$1000,History_Q!$A$2:$A$1000,H$6,History_Q!$C$2:$C$1000,"operating_cash_flow"))-3),History_Q!$B$2:$B$1000,"&lt;="&amp;(SUMIFS(History_Q!$B$2:$B$1000,History_Q!$A$2:$A$1000,H$6,History_Q!$C$2:$C$1000,"operating_cash_flow")),History_Q!$E$2:$E$1000,"$m",History_Q!$G$2:$G$1000,"populated")&lt;&gt;4,COUNTIFS(History_Q!$C$2:$C$1000,"capital_expenditures",History_Q!$B$2:$B$1000,"&gt;="&amp;((SUMIFS(History_Q!$B$2:$B$1000,History_Q!$A$2:$A$1000,H$6,History_Q!$C$2:$C$1000,"capital_expenditures"))-3),History_Q!$B$2:$B$1000,"&lt;="&amp;(SUMIFS(History_Q!$B$2:$B$1000,History_Q!$A$2:$A$1000,H$6,History_Q!$C$2:$C$1000,"capital_expenditures")),History_Q!$E$2:$E$1000,"$m",History_Q!$G$2:$G$1000,"populated")&lt;&gt;4,_xlfn.MAXIFS(History_Q!$B$2:$B$1000,History_Q!$C$2:$C$1000,"operating_cash_flow",History_Q!$B$2:$B$1000,"&gt;="&amp;((SUMIFS(History_Q!$B$2:$B$1000,History_Q!$A$2:$A$1000,H$6,History_Q!$C$2:$C$1000,"operating_cash_flow"))-3),History_Q!$B$2:$B$1000,"&lt;="&amp;(SUMIFS(History_Q!$B$2:$B$1000,History_Q!$A$2:$A$1000,H$6,History_Q!$C$2:$C$1000,"operating_cash_flow")),History_Q!$E$2:$E$1000,"$m",History_Q!$G$2:$G$1000,"populated")-_xlfn.MINIFS(History_Q!$B$2:$B$1000,History_Q!$C$2:$C$1000,"operating_cash_flow",History_Q!$B$2:$B$1000,"&gt;="&amp;((SUMIFS(History_Q!$B$2:$B$1000,History_Q!$A$2:$A$1000,H$6,History_Q!$C$2:$C$1000,"operating_cash_flow"))-3),History_Q!$B$2:$B$1000,"&lt;="&amp;(SUMIFS(History_Q!$B$2:$B$1000,History_Q!$A$2:$A$1000,H$6,History_Q!$C$2:$C$1000,"operating_cash_flow")),History_Q!$E$2:$E$1000,"$m",History_Q!$G$2:$G$1000,"populated")&lt;&gt;3,_xlfn.MAXIFS(History_Q!$B$2:$B$1000,History_Q!$C$2:$C$1000,"capital_expenditures",History_Q!$B$2:$B$1000,"&gt;="&amp;((SUMIFS(History_Q!$B$2:$B$1000,History_Q!$A$2:$A$1000,H$6,History_Q!$C$2:$C$1000,"capital_expenditures"))-3),History_Q!$B$2:$B$1000,"&lt;="&amp;(SUMIFS(History_Q!$B$2:$B$1000,History_Q!$A$2:$A$1000,H$6,History_Q!$C$2:$C$1000,"capital_expenditures")),History_Q!$E$2:$E$1000,"$m",History_Q!$G$2:$G$1000,"populated")-_xlfn.MINIFS(History_Q!$B$2:$B$1000,History_Q!$C$2:$C$1000,"capital_expenditures",History_Q!$B$2:$B$1000,"&gt;="&amp;((SUMIFS(History_Q!$B$2:$B$1000,History_Q!$A$2:$A$1000,H$6,History_Q!$C$2:$C$1000,"capital_expenditures"))-3),History_Q!$B$2:$B$1000,"&lt;="&amp;(SUMIFS(History_Q!$B$2:$B$1000,History_Q!$A$2:$A$1000,H$6,History_Q!$C$2:$C$1000,"capital_expenditures")),History_Q!$E$2:$E$1000,"$m",History_Q!$G$2:$G$1000,"populated")&lt;&gt;3),"",SUMIFS(History_Q!$D$2:$D$1000,History_Q!$C$2:$C$1000,"operating_cash_flow",History_Q!$B$2:$B$1000,"&gt;="&amp;((SUMIFS(History_Q!$B$2:$B$1000,History_Q!$A$2:$A$1000,H$6,History_Q!$C$2:$C$1000,"operating_cash_flow"))-3),History_Q!$B$2:$B$1000,"&lt;="&amp;(SUMIFS(History_Q!$B$2:$B$1000,History_Q!$A$2:$A$1000,H$6,History_Q!$C$2:$C$1000,"operating_cash_flow")),History_Q!$E$2:$E$1000,"$m",History_Q!$G$2:$G$1000,"populated")-SUMIFS(History_Q!$D$2:$D$1000,History_Q!$C$2:$C$1000,"capital_expenditures",History_Q!$B$2:$B$1000,"&gt;="&amp;((SUMIFS(History_Q!$B$2:$B$1000,History_Q!$A$2:$A$1000,H$6,History_Q!$C$2:$C$1000,"capital_expenditures"))-3),History_Q!$B$2:$B$1000,"&lt;="&amp;(SUMIFS(History_Q!$B$2:$B$1000,History_Q!$A$2:$A$1000,H$6,History_Q!$C$2:$C$1000,"capital_expenditures")),History_Q!$E$2:$E$1000,"$m",History_Q!$G$2:$G$1000,"populated"))</f>
        <v/>
      </c>
      <c r="I49" s="450">
        <f>IF(OR(I$6="",COUNTIFS(History_Q!$C$2:$C$1000,"operating_cash_flow",History_Q!$B$2:$B$1000,"&gt;="&amp;((SUMIFS(History_Q!$B$2:$B$1000,History_Q!$A$2:$A$1000,I$6,History_Q!$C$2:$C$1000,"operating_cash_flow"))-3),History_Q!$B$2:$B$1000,"&lt;="&amp;(SUMIFS(History_Q!$B$2:$B$1000,History_Q!$A$2:$A$1000,I$6,History_Q!$C$2:$C$1000,"operating_cash_flow")),History_Q!$E$2:$E$1000,"$m",History_Q!$G$2:$G$1000,"populated")&lt;&gt;4,COUNTIFS(History_Q!$C$2:$C$1000,"capital_expenditures",History_Q!$B$2:$B$1000,"&gt;="&amp;((SUMIFS(History_Q!$B$2:$B$1000,History_Q!$A$2:$A$1000,I$6,History_Q!$C$2:$C$1000,"capital_expenditures"))-3),History_Q!$B$2:$B$1000,"&lt;="&amp;(SUMIFS(History_Q!$B$2:$B$1000,History_Q!$A$2:$A$1000,I$6,History_Q!$C$2:$C$1000,"capital_expenditures")),History_Q!$E$2:$E$1000,"$m",History_Q!$G$2:$G$1000,"populated")&lt;&gt;4,_xlfn.MAXIFS(History_Q!$B$2:$B$1000,History_Q!$C$2:$C$1000,"operating_cash_flow",History_Q!$B$2:$B$1000,"&gt;="&amp;((SUMIFS(History_Q!$B$2:$B$1000,History_Q!$A$2:$A$1000,I$6,History_Q!$C$2:$C$1000,"operating_cash_flow"))-3),History_Q!$B$2:$B$1000,"&lt;="&amp;(SUMIFS(History_Q!$B$2:$B$1000,History_Q!$A$2:$A$1000,I$6,History_Q!$C$2:$C$1000,"operating_cash_flow")),History_Q!$E$2:$E$1000,"$m",History_Q!$G$2:$G$1000,"populated")-_xlfn.MINIFS(History_Q!$B$2:$B$1000,History_Q!$C$2:$C$1000,"operating_cash_flow",History_Q!$B$2:$B$1000,"&gt;="&amp;((SUMIFS(History_Q!$B$2:$B$1000,History_Q!$A$2:$A$1000,I$6,History_Q!$C$2:$C$1000,"operating_cash_flow"))-3),History_Q!$B$2:$B$1000,"&lt;="&amp;(SUMIFS(History_Q!$B$2:$B$1000,History_Q!$A$2:$A$1000,I$6,History_Q!$C$2:$C$1000,"operating_cash_flow")),History_Q!$E$2:$E$1000,"$m",History_Q!$G$2:$G$1000,"populated")&lt;&gt;3,_xlfn.MAXIFS(History_Q!$B$2:$B$1000,History_Q!$C$2:$C$1000,"capital_expenditures",History_Q!$B$2:$B$1000,"&gt;="&amp;((SUMIFS(History_Q!$B$2:$B$1000,History_Q!$A$2:$A$1000,I$6,History_Q!$C$2:$C$1000,"capital_expenditures"))-3),History_Q!$B$2:$B$1000,"&lt;="&amp;(SUMIFS(History_Q!$B$2:$B$1000,History_Q!$A$2:$A$1000,I$6,History_Q!$C$2:$C$1000,"capital_expenditures")),History_Q!$E$2:$E$1000,"$m",History_Q!$G$2:$G$1000,"populated")-_xlfn.MINIFS(History_Q!$B$2:$B$1000,History_Q!$C$2:$C$1000,"capital_expenditures",History_Q!$B$2:$B$1000,"&gt;="&amp;((SUMIFS(History_Q!$B$2:$B$1000,History_Q!$A$2:$A$1000,I$6,History_Q!$C$2:$C$1000,"capital_expenditures"))-3),History_Q!$B$2:$B$1000,"&lt;="&amp;(SUMIFS(History_Q!$B$2:$B$1000,History_Q!$A$2:$A$1000,I$6,History_Q!$C$2:$C$1000,"capital_expenditures")),History_Q!$E$2:$E$1000,"$m",History_Q!$G$2:$G$1000,"populated")&lt;&gt;3),"",SUMIFS(History_Q!$D$2:$D$1000,History_Q!$C$2:$C$1000,"operating_cash_flow",History_Q!$B$2:$B$1000,"&gt;="&amp;((SUMIFS(History_Q!$B$2:$B$1000,History_Q!$A$2:$A$1000,I$6,History_Q!$C$2:$C$1000,"operating_cash_flow"))-3),History_Q!$B$2:$B$1000,"&lt;="&amp;(SUMIFS(History_Q!$B$2:$B$1000,History_Q!$A$2:$A$1000,I$6,History_Q!$C$2:$C$1000,"operating_cash_flow")),History_Q!$E$2:$E$1000,"$m",History_Q!$G$2:$G$1000,"populated")-SUMIFS(History_Q!$D$2:$D$1000,History_Q!$C$2:$C$1000,"capital_expenditures",History_Q!$B$2:$B$1000,"&gt;="&amp;((SUMIFS(History_Q!$B$2:$B$1000,History_Q!$A$2:$A$1000,I$6,History_Q!$C$2:$C$1000,"capital_expenditures"))-3),History_Q!$B$2:$B$1000,"&lt;="&amp;(SUMIFS(History_Q!$B$2:$B$1000,History_Q!$A$2:$A$1000,I$6,History_Q!$C$2:$C$1000,"capital_expenditures")),History_Q!$E$2:$E$1000,"$m",History_Q!$G$2:$G$1000,"populated"))</f>
        <v/>
      </c>
      <c r="J49" s="450">
        <f>IF(OR(J$6="",COUNTIFS(History_Q!$C$2:$C$1000,"operating_cash_flow",History_Q!$B$2:$B$1000,"&gt;="&amp;((SUMIFS(History_Q!$B$2:$B$1000,History_Q!$A$2:$A$1000,J$6,History_Q!$C$2:$C$1000,"operating_cash_flow"))-3),History_Q!$B$2:$B$1000,"&lt;="&amp;(SUMIFS(History_Q!$B$2:$B$1000,History_Q!$A$2:$A$1000,J$6,History_Q!$C$2:$C$1000,"operating_cash_flow")),History_Q!$E$2:$E$1000,"$m",History_Q!$G$2:$G$1000,"populated")&lt;&gt;4,COUNTIFS(History_Q!$C$2:$C$1000,"capital_expenditures",History_Q!$B$2:$B$1000,"&gt;="&amp;((SUMIFS(History_Q!$B$2:$B$1000,History_Q!$A$2:$A$1000,J$6,History_Q!$C$2:$C$1000,"capital_expenditures"))-3),History_Q!$B$2:$B$1000,"&lt;="&amp;(SUMIFS(History_Q!$B$2:$B$1000,History_Q!$A$2:$A$1000,J$6,History_Q!$C$2:$C$1000,"capital_expenditures")),History_Q!$E$2:$E$1000,"$m",History_Q!$G$2:$G$1000,"populated")&lt;&gt;4,_xlfn.MAXIFS(History_Q!$B$2:$B$1000,History_Q!$C$2:$C$1000,"operating_cash_flow",History_Q!$B$2:$B$1000,"&gt;="&amp;((SUMIFS(History_Q!$B$2:$B$1000,History_Q!$A$2:$A$1000,J$6,History_Q!$C$2:$C$1000,"operating_cash_flow"))-3),History_Q!$B$2:$B$1000,"&lt;="&amp;(SUMIFS(History_Q!$B$2:$B$1000,History_Q!$A$2:$A$1000,J$6,History_Q!$C$2:$C$1000,"operating_cash_flow")),History_Q!$E$2:$E$1000,"$m",History_Q!$G$2:$G$1000,"populated")-_xlfn.MINIFS(History_Q!$B$2:$B$1000,History_Q!$C$2:$C$1000,"operating_cash_flow",History_Q!$B$2:$B$1000,"&gt;="&amp;((SUMIFS(History_Q!$B$2:$B$1000,History_Q!$A$2:$A$1000,J$6,History_Q!$C$2:$C$1000,"operating_cash_flow"))-3),History_Q!$B$2:$B$1000,"&lt;="&amp;(SUMIFS(History_Q!$B$2:$B$1000,History_Q!$A$2:$A$1000,J$6,History_Q!$C$2:$C$1000,"operating_cash_flow")),History_Q!$E$2:$E$1000,"$m",History_Q!$G$2:$G$1000,"populated")&lt;&gt;3,_xlfn.MAXIFS(History_Q!$B$2:$B$1000,History_Q!$C$2:$C$1000,"capital_expenditures",History_Q!$B$2:$B$1000,"&gt;="&amp;((SUMIFS(History_Q!$B$2:$B$1000,History_Q!$A$2:$A$1000,J$6,History_Q!$C$2:$C$1000,"capital_expenditures"))-3),History_Q!$B$2:$B$1000,"&lt;="&amp;(SUMIFS(History_Q!$B$2:$B$1000,History_Q!$A$2:$A$1000,J$6,History_Q!$C$2:$C$1000,"capital_expenditures")),History_Q!$E$2:$E$1000,"$m",History_Q!$G$2:$G$1000,"populated")-_xlfn.MINIFS(History_Q!$B$2:$B$1000,History_Q!$C$2:$C$1000,"capital_expenditures",History_Q!$B$2:$B$1000,"&gt;="&amp;((SUMIFS(History_Q!$B$2:$B$1000,History_Q!$A$2:$A$1000,J$6,History_Q!$C$2:$C$1000,"capital_expenditures"))-3),History_Q!$B$2:$B$1000,"&lt;="&amp;(SUMIFS(History_Q!$B$2:$B$1000,History_Q!$A$2:$A$1000,J$6,History_Q!$C$2:$C$1000,"capital_expenditures")),History_Q!$E$2:$E$1000,"$m",History_Q!$G$2:$G$1000,"populated")&lt;&gt;3),"",SUMIFS(History_Q!$D$2:$D$1000,History_Q!$C$2:$C$1000,"operating_cash_flow",History_Q!$B$2:$B$1000,"&gt;="&amp;((SUMIFS(History_Q!$B$2:$B$1000,History_Q!$A$2:$A$1000,J$6,History_Q!$C$2:$C$1000,"operating_cash_flow"))-3),History_Q!$B$2:$B$1000,"&lt;="&amp;(SUMIFS(History_Q!$B$2:$B$1000,History_Q!$A$2:$A$1000,J$6,History_Q!$C$2:$C$1000,"operating_cash_flow")),History_Q!$E$2:$E$1000,"$m",History_Q!$G$2:$G$1000,"populated")-SUMIFS(History_Q!$D$2:$D$1000,History_Q!$C$2:$C$1000,"capital_expenditures",History_Q!$B$2:$B$1000,"&gt;="&amp;((SUMIFS(History_Q!$B$2:$B$1000,History_Q!$A$2:$A$1000,J$6,History_Q!$C$2:$C$1000,"capital_expenditures"))-3),History_Q!$B$2:$B$1000,"&lt;="&amp;(SUMIFS(History_Q!$B$2:$B$1000,History_Q!$A$2:$A$1000,J$6,History_Q!$C$2:$C$1000,"capital_expenditures")),History_Q!$E$2:$E$1000,"$m",History_Q!$G$2:$G$1000,"populated"))</f>
        <v/>
      </c>
      <c r="K49" s="450">
        <f>IF(OR(K$6="",COUNTIFS(History_Q!$C$2:$C$1000,"operating_cash_flow",History_Q!$B$2:$B$1000,"&gt;="&amp;((SUMIFS(History_Q!$B$2:$B$1000,History_Q!$A$2:$A$1000,K$6,History_Q!$C$2:$C$1000,"operating_cash_flow"))-3),History_Q!$B$2:$B$1000,"&lt;="&amp;(SUMIFS(History_Q!$B$2:$B$1000,History_Q!$A$2:$A$1000,K$6,History_Q!$C$2:$C$1000,"operating_cash_flow")),History_Q!$E$2:$E$1000,"$m",History_Q!$G$2:$G$1000,"populated")&lt;&gt;4,COUNTIFS(History_Q!$C$2:$C$1000,"capital_expenditures",History_Q!$B$2:$B$1000,"&gt;="&amp;((SUMIFS(History_Q!$B$2:$B$1000,History_Q!$A$2:$A$1000,K$6,History_Q!$C$2:$C$1000,"capital_expenditures"))-3),History_Q!$B$2:$B$1000,"&lt;="&amp;(SUMIFS(History_Q!$B$2:$B$1000,History_Q!$A$2:$A$1000,K$6,History_Q!$C$2:$C$1000,"capital_expenditures")),History_Q!$E$2:$E$1000,"$m",History_Q!$G$2:$G$1000,"populated")&lt;&gt;4,_xlfn.MAXIFS(History_Q!$B$2:$B$1000,History_Q!$C$2:$C$1000,"operating_cash_flow",History_Q!$B$2:$B$1000,"&gt;="&amp;((SUMIFS(History_Q!$B$2:$B$1000,History_Q!$A$2:$A$1000,K$6,History_Q!$C$2:$C$1000,"operating_cash_flow"))-3),History_Q!$B$2:$B$1000,"&lt;="&amp;(SUMIFS(History_Q!$B$2:$B$1000,History_Q!$A$2:$A$1000,K$6,History_Q!$C$2:$C$1000,"operating_cash_flow")),History_Q!$E$2:$E$1000,"$m",History_Q!$G$2:$G$1000,"populated")-_xlfn.MINIFS(History_Q!$B$2:$B$1000,History_Q!$C$2:$C$1000,"operating_cash_flow",History_Q!$B$2:$B$1000,"&gt;="&amp;((SUMIFS(History_Q!$B$2:$B$1000,History_Q!$A$2:$A$1000,K$6,History_Q!$C$2:$C$1000,"operating_cash_flow"))-3),History_Q!$B$2:$B$1000,"&lt;="&amp;(SUMIFS(History_Q!$B$2:$B$1000,History_Q!$A$2:$A$1000,K$6,History_Q!$C$2:$C$1000,"operating_cash_flow")),History_Q!$E$2:$E$1000,"$m",History_Q!$G$2:$G$1000,"populated")&lt;&gt;3,_xlfn.MAXIFS(History_Q!$B$2:$B$1000,History_Q!$C$2:$C$1000,"capital_expenditures",History_Q!$B$2:$B$1000,"&gt;="&amp;((SUMIFS(History_Q!$B$2:$B$1000,History_Q!$A$2:$A$1000,K$6,History_Q!$C$2:$C$1000,"capital_expenditures"))-3),History_Q!$B$2:$B$1000,"&lt;="&amp;(SUMIFS(History_Q!$B$2:$B$1000,History_Q!$A$2:$A$1000,K$6,History_Q!$C$2:$C$1000,"capital_expenditures")),History_Q!$E$2:$E$1000,"$m",History_Q!$G$2:$G$1000,"populated")-_xlfn.MINIFS(History_Q!$B$2:$B$1000,History_Q!$C$2:$C$1000,"capital_expenditures",History_Q!$B$2:$B$1000,"&gt;="&amp;((SUMIFS(History_Q!$B$2:$B$1000,History_Q!$A$2:$A$1000,K$6,History_Q!$C$2:$C$1000,"capital_expenditures"))-3),History_Q!$B$2:$B$1000,"&lt;="&amp;(SUMIFS(History_Q!$B$2:$B$1000,History_Q!$A$2:$A$1000,K$6,History_Q!$C$2:$C$1000,"capital_expenditures")),History_Q!$E$2:$E$1000,"$m",History_Q!$G$2:$G$1000,"populated")&lt;&gt;3),"",SUMIFS(History_Q!$D$2:$D$1000,History_Q!$C$2:$C$1000,"operating_cash_flow",History_Q!$B$2:$B$1000,"&gt;="&amp;((SUMIFS(History_Q!$B$2:$B$1000,History_Q!$A$2:$A$1000,K$6,History_Q!$C$2:$C$1000,"operating_cash_flow"))-3),History_Q!$B$2:$B$1000,"&lt;="&amp;(SUMIFS(History_Q!$B$2:$B$1000,History_Q!$A$2:$A$1000,K$6,History_Q!$C$2:$C$1000,"operating_cash_flow")),History_Q!$E$2:$E$1000,"$m",History_Q!$G$2:$G$1000,"populated")-SUMIFS(History_Q!$D$2:$D$1000,History_Q!$C$2:$C$1000,"capital_expenditures",History_Q!$B$2:$B$1000,"&gt;="&amp;((SUMIFS(History_Q!$B$2:$B$1000,History_Q!$A$2:$A$1000,K$6,History_Q!$C$2:$C$1000,"capital_expenditures"))-3),History_Q!$B$2:$B$1000,"&lt;="&amp;(SUMIFS(History_Q!$B$2:$B$1000,History_Q!$A$2:$A$1000,K$6,History_Q!$C$2:$C$1000,"capital_expenditures")),History_Q!$E$2:$E$1000,"$m",History_Q!$G$2:$G$1000,"populated"))</f>
        <v/>
      </c>
      <c r="L49" s="450">
        <f>IF(OR(L$6="",COUNTIFS(History_Q!$C$2:$C$1000,"operating_cash_flow",History_Q!$B$2:$B$1000,"&gt;="&amp;((SUMIFS(History_Q!$B$2:$B$1000,History_Q!$A$2:$A$1000,L$6,History_Q!$C$2:$C$1000,"operating_cash_flow"))-3),History_Q!$B$2:$B$1000,"&lt;="&amp;(SUMIFS(History_Q!$B$2:$B$1000,History_Q!$A$2:$A$1000,L$6,History_Q!$C$2:$C$1000,"operating_cash_flow")),History_Q!$E$2:$E$1000,"$m",History_Q!$G$2:$G$1000,"populated")&lt;&gt;4,COUNTIFS(History_Q!$C$2:$C$1000,"capital_expenditures",History_Q!$B$2:$B$1000,"&gt;="&amp;((SUMIFS(History_Q!$B$2:$B$1000,History_Q!$A$2:$A$1000,L$6,History_Q!$C$2:$C$1000,"capital_expenditures"))-3),History_Q!$B$2:$B$1000,"&lt;="&amp;(SUMIFS(History_Q!$B$2:$B$1000,History_Q!$A$2:$A$1000,L$6,History_Q!$C$2:$C$1000,"capital_expenditures")),History_Q!$E$2:$E$1000,"$m",History_Q!$G$2:$G$1000,"populated")&lt;&gt;4,_xlfn.MAXIFS(History_Q!$B$2:$B$1000,History_Q!$C$2:$C$1000,"operating_cash_flow",History_Q!$B$2:$B$1000,"&gt;="&amp;((SUMIFS(History_Q!$B$2:$B$1000,History_Q!$A$2:$A$1000,L$6,History_Q!$C$2:$C$1000,"operating_cash_flow"))-3),History_Q!$B$2:$B$1000,"&lt;="&amp;(SUMIFS(History_Q!$B$2:$B$1000,History_Q!$A$2:$A$1000,L$6,History_Q!$C$2:$C$1000,"operating_cash_flow")),History_Q!$E$2:$E$1000,"$m",History_Q!$G$2:$G$1000,"populated")-_xlfn.MINIFS(History_Q!$B$2:$B$1000,History_Q!$C$2:$C$1000,"operating_cash_flow",History_Q!$B$2:$B$1000,"&gt;="&amp;((SUMIFS(History_Q!$B$2:$B$1000,History_Q!$A$2:$A$1000,L$6,History_Q!$C$2:$C$1000,"operating_cash_flow"))-3),History_Q!$B$2:$B$1000,"&lt;="&amp;(SUMIFS(History_Q!$B$2:$B$1000,History_Q!$A$2:$A$1000,L$6,History_Q!$C$2:$C$1000,"operating_cash_flow")),History_Q!$E$2:$E$1000,"$m",History_Q!$G$2:$G$1000,"populated")&lt;&gt;3,_xlfn.MAXIFS(History_Q!$B$2:$B$1000,History_Q!$C$2:$C$1000,"capital_expenditures",History_Q!$B$2:$B$1000,"&gt;="&amp;((SUMIFS(History_Q!$B$2:$B$1000,History_Q!$A$2:$A$1000,L$6,History_Q!$C$2:$C$1000,"capital_expenditures"))-3),History_Q!$B$2:$B$1000,"&lt;="&amp;(SUMIFS(History_Q!$B$2:$B$1000,History_Q!$A$2:$A$1000,L$6,History_Q!$C$2:$C$1000,"capital_expenditures")),History_Q!$E$2:$E$1000,"$m",History_Q!$G$2:$G$1000,"populated")-_xlfn.MINIFS(History_Q!$B$2:$B$1000,History_Q!$C$2:$C$1000,"capital_expenditures",History_Q!$B$2:$B$1000,"&gt;="&amp;((SUMIFS(History_Q!$B$2:$B$1000,History_Q!$A$2:$A$1000,L$6,History_Q!$C$2:$C$1000,"capital_expenditures"))-3),History_Q!$B$2:$B$1000,"&lt;="&amp;(SUMIFS(History_Q!$B$2:$B$1000,History_Q!$A$2:$A$1000,L$6,History_Q!$C$2:$C$1000,"capital_expenditures")),History_Q!$E$2:$E$1000,"$m",History_Q!$G$2:$G$1000,"populated")&lt;&gt;3),"",SUMIFS(History_Q!$D$2:$D$1000,History_Q!$C$2:$C$1000,"operating_cash_flow",History_Q!$B$2:$B$1000,"&gt;="&amp;((SUMIFS(History_Q!$B$2:$B$1000,History_Q!$A$2:$A$1000,L$6,History_Q!$C$2:$C$1000,"operating_cash_flow"))-3),History_Q!$B$2:$B$1000,"&lt;="&amp;(SUMIFS(History_Q!$B$2:$B$1000,History_Q!$A$2:$A$1000,L$6,History_Q!$C$2:$C$1000,"operating_cash_flow")),History_Q!$E$2:$E$1000,"$m",History_Q!$G$2:$G$1000,"populated")-SUMIFS(History_Q!$D$2:$D$1000,History_Q!$C$2:$C$1000,"capital_expenditures",History_Q!$B$2:$B$1000,"&gt;="&amp;((SUMIFS(History_Q!$B$2:$B$1000,History_Q!$A$2:$A$1000,L$6,History_Q!$C$2:$C$1000,"capital_expenditures"))-3),History_Q!$B$2:$B$1000,"&lt;="&amp;(SUMIFS(History_Q!$B$2:$B$1000,History_Q!$A$2:$A$1000,L$6,History_Q!$C$2:$C$1000,"capital_expenditures")),History_Q!$E$2:$E$1000,"$m",History_Q!$G$2:$G$1000,"populated"))</f>
        <v/>
      </c>
      <c r="M49" s="450">
        <f>IF(OR(M$6="",COUNTIFS(History_Q!$C$2:$C$1000,"operating_cash_flow",History_Q!$B$2:$B$1000,"&gt;="&amp;((SUMIFS(History_Q!$B$2:$B$1000,History_Q!$A$2:$A$1000,M$6,History_Q!$C$2:$C$1000,"operating_cash_flow"))-3),History_Q!$B$2:$B$1000,"&lt;="&amp;(SUMIFS(History_Q!$B$2:$B$1000,History_Q!$A$2:$A$1000,M$6,History_Q!$C$2:$C$1000,"operating_cash_flow")),History_Q!$E$2:$E$1000,"$m",History_Q!$G$2:$G$1000,"populated")&lt;&gt;4,COUNTIFS(History_Q!$C$2:$C$1000,"capital_expenditures",History_Q!$B$2:$B$1000,"&gt;="&amp;((SUMIFS(History_Q!$B$2:$B$1000,History_Q!$A$2:$A$1000,M$6,History_Q!$C$2:$C$1000,"capital_expenditures"))-3),History_Q!$B$2:$B$1000,"&lt;="&amp;(SUMIFS(History_Q!$B$2:$B$1000,History_Q!$A$2:$A$1000,M$6,History_Q!$C$2:$C$1000,"capital_expenditures")),History_Q!$E$2:$E$1000,"$m",History_Q!$G$2:$G$1000,"populated")&lt;&gt;4,_xlfn.MAXIFS(History_Q!$B$2:$B$1000,History_Q!$C$2:$C$1000,"operating_cash_flow",History_Q!$B$2:$B$1000,"&gt;="&amp;((SUMIFS(History_Q!$B$2:$B$1000,History_Q!$A$2:$A$1000,M$6,History_Q!$C$2:$C$1000,"operating_cash_flow"))-3),History_Q!$B$2:$B$1000,"&lt;="&amp;(SUMIFS(History_Q!$B$2:$B$1000,History_Q!$A$2:$A$1000,M$6,History_Q!$C$2:$C$1000,"operating_cash_flow")),History_Q!$E$2:$E$1000,"$m",History_Q!$G$2:$G$1000,"populated")-_xlfn.MINIFS(History_Q!$B$2:$B$1000,History_Q!$C$2:$C$1000,"operating_cash_flow",History_Q!$B$2:$B$1000,"&gt;="&amp;((SUMIFS(History_Q!$B$2:$B$1000,History_Q!$A$2:$A$1000,M$6,History_Q!$C$2:$C$1000,"operating_cash_flow"))-3),History_Q!$B$2:$B$1000,"&lt;="&amp;(SUMIFS(History_Q!$B$2:$B$1000,History_Q!$A$2:$A$1000,M$6,History_Q!$C$2:$C$1000,"operating_cash_flow")),History_Q!$E$2:$E$1000,"$m",History_Q!$G$2:$G$1000,"populated")&lt;&gt;3,_xlfn.MAXIFS(History_Q!$B$2:$B$1000,History_Q!$C$2:$C$1000,"capital_expenditures",History_Q!$B$2:$B$1000,"&gt;="&amp;((SUMIFS(History_Q!$B$2:$B$1000,History_Q!$A$2:$A$1000,M$6,History_Q!$C$2:$C$1000,"capital_expenditures"))-3),History_Q!$B$2:$B$1000,"&lt;="&amp;(SUMIFS(History_Q!$B$2:$B$1000,History_Q!$A$2:$A$1000,M$6,History_Q!$C$2:$C$1000,"capital_expenditures")),History_Q!$E$2:$E$1000,"$m",History_Q!$G$2:$G$1000,"populated")-_xlfn.MINIFS(History_Q!$B$2:$B$1000,History_Q!$C$2:$C$1000,"capital_expenditures",History_Q!$B$2:$B$1000,"&gt;="&amp;((SUMIFS(History_Q!$B$2:$B$1000,History_Q!$A$2:$A$1000,M$6,History_Q!$C$2:$C$1000,"capital_expenditures"))-3),History_Q!$B$2:$B$1000,"&lt;="&amp;(SUMIFS(History_Q!$B$2:$B$1000,History_Q!$A$2:$A$1000,M$6,History_Q!$C$2:$C$1000,"capital_expenditures")),History_Q!$E$2:$E$1000,"$m",History_Q!$G$2:$G$1000,"populated")&lt;&gt;3),"",SUMIFS(History_Q!$D$2:$D$1000,History_Q!$C$2:$C$1000,"operating_cash_flow",History_Q!$B$2:$B$1000,"&gt;="&amp;((SUMIFS(History_Q!$B$2:$B$1000,History_Q!$A$2:$A$1000,M$6,History_Q!$C$2:$C$1000,"operating_cash_flow"))-3),History_Q!$B$2:$B$1000,"&lt;="&amp;(SUMIFS(History_Q!$B$2:$B$1000,History_Q!$A$2:$A$1000,M$6,History_Q!$C$2:$C$1000,"operating_cash_flow")),History_Q!$E$2:$E$1000,"$m",History_Q!$G$2:$G$1000,"populated")-SUMIFS(History_Q!$D$2:$D$1000,History_Q!$C$2:$C$1000,"capital_expenditures",History_Q!$B$2:$B$1000,"&gt;="&amp;((SUMIFS(History_Q!$B$2:$B$1000,History_Q!$A$2:$A$1000,M$6,History_Q!$C$2:$C$1000,"capital_expenditures"))-3),History_Q!$B$2:$B$1000,"&lt;="&amp;(SUMIFS(History_Q!$B$2:$B$1000,History_Q!$A$2:$A$1000,M$6,History_Q!$C$2:$C$1000,"capital_expenditures")),History_Q!$E$2:$E$1000,"$m",History_Q!$G$2:$G$1000,"populated"))</f>
        <v/>
      </c>
      <c r="N49" s="22" t="n"/>
      <c r="O49" s="448" t="inlineStr">
        <is>
          <t>Typed evidence only; unresolved synthesis remains explicit.</t>
        </is>
      </c>
      <c r="P49" s="47" t="n"/>
      <c r="Q49" s="47" t="n"/>
      <c r="R49" s="47" t="n"/>
      <c r="S49" s="47" t="n"/>
      <c r="T49" s="47" t="n"/>
      <c r="U49" s="47" t="n"/>
      <c r="V49" s="47" t="n"/>
      <c r="W49" s="47" t="n"/>
      <c r="X49" s="47" t="n"/>
      <c r="Y49" s="47" t="n"/>
      <c r="Z49" s="47" t="n"/>
      <c r="AA49" s="46" t="n"/>
      <c r="AD49" s="22" t="n"/>
      <c r="AE49" s="22" t="n"/>
      <c r="AF49" s="22" t="n"/>
      <c r="AG49" s="22" t="n"/>
      <c r="AH49" s="22" t="n"/>
      <c r="AI49" s="22" t="n"/>
    </row>
    <row r="50" ht="19.5" customHeight="1">
      <c r="A50" s="48" t="inlineStr">
        <is>
          <t>FCF TTM YoY Δ ($m)</t>
        </is>
      </c>
      <c r="B50" s="450">
        <f>IF(OR(B$6="",COUNTIFS(History_Q!$C$2:$C$1000,"operating_cash_flow",History_Q!$B$2:$B$1000,"&gt;="&amp;((SUMIFS(History_Q!$B$2:$B$1000,History_Q!$A$2:$A$1000,B$6,History_Q!$C$2:$C$1000,"operating_cash_flow"))-3),History_Q!$B$2:$B$1000,"&lt;="&amp;(SUMIFS(History_Q!$B$2:$B$1000,History_Q!$A$2:$A$1000,B$6,History_Q!$C$2:$C$1000,"operating_cash_flow")),History_Q!$E$2:$E$1000,"$m",History_Q!$G$2:$G$1000,"populated")&lt;&gt;4,_xlfn.MAXIFS(History_Q!$B$2:$B$1000,History_Q!$C$2:$C$1000,"operating_cash_flow",History_Q!$B$2:$B$1000,"&gt;="&amp;((SUMIFS(History_Q!$B$2:$B$1000,History_Q!$A$2:$A$1000,B$6,History_Q!$C$2:$C$1000,"operating_cash_flow"))-3),History_Q!$B$2:$B$1000,"&lt;="&amp;(SUMIFS(History_Q!$B$2:$B$1000,History_Q!$A$2:$A$1000,B$6,History_Q!$C$2:$C$1000,"operating_cash_flow")),History_Q!$E$2:$E$1000,"$m",History_Q!$G$2:$G$1000,"populated")-_xlfn.MINIFS(History_Q!$B$2:$B$1000,History_Q!$C$2:$C$1000,"operating_cash_flow",History_Q!$B$2:$B$1000,"&gt;="&amp;((SUMIFS(History_Q!$B$2:$B$1000,History_Q!$A$2:$A$1000,B$6,History_Q!$C$2:$C$1000,"operating_cash_flow"))-3),History_Q!$B$2:$B$1000,"&lt;="&amp;(SUMIFS(History_Q!$B$2:$B$1000,History_Q!$A$2:$A$1000,B$6,History_Q!$C$2:$C$1000,"operating_cash_flow")),History_Q!$E$2:$E$1000,"$m",History_Q!$G$2:$G$1000,"populated")&lt;&gt;3,COUNTIFS(History_Q!$C$2:$C$1000,"capital_expenditures",History_Q!$B$2:$B$1000,"&gt;="&amp;((SUMIFS(History_Q!$B$2:$B$1000,History_Q!$A$2:$A$1000,B$6,History_Q!$C$2:$C$1000,"capital_expenditures"))-3),History_Q!$B$2:$B$1000,"&lt;="&amp;(SUMIFS(History_Q!$B$2:$B$1000,History_Q!$A$2:$A$1000,B$6,History_Q!$C$2:$C$1000,"capital_expenditures")),History_Q!$E$2:$E$1000,"$m",History_Q!$G$2:$G$1000,"populated")&lt;&gt;4,_xlfn.MAXIFS(History_Q!$B$2:$B$1000,History_Q!$C$2:$C$1000,"capital_expenditures",History_Q!$B$2:$B$1000,"&gt;="&amp;((SUMIFS(History_Q!$B$2:$B$1000,History_Q!$A$2:$A$1000,B$6,History_Q!$C$2:$C$1000,"capital_expenditures"))-3),History_Q!$B$2:$B$1000,"&lt;="&amp;(SUMIFS(History_Q!$B$2:$B$1000,History_Q!$A$2:$A$1000,B$6,History_Q!$C$2:$C$1000,"capital_expenditures")),History_Q!$E$2:$E$1000,"$m",History_Q!$G$2:$G$1000,"populated")-_xlfn.MINIFS(History_Q!$B$2:$B$1000,History_Q!$C$2:$C$1000,"capital_expenditures",History_Q!$B$2:$B$1000,"&gt;="&amp;((SUMIFS(History_Q!$B$2:$B$1000,History_Q!$A$2:$A$1000,B$6,History_Q!$C$2:$C$1000,"capital_expenditures"))-3),History_Q!$B$2:$B$1000,"&lt;="&amp;(SUMIFS(History_Q!$B$2:$B$1000,History_Q!$A$2:$A$1000,B$6,History_Q!$C$2:$C$1000,"capital_expenditures")),History_Q!$E$2:$E$1000,"$m",History_Q!$G$2:$G$1000,"populated")&lt;&gt;3,COUNTIFS(History_Q!$C$2:$C$1000,"operating_cash_flow",History_Q!$B$2:$B$1000,"&gt;="&amp;((SUMIFS(History_Q!$B$2:$B$1000,History_Q!$A$2:$A$1000,B$6,History_Q!$C$2:$C$1000,"operating_cash_flow")-4)-3),History_Q!$B$2:$B$1000,"&lt;="&amp;(SUMIFS(History_Q!$B$2:$B$1000,History_Q!$A$2:$A$1000,B$6,History_Q!$C$2:$C$1000,"operating_cash_flow")-4),History_Q!$E$2:$E$1000,"$m",History_Q!$G$2:$G$1000,"populated")&lt;&gt;4,_xlfn.MAXIFS(History_Q!$B$2:$B$1000,History_Q!$C$2:$C$1000,"operating_cash_flow",History_Q!$B$2:$B$1000,"&gt;="&amp;((SUMIFS(History_Q!$B$2:$B$1000,History_Q!$A$2:$A$1000,B$6,History_Q!$C$2:$C$1000,"operating_cash_flow")-4)-3),History_Q!$B$2:$B$1000,"&lt;="&amp;(SUMIFS(History_Q!$B$2:$B$1000,History_Q!$A$2:$A$1000,B$6,History_Q!$C$2:$C$1000,"operating_cash_flow")-4),History_Q!$E$2:$E$1000,"$m",History_Q!$G$2:$G$1000,"populated")-_xlfn.MINIFS(History_Q!$B$2:$B$1000,History_Q!$C$2:$C$1000,"operating_cash_flow",History_Q!$B$2:$B$1000,"&gt;="&amp;((SUMIFS(History_Q!$B$2:$B$1000,History_Q!$A$2:$A$1000,B$6,History_Q!$C$2:$C$1000,"operating_cash_flow")-4)-3),History_Q!$B$2:$B$1000,"&lt;="&amp;(SUMIFS(History_Q!$B$2:$B$1000,History_Q!$A$2:$A$1000,B$6,History_Q!$C$2:$C$1000,"operating_cash_flow")-4),History_Q!$E$2:$E$1000,"$m",History_Q!$G$2:$G$1000,"populated")&lt;&gt;3,COUNTIFS(History_Q!$C$2:$C$1000,"capital_expenditures",History_Q!$B$2:$B$1000,"&gt;="&amp;((SUMIFS(History_Q!$B$2:$B$1000,History_Q!$A$2:$A$1000,B$6,History_Q!$C$2:$C$1000,"capital_expenditures")-4)-3),History_Q!$B$2:$B$1000,"&lt;="&amp;(SUMIFS(History_Q!$B$2:$B$1000,History_Q!$A$2:$A$1000,B$6,History_Q!$C$2:$C$1000,"capital_expenditures")-4),History_Q!$E$2:$E$1000,"$m",History_Q!$G$2:$G$1000,"populated")&lt;&gt;4,_xlfn.MAXIFS(History_Q!$B$2:$B$1000,History_Q!$C$2:$C$1000,"capital_expenditures",History_Q!$B$2:$B$1000,"&gt;="&amp;((SUMIFS(History_Q!$B$2:$B$1000,History_Q!$A$2:$A$1000,B$6,History_Q!$C$2:$C$1000,"capital_expenditures")-4)-3),History_Q!$B$2:$B$1000,"&lt;="&amp;(SUMIFS(History_Q!$B$2:$B$1000,History_Q!$A$2:$A$1000,B$6,History_Q!$C$2:$C$1000,"capital_expenditures")-4),History_Q!$E$2:$E$1000,"$m",History_Q!$G$2:$G$1000,"populated")-_xlfn.MINIFS(History_Q!$B$2:$B$1000,History_Q!$C$2:$C$1000,"capital_expenditures",History_Q!$B$2:$B$1000,"&gt;="&amp;((SUMIFS(History_Q!$B$2:$B$1000,History_Q!$A$2:$A$1000,B$6,History_Q!$C$2:$C$1000,"capital_expenditures")-4)-3),History_Q!$B$2:$B$1000,"&lt;="&amp;(SUMIFS(History_Q!$B$2:$B$1000,History_Q!$A$2:$A$1000,B$6,History_Q!$C$2:$C$1000,"capital_expenditures")-4),History_Q!$E$2:$E$1000,"$m",History_Q!$G$2:$G$1000,"populated")&lt;&gt;3),"",(SUMIFS(History_Q!$D$2:$D$1000,History_Q!$C$2:$C$1000,"operating_cash_flow",History_Q!$B$2:$B$1000,"&gt;="&amp;((SUMIFS(History_Q!$B$2:$B$1000,History_Q!$A$2:$A$1000,B$6,History_Q!$C$2:$C$1000,"operating_cash_flow"))-3),History_Q!$B$2:$B$1000,"&lt;="&amp;(SUMIFS(History_Q!$B$2:$B$1000,History_Q!$A$2:$A$1000,B$6,History_Q!$C$2:$C$1000,"operating_cash_flow")),History_Q!$E$2:$E$1000,"$m",History_Q!$G$2:$G$1000,"populated")-SUMIFS(History_Q!$D$2:$D$1000,History_Q!$C$2:$C$1000,"capital_expenditures",History_Q!$B$2:$B$1000,"&gt;="&amp;((SUMIFS(History_Q!$B$2:$B$1000,History_Q!$A$2:$A$1000,B$6,History_Q!$C$2:$C$1000,"capital_expenditures"))-3),History_Q!$B$2:$B$1000,"&lt;="&amp;(SUMIFS(History_Q!$B$2:$B$1000,History_Q!$A$2:$A$1000,B$6,History_Q!$C$2:$C$1000,"capital_expenditures")),History_Q!$E$2:$E$1000,"$m",History_Q!$G$2:$G$1000,"populated"))-(SUMIFS(History_Q!$D$2:$D$1000,History_Q!$C$2:$C$1000,"operating_cash_flow",History_Q!$B$2:$B$1000,"&gt;="&amp;((SUMIFS(History_Q!$B$2:$B$1000,History_Q!$A$2:$A$1000,B$6,History_Q!$C$2:$C$1000,"operating_cash_flow")-4)-3),History_Q!$B$2:$B$1000,"&lt;="&amp;(SUMIFS(History_Q!$B$2:$B$1000,History_Q!$A$2:$A$1000,B$6,History_Q!$C$2:$C$1000,"operating_cash_flow")-4),History_Q!$E$2:$E$1000,"$m",History_Q!$G$2:$G$1000,"populated")-SUMIFS(History_Q!$D$2:$D$1000,History_Q!$C$2:$C$1000,"capital_expenditures",History_Q!$B$2:$B$1000,"&gt;="&amp;((SUMIFS(History_Q!$B$2:$B$1000,History_Q!$A$2:$A$1000,B$6,History_Q!$C$2:$C$1000,"capital_expenditures")-4)-3),History_Q!$B$2:$B$1000,"&lt;="&amp;(SUMIFS(History_Q!$B$2:$B$1000,History_Q!$A$2:$A$1000,B$6,History_Q!$C$2:$C$1000,"capital_expenditures")-4),History_Q!$E$2:$E$1000,"$m",History_Q!$G$2:$G$1000,"populated")))</f>
        <v/>
      </c>
      <c r="C50" s="450">
        <f>IF(OR(C$6="",COUNTIFS(History_Q!$C$2:$C$1000,"operating_cash_flow",History_Q!$B$2:$B$1000,"&gt;="&amp;((SUMIFS(History_Q!$B$2:$B$1000,History_Q!$A$2:$A$1000,C$6,History_Q!$C$2:$C$1000,"operating_cash_flow"))-3),History_Q!$B$2:$B$1000,"&lt;="&amp;(SUMIFS(History_Q!$B$2:$B$1000,History_Q!$A$2:$A$1000,C$6,History_Q!$C$2:$C$1000,"operating_cash_flow")),History_Q!$E$2:$E$1000,"$m",History_Q!$G$2:$G$1000,"populated")&lt;&gt;4,_xlfn.MAXIFS(History_Q!$B$2:$B$1000,History_Q!$C$2:$C$1000,"operating_cash_flow",History_Q!$B$2:$B$1000,"&gt;="&amp;((SUMIFS(History_Q!$B$2:$B$1000,History_Q!$A$2:$A$1000,C$6,History_Q!$C$2:$C$1000,"operating_cash_flow"))-3),History_Q!$B$2:$B$1000,"&lt;="&amp;(SUMIFS(History_Q!$B$2:$B$1000,History_Q!$A$2:$A$1000,C$6,History_Q!$C$2:$C$1000,"operating_cash_flow")),History_Q!$E$2:$E$1000,"$m",History_Q!$G$2:$G$1000,"populated")-_xlfn.MINIFS(History_Q!$B$2:$B$1000,History_Q!$C$2:$C$1000,"operating_cash_flow",History_Q!$B$2:$B$1000,"&gt;="&amp;((SUMIFS(History_Q!$B$2:$B$1000,History_Q!$A$2:$A$1000,C$6,History_Q!$C$2:$C$1000,"operating_cash_flow"))-3),History_Q!$B$2:$B$1000,"&lt;="&amp;(SUMIFS(History_Q!$B$2:$B$1000,History_Q!$A$2:$A$1000,C$6,History_Q!$C$2:$C$1000,"operating_cash_flow")),History_Q!$E$2:$E$1000,"$m",History_Q!$G$2:$G$1000,"populated")&lt;&gt;3,COUNTIFS(History_Q!$C$2:$C$1000,"capital_expenditures",History_Q!$B$2:$B$1000,"&gt;="&amp;((SUMIFS(History_Q!$B$2:$B$1000,History_Q!$A$2:$A$1000,C$6,History_Q!$C$2:$C$1000,"capital_expenditures"))-3),History_Q!$B$2:$B$1000,"&lt;="&amp;(SUMIFS(History_Q!$B$2:$B$1000,History_Q!$A$2:$A$1000,C$6,History_Q!$C$2:$C$1000,"capital_expenditures")),History_Q!$E$2:$E$1000,"$m",History_Q!$G$2:$G$1000,"populated")&lt;&gt;4,_xlfn.MAXIFS(History_Q!$B$2:$B$1000,History_Q!$C$2:$C$1000,"capital_expenditures",History_Q!$B$2:$B$1000,"&gt;="&amp;((SUMIFS(History_Q!$B$2:$B$1000,History_Q!$A$2:$A$1000,C$6,History_Q!$C$2:$C$1000,"capital_expenditures"))-3),History_Q!$B$2:$B$1000,"&lt;="&amp;(SUMIFS(History_Q!$B$2:$B$1000,History_Q!$A$2:$A$1000,C$6,History_Q!$C$2:$C$1000,"capital_expenditures")),History_Q!$E$2:$E$1000,"$m",History_Q!$G$2:$G$1000,"populated")-_xlfn.MINIFS(History_Q!$B$2:$B$1000,History_Q!$C$2:$C$1000,"capital_expenditures",History_Q!$B$2:$B$1000,"&gt;="&amp;((SUMIFS(History_Q!$B$2:$B$1000,History_Q!$A$2:$A$1000,C$6,History_Q!$C$2:$C$1000,"capital_expenditures"))-3),History_Q!$B$2:$B$1000,"&lt;="&amp;(SUMIFS(History_Q!$B$2:$B$1000,History_Q!$A$2:$A$1000,C$6,History_Q!$C$2:$C$1000,"capital_expenditures")),History_Q!$E$2:$E$1000,"$m",History_Q!$G$2:$G$1000,"populated")&lt;&gt;3,COUNTIFS(History_Q!$C$2:$C$1000,"operating_cash_flow",History_Q!$B$2:$B$1000,"&gt;="&amp;((SUMIFS(History_Q!$B$2:$B$1000,History_Q!$A$2:$A$1000,C$6,History_Q!$C$2:$C$1000,"operating_cash_flow")-4)-3),History_Q!$B$2:$B$1000,"&lt;="&amp;(SUMIFS(History_Q!$B$2:$B$1000,History_Q!$A$2:$A$1000,C$6,History_Q!$C$2:$C$1000,"operating_cash_flow")-4),History_Q!$E$2:$E$1000,"$m",History_Q!$G$2:$G$1000,"populated")&lt;&gt;4,_xlfn.MAXIFS(History_Q!$B$2:$B$1000,History_Q!$C$2:$C$1000,"operating_cash_flow",History_Q!$B$2:$B$1000,"&gt;="&amp;((SUMIFS(History_Q!$B$2:$B$1000,History_Q!$A$2:$A$1000,C$6,History_Q!$C$2:$C$1000,"operating_cash_flow")-4)-3),History_Q!$B$2:$B$1000,"&lt;="&amp;(SUMIFS(History_Q!$B$2:$B$1000,History_Q!$A$2:$A$1000,C$6,History_Q!$C$2:$C$1000,"operating_cash_flow")-4),History_Q!$E$2:$E$1000,"$m",History_Q!$G$2:$G$1000,"populated")-_xlfn.MINIFS(History_Q!$B$2:$B$1000,History_Q!$C$2:$C$1000,"operating_cash_flow",History_Q!$B$2:$B$1000,"&gt;="&amp;((SUMIFS(History_Q!$B$2:$B$1000,History_Q!$A$2:$A$1000,C$6,History_Q!$C$2:$C$1000,"operating_cash_flow")-4)-3),History_Q!$B$2:$B$1000,"&lt;="&amp;(SUMIFS(History_Q!$B$2:$B$1000,History_Q!$A$2:$A$1000,C$6,History_Q!$C$2:$C$1000,"operating_cash_flow")-4),History_Q!$E$2:$E$1000,"$m",History_Q!$G$2:$G$1000,"populated")&lt;&gt;3,COUNTIFS(History_Q!$C$2:$C$1000,"capital_expenditures",History_Q!$B$2:$B$1000,"&gt;="&amp;((SUMIFS(History_Q!$B$2:$B$1000,History_Q!$A$2:$A$1000,C$6,History_Q!$C$2:$C$1000,"capital_expenditures")-4)-3),History_Q!$B$2:$B$1000,"&lt;="&amp;(SUMIFS(History_Q!$B$2:$B$1000,History_Q!$A$2:$A$1000,C$6,History_Q!$C$2:$C$1000,"capital_expenditures")-4),History_Q!$E$2:$E$1000,"$m",History_Q!$G$2:$G$1000,"populated")&lt;&gt;4,_xlfn.MAXIFS(History_Q!$B$2:$B$1000,History_Q!$C$2:$C$1000,"capital_expenditures",History_Q!$B$2:$B$1000,"&gt;="&amp;((SUMIFS(History_Q!$B$2:$B$1000,History_Q!$A$2:$A$1000,C$6,History_Q!$C$2:$C$1000,"capital_expenditures")-4)-3),History_Q!$B$2:$B$1000,"&lt;="&amp;(SUMIFS(History_Q!$B$2:$B$1000,History_Q!$A$2:$A$1000,C$6,History_Q!$C$2:$C$1000,"capital_expenditures")-4),History_Q!$E$2:$E$1000,"$m",History_Q!$G$2:$G$1000,"populated")-_xlfn.MINIFS(History_Q!$B$2:$B$1000,History_Q!$C$2:$C$1000,"capital_expenditures",History_Q!$B$2:$B$1000,"&gt;="&amp;((SUMIFS(History_Q!$B$2:$B$1000,History_Q!$A$2:$A$1000,C$6,History_Q!$C$2:$C$1000,"capital_expenditures")-4)-3),History_Q!$B$2:$B$1000,"&lt;="&amp;(SUMIFS(History_Q!$B$2:$B$1000,History_Q!$A$2:$A$1000,C$6,History_Q!$C$2:$C$1000,"capital_expenditures")-4),History_Q!$E$2:$E$1000,"$m",History_Q!$G$2:$G$1000,"populated")&lt;&gt;3),"",(SUMIFS(History_Q!$D$2:$D$1000,History_Q!$C$2:$C$1000,"operating_cash_flow",History_Q!$B$2:$B$1000,"&gt;="&amp;((SUMIFS(History_Q!$B$2:$B$1000,History_Q!$A$2:$A$1000,C$6,History_Q!$C$2:$C$1000,"operating_cash_flow"))-3),History_Q!$B$2:$B$1000,"&lt;="&amp;(SUMIFS(History_Q!$B$2:$B$1000,History_Q!$A$2:$A$1000,C$6,History_Q!$C$2:$C$1000,"operating_cash_flow")),History_Q!$E$2:$E$1000,"$m",History_Q!$G$2:$G$1000,"populated")-SUMIFS(History_Q!$D$2:$D$1000,History_Q!$C$2:$C$1000,"capital_expenditures",History_Q!$B$2:$B$1000,"&gt;="&amp;((SUMIFS(History_Q!$B$2:$B$1000,History_Q!$A$2:$A$1000,C$6,History_Q!$C$2:$C$1000,"capital_expenditures"))-3),History_Q!$B$2:$B$1000,"&lt;="&amp;(SUMIFS(History_Q!$B$2:$B$1000,History_Q!$A$2:$A$1000,C$6,History_Q!$C$2:$C$1000,"capital_expenditures")),History_Q!$E$2:$E$1000,"$m",History_Q!$G$2:$G$1000,"populated"))-(SUMIFS(History_Q!$D$2:$D$1000,History_Q!$C$2:$C$1000,"operating_cash_flow",History_Q!$B$2:$B$1000,"&gt;="&amp;((SUMIFS(History_Q!$B$2:$B$1000,History_Q!$A$2:$A$1000,C$6,History_Q!$C$2:$C$1000,"operating_cash_flow")-4)-3),History_Q!$B$2:$B$1000,"&lt;="&amp;(SUMIFS(History_Q!$B$2:$B$1000,History_Q!$A$2:$A$1000,C$6,History_Q!$C$2:$C$1000,"operating_cash_flow")-4),History_Q!$E$2:$E$1000,"$m",History_Q!$G$2:$G$1000,"populated")-SUMIFS(History_Q!$D$2:$D$1000,History_Q!$C$2:$C$1000,"capital_expenditures",History_Q!$B$2:$B$1000,"&gt;="&amp;((SUMIFS(History_Q!$B$2:$B$1000,History_Q!$A$2:$A$1000,C$6,History_Q!$C$2:$C$1000,"capital_expenditures")-4)-3),History_Q!$B$2:$B$1000,"&lt;="&amp;(SUMIFS(History_Q!$B$2:$B$1000,History_Q!$A$2:$A$1000,C$6,History_Q!$C$2:$C$1000,"capital_expenditures")-4),History_Q!$E$2:$E$1000,"$m",History_Q!$G$2:$G$1000,"populated")))</f>
        <v/>
      </c>
      <c r="D50" s="450">
        <f>IF(OR(D$6="",COUNTIFS(History_Q!$C$2:$C$1000,"operating_cash_flow",History_Q!$B$2:$B$1000,"&gt;="&amp;((SUMIFS(History_Q!$B$2:$B$1000,History_Q!$A$2:$A$1000,D$6,History_Q!$C$2:$C$1000,"operating_cash_flow"))-3),History_Q!$B$2:$B$1000,"&lt;="&amp;(SUMIFS(History_Q!$B$2:$B$1000,History_Q!$A$2:$A$1000,D$6,History_Q!$C$2:$C$1000,"operating_cash_flow")),History_Q!$E$2:$E$1000,"$m",History_Q!$G$2:$G$1000,"populated")&lt;&gt;4,_xlfn.MAXIFS(History_Q!$B$2:$B$1000,History_Q!$C$2:$C$1000,"operating_cash_flow",History_Q!$B$2:$B$1000,"&gt;="&amp;((SUMIFS(History_Q!$B$2:$B$1000,History_Q!$A$2:$A$1000,D$6,History_Q!$C$2:$C$1000,"operating_cash_flow"))-3),History_Q!$B$2:$B$1000,"&lt;="&amp;(SUMIFS(History_Q!$B$2:$B$1000,History_Q!$A$2:$A$1000,D$6,History_Q!$C$2:$C$1000,"operating_cash_flow")),History_Q!$E$2:$E$1000,"$m",History_Q!$G$2:$G$1000,"populated")-_xlfn.MINIFS(History_Q!$B$2:$B$1000,History_Q!$C$2:$C$1000,"operating_cash_flow",History_Q!$B$2:$B$1000,"&gt;="&amp;((SUMIFS(History_Q!$B$2:$B$1000,History_Q!$A$2:$A$1000,D$6,History_Q!$C$2:$C$1000,"operating_cash_flow"))-3),History_Q!$B$2:$B$1000,"&lt;="&amp;(SUMIFS(History_Q!$B$2:$B$1000,History_Q!$A$2:$A$1000,D$6,History_Q!$C$2:$C$1000,"operating_cash_flow")),History_Q!$E$2:$E$1000,"$m",History_Q!$G$2:$G$1000,"populated")&lt;&gt;3,COUNTIFS(History_Q!$C$2:$C$1000,"capital_expenditures",History_Q!$B$2:$B$1000,"&gt;="&amp;((SUMIFS(History_Q!$B$2:$B$1000,History_Q!$A$2:$A$1000,D$6,History_Q!$C$2:$C$1000,"capital_expenditures"))-3),History_Q!$B$2:$B$1000,"&lt;="&amp;(SUMIFS(History_Q!$B$2:$B$1000,History_Q!$A$2:$A$1000,D$6,History_Q!$C$2:$C$1000,"capital_expenditures")),History_Q!$E$2:$E$1000,"$m",History_Q!$G$2:$G$1000,"populated")&lt;&gt;4,_xlfn.MAXIFS(History_Q!$B$2:$B$1000,History_Q!$C$2:$C$1000,"capital_expenditures",History_Q!$B$2:$B$1000,"&gt;="&amp;((SUMIFS(History_Q!$B$2:$B$1000,History_Q!$A$2:$A$1000,D$6,History_Q!$C$2:$C$1000,"capital_expenditures"))-3),History_Q!$B$2:$B$1000,"&lt;="&amp;(SUMIFS(History_Q!$B$2:$B$1000,History_Q!$A$2:$A$1000,D$6,History_Q!$C$2:$C$1000,"capital_expenditures")),History_Q!$E$2:$E$1000,"$m",History_Q!$G$2:$G$1000,"populated")-_xlfn.MINIFS(History_Q!$B$2:$B$1000,History_Q!$C$2:$C$1000,"capital_expenditures",History_Q!$B$2:$B$1000,"&gt;="&amp;((SUMIFS(History_Q!$B$2:$B$1000,History_Q!$A$2:$A$1000,D$6,History_Q!$C$2:$C$1000,"capital_expenditures"))-3),History_Q!$B$2:$B$1000,"&lt;="&amp;(SUMIFS(History_Q!$B$2:$B$1000,History_Q!$A$2:$A$1000,D$6,History_Q!$C$2:$C$1000,"capital_expenditures")),History_Q!$E$2:$E$1000,"$m",History_Q!$G$2:$G$1000,"populated")&lt;&gt;3,COUNTIFS(History_Q!$C$2:$C$1000,"operating_cash_flow",History_Q!$B$2:$B$1000,"&gt;="&amp;((SUMIFS(History_Q!$B$2:$B$1000,History_Q!$A$2:$A$1000,D$6,History_Q!$C$2:$C$1000,"operating_cash_flow")-4)-3),History_Q!$B$2:$B$1000,"&lt;="&amp;(SUMIFS(History_Q!$B$2:$B$1000,History_Q!$A$2:$A$1000,D$6,History_Q!$C$2:$C$1000,"operating_cash_flow")-4),History_Q!$E$2:$E$1000,"$m",History_Q!$G$2:$G$1000,"populated")&lt;&gt;4,_xlfn.MAXIFS(History_Q!$B$2:$B$1000,History_Q!$C$2:$C$1000,"operating_cash_flow",History_Q!$B$2:$B$1000,"&gt;="&amp;((SUMIFS(History_Q!$B$2:$B$1000,History_Q!$A$2:$A$1000,D$6,History_Q!$C$2:$C$1000,"operating_cash_flow")-4)-3),History_Q!$B$2:$B$1000,"&lt;="&amp;(SUMIFS(History_Q!$B$2:$B$1000,History_Q!$A$2:$A$1000,D$6,History_Q!$C$2:$C$1000,"operating_cash_flow")-4),History_Q!$E$2:$E$1000,"$m",History_Q!$G$2:$G$1000,"populated")-_xlfn.MINIFS(History_Q!$B$2:$B$1000,History_Q!$C$2:$C$1000,"operating_cash_flow",History_Q!$B$2:$B$1000,"&gt;="&amp;((SUMIFS(History_Q!$B$2:$B$1000,History_Q!$A$2:$A$1000,D$6,History_Q!$C$2:$C$1000,"operating_cash_flow")-4)-3),History_Q!$B$2:$B$1000,"&lt;="&amp;(SUMIFS(History_Q!$B$2:$B$1000,History_Q!$A$2:$A$1000,D$6,History_Q!$C$2:$C$1000,"operating_cash_flow")-4),History_Q!$E$2:$E$1000,"$m",History_Q!$G$2:$G$1000,"populated")&lt;&gt;3,COUNTIFS(History_Q!$C$2:$C$1000,"capital_expenditures",History_Q!$B$2:$B$1000,"&gt;="&amp;((SUMIFS(History_Q!$B$2:$B$1000,History_Q!$A$2:$A$1000,D$6,History_Q!$C$2:$C$1000,"capital_expenditures")-4)-3),History_Q!$B$2:$B$1000,"&lt;="&amp;(SUMIFS(History_Q!$B$2:$B$1000,History_Q!$A$2:$A$1000,D$6,History_Q!$C$2:$C$1000,"capital_expenditures")-4),History_Q!$E$2:$E$1000,"$m",History_Q!$G$2:$G$1000,"populated")&lt;&gt;4,_xlfn.MAXIFS(History_Q!$B$2:$B$1000,History_Q!$C$2:$C$1000,"capital_expenditures",History_Q!$B$2:$B$1000,"&gt;="&amp;((SUMIFS(History_Q!$B$2:$B$1000,History_Q!$A$2:$A$1000,D$6,History_Q!$C$2:$C$1000,"capital_expenditures")-4)-3),History_Q!$B$2:$B$1000,"&lt;="&amp;(SUMIFS(History_Q!$B$2:$B$1000,History_Q!$A$2:$A$1000,D$6,History_Q!$C$2:$C$1000,"capital_expenditures")-4),History_Q!$E$2:$E$1000,"$m",History_Q!$G$2:$G$1000,"populated")-_xlfn.MINIFS(History_Q!$B$2:$B$1000,History_Q!$C$2:$C$1000,"capital_expenditures",History_Q!$B$2:$B$1000,"&gt;="&amp;((SUMIFS(History_Q!$B$2:$B$1000,History_Q!$A$2:$A$1000,D$6,History_Q!$C$2:$C$1000,"capital_expenditures")-4)-3),History_Q!$B$2:$B$1000,"&lt;="&amp;(SUMIFS(History_Q!$B$2:$B$1000,History_Q!$A$2:$A$1000,D$6,History_Q!$C$2:$C$1000,"capital_expenditures")-4),History_Q!$E$2:$E$1000,"$m",History_Q!$G$2:$G$1000,"populated")&lt;&gt;3),"",(SUMIFS(History_Q!$D$2:$D$1000,History_Q!$C$2:$C$1000,"operating_cash_flow",History_Q!$B$2:$B$1000,"&gt;="&amp;((SUMIFS(History_Q!$B$2:$B$1000,History_Q!$A$2:$A$1000,D$6,History_Q!$C$2:$C$1000,"operating_cash_flow"))-3),History_Q!$B$2:$B$1000,"&lt;="&amp;(SUMIFS(History_Q!$B$2:$B$1000,History_Q!$A$2:$A$1000,D$6,History_Q!$C$2:$C$1000,"operating_cash_flow")),History_Q!$E$2:$E$1000,"$m",History_Q!$G$2:$G$1000,"populated")-SUMIFS(History_Q!$D$2:$D$1000,History_Q!$C$2:$C$1000,"capital_expenditures",History_Q!$B$2:$B$1000,"&gt;="&amp;((SUMIFS(History_Q!$B$2:$B$1000,History_Q!$A$2:$A$1000,D$6,History_Q!$C$2:$C$1000,"capital_expenditures"))-3),History_Q!$B$2:$B$1000,"&lt;="&amp;(SUMIFS(History_Q!$B$2:$B$1000,History_Q!$A$2:$A$1000,D$6,History_Q!$C$2:$C$1000,"capital_expenditures")),History_Q!$E$2:$E$1000,"$m",History_Q!$G$2:$G$1000,"populated"))-(SUMIFS(History_Q!$D$2:$D$1000,History_Q!$C$2:$C$1000,"operating_cash_flow",History_Q!$B$2:$B$1000,"&gt;="&amp;((SUMIFS(History_Q!$B$2:$B$1000,History_Q!$A$2:$A$1000,D$6,History_Q!$C$2:$C$1000,"operating_cash_flow")-4)-3),History_Q!$B$2:$B$1000,"&lt;="&amp;(SUMIFS(History_Q!$B$2:$B$1000,History_Q!$A$2:$A$1000,D$6,History_Q!$C$2:$C$1000,"operating_cash_flow")-4),History_Q!$E$2:$E$1000,"$m",History_Q!$G$2:$G$1000,"populated")-SUMIFS(History_Q!$D$2:$D$1000,History_Q!$C$2:$C$1000,"capital_expenditures",History_Q!$B$2:$B$1000,"&gt;="&amp;((SUMIFS(History_Q!$B$2:$B$1000,History_Q!$A$2:$A$1000,D$6,History_Q!$C$2:$C$1000,"capital_expenditures")-4)-3),History_Q!$B$2:$B$1000,"&lt;="&amp;(SUMIFS(History_Q!$B$2:$B$1000,History_Q!$A$2:$A$1000,D$6,History_Q!$C$2:$C$1000,"capital_expenditures")-4),History_Q!$E$2:$E$1000,"$m",History_Q!$G$2:$G$1000,"populated")))</f>
        <v/>
      </c>
      <c r="E50" s="450">
        <f>IF(OR(E$6="",COUNTIFS(History_Q!$C$2:$C$1000,"operating_cash_flow",History_Q!$B$2:$B$1000,"&gt;="&amp;((SUMIFS(History_Q!$B$2:$B$1000,History_Q!$A$2:$A$1000,E$6,History_Q!$C$2:$C$1000,"operating_cash_flow"))-3),History_Q!$B$2:$B$1000,"&lt;="&amp;(SUMIFS(History_Q!$B$2:$B$1000,History_Q!$A$2:$A$1000,E$6,History_Q!$C$2:$C$1000,"operating_cash_flow")),History_Q!$E$2:$E$1000,"$m",History_Q!$G$2:$G$1000,"populated")&lt;&gt;4,_xlfn.MAXIFS(History_Q!$B$2:$B$1000,History_Q!$C$2:$C$1000,"operating_cash_flow",History_Q!$B$2:$B$1000,"&gt;="&amp;((SUMIFS(History_Q!$B$2:$B$1000,History_Q!$A$2:$A$1000,E$6,History_Q!$C$2:$C$1000,"operating_cash_flow"))-3),History_Q!$B$2:$B$1000,"&lt;="&amp;(SUMIFS(History_Q!$B$2:$B$1000,History_Q!$A$2:$A$1000,E$6,History_Q!$C$2:$C$1000,"operating_cash_flow")),History_Q!$E$2:$E$1000,"$m",History_Q!$G$2:$G$1000,"populated")-_xlfn.MINIFS(History_Q!$B$2:$B$1000,History_Q!$C$2:$C$1000,"operating_cash_flow",History_Q!$B$2:$B$1000,"&gt;="&amp;((SUMIFS(History_Q!$B$2:$B$1000,History_Q!$A$2:$A$1000,E$6,History_Q!$C$2:$C$1000,"operating_cash_flow"))-3),History_Q!$B$2:$B$1000,"&lt;="&amp;(SUMIFS(History_Q!$B$2:$B$1000,History_Q!$A$2:$A$1000,E$6,History_Q!$C$2:$C$1000,"operating_cash_flow")),History_Q!$E$2:$E$1000,"$m",History_Q!$G$2:$G$1000,"populated")&lt;&gt;3,COUNTIFS(History_Q!$C$2:$C$1000,"capital_expenditures",History_Q!$B$2:$B$1000,"&gt;="&amp;((SUMIFS(History_Q!$B$2:$B$1000,History_Q!$A$2:$A$1000,E$6,History_Q!$C$2:$C$1000,"capital_expenditures"))-3),History_Q!$B$2:$B$1000,"&lt;="&amp;(SUMIFS(History_Q!$B$2:$B$1000,History_Q!$A$2:$A$1000,E$6,History_Q!$C$2:$C$1000,"capital_expenditures")),History_Q!$E$2:$E$1000,"$m",History_Q!$G$2:$G$1000,"populated")&lt;&gt;4,_xlfn.MAXIFS(History_Q!$B$2:$B$1000,History_Q!$C$2:$C$1000,"capital_expenditures",History_Q!$B$2:$B$1000,"&gt;="&amp;((SUMIFS(History_Q!$B$2:$B$1000,History_Q!$A$2:$A$1000,E$6,History_Q!$C$2:$C$1000,"capital_expenditures"))-3),History_Q!$B$2:$B$1000,"&lt;="&amp;(SUMIFS(History_Q!$B$2:$B$1000,History_Q!$A$2:$A$1000,E$6,History_Q!$C$2:$C$1000,"capital_expenditures")),History_Q!$E$2:$E$1000,"$m",History_Q!$G$2:$G$1000,"populated")-_xlfn.MINIFS(History_Q!$B$2:$B$1000,History_Q!$C$2:$C$1000,"capital_expenditures",History_Q!$B$2:$B$1000,"&gt;="&amp;((SUMIFS(History_Q!$B$2:$B$1000,History_Q!$A$2:$A$1000,E$6,History_Q!$C$2:$C$1000,"capital_expenditures"))-3),History_Q!$B$2:$B$1000,"&lt;="&amp;(SUMIFS(History_Q!$B$2:$B$1000,History_Q!$A$2:$A$1000,E$6,History_Q!$C$2:$C$1000,"capital_expenditures")),History_Q!$E$2:$E$1000,"$m",History_Q!$G$2:$G$1000,"populated")&lt;&gt;3,COUNTIFS(History_Q!$C$2:$C$1000,"operating_cash_flow",History_Q!$B$2:$B$1000,"&gt;="&amp;((SUMIFS(History_Q!$B$2:$B$1000,History_Q!$A$2:$A$1000,E$6,History_Q!$C$2:$C$1000,"operating_cash_flow")-4)-3),History_Q!$B$2:$B$1000,"&lt;="&amp;(SUMIFS(History_Q!$B$2:$B$1000,History_Q!$A$2:$A$1000,E$6,History_Q!$C$2:$C$1000,"operating_cash_flow")-4),History_Q!$E$2:$E$1000,"$m",History_Q!$G$2:$G$1000,"populated")&lt;&gt;4,_xlfn.MAXIFS(History_Q!$B$2:$B$1000,History_Q!$C$2:$C$1000,"operating_cash_flow",History_Q!$B$2:$B$1000,"&gt;="&amp;((SUMIFS(History_Q!$B$2:$B$1000,History_Q!$A$2:$A$1000,E$6,History_Q!$C$2:$C$1000,"operating_cash_flow")-4)-3),History_Q!$B$2:$B$1000,"&lt;="&amp;(SUMIFS(History_Q!$B$2:$B$1000,History_Q!$A$2:$A$1000,E$6,History_Q!$C$2:$C$1000,"operating_cash_flow")-4),History_Q!$E$2:$E$1000,"$m",History_Q!$G$2:$G$1000,"populated")-_xlfn.MINIFS(History_Q!$B$2:$B$1000,History_Q!$C$2:$C$1000,"operating_cash_flow",History_Q!$B$2:$B$1000,"&gt;="&amp;((SUMIFS(History_Q!$B$2:$B$1000,History_Q!$A$2:$A$1000,E$6,History_Q!$C$2:$C$1000,"operating_cash_flow")-4)-3),History_Q!$B$2:$B$1000,"&lt;="&amp;(SUMIFS(History_Q!$B$2:$B$1000,History_Q!$A$2:$A$1000,E$6,History_Q!$C$2:$C$1000,"operating_cash_flow")-4),History_Q!$E$2:$E$1000,"$m",History_Q!$G$2:$G$1000,"populated")&lt;&gt;3,COUNTIFS(History_Q!$C$2:$C$1000,"capital_expenditures",History_Q!$B$2:$B$1000,"&gt;="&amp;((SUMIFS(History_Q!$B$2:$B$1000,History_Q!$A$2:$A$1000,E$6,History_Q!$C$2:$C$1000,"capital_expenditures")-4)-3),History_Q!$B$2:$B$1000,"&lt;="&amp;(SUMIFS(History_Q!$B$2:$B$1000,History_Q!$A$2:$A$1000,E$6,History_Q!$C$2:$C$1000,"capital_expenditures")-4),History_Q!$E$2:$E$1000,"$m",History_Q!$G$2:$G$1000,"populated")&lt;&gt;4,_xlfn.MAXIFS(History_Q!$B$2:$B$1000,History_Q!$C$2:$C$1000,"capital_expenditures",History_Q!$B$2:$B$1000,"&gt;="&amp;((SUMIFS(History_Q!$B$2:$B$1000,History_Q!$A$2:$A$1000,E$6,History_Q!$C$2:$C$1000,"capital_expenditures")-4)-3),History_Q!$B$2:$B$1000,"&lt;="&amp;(SUMIFS(History_Q!$B$2:$B$1000,History_Q!$A$2:$A$1000,E$6,History_Q!$C$2:$C$1000,"capital_expenditures")-4),History_Q!$E$2:$E$1000,"$m",History_Q!$G$2:$G$1000,"populated")-_xlfn.MINIFS(History_Q!$B$2:$B$1000,History_Q!$C$2:$C$1000,"capital_expenditures",History_Q!$B$2:$B$1000,"&gt;="&amp;((SUMIFS(History_Q!$B$2:$B$1000,History_Q!$A$2:$A$1000,E$6,History_Q!$C$2:$C$1000,"capital_expenditures")-4)-3),History_Q!$B$2:$B$1000,"&lt;="&amp;(SUMIFS(History_Q!$B$2:$B$1000,History_Q!$A$2:$A$1000,E$6,History_Q!$C$2:$C$1000,"capital_expenditures")-4),History_Q!$E$2:$E$1000,"$m",History_Q!$G$2:$G$1000,"populated")&lt;&gt;3),"",(SUMIFS(History_Q!$D$2:$D$1000,History_Q!$C$2:$C$1000,"operating_cash_flow",History_Q!$B$2:$B$1000,"&gt;="&amp;((SUMIFS(History_Q!$B$2:$B$1000,History_Q!$A$2:$A$1000,E$6,History_Q!$C$2:$C$1000,"operating_cash_flow"))-3),History_Q!$B$2:$B$1000,"&lt;="&amp;(SUMIFS(History_Q!$B$2:$B$1000,History_Q!$A$2:$A$1000,E$6,History_Q!$C$2:$C$1000,"operating_cash_flow")),History_Q!$E$2:$E$1000,"$m",History_Q!$G$2:$G$1000,"populated")-SUMIFS(History_Q!$D$2:$D$1000,History_Q!$C$2:$C$1000,"capital_expenditures",History_Q!$B$2:$B$1000,"&gt;="&amp;((SUMIFS(History_Q!$B$2:$B$1000,History_Q!$A$2:$A$1000,E$6,History_Q!$C$2:$C$1000,"capital_expenditures"))-3),History_Q!$B$2:$B$1000,"&lt;="&amp;(SUMIFS(History_Q!$B$2:$B$1000,History_Q!$A$2:$A$1000,E$6,History_Q!$C$2:$C$1000,"capital_expenditures")),History_Q!$E$2:$E$1000,"$m",History_Q!$G$2:$G$1000,"populated"))-(SUMIFS(History_Q!$D$2:$D$1000,History_Q!$C$2:$C$1000,"operating_cash_flow",History_Q!$B$2:$B$1000,"&gt;="&amp;((SUMIFS(History_Q!$B$2:$B$1000,History_Q!$A$2:$A$1000,E$6,History_Q!$C$2:$C$1000,"operating_cash_flow")-4)-3),History_Q!$B$2:$B$1000,"&lt;="&amp;(SUMIFS(History_Q!$B$2:$B$1000,History_Q!$A$2:$A$1000,E$6,History_Q!$C$2:$C$1000,"operating_cash_flow")-4),History_Q!$E$2:$E$1000,"$m",History_Q!$G$2:$G$1000,"populated")-SUMIFS(History_Q!$D$2:$D$1000,History_Q!$C$2:$C$1000,"capital_expenditures",History_Q!$B$2:$B$1000,"&gt;="&amp;((SUMIFS(History_Q!$B$2:$B$1000,History_Q!$A$2:$A$1000,E$6,History_Q!$C$2:$C$1000,"capital_expenditures")-4)-3),History_Q!$B$2:$B$1000,"&lt;="&amp;(SUMIFS(History_Q!$B$2:$B$1000,History_Q!$A$2:$A$1000,E$6,History_Q!$C$2:$C$1000,"capital_expenditures")-4),History_Q!$E$2:$E$1000,"$m",History_Q!$G$2:$G$1000,"populated")))</f>
        <v/>
      </c>
      <c r="F50" s="450">
        <f>IF(OR(F$6="",COUNTIFS(History_Q!$C$2:$C$1000,"operating_cash_flow",History_Q!$B$2:$B$1000,"&gt;="&amp;((SUMIFS(History_Q!$B$2:$B$1000,History_Q!$A$2:$A$1000,F$6,History_Q!$C$2:$C$1000,"operating_cash_flow"))-3),History_Q!$B$2:$B$1000,"&lt;="&amp;(SUMIFS(History_Q!$B$2:$B$1000,History_Q!$A$2:$A$1000,F$6,History_Q!$C$2:$C$1000,"operating_cash_flow")),History_Q!$E$2:$E$1000,"$m",History_Q!$G$2:$G$1000,"populated")&lt;&gt;4,_xlfn.MAXIFS(History_Q!$B$2:$B$1000,History_Q!$C$2:$C$1000,"operating_cash_flow",History_Q!$B$2:$B$1000,"&gt;="&amp;((SUMIFS(History_Q!$B$2:$B$1000,History_Q!$A$2:$A$1000,F$6,History_Q!$C$2:$C$1000,"operating_cash_flow"))-3),History_Q!$B$2:$B$1000,"&lt;="&amp;(SUMIFS(History_Q!$B$2:$B$1000,History_Q!$A$2:$A$1000,F$6,History_Q!$C$2:$C$1000,"operating_cash_flow")),History_Q!$E$2:$E$1000,"$m",History_Q!$G$2:$G$1000,"populated")-_xlfn.MINIFS(History_Q!$B$2:$B$1000,History_Q!$C$2:$C$1000,"operating_cash_flow",History_Q!$B$2:$B$1000,"&gt;="&amp;((SUMIFS(History_Q!$B$2:$B$1000,History_Q!$A$2:$A$1000,F$6,History_Q!$C$2:$C$1000,"operating_cash_flow"))-3),History_Q!$B$2:$B$1000,"&lt;="&amp;(SUMIFS(History_Q!$B$2:$B$1000,History_Q!$A$2:$A$1000,F$6,History_Q!$C$2:$C$1000,"operating_cash_flow")),History_Q!$E$2:$E$1000,"$m",History_Q!$G$2:$G$1000,"populated")&lt;&gt;3,COUNTIFS(History_Q!$C$2:$C$1000,"capital_expenditures",History_Q!$B$2:$B$1000,"&gt;="&amp;((SUMIFS(History_Q!$B$2:$B$1000,History_Q!$A$2:$A$1000,F$6,History_Q!$C$2:$C$1000,"capital_expenditures"))-3),History_Q!$B$2:$B$1000,"&lt;="&amp;(SUMIFS(History_Q!$B$2:$B$1000,History_Q!$A$2:$A$1000,F$6,History_Q!$C$2:$C$1000,"capital_expenditures")),History_Q!$E$2:$E$1000,"$m",History_Q!$G$2:$G$1000,"populated")&lt;&gt;4,_xlfn.MAXIFS(History_Q!$B$2:$B$1000,History_Q!$C$2:$C$1000,"capital_expenditures",History_Q!$B$2:$B$1000,"&gt;="&amp;((SUMIFS(History_Q!$B$2:$B$1000,History_Q!$A$2:$A$1000,F$6,History_Q!$C$2:$C$1000,"capital_expenditures"))-3),History_Q!$B$2:$B$1000,"&lt;="&amp;(SUMIFS(History_Q!$B$2:$B$1000,History_Q!$A$2:$A$1000,F$6,History_Q!$C$2:$C$1000,"capital_expenditures")),History_Q!$E$2:$E$1000,"$m",History_Q!$G$2:$G$1000,"populated")-_xlfn.MINIFS(History_Q!$B$2:$B$1000,History_Q!$C$2:$C$1000,"capital_expenditures",History_Q!$B$2:$B$1000,"&gt;="&amp;((SUMIFS(History_Q!$B$2:$B$1000,History_Q!$A$2:$A$1000,F$6,History_Q!$C$2:$C$1000,"capital_expenditures"))-3),History_Q!$B$2:$B$1000,"&lt;="&amp;(SUMIFS(History_Q!$B$2:$B$1000,History_Q!$A$2:$A$1000,F$6,History_Q!$C$2:$C$1000,"capital_expenditures")),History_Q!$E$2:$E$1000,"$m",History_Q!$G$2:$G$1000,"populated")&lt;&gt;3,COUNTIFS(History_Q!$C$2:$C$1000,"operating_cash_flow",History_Q!$B$2:$B$1000,"&gt;="&amp;((SUMIFS(History_Q!$B$2:$B$1000,History_Q!$A$2:$A$1000,F$6,History_Q!$C$2:$C$1000,"operating_cash_flow")-4)-3),History_Q!$B$2:$B$1000,"&lt;="&amp;(SUMIFS(History_Q!$B$2:$B$1000,History_Q!$A$2:$A$1000,F$6,History_Q!$C$2:$C$1000,"operating_cash_flow")-4),History_Q!$E$2:$E$1000,"$m",History_Q!$G$2:$G$1000,"populated")&lt;&gt;4,_xlfn.MAXIFS(History_Q!$B$2:$B$1000,History_Q!$C$2:$C$1000,"operating_cash_flow",History_Q!$B$2:$B$1000,"&gt;="&amp;((SUMIFS(History_Q!$B$2:$B$1000,History_Q!$A$2:$A$1000,F$6,History_Q!$C$2:$C$1000,"operating_cash_flow")-4)-3),History_Q!$B$2:$B$1000,"&lt;="&amp;(SUMIFS(History_Q!$B$2:$B$1000,History_Q!$A$2:$A$1000,F$6,History_Q!$C$2:$C$1000,"operating_cash_flow")-4),History_Q!$E$2:$E$1000,"$m",History_Q!$G$2:$G$1000,"populated")-_xlfn.MINIFS(History_Q!$B$2:$B$1000,History_Q!$C$2:$C$1000,"operating_cash_flow",History_Q!$B$2:$B$1000,"&gt;="&amp;((SUMIFS(History_Q!$B$2:$B$1000,History_Q!$A$2:$A$1000,F$6,History_Q!$C$2:$C$1000,"operating_cash_flow")-4)-3),History_Q!$B$2:$B$1000,"&lt;="&amp;(SUMIFS(History_Q!$B$2:$B$1000,History_Q!$A$2:$A$1000,F$6,History_Q!$C$2:$C$1000,"operating_cash_flow")-4),History_Q!$E$2:$E$1000,"$m",History_Q!$G$2:$G$1000,"populated")&lt;&gt;3,COUNTIFS(History_Q!$C$2:$C$1000,"capital_expenditures",History_Q!$B$2:$B$1000,"&gt;="&amp;((SUMIFS(History_Q!$B$2:$B$1000,History_Q!$A$2:$A$1000,F$6,History_Q!$C$2:$C$1000,"capital_expenditures")-4)-3),History_Q!$B$2:$B$1000,"&lt;="&amp;(SUMIFS(History_Q!$B$2:$B$1000,History_Q!$A$2:$A$1000,F$6,History_Q!$C$2:$C$1000,"capital_expenditures")-4),History_Q!$E$2:$E$1000,"$m",History_Q!$G$2:$G$1000,"populated")&lt;&gt;4,_xlfn.MAXIFS(History_Q!$B$2:$B$1000,History_Q!$C$2:$C$1000,"capital_expenditures",History_Q!$B$2:$B$1000,"&gt;="&amp;((SUMIFS(History_Q!$B$2:$B$1000,History_Q!$A$2:$A$1000,F$6,History_Q!$C$2:$C$1000,"capital_expenditures")-4)-3),History_Q!$B$2:$B$1000,"&lt;="&amp;(SUMIFS(History_Q!$B$2:$B$1000,History_Q!$A$2:$A$1000,F$6,History_Q!$C$2:$C$1000,"capital_expenditures")-4),History_Q!$E$2:$E$1000,"$m",History_Q!$G$2:$G$1000,"populated")-_xlfn.MINIFS(History_Q!$B$2:$B$1000,History_Q!$C$2:$C$1000,"capital_expenditures",History_Q!$B$2:$B$1000,"&gt;="&amp;((SUMIFS(History_Q!$B$2:$B$1000,History_Q!$A$2:$A$1000,F$6,History_Q!$C$2:$C$1000,"capital_expenditures")-4)-3),History_Q!$B$2:$B$1000,"&lt;="&amp;(SUMIFS(History_Q!$B$2:$B$1000,History_Q!$A$2:$A$1000,F$6,History_Q!$C$2:$C$1000,"capital_expenditures")-4),History_Q!$E$2:$E$1000,"$m",History_Q!$G$2:$G$1000,"populated")&lt;&gt;3),"",(SUMIFS(History_Q!$D$2:$D$1000,History_Q!$C$2:$C$1000,"operating_cash_flow",History_Q!$B$2:$B$1000,"&gt;="&amp;((SUMIFS(History_Q!$B$2:$B$1000,History_Q!$A$2:$A$1000,F$6,History_Q!$C$2:$C$1000,"operating_cash_flow"))-3),History_Q!$B$2:$B$1000,"&lt;="&amp;(SUMIFS(History_Q!$B$2:$B$1000,History_Q!$A$2:$A$1000,F$6,History_Q!$C$2:$C$1000,"operating_cash_flow")),History_Q!$E$2:$E$1000,"$m",History_Q!$G$2:$G$1000,"populated")-SUMIFS(History_Q!$D$2:$D$1000,History_Q!$C$2:$C$1000,"capital_expenditures",History_Q!$B$2:$B$1000,"&gt;="&amp;((SUMIFS(History_Q!$B$2:$B$1000,History_Q!$A$2:$A$1000,F$6,History_Q!$C$2:$C$1000,"capital_expenditures"))-3),History_Q!$B$2:$B$1000,"&lt;="&amp;(SUMIFS(History_Q!$B$2:$B$1000,History_Q!$A$2:$A$1000,F$6,History_Q!$C$2:$C$1000,"capital_expenditures")),History_Q!$E$2:$E$1000,"$m",History_Q!$G$2:$G$1000,"populated"))-(SUMIFS(History_Q!$D$2:$D$1000,History_Q!$C$2:$C$1000,"operating_cash_flow",History_Q!$B$2:$B$1000,"&gt;="&amp;((SUMIFS(History_Q!$B$2:$B$1000,History_Q!$A$2:$A$1000,F$6,History_Q!$C$2:$C$1000,"operating_cash_flow")-4)-3),History_Q!$B$2:$B$1000,"&lt;="&amp;(SUMIFS(History_Q!$B$2:$B$1000,History_Q!$A$2:$A$1000,F$6,History_Q!$C$2:$C$1000,"operating_cash_flow")-4),History_Q!$E$2:$E$1000,"$m",History_Q!$G$2:$G$1000,"populated")-SUMIFS(History_Q!$D$2:$D$1000,History_Q!$C$2:$C$1000,"capital_expenditures",History_Q!$B$2:$B$1000,"&gt;="&amp;((SUMIFS(History_Q!$B$2:$B$1000,History_Q!$A$2:$A$1000,F$6,History_Q!$C$2:$C$1000,"capital_expenditures")-4)-3),History_Q!$B$2:$B$1000,"&lt;="&amp;(SUMIFS(History_Q!$B$2:$B$1000,History_Q!$A$2:$A$1000,F$6,History_Q!$C$2:$C$1000,"capital_expenditures")-4),History_Q!$E$2:$E$1000,"$m",History_Q!$G$2:$G$1000,"populated")))</f>
        <v/>
      </c>
      <c r="G50" s="450">
        <f>IF(OR(G$6="",COUNTIFS(History_Q!$C$2:$C$1000,"operating_cash_flow",History_Q!$B$2:$B$1000,"&gt;="&amp;((SUMIFS(History_Q!$B$2:$B$1000,History_Q!$A$2:$A$1000,G$6,History_Q!$C$2:$C$1000,"operating_cash_flow"))-3),History_Q!$B$2:$B$1000,"&lt;="&amp;(SUMIFS(History_Q!$B$2:$B$1000,History_Q!$A$2:$A$1000,G$6,History_Q!$C$2:$C$1000,"operating_cash_flow")),History_Q!$E$2:$E$1000,"$m",History_Q!$G$2:$G$1000,"populated")&lt;&gt;4,_xlfn.MAXIFS(History_Q!$B$2:$B$1000,History_Q!$C$2:$C$1000,"operating_cash_flow",History_Q!$B$2:$B$1000,"&gt;="&amp;((SUMIFS(History_Q!$B$2:$B$1000,History_Q!$A$2:$A$1000,G$6,History_Q!$C$2:$C$1000,"operating_cash_flow"))-3),History_Q!$B$2:$B$1000,"&lt;="&amp;(SUMIFS(History_Q!$B$2:$B$1000,History_Q!$A$2:$A$1000,G$6,History_Q!$C$2:$C$1000,"operating_cash_flow")),History_Q!$E$2:$E$1000,"$m",History_Q!$G$2:$G$1000,"populated")-_xlfn.MINIFS(History_Q!$B$2:$B$1000,History_Q!$C$2:$C$1000,"operating_cash_flow",History_Q!$B$2:$B$1000,"&gt;="&amp;((SUMIFS(History_Q!$B$2:$B$1000,History_Q!$A$2:$A$1000,G$6,History_Q!$C$2:$C$1000,"operating_cash_flow"))-3),History_Q!$B$2:$B$1000,"&lt;="&amp;(SUMIFS(History_Q!$B$2:$B$1000,History_Q!$A$2:$A$1000,G$6,History_Q!$C$2:$C$1000,"operating_cash_flow")),History_Q!$E$2:$E$1000,"$m",History_Q!$G$2:$G$1000,"populated")&lt;&gt;3,COUNTIFS(History_Q!$C$2:$C$1000,"capital_expenditures",History_Q!$B$2:$B$1000,"&gt;="&amp;((SUMIFS(History_Q!$B$2:$B$1000,History_Q!$A$2:$A$1000,G$6,History_Q!$C$2:$C$1000,"capital_expenditures"))-3),History_Q!$B$2:$B$1000,"&lt;="&amp;(SUMIFS(History_Q!$B$2:$B$1000,History_Q!$A$2:$A$1000,G$6,History_Q!$C$2:$C$1000,"capital_expenditures")),History_Q!$E$2:$E$1000,"$m",History_Q!$G$2:$G$1000,"populated")&lt;&gt;4,_xlfn.MAXIFS(History_Q!$B$2:$B$1000,History_Q!$C$2:$C$1000,"capital_expenditures",History_Q!$B$2:$B$1000,"&gt;="&amp;((SUMIFS(History_Q!$B$2:$B$1000,History_Q!$A$2:$A$1000,G$6,History_Q!$C$2:$C$1000,"capital_expenditures"))-3),History_Q!$B$2:$B$1000,"&lt;="&amp;(SUMIFS(History_Q!$B$2:$B$1000,History_Q!$A$2:$A$1000,G$6,History_Q!$C$2:$C$1000,"capital_expenditures")),History_Q!$E$2:$E$1000,"$m",History_Q!$G$2:$G$1000,"populated")-_xlfn.MINIFS(History_Q!$B$2:$B$1000,History_Q!$C$2:$C$1000,"capital_expenditures",History_Q!$B$2:$B$1000,"&gt;="&amp;((SUMIFS(History_Q!$B$2:$B$1000,History_Q!$A$2:$A$1000,G$6,History_Q!$C$2:$C$1000,"capital_expenditures"))-3),History_Q!$B$2:$B$1000,"&lt;="&amp;(SUMIFS(History_Q!$B$2:$B$1000,History_Q!$A$2:$A$1000,G$6,History_Q!$C$2:$C$1000,"capital_expenditures")),History_Q!$E$2:$E$1000,"$m",History_Q!$G$2:$G$1000,"populated")&lt;&gt;3,COUNTIFS(History_Q!$C$2:$C$1000,"operating_cash_flow",History_Q!$B$2:$B$1000,"&gt;="&amp;((SUMIFS(History_Q!$B$2:$B$1000,History_Q!$A$2:$A$1000,G$6,History_Q!$C$2:$C$1000,"operating_cash_flow")-4)-3),History_Q!$B$2:$B$1000,"&lt;="&amp;(SUMIFS(History_Q!$B$2:$B$1000,History_Q!$A$2:$A$1000,G$6,History_Q!$C$2:$C$1000,"operating_cash_flow")-4),History_Q!$E$2:$E$1000,"$m",History_Q!$G$2:$G$1000,"populated")&lt;&gt;4,_xlfn.MAXIFS(History_Q!$B$2:$B$1000,History_Q!$C$2:$C$1000,"operating_cash_flow",History_Q!$B$2:$B$1000,"&gt;="&amp;((SUMIFS(History_Q!$B$2:$B$1000,History_Q!$A$2:$A$1000,G$6,History_Q!$C$2:$C$1000,"operating_cash_flow")-4)-3),History_Q!$B$2:$B$1000,"&lt;="&amp;(SUMIFS(History_Q!$B$2:$B$1000,History_Q!$A$2:$A$1000,G$6,History_Q!$C$2:$C$1000,"operating_cash_flow")-4),History_Q!$E$2:$E$1000,"$m",History_Q!$G$2:$G$1000,"populated")-_xlfn.MINIFS(History_Q!$B$2:$B$1000,History_Q!$C$2:$C$1000,"operating_cash_flow",History_Q!$B$2:$B$1000,"&gt;="&amp;((SUMIFS(History_Q!$B$2:$B$1000,History_Q!$A$2:$A$1000,G$6,History_Q!$C$2:$C$1000,"operating_cash_flow")-4)-3),History_Q!$B$2:$B$1000,"&lt;="&amp;(SUMIFS(History_Q!$B$2:$B$1000,History_Q!$A$2:$A$1000,G$6,History_Q!$C$2:$C$1000,"operating_cash_flow")-4),History_Q!$E$2:$E$1000,"$m",History_Q!$G$2:$G$1000,"populated")&lt;&gt;3,COUNTIFS(History_Q!$C$2:$C$1000,"capital_expenditures",History_Q!$B$2:$B$1000,"&gt;="&amp;((SUMIFS(History_Q!$B$2:$B$1000,History_Q!$A$2:$A$1000,G$6,History_Q!$C$2:$C$1000,"capital_expenditures")-4)-3),History_Q!$B$2:$B$1000,"&lt;="&amp;(SUMIFS(History_Q!$B$2:$B$1000,History_Q!$A$2:$A$1000,G$6,History_Q!$C$2:$C$1000,"capital_expenditures")-4),History_Q!$E$2:$E$1000,"$m",History_Q!$G$2:$G$1000,"populated")&lt;&gt;4,_xlfn.MAXIFS(History_Q!$B$2:$B$1000,History_Q!$C$2:$C$1000,"capital_expenditures",History_Q!$B$2:$B$1000,"&gt;="&amp;((SUMIFS(History_Q!$B$2:$B$1000,History_Q!$A$2:$A$1000,G$6,History_Q!$C$2:$C$1000,"capital_expenditures")-4)-3),History_Q!$B$2:$B$1000,"&lt;="&amp;(SUMIFS(History_Q!$B$2:$B$1000,History_Q!$A$2:$A$1000,G$6,History_Q!$C$2:$C$1000,"capital_expenditures")-4),History_Q!$E$2:$E$1000,"$m",History_Q!$G$2:$G$1000,"populated")-_xlfn.MINIFS(History_Q!$B$2:$B$1000,History_Q!$C$2:$C$1000,"capital_expenditures",History_Q!$B$2:$B$1000,"&gt;="&amp;((SUMIFS(History_Q!$B$2:$B$1000,History_Q!$A$2:$A$1000,G$6,History_Q!$C$2:$C$1000,"capital_expenditures")-4)-3),History_Q!$B$2:$B$1000,"&lt;="&amp;(SUMIFS(History_Q!$B$2:$B$1000,History_Q!$A$2:$A$1000,G$6,History_Q!$C$2:$C$1000,"capital_expenditures")-4),History_Q!$E$2:$E$1000,"$m",History_Q!$G$2:$G$1000,"populated")&lt;&gt;3),"",(SUMIFS(History_Q!$D$2:$D$1000,History_Q!$C$2:$C$1000,"operating_cash_flow",History_Q!$B$2:$B$1000,"&gt;="&amp;((SUMIFS(History_Q!$B$2:$B$1000,History_Q!$A$2:$A$1000,G$6,History_Q!$C$2:$C$1000,"operating_cash_flow"))-3),History_Q!$B$2:$B$1000,"&lt;="&amp;(SUMIFS(History_Q!$B$2:$B$1000,History_Q!$A$2:$A$1000,G$6,History_Q!$C$2:$C$1000,"operating_cash_flow")),History_Q!$E$2:$E$1000,"$m",History_Q!$G$2:$G$1000,"populated")-SUMIFS(History_Q!$D$2:$D$1000,History_Q!$C$2:$C$1000,"capital_expenditures",History_Q!$B$2:$B$1000,"&gt;="&amp;((SUMIFS(History_Q!$B$2:$B$1000,History_Q!$A$2:$A$1000,G$6,History_Q!$C$2:$C$1000,"capital_expenditures"))-3),History_Q!$B$2:$B$1000,"&lt;="&amp;(SUMIFS(History_Q!$B$2:$B$1000,History_Q!$A$2:$A$1000,G$6,History_Q!$C$2:$C$1000,"capital_expenditures")),History_Q!$E$2:$E$1000,"$m",History_Q!$G$2:$G$1000,"populated"))-(SUMIFS(History_Q!$D$2:$D$1000,History_Q!$C$2:$C$1000,"operating_cash_flow",History_Q!$B$2:$B$1000,"&gt;="&amp;((SUMIFS(History_Q!$B$2:$B$1000,History_Q!$A$2:$A$1000,G$6,History_Q!$C$2:$C$1000,"operating_cash_flow")-4)-3),History_Q!$B$2:$B$1000,"&lt;="&amp;(SUMIFS(History_Q!$B$2:$B$1000,History_Q!$A$2:$A$1000,G$6,History_Q!$C$2:$C$1000,"operating_cash_flow")-4),History_Q!$E$2:$E$1000,"$m",History_Q!$G$2:$G$1000,"populated")-SUMIFS(History_Q!$D$2:$D$1000,History_Q!$C$2:$C$1000,"capital_expenditures",History_Q!$B$2:$B$1000,"&gt;="&amp;((SUMIFS(History_Q!$B$2:$B$1000,History_Q!$A$2:$A$1000,G$6,History_Q!$C$2:$C$1000,"capital_expenditures")-4)-3),History_Q!$B$2:$B$1000,"&lt;="&amp;(SUMIFS(History_Q!$B$2:$B$1000,History_Q!$A$2:$A$1000,G$6,History_Q!$C$2:$C$1000,"capital_expenditures")-4),History_Q!$E$2:$E$1000,"$m",History_Q!$G$2:$G$1000,"populated")))</f>
        <v/>
      </c>
      <c r="H50" s="450">
        <f>IF(OR(H$6="",COUNTIFS(History_Q!$C$2:$C$1000,"operating_cash_flow",History_Q!$B$2:$B$1000,"&gt;="&amp;((SUMIFS(History_Q!$B$2:$B$1000,History_Q!$A$2:$A$1000,H$6,History_Q!$C$2:$C$1000,"operating_cash_flow"))-3),History_Q!$B$2:$B$1000,"&lt;="&amp;(SUMIFS(History_Q!$B$2:$B$1000,History_Q!$A$2:$A$1000,H$6,History_Q!$C$2:$C$1000,"operating_cash_flow")),History_Q!$E$2:$E$1000,"$m",History_Q!$G$2:$G$1000,"populated")&lt;&gt;4,_xlfn.MAXIFS(History_Q!$B$2:$B$1000,History_Q!$C$2:$C$1000,"operating_cash_flow",History_Q!$B$2:$B$1000,"&gt;="&amp;((SUMIFS(History_Q!$B$2:$B$1000,History_Q!$A$2:$A$1000,H$6,History_Q!$C$2:$C$1000,"operating_cash_flow"))-3),History_Q!$B$2:$B$1000,"&lt;="&amp;(SUMIFS(History_Q!$B$2:$B$1000,History_Q!$A$2:$A$1000,H$6,History_Q!$C$2:$C$1000,"operating_cash_flow")),History_Q!$E$2:$E$1000,"$m",History_Q!$G$2:$G$1000,"populated")-_xlfn.MINIFS(History_Q!$B$2:$B$1000,History_Q!$C$2:$C$1000,"operating_cash_flow",History_Q!$B$2:$B$1000,"&gt;="&amp;((SUMIFS(History_Q!$B$2:$B$1000,History_Q!$A$2:$A$1000,H$6,History_Q!$C$2:$C$1000,"operating_cash_flow"))-3),History_Q!$B$2:$B$1000,"&lt;="&amp;(SUMIFS(History_Q!$B$2:$B$1000,History_Q!$A$2:$A$1000,H$6,History_Q!$C$2:$C$1000,"operating_cash_flow")),History_Q!$E$2:$E$1000,"$m",History_Q!$G$2:$G$1000,"populated")&lt;&gt;3,COUNTIFS(History_Q!$C$2:$C$1000,"capital_expenditures",History_Q!$B$2:$B$1000,"&gt;="&amp;((SUMIFS(History_Q!$B$2:$B$1000,History_Q!$A$2:$A$1000,H$6,History_Q!$C$2:$C$1000,"capital_expenditures"))-3),History_Q!$B$2:$B$1000,"&lt;="&amp;(SUMIFS(History_Q!$B$2:$B$1000,History_Q!$A$2:$A$1000,H$6,History_Q!$C$2:$C$1000,"capital_expenditures")),History_Q!$E$2:$E$1000,"$m",History_Q!$G$2:$G$1000,"populated")&lt;&gt;4,_xlfn.MAXIFS(History_Q!$B$2:$B$1000,History_Q!$C$2:$C$1000,"capital_expenditures",History_Q!$B$2:$B$1000,"&gt;="&amp;((SUMIFS(History_Q!$B$2:$B$1000,History_Q!$A$2:$A$1000,H$6,History_Q!$C$2:$C$1000,"capital_expenditures"))-3),History_Q!$B$2:$B$1000,"&lt;="&amp;(SUMIFS(History_Q!$B$2:$B$1000,History_Q!$A$2:$A$1000,H$6,History_Q!$C$2:$C$1000,"capital_expenditures")),History_Q!$E$2:$E$1000,"$m",History_Q!$G$2:$G$1000,"populated")-_xlfn.MINIFS(History_Q!$B$2:$B$1000,History_Q!$C$2:$C$1000,"capital_expenditures",History_Q!$B$2:$B$1000,"&gt;="&amp;((SUMIFS(History_Q!$B$2:$B$1000,History_Q!$A$2:$A$1000,H$6,History_Q!$C$2:$C$1000,"capital_expenditures"))-3),History_Q!$B$2:$B$1000,"&lt;="&amp;(SUMIFS(History_Q!$B$2:$B$1000,History_Q!$A$2:$A$1000,H$6,History_Q!$C$2:$C$1000,"capital_expenditures")),History_Q!$E$2:$E$1000,"$m",History_Q!$G$2:$G$1000,"populated")&lt;&gt;3,COUNTIFS(History_Q!$C$2:$C$1000,"operating_cash_flow",History_Q!$B$2:$B$1000,"&gt;="&amp;((SUMIFS(History_Q!$B$2:$B$1000,History_Q!$A$2:$A$1000,H$6,History_Q!$C$2:$C$1000,"operating_cash_flow")-4)-3),History_Q!$B$2:$B$1000,"&lt;="&amp;(SUMIFS(History_Q!$B$2:$B$1000,History_Q!$A$2:$A$1000,H$6,History_Q!$C$2:$C$1000,"operating_cash_flow")-4),History_Q!$E$2:$E$1000,"$m",History_Q!$G$2:$G$1000,"populated")&lt;&gt;4,_xlfn.MAXIFS(History_Q!$B$2:$B$1000,History_Q!$C$2:$C$1000,"operating_cash_flow",History_Q!$B$2:$B$1000,"&gt;="&amp;((SUMIFS(History_Q!$B$2:$B$1000,History_Q!$A$2:$A$1000,H$6,History_Q!$C$2:$C$1000,"operating_cash_flow")-4)-3),History_Q!$B$2:$B$1000,"&lt;="&amp;(SUMIFS(History_Q!$B$2:$B$1000,History_Q!$A$2:$A$1000,H$6,History_Q!$C$2:$C$1000,"operating_cash_flow")-4),History_Q!$E$2:$E$1000,"$m",History_Q!$G$2:$G$1000,"populated")-_xlfn.MINIFS(History_Q!$B$2:$B$1000,History_Q!$C$2:$C$1000,"operating_cash_flow",History_Q!$B$2:$B$1000,"&gt;="&amp;((SUMIFS(History_Q!$B$2:$B$1000,History_Q!$A$2:$A$1000,H$6,History_Q!$C$2:$C$1000,"operating_cash_flow")-4)-3),History_Q!$B$2:$B$1000,"&lt;="&amp;(SUMIFS(History_Q!$B$2:$B$1000,History_Q!$A$2:$A$1000,H$6,History_Q!$C$2:$C$1000,"operating_cash_flow")-4),History_Q!$E$2:$E$1000,"$m",History_Q!$G$2:$G$1000,"populated")&lt;&gt;3,COUNTIFS(History_Q!$C$2:$C$1000,"capital_expenditures",History_Q!$B$2:$B$1000,"&gt;="&amp;((SUMIFS(History_Q!$B$2:$B$1000,History_Q!$A$2:$A$1000,H$6,History_Q!$C$2:$C$1000,"capital_expenditures")-4)-3),History_Q!$B$2:$B$1000,"&lt;="&amp;(SUMIFS(History_Q!$B$2:$B$1000,History_Q!$A$2:$A$1000,H$6,History_Q!$C$2:$C$1000,"capital_expenditures")-4),History_Q!$E$2:$E$1000,"$m",History_Q!$G$2:$G$1000,"populated")&lt;&gt;4,_xlfn.MAXIFS(History_Q!$B$2:$B$1000,History_Q!$C$2:$C$1000,"capital_expenditures",History_Q!$B$2:$B$1000,"&gt;="&amp;((SUMIFS(History_Q!$B$2:$B$1000,History_Q!$A$2:$A$1000,H$6,History_Q!$C$2:$C$1000,"capital_expenditures")-4)-3),History_Q!$B$2:$B$1000,"&lt;="&amp;(SUMIFS(History_Q!$B$2:$B$1000,History_Q!$A$2:$A$1000,H$6,History_Q!$C$2:$C$1000,"capital_expenditures")-4),History_Q!$E$2:$E$1000,"$m",History_Q!$G$2:$G$1000,"populated")-_xlfn.MINIFS(History_Q!$B$2:$B$1000,History_Q!$C$2:$C$1000,"capital_expenditures",History_Q!$B$2:$B$1000,"&gt;="&amp;((SUMIFS(History_Q!$B$2:$B$1000,History_Q!$A$2:$A$1000,H$6,History_Q!$C$2:$C$1000,"capital_expenditures")-4)-3),History_Q!$B$2:$B$1000,"&lt;="&amp;(SUMIFS(History_Q!$B$2:$B$1000,History_Q!$A$2:$A$1000,H$6,History_Q!$C$2:$C$1000,"capital_expenditures")-4),History_Q!$E$2:$E$1000,"$m",History_Q!$G$2:$G$1000,"populated")&lt;&gt;3),"",(SUMIFS(History_Q!$D$2:$D$1000,History_Q!$C$2:$C$1000,"operating_cash_flow",History_Q!$B$2:$B$1000,"&gt;="&amp;((SUMIFS(History_Q!$B$2:$B$1000,History_Q!$A$2:$A$1000,H$6,History_Q!$C$2:$C$1000,"operating_cash_flow"))-3),History_Q!$B$2:$B$1000,"&lt;="&amp;(SUMIFS(History_Q!$B$2:$B$1000,History_Q!$A$2:$A$1000,H$6,History_Q!$C$2:$C$1000,"operating_cash_flow")),History_Q!$E$2:$E$1000,"$m",History_Q!$G$2:$G$1000,"populated")-SUMIFS(History_Q!$D$2:$D$1000,History_Q!$C$2:$C$1000,"capital_expenditures",History_Q!$B$2:$B$1000,"&gt;="&amp;((SUMIFS(History_Q!$B$2:$B$1000,History_Q!$A$2:$A$1000,H$6,History_Q!$C$2:$C$1000,"capital_expenditures"))-3),History_Q!$B$2:$B$1000,"&lt;="&amp;(SUMIFS(History_Q!$B$2:$B$1000,History_Q!$A$2:$A$1000,H$6,History_Q!$C$2:$C$1000,"capital_expenditures")),History_Q!$E$2:$E$1000,"$m",History_Q!$G$2:$G$1000,"populated"))-(SUMIFS(History_Q!$D$2:$D$1000,History_Q!$C$2:$C$1000,"operating_cash_flow",History_Q!$B$2:$B$1000,"&gt;="&amp;((SUMIFS(History_Q!$B$2:$B$1000,History_Q!$A$2:$A$1000,H$6,History_Q!$C$2:$C$1000,"operating_cash_flow")-4)-3),History_Q!$B$2:$B$1000,"&lt;="&amp;(SUMIFS(History_Q!$B$2:$B$1000,History_Q!$A$2:$A$1000,H$6,History_Q!$C$2:$C$1000,"operating_cash_flow")-4),History_Q!$E$2:$E$1000,"$m",History_Q!$G$2:$G$1000,"populated")-SUMIFS(History_Q!$D$2:$D$1000,History_Q!$C$2:$C$1000,"capital_expenditures",History_Q!$B$2:$B$1000,"&gt;="&amp;((SUMIFS(History_Q!$B$2:$B$1000,History_Q!$A$2:$A$1000,H$6,History_Q!$C$2:$C$1000,"capital_expenditures")-4)-3),History_Q!$B$2:$B$1000,"&lt;="&amp;(SUMIFS(History_Q!$B$2:$B$1000,History_Q!$A$2:$A$1000,H$6,History_Q!$C$2:$C$1000,"capital_expenditures")-4),History_Q!$E$2:$E$1000,"$m",History_Q!$G$2:$G$1000,"populated")))</f>
        <v/>
      </c>
      <c r="I50" s="450">
        <f>IF(OR(I$6="",COUNTIFS(History_Q!$C$2:$C$1000,"operating_cash_flow",History_Q!$B$2:$B$1000,"&gt;="&amp;((SUMIFS(History_Q!$B$2:$B$1000,History_Q!$A$2:$A$1000,I$6,History_Q!$C$2:$C$1000,"operating_cash_flow"))-3),History_Q!$B$2:$B$1000,"&lt;="&amp;(SUMIFS(History_Q!$B$2:$B$1000,History_Q!$A$2:$A$1000,I$6,History_Q!$C$2:$C$1000,"operating_cash_flow")),History_Q!$E$2:$E$1000,"$m",History_Q!$G$2:$G$1000,"populated")&lt;&gt;4,_xlfn.MAXIFS(History_Q!$B$2:$B$1000,History_Q!$C$2:$C$1000,"operating_cash_flow",History_Q!$B$2:$B$1000,"&gt;="&amp;((SUMIFS(History_Q!$B$2:$B$1000,History_Q!$A$2:$A$1000,I$6,History_Q!$C$2:$C$1000,"operating_cash_flow"))-3),History_Q!$B$2:$B$1000,"&lt;="&amp;(SUMIFS(History_Q!$B$2:$B$1000,History_Q!$A$2:$A$1000,I$6,History_Q!$C$2:$C$1000,"operating_cash_flow")),History_Q!$E$2:$E$1000,"$m",History_Q!$G$2:$G$1000,"populated")-_xlfn.MINIFS(History_Q!$B$2:$B$1000,History_Q!$C$2:$C$1000,"operating_cash_flow",History_Q!$B$2:$B$1000,"&gt;="&amp;((SUMIFS(History_Q!$B$2:$B$1000,History_Q!$A$2:$A$1000,I$6,History_Q!$C$2:$C$1000,"operating_cash_flow"))-3),History_Q!$B$2:$B$1000,"&lt;="&amp;(SUMIFS(History_Q!$B$2:$B$1000,History_Q!$A$2:$A$1000,I$6,History_Q!$C$2:$C$1000,"operating_cash_flow")),History_Q!$E$2:$E$1000,"$m",History_Q!$G$2:$G$1000,"populated")&lt;&gt;3,COUNTIFS(History_Q!$C$2:$C$1000,"capital_expenditures",History_Q!$B$2:$B$1000,"&gt;="&amp;((SUMIFS(History_Q!$B$2:$B$1000,History_Q!$A$2:$A$1000,I$6,History_Q!$C$2:$C$1000,"capital_expenditures"))-3),History_Q!$B$2:$B$1000,"&lt;="&amp;(SUMIFS(History_Q!$B$2:$B$1000,History_Q!$A$2:$A$1000,I$6,History_Q!$C$2:$C$1000,"capital_expenditures")),History_Q!$E$2:$E$1000,"$m",History_Q!$G$2:$G$1000,"populated")&lt;&gt;4,_xlfn.MAXIFS(History_Q!$B$2:$B$1000,History_Q!$C$2:$C$1000,"capital_expenditures",History_Q!$B$2:$B$1000,"&gt;="&amp;((SUMIFS(History_Q!$B$2:$B$1000,History_Q!$A$2:$A$1000,I$6,History_Q!$C$2:$C$1000,"capital_expenditures"))-3),History_Q!$B$2:$B$1000,"&lt;="&amp;(SUMIFS(History_Q!$B$2:$B$1000,History_Q!$A$2:$A$1000,I$6,History_Q!$C$2:$C$1000,"capital_expenditures")),History_Q!$E$2:$E$1000,"$m",History_Q!$G$2:$G$1000,"populated")-_xlfn.MINIFS(History_Q!$B$2:$B$1000,History_Q!$C$2:$C$1000,"capital_expenditures",History_Q!$B$2:$B$1000,"&gt;="&amp;((SUMIFS(History_Q!$B$2:$B$1000,History_Q!$A$2:$A$1000,I$6,History_Q!$C$2:$C$1000,"capital_expenditures"))-3),History_Q!$B$2:$B$1000,"&lt;="&amp;(SUMIFS(History_Q!$B$2:$B$1000,History_Q!$A$2:$A$1000,I$6,History_Q!$C$2:$C$1000,"capital_expenditures")),History_Q!$E$2:$E$1000,"$m",History_Q!$G$2:$G$1000,"populated")&lt;&gt;3,COUNTIFS(History_Q!$C$2:$C$1000,"operating_cash_flow",History_Q!$B$2:$B$1000,"&gt;="&amp;((SUMIFS(History_Q!$B$2:$B$1000,History_Q!$A$2:$A$1000,I$6,History_Q!$C$2:$C$1000,"operating_cash_flow")-4)-3),History_Q!$B$2:$B$1000,"&lt;="&amp;(SUMIFS(History_Q!$B$2:$B$1000,History_Q!$A$2:$A$1000,I$6,History_Q!$C$2:$C$1000,"operating_cash_flow")-4),History_Q!$E$2:$E$1000,"$m",History_Q!$G$2:$G$1000,"populated")&lt;&gt;4,_xlfn.MAXIFS(History_Q!$B$2:$B$1000,History_Q!$C$2:$C$1000,"operating_cash_flow",History_Q!$B$2:$B$1000,"&gt;="&amp;((SUMIFS(History_Q!$B$2:$B$1000,History_Q!$A$2:$A$1000,I$6,History_Q!$C$2:$C$1000,"operating_cash_flow")-4)-3),History_Q!$B$2:$B$1000,"&lt;="&amp;(SUMIFS(History_Q!$B$2:$B$1000,History_Q!$A$2:$A$1000,I$6,History_Q!$C$2:$C$1000,"operating_cash_flow")-4),History_Q!$E$2:$E$1000,"$m",History_Q!$G$2:$G$1000,"populated")-_xlfn.MINIFS(History_Q!$B$2:$B$1000,History_Q!$C$2:$C$1000,"operating_cash_flow",History_Q!$B$2:$B$1000,"&gt;="&amp;((SUMIFS(History_Q!$B$2:$B$1000,History_Q!$A$2:$A$1000,I$6,History_Q!$C$2:$C$1000,"operating_cash_flow")-4)-3),History_Q!$B$2:$B$1000,"&lt;="&amp;(SUMIFS(History_Q!$B$2:$B$1000,History_Q!$A$2:$A$1000,I$6,History_Q!$C$2:$C$1000,"operating_cash_flow")-4),History_Q!$E$2:$E$1000,"$m",History_Q!$G$2:$G$1000,"populated")&lt;&gt;3,COUNTIFS(History_Q!$C$2:$C$1000,"capital_expenditures",History_Q!$B$2:$B$1000,"&gt;="&amp;((SUMIFS(History_Q!$B$2:$B$1000,History_Q!$A$2:$A$1000,I$6,History_Q!$C$2:$C$1000,"capital_expenditures")-4)-3),History_Q!$B$2:$B$1000,"&lt;="&amp;(SUMIFS(History_Q!$B$2:$B$1000,History_Q!$A$2:$A$1000,I$6,History_Q!$C$2:$C$1000,"capital_expenditures")-4),History_Q!$E$2:$E$1000,"$m",History_Q!$G$2:$G$1000,"populated")&lt;&gt;4,_xlfn.MAXIFS(History_Q!$B$2:$B$1000,History_Q!$C$2:$C$1000,"capital_expenditures",History_Q!$B$2:$B$1000,"&gt;="&amp;((SUMIFS(History_Q!$B$2:$B$1000,History_Q!$A$2:$A$1000,I$6,History_Q!$C$2:$C$1000,"capital_expenditures")-4)-3),History_Q!$B$2:$B$1000,"&lt;="&amp;(SUMIFS(History_Q!$B$2:$B$1000,History_Q!$A$2:$A$1000,I$6,History_Q!$C$2:$C$1000,"capital_expenditures")-4),History_Q!$E$2:$E$1000,"$m",History_Q!$G$2:$G$1000,"populated")-_xlfn.MINIFS(History_Q!$B$2:$B$1000,History_Q!$C$2:$C$1000,"capital_expenditures",History_Q!$B$2:$B$1000,"&gt;="&amp;((SUMIFS(History_Q!$B$2:$B$1000,History_Q!$A$2:$A$1000,I$6,History_Q!$C$2:$C$1000,"capital_expenditures")-4)-3),History_Q!$B$2:$B$1000,"&lt;="&amp;(SUMIFS(History_Q!$B$2:$B$1000,History_Q!$A$2:$A$1000,I$6,History_Q!$C$2:$C$1000,"capital_expenditures")-4),History_Q!$E$2:$E$1000,"$m",History_Q!$G$2:$G$1000,"populated")&lt;&gt;3),"",(SUMIFS(History_Q!$D$2:$D$1000,History_Q!$C$2:$C$1000,"operating_cash_flow",History_Q!$B$2:$B$1000,"&gt;="&amp;((SUMIFS(History_Q!$B$2:$B$1000,History_Q!$A$2:$A$1000,I$6,History_Q!$C$2:$C$1000,"operating_cash_flow"))-3),History_Q!$B$2:$B$1000,"&lt;="&amp;(SUMIFS(History_Q!$B$2:$B$1000,History_Q!$A$2:$A$1000,I$6,History_Q!$C$2:$C$1000,"operating_cash_flow")),History_Q!$E$2:$E$1000,"$m",History_Q!$G$2:$G$1000,"populated")-SUMIFS(History_Q!$D$2:$D$1000,History_Q!$C$2:$C$1000,"capital_expenditures",History_Q!$B$2:$B$1000,"&gt;="&amp;((SUMIFS(History_Q!$B$2:$B$1000,History_Q!$A$2:$A$1000,I$6,History_Q!$C$2:$C$1000,"capital_expenditures"))-3),History_Q!$B$2:$B$1000,"&lt;="&amp;(SUMIFS(History_Q!$B$2:$B$1000,History_Q!$A$2:$A$1000,I$6,History_Q!$C$2:$C$1000,"capital_expenditures")),History_Q!$E$2:$E$1000,"$m",History_Q!$G$2:$G$1000,"populated"))-(SUMIFS(History_Q!$D$2:$D$1000,History_Q!$C$2:$C$1000,"operating_cash_flow",History_Q!$B$2:$B$1000,"&gt;="&amp;((SUMIFS(History_Q!$B$2:$B$1000,History_Q!$A$2:$A$1000,I$6,History_Q!$C$2:$C$1000,"operating_cash_flow")-4)-3),History_Q!$B$2:$B$1000,"&lt;="&amp;(SUMIFS(History_Q!$B$2:$B$1000,History_Q!$A$2:$A$1000,I$6,History_Q!$C$2:$C$1000,"operating_cash_flow")-4),History_Q!$E$2:$E$1000,"$m",History_Q!$G$2:$G$1000,"populated")-SUMIFS(History_Q!$D$2:$D$1000,History_Q!$C$2:$C$1000,"capital_expenditures",History_Q!$B$2:$B$1000,"&gt;="&amp;((SUMIFS(History_Q!$B$2:$B$1000,History_Q!$A$2:$A$1000,I$6,History_Q!$C$2:$C$1000,"capital_expenditures")-4)-3),History_Q!$B$2:$B$1000,"&lt;="&amp;(SUMIFS(History_Q!$B$2:$B$1000,History_Q!$A$2:$A$1000,I$6,History_Q!$C$2:$C$1000,"capital_expenditures")-4),History_Q!$E$2:$E$1000,"$m",History_Q!$G$2:$G$1000,"populated")))</f>
        <v/>
      </c>
      <c r="J50" s="450">
        <f>IF(OR(J$6="",COUNTIFS(History_Q!$C$2:$C$1000,"operating_cash_flow",History_Q!$B$2:$B$1000,"&gt;="&amp;((SUMIFS(History_Q!$B$2:$B$1000,History_Q!$A$2:$A$1000,J$6,History_Q!$C$2:$C$1000,"operating_cash_flow"))-3),History_Q!$B$2:$B$1000,"&lt;="&amp;(SUMIFS(History_Q!$B$2:$B$1000,History_Q!$A$2:$A$1000,J$6,History_Q!$C$2:$C$1000,"operating_cash_flow")),History_Q!$E$2:$E$1000,"$m",History_Q!$G$2:$G$1000,"populated")&lt;&gt;4,_xlfn.MAXIFS(History_Q!$B$2:$B$1000,History_Q!$C$2:$C$1000,"operating_cash_flow",History_Q!$B$2:$B$1000,"&gt;="&amp;((SUMIFS(History_Q!$B$2:$B$1000,History_Q!$A$2:$A$1000,J$6,History_Q!$C$2:$C$1000,"operating_cash_flow"))-3),History_Q!$B$2:$B$1000,"&lt;="&amp;(SUMIFS(History_Q!$B$2:$B$1000,History_Q!$A$2:$A$1000,J$6,History_Q!$C$2:$C$1000,"operating_cash_flow")),History_Q!$E$2:$E$1000,"$m",History_Q!$G$2:$G$1000,"populated")-_xlfn.MINIFS(History_Q!$B$2:$B$1000,History_Q!$C$2:$C$1000,"operating_cash_flow",History_Q!$B$2:$B$1000,"&gt;="&amp;((SUMIFS(History_Q!$B$2:$B$1000,History_Q!$A$2:$A$1000,J$6,History_Q!$C$2:$C$1000,"operating_cash_flow"))-3),History_Q!$B$2:$B$1000,"&lt;="&amp;(SUMIFS(History_Q!$B$2:$B$1000,History_Q!$A$2:$A$1000,J$6,History_Q!$C$2:$C$1000,"operating_cash_flow")),History_Q!$E$2:$E$1000,"$m",History_Q!$G$2:$G$1000,"populated")&lt;&gt;3,COUNTIFS(History_Q!$C$2:$C$1000,"capital_expenditures",History_Q!$B$2:$B$1000,"&gt;="&amp;((SUMIFS(History_Q!$B$2:$B$1000,History_Q!$A$2:$A$1000,J$6,History_Q!$C$2:$C$1000,"capital_expenditures"))-3),History_Q!$B$2:$B$1000,"&lt;="&amp;(SUMIFS(History_Q!$B$2:$B$1000,History_Q!$A$2:$A$1000,J$6,History_Q!$C$2:$C$1000,"capital_expenditures")),History_Q!$E$2:$E$1000,"$m",History_Q!$G$2:$G$1000,"populated")&lt;&gt;4,_xlfn.MAXIFS(History_Q!$B$2:$B$1000,History_Q!$C$2:$C$1000,"capital_expenditures",History_Q!$B$2:$B$1000,"&gt;="&amp;((SUMIFS(History_Q!$B$2:$B$1000,History_Q!$A$2:$A$1000,J$6,History_Q!$C$2:$C$1000,"capital_expenditures"))-3),History_Q!$B$2:$B$1000,"&lt;="&amp;(SUMIFS(History_Q!$B$2:$B$1000,History_Q!$A$2:$A$1000,J$6,History_Q!$C$2:$C$1000,"capital_expenditures")),History_Q!$E$2:$E$1000,"$m",History_Q!$G$2:$G$1000,"populated")-_xlfn.MINIFS(History_Q!$B$2:$B$1000,History_Q!$C$2:$C$1000,"capital_expenditures",History_Q!$B$2:$B$1000,"&gt;="&amp;((SUMIFS(History_Q!$B$2:$B$1000,History_Q!$A$2:$A$1000,J$6,History_Q!$C$2:$C$1000,"capital_expenditures"))-3),History_Q!$B$2:$B$1000,"&lt;="&amp;(SUMIFS(History_Q!$B$2:$B$1000,History_Q!$A$2:$A$1000,J$6,History_Q!$C$2:$C$1000,"capital_expenditures")),History_Q!$E$2:$E$1000,"$m",History_Q!$G$2:$G$1000,"populated")&lt;&gt;3,COUNTIFS(History_Q!$C$2:$C$1000,"operating_cash_flow",History_Q!$B$2:$B$1000,"&gt;="&amp;((SUMIFS(History_Q!$B$2:$B$1000,History_Q!$A$2:$A$1000,J$6,History_Q!$C$2:$C$1000,"operating_cash_flow")-4)-3),History_Q!$B$2:$B$1000,"&lt;="&amp;(SUMIFS(History_Q!$B$2:$B$1000,History_Q!$A$2:$A$1000,J$6,History_Q!$C$2:$C$1000,"operating_cash_flow")-4),History_Q!$E$2:$E$1000,"$m",History_Q!$G$2:$G$1000,"populated")&lt;&gt;4,_xlfn.MAXIFS(History_Q!$B$2:$B$1000,History_Q!$C$2:$C$1000,"operating_cash_flow",History_Q!$B$2:$B$1000,"&gt;="&amp;((SUMIFS(History_Q!$B$2:$B$1000,History_Q!$A$2:$A$1000,J$6,History_Q!$C$2:$C$1000,"operating_cash_flow")-4)-3),History_Q!$B$2:$B$1000,"&lt;="&amp;(SUMIFS(History_Q!$B$2:$B$1000,History_Q!$A$2:$A$1000,J$6,History_Q!$C$2:$C$1000,"operating_cash_flow")-4),History_Q!$E$2:$E$1000,"$m",History_Q!$G$2:$G$1000,"populated")-_xlfn.MINIFS(History_Q!$B$2:$B$1000,History_Q!$C$2:$C$1000,"operating_cash_flow",History_Q!$B$2:$B$1000,"&gt;="&amp;((SUMIFS(History_Q!$B$2:$B$1000,History_Q!$A$2:$A$1000,J$6,History_Q!$C$2:$C$1000,"operating_cash_flow")-4)-3),History_Q!$B$2:$B$1000,"&lt;="&amp;(SUMIFS(History_Q!$B$2:$B$1000,History_Q!$A$2:$A$1000,J$6,History_Q!$C$2:$C$1000,"operating_cash_flow")-4),History_Q!$E$2:$E$1000,"$m",History_Q!$G$2:$G$1000,"populated")&lt;&gt;3,COUNTIFS(History_Q!$C$2:$C$1000,"capital_expenditures",History_Q!$B$2:$B$1000,"&gt;="&amp;((SUMIFS(History_Q!$B$2:$B$1000,History_Q!$A$2:$A$1000,J$6,History_Q!$C$2:$C$1000,"capital_expenditures")-4)-3),History_Q!$B$2:$B$1000,"&lt;="&amp;(SUMIFS(History_Q!$B$2:$B$1000,History_Q!$A$2:$A$1000,J$6,History_Q!$C$2:$C$1000,"capital_expenditures")-4),History_Q!$E$2:$E$1000,"$m",History_Q!$G$2:$G$1000,"populated")&lt;&gt;4,_xlfn.MAXIFS(History_Q!$B$2:$B$1000,History_Q!$C$2:$C$1000,"capital_expenditures",History_Q!$B$2:$B$1000,"&gt;="&amp;((SUMIFS(History_Q!$B$2:$B$1000,History_Q!$A$2:$A$1000,J$6,History_Q!$C$2:$C$1000,"capital_expenditures")-4)-3),History_Q!$B$2:$B$1000,"&lt;="&amp;(SUMIFS(History_Q!$B$2:$B$1000,History_Q!$A$2:$A$1000,J$6,History_Q!$C$2:$C$1000,"capital_expenditures")-4),History_Q!$E$2:$E$1000,"$m",History_Q!$G$2:$G$1000,"populated")-_xlfn.MINIFS(History_Q!$B$2:$B$1000,History_Q!$C$2:$C$1000,"capital_expenditures",History_Q!$B$2:$B$1000,"&gt;="&amp;((SUMIFS(History_Q!$B$2:$B$1000,History_Q!$A$2:$A$1000,J$6,History_Q!$C$2:$C$1000,"capital_expenditures")-4)-3),History_Q!$B$2:$B$1000,"&lt;="&amp;(SUMIFS(History_Q!$B$2:$B$1000,History_Q!$A$2:$A$1000,J$6,History_Q!$C$2:$C$1000,"capital_expenditures")-4),History_Q!$E$2:$E$1000,"$m",History_Q!$G$2:$G$1000,"populated")&lt;&gt;3),"",(SUMIFS(History_Q!$D$2:$D$1000,History_Q!$C$2:$C$1000,"operating_cash_flow",History_Q!$B$2:$B$1000,"&gt;="&amp;((SUMIFS(History_Q!$B$2:$B$1000,History_Q!$A$2:$A$1000,J$6,History_Q!$C$2:$C$1000,"operating_cash_flow"))-3),History_Q!$B$2:$B$1000,"&lt;="&amp;(SUMIFS(History_Q!$B$2:$B$1000,History_Q!$A$2:$A$1000,J$6,History_Q!$C$2:$C$1000,"operating_cash_flow")),History_Q!$E$2:$E$1000,"$m",History_Q!$G$2:$G$1000,"populated")-SUMIFS(History_Q!$D$2:$D$1000,History_Q!$C$2:$C$1000,"capital_expenditures",History_Q!$B$2:$B$1000,"&gt;="&amp;((SUMIFS(History_Q!$B$2:$B$1000,History_Q!$A$2:$A$1000,J$6,History_Q!$C$2:$C$1000,"capital_expenditures"))-3),History_Q!$B$2:$B$1000,"&lt;="&amp;(SUMIFS(History_Q!$B$2:$B$1000,History_Q!$A$2:$A$1000,J$6,History_Q!$C$2:$C$1000,"capital_expenditures")),History_Q!$E$2:$E$1000,"$m",History_Q!$G$2:$G$1000,"populated"))-(SUMIFS(History_Q!$D$2:$D$1000,History_Q!$C$2:$C$1000,"operating_cash_flow",History_Q!$B$2:$B$1000,"&gt;="&amp;((SUMIFS(History_Q!$B$2:$B$1000,History_Q!$A$2:$A$1000,J$6,History_Q!$C$2:$C$1000,"operating_cash_flow")-4)-3),History_Q!$B$2:$B$1000,"&lt;="&amp;(SUMIFS(History_Q!$B$2:$B$1000,History_Q!$A$2:$A$1000,J$6,History_Q!$C$2:$C$1000,"operating_cash_flow")-4),History_Q!$E$2:$E$1000,"$m",History_Q!$G$2:$G$1000,"populated")-SUMIFS(History_Q!$D$2:$D$1000,History_Q!$C$2:$C$1000,"capital_expenditures",History_Q!$B$2:$B$1000,"&gt;="&amp;((SUMIFS(History_Q!$B$2:$B$1000,History_Q!$A$2:$A$1000,J$6,History_Q!$C$2:$C$1000,"capital_expenditures")-4)-3),History_Q!$B$2:$B$1000,"&lt;="&amp;(SUMIFS(History_Q!$B$2:$B$1000,History_Q!$A$2:$A$1000,J$6,History_Q!$C$2:$C$1000,"capital_expenditures")-4),History_Q!$E$2:$E$1000,"$m",History_Q!$G$2:$G$1000,"populated")))</f>
        <v/>
      </c>
      <c r="K50" s="450">
        <f>IF(OR(K$6="",COUNTIFS(History_Q!$C$2:$C$1000,"operating_cash_flow",History_Q!$B$2:$B$1000,"&gt;="&amp;((SUMIFS(History_Q!$B$2:$B$1000,History_Q!$A$2:$A$1000,K$6,History_Q!$C$2:$C$1000,"operating_cash_flow"))-3),History_Q!$B$2:$B$1000,"&lt;="&amp;(SUMIFS(History_Q!$B$2:$B$1000,History_Q!$A$2:$A$1000,K$6,History_Q!$C$2:$C$1000,"operating_cash_flow")),History_Q!$E$2:$E$1000,"$m",History_Q!$G$2:$G$1000,"populated")&lt;&gt;4,_xlfn.MAXIFS(History_Q!$B$2:$B$1000,History_Q!$C$2:$C$1000,"operating_cash_flow",History_Q!$B$2:$B$1000,"&gt;="&amp;((SUMIFS(History_Q!$B$2:$B$1000,History_Q!$A$2:$A$1000,K$6,History_Q!$C$2:$C$1000,"operating_cash_flow"))-3),History_Q!$B$2:$B$1000,"&lt;="&amp;(SUMIFS(History_Q!$B$2:$B$1000,History_Q!$A$2:$A$1000,K$6,History_Q!$C$2:$C$1000,"operating_cash_flow")),History_Q!$E$2:$E$1000,"$m",History_Q!$G$2:$G$1000,"populated")-_xlfn.MINIFS(History_Q!$B$2:$B$1000,History_Q!$C$2:$C$1000,"operating_cash_flow",History_Q!$B$2:$B$1000,"&gt;="&amp;((SUMIFS(History_Q!$B$2:$B$1000,History_Q!$A$2:$A$1000,K$6,History_Q!$C$2:$C$1000,"operating_cash_flow"))-3),History_Q!$B$2:$B$1000,"&lt;="&amp;(SUMIFS(History_Q!$B$2:$B$1000,History_Q!$A$2:$A$1000,K$6,History_Q!$C$2:$C$1000,"operating_cash_flow")),History_Q!$E$2:$E$1000,"$m",History_Q!$G$2:$G$1000,"populated")&lt;&gt;3,COUNTIFS(History_Q!$C$2:$C$1000,"capital_expenditures",History_Q!$B$2:$B$1000,"&gt;="&amp;((SUMIFS(History_Q!$B$2:$B$1000,History_Q!$A$2:$A$1000,K$6,History_Q!$C$2:$C$1000,"capital_expenditures"))-3),History_Q!$B$2:$B$1000,"&lt;="&amp;(SUMIFS(History_Q!$B$2:$B$1000,History_Q!$A$2:$A$1000,K$6,History_Q!$C$2:$C$1000,"capital_expenditures")),History_Q!$E$2:$E$1000,"$m",History_Q!$G$2:$G$1000,"populated")&lt;&gt;4,_xlfn.MAXIFS(History_Q!$B$2:$B$1000,History_Q!$C$2:$C$1000,"capital_expenditures",History_Q!$B$2:$B$1000,"&gt;="&amp;((SUMIFS(History_Q!$B$2:$B$1000,History_Q!$A$2:$A$1000,K$6,History_Q!$C$2:$C$1000,"capital_expenditures"))-3),History_Q!$B$2:$B$1000,"&lt;="&amp;(SUMIFS(History_Q!$B$2:$B$1000,History_Q!$A$2:$A$1000,K$6,History_Q!$C$2:$C$1000,"capital_expenditures")),History_Q!$E$2:$E$1000,"$m",History_Q!$G$2:$G$1000,"populated")-_xlfn.MINIFS(History_Q!$B$2:$B$1000,History_Q!$C$2:$C$1000,"capital_expenditures",History_Q!$B$2:$B$1000,"&gt;="&amp;((SUMIFS(History_Q!$B$2:$B$1000,History_Q!$A$2:$A$1000,K$6,History_Q!$C$2:$C$1000,"capital_expenditures"))-3),History_Q!$B$2:$B$1000,"&lt;="&amp;(SUMIFS(History_Q!$B$2:$B$1000,History_Q!$A$2:$A$1000,K$6,History_Q!$C$2:$C$1000,"capital_expenditures")),History_Q!$E$2:$E$1000,"$m",History_Q!$G$2:$G$1000,"populated")&lt;&gt;3,COUNTIFS(History_Q!$C$2:$C$1000,"operating_cash_flow",History_Q!$B$2:$B$1000,"&gt;="&amp;((SUMIFS(History_Q!$B$2:$B$1000,History_Q!$A$2:$A$1000,K$6,History_Q!$C$2:$C$1000,"operating_cash_flow")-4)-3),History_Q!$B$2:$B$1000,"&lt;="&amp;(SUMIFS(History_Q!$B$2:$B$1000,History_Q!$A$2:$A$1000,K$6,History_Q!$C$2:$C$1000,"operating_cash_flow")-4),History_Q!$E$2:$E$1000,"$m",History_Q!$G$2:$G$1000,"populated")&lt;&gt;4,_xlfn.MAXIFS(History_Q!$B$2:$B$1000,History_Q!$C$2:$C$1000,"operating_cash_flow",History_Q!$B$2:$B$1000,"&gt;="&amp;((SUMIFS(History_Q!$B$2:$B$1000,History_Q!$A$2:$A$1000,K$6,History_Q!$C$2:$C$1000,"operating_cash_flow")-4)-3),History_Q!$B$2:$B$1000,"&lt;="&amp;(SUMIFS(History_Q!$B$2:$B$1000,History_Q!$A$2:$A$1000,K$6,History_Q!$C$2:$C$1000,"operating_cash_flow")-4),History_Q!$E$2:$E$1000,"$m",History_Q!$G$2:$G$1000,"populated")-_xlfn.MINIFS(History_Q!$B$2:$B$1000,History_Q!$C$2:$C$1000,"operating_cash_flow",History_Q!$B$2:$B$1000,"&gt;="&amp;((SUMIFS(History_Q!$B$2:$B$1000,History_Q!$A$2:$A$1000,K$6,History_Q!$C$2:$C$1000,"operating_cash_flow")-4)-3),History_Q!$B$2:$B$1000,"&lt;="&amp;(SUMIFS(History_Q!$B$2:$B$1000,History_Q!$A$2:$A$1000,K$6,History_Q!$C$2:$C$1000,"operating_cash_flow")-4),History_Q!$E$2:$E$1000,"$m",History_Q!$G$2:$G$1000,"populated")&lt;&gt;3,COUNTIFS(History_Q!$C$2:$C$1000,"capital_expenditures",History_Q!$B$2:$B$1000,"&gt;="&amp;((SUMIFS(History_Q!$B$2:$B$1000,History_Q!$A$2:$A$1000,K$6,History_Q!$C$2:$C$1000,"capital_expenditures")-4)-3),History_Q!$B$2:$B$1000,"&lt;="&amp;(SUMIFS(History_Q!$B$2:$B$1000,History_Q!$A$2:$A$1000,K$6,History_Q!$C$2:$C$1000,"capital_expenditures")-4),History_Q!$E$2:$E$1000,"$m",History_Q!$G$2:$G$1000,"populated")&lt;&gt;4,_xlfn.MAXIFS(History_Q!$B$2:$B$1000,History_Q!$C$2:$C$1000,"capital_expenditures",History_Q!$B$2:$B$1000,"&gt;="&amp;((SUMIFS(History_Q!$B$2:$B$1000,History_Q!$A$2:$A$1000,K$6,History_Q!$C$2:$C$1000,"capital_expenditures")-4)-3),History_Q!$B$2:$B$1000,"&lt;="&amp;(SUMIFS(History_Q!$B$2:$B$1000,History_Q!$A$2:$A$1000,K$6,History_Q!$C$2:$C$1000,"capital_expenditures")-4),History_Q!$E$2:$E$1000,"$m",History_Q!$G$2:$G$1000,"populated")-_xlfn.MINIFS(History_Q!$B$2:$B$1000,History_Q!$C$2:$C$1000,"capital_expenditures",History_Q!$B$2:$B$1000,"&gt;="&amp;((SUMIFS(History_Q!$B$2:$B$1000,History_Q!$A$2:$A$1000,K$6,History_Q!$C$2:$C$1000,"capital_expenditures")-4)-3),History_Q!$B$2:$B$1000,"&lt;="&amp;(SUMIFS(History_Q!$B$2:$B$1000,History_Q!$A$2:$A$1000,K$6,History_Q!$C$2:$C$1000,"capital_expenditures")-4),History_Q!$E$2:$E$1000,"$m",History_Q!$G$2:$G$1000,"populated")&lt;&gt;3),"",(SUMIFS(History_Q!$D$2:$D$1000,History_Q!$C$2:$C$1000,"operating_cash_flow",History_Q!$B$2:$B$1000,"&gt;="&amp;((SUMIFS(History_Q!$B$2:$B$1000,History_Q!$A$2:$A$1000,K$6,History_Q!$C$2:$C$1000,"operating_cash_flow"))-3),History_Q!$B$2:$B$1000,"&lt;="&amp;(SUMIFS(History_Q!$B$2:$B$1000,History_Q!$A$2:$A$1000,K$6,History_Q!$C$2:$C$1000,"operating_cash_flow")),History_Q!$E$2:$E$1000,"$m",History_Q!$G$2:$G$1000,"populated")-SUMIFS(History_Q!$D$2:$D$1000,History_Q!$C$2:$C$1000,"capital_expenditures",History_Q!$B$2:$B$1000,"&gt;="&amp;((SUMIFS(History_Q!$B$2:$B$1000,History_Q!$A$2:$A$1000,K$6,History_Q!$C$2:$C$1000,"capital_expenditures"))-3),History_Q!$B$2:$B$1000,"&lt;="&amp;(SUMIFS(History_Q!$B$2:$B$1000,History_Q!$A$2:$A$1000,K$6,History_Q!$C$2:$C$1000,"capital_expenditures")),History_Q!$E$2:$E$1000,"$m",History_Q!$G$2:$G$1000,"populated"))-(SUMIFS(History_Q!$D$2:$D$1000,History_Q!$C$2:$C$1000,"operating_cash_flow",History_Q!$B$2:$B$1000,"&gt;="&amp;((SUMIFS(History_Q!$B$2:$B$1000,History_Q!$A$2:$A$1000,K$6,History_Q!$C$2:$C$1000,"operating_cash_flow")-4)-3),History_Q!$B$2:$B$1000,"&lt;="&amp;(SUMIFS(History_Q!$B$2:$B$1000,History_Q!$A$2:$A$1000,K$6,History_Q!$C$2:$C$1000,"operating_cash_flow")-4),History_Q!$E$2:$E$1000,"$m",History_Q!$G$2:$G$1000,"populated")-SUMIFS(History_Q!$D$2:$D$1000,History_Q!$C$2:$C$1000,"capital_expenditures",History_Q!$B$2:$B$1000,"&gt;="&amp;((SUMIFS(History_Q!$B$2:$B$1000,History_Q!$A$2:$A$1000,K$6,History_Q!$C$2:$C$1000,"capital_expenditures")-4)-3),History_Q!$B$2:$B$1000,"&lt;="&amp;(SUMIFS(History_Q!$B$2:$B$1000,History_Q!$A$2:$A$1000,K$6,History_Q!$C$2:$C$1000,"capital_expenditures")-4),History_Q!$E$2:$E$1000,"$m",History_Q!$G$2:$G$1000,"populated")))</f>
        <v/>
      </c>
      <c r="L50" s="450">
        <f>IF(OR(L$6="",COUNTIFS(History_Q!$C$2:$C$1000,"operating_cash_flow",History_Q!$B$2:$B$1000,"&gt;="&amp;((SUMIFS(History_Q!$B$2:$B$1000,History_Q!$A$2:$A$1000,L$6,History_Q!$C$2:$C$1000,"operating_cash_flow"))-3),History_Q!$B$2:$B$1000,"&lt;="&amp;(SUMIFS(History_Q!$B$2:$B$1000,History_Q!$A$2:$A$1000,L$6,History_Q!$C$2:$C$1000,"operating_cash_flow")),History_Q!$E$2:$E$1000,"$m",History_Q!$G$2:$G$1000,"populated")&lt;&gt;4,_xlfn.MAXIFS(History_Q!$B$2:$B$1000,History_Q!$C$2:$C$1000,"operating_cash_flow",History_Q!$B$2:$B$1000,"&gt;="&amp;((SUMIFS(History_Q!$B$2:$B$1000,History_Q!$A$2:$A$1000,L$6,History_Q!$C$2:$C$1000,"operating_cash_flow"))-3),History_Q!$B$2:$B$1000,"&lt;="&amp;(SUMIFS(History_Q!$B$2:$B$1000,History_Q!$A$2:$A$1000,L$6,History_Q!$C$2:$C$1000,"operating_cash_flow")),History_Q!$E$2:$E$1000,"$m",History_Q!$G$2:$G$1000,"populated")-_xlfn.MINIFS(History_Q!$B$2:$B$1000,History_Q!$C$2:$C$1000,"operating_cash_flow",History_Q!$B$2:$B$1000,"&gt;="&amp;((SUMIFS(History_Q!$B$2:$B$1000,History_Q!$A$2:$A$1000,L$6,History_Q!$C$2:$C$1000,"operating_cash_flow"))-3),History_Q!$B$2:$B$1000,"&lt;="&amp;(SUMIFS(History_Q!$B$2:$B$1000,History_Q!$A$2:$A$1000,L$6,History_Q!$C$2:$C$1000,"operating_cash_flow")),History_Q!$E$2:$E$1000,"$m",History_Q!$G$2:$G$1000,"populated")&lt;&gt;3,COUNTIFS(History_Q!$C$2:$C$1000,"capital_expenditures",History_Q!$B$2:$B$1000,"&gt;="&amp;((SUMIFS(History_Q!$B$2:$B$1000,History_Q!$A$2:$A$1000,L$6,History_Q!$C$2:$C$1000,"capital_expenditures"))-3),History_Q!$B$2:$B$1000,"&lt;="&amp;(SUMIFS(History_Q!$B$2:$B$1000,History_Q!$A$2:$A$1000,L$6,History_Q!$C$2:$C$1000,"capital_expenditures")),History_Q!$E$2:$E$1000,"$m",History_Q!$G$2:$G$1000,"populated")&lt;&gt;4,_xlfn.MAXIFS(History_Q!$B$2:$B$1000,History_Q!$C$2:$C$1000,"capital_expenditures",History_Q!$B$2:$B$1000,"&gt;="&amp;((SUMIFS(History_Q!$B$2:$B$1000,History_Q!$A$2:$A$1000,L$6,History_Q!$C$2:$C$1000,"capital_expenditures"))-3),History_Q!$B$2:$B$1000,"&lt;="&amp;(SUMIFS(History_Q!$B$2:$B$1000,History_Q!$A$2:$A$1000,L$6,History_Q!$C$2:$C$1000,"capital_expenditures")),History_Q!$E$2:$E$1000,"$m",History_Q!$G$2:$G$1000,"populated")-_xlfn.MINIFS(History_Q!$B$2:$B$1000,History_Q!$C$2:$C$1000,"capital_expenditures",History_Q!$B$2:$B$1000,"&gt;="&amp;((SUMIFS(History_Q!$B$2:$B$1000,History_Q!$A$2:$A$1000,L$6,History_Q!$C$2:$C$1000,"capital_expenditures"))-3),History_Q!$B$2:$B$1000,"&lt;="&amp;(SUMIFS(History_Q!$B$2:$B$1000,History_Q!$A$2:$A$1000,L$6,History_Q!$C$2:$C$1000,"capital_expenditures")),History_Q!$E$2:$E$1000,"$m",History_Q!$G$2:$G$1000,"populated")&lt;&gt;3,COUNTIFS(History_Q!$C$2:$C$1000,"operating_cash_flow",History_Q!$B$2:$B$1000,"&gt;="&amp;((SUMIFS(History_Q!$B$2:$B$1000,History_Q!$A$2:$A$1000,L$6,History_Q!$C$2:$C$1000,"operating_cash_flow")-4)-3),History_Q!$B$2:$B$1000,"&lt;="&amp;(SUMIFS(History_Q!$B$2:$B$1000,History_Q!$A$2:$A$1000,L$6,History_Q!$C$2:$C$1000,"operating_cash_flow")-4),History_Q!$E$2:$E$1000,"$m",History_Q!$G$2:$G$1000,"populated")&lt;&gt;4,_xlfn.MAXIFS(History_Q!$B$2:$B$1000,History_Q!$C$2:$C$1000,"operating_cash_flow",History_Q!$B$2:$B$1000,"&gt;="&amp;((SUMIFS(History_Q!$B$2:$B$1000,History_Q!$A$2:$A$1000,L$6,History_Q!$C$2:$C$1000,"operating_cash_flow")-4)-3),History_Q!$B$2:$B$1000,"&lt;="&amp;(SUMIFS(History_Q!$B$2:$B$1000,History_Q!$A$2:$A$1000,L$6,History_Q!$C$2:$C$1000,"operating_cash_flow")-4),History_Q!$E$2:$E$1000,"$m",History_Q!$G$2:$G$1000,"populated")-_xlfn.MINIFS(History_Q!$B$2:$B$1000,History_Q!$C$2:$C$1000,"operating_cash_flow",History_Q!$B$2:$B$1000,"&gt;="&amp;((SUMIFS(History_Q!$B$2:$B$1000,History_Q!$A$2:$A$1000,L$6,History_Q!$C$2:$C$1000,"operating_cash_flow")-4)-3),History_Q!$B$2:$B$1000,"&lt;="&amp;(SUMIFS(History_Q!$B$2:$B$1000,History_Q!$A$2:$A$1000,L$6,History_Q!$C$2:$C$1000,"operating_cash_flow")-4),History_Q!$E$2:$E$1000,"$m",History_Q!$G$2:$G$1000,"populated")&lt;&gt;3,COUNTIFS(History_Q!$C$2:$C$1000,"capital_expenditures",History_Q!$B$2:$B$1000,"&gt;="&amp;((SUMIFS(History_Q!$B$2:$B$1000,History_Q!$A$2:$A$1000,L$6,History_Q!$C$2:$C$1000,"capital_expenditures")-4)-3),History_Q!$B$2:$B$1000,"&lt;="&amp;(SUMIFS(History_Q!$B$2:$B$1000,History_Q!$A$2:$A$1000,L$6,History_Q!$C$2:$C$1000,"capital_expenditures")-4),History_Q!$E$2:$E$1000,"$m",History_Q!$G$2:$G$1000,"populated")&lt;&gt;4,_xlfn.MAXIFS(History_Q!$B$2:$B$1000,History_Q!$C$2:$C$1000,"capital_expenditures",History_Q!$B$2:$B$1000,"&gt;="&amp;((SUMIFS(History_Q!$B$2:$B$1000,History_Q!$A$2:$A$1000,L$6,History_Q!$C$2:$C$1000,"capital_expenditures")-4)-3),History_Q!$B$2:$B$1000,"&lt;="&amp;(SUMIFS(History_Q!$B$2:$B$1000,History_Q!$A$2:$A$1000,L$6,History_Q!$C$2:$C$1000,"capital_expenditures")-4),History_Q!$E$2:$E$1000,"$m",History_Q!$G$2:$G$1000,"populated")-_xlfn.MINIFS(History_Q!$B$2:$B$1000,History_Q!$C$2:$C$1000,"capital_expenditures",History_Q!$B$2:$B$1000,"&gt;="&amp;((SUMIFS(History_Q!$B$2:$B$1000,History_Q!$A$2:$A$1000,L$6,History_Q!$C$2:$C$1000,"capital_expenditures")-4)-3),History_Q!$B$2:$B$1000,"&lt;="&amp;(SUMIFS(History_Q!$B$2:$B$1000,History_Q!$A$2:$A$1000,L$6,History_Q!$C$2:$C$1000,"capital_expenditures")-4),History_Q!$E$2:$E$1000,"$m",History_Q!$G$2:$G$1000,"populated")&lt;&gt;3),"",(SUMIFS(History_Q!$D$2:$D$1000,History_Q!$C$2:$C$1000,"operating_cash_flow",History_Q!$B$2:$B$1000,"&gt;="&amp;((SUMIFS(History_Q!$B$2:$B$1000,History_Q!$A$2:$A$1000,L$6,History_Q!$C$2:$C$1000,"operating_cash_flow"))-3),History_Q!$B$2:$B$1000,"&lt;="&amp;(SUMIFS(History_Q!$B$2:$B$1000,History_Q!$A$2:$A$1000,L$6,History_Q!$C$2:$C$1000,"operating_cash_flow")),History_Q!$E$2:$E$1000,"$m",History_Q!$G$2:$G$1000,"populated")-SUMIFS(History_Q!$D$2:$D$1000,History_Q!$C$2:$C$1000,"capital_expenditures",History_Q!$B$2:$B$1000,"&gt;="&amp;((SUMIFS(History_Q!$B$2:$B$1000,History_Q!$A$2:$A$1000,L$6,History_Q!$C$2:$C$1000,"capital_expenditures"))-3),History_Q!$B$2:$B$1000,"&lt;="&amp;(SUMIFS(History_Q!$B$2:$B$1000,History_Q!$A$2:$A$1000,L$6,History_Q!$C$2:$C$1000,"capital_expenditures")),History_Q!$E$2:$E$1000,"$m",History_Q!$G$2:$G$1000,"populated"))-(SUMIFS(History_Q!$D$2:$D$1000,History_Q!$C$2:$C$1000,"operating_cash_flow",History_Q!$B$2:$B$1000,"&gt;="&amp;((SUMIFS(History_Q!$B$2:$B$1000,History_Q!$A$2:$A$1000,L$6,History_Q!$C$2:$C$1000,"operating_cash_flow")-4)-3),History_Q!$B$2:$B$1000,"&lt;="&amp;(SUMIFS(History_Q!$B$2:$B$1000,History_Q!$A$2:$A$1000,L$6,History_Q!$C$2:$C$1000,"operating_cash_flow")-4),History_Q!$E$2:$E$1000,"$m",History_Q!$G$2:$G$1000,"populated")-SUMIFS(History_Q!$D$2:$D$1000,History_Q!$C$2:$C$1000,"capital_expenditures",History_Q!$B$2:$B$1000,"&gt;="&amp;((SUMIFS(History_Q!$B$2:$B$1000,History_Q!$A$2:$A$1000,L$6,History_Q!$C$2:$C$1000,"capital_expenditures")-4)-3),History_Q!$B$2:$B$1000,"&lt;="&amp;(SUMIFS(History_Q!$B$2:$B$1000,History_Q!$A$2:$A$1000,L$6,History_Q!$C$2:$C$1000,"capital_expenditures")-4),History_Q!$E$2:$E$1000,"$m",History_Q!$G$2:$G$1000,"populated")))</f>
        <v/>
      </c>
      <c r="M50" s="450">
        <f>IF(OR(M$6="",COUNTIFS(History_Q!$C$2:$C$1000,"operating_cash_flow",History_Q!$B$2:$B$1000,"&gt;="&amp;((SUMIFS(History_Q!$B$2:$B$1000,History_Q!$A$2:$A$1000,M$6,History_Q!$C$2:$C$1000,"operating_cash_flow"))-3),History_Q!$B$2:$B$1000,"&lt;="&amp;(SUMIFS(History_Q!$B$2:$B$1000,History_Q!$A$2:$A$1000,M$6,History_Q!$C$2:$C$1000,"operating_cash_flow")),History_Q!$E$2:$E$1000,"$m",History_Q!$G$2:$G$1000,"populated")&lt;&gt;4,_xlfn.MAXIFS(History_Q!$B$2:$B$1000,History_Q!$C$2:$C$1000,"operating_cash_flow",History_Q!$B$2:$B$1000,"&gt;="&amp;((SUMIFS(History_Q!$B$2:$B$1000,History_Q!$A$2:$A$1000,M$6,History_Q!$C$2:$C$1000,"operating_cash_flow"))-3),History_Q!$B$2:$B$1000,"&lt;="&amp;(SUMIFS(History_Q!$B$2:$B$1000,History_Q!$A$2:$A$1000,M$6,History_Q!$C$2:$C$1000,"operating_cash_flow")),History_Q!$E$2:$E$1000,"$m",History_Q!$G$2:$G$1000,"populated")-_xlfn.MINIFS(History_Q!$B$2:$B$1000,History_Q!$C$2:$C$1000,"operating_cash_flow",History_Q!$B$2:$B$1000,"&gt;="&amp;((SUMIFS(History_Q!$B$2:$B$1000,History_Q!$A$2:$A$1000,M$6,History_Q!$C$2:$C$1000,"operating_cash_flow"))-3),History_Q!$B$2:$B$1000,"&lt;="&amp;(SUMIFS(History_Q!$B$2:$B$1000,History_Q!$A$2:$A$1000,M$6,History_Q!$C$2:$C$1000,"operating_cash_flow")),History_Q!$E$2:$E$1000,"$m",History_Q!$G$2:$G$1000,"populated")&lt;&gt;3,COUNTIFS(History_Q!$C$2:$C$1000,"capital_expenditures",History_Q!$B$2:$B$1000,"&gt;="&amp;((SUMIFS(History_Q!$B$2:$B$1000,History_Q!$A$2:$A$1000,M$6,History_Q!$C$2:$C$1000,"capital_expenditures"))-3),History_Q!$B$2:$B$1000,"&lt;="&amp;(SUMIFS(History_Q!$B$2:$B$1000,History_Q!$A$2:$A$1000,M$6,History_Q!$C$2:$C$1000,"capital_expenditures")),History_Q!$E$2:$E$1000,"$m",History_Q!$G$2:$G$1000,"populated")&lt;&gt;4,_xlfn.MAXIFS(History_Q!$B$2:$B$1000,History_Q!$C$2:$C$1000,"capital_expenditures",History_Q!$B$2:$B$1000,"&gt;="&amp;((SUMIFS(History_Q!$B$2:$B$1000,History_Q!$A$2:$A$1000,M$6,History_Q!$C$2:$C$1000,"capital_expenditures"))-3),History_Q!$B$2:$B$1000,"&lt;="&amp;(SUMIFS(History_Q!$B$2:$B$1000,History_Q!$A$2:$A$1000,M$6,History_Q!$C$2:$C$1000,"capital_expenditures")),History_Q!$E$2:$E$1000,"$m",History_Q!$G$2:$G$1000,"populated")-_xlfn.MINIFS(History_Q!$B$2:$B$1000,History_Q!$C$2:$C$1000,"capital_expenditures",History_Q!$B$2:$B$1000,"&gt;="&amp;((SUMIFS(History_Q!$B$2:$B$1000,History_Q!$A$2:$A$1000,M$6,History_Q!$C$2:$C$1000,"capital_expenditures"))-3),History_Q!$B$2:$B$1000,"&lt;="&amp;(SUMIFS(History_Q!$B$2:$B$1000,History_Q!$A$2:$A$1000,M$6,History_Q!$C$2:$C$1000,"capital_expenditures")),History_Q!$E$2:$E$1000,"$m",History_Q!$G$2:$G$1000,"populated")&lt;&gt;3,COUNTIFS(History_Q!$C$2:$C$1000,"operating_cash_flow",History_Q!$B$2:$B$1000,"&gt;="&amp;((SUMIFS(History_Q!$B$2:$B$1000,History_Q!$A$2:$A$1000,M$6,History_Q!$C$2:$C$1000,"operating_cash_flow")-4)-3),History_Q!$B$2:$B$1000,"&lt;="&amp;(SUMIFS(History_Q!$B$2:$B$1000,History_Q!$A$2:$A$1000,M$6,History_Q!$C$2:$C$1000,"operating_cash_flow")-4),History_Q!$E$2:$E$1000,"$m",History_Q!$G$2:$G$1000,"populated")&lt;&gt;4,_xlfn.MAXIFS(History_Q!$B$2:$B$1000,History_Q!$C$2:$C$1000,"operating_cash_flow",History_Q!$B$2:$B$1000,"&gt;="&amp;((SUMIFS(History_Q!$B$2:$B$1000,History_Q!$A$2:$A$1000,M$6,History_Q!$C$2:$C$1000,"operating_cash_flow")-4)-3),History_Q!$B$2:$B$1000,"&lt;="&amp;(SUMIFS(History_Q!$B$2:$B$1000,History_Q!$A$2:$A$1000,M$6,History_Q!$C$2:$C$1000,"operating_cash_flow")-4),History_Q!$E$2:$E$1000,"$m",History_Q!$G$2:$G$1000,"populated")-_xlfn.MINIFS(History_Q!$B$2:$B$1000,History_Q!$C$2:$C$1000,"operating_cash_flow",History_Q!$B$2:$B$1000,"&gt;="&amp;((SUMIFS(History_Q!$B$2:$B$1000,History_Q!$A$2:$A$1000,M$6,History_Q!$C$2:$C$1000,"operating_cash_flow")-4)-3),History_Q!$B$2:$B$1000,"&lt;="&amp;(SUMIFS(History_Q!$B$2:$B$1000,History_Q!$A$2:$A$1000,M$6,History_Q!$C$2:$C$1000,"operating_cash_flow")-4),History_Q!$E$2:$E$1000,"$m",History_Q!$G$2:$G$1000,"populated")&lt;&gt;3,COUNTIFS(History_Q!$C$2:$C$1000,"capital_expenditures",History_Q!$B$2:$B$1000,"&gt;="&amp;((SUMIFS(History_Q!$B$2:$B$1000,History_Q!$A$2:$A$1000,M$6,History_Q!$C$2:$C$1000,"capital_expenditures")-4)-3),History_Q!$B$2:$B$1000,"&lt;="&amp;(SUMIFS(History_Q!$B$2:$B$1000,History_Q!$A$2:$A$1000,M$6,History_Q!$C$2:$C$1000,"capital_expenditures")-4),History_Q!$E$2:$E$1000,"$m",History_Q!$G$2:$G$1000,"populated")&lt;&gt;4,_xlfn.MAXIFS(History_Q!$B$2:$B$1000,History_Q!$C$2:$C$1000,"capital_expenditures",History_Q!$B$2:$B$1000,"&gt;="&amp;((SUMIFS(History_Q!$B$2:$B$1000,History_Q!$A$2:$A$1000,M$6,History_Q!$C$2:$C$1000,"capital_expenditures")-4)-3),History_Q!$B$2:$B$1000,"&lt;="&amp;(SUMIFS(History_Q!$B$2:$B$1000,History_Q!$A$2:$A$1000,M$6,History_Q!$C$2:$C$1000,"capital_expenditures")-4),History_Q!$E$2:$E$1000,"$m",History_Q!$G$2:$G$1000,"populated")-_xlfn.MINIFS(History_Q!$B$2:$B$1000,History_Q!$C$2:$C$1000,"capital_expenditures",History_Q!$B$2:$B$1000,"&gt;="&amp;((SUMIFS(History_Q!$B$2:$B$1000,History_Q!$A$2:$A$1000,M$6,History_Q!$C$2:$C$1000,"capital_expenditures")-4)-3),History_Q!$B$2:$B$1000,"&lt;="&amp;(SUMIFS(History_Q!$B$2:$B$1000,History_Q!$A$2:$A$1000,M$6,History_Q!$C$2:$C$1000,"capital_expenditures")-4),History_Q!$E$2:$E$1000,"$m",History_Q!$G$2:$G$1000,"populated")&lt;&gt;3),"",(SUMIFS(History_Q!$D$2:$D$1000,History_Q!$C$2:$C$1000,"operating_cash_flow",History_Q!$B$2:$B$1000,"&gt;="&amp;((SUMIFS(History_Q!$B$2:$B$1000,History_Q!$A$2:$A$1000,M$6,History_Q!$C$2:$C$1000,"operating_cash_flow"))-3),History_Q!$B$2:$B$1000,"&lt;="&amp;(SUMIFS(History_Q!$B$2:$B$1000,History_Q!$A$2:$A$1000,M$6,History_Q!$C$2:$C$1000,"operating_cash_flow")),History_Q!$E$2:$E$1000,"$m",History_Q!$G$2:$G$1000,"populated")-SUMIFS(History_Q!$D$2:$D$1000,History_Q!$C$2:$C$1000,"capital_expenditures",History_Q!$B$2:$B$1000,"&gt;="&amp;((SUMIFS(History_Q!$B$2:$B$1000,History_Q!$A$2:$A$1000,M$6,History_Q!$C$2:$C$1000,"capital_expenditures"))-3),History_Q!$B$2:$B$1000,"&lt;="&amp;(SUMIFS(History_Q!$B$2:$B$1000,History_Q!$A$2:$A$1000,M$6,History_Q!$C$2:$C$1000,"capital_expenditures")),History_Q!$E$2:$E$1000,"$m",History_Q!$G$2:$G$1000,"populated"))-(SUMIFS(History_Q!$D$2:$D$1000,History_Q!$C$2:$C$1000,"operating_cash_flow",History_Q!$B$2:$B$1000,"&gt;="&amp;((SUMIFS(History_Q!$B$2:$B$1000,History_Q!$A$2:$A$1000,M$6,History_Q!$C$2:$C$1000,"operating_cash_flow")-4)-3),History_Q!$B$2:$B$1000,"&lt;="&amp;(SUMIFS(History_Q!$B$2:$B$1000,History_Q!$A$2:$A$1000,M$6,History_Q!$C$2:$C$1000,"operating_cash_flow")-4),History_Q!$E$2:$E$1000,"$m",History_Q!$G$2:$G$1000,"populated")-SUMIFS(History_Q!$D$2:$D$1000,History_Q!$C$2:$C$1000,"capital_expenditures",History_Q!$B$2:$B$1000,"&gt;="&amp;((SUMIFS(History_Q!$B$2:$B$1000,History_Q!$A$2:$A$1000,M$6,History_Q!$C$2:$C$1000,"capital_expenditures")-4)-3),History_Q!$B$2:$B$1000,"&lt;="&amp;(SUMIFS(History_Q!$B$2:$B$1000,History_Q!$A$2:$A$1000,M$6,History_Q!$C$2:$C$1000,"capital_expenditures")-4),History_Q!$E$2:$E$1000,"$m",History_Q!$G$2:$G$1000,"populated")))</f>
        <v/>
      </c>
      <c r="N50" s="22" t="n"/>
      <c r="O50" s="448" t="inlineStr">
        <is>
          <t>Item</t>
        </is>
      </c>
      <c r="P50" s="46" t="n"/>
      <c r="Q50" s="449" t="inlineStr">
        <is>
          <t>Evidence</t>
        </is>
      </c>
      <c r="X50" s="448" t="inlineStr">
        <is>
          <t>Review state</t>
        </is>
      </c>
      <c r="Y50" s="46" t="n"/>
      <c r="Z50" s="449" t="inlineStr">
        <is>
          <t>Source key</t>
        </is>
      </c>
      <c r="AD50" s="22" t="n"/>
      <c r="AE50" s="22" t="n"/>
      <c r="AF50" s="22" t="n"/>
      <c r="AG50" s="22" t="n"/>
      <c r="AH50" s="22" t="n"/>
      <c r="AI50" s="22" t="n"/>
    </row>
    <row r="51" ht="19.5" customHeight="1">
      <c r="A51" s="96" t="inlineStr">
        <is>
          <t>Adjusted / derived</t>
        </is>
      </c>
      <c r="B51" s="104" t="n"/>
      <c r="C51" s="104" t="n"/>
      <c r="D51" s="104" t="n"/>
      <c r="E51" s="104" t="n"/>
      <c r="F51" s="104" t="n"/>
      <c r="G51" s="104" t="n"/>
      <c r="H51" s="104" t="n"/>
      <c r="I51" s="104" t="n"/>
      <c r="J51" s="104" t="n"/>
      <c r="K51" s="104" t="n"/>
      <c r="L51" s="104" t="n"/>
      <c r="M51" s="105" t="n"/>
      <c r="N51" s="22" t="n"/>
      <c r="O51" s="52" t="n"/>
      <c r="P51" s="46" t="n"/>
      <c r="X51" s="52" t="n"/>
      <c r="Y51" s="46" t="n"/>
      <c r="AD51" s="22" t="n"/>
      <c r="AE51" s="22" t="n"/>
      <c r="AF51" s="22" t="n"/>
      <c r="AG51" s="22" t="n"/>
      <c r="AH51" s="22" t="n"/>
      <c r="AI51" s="22" t="n"/>
    </row>
    <row r="52" ht="19.5" customHeight="1">
      <c r="A52" s="48" t="inlineStr">
        <is>
          <t>Adj FCF</t>
        </is>
      </c>
      <c r="B52" s="62" t="n"/>
      <c r="C52" s="62" t="n"/>
      <c r="D52" s="62" t="n"/>
      <c r="E52" s="62" t="n"/>
      <c r="F52" s="62" t="n"/>
      <c r="G52" s="62" t="n"/>
      <c r="H52" s="62" t="n"/>
      <c r="I52" s="62" t="n"/>
      <c r="J52" s="62" t="n"/>
      <c r="K52" s="62" t="n"/>
      <c r="L52" s="62" t="n"/>
      <c r="M52" s="62" t="n"/>
      <c r="N52" s="22" t="n"/>
      <c r="O52" s="53" t="n"/>
      <c r="P52" s="46" t="n"/>
      <c r="X52" s="53" t="n"/>
      <c r="Y52" s="46" t="n"/>
      <c r="AD52" s="22" t="n"/>
      <c r="AE52" s="22" t="n"/>
      <c r="AF52" s="22" t="n"/>
      <c r="AG52" s="22" t="n"/>
      <c r="AH52" s="22" t="n"/>
      <c r="AI52" s="22" t="n"/>
    </row>
    <row r="53" ht="19.5" customHeight="1">
      <c r="A53" s="48" t="inlineStr">
        <is>
          <t>Adj FCF (TTM)</t>
        </is>
      </c>
      <c r="B53" s="62" t="n"/>
      <c r="C53" s="62" t="n"/>
      <c r="D53" s="62" t="n"/>
      <c r="E53" s="62" t="n"/>
      <c r="F53" s="62" t="n"/>
      <c r="G53" s="62" t="n"/>
      <c r="H53" s="62" t="n"/>
      <c r="I53" s="62" t="n"/>
      <c r="J53" s="62" t="n"/>
      <c r="K53" s="62" t="n"/>
      <c r="L53" s="62" t="n"/>
      <c r="M53" s="62" t="n"/>
      <c r="N53" s="22" t="n"/>
      <c r="O53" s="52" t="n"/>
      <c r="P53" s="46" t="n"/>
      <c r="X53" s="52" t="n"/>
      <c r="Y53" s="46" t="n"/>
      <c r="AD53" s="22" t="n"/>
      <c r="AE53" s="22" t="n"/>
      <c r="AF53" s="22" t="n"/>
      <c r="AG53" s="22" t="n"/>
      <c r="AH53" s="22" t="n"/>
      <c r="AI53" s="22" t="n"/>
    </row>
    <row r="54" ht="19.5" customHeight="1">
      <c r="A54" s="48" t="inlineStr">
        <is>
          <t>Adj FCF - FCF</t>
        </is>
      </c>
      <c r="B54" s="62" t="n"/>
      <c r="C54" s="62" t="n"/>
      <c r="D54" s="62" t="n"/>
      <c r="E54" s="62" t="n"/>
      <c r="F54" s="62" t="n"/>
      <c r="G54" s="62" t="n"/>
      <c r="H54" s="62" t="n"/>
      <c r="I54" s="62" t="n"/>
      <c r="J54" s="62" t="n"/>
      <c r="K54" s="62" t="n"/>
      <c r="L54" s="62" t="n"/>
      <c r="M54" s="62" t="n"/>
      <c r="N54" s="22" t="n"/>
      <c r="O54" s="53" t="n"/>
      <c r="P54" s="46" t="n"/>
      <c r="X54" s="53" t="n"/>
      <c r="Y54" s="46" t="n"/>
      <c r="AD54" s="22" t="n"/>
      <c r="AE54" s="22" t="n"/>
      <c r="AF54" s="22" t="n"/>
      <c r="AG54" s="22" t="n"/>
      <c r="AH54" s="22" t="n"/>
      <c r="AI54" s="22" t="n"/>
    </row>
    <row r="55" ht="19.5" customHeight="1">
      <c r="A55" s="48" t="inlineStr">
        <is>
          <t>Owner earnings (proxy)</t>
        </is>
      </c>
      <c r="B55" s="62" t="n"/>
      <c r="C55" s="62" t="n"/>
      <c r="D55" s="62" t="n"/>
      <c r="E55" s="62" t="n"/>
      <c r="F55" s="62" t="n"/>
      <c r="G55" s="62" t="n"/>
      <c r="H55" s="62" t="n"/>
      <c r="I55" s="62" t="n"/>
      <c r="J55" s="62" t="n"/>
      <c r="K55" s="62" t="n"/>
      <c r="L55" s="62" t="n"/>
      <c r="M55" s="62" t="n"/>
      <c r="N55" s="22" t="n"/>
      <c r="O55" s="52" t="n"/>
      <c r="P55" s="46" t="n"/>
      <c r="X55" s="52" t="n"/>
      <c r="Y55" s="46" t="n"/>
      <c r="AD55" s="22" t="n"/>
      <c r="AE55" s="22" t="n"/>
      <c r="AF55" s="22" t="n"/>
      <c r="AG55" s="22" t="n"/>
      <c r="AH55" s="22" t="n"/>
      <c r="AI55" s="22" t="n"/>
    </row>
    <row r="56" ht="19.5" customHeight="1">
      <c r="A56" s="96" t="inlineStr">
        <is>
          <t>Cash-flow quality</t>
        </is>
      </c>
      <c r="B56" s="104" t="n"/>
      <c r="C56" s="104" t="n"/>
      <c r="D56" s="104" t="n"/>
      <c r="E56" s="104" t="n"/>
      <c r="F56" s="104" t="n"/>
      <c r="G56" s="104" t="n"/>
      <c r="H56" s="104" t="n"/>
      <c r="I56" s="104" t="n"/>
      <c r="J56" s="104" t="n"/>
      <c r="K56" s="104" t="n"/>
      <c r="L56" s="104" t="n"/>
      <c r="M56" s="105" t="n"/>
      <c r="N56" s="22" t="n"/>
      <c r="O56" s="53" t="n"/>
      <c r="P56" s="46" t="n"/>
      <c r="X56" s="53" t="n"/>
      <c r="Y56" s="46" t="n"/>
      <c r="AD56" s="22" t="n"/>
      <c r="AE56" s="22" t="n"/>
      <c r="AF56" s="22" t="n"/>
      <c r="AG56" s="22" t="n"/>
      <c r="AH56" s="22" t="n"/>
      <c r="AI56" s="22" t="n"/>
    </row>
    <row r="57" ht="19.5" customHeight="1">
      <c r="A57" s="48" t="inlineStr">
        <is>
          <t>FCF margin %</t>
        </is>
      </c>
      <c r="B57" s="451">
        <f>IF(OR(B47="",B9="",B9=0),"",B47/B9)</f>
        <v/>
      </c>
      <c r="C57" s="451">
        <f>IF(OR(C47="",C9="",C9=0),"",C47/C9)</f>
        <v/>
      </c>
      <c r="D57" s="451">
        <f>IF(OR(D47="",D9="",D9=0),"",D47/D9)</f>
        <v/>
      </c>
      <c r="E57" s="451">
        <f>IF(OR(E47="",E9="",E9=0),"",E47/E9)</f>
        <v/>
      </c>
      <c r="F57" s="451">
        <f>IF(OR(F47="",F9="",F9=0),"",F47/F9)</f>
        <v/>
      </c>
      <c r="G57" s="451">
        <f>IF(OR(G47="",G9="",G9=0),"",G47/G9)</f>
        <v/>
      </c>
      <c r="H57" s="451">
        <f>IF(OR(H47="",H9="",H9=0),"",H47/H9)</f>
        <v/>
      </c>
      <c r="I57" s="451">
        <f>IF(OR(I47="",I9="",I9=0),"",I47/I9)</f>
        <v/>
      </c>
      <c r="J57" s="451">
        <f>IF(OR(J47="",J9="",J9=0),"",J47/J9)</f>
        <v/>
      </c>
      <c r="K57" s="451">
        <f>IF(OR(K47="",K9="",K9=0),"",K47/K9)</f>
        <v/>
      </c>
      <c r="L57" s="451">
        <f>IF(OR(L47="",L9="",L9=0),"",L47/L9)</f>
        <v/>
      </c>
      <c r="M57" s="451">
        <f>IF(OR(M47="",M9="",M9=0),"",M47/M9)</f>
        <v/>
      </c>
      <c r="N57" s="22" t="n"/>
      <c r="O57" s="52" t="n"/>
      <c r="P57" s="46" t="n"/>
      <c r="X57" s="52" t="n"/>
      <c r="Y57" s="46" t="n"/>
      <c r="AD57" s="22" t="n"/>
      <c r="AE57" s="22" t="n"/>
      <c r="AF57" s="22" t="n"/>
      <c r="AG57" s="22" t="n"/>
      <c r="AH57" s="22" t="n"/>
      <c r="AI57" s="22" t="n"/>
    </row>
    <row r="58" ht="19.5" customHeight="1">
      <c r="A58" s="48" t="inlineStr">
        <is>
          <t>FCF margin (TTM)</t>
        </is>
      </c>
      <c r="B58" s="451">
        <f>IF(OR(B49="",B10="",B10=0),"",B49/B10)</f>
        <v/>
      </c>
      <c r="C58" s="451">
        <f>IF(OR(C49="",C10="",C10=0),"",C49/C10)</f>
        <v/>
      </c>
      <c r="D58" s="451">
        <f>IF(OR(D49="",D10="",D10=0),"",D49/D10)</f>
        <v/>
      </c>
      <c r="E58" s="451">
        <f>IF(OR(E49="",E10="",E10=0),"",E49/E10)</f>
        <v/>
      </c>
      <c r="F58" s="451">
        <f>IF(OR(F49="",F10="",F10=0),"",F49/F10)</f>
        <v/>
      </c>
      <c r="G58" s="451">
        <f>IF(OR(G49="",G10="",G10=0),"",G49/G10)</f>
        <v/>
      </c>
      <c r="H58" s="451">
        <f>IF(OR(H49="",H10="",H10=0),"",H49/H10)</f>
        <v/>
      </c>
      <c r="I58" s="451">
        <f>IF(OR(I49="",I10="",I10=0),"",I49/I10)</f>
        <v/>
      </c>
      <c r="J58" s="451">
        <f>IF(OR(J49="",J10="",J10=0),"",J49/J10)</f>
        <v/>
      </c>
      <c r="K58" s="451">
        <f>IF(OR(K49="",K10="",K10=0),"",K49/K10)</f>
        <v/>
      </c>
      <c r="L58" s="451">
        <f>IF(OR(L49="",L10="",L10=0),"",L49/L10)</f>
        <v/>
      </c>
      <c r="M58" s="451">
        <f>IF(OR(M49="",M10="",M10=0),"",M49/M10)</f>
        <v/>
      </c>
      <c r="N58" s="22" t="n"/>
      <c r="O58" s="53" t="n"/>
      <c r="P58" s="46" t="n"/>
      <c r="X58" s="53" t="n"/>
      <c r="Y58" s="46" t="n"/>
      <c r="AD58" s="22" t="n"/>
      <c r="AE58" s="22" t="n"/>
      <c r="AF58" s="22" t="n"/>
      <c r="AG58" s="22" t="n"/>
      <c r="AH58" s="22" t="n"/>
      <c r="AI58" s="22" t="n"/>
    </row>
    <row r="59" ht="19.5" customHeight="1">
      <c r="A59" s="48" t="inlineStr">
        <is>
          <t>Interest paid</t>
        </is>
      </c>
      <c r="B59" s="62" t="n"/>
      <c r="C59" s="62" t="n"/>
      <c r="D59" s="62" t="n"/>
      <c r="E59" s="62" t="n"/>
      <c r="F59" s="62" t="n"/>
      <c r="G59" s="62" t="n"/>
      <c r="H59" s="62" t="n"/>
      <c r="I59" s="62" t="n"/>
      <c r="J59" s="62" t="n"/>
      <c r="K59" s="62" t="n"/>
      <c r="L59" s="62" t="n"/>
      <c r="M59" s="62" t="n"/>
      <c r="N59" s="22" t="n"/>
      <c r="O59" s="52" t="inlineStr">
        <is>
          <t>Lease-adjusted net debt</t>
        </is>
      </c>
      <c r="U59" s="452" t="n"/>
      <c r="X59" s="52" t="n"/>
      <c r="AD59" s="22" t="n"/>
      <c r="AE59" s="22" t="n"/>
      <c r="AF59" s="22" t="n"/>
      <c r="AG59" s="22" t="n"/>
      <c r="AH59" s="22" t="n"/>
      <c r="AI59" s="22" t="n"/>
    </row>
    <row r="60" ht="19.5" customHeight="1">
      <c r="A60" s="48" t="inlineStr">
        <is>
          <t>Tax paid</t>
        </is>
      </c>
      <c r="B60" s="62" t="n"/>
      <c r="C60" s="62" t="n"/>
      <c r="D60" s="62" t="n"/>
      <c r="E60" s="62" t="n"/>
      <c r="F60" s="62" t="n"/>
      <c r="G60" s="62" t="n"/>
      <c r="H60" s="62" t="n"/>
      <c r="I60" s="62" t="n"/>
      <c r="J60" s="62" t="n"/>
      <c r="K60" s="62" t="n"/>
      <c r="L60" s="62" t="n"/>
      <c r="M60" s="62" t="n"/>
      <c r="N60" s="22" t="n"/>
      <c r="O60" s="53" t="inlineStr">
        <is>
          <t>Sales growth uplift / shortfall</t>
        </is>
      </c>
      <c r="U60" s="453" t="n"/>
      <c r="X60" s="53" t="inlineStr">
        <is>
          <t>User scenario input</t>
        </is>
      </c>
      <c r="AD60" s="22" t="n"/>
      <c r="AE60" s="22" t="n"/>
      <c r="AF60" s="22" t="n"/>
      <c r="AG60" s="22" t="n"/>
      <c r="AH60" s="22" t="n"/>
      <c r="AI60" s="22" t="n"/>
    </row>
    <row r="61" ht="19.5" customHeight="1">
      <c r="A61" s="96" t="inlineStr">
        <is>
          <t>Capital return / financing</t>
        </is>
      </c>
      <c r="B61" s="104" t="n"/>
      <c r="C61" s="104" t="n"/>
      <c r="D61" s="104" t="n"/>
      <c r="E61" s="104" t="n"/>
      <c r="F61" s="104" t="n"/>
      <c r="G61" s="104" t="n"/>
      <c r="H61" s="104" t="n"/>
      <c r="I61" s="104" t="n"/>
      <c r="J61" s="104" t="n"/>
      <c r="K61" s="104" t="n"/>
      <c r="L61" s="104" t="n"/>
      <c r="M61" s="105" t="n"/>
      <c r="N61" s="22" t="n"/>
      <c r="O61" s="52" t="inlineStr">
        <is>
          <t>Margin uplift / shortfall</t>
        </is>
      </c>
      <c r="U61" s="454" t="n"/>
      <c r="X61" s="52" t="inlineStr">
        <is>
          <t>User scenario input</t>
        </is>
      </c>
      <c r="AD61" s="22" t="n"/>
      <c r="AE61" s="22" t="n"/>
      <c r="AF61" s="22" t="n"/>
      <c r="AG61" s="22" t="n"/>
      <c r="AH61" s="22" t="n"/>
      <c r="AI61" s="22" t="n"/>
    </row>
    <row r="62" ht="19.5" customHeight="1">
      <c r="A62" s="48" t="inlineStr">
        <is>
          <t>Buybacks (cash)</t>
        </is>
      </c>
      <c r="B62" s="62" t="n"/>
      <c r="C62" s="62" t="n"/>
      <c r="D62" s="62" t="n"/>
      <c r="E62" s="62" t="n"/>
      <c r="F62" s="62" t="n"/>
      <c r="G62" s="62" t="n"/>
      <c r="H62" s="62" t="n"/>
      <c r="I62" s="62" t="n"/>
      <c r="J62" s="62" t="n"/>
      <c r="K62" s="62" t="n"/>
      <c r="L62" s="62" t="n"/>
      <c r="M62" s="62" t="n"/>
      <c r="N62" s="22" t="n"/>
      <c r="O62" s="53" t="inlineStr">
        <is>
          <t>Buyback/share adjustment</t>
        </is>
      </c>
      <c r="U62" s="455" t="n"/>
      <c r="X62" s="53" t="inlineStr">
        <is>
          <t>User scenario input, m shares</t>
        </is>
      </c>
      <c r="AD62" s="22" t="n"/>
      <c r="AE62" s="22" t="n"/>
      <c r="AF62" s="22" t="n"/>
      <c r="AG62" s="22" t="n"/>
      <c r="AH62" s="22" t="n"/>
      <c r="AI62" s="22" t="n"/>
    </row>
    <row r="63" ht="19.5" customHeight="1">
      <c r="A63" s="48" t="inlineStr">
        <is>
          <t>Buybacks (TTM, cash)</t>
        </is>
      </c>
      <c r="B63" s="450">
        <f>IF(OR(B$6="",COUNTIFS(History_Q!$C$2:$C$1000,"buybacks_cash",History_Q!$B$2:$B$1000,"&gt;="&amp;((SUMIFS(History_Q!$B$2:$B$1000,History_Q!$A$2:$A$1000,B$6,History_Q!$C$2:$C$1000,"buybacks_cash"))-3),History_Q!$B$2:$B$1000,"&lt;="&amp;(SUMIFS(History_Q!$B$2:$B$1000,History_Q!$A$2:$A$1000,B$6,History_Q!$C$2:$C$1000,"buybacks_cash")),History_Q!$E$2:$E$1000,"$m",History_Q!$G$2:$G$1000,"populated")&lt;&gt;4,_xlfn.MAXIFS(History_Q!$B$2:$B$1000,History_Q!$C$2:$C$1000,"buybacks_cash",History_Q!$B$2:$B$1000,"&gt;="&amp;((SUMIFS(History_Q!$B$2:$B$1000,History_Q!$A$2:$A$1000,B$6,History_Q!$C$2:$C$1000,"buybacks_cash"))-3),History_Q!$B$2:$B$1000,"&lt;="&amp;(SUMIFS(History_Q!$B$2:$B$1000,History_Q!$A$2:$A$1000,B$6,History_Q!$C$2:$C$1000,"buybacks_cash")),History_Q!$E$2:$E$1000,"$m",History_Q!$G$2:$G$1000,"populated")-_xlfn.MINIFS(History_Q!$B$2:$B$1000,History_Q!$C$2:$C$1000,"buybacks_cash",History_Q!$B$2:$B$1000,"&gt;="&amp;((SUMIFS(History_Q!$B$2:$B$1000,History_Q!$A$2:$A$1000,B$6,History_Q!$C$2:$C$1000,"buybacks_cash"))-3),History_Q!$B$2:$B$1000,"&lt;="&amp;(SUMIFS(History_Q!$B$2:$B$1000,History_Q!$A$2:$A$1000,B$6,History_Q!$C$2:$C$1000,"buybacks_cash")),History_Q!$E$2:$E$1000,"$m",History_Q!$G$2:$G$1000,"populated")&lt;&gt;3),"",SUMIFS(History_Q!$D$2:$D$1000,History_Q!$C$2:$C$1000,"buybacks_cash",History_Q!$B$2:$B$1000,"&gt;="&amp;((SUMIFS(History_Q!$B$2:$B$1000,History_Q!$A$2:$A$1000,B$6,History_Q!$C$2:$C$1000,"buybacks_cash"))-3),History_Q!$B$2:$B$1000,"&lt;="&amp;(SUMIFS(History_Q!$B$2:$B$1000,History_Q!$A$2:$A$1000,B$6,History_Q!$C$2:$C$1000,"buybacks_cash")),History_Q!$E$2:$E$1000,"$m",History_Q!$G$2:$G$1000,"populated"))</f>
        <v/>
      </c>
      <c r="C63" s="450">
        <f>IF(OR(C$6="",COUNTIFS(History_Q!$C$2:$C$1000,"buybacks_cash",History_Q!$B$2:$B$1000,"&gt;="&amp;((SUMIFS(History_Q!$B$2:$B$1000,History_Q!$A$2:$A$1000,C$6,History_Q!$C$2:$C$1000,"buybacks_cash"))-3),History_Q!$B$2:$B$1000,"&lt;="&amp;(SUMIFS(History_Q!$B$2:$B$1000,History_Q!$A$2:$A$1000,C$6,History_Q!$C$2:$C$1000,"buybacks_cash")),History_Q!$E$2:$E$1000,"$m",History_Q!$G$2:$G$1000,"populated")&lt;&gt;4,_xlfn.MAXIFS(History_Q!$B$2:$B$1000,History_Q!$C$2:$C$1000,"buybacks_cash",History_Q!$B$2:$B$1000,"&gt;="&amp;((SUMIFS(History_Q!$B$2:$B$1000,History_Q!$A$2:$A$1000,C$6,History_Q!$C$2:$C$1000,"buybacks_cash"))-3),History_Q!$B$2:$B$1000,"&lt;="&amp;(SUMIFS(History_Q!$B$2:$B$1000,History_Q!$A$2:$A$1000,C$6,History_Q!$C$2:$C$1000,"buybacks_cash")),History_Q!$E$2:$E$1000,"$m",History_Q!$G$2:$G$1000,"populated")-_xlfn.MINIFS(History_Q!$B$2:$B$1000,History_Q!$C$2:$C$1000,"buybacks_cash",History_Q!$B$2:$B$1000,"&gt;="&amp;((SUMIFS(History_Q!$B$2:$B$1000,History_Q!$A$2:$A$1000,C$6,History_Q!$C$2:$C$1000,"buybacks_cash"))-3),History_Q!$B$2:$B$1000,"&lt;="&amp;(SUMIFS(History_Q!$B$2:$B$1000,History_Q!$A$2:$A$1000,C$6,History_Q!$C$2:$C$1000,"buybacks_cash")),History_Q!$E$2:$E$1000,"$m",History_Q!$G$2:$G$1000,"populated")&lt;&gt;3),"",SUMIFS(History_Q!$D$2:$D$1000,History_Q!$C$2:$C$1000,"buybacks_cash",History_Q!$B$2:$B$1000,"&gt;="&amp;((SUMIFS(History_Q!$B$2:$B$1000,History_Q!$A$2:$A$1000,C$6,History_Q!$C$2:$C$1000,"buybacks_cash"))-3),History_Q!$B$2:$B$1000,"&lt;="&amp;(SUMIFS(History_Q!$B$2:$B$1000,History_Q!$A$2:$A$1000,C$6,History_Q!$C$2:$C$1000,"buybacks_cash")),History_Q!$E$2:$E$1000,"$m",History_Q!$G$2:$G$1000,"populated"))</f>
        <v/>
      </c>
      <c r="D63" s="450">
        <f>IF(OR(D$6="",COUNTIFS(History_Q!$C$2:$C$1000,"buybacks_cash",History_Q!$B$2:$B$1000,"&gt;="&amp;((SUMIFS(History_Q!$B$2:$B$1000,History_Q!$A$2:$A$1000,D$6,History_Q!$C$2:$C$1000,"buybacks_cash"))-3),History_Q!$B$2:$B$1000,"&lt;="&amp;(SUMIFS(History_Q!$B$2:$B$1000,History_Q!$A$2:$A$1000,D$6,History_Q!$C$2:$C$1000,"buybacks_cash")),History_Q!$E$2:$E$1000,"$m",History_Q!$G$2:$G$1000,"populated")&lt;&gt;4,_xlfn.MAXIFS(History_Q!$B$2:$B$1000,History_Q!$C$2:$C$1000,"buybacks_cash",History_Q!$B$2:$B$1000,"&gt;="&amp;((SUMIFS(History_Q!$B$2:$B$1000,History_Q!$A$2:$A$1000,D$6,History_Q!$C$2:$C$1000,"buybacks_cash"))-3),History_Q!$B$2:$B$1000,"&lt;="&amp;(SUMIFS(History_Q!$B$2:$B$1000,History_Q!$A$2:$A$1000,D$6,History_Q!$C$2:$C$1000,"buybacks_cash")),History_Q!$E$2:$E$1000,"$m",History_Q!$G$2:$G$1000,"populated")-_xlfn.MINIFS(History_Q!$B$2:$B$1000,History_Q!$C$2:$C$1000,"buybacks_cash",History_Q!$B$2:$B$1000,"&gt;="&amp;((SUMIFS(History_Q!$B$2:$B$1000,History_Q!$A$2:$A$1000,D$6,History_Q!$C$2:$C$1000,"buybacks_cash"))-3),History_Q!$B$2:$B$1000,"&lt;="&amp;(SUMIFS(History_Q!$B$2:$B$1000,History_Q!$A$2:$A$1000,D$6,History_Q!$C$2:$C$1000,"buybacks_cash")),History_Q!$E$2:$E$1000,"$m",History_Q!$G$2:$G$1000,"populated")&lt;&gt;3),"",SUMIFS(History_Q!$D$2:$D$1000,History_Q!$C$2:$C$1000,"buybacks_cash",History_Q!$B$2:$B$1000,"&gt;="&amp;((SUMIFS(History_Q!$B$2:$B$1000,History_Q!$A$2:$A$1000,D$6,History_Q!$C$2:$C$1000,"buybacks_cash"))-3),History_Q!$B$2:$B$1000,"&lt;="&amp;(SUMIFS(History_Q!$B$2:$B$1000,History_Q!$A$2:$A$1000,D$6,History_Q!$C$2:$C$1000,"buybacks_cash")),History_Q!$E$2:$E$1000,"$m",History_Q!$G$2:$G$1000,"populated"))</f>
        <v/>
      </c>
      <c r="E63" s="450">
        <f>IF(OR(E$6="",COUNTIFS(History_Q!$C$2:$C$1000,"buybacks_cash",History_Q!$B$2:$B$1000,"&gt;="&amp;((SUMIFS(History_Q!$B$2:$B$1000,History_Q!$A$2:$A$1000,E$6,History_Q!$C$2:$C$1000,"buybacks_cash"))-3),History_Q!$B$2:$B$1000,"&lt;="&amp;(SUMIFS(History_Q!$B$2:$B$1000,History_Q!$A$2:$A$1000,E$6,History_Q!$C$2:$C$1000,"buybacks_cash")),History_Q!$E$2:$E$1000,"$m",History_Q!$G$2:$G$1000,"populated")&lt;&gt;4,_xlfn.MAXIFS(History_Q!$B$2:$B$1000,History_Q!$C$2:$C$1000,"buybacks_cash",History_Q!$B$2:$B$1000,"&gt;="&amp;((SUMIFS(History_Q!$B$2:$B$1000,History_Q!$A$2:$A$1000,E$6,History_Q!$C$2:$C$1000,"buybacks_cash"))-3),History_Q!$B$2:$B$1000,"&lt;="&amp;(SUMIFS(History_Q!$B$2:$B$1000,History_Q!$A$2:$A$1000,E$6,History_Q!$C$2:$C$1000,"buybacks_cash")),History_Q!$E$2:$E$1000,"$m",History_Q!$G$2:$G$1000,"populated")-_xlfn.MINIFS(History_Q!$B$2:$B$1000,History_Q!$C$2:$C$1000,"buybacks_cash",History_Q!$B$2:$B$1000,"&gt;="&amp;((SUMIFS(History_Q!$B$2:$B$1000,History_Q!$A$2:$A$1000,E$6,History_Q!$C$2:$C$1000,"buybacks_cash"))-3),History_Q!$B$2:$B$1000,"&lt;="&amp;(SUMIFS(History_Q!$B$2:$B$1000,History_Q!$A$2:$A$1000,E$6,History_Q!$C$2:$C$1000,"buybacks_cash")),History_Q!$E$2:$E$1000,"$m",History_Q!$G$2:$G$1000,"populated")&lt;&gt;3),"",SUMIFS(History_Q!$D$2:$D$1000,History_Q!$C$2:$C$1000,"buybacks_cash",History_Q!$B$2:$B$1000,"&gt;="&amp;((SUMIFS(History_Q!$B$2:$B$1000,History_Q!$A$2:$A$1000,E$6,History_Q!$C$2:$C$1000,"buybacks_cash"))-3),History_Q!$B$2:$B$1000,"&lt;="&amp;(SUMIFS(History_Q!$B$2:$B$1000,History_Q!$A$2:$A$1000,E$6,History_Q!$C$2:$C$1000,"buybacks_cash")),History_Q!$E$2:$E$1000,"$m",History_Q!$G$2:$G$1000,"populated"))</f>
        <v/>
      </c>
      <c r="F63" s="450">
        <f>IF(OR(F$6="",COUNTIFS(History_Q!$C$2:$C$1000,"buybacks_cash",History_Q!$B$2:$B$1000,"&gt;="&amp;((SUMIFS(History_Q!$B$2:$B$1000,History_Q!$A$2:$A$1000,F$6,History_Q!$C$2:$C$1000,"buybacks_cash"))-3),History_Q!$B$2:$B$1000,"&lt;="&amp;(SUMIFS(History_Q!$B$2:$B$1000,History_Q!$A$2:$A$1000,F$6,History_Q!$C$2:$C$1000,"buybacks_cash")),History_Q!$E$2:$E$1000,"$m",History_Q!$G$2:$G$1000,"populated")&lt;&gt;4,_xlfn.MAXIFS(History_Q!$B$2:$B$1000,History_Q!$C$2:$C$1000,"buybacks_cash",History_Q!$B$2:$B$1000,"&gt;="&amp;((SUMIFS(History_Q!$B$2:$B$1000,History_Q!$A$2:$A$1000,F$6,History_Q!$C$2:$C$1000,"buybacks_cash"))-3),History_Q!$B$2:$B$1000,"&lt;="&amp;(SUMIFS(History_Q!$B$2:$B$1000,History_Q!$A$2:$A$1000,F$6,History_Q!$C$2:$C$1000,"buybacks_cash")),History_Q!$E$2:$E$1000,"$m",History_Q!$G$2:$G$1000,"populated")-_xlfn.MINIFS(History_Q!$B$2:$B$1000,History_Q!$C$2:$C$1000,"buybacks_cash",History_Q!$B$2:$B$1000,"&gt;="&amp;((SUMIFS(History_Q!$B$2:$B$1000,History_Q!$A$2:$A$1000,F$6,History_Q!$C$2:$C$1000,"buybacks_cash"))-3),History_Q!$B$2:$B$1000,"&lt;="&amp;(SUMIFS(History_Q!$B$2:$B$1000,History_Q!$A$2:$A$1000,F$6,History_Q!$C$2:$C$1000,"buybacks_cash")),History_Q!$E$2:$E$1000,"$m",History_Q!$G$2:$G$1000,"populated")&lt;&gt;3),"",SUMIFS(History_Q!$D$2:$D$1000,History_Q!$C$2:$C$1000,"buybacks_cash",History_Q!$B$2:$B$1000,"&gt;="&amp;((SUMIFS(History_Q!$B$2:$B$1000,History_Q!$A$2:$A$1000,F$6,History_Q!$C$2:$C$1000,"buybacks_cash"))-3),History_Q!$B$2:$B$1000,"&lt;="&amp;(SUMIFS(History_Q!$B$2:$B$1000,History_Q!$A$2:$A$1000,F$6,History_Q!$C$2:$C$1000,"buybacks_cash")),History_Q!$E$2:$E$1000,"$m",History_Q!$G$2:$G$1000,"populated"))</f>
        <v/>
      </c>
      <c r="G63" s="450">
        <f>IF(OR(G$6="",COUNTIFS(History_Q!$C$2:$C$1000,"buybacks_cash",History_Q!$B$2:$B$1000,"&gt;="&amp;((SUMIFS(History_Q!$B$2:$B$1000,History_Q!$A$2:$A$1000,G$6,History_Q!$C$2:$C$1000,"buybacks_cash"))-3),History_Q!$B$2:$B$1000,"&lt;="&amp;(SUMIFS(History_Q!$B$2:$B$1000,History_Q!$A$2:$A$1000,G$6,History_Q!$C$2:$C$1000,"buybacks_cash")),History_Q!$E$2:$E$1000,"$m",History_Q!$G$2:$G$1000,"populated")&lt;&gt;4,_xlfn.MAXIFS(History_Q!$B$2:$B$1000,History_Q!$C$2:$C$1000,"buybacks_cash",History_Q!$B$2:$B$1000,"&gt;="&amp;((SUMIFS(History_Q!$B$2:$B$1000,History_Q!$A$2:$A$1000,G$6,History_Q!$C$2:$C$1000,"buybacks_cash"))-3),History_Q!$B$2:$B$1000,"&lt;="&amp;(SUMIFS(History_Q!$B$2:$B$1000,History_Q!$A$2:$A$1000,G$6,History_Q!$C$2:$C$1000,"buybacks_cash")),History_Q!$E$2:$E$1000,"$m",History_Q!$G$2:$G$1000,"populated")-_xlfn.MINIFS(History_Q!$B$2:$B$1000,History_Q!$C$2:$C$1000,"buybacks_cash",History_Q!$B$2:$B$1000,"&gt;="&amp;((SUMIFS(History_Q!$B$2:$B$1000,History_Q!$A$2:$A$1000,G$6,History_Q!$C$2:$C$1000,"buybacks_cash"))-3),History_Q!$B$2:$B$1000,"&lt;="&amp;(SUMIFS(History_Q!$B$2:$B$1000,History_Q!$A$2:$A$1000,G$6,History_Q!$C$2:$C$1000,"buybacks_cash")),History_Q!$E$2:$E$1000,"$m",History_Q!$G$2:$G$1000,"populated")&lt;&gt;3),"",SUMIFS(History_Q!$D$2:$D$1000,History_Q!$C$2:$C$1000,"buybacks_cash",History_Q!$B$2:$B$1000,"&gt;="&amp;((SUMIFS(History_Q!$B$2:$B$1000,History_Q!$A$2:$A$1000,G$6,History_Q!$C$2:$C$1000,"buybacks_cash"))-3),History_Q!$B$2:$B$1000,"&lt;="&amp;(SUMIFS(History_Q!$B$2:$B$1000,History_Q!$A$2:$A$1000,G$6,History_Q!$C$2:$C$1000,"buybacks_cash")),History_Q!$E$2:$E$1000,"$m",History_Q!$G$2:$G$1000,"populated"))</f>
        <v/>
      </c>
      <c r="H63" s="450">
        <f>IF(OR(H$6="",COUNTIFS(History_Q!$C$2:$C$1000,"buybacks_cash",History_Q!$B$2:$B$1000,"&gt;="&amp;((SUMIFS(History_Q!$B$2:$B$1000,History_Q!$A$2:$A$1000,H$6,History_Q!$C$2:$C$1000,"buybacks_cash"))-3),History_Q!$B$2:$B$1000,"&lt;="&amp;(SUMIFS(History_Q!$B$2:$B$1000,History_Q!$A$2:$A$1000,H$6,History_Q!$C$2:$C$1000,"buybacks_cash")),History_Q!$E$2:$E$1000,"$m",History_Q!$G$2:$G$1000,"populated")&lt;&gt;4,_xlfn.MAXIFS(History_Q!$B$2:$B$1000,History_Q!$C$2:$C$1000,"buybacks_cash",History_Q!$B$2:$B$1000,"&gt;="&amp;((SUMIFS(History_Q!$B$2:$B$1000,History_Q!$A$2:$A$1000,H$6,History_Q!$C$2:$C$1000,"buybacks_cash"))-3),History_Q!$B$2:$B$1000,"&lt;="&amp;(SUMIFS(History_Q!$B$2:$B$1000,History_Q!$A$2:$A$1000,H$6,History_Q!$C$2:$C$1000,"buybacks_cash")),History_Q!$E$2:$E$1000,"$m",History_Q!$G$2:$G$1000,"populated")-_xlfn.MINIFS(History_Q!$B$2:$B$1000,History_Q!$C$2:$C$1000,"buybacks_cash",History_Q!$B$2:$B$1000,"&gt;="&amp;((SUMIFS(History_Q!$B$2:$B$1000,History_Q!$A$2:$A$1000,H$6,History_Q!$C$2:$C$1000,"buybacks_cash"))-3),History_Q!$B$2:$B$1000,"&lt;="&amp;(SUMIFS(History_Q!$B$2:$B$1000,History_Q!$A$2:$A$1000,H$6,History_Q!$C$2:$C$1000,"buybacks_cash")),History_Q!$E$2:$E$1000,"$m",History_Q!$G$2:$G$1000,"populated")&lt;&gt;3),"",SUMIFS(History_Q!$D$2:$D$1000,History_Q!$C$2:$C$1000,"buybacks_cash",History_Q!$B$2:$B$1000,"&gt;="&amp;((SUMIFS(History_Q!$B$2:$B$1000,History_Q!$A$2:$A$1000,H$6,History_Q!$C$2:$C$1000,"buybacks_cash"))-3),History_Q!$B$2:$B$1000,"&lt;="&amp;(SUMIFS(History_Q!$B$2:$B$1000,History_Q!$A$2:$A$1000,H$6,History_Q!$C$2:$C$1000,"buybacks_cash")),History_Q!$E$2:$E$1000,"$m",History_Q!$G$2:$G$1000,"populated"))</f>
        <v/>
      </c>
      <c r="I63" s="450">
        <f>IF(OR(I$6="",COUNTIFS(History_Q!$C$2:$C$1000,"buybacks_cash",History_Q!$B$2:$B$1000,"&gt;="&amp;((SUMIFS(History_Q!$B$2:$B$1000,History_Q!$A$2:$A$1000,I$6,History_Q!$C$2:$C$1000,"buybacks_cash"))-3),History_Q!$B$2:$B$1000,"&lt;="&amp;(SUMIFS(History_Q!$B$2:$B$1000,History_Q!$A$2:$A$1000,I$6,History_Q!$C$2:$C$1000,"buybacks_cash")),History_Q!$E$2:$E$1000,"$m",History_Q!$G$2:$G$1000,"populated")&lt;&gt;4,_xlfn.MAXIFS(History_Q!$B$2:$B$1000,History_Q!$C$2:$C$1000,"buybacks_cash",History_Q!$B$2:$B$1000,"&gt;="&amp;((SUMIFS(History_Q!$B$2:$B$1000,History_Q!$A$2:$A$1000,I$6,History_Q!$C$2:$C$1000,"buybacks_cash"))-3),History_Q!$B$2:$B$1000,"&lt;="&amp;(SUMIFS(History_Q!$B$2:$B$1000,History_Q!$A$2:$A$1000,I$6,History_Q!$C$2:$C$1000,"buybacks_cash")),History_Q!$E$2:$E$1000,"$m",History_Q!$G$2:$G$1000,"populated")-_xlfn.MINIFS(History_Q!$B$2:$B$1000,History_Q!$C$2:$C$1000,"buybacks_cash",History_Q!$B$2:$B$1000,"&gt;="&amp;((SUMIFS(History_Q!$B$2:$B$1000,History_Q!$A$2:$A$1000,I$6,History_Q!$C$2:$C$1000,"buybacks_cash"))-3),History_Q!$B$2:$B$1000,"&lt;="&amp;(SUMIFS(History_Q!$B$2:$B$1000,History_Q!$A$2:$A$1000,I$6,History_Q!$C$2:$C$1000,"buybacks_cash")),History_Q!$E$2:$E$1000,"$m",History_Q!$G$2:$G$1000,"populated")&lt;&gt;3),"",SUMIFS(History_Q!$D$2:$D$1000,History_Q!$C$2:$C$1000,"buybacks_cash",History_Q!$B$2:$B$1000,"&gt;="&amp;((SUMIFS(History_Q!$B$2:$B$1000,History_Q!$A$2:$A$1000,I$6,History_Q!$C$2:$C$1000,"buybacks_cash"))-3),History_Q!$B$2:$B$1000,"&lt;="&amp;(SUMIFS(History_Q!$B$2:$B$1000,History_Q!$A$2:$A$1000,I$6,History_Q!$C$2:$C$1000,"buybacks_cash")),History_Q!$E$2:$E$1000,"$m",History_Q!$G$2:$G$1000,"populated"))</f>
        <v/>
      </c>
      <c r="J63" s="450">
        <f>IF(OR(J$6="",COUNTIFS(History_Q!$C$2:$C$1000,"buybacks_cash",History_Q!$B$2:$B$1000,"&gt;="&amp;((SUMIFS(History_Q!$B$2:$B$1000,History_Q!$A$2:$A$1000,J$6,History_Q!$C$2:$C$1000,"buybacks_cash"))-3),History_Q!$B$2:$B$1000,"&lt;="&amp;(SUMIFS(History_Q!$B$2:$B$1000,History_Q!$A$2:$A$1000,J$6,History_Q!$C$2:$C$1000,"buybacks_cash")),History_Q!$E$2:$E$1000,"$m",History_Q!$G$2:$G$1000,"populated")&lt;&gt;4,_xlfn.MAXIFS(History_Q!$B$2:$B$1000,History_Q!$C$2:$C$1000,"buybacks_cash",History_Q!$B$2:$B$1000,"&gt;="&amp;((SUMIFS(History_Q!$B$2:$B$1000,History_Q!$A$2:$A$1000,J$6,History_Q!$C$2:$C$1000,"buybacks_cash"))-3),History_Q!$B$2:$B$1000,"&lt;="&amp;(SUMIFS(History_Q!$B$2:$B$1000,History_Q!$A$2:$A$1000,J$6,History_Q!$C$2:$C$1000,"buybacks_cash")),History_Q!$E$2:$E$1000,"$m",History_Q!$G$2:$G$1000,"populated")-_xlfn.MINIFS(History_Q!$B$2:$B$1000,History_Q!$C$2:$C$1000,"buybacks_cash",History_Q!$B$2:$B$1000,"&gt;="&amp;((SUMIFS(History_Q!$B$2:$B$1000,History_Q!$A$2:$A$1000,J$6,History_Q!$C$2:$C$1000,"buybacks_cash"))-3),History_Q!$B$2:$B$1000,"&lt;="&amp;(SUMIFS(History_Q!$B$2:$B$1000,History_Q!$A$2:$A$1000,J$6,History_Q!$C$2:$C$1000,"buybacks_cash")),History_Q!$E$2:$E$1000,"$m",History_Q!$G$2:$G$1000,"populated")&lt;&gt;3),"",SUMIFS(History_Q!$D$2:$D$1000,History_Q!$C$2:$C$1000,"buybacks_cash",History_Q!$B$2:$B$1000,"&gt;="&amp;((SUMIFS(History_Q!$B$2:$B$1000,History_Q!$A$2:$A$1000,J$6,History_Q!$C$2:$C$1000,"buybacks_cash"))-3),History_Q!$B$2:$B$1000,"&lt;="&amp;(SUMIFS(History_Q!$B$2:$B$1000,History_Q!$A$2:$A$1000,J$6,History_Q!$C$2:$C$1000,"buybacks_cash")),History_Q!$E$2:$E$1000,"$m",History_Q!$G$2:$G$1000,"populated"))</f>
        <v/>
      </c>
      <c r="K63" s="450">
        <f>IF(OR(K$6="",COUNTIFS(History_Q!$C$2:$C$1000,"buybacks_cash",History_Q!$B$2:$B$1000,"&gt;="&amp;((SUMIFS(History_Q!$B$2:$B$1000,History_Q!$A$2:$A$1000,K$6,History_Q!$C$2:$C$1000,"buybacks_cash"))-3),History_Q!$B$2:$B$1000,"&lt;="&amp;(SUMIFS(History_Q!$B$2:$B$1000,History_Q!$A$2:$A$1000,K$6,History_Q!$C$2:$C$1000,"buybacks_cash")),History_Q!$E$2:$E$1000,"$m",History_Q!$G$2:$G$1000,"populated")&lt;&gt;4,_xlfn.MAXIFS(History_Q!$B$2:$B$1000,History_Q!$C$2:$C$1000,"buybacks_cash",History_Q!$B$2:$B$1000,"&gt;="&amp;((SUMIFS(History_Q!$B$2:$B$1000,History_Q!$A$2:$A$1000,K$6,History_Q!$C$2:$C$1000,"buybacks_cash"))-3),History_Q!$B$2:$B$1000,"&lt;="&amp;(SUMIFS(History_Q!$B$2:$B$1000,History_Q!$A$2:$A$1000,K$6,History_Q!$C$2:$C$1000,"buybacks_cash")),History_Q!$E$2:$E$1000,"$m",History_Q!$G$2:$G$1000,"populated")-_xlfn.MINIFS(History_Q!$B$2:$B$1000,History_Q!$C$2:$C$1000,"buybacks_cash",History_Q!$B$2:$B$1000,"&gt;="&amp;((SUMIFS(History_Q!$B$2:$B$1000,History_Q!$A$2:$A$1000,K$6,History_Q!$C$2:$C$1000,"buybacks_cash"))-3),History_Q!$B$2:$B$1000,"&lt;="&amp;(SUMIFS(History_Q!$B$2:$B$1000,History_Q!$A$2:$A$1000,K$6,History_Q!$C$2:$C$1000,"buybacks_cash")),History_Q!$E$2:$E$1000,"$m",History_Q!$G$2:$G$1000,"populated")&lt;&gt;3),"",SUMIFS(History_Q!$D$2:$D$1000,History_Q!$C$2:$C$1000,"buybacks_cash",History_Q!$B$2:$B$1000,"&gt;="&amp;((SUMIFS(History_Q!$B$2:$B$1000,History_Q!$A$2:$A$1000,K$6,History_Q!$C$2:$C$1000,"buybacks_cash"))-3),History_Q!$B$2:$B$1000,"&lt;="&amp;(SUMIFS(History_Q!$B$2:$B$1000,History_Q!$A$2:$A$1000,K$6,History_Q!$C$2:$C$1000,"buybacks_cash")),History_Q!$E$2:$E$1000,"$m",History_Q!$G$2:$G$1000,"populated"))</f>
        <v/>
      </c>
      <c r="L63" s="450">
        <f>IF(OR(L$6="",COUNTIFS(History_Q!$C$2:$C$1000,"buybacks_cash",History_Q!$B$2:$B$1000,"&gt;="&amp;((SUMIFS(History_Q!$B$2:$B$1000,History_Q!$A$2:$A$1000,L$6,History_Q!$C$2:$C$1000,"buybacks_cash"))-3),History_Q!$B$2:$B$1000,"&lt;="&amp;(SUMIFS(History_Q!$B$2:$B$1000,History_Q!$A$2:$A$1000,L$6,History_Q!$C$2:$C$1000,"buybacks_cash")),History_Q!$E$2:$E$1000,"$m",History_Q!$G$2:$G$1000,"populated")&lt;&gt;4,_xlfn.MAXIFS(History_Q!$B$2:$B$1000,History_Q!$C$2:$C$1000,"buybacks_cash",History_Q!$B$2:$B$1000,"&gt;="&amp;((SUMIFS(History_Q!$B$2:$B$1000,History_Q!$A$2:$A$1000,L$6,History_Q!$C$2:$C$1000,"buybacks_cash"))-3),History_Q!$B$2:$B$1000,"&lt;="&amp;(SUMIFS(History_Q!$B$2:$B$1000,History_Q!$A$2:$A$1000,L$6,History_Q!$C$2:$C$1000,"buybacks_cash")),History_Q!$E$2:$E$1000,"$m",History_Q!$G$2:$G$1000,"populated")-_xlfn.MINIFS(History_Q!$B$2:$B$1000,History_Q!$C$2:$C$1000,"buybacks_cash",History_Q!$B$2:$B$1000,"&gt;="&amp;((SUMIFS(History_Q!$B$2:$B$1000,History_Q!$A$2:$A$1000,L$6,History_Q!$C$2:$C$1000,"buybacks_cash"))-3),History_Q!$B$2:$B$1000,"&lt;="&amp;(SUMIFS(History_Q!$B$2:$B$1000,History_Q!$A$2:$A$1000,L$6,History_Q!$C$2:$C$1000,"buybacks_cash")),History_Q!$E$2:$E$1000,"$m",History_Q!$G$2:$G$1000,"populated")&lt;&gt;3),"",SUMIFS(History_Q!$D$2:$D$1000,History_Q!$C$2:$C$1000,"buybacks_cash",History_Q!$B$2:$B$1000,"&gt;="&amp;((SUMIFS(History_Q!$B$2:$B$1000,History_Q!$A$2:$A$1000,L$6,History_Q!$C$2:$C$1000,"buybacks_cash"))-3),History_Q!$B$2:$B$1000,"&lt;="&amp;(SUMIFS(History_Q!$B$2:$B$1000,History_Q!$A$2:$A$1000,L$6,History_Q!$C$2:$C$1000,"buybacks_cash")),History_Q!$E$2:$E$1000,"$m",History_Q!$G$2:$G$1000,"populated"))</f>
        <v/>
      </c>
      <c r="M63" s="450">
        <f>IF(OR(M$6="",COUNTIFS(History_Q!$C$2:$C$1000,"buybacks_cash",History_Q!$B$2:$B$1000,"&gt;="&amp;((SUMIFS(History_Q!$B$2:$B$1000,History_Q!$A$2:$A$1000,M$6,History_Q!$C$2:$C$1000,"buybacks_cash"))-3),History_Q!$B$2:$B$1000,"&lt;="&amp;(SUMIFS(History_Q!$B$2:$B$1000,History_Q!$A$2:$A$1000,M$6,History_Q!$C$2:$C$1000,"buybacks_cash")),History_Q!$E$2:$E$1000,"$m",History_Q!$G$2:$G$1000,"populated")&lt;&gt;4,_xlfn.MAXIFS(History_Q!$B$2:$B$1000,History_Q!$C$2:$C$1000,"buybacks_cash",History_Q!$B$2:$B$1000,"&gt;="&amp;((SUMIFS(History_Q!$B$2:$B$1000,History_Q!$A$2:$A$1000,M$6,History_Q!$C$2:$C$1000,"buybacks_cash"))-3),History_Q!$B$2:$B$1000,"&lt;="&amp;(SUMIFS(History_Q!$B$2:$B$1000,History_Q!$A$2:$A$1000,M$6,History_Q!$C$2:$C$1000,"buybacks_cash")),History_Q!$E$2:$E$1000,"$m",History_Q!$G$2:$G$1000,"populated")-_xlfn.MINIFS(History_Q!$B$2:$B$1000,History_Q!$C$2:$C$1000,"buybacks_cash",History_Q!$B$2:$B$1000,"&gt;="&amp;((SUMIFS(History_Q!$B$2:$B$1000,History_Q!$A$2:$A$1000,M$6,History_Q!$C$2:$C$1000,"buybacks_cash"))-3),History_Q!$B$2:$B$1000,"&lt;="&amp;(SUMIFS(History_Q!$B$2:$B$1000,History_Q!$A$2:$A$1000,M$6,History_Q!$C$2:$C$1000,"buybacks_cash")),History_Q!$E$2:$E$1000,"$m",History_Q!$G$2:$G$1000,"populated")&lt;&gt;3),"",SUMIFS(History_Q!$D$2:$D$1000,History_Q!$C$2:$C$1000,"buybacks_cash",History_Q!$B$2:$B$1000,"&gt;="&amp;((SUMIFS(History_Q!$B$2:$B$1000,History_Q!$A$2:$A$1000,M$6,History_Q!$C$2:$C$1000,"buybacks_cash"))-3),History_Q!$B$2:$B$1000,"&lt;="&amp;(SUMIFS(History_Q!$B$2:$B$1000,History_Q!$A$2:$A$1000,M$6,History_Q!$C$2:$C$1000,"buybacks_cash")),History_Q!$E$2:$E$1000,"$m",History_Q!$G$2:$G$1000,"populated"))</f>
        <v/>
      </c>
      <c r="N63" s="22" t="n"/>
      <c r="O63" s="448" t="inlineStr">
        <is>
          <t>Output</t>
        </is>
      </c>
      <c r="P63" s="47" t="n"/>
      <c r="Q63" s="47" t="n"/>
      <c r="R63" s="47" t="n"/>
      <c r="S63" s="47" t="n"/>
      <c r="T63" s="46" t="n"/>
      <c r="U63" s="448" t="inlineStr">
        <is>
          <t>Value</t>
        </is>
      </c>
      <c r="V63" s="47" t="n"/>
      <c r="W63" s="46" t="n"/>
      <c r="X63" s="448" t="inlineStr">
        <is>
          <t>Interpretation</t>
        </is>
      </c>
      <c r="Y63" s="47" t="n"/>
      <c r="Z63" s="47" t="n"/>
      <c r="AA63" s="47" t="n"/>
      <c r="AB63" s="47" t="n"/>
      <c r="AC63" s="46" t="n"/>
      <c r="AD63" s="22" t="n"/>
      <c r="AE63" s="22" t="n"/>
      <c r="AF63" s="22" t="n"/>
      <c r="AG63" s="22" t="n"/>
      <c r="AH63" s="22" t="n"/>
      <c r="AI63" s="22" t="n"/>
    </row>
    <row r="64" ht="19.5" customHeight="1">
      <c r="A64" s="48" t="inlineStr">
        <is>
          <t>Dividends (TTM, cash)</t>
        </is>
      </c>
      <c r="B64" s="450">
        <f>IF(OR(B$6="",COUNTIFS(History_Q!$C$2:$C$1000,"dividends_cash",History_Q!$B$2:$B$1000,"&gt;="&amp;((SUMIFS(History_Q!$B$2:$B$1000,History_Q!$A$2:$A$1000,B$6,History_Q!$C$2:$C$1000,"dividends_cash"))-3),History_Q!$B$2:$B$1000,"&lt;="&amp;(SUMIFS(History_Q!$B$2:$B$1000,History_Q!$A$2:$A$1000,B$6,History_Q!$C$2:$C$1000,"dividends_cash")),History_Q!$E$2:$E$1000,"$m",History_Q!$G$2:$G$1000,"populated")&lt;&gt;4,_xlfn.MAXIFS(History_Q!$B$2:$B$1000,History_Q!$C$2:$C$1000,"dividends_cash",History_Q!$B$2:$B$1000,"&gt;="&amp;((SUMIFS(History_Q!$B$2:$B$1000,History_Q!$A$2:$A$1000,B$6,History_Q!$C$2:$C$1000,"dividends_cash"))-3),History_Q!$B$2:$B$1000,"&lt;="&amp;(SUMIFS(History_Q!$B$2:$B$1000,History_Q!$A$2:$A$1000,B$6,History_Q!$C$2:$C$1000,"dividends_cash")),History_Q!$E$2:$E$1000,"$m",History_Q!$G$2:$G$1000,"populated")-_xlfn.MINIFS(History_Q!$B$2:$B$1000,History_Q!$C$2:$C$1000,"dividends_cash",History_Q!$B$2:$B$1000,"&gt;="&amp;((SUMIFS(History_Q!$B$2:$B$1000,History_Q!$A$2:$A$1000,B$6,History_Q!$C$2:$C$1000,"dividends_cash"))-3),History_Q!$B$2:$B$1000,"&lt;="&amp;(SUMIFS(History_Q!$B$2:$B$1000,History_Q!$A$2:$A$1000,B$6,History_Q!$C$2:$C$1000,"dividends_cash")),History_Q!$E$2:$E$1000,"$m",History_Q!$G$2:$G$1000,"populated")&lt;&gt;3),"",SUMIFS(History_Q!$D$2:$D$1000,History_Q!$C$2:$C$1000,"dividends_cash",History_Q!$B$2:$B$1000,"&gt;="&amp;((SUMIFS(History_Q!$B$2:$B$1000,History_Q!$A$2:$A$1000,B$6,History_Q!$C$2:$C$1000,"dividends_cash"))-3),History_Q!$B$2:$B$1000,"&lt;="&amp;(SUMIFS(History_Q!$B$2:$B$1000,History_Q!$A$2:$A$1000,B$6,History_Q!$C$2:$C$1000,"dividends_cash")),History_Q!$E$2:$E$1000,"$m",History_Q!$G$2:$G$1000,"populated"))</f>
        <v/>
      </c>
      <c r="C64" s="450">
        <f>IF(OR(C$6="",COUNTIFS(History_Q!$C$2:$C$1000,"dividends_cash",History_Q!$B$2:$B$1000,"&gt;="&amp;((SUMIFS(History_Q!$B$2:$B$1000,History_Q!$A$2:$A$1000,C$6,History_Q!$C$2:$C$1000,"dividends_cash"))-3),History_Q!$B$2:$B$1000,"&lt;="&amp;(SUMIFS(History_Q!$B$2:$B$1000,History_Q!$A$2:$A$1000,C$6,History_Q!$C$2:$C$1000,"dividends_cash")),History_Q!$E$2:$E$1000,"$m",History_Q!$G$2:$G$1000,"populated")&lt;&gt;4,_xlfn.MAXIFS(History_Q!$B$2:$B$1000,History_Q!$C$2:$C$1000,"dividends_cash",History_Q!$B$2:$B$1000,"&gt;="&amp;((SUMIFS(History_Q!$B$2:$B$1000,History_Q!$A$2:$A$1000,C$6,History_Q!$C$2:$C$1000,"dividends_cash"))-3),History_Q!$B$2:$B$1000,"&lt;="&amp;(SUMIFS(History_Q!$B$2:$B$1000,History_Q!$A$2:$A$1000,C$6,History_Q!$C$2:$C$1000,"dividends_cash")),History_Q!$E$2:$E$1000,"$m",History_Q!$G$2:$G$1000,"populated")-_xlfn.MINIFS(History_Q!$B$2:$B$1000,History_Q!$C$2:$C$1000,"dividends_cash",History_Q!$B$2:$B$1000,"&gt;="&amp;((SUMIFS(History_Q!$B$2:$B$1000,History_Q!$A$2:$A$1000,C$6,History_Q!$C$2:$C$1000,"dividends_cash"))-3),History_Q!$B$2:$B$1000,"&lt;="&amp;(SUMIFS(History_Q!$B$2:$B$1000,History_Q!$A$2:$A$1000,C$6,History_Q!$C$2:$C$1000,"dividends_cash")),History_Q!$E$2:$E$1000,"$m",History_Q!$G$2:$G$1000,"populated")&lt;&gt;3),"",SUMIFS(History_Q!$D$2:$D$1000,History_Q!$C$2:$C$1000,"dividends_cash",History_Q!$B$2:$B$1000,"&gt;="&amp;((SUMIFS(History_Q!$B$2:$B$1000,History_Q!$A$2:$A$1000,C$6,History_Q!$C$2:$C$1000,"dividends_cash"))-3),History_Q!$B$2:$B$1000,"&lt;="&amp;(SUMIFS(History_Q!$B$2:$B$1000,History_Q!$A$2:$A$1000,C$6,History_Q!$C$2:$C$1000,"dividends_cash")),History_Q!$E$2:$E$1000,"$m",History_Q!$G$2:$G$1000,"populated"))</f>
        <v/>
      </c>
      <c r="D64" s="450">
        <f>IF(OR(D$6="",COUNTIFS(History_Q!$C$2:$C$1000,"dividends_cash",History_Q!$B$2:$B$1000,"&gt;="&amp;((SUMIFS(History_Q!$B$2:$B$1000,History_Q!$A$2:$A$1000,D$6,History_Q!$C$2:$C$1000,"dividends_cash"))-3),History_Q!$B$2:$B$1000,"&lt;="&amp;(SUMIFS(History_Q!$B$2:$B$1000,History_Q!$A$2:$A$1000,D$6,History_Q!$C$2:$C$1000,"dividends_cash")),History_Q!$E$2:$E$1000,"$m",History_Q!$G$2:$G$1000,"populated")&lt;&gt;4,_xlfn.MAXIFS(History_Q!$B$2:$B$1000,History_Q!$C$2:$C$1000,"dividends_cash",History_Q!$B$2:$B$1000,"&gt;="&amp;((SUMIFS(History_Q!$B$2:$B$1000,History_Q!$A$2:$A$1000,D$6,History_Q!$C$2:$C$1000,"dividends_cash"))-3),History_Q!$B$2:$B$1000,"&lt;="&amp;(SUMIFS(History_Q!$B$2:$B$1000,History_Q!$A$2:$A$1000,D$6,History_Q!$C$2:$C$1000,"dividends_cash")),History_Q!$E$2:$E$1000,"$m",History_Q!$G$2:$G$1000,"populated")-_xlfn.MINIFS(History_Q!$B$2:$B$1000,History_Q!$C$2:$C$1000,"dividends_cash",History_Q!$B$2:$B$1000,"&gt;="&amp;((SUMIFS(History_Q!$B$2:$B$1000,History_Q!$A$2:$A$1000,D$6,History_Q!$C$2:$C$1000,"dividends_cash"))-3),History_Q!$B$2:$B$1000,"&lt;="&amp;(SUMIFS(History_Q!$B$2:$B$1000,History_Q!$A$2:$A$1000,D$6,History_Q!$C$2:$C$1000,"dividends_cash")),History_Q!$E$2:$E$1000,"$m",History_Q!$G$2:$G$1000,"populated")&lt;&gt;3),"",SUMIFS(History_Q!$D$2:$D$1000,History_Q!$C$2:$C$1000,"dividends_cash",History_Q!$B$2:$B$1000,"&gt;="&amp;((SUMIFS(History_Q!$B$2:$B$1000,History_Q!$A$2:$A$1000,D$6,History_Q!$C$2:$C$1000,"dividends_cash"))-3),History_Q!$B$2:$B$1000,"&lt;="&amp;(SUMIFS(History_Q!$B$2:$B$1000,History_Q!$A$2:$A$1000,D$6,History_Q!$C$2:$C$1000,"dividends_cash")),History_Q!$E$2:$E$1000,"$m",History_Q!$G$2:$G$1000,"populated"))</f>
        <v/>
      </c>
      <c r="E64" s="450">
        <f>IF(OR(E$6="",COUNTIFS(History_Q!$C$2:$C$1000,"dividends_cash",History_Q!$B$2:$B$1000,"&gt;="&amp;((SUMIFS(History_Q!$B$2:$B$1000,History_Q!$A$2:$A$1000,E$6,History_Q!$C$2:$C$1000,"dividends_cash"))-3),History_Q!$B$2:$B$1000,"&lt;="&amp;(SUMIFS(History_Q!$B$2:$B$1000,History_Q!$A$2:$A$1000,E$6,History_Q!$C$2:$C$1000,"dividends_cash")),History_Q!$E$2:$E$1000,"$m",History_Q!$G$2:$G$1000,"populated")&lt;&gt;4,_xlfn.MAXIFS(History_Q!$B$2:$B$1000,History_Q!$C$2:$C$1000,"dividends_cash",History_Q!$B$2:$B$1000,"&gt;="&amp;((SUMIFS(History_Q!$B$2:$B$1000,History_Q!$A$2:$A$1000,E$6,History_Q!$C$2:$C$1000,"dividends_cash"))-3),History_Q!$B$2:$B$1000,"&lt;="&amp;(SUMIFS(History_Q!$B$2:$B$1000,History_Q!$A$2:$A$1000,E$6,History_Q!$C$2:$C$1000,"dividends_cash")),History_Q!$E$2:$E$1000,"$m",History_Q!$G$2:$G$1000,"populated")-_xlfn.MINIFS(History_Q!$B$2:$B$1000,History_Q!$C$2:$C$1000,"dividends_cash",History_Q!$B$2:$B$1000,"&gt;="&amp;((SUMIFS(History_Q!$B$2:$B$1000,History_Q!$A$2:$A$1000,E$6,History_Q!$C$2:$C$1000,"dividends_cash"))-3),History_Q!$B$2:$B$1000,"&lt;="&amp;(SUMIFS(History_Q!$B$2:$B$1000,History_Q!$A$2:$A$1000,E$6,History_Q!$C$2:$C$1000,"dividends_cash")),History_Q!$E$2:$E$1000,"$m",History_Q!$G$2:$G$1000,"populated")&lt;&gt;3),"",SUMIFS(History_Q!$D$2:$D$1000,History_Q!$C$2:$C$1000,"dividends_cash",History_Q!$B$2:$B$1000,"&gt;="&amp;((SUMIFS(History_Q!$B$2:$B$1000,History_Q!$A$2:$A$1000,E$6,History_Q!$C$2:$C$1000,"dividends_cash"))-3),History_Q!$B$2:$B$1000,"&lt;="&amp;(SUMIFS(History_Q!$B$2:$B$1000,History_Q!$A$2:$A$1000,E$6,History_Q!$C$2:$C$1000,"dividends_cash")),History_Q!$E$2:$E$1000,"$m",History_Q!$G$2:$G$1000,"populated"))</f>
        <v/>
      </c>
      <c r="F64" s="450">
        <f>IF(OR(F$6="",COUNTIFS(History_Q!$C$2:$C$1000,"dividends_cash",History_Q!$B$2:$B$1000,"&gt;="&amp;((SUMIFS(History_Q!$B$2:$B$1000,History_Q!$A$2:$A$1000,F$6,History_Q!$C$2:$C$1000,"dividends_cash"))-3),History_Q!$B$2:$B$1000,"&lt;="&amp;(SUMIFS(History_Q!$B$2:$B$1000,History_Q!$A$2:$A$1000,F$6,History_Q!$C$2:$C$1000,"dividends_cash")),History_Q!$E$2:$E$1000,"$m",History_Q!$G$2:$G$1000,"populated")&lt;&gt;4,_xlfn.MAXIFS(History_Q!$B$2:$B$1000,History_Q!$C$2:$C$1000,"dividends_cash",History_Q!$B$2:$B$1000,"&gt;="&amp;((SUMIFS(History_Q!$B$2:$B$1000,History_Q!$A$2:$A$1000,F$6,History_Q!$C$2:$C$1000,"dividends_cash"))-3),History_Q!$B$2:$B$1000,"&lt;="&amp;(SUMIFS(History_Q!$B$2:$B$1000,History_Q!$A$2:$A$1000,F$6,History_Q!$C$2:$C$1000,"dividends_cash")),History_Q!$E$2:$E$1000,"$m",History_Q!$G$2:$G$1000,"populated")-_xlfn.MINIFS(History_Q!$B$2:$B$1000,History_Q!$C$2:$C$1000,"dividends_cash",History_Q!$B$2:$B$1000,"&gt;="&amp;((SUMIFS(History_Q!$B$2:$B$1000,History_Q!$A$2:$A$1000,F$6,History_Q!$C$2:$C$1000,"dividends_cash"))-3),History_Q!$B$2:$B$1000,"&lt;="&amp;(SUMIFS(History_Q!$B$2:$B$1000,History_Q!$A$2:$A$1000,F$6,History_Q!$C$2:$C$1000,"dividends_cash")),History_Q!$E$2:$E$1000,"$m",History_Q!$G$2:$G$1000,"populated")&lt;&gt;3),"",SUMIFS(History_Q!$D$2:$D$1000,History_Q!$C$2:$C$1000,"dividends_cash",History_Q!$B$2:$B$1000,"&gt;="&amp;((SUMIFS(History_Q!$B$2:$B$1000,History_Q!$A$2:$A$1000,F$6,History_Q!$C$2:$C$1000,"dividends_cash"))-3),History_Q!$B$2:$B$1000,"&lt;="&amp;(SUMIFS(History_Q!$B$2:$B$1000,History_Q!$A$2:$A$1000,F$6,History_Q!$C$2:$C$1000,"dividends_cash")),History_Q!$E$2:$E$1000,"$m",History_Q!$G$2:$G$1000,"populated"))</f>
        <v/>
      </c>
      <c r="G64" s="450">
        <f>IF(OR(G$6="",COUNTIFS(History_Q!$C$2:$C$1000,"dividends_cash",History_Q!$B$2:$B$1000,"&gt;="&amp;((SUMIFS(History_Q!$B$2:$B$1000,History_Q!$A$2:$A$1000,G$6,History_Q!$C$2:$C$1000,"dividends_cash"))-3),History_Q!$B$2:$B$1000,"&lt;="&amp;(SUMIFS(History_Q!$B$2:$B$1000,History_Q!$A$2:$A$1000,G$6,History_Q!$C$2:$C$1000,"dividends_cash")),History_Q!$E$2:$E$1000,"$m",History_Q!$G$2:$G$1000,"populated")&lt;&gt;4,_xlfn.MAXIFS(History_Q!$B$2:$B$1000,History_Q!$C$2:$C$1000,"dividends_cash",History_Q!$B$2:$B$1000,"&gt;="&amp;((SUMIFS(History_Q!$B$2:$B$1000,History_Q!$A$2:$A$1000,G$6,History_Q!$C$2:$C$1000,"dividends_cash"))-3),History_Q!$B$2:$B$1000,"&lt;="&amp;(SUMIFS(History_Q!$B$2:$B$1000,History_Q!$A$2:$A$1000,G$6,History_Q!$C$2:$C$1000,"dividends_cash")),History_Q!$E$2:$E$1000,"$m",History_Q!$G$2:$G$1000,"populated")-_xlfn.MINIFS(History_Q!$B$2:$B$1000,History_Q!$C$2:$C$1000,"dividends_cash",History_Q!$B$2:$B$1000,"&gt;="&amp;((SUMIFS(History_Q!$B$2:$B$1000,History_Q!$A$2:$A$1000,G$6,History_Q!$C$2:$C$1000,"dividends_cash"))-3),History_Q!$B$2:$B$1000,"&lt;="&amp;(SUMIFS(History_Q!$B$2:$B$1000,History_Q!$A$2:$A$1000,G$6,History_Q!$C$2:$C$1000,"dividends_cash")),History_Q!$E$2:$E$1000,"$m",History_Q!$G$2:$G$1000,"populated")&lt;&gt;3),"",SUMIFS(History_Q!$D$2:$D$1000,History_Q!$C$2:$C$1000,"dividends_cash",History_Q!$B$2:$B$1000,"&gt;="&amp;((SUMIFS(History_Q!$B$2:$B$1000,History_Q!$A$2:$A$1000,G$6,History_Q!$C$2:$C$1000,"dividends_cash"))-3),History_Q!$B$2:$B$1000,"&lt;="&amp;(SUMIFS(History_Q!$B$2:$B$1000,History_Q!$A$2:$A$1000,G$6,History_Q!$C$2:$C$1000,"dividends_cash")),History_Q!$E$2:$E$1000,"$m",History_Q!$G$2:$G$1000,"populated"))</f>
        <v/>
      </c>
      <c r="H64" s="450">
        <f>IF(OR(H$6="",COUNTIFS(History_Q!$C$2:$C$1000,"dividends_cash",History_Q!$B$2:$B$1000,"&gt;="&amp;((SUMIFS(History_Q!$B$2:$B$1000,History_Q!$A$2:$A$1000,H$6,History_Q!$C$2:$C$1000,"dividends_cash"))-3),History_Q!$B$2:$B$1000,"&lt;="&amp;(SUMIFS(History_Q!$B$2:$B$1000,History_Q!$A$2:$A$1000,H$6,History_Q!$C$2:$C$1000,"dividends_cash")),History_Q!$E$2:$E$1000,"$m",History_Q!$G$2:$G$1000,"populated")&lt;&gt;4,_xlfn.MAXIFS(History_Q!$B$2:$B$1000,History_Q!$C$2:$C$1000,"dividends_cash",History_Q!$B$2:$B$1000,"&gt;="&amp;((SUMIFS(History_Q!$B$2:$B$1000,History_Q!$A$2:$A$1000,H$6,History_Q!$C$2:$C$1000,"dividends_cash"))-3),History_Q!$B$2:$B$1000,"&lt;="&amp;(SUMIFS(History_Q!$B$2:$B$1000,History_Q!$A$2:$A$1000,H$6,History_Q!$C$2:$C$1000,"dividends_cash")),History_Q!$E$2:$E$1000,"$m",History_Q!$G$2:$G$1000,"populated")-_xlfn.MINIFS(History_Q!$B$2:$B$1000,History_Q!$C$2:$C$1000,"dividends_cash",History_Q!$B$2:$B$1000,"&gt;="&amp;((SUMIFS(History_Q!$B$2:$B$1000,History_Q!$A$2:$A$1000,H$6,History_Q!$C$2:$C$1000,"dividends_cash"))-3),History_Q!$B$2:$B$1000,"&lt;="&amp;(SUMIFS(History_Q!$B$2:$B$1000,History_Q!$A$2:$A$1000,H$6,History_Q!$C$2:$C$1000,"dividends_cash")),History_Q!$E$2:$E$1000,"$m",History_Q!$G$2:$G$1000,"populated")&lt;&gt;3),"",SUMIFS(History_Q!$D$2:$D$1000,History_Q!$C$2:$C$1000,"dividends_cash",History_Q!$B$2:$B$1000,"&gt;="&amp;((SUMIFS(History_Q!$B$2:$B$1000,History_Q!$A$2:$A$1000,H$6,History_Q!$C$2:$C$1000,"dividends_cash"))-3),History_Q!$B$2:$B$1000,"&lt;="&amp;(SUMIFS(History_Q!$B$2:$B$1000,History_Q!$A$2:$A$1000,H$6,History_Q!$C$2:$C$1000,"dividends_cash")),History_Q!$E$2:$E$1000,"$m",History_Q!$G$2:$G$1000,"populated"))</f>
        <v/>
      </c>
      <c r="I64" s="450">
        <f>IF(OR(I$6="",COUNTIFS(History_Q!$C$2:$C$1000,"dividends_cash",History_Q!$B$2:$B$1000,"&gt;="&amp;((SUMIFS(History_Q!$B$2:$B$1000,History_Q!$A$2:$A$1000,I$6,History_Q!$C$2:$C$1000,"dividends_cash"))-3),History_Q!$B$2:$B$1000,"&lt;="&amp;(SUMIFS(History_Q!$B$2:$B$1000,History_Q!$A$2:$A$1000,I$6,History_Q!$C$2:$C$1000,"dividends_cash")),History_Q!$E$2:$E$1000,"$m",History_Q!$G$2:$G$1000,"populated")&lt;&gt;4,_xlfn.MAXIFS(History_Q!$B$2:$B$1000,History_Q!$C$2:$C$1000,"dividends_cash",History_Q!$B$2:$B$1000,"&gt;="&amp;((SUMIFS(History_Q!$B$2:$B$1000,History_Q!$A$2:$A$1000,I$6,History_Q!$C$2:$C$1000,"dividends_cash"))-3),History_Q!$B$2:$B$1000,"&lt;="&amp;(SUMIFS(History_Q!$B$2:$B$1000,History_Q!$A$2:$A$1000,I$6,History_Q!$C$2:$C$1000,"dividends_cash")),History_Q!$E$2:$E$1000,"$m",History_Q!$G$2:$G$1000,"populated")-_xlfn.MINIFS(History_Q!$B$2:$B$1000,History_Q!$C$2:$C$1000,"dividends_cash",History_Q!$B$2:$B$1000,"&gt;="&amp;((SUMIFS(History_Q!$B$2:$B$1000,History_Q!$A$2:$A$1000,I$6,History_Q!$C$2:$C$1000,"dividends_cash"))-3),History_Q!$B$2:$B$1000,"&lt;="&amp;(SUMIFS(History_Q!$B$2:$B$1000,History_Q!$A$2:$A$1000,I$6,History_Q!$C$2:$C$1000,"dividends_cash")),History_Q!$E$2:$E$1000,"$m",History_Q!$G$2:$G$1000,"populated")&lt;&gt;3),"",SUMIFS(History_Q!$D$2:$D$1000,History_Q!$C$2:$C$1000,"dividends_cash",History_Q!$B$2:$B$1000,"&gt;="&amp;((SUMIFS(History_Q!$B$2:$B$1000,History_Q!$A$2:$A$1000,I$6,History_Q!$C$2:$C$1000,"dividends_cash"))-3),History_Q!$B$2:$B$1000,"&lt;="&amp;(SUMIFS(History_Q!$B$2:$B$1000,History_Q!$A$2:$A$1000,I$6,History_Q!$C$2:$C$1000,"dividends_cash")),History_Q!$E$2:$E$1000,"$m",History_Q!$G$2:$G$1000,"populated"))</f>
        <v/>
      </c>
      <c r="J64" s="450">
        <f>IF(OR(J$6="",COUNTIFS(History_Q!$C$2:$C$1000,"dividends_cash",History_Q!$B$2:$B$1000,"&gt;="&amp;((SUMIFS(History_Q!$B$2:$B$1000,History_Q!$A$2:$A$1000,J$6,History_Q!$C$2:$C$1000,"dividends_cash"))-3),History_Q!$B$2:$B$1000,"&lt;="&amp;(SUMIFS(History_Q!$B$2:$B$1000,History_Q!$A$2:$A$1000,J$6,History_Q!$C$2:$C$1000,"dividends_cash")),History_Q!$E$2:$E$1000,"$m",History_Q!$G$2:$G$1000,"populated")&lt;&gt;4,_xlfn.MAXIFS(History_Q!$B$2:$B$1000,History_Q!$C$2:$C$1000,"dividends_cash",History_Q!$B$2:$B$1000,"&gt;="&amp;((SUMIFS(History_Q!$B$2:$B$1000,History_Q!$A$2:$A$1000,J$6,History_Q!$C$2:$C$1000,"dividends_cash"))-3),History_Q!$B$2:$B$1000,"&lt;="&amp;(SUMIFS(History_Q!$B$2:$B$1000,History_Q!$A$2:$A$1000,J$6,History_Q!$C$2:$C$1000,"dividends_cash")),History_Q!$E$2:$E$1000,"$m",History_Q!$G$2:$G$1000,"populated")-_xlfn.MINIFS(History_Q!$B$2:$B$1000,History_Q!$C$2:$C$1000,"dividends_cash",History_Q!$B$2:$B$1000,"&gt;="&amp;((SUMIFS(History_Q!$B$2:$B$1000,History_Q!$A$2:$A$1000,J$6,History_Q!$C$2:$C$1000,"dividends_cash"))-3),History_Q!$B$2:$B$1000,"&lt;="&amp;(SUMIFS(History_Q!$B$2:$B$1000,History_Q!$A$2:$A$1000,J$6,History_Q!$C$2:$C$1000,"dividends_cash")),History_Q!$E$2:$E$1000,"$m",History_Q!$G$2:$G$1000,"populated")&lt;&gt;3),"",SUMIFS(History_Q!$D$2:$D$1000,History_Q!$C$2:$C$1000,"dividends_cash",History_Q!$B$2:$B$1000,"&gt;="&amp;((SUMIFS(History_Q!$B$2:$B$1000,History_Q!$A$2:$A$1000,J$6,History_Q!$C$2:$C$1000,"dividends_cash"))-3),History_Q!$B$2:$B$1000,"&lt;="&amp;(SUMIFS(History_Q!$B$2:$B$1000,History_Q!$A$2:$A$1000,J$6,History_Q!$C$2:$C$1000,"dividends_cash")),History_Q!$E$2:$E$1000,"$m",History_Q!$G$2:$G$1000,"populated"))</f>
        <v/>
      </c>
      <c r="K64" s="450">
        <f>IF(OR(K$6="",COUNTIFS(History_Q!$C$2:$C$1000,"dividends_cash",History_Q!$B$2:$B$1000,"&gt;="&amp;((SUMIFS(History_Q!$B$2:$B$1000,History_Q!$A$2:$A$1000,K$6,History_Q!$C$2:$C$1000,"dividends_cash"))-3),History_Q!$B$2:$B$1000,"&lt;="&amp;(SUMIFS(History_Q!$B$2:$B$1000,History_Q!$A$2:$A$1000,K$6,History_Q!$C$2:$C$1000,"dividends_cash")),History_Q!$E$2:$E$1000,"$m",History_Q!$G$2:$G$1000,"populated")&lt;&gt;4,_xlfn.MAXIFS(History_Q!$B$2:$B$1000,History_Q!$C$2:$C$1000,"dividends_cash",History_Q!$B$2:$B$1000,"&gt;="&amp;((SUMIFS(History_Q!$B$2:$B$1000,History_Q!$A$2:$A$1000,K$6,History_Q!$C$2:$C$1000,"dividends_cash"))-3),History_Q!$B$2:$B$1000,"&lt;="&amp;(SUMIFS(History_Q!$B$2:$B$1000,History_Q!$A$2:$A$1000,K$6,History_Q!$C$2:$C$1000,"dividends_cash")),History_Q!$E$2:$E$1000,"$m",History_Q!$G$2:$G$1000,"populated")-_xlfn.MINIFS(History_Q!$B$2:$B$1000,History_Q!$C$2:$C$1000,"dividends_cash",History_Q!$B$2:$B$1000,"&gt;="&amp;((SUMIFS(History_Q!$B$2:$B$1000,History_Q!$A$2:$A$1000,K$6,History_Q!$C$2:$C$1000,"dividends_cash"))-3),History_Q!$B$2:$B$1000,"&lt;="&amp;(SUMIFS(History_Q!$B$2:$B$1000,History_Q!$A$2:$A$1000,K$6,History_Q!$C$2:$C$1000,"dividends_cash")),History_Q!$E$2:$E$1000,"$m",History_Q!$G$2:$G$1000,"populated")&lt;&gt;3),"",SUMIFS(History_Q!$D$2:$D$1000,History_Q!$C$2:$C$1000,"dividends_cash",History_Q!$B$2:$B$1000,"&gt;="&amp;((SUMIFS(History_Q!$B$2:$B$1000,History_Q!$A$2:$A$1000,K$6,History_Q!$C$2:$C$1000,"dividends_cash"))-3),History_Q!$B$2:$B$1000,"&lt;="&amp;(SUMIFS(History_Q!$B$2:$B$1000,History_Q!$A$2:$A$1000,K$6,History_Q!$C$2:$C$1000,"dividends_cash")),History_Q!$E$2:$E$1000,"$m",History_Q!$G$2:$G$1000,"populated"))</f>
        <v/>
      </c>
      <c r="L64" s="450">
        <f>IF(OR(L$6="",COUNTIFS(History_Q!$C$2:$C$1000,"dividends_cash",History_Q!$B$2:$B$1000,"&gt;="&amp;((SUMIFS(History_Q!$B$2:$B$1000,History_Q!$A$2:$A$1000,L$6,History_Q!$C$2:$C$1000,"dividends_cash"))-3),History_Q!$B$2:$B$1000,"&lt;="&amp;(SUMIFS(History_Q!$B$2:$B$1000,History_Q!$A$2:$A$1000,L$6,History_Q!$C$2:$C$1000,"dividends_cash")),History_Q!$E$2:$E$1000,"$m",History_Q!$G$2:$G$1000,"populated")&lt;&gt;4,_xlfn.MAXIFS(History_Q!$B$2:$B$1000,History_Q!$C$2:$C$1000,"dividends_cash",History_Q!$B$2:$B$1000,"&gt;="&amp;((SUMIFS(History_Q!$B$2:$B$1000,History_Q!$A$2:$A$1000,L$6,History_Q!$C$2:$C$1000,"dividends_cash"))-3),History_Q!$B$2:$B$1000,"&lt;="&amp;(SUMIFS(History_Q!$B$2:$B$1000,History_Q!$A$2:$A$1000,L$6,History_Q!$C$2:$C$1000,"dividends_cash")),History_Q!$E$2:$E$1000,"$m",History_Q!$G$2:$G$1000,"populated")-_xlfn.MINIFS(History_Q!$B$2:$B$1000,History_Q!$C$2:$C$1000,"dividends_cash",History_Q!$B$2:$B$1000,"&gt;="&amp;((SUMIFS(History_Q!$B$2:$B$1000,History_Q!$A$2:$A$1000,L$6,History_Q!$C$2:$C$1000,"dividends_cash"))-3),History_Q!$B$2:$B$1000,"&lt;="&amp;(SUMIFS(History_Q!$B$2:$B$1000,History_Q!$A$2:$A$1000,L$6,History_Q!$C$2:$C$1000,"dividends_cash")),History_Q!$E$2:$E$1000,"$m",History_Q!$G$2:$G$1000,"populated")&lt;&gt;3),"",SUMIFS(History_Q!$D$2:$D$1000,History_Q!$C$2:$C$1000,"dividends_cash",History_Q!$B$2:$B$1000,"&gt;="&amp;((SUMIFS(History_Q!$B$2:$B$1000,History_Q!$A$2:$A$1000,L$6,History_Q!$C$2:$C$1000,"dividends_cash"))-3),History_Q!$B$2:$B$1000,"&lt;="&amp;(SUMIFS(History_Q!$B$2:$B$1000,History_Q!$A$2:$A$1000,L$6,History_Q!$C$2:$C$1000,"dividends_cash")),History_Q!$E$2:$E$1000,"$m",History_Q!$G$2:$G$1000,"populated"))</f>
        <v/>
      </c>
      <c r="M64" s="450">
        <f>IF(OR(M$6="",COUNTIFS(History_Q!$C$2:$C$1000,"dividends_cash",History_Q!$B$2:$B$1000,"&gt;="&amp;((SUMIFS(History_Q!$B$2:$B$1000,History_Q!$A$2:$A$1000,M$6,History_Q!$C$2:$C$1000,"dividends_cash"))-3),History_Q!$B$2:$B$1000,"&lt;="&amp;(SUMIFS(History_Q!$B$2:$B$1000,History_Q!$A$2:$A$1000,M$6,History_Q!$C$2:$C$1000,"dividends_cash")),History_Q!$E$2:$E$1000,"$m",History_Q!$G$2:$G$1000,"populated")&lt;&gt;4,_xlfn.MAXIFS(History_Q!$B$2:$B$1000,History_Q!$C$2:$C$1000,"dividends_cash",History_Q!$B$2:$B$1000,"&gt;="&amp;((SUMIFS(History_Q!$B$2:$B$1000,History_Q!$A$2:$A$1000,M$6,History_Q!$C$2:$C$1000,"dividends_cash"))-3),History_Q!$B$2:$B$1000,"&lt;="&amp;(SUMIFS(History_Q!$B$2:$B$1000,History_Q!$A$2:$A$1000,M$6,History_Q!$C$2:$C$1000,"dividends_cash")),History_Q!$E$2:$E$1000,"$m",History_Q!$G$2:$G$1000,"populated")-_xlfn.MINIFS(History_Q!$B$2:$B$1000,History_Q!$C$2:$C$1000,"dividends_cash",History_Q!$B$2:$B$1000,"&gt;="&amp;((SUMIFS(History_Q!$B$2:$B$1000,History_Q!$A$2:$A$1000,M$6,History_Q!$C$2:$C$1000,"dividends_cash"))-3),History_Q!$B$2:$B$1000,"&lt;="&amp;(SUMIFS(History_Q!$B$2:$B$1000,History_Q!$A$2:$A$1000,M$6,History_Q!$C$2:$C$1000,"dividends_cash")),History_Q!$E$2:$E$1000,"$m",History_Q!$G$2:$G$1000,"populated")&lt;&gt;3),"",SUMIFS(History_Q!$D$2:$D$1000,History_Q!$C$2:$C$1000,"dividends_cash",History_Q!$B$2:$B$1000,"&gt;="&amp;((SUMIFS(History_Q!$B$2:$B$1000,History_Q!$A$2:$A$1000,M$6,History_Q!$C$2:$C$1000,"dividends_cash"))-3),History_Q!$B$2:$B$1000,"&lt;="&amp;(SUMIFS(History_Q!$B$2:$B$1000,History_Q!$A$2:$A$1000,M$6,History_Q!$C$2:$C$1000,"dividends_cash")),History_Q!$E$2:$E$1000,"$m",History_Q!$G$2:$G$1000,"populated"))</f>
        <v/>
      </c>
      <c r="N64" s="22" t="n"/>
      <c r="O64" s="52" t="inlineStr">
        <is>
          <t>Adjusted EBITDA TTM</t>
        </is>
      </c>
      <c r="P64" s="47" t="n"/>
      <c r="Q64" s="47" t="n"/>
      <c r="R64" s="47" t="n"/>
      <c r="S64" s="47" t="n"/>
      <c r="T64" s="46" t="n"/>
      <c r="U64" s="456">
        <f>IF(Adj_EBITDA="","",Adj_EBITDA)</f>
        <v/>
      </c>
      <c r="V64" s="47" t="n"/>
      <c r="W64" s="46" t="n"/>
      <c r="X64" s="52" t="inlineStr">
        <is>
          <t>Adjusted EBITDA TTM base</t>
        </is>
      </c>
      <c r="Y64" s="47" t="n"/>
      <c r="Z64" s="47" t="n"/>
      <c r="AA64" s="47" t="n"/>
      <c r="AB64" s="47" t="n"/>
      <c r="AC64" s="46" t="n"/>
      <c r="AD64" s="22" t="n"/>
      <c r="AE64" s="22" t="n"/>
      <c r="AF64" s="22" t="n"/>
      <c r="AG64" s="22" t="n"/>
      <c r="AH64" s="22" t="n"/>
      <c r="AI64" s="22" t="n"/>
    </row>
    <row r="65" ht="19.5" customHeight="1">
      <c r="A65" s="48" t="inlineStr">
        <is>
          <t>Acquisitions (TTM, cash)</t>
        </is>
      </c>
      <c r="B65" s="450">
        <f>IF(OR(B$6="",COUNTIFS(History_Q!$C$2:$C$1000,"acquisitions_cash",History_Q!$B$2:$B$1000,"&gt;="&amp;((SUMIFS(History_Q!$B$2:$B$1000,History_Q!$A$2:$A$1000,B$6,History_Q!$C$2:$C$1000,"acquisitions_cash"))-3),History_Q!$B$2:$B$1000,"&lt;="&amp;(SUMIFS(History_Q!$B$2:$B$1000,History_Q!$A$2:$A$1000,B$6,History_Q!$C$2:$C$1000,"acquisitions_cash")),History_Q!$E$2:$E$1000,"$m",History_Q!$G$2:$G$1000,"populated")&lt;&gt;4,_xlfn.MAXIFS(History_Q!$B$2:$B$1000,History_Q!$C$2:$C$1000,"acquisitions_cash",History_Q!$B$2:$B$1000,"&gt;="&amp;((SUMIFS(History_Q!$B$2:$B$1000,History_Q!$A$2:$A$1000,B$6,History_Q!$C$2:$C$1000,"acquisitions_cash"))-3),History_Q!$B$2:$B$1000,"&lt;="&amp;(SUMIFS(History_Q!$B$2:$B$1000,History_Q!$A$2:$A$1000,B$6,History_Q!$C$2:$C$1000,"acquisitions_cash")),History_Q!$E$2:$E$1000,"$m",History_Q!$G$2:$G$1000,"populated")-_xlfn.MINIFS(History_Q!$B$2:$B$1000,History_Q!$C$2:$C$1000,"acquisitions_cash",History_Q!$B$2:$B$1000,"&gt;="&amp;((SUMIFS(History_Q!$B$2:$B$1000,History_Q!$A$2:$A$1000,B$6,History_Q!$C$2:$C$1000,"acquisitions_cash"))-3),History_Q!$B$2:$B$1000,"&lt;="&amp;(SUMIFS(History_Q!$B$2:$B$1000,History_Q!$A$2:$A$1000,B$6,History_Q!$C$2:$C$1000,"acquisitions_cash")),History_Q!$E$2:$E$1000,"$m",History_Q!$G$2:$G$1000,"populated")&lt;&gt;3),"",SUMIFS(History_Q!$D$2:$D$1000,History_Q!$C$2:$C$1000,"acquisitions_cash",History_Q!$B$2:$B$1000,"&gt;="&amp;((SUMIFS(History_Q!$B$2:$B$1000,History_Q!$A$2:$A$1000,B$6,History_Q!$C$2:$C$1000,"acquisitions_cash"))-3),History_Q!$B$2:$B$1000,"&lt;="&amp;(SUMIFS(History_Q!$B$2:$B$1000,History_Q!$A$2:$A$1000,B$6,History_Q!$C$2:$C$1000,"acquisitions_cash")),History_Q!$E$2:$E$1000,"$m",History_Q!$G$2:$G$1000,"populated"))</f>
        <v/>
      </c>
      <c r="C65" s="450">
        <f>IF(OR(C$6="",COUNTIFS(History_Q!$C$2:$C$1000,"acquisitions_cash",History_Q!$B$2:$B$1000,"&gt;="&amp;((SUMIFS(History_Q!$B$2:$B$1000,History_Q!$A$2:$A$1000,C$6,History_Q!$C$2:$C$1000,"acquisitions_cash"))-3),History_Q!$B$2:$B$1000,"&lt;="&amp;(SUMIFS(History_Q!$B$2:$B$1000,History_Q!$A$2:$A$1000,C$6,History_Q!$C$2:$C$1000,"acquisitions_cash")),History_Q!$E$2:$E$1000,"$m",History_Q!$G$2:$G$1000,"populated")&lt;&gt;4,_xlfn.MAXIFS(History_Q!$B$2:$B$1000,History_Q!$C$2:$C$1000,"acquisitions_cash",History_Q!$B$2:$B$1000,"&gt;="&amp;((SUMIFS(History_Q!$B$2:$B$1000,History_Q!$A$2:$A$1000,C$6,History_Q!$C$2:$C$1000,"acquisitions_cash"))-3),History_Q!$B$2:$B$1000,"&lt;="&amp;(SUMIFS(History_Q!$B$2:$B$1000,History_Q!$A$2:$A$1000,C$6,History_Q!$C$2:$C$1000,"acquisitions_cash")),History_Q!$E$2:$E$1000,"$m",History_Q!$G$2:$G$1000,"populated")-_xlfn.MINIFS(History_Q!$B$2:$B$1000,History_Q!$C$2:$C$1000,"acquisitions_cash",History_Q!$B$2:$B$1000,"&gt;="&amp;((SUMIFS(History_Q!$B$2:$B$1000,History_Q!$A$2:$A$1000,C$6,History_Q!$C$2:$C$1000,"acquisitions_cash"))-3),History_Q!$B$2:$B$1000,"&lt;="&amp;(SUMIFS(History_Q!$B$2:$B$1000,History_Q!$A$2:$A$1000,C$6,History_Q!$C$2:$C$1000,"acquisitions_cash")),History_Q!$E$2:$E$1000,"$m",History_Q!$G$2:$G$1000,"populated")&lt;&gt;3),"",SUMIFS(History_Q!$D$2:$D$1000,History_Q!$C$2:$C$1000,"acquisitions_cash",History_Q!$B$2:$B$1000,"&gt;="&amp;((SUMIFS(History_Q!$B$2:$B$1000,History_Q!$A$2:$A$1000,C$6,History_Q!$C$2:$C$1000,"acquisitions_cash"))-3),History_Q!$B$2:$B$1000,"&lt;="&amp;(SUMIFS(History_Q!$B$2:$B$1000,History_Q!$A$2:$A$1000,C$6,History_Q!$C$2:$C$1000,"acquisitions_cash")),History_Q!$E$2:$E$1000,"$m",History_Q!$G$2:$G$1000,"populated"))</f>
        <v/>
      </c>
      <c r="D65" s="450">
        <f>IF(OR(D$6="",COUNTIFS(History_Q!$C$2:$C$1000,"acquisitions_cash",History_Q!$B$2:$B$1000,"&gt;="&amp;((SUMIFS(History_Q!$B$2:$B$1000,History_Q!$A$2:$A$1000,D$6,History_Q!$C$2:$C$1000,"acquisitions_cash"))-3),History_Q!$B$2:$B$1000,"&lt;="&amp;(SUMIFS(History_Q!$B$2:$B$1000,History_Q!$A$2:$A$1000,D$6,History_Q!$C$2:$C$1000,"acquisitions_cash")),History_Q!$E$2:$E$1000,"$m",History_Q!$G$2:$G$1000,"populated")&lt;&gt;4,_xlfn.MAXIFS(History_Q!$B$2:$B$1000,History_Q!$C$2:$C$1000,"acquisitions_cash",History_Q!$B$2:$B$1000,"&gt;="&amp;((SUMIFS(History_Q!$B$2:$B$1000,History_Q!$A$2:$A$1000,D$6,History_Q!$C$2:$C$1000,"acquisitions_cash"))-3),History_Q!$B$2:$B$1000,"&lt;="&amp;(SUMIFS(History_Q!$B$2:$B$1000,History_Q!$A$2:$A$1000,D$6,History_Q!$C$2:$C$1000,"acquisitions_cash")),History_Q!$E$2:$E$1000,"$m",History_Q!$G$2:$G$1000,"populated")-_xlfn.MINIFS(History_Q!$B$2:$B$1000,History_Q!$C$2:$C$1000,"acquisitions_cash",History_Q!$B$2:$B$1000,"&gt;="&amp;((SUMIFS(History_Q!$B$2:$B$1000,History_Q!$A$2:$A$1000,D$6,History_Q!$C$2:$C$1000,"acquisitions_cash"))-3),History_Q!$B$2:$B$1000,"&lt;="&amp;(SUMIFS(History_Q!$B$2:$B$1000,History_Q!$A$2:$A$1000,D$6,History_Q!$C$2:$C$1000,"acquisitions_cash")),History_Q!$E$2:$E$1000,"$m",History_Q!$G$2:$G$1000,"populated")&lt;&gt;3),"",SUMIFS(History_Q!$D$2:$D$1000,History_Q!$C$2:$C$1000,"acquisitions_cash",History_Q!$B$2:$B$1000,"&gt;="&amp;((SUMIFS(History_Q!$B$2:$B$1000,History_Q!$A$2:$A$1000,D$6,History_Q!$C$2:$C$1000,"acquisitions_cash"))-3),History_Q!$B$2:$B$1000,"&lt;="&amp;(SUMIFS(History_Q!$B$2:$B$1000,History_Q!$A$2:$A$1000,D$6,History_Q!$C$2:$C$1000,"acquisitions_cash")),History_Q!$E$2:$E$1000,"$m",History_Q!$G$2:$G$1000,"populated"))</f>
        <v/>
      </c>
      <c r="E65" s="450">
        <f>IF(OR(E$6="",COUNTIFS(History_Q!$C$2:$C$1000,"acquisitions_cash",History_Q!$B$2:$B$1000,"&gt;="&amp;((SUMIFS(History_Q!$B$2:$B$1000,History_Q!$A$2:$A$1000,E$6,History_Q!$C$2:$C$1000,"acquisitions_cash"))-3),History_Q!$B$2:$B$1000,"&lt;="&amp;(SUMIFS(History_Q!$B$2:$B$1000,History_Q!$A$2:$A$1000,E$6,History_Q!$C$2:$C$1000,"acquisitions_cash")),History_Q!$E$2:$E$1000,"$m",History_Q!$G$2:$G$1000,"populated")&lt;&gt;4,_xlfn.MAXIFS(History_Q!$B$2:$B$1000,History_Q!$C$2:$C$1000,"acquisitions_cash",History_Q!$B$2:$B$1000,"&gt;="&amp;((SUMIFS(History_Q!$B$2:$B$1000,History_Q!$A$2:$A$1000,E$6,History_Q!$C$2:$C$1000,"acquisitions_cash"))-3),History_Q!$B$2:$B$1000,"&lt;="&amp;(SUMIFS(History_Q!$B$2:$B$1000,History_Q!$A$2:$A$1000,E$6,History_Q!$C$2:$C$1000,"acquisitions_cash")),History_Q!$E$2:$E$1000,"$m",History_Q!$G$2:$G$1000,"populated")-_xlfn.MINIFS(History_Q!$B$2:$B$1000,History_Q!$C$2:$C$1000,"acquisitions_cash",History_Q!$B$2:$B$1000,"&gt;="&amp;((SUMIFS(History_Q!$B$2:$B$1000,History_Q!$A$2:$A$1000,E$6,History_Q!$C$2:$C$1000,"acquisitions_cash"))-3),History_Q!$B$2:$B$1000,"&lt;="&amp;(SUMIFS(History_Q!$B$2:$B$1000,History_Q!$A$2:$A$1000,E$6,History_Q!$C$2:$C$1000,"acquisitions_cash")),History_Q!$E$2:$E$1000,"$m",History_Q!$G$2:$G$1000,"populated")&lt;&gt;3),"",SUMIFS(History_Q!$D$2:$D$1000,History_Q!$C$2:$C$1000,"acquisitions_cash",History_Q!$B$2:$B$1000,"&gt;="&amp;((SUMIFS(History_Q!$B$2:$B$1000,History_Q!$A$2:$A$1000,E$6,History_Q!$C$2:$C$1000,"acquisitions_cash"))-3),History_Q!$B$2:$B$1000,"&lt;="&amp;(SUMIFS(History_Q!$B$2:$B$1000,History_Q!$A$2:$A$1000,E$6,History_Q!$C$2:$C$1000,"acquisitions_cash")),History_Q!$E$2:$E$1000,"$m",History_Q!$G$2:$G$1000,"populated"))</f>
        <v/>
      </c>
      <c r="F65" s="450">
        <f>IF(OR(F$6="",COUNTIFS(History_Q!$C$2:$C$1000,"acquisitions_cash",History_Q!$B$2:$B$1000,"&gt;="&amp;((SUMIFS(History_Q!$B$2:$B$1000,History_Q!$A$2:$A$1000,F$6,History_Q!$C$2:$C$1000,"acquisitions_cash"))-3),History_Q!$B$2:$B$1000,"&lt;="&amp;(SUMIFS(History_Q!$B$2:$B$1000,History_Q!$A$2:$A$1000,F$6,History_Q!$C$2:$C$1000,"acquisitions_cash")),History_Q!$E$2:$E$1000,"$m",History_Q!$G$2:$G$1000,"populated")&lt;&gt;4,_xlfn.MAXIFS(History_Q!$B$2:$B$1000,History_Q!$C$2:$C$1000,"acquisitions_cash",History_Q!$B$2:$B$1000,"&gt;="&amp;((SUMIFS(History_Q!$B$2:$B$1000,History_Q!$A$2:$A$1000,F$6,History_Q!$C$2:$C$1000,"acquisitions_cash"))-3),History_Q!$B$2:$B$1000,"&lt;="&amp;(SUMIFS(History_Q!$B$2:$B$1000,History_Q!$A$2:$A$1000,F$6,History_Q!$C$2:$C$1000,"acquisitions_cash")),History_Q!$E$2:$E$1000,"$m",History_Q!$G$2:$G$1000,"populated")-_xlfn.MINIFS(History_Q!$B$2:$B$1000,History_Q!$C$2:$C$1000,"acquisitions_cash",History_Q!$B$2:$B$1000,"&gt;="&amp;((SUMIFS(History_Q!$B$2:$B$1000,History_Q!$A$2:$A$1000,F$6,History_Q!$C$2:$C$1000,"acquisitions_cash"))-3),History_Q!$B$2:$B$1000,"&lt;="&amp;(SUMIFS(History_Q!$B$2:$B$1000,History_Q!$A$2:$A$1000,F$6,History_Q!$C$2:$C$1000,"acquisitions_cash")),History_Q!$E$2:$E$1000,"$m",History_Q!$G$2:$G$1000,"populated")&lt;&gt;3),"",SUMIFS(History_Q!$D$2:$D$1000,History_Q!$C$2:$C$1000,"acquisitions_cash",History_Q!$B$2:$B$1000,"&gt;="&amp;((SUMIFS(History_Q!$B$2:$B$1000,History_Q!$A$2:$A$1000,F$6,History_Q!$C$2:$C$1000,"acquisitions_cash"))-3),History_Q!$B$2:$B$1000,"&lt;="&amp;(SUMIFS(History_Q!$B$2:$B$1000,History_Q!$A$2:$A$1000,F$6,History_Q!$C$2:$C$1000,"acquisitions_cash")),History_Q!$E$2:$E$1000,"$m",History_Q!$G$2:$G$1000,"populated"))</f>
        <v/>
      </c>
      <c r="G65" s="450">
        <f>IF(OR(G$6="",COUNTIFS(History_Q!$C$2:$C$1000,"acquisitions_cash",History_Q!$B$2:$B$1000,"&gt;="&amp;((SUMIFS(History_Q!$B$2:$B$1000,History_Q!$A$2:$A$1000,G$6,History_Q!$C$2:$C$1000,"acquisitions_cash"))-3),History_Q!$B$2:$B$1000,"&lt;="&amp;(SUMIFS(History_Q!$B$2:$B$1000,History_Q!$A$2:$A$1000,G$6,History_Q!$C$2:$C$1000,"acquisitions_cash")),History_Q!$E$2:$E$1000,"$m",History_Q!$G$2:$G$1000,"populated")&lt;&gt;4,_xlfn.MAXIFS(History_Q!$B$2:$B$1000,History_Q!$C$2:$C$1000,"acquisitions_cash",History_Q!$B$2:$B$1000,"&gt;="&amp;((SUMIFS(History_Q!$B$2:$B$1000,History_Q!$A$2:$A$1000,G$6,History_Q!$C$2:$C$1000,"acquisitions_cash"))-3),History_Q!$B$2:$B$1000,"&lt;="&amp;(SUMIFS(History_Q!$B$2:$B$1000,History_Q!$A$2:$A$1000,G$6,History_Q!$C$2:$C$1000,"acquisitions_cash")),History_Q!$E$2:$E$1000,"$m",History_Q!$G$2:$G$1000,"populated")-_xlfn.MINIFS(History_Q!$B$2:$B$1000,History_Q!$C$2:$C$1000,"acquisitions_cash",History_Q!$B$2:$B$1000,"&gt;="&amp;((SUMIFS(History_Q!$B$2:$B$1000,History_Q!$A$2:$A$1000,G$6,History_Q!$C$2:$C$1000,"acquisitions_cash"))-3),History_Q!$B$2:$B$1000,"&lt;="&amp;(SUMIFS(History_Q!$B$2:$B$1000,History_Q!$A$2:$A$1000,G$6,History_Q!$C$2:$C$1000,"acquisitions_cash")),History_Q!$E$2:$E$1000,"$m",History_Q!$G$2:$G$1000,"populated")&lt;&gt;3),"",SUMIFS(History_Q!$D$2:$D$1000,History_Q!$C$2:$C$1000,"acquisitions_cash",History_Q!$B$2:$B$1000,"&gt;="&amp;((SUMIFS(History_Q!$B$2:$B$1000,History_Q!$A$2:$A$1000,G$6,History_Q!$C$2:$C$1000,"acquisitions_cash"))-3),History_Q!$B$2:$B$1000,"&lt;="&amp;(SUMIFS(History_Q!$B$2:$B$1000,History_Q!$A$2:$A$1000,G$6,History_Q!$C$2:$C$1000,"acquisitions_cash")),History_Q!$E$2:$E$1000,"$m",History_Q!$G$2:$G$1000,"populated"))</f>
        <v/>
      </c>
      <c r="H65" s="450">
        <f>IF(OR(H$6="",COUNTIFS(History_Q!$C$2:$C$1000,"acquisitions_cash",History_Q!$B$2:$B$1000,"&gt;="&amp;((SUMIFS(History_Q!$B$2:$B$1000,History_Q!$A$2:$A$1000,H$6,History_Q!$C$2:$C$1000,"acquisitions_cash"))-3),History_Q!$B$2:$B$1000,"&lt;="&amp;(SUMIFS(History_Q!$B$2:$B$1000,History_Q!$A$2:$A$1000,H$6,History_Q!$C$2:$C$1000,"acquisitions_cash")),History_Q!$E$2:$E$1000,"$m",History_Q!$G$2:$G$1000,"populated")&lt;&gt;4,_xlfn.MAXIFS(History_Q!$B$2:$B$1000,History_Q!$C$2:$C$1000,"acquisitions_cash",History_Q!$B$2:$B$1000,"&gt;="&amp;((SUMIFS(History_Q!$B$2:$B$1000,History_Q!$A$2:$A$1000,H$6,History_Q!$C$2:$C$1000,"acquisitions_cash"))-3),History_Q!$B$2:$B$1000,"&lt;="&amp;(SUMIFS(History_Q!$B$2:$B$1000,History_Q!$A$2:$A$1000,H$6,History_Q!$C$2:$C$1000,"acquisitions_cash")),History_Q!$E$2:$E$1000,"$m",History_Q!$G$2:$G$1000,"populated")-_xlfn.MINIFS(History_Q!$B$2:$B$1000,History_Q!$C$2:$C$1000,"acquisitions_cash",History_Q!$B$2:$B$1000,"&gt;="&amp;((SUMIFS(History_Q!$B$2:$B$1000,History_Q!$A$2:$A$1000,H$6,History_Q!$C$2:$C$1000,"acquisitions_cash"))-3),History_Q!$B$2:$B$1000,"&lt;="&amp;(SUMIFS(History_Q!$B$2:$B$1000,History_Q!$A$2:$A$1000,H$6,History_Q!$C$2:$C$1000,"acquisitions_cash")),History_Q!$E$2:$E$1000,"$m",History_Q!$G$2:$G$1000,"populated")&lt;&gt;3),"",SUMIFS(History_Q!$D$2:$D$1000,History_Q!$C$2:$C$1000,"acquisitions_cash",History_Q!$B$2:$B$1000,"&gt;="&amp;((SUMIFS(History_Q!$B$2:$B$1000,History_Q!$A$2:$A$1000,H$6,History_Q!$C$2:$C$1000,"acquisitions_cash"))-3),History_Q!$B$2:$B$1000,"&lt;="&amp;(SUMIFS(History_Q!$B$2:$B$1000,History_Q!$A$2:$A$1000,H$6,History_Q!$C$2:$C$1000,"acquisitions_cash")),History_Q!$E$2:$E$1000,"$m",History_Q!$G$2:$G$1000,"populated"))</f>
        <v/>
      </c>
      <c r="I65" s="450">
        <f>IF(OR(I$6="",COUNTIFS(History_Q!$C$2:$C$1000,"acquisitions_cash",History_Q!$B$2:$B$1000,"&gt;="&amp;((SUMIFS(History_Q!$B$2:$B$1000,History_Q!$A$2:$A$1000,I$6,History_Q!$C$2:$C$1000,"acquisitions_cash"))-3),History_Q!$B$2:$B$1000,"&lt;="&amp;(SUMIFS(History_Q!$B$2:$B$1000,History_Q!$A$2:$A$1000,I$6,History_Q!$C$2:$C$1000,"acquisitions_cash")),History_Q!$E$2:$E$1000,"$m",History_Q!$G$2:$G$1000,"populated")&lt;&gt;4,_xlfn.MAXIFS(History_Q!$B$2:$B$1000,History_Q!$C$2:$C$1000,"acquisitions_cash",History_Q!$B$2:$B$1000,"&gt;="&amp;((SUMIFS(History_Q!$B$2:$B$1000,History_Q!$A$2:$A$1000,I$6,History_Q!$C$2:$C$1000,"acquisitions_cash"))-3),History_Q!$B$2:$B$1000,"&lt;="&amp;(SUMIFS(History_Q!$B$2:$B$1000,History_Q!$A$2:$A$1000,I$6,History_Q!$C$2:$C$1000,"acquisitions_cash")),History_Q!$E$2:$E$1000,"$m",History_Q!$G$2:$G$1000,"populated")-_xlfn.MINIFS(History_Q!$B$2:$B$1000,History_Q!$C$2:$C$1000,"acquisitions_cash",History_Q!$B$2:$B$1000,"&gt;="&amp;((SUMIFS(History_Q!$B$2:$B$1000,History_Q!$A$2:$A$1000,I$6,History_Q!$C$2:$C$1000,"acquisitions_cash"))-3),History_Q!$B$2:$B$1000,"&lt;="&amp;(SUMIFS(History_Q!$B$2:$B$1000,History_Q!$A$2:$A$1000,I$6,History_Q!$C$2:$C$1000,"acquisitions_cash")),History_Q!$E$2:$E$1000,"$m",History_Q!$G$2:$G$1000,"populated")&lt;&gt;3),"",SUMIFS(History_Q!$D$2:$D$1000,History_Q!$C$2:$C$1000,"acquisitions_cash",History_Q!$B$2:$B$1000,"&gt;="&amp;((SUMIFS(History_Q!$B$2:$B$1000,History_Q!$A$2:$A$1000,I$6,History_Q!$C$2:$C$1000,"acquisitions_cash"))-3),History_Q!$B$2:$B$1000,"&lt;="&amp;(SUMIFS(History_Q!$B$2:$B$1000,History_Q!$A$2:$A$1000,I$6,History_Q!$C$2:$C$1000,"acquisitions_cash")),History_Q!$E$2:$E$1000,"$m",History_Q!$G$2:$G$1000,"populated"))</f>
        <v/>
      </c>
      <c r="J65" s="450">
        <f>IF(OR(J$6="",COUNTIFS(History_Q!$C$2:$C$1000,"acquisitions_cash",History_Q!$B$2:$B$1000,"&gt;="&amp;((SUMIFS(History_Q!$B$2:$B$1000,History_Q!$A$2:$A$1000,J$6,History_Q!$C$2:$C$1000,"acquisitions_cash"))-3),History_Q!$B$2:$B$1000,"&lt;="&amp;(SUMIFS(History_Q!$B$2:$B$1000,History_Q!$A$2:$A$1000,J$6,History_Q!$C$2:$C$1000,"acquisitions_cash")),History_Q!$E$2:$E$1000,"$m",History_Q!$G$2:$G$1000,"populated")&lt;&gt;4,_xlfn.MAXIFS(History_Q!$B$2:$B$1000,History_Q!$C$2:$C$1000,"acquisitions_cash",History_Q!$B$2:$B$1000,"&gt;="&amp;((SUMIFS(History_Q!$B$2:$B$1000,History_Q!$A$2:$A$1000,J$6,History_Q!$C$2:$C$1000,"acquisitions_cash"))-3),History_Q!$B$2:$B$1000,"&lt;="&amp;(SUMIFS(History_Q!$B$2:$B$1000,History_Q!$A$2:$A$1000,J$6,History_Q!$C$2:$C$1000,"acquisitions_cash")),History_Q!$E$2:$E$1000,"$m",History_Q!$G$2:$G$1000,"populated")-_xlfn.MINIFS(History_Q!$B$2:$B$1000,History_Q!$C$2:$C$1000,"acquisitions_cash",History_Q!$B$2:$B$1000,"&gt;="&amp;((SUMIFS(History_Q!$B$2:$B$1000,History_Q!$A$2:$A$1000,J$6,History_Q!$C$2:$C$1000,"acquisitions_cash"))-3),History_Q!$B$2:$B$1000,"&lt;="&amp;(SUMIFS(History_Q!$B$2:$B$1000,History_Q!$A$2:$A$1000,J$6,History_Q!$C$2:$C$1000,"acquisitions_cash")),History_Q!$E$2:$E$1000,"$m",History_Q!$G$2:$G$1000,"populated")&lt;&gt;3),"",SUMIFS(History_Q!$D$2:$D$1000,History_Q!$C$2:$C$1000,"acquisitions_cash",History_Q!$B$2:$B$1000,"&gt;="&amp;((SUMIFS(History_Q!$B$2:$B$1000,History_Q!$A$2:$A$1000,J$6,History_Q!$C$2:$C$1000,"acquisitions_cash"))-3),History_Q!$B$2:$B$1000,"&lt;="&amp;(SUMIFS(History_Q!$B$2:$B$1000,History_Q!$A$2:$A$1000,J$6,History_Q!$C$2:$C$1000,"acquisitions_cash")),History_Q!$E$2:$E$1000,"$m",History_Q!$G$2:$G$1000,"populated"))</f>
        <v/>
      </c>
      <c r="K65" s="450">
        <f>IF(OR(K$6="",COUNTIFS(History_Q!$C$2:$C$1000,"acquisitions_cash",History_Q!$B$2:$B$1000,"&gt;="&amp;((SUMIFS(History_Q!$B$2:$B$1000,History_Q!$A$2:$A$1000,K$6,History_Q!$C$2:$C$1000,"acquisitions_cash"))-3),History_Q!$B$2:$B$1000,"&lt;="&amp;(SUMIFS(History_Q!$B$2:$B$1000,History_Q!$A$2:$A$1000,K$6,History_Q!$C$2:$C$1000,"acquisitions_cash")),History_Q!$E$2:$E$1000,"$m",History_Q!$G$2:$G$1000,"populated")&lt;&gt;4,_xlfn.MAXIFS(History_Q!$B$2:$B$1000,History_Q!$C$2:$C$1000,"acquisitions_cash",History_Q!$B$2:$B$1000,"&gt;="&amp;((SUMIFS(History_Q!$B$2:$B$1000,History_Q!$A$2:$A$1000,K$6,History_Q!$C$2:$C$1000,"acquisitions_cash"))-3),History_Q!$B$2:$B$1000,"&lt;="&amp;(SUMIFS(History_Q!$B$2:$B$1000,History_Q!$A$2:$A$1000,K$6,History_Q!$C$2:$C$1000,"acquisitions_cash")),History_Q!$E$2:$E$1000,"$m",History_Q!$G$2:$G$1000,"populated")-_xlfn.MINIFS(History_Q!$B$2:$B$1000,History_Q!$C$2:$C$1000,"acquisitions_cash",History_Q!$B$2:$B$1000,"&gt;="&amp;((SUMIFS(History_Q!$B$2:$B$1000,History_Q!$A$2:$A$1000,K$6,History_Q!$C$2:$C$1000,"acquisitions_cash"))-3),History_Q!$B$2:$B$1000,"&lt;="&amp;(SUMIFS(History_Q!$B$2:$B$1000,History_Q!$A$2:$A$1000,K$6,History_Q!$C$2:$C$1000,"acquisitions_cash")),History_Q!$E$2:$E$1000,"$m",History_Q!$G$2:$G$1000,"populated")&lt;&gt;3),"",SUMIFS(History_Q!$D$2:$D$1000,History_Q!$C$2:$C$1000,"acquisitions_cash",History_Q!$B$2:$B$1000,"&gt;="&amp;((SUMIFS(History_Q!$B$2:$B$1000,History_Q!$A$2:$A$1000,K$6,History_Q!$C$2:$C$1000,"acquisitions_cash"))-3),History_Q!$B$2:$B$1000,"&lt;="&amp;(SUMIFS(History_Q!$B$2:$B$1000,History_Q!$A$2:$A$1000,K$6,History_Q!$C$2:$C$1000,"acquisitions_cash")),History_Q!$E$2:$E$1000,"$m",History_Q!$G$2:$G$1000,"populated"))</f>
        <v/>
      </c>
      <c r="L65" s="450">
        <f>IF(OR(L$6="",COUNTIFS(History_Q!$C$2:$C$1000,"acquisitions_cash",History_Q!$B$2:$B$1000,"&gt;="&amp;((SUMIFS(History_Q!$B$2:$B$1000,History_Q!$A$2:$A$1000,L$6,History_Q!$C$2:$C$1000,"acquisitions_cash"))-3),History_Q!$B$2:$B$1000,"&lt;="&amp;(SUMIFS(History_Q!$B$2:$B$1000,History_Q!$A$2:$A$1000,L$6,History_Q!$C$2:$C$1000,"acquisitions_cash")),History_Q!$E$2:$E$1000,"$m",History_Q!$G$2:$G$1000,"populated")&lt;&gt;4,_xlfn.MAXIFS(History_Q!$B$2:$B$1000,History_Q!$C$2:$C$1000,"acquisitions_cash",History_Q!$B$2:$B$1000,"&gt;="&amp;((SUMIFS(History_Q!$B$2:$B$1000,History_Q!$A$2:$A$1000,L$6,History_Q!$C$2:$C$1000,"acquisitions_cash"))-3),History_Q!$B$2:$B$1000,"&lt;="&amp;(SUMIFS(History_Q!$B$2:$B$1000,History_Q!$A$2:$A$1000,L$6,History_Q!$C$2:$C$1000,"acquisitions_cash")),History_Q!$E$2:$E$1000,"$m",History_Q!$G$2:$G$1000,"populated")-_xlfn.MINIFS(History_Q!$B$2:$B$1000,History_Q!$C$2:$C$1000,"acquisitions_cash",History_Q!$B$2:$B$1000,"&gt;="&amp;((SUMIFS(History_Q!$B$2:$B$1000,History_Q!$A$2:$A$1000,L$6,History_Q!$C$2:$C$1000,"acquisitions_cash"))-3),History_Q!$B$2:$B$1000,"&lt;="&amp;(SUMIFS(History_Q!$B$2:$B$1000,History_Q!$A$2:$A$1000,L$6,History_Q!$C$2:$C$1000,"acquisitions_cash")),History_Q!$E$2:$E$1000,"$m",History_Q!$G$2:$G$1000,"populated")&lt;&gt;3),"",SUMIFS(History_Q!$D$2:$D$1000,History_Q!$C$2:$C$1000,"acquisitions_cash",History_Q!$B$2:$B$1000,"&gt;="&amp;((SUMIFS(History_Q!$B$2:$B$1000,History_Q!$A$2:$A$1000,L$6,History_Q!$C$2:$C$1000,"acquisitions_cash"))-3),History_Q!$B$2:$B$1000,"&lt;="&amp;(SUMIFS(History_Q!$B$2:$B$1000,History_Q!$A$2:$A$1000,L$6,History_Q!$C$2:$C$1000,"acquisitions_cash")),History_Q!$E$2:$E$1000,"$m",History_Q!$G$2:$G$1000,"populated"))</f>
        <v/>
      </c>
      <c r="M65" s="450">
        <f>IF(OR(M$6="",COUNTIFS(History_Q!$C$2:$C$1000,"acquisitions_cash",History_Q!$B$2:$B$1000,"&gt;="&amp;((SUMIFS(History_Q!$B$2:$B$1000,History_Q!$A$2:$A$1000,M$6,History_Q!$C$2:$C$1000,"acquisitions_cash"))-3),History_Q!$B$2:$B$1000,"&lt;="&amp;(SUMIFS(History_Q!$B$2:$B$1000,History_Q!$A$2:$A$1000,M$6,History_Q!$C$2:$C$1000,"acquisitions_cash")),History_Q!$E$2:$E$1000,"$m",History_Q!$G$2:$G$1000,"populated")&lt;&gt;4,_xlfn.MAXIFS(History_Q!$B$2:$B$1000,History_Q!$C$2:$C$1000,"acquisitions_cash",History_Q!$B$2:$B$1000,"&gt;="&amp;((SUMIFS(History_Q!$B$2:$B$1000,History_Q!$A$2:$A$1000,M$6,History_Q!$C$2:$C$1000,"acquisitions_cash"))-3),History_Q!$B$2:$B$1000,"&lt;="&amp;(SUMIFS(History_Q!$B$2:$B$1000,History_Q!$A$2:$A$1000,M$6,History_Q!$C$2:$C$1000,"acquisitions_cash")),History_Q!$E$2:$E$1000,"$m",History_Q!$G$2:$G$1000,"populated")-_xlfn.MINIFS(History_Q!$B$2:$B$1000,History_Q!$C$2:$C$1000,"acquisitions_cash",History_Q!$B$2:$B$1000,"&gt;="&amp;((SUMIFS(History_Q!$B$2:$B$1000,History_Q!$A$2:$A$1000,M$6,History_Q!$C$2:$C$1000,"acquisitions_cash"))-3),History_Q!$B$2:$B$1000,"&lt;="&amp;(SUMIFS(History_Q!$B$2:$B$1000,History_Q!$A$2:$A$1000,M$6,History_Q!$C$2:$C$1000,"acquisitions_cash")),History_Q!$E$2:$E$1000,"$m",History_Q!$G$2:$G$1000,"populated")&lt;&gt;3),"",SUMIFS(History_Q!$D$2:$D$1000,History_Q!$C$2:$C$1000,"acquisitions_cash",History_Q!$B$2:$B$1000,"&gt;="&amp;((SUMIFS(History_Q!$B$2:$B$1000,History_Q!$A$2:$A$1000,M$6,History_Q!$C$2:$C$1000,"acquisitions_cash"))-3),History_Q!$B$2:$B$1000,"&lt;="&amp;(SUMIFS(History_Q!$B$2:$B$1000,History_Q!$A$2:$A$1000,M$6,History_Q!$C$2:$C$1000,"acquisitions_cash")),History_Q!$E$2:$E$1000,"$m",History_Q!$G$2:$G$1000,"populated"))</f>
        <v/>
      </c>
      <c r="N65" s="22" t="n"/>
      <c r="O65" s="53" t="inlineStr">
        <is>
          <t>FCF TTM</t>
        </is>
      </c>
      <c r="P65" s="47" t="n"/>
      <c r="Q65" s="47" t="n"/>
      <c r="R65" s="47" t="n"/>
      <c r="S65" s="47" t="n"/>
      <c r="T65" s="46" t="n"/>
      <c r="U65" s="457">
        <f>IF(FCF_TTM="","",FCF_TTM)</f>
        <v/>
      </c>
      <c r="V65" s="47" t="n"/>
      <c r="W65" s="46" t="n"/>
      <c r="X65" s="53" t="inlineStr">
        <is>
          <t>FCF TTM base</t>
        </is>
      </c>
      <c r="Y65" s="47" t="n"/>
      <c r="Z65" s="47" t="n"/>
      <c r="AA65" s="47" t="n"/>
      <c r="AB65" s="47" t="n"/>
      <c r="AC65" s="46" t="n"/>
      <c r="AD65" s="22" t="n"/>
      <c r="AE65" s="22" t="n"/>
      <c r="AF65" s="22" t="n"/>
      <c r="AG65" s="22" t="n"/>
      <c r="AH65" s="22" t="n"/>
      <c r="AI65" s="22" t="n"/>
    </row>
    <row r="66" ht="19.5" customHeight="1">
      <c r="A66" s="48" t="inlineStr">
        <is>
          <t>Debt repaid (gross, TTM)</t>
        </is>
      </c>
      <c r="B66" s="450">
        <f>IF(OR(B$6="",COUNTIFS(History_Q!$C$2:$C$1000,"debt_repayment",History_Q!$B$2:$B$1000,"&gt;="&amp;((SUMIFS(History_Q!$B$2:$B$1000,History_Q!$A$2:$A$1000,B$6,History_Q!$C$2:$C$1000,"debt_repayment"))-3),History_Q!$B$2:$B$1000,"&lt;="&amp;(SUMIFS(History_Q!$B$2:$B$1000,History_Q!$A$2:$A$1000,B$6,History_Q!$C$2:$C$1000,"debt_repayment")),History_Q!$E$2:$E$1000,"$m",History_Q!$G$2:$G$1000,"populated")&lt;&gt;4,_xlfn.MAXIFS(History_Q!$B$2:$B$1000,History_Q!$C$2:$C$1000,"debt_repayment",History_Q!$B$2:$B$1000,"&gt;="&amp;((SUMIFS(History_Q!$B$2:$B$1000,History_Q!$A$2:$A$1000,B$6,History_Q!$C$2:$C$1000,"debt_repayment"))-3),History_Q!$B$2:$B$1000,"&lt;="&amp;(SUMIFS(History_Q!$B$2:$B$1000,History_Q!$A$2:$A$1000,B$6,History_Q!$C$2:$C$1000,"debt_repayment")),History_Q!$E$2:$E$1000,"$m",History_Q!$G$2:$G$1000,"populated")-_xlfn.MINIFS(History_Q!$B$2:$B$1000,History_Q!$C$2:$C$1000,"debt_repayment",History_Q!$B$2:$B$1000,"&gt;="&amp;((SUMIFS(History_Q!$B$2:$B$1000,History_Q!$A$2:$A$1000,B$6,History_Q!$C$2:$C$1000,"debt_repayment"))-3),History_Q!$B$2:$B$1000,"&lt;="&amp;(SUMIFS(History_Q!$B$2:$B$1000,History_Q!$A$2:$A$1000,B$6,History_Q!$C$2:$C$1000,"debt_repayment")),History_Q!$E$2:$E$1000,"$m",History_Q!$G$2:$G$1000,"populated")&lt;&gt;3),"",SUMIFS(History_Q!$D$2:$D$1000,History_Q!$C$2:$C$1000,"debt_repayment",History_Q!$B$2:$B$1000,"&gt;="&amp;((SUMIFS(History_Q!$B$2:$B$1000,History_Q!$A$2:$A$1000,B$6,History_Q!$C$2:$C$1000,"debt_repayment"))-3),History_Q!$B$2:$B$1000,"&lt;="&amp;(SUMIFS(History_Q!$B$2:$B$1000,History_Q!$A$2:$A$1000,B$6,History_Q!$C$2:$C$1000,"debt_repayment")),History_Q!$E$2:$E$1000,"$m",History_Q!$G$2:$G$1000,"populated"))</f>
        <v/>
      </c>
      <c r="C66" s="450">
        <f>IF(OR(C$6="",COUNTIFS(History_Q!$C$2:$C$1000,"debt_repayment",History_Q!$B$2:$B$1000,"&gt;="&amp;((SUMIFS(History_Q!$B$2:$B$1000,History_Q!$A$2:$A$1000,C$6,History_Q!$C$2:$C$1000,"debt_repayment"))-3),History_Q!$B$2:$B$1000,"&lt;="&amp;(SUMIFS(History_Q!$B$2:$B$1000,History_Q!$A$2:$A$1000,C$6,History_Q!$C$2:$C$1000,"debt_repayment")),History_Q!$E$2:$E$1000,"$m",History_Q!$G$2:$G$1000,"populated")&lt;&gt;4,_xlfn.MAXIFS(History_Q!$B$2:$B$1000,History_Q!$C$2:$C$1000,"debt_repayment",History_Q!$B$2:$B$1000,"&gt;="&amp;((SUMIFS(History_Q!$B$2:$B$1000,History_Q!$A$2:$A$1000,C$6,History_Q!$C$2:$C$1000,"debt_repayment"))-3),History_Q!$B$2:$B$1000,"&lt;="&amp;(SUMIFS(History_Q!$B$2:$B$1000,History_Q!$A$2:$A$1000,C$6,History_Q!$C$2:$C$1000,"debt_repayment")),History_Q!$E$2:$E$1000,"$m",History_Q!$G$2:$G$1000,"populated")-_xlfn.MINIFS(History_Q!$B$2:$B$1000,History_Q!$C$2:$C$1000,"debt_repayment",History_Q!$B$2:$B$1000,"&gt;="&amp;((SUMIFS(History_Q!$B$2:$B$1000,History_Q!$A$2:$A$1000,C$6,History_Q!$C$2:$C$1000,"debt_repayment"))-3),History_Q!$B$2:$B$1000,"&lt;="&amp;(SUMIFS(History_Q!$B$2:$B$1000,History_Q!$A$2:$A$1000,C$6,History_Q!$C$2:$C$1000,"debt_repayment")),History_Q!$E$2:$E$1000,"$m",History_Q!$G$2:$G$1000,"populated")&lt;&gt;3),"",SUMIFS(History_Q!$D$2:$D$1000,History_Q!$C$2:$C$1000,"debt_repayment",History_Q!$B$2:$B$1000,"&gt;="&amp;((SUMIFS(History_Q!$B$2:$B$1000,History_Q!$A$2:$A$1000,C$6,History_Q!$C$2:$C$1000,"debt_repayment"))-3),History_Q!$B$2:$B$1000,"&lt;="&amp;(SUMIFS(History_Q!$B$2:$B$1000,History_Q!$A$2:$A$1000,C$6,History_Q!$C$2:$C$1000,"debt_repayment")),History_Q!$E$2:$E$1000,"$m",History_Q!$G$2:$G$1000,"populated"))</f>
        <v/>
      </c>
      <c r="D66" s="450">
        <f>IF(OR(D$6="",COUNTIFS(History_Q!$C$2:$C$1000,"debt_repayment",History_Q!$B$2:$B$1000,"&gt;="&amp;((SUMIFS(History_Q!$B$2:$B$1000,History_Q!$A$2:$A$1000,D$6,History_Q!$C$2:$C$1000,"debt_repayment"))-3),History_Q!$B$2:$B$1000,"&lt;="&amp;(SUMIFS(History_Q!$B$2:$B$1000,History_Q!$A$2:$A$1000,D$6,History_Q!$C$2:$C$1000,"debt_repayment")),History_Q!$E$2:$E$1000,"$m",History_Q!$G$2:$G$1000,"populated")&lt;&gt;4,_xlfn.MAXIFS(History_Q!$B$2:$B$1000,History_Q!$C$2:$C$1000,"debt_repayment",History_Q!$B$2:$B$1000,"&gt;="&amp;((SUMIFS(History_Q!$B$2:$B$1000,History_Q!$A$2:$A$1000,D$6,History_Q!$C$2:$C$1000,"debt_repayment"))-3),History_Q!$B$2:$B$1000,"&lt;="&amp;(SUMIFS(History_Q!$B$2:$B$1000,History_Q!$A$2:$A$1000,D$6,History_Q!$C$2:$C$1000,"debt_repayment")),History_Q!$E$2:$E$1000,"$m",History_Q!$G$2:$G$1000,"populated")-_xlfn.MINIFS(History_Q!$B$2:$B$1000,History_Q!$C$2:$C$1000,"debt_repayment",History_Q!$B$2:$B$1000,"&gt;="&amp;((SUMIFS(History_Q!$B$2:$B$1000,History_Q!$A$2:$A$1000,D$6,History_Q!$C$2:$C$1000,"debt_repayment"))-3),History_Q!$B$2:$B$1000,"&lt;="&amp;(SUMIFS(History_Q!$B$2:$B$1000,History_Q!$A$2:$A$1000,D$6,History_Q!$C$2:$C$1000,"debt_repayment")),History_Q!$E$2:$E$1000,"$m",History_Q!$G$2:$G$1000,"populated")&lt;&gt;3),"",SUMIFS(History_Q!$D$2:$D$1000,History_Q!$C$2:$C$1000,"debt_repayment",History_Q!$B$2:$B$1000,"&gt;="&amp;((SUMIFS(History_Q!$B$2:$B$1000,History_Q!$A$2:$A$1000,D$6,History_Q!$C$2:$C$1000,"debt_repayment"))-3),History_Q!$B$2:$B$1000,"&lt;="&amp;(SUMIFS(History_Q!$B$2:$B$1000,History_Q!$A$2:$A$1000,D$6,History_Q!$C$2:$C$1000,"debt_repayment")),History_Q!$E$2:$E$1000,"$m",History_Q!$G$2:$G$1000,"populated"))</f>
        <v/>
      </c>
      <c r="E66" s="450">
        <f>IF(OR(E$6="",COUNTIFS(History_Q!$C$2:$C$1000,"debt_repayment",History_Q!$B$2:$B$1000,"&gt;="&amp;((SUMIFS(History_Q!$B$2:$B$1000,History_Q!$A$2:$A$1000,E$6,History_Q!$C$2:$C$1000,"debt_repayment"))-3),History_Q!$B$2:$B$1000,"&lt;="&amp;(SUMIFS(History_Q!$B$2:$B$1000,History_Q!$A$2:$A$1000,E$6,History_Q!$C$2:$C$1000,"debt_repayment")),History_Q!$E$2:$E$1000,"$m",History_Q!$G$2:$G$1000,"populated")&lt;&gt;4,_xlfn.MAXIFS(History_Q!$B$2:$B$1000,History_Q!$C$2:$C$1000,"debt_repayment",History_Q!$B$2:$B$1000,"&gt;="&amp;((SUMIFS(History_Q!$B$2:$B$1000,History_Q!$A$2:$A$1000,E$6,History_Q!$C$2:$C$1000,"debt_repayment"))-3),History_Q!$B$2:$B$1000,"&lt;="&amp;(SUMIFS(History_Q!$B$2:$B$1000,History_Q!$A$2:$A$1000,E$6,History_Q!$C$2:$C$1000,"debt_repayment")),History_Q!$E$2:$E$1000,"$m",History_Q!$G$2:$G$1000,"populated")-_xlfn.MINIFS(History_Q!$B$2:$B$1000,History_Q!$C$2:$C$1000,"debt_repayment",History_Q!$B$2:$B$1000,"&gt;="&amp;((SUMIFS(History_Q!$B$2:$B$1000,History_Q!$A$2:$A$1000,E$6,History_Q!$C$2:$C$1000,"debt_repayment"))-3),History_Q!$B$2:$B$1000,"&lt;="&amp;(SUMIFS(History_Q!$B$2:$B$1000,History_Q!$A$2:$A$1000,E$6,History_Q!$C$2:$C$1000,"debt_repayment")),History_Q!$E$2:$E$1000,"$m",History_Q!$G$2:$G$1000,"populated")&lt;&gt;3),"",SUMIFS(History_Q!$D$2:$D$1000,History_Q!$C$2:$C$1000,"debt_repayment",History_Q!$B$2:$B$1000,"&gt;="&amp;((SUMIFS(History_Q!$B$2:$B$1000,History_Q!$A$2:$A$1000,E$6,History_Q!$C$2:$C$1000,"debt_repayment"))-3),History_Q!$B$2:$B$1000,"&lt;="&amp;(SUMIFS(History_Q!$B$2:$B$1000,History_Q!$A$2:$A$1000,E$6,History_Q!$C$2:$C$1000,"debt_repayment")),History_Q!$E$2:$E$1000,"$m",History_Q!$G$2:$G$1000,"populated"))</f>
        <v/>
      </c>
      <c r="F66" s="450">
        <f>IF(OR(F$6="",COUNTIFS(History_Q!$C$2:$C$1000,"debt_repayment",History_Q!$B$2:$B$1000,"&gt;="&amp;((SUMIFS(History_Q!$B$2:$B$1000,History_Q!$A$2:$A$1000,F$6,History_Q!$C$2:$C$1000,"debt_repayment"))-3),History_Q!$B$2:$B$1000,"&lt;="&amp;(SUMIFS(History_Q!$B$2:$B$1000,History_Q!$A$2:$A$1000,F$6,History_Q!$C$2:$C$1000,"debt_repayment")),History_Q!$E$2:$E$1000,"$m",History_Q!$G$2:$G$1000,"populated")&lt;&gt;4,_xlfn.MAXIFS(History_Q!$B$2:$B$1000,History_Q!$C$2:$C$1000,"debt_repayment",History_Q!$B$2:$B$1000,"&gt;="&amp;((SUMIFS(History_Q!$B$2:$B$1000,History_Q!$A$2:$A$1000,F$6,History_Q!$C$2:$C$1000,"debt_repayment"))-3),History_Q!$B$2:$B$1000,"&lt;="&amp;(SUMIFS(History_Q!$B$2:$B$1000,History_Q!$A$2:$A$1000,F$6,History_Q!$C$2:$C$1000,"debt_repayment")),History_Q!$E$2:$E$1000,"$m",History_Q!$G$2:$G$1000,"populated")-_xlfn.MINIFS(History_Q!$B$2:$B$1000,History_Q!$C$2:$C$1000,"debt_repayment",History_Q!$B$2:$B$1000,"&gt;="&amp;((SUMIFS(History_Q!$B$2:$B$1000,History_Q!$A$2:$A$1000,F$6,History_Q!$C$2:$C$1000,"debt_repayment"))-3),History_Q!$B$2:$B$1000,"&lt;="&amp;(SUMIFS(History_Q!$B$2:$B$1000,History_Q!$A$2:$A$1000,F$6,History_Q!$C$2:$C$1000,"debt_repayment")),History_Q!$E$2:$E$1000,"$m",History_Q!$G$2:$G$1000,"populated")&lt;&gt;3),"",SUMIFS(History_Q!$D$2:$D$1000,History_Q!$C$2:$C$1000,"debt_repayment",History_Q!$B$2:$B$1000,"&gt;="&amp;((SUMIFS(History_Q!$B$2:$B$1000,History_Q!$A$2:$A$1000,F$6,History_Q!$C$2:$C$1000,"debt_repayment"))-3),History_Q!$B$2:$B$1000,"&lt;="&amp;(SUMIFS(History_Q!$B$2:$B$1000,History_Q!$A$2:$A$1000,F$6,History_Q!$C$2:$C$1000,"debt_repayment")),History_Q!$E$2:$E$1000,"$m",History_Q!$G$2:$G$1000,"populated"))</f>
        <v/>
      </c>
      <c r="G66" s="450">
        <f>IF(OR(G$6="",COUNTIFS(History_Q!$C$2:$C$1000,"debt_repayment",History_Q!$B$2:$B$1000,"&gt;="&amp;((SUMIFS(History_Q!$B$2:$B$1000,History_Q!$A$2:$A$1000,G$6,History_Q!$C$2:$C$1000,"debt_repayment"))-3),History_Q!$B$2:$B$1000,"&lt;="&amp;(SUMIFS(History_Q!$B$2:$B$1000,History_Q!$A$2:$A$1000,G$6,History_Q!$C$2:$C$1000,"debt_repayment")),History_Q!$E$2:$E$1000,"$m",History_Q!$G$2:$G$1000,"populated")&lt;&gt;4,_xlfn.MAXIFS(History_Q!$B$2:$B$1000,History_Q!$C$2:$C$1000,"debt_repayment",History_Q!$B$2:$B$1000,"&gt;="&amp;((SUMIFS(History_Q!$B$2:$B$1000,History_Q!$A$2:$A$1000,G$6,History_Q!$C$2:$C$1000,"debt_repayment"))-3),History_Q!$B$2:$B$1000,"&lt;="&amp;(SUMIFS(History_Q!$B$2:$B$1000,History_Q!$A$2:$A$1000,G$6,History_Q!$C$2:$C$1000,"debt_repayment")),History_Q!$E$2:$E$1000,"$m",History_Q!$G$2:$G$1000,"populated")-_xlfn.MINIFS(History_Q!$B$2:$B$1000,History_Q!$C$2:$C$1000,"debt_repayment",History_Q!$B$2:$B$1000,"&gt;="&amp;((SUMIFS(History_Q!$B$2:$B$1000,History_Q!$A$2:$A$1000,G$6,History_Q!$C$2:$C$1000,"debt_repayment"))-3),History_Q!$B$2:$B$1000,"&lt;="&amp;(SUMIFS(History_Q!$B$2:$B$1000,History_Q!$A$2:$A$1000,G$6,History_Q!$C$2:$C$1000,"debt_repayment")),History_Q!$E$2:$E$1000,"$m",History_Q!$G$2:$G$1000,"populated")&lt;&gt;3),"",SUMIFS(History_Q!$D$2:$D$1000,History_Q!$C$2:$C$1000,"debt_repayment",History_Q!$B$2:$B$1000,"&gt;="&amp;((SUMIFS(History_Q!$B$2:$B$1000,History_Q!$A$2:$A$1000,G$6,History_Q!$C$2:$C$1000,"debt_repayment"))-3),History_Q!$B$2:$B$1000,"&lt;="&amp;(SUMIFS(History_Q!$B$2:$B$1000,History_Q!$A$2:$A$1000,G$6,History_Q!$C$2:$C$1000,"debt_repayment")),History_Q!$E$2:$E$1000,"$m",History_Q!$G$2:$G$1000,"populated"))</f>
        <v/>
      </c>
      <c r="H66" s="450">
        <f>IF(OR(H$6="",COUNTIFS(History_Q!$C$2:$C$1000,"debt_repayment",History_Q!$B$2:$B$1000,"&gt;="&amp;((SUMIFS(History_Q!$B$2:$B$1000,History_Q!$A$2:$A$1000,H$6,History_Q!$C$2:$C$1000,"debt_repayment"))-3),History_Q!$B$2:$B$1000,"&lt;="&amp;(SUMIFS(History_Q!$B$2:$B$1000,History_Q!$A$2:$A$1000,H$6,History_Q!$C$2:$C$1000,"debt_repayment")),History_Q!$E$2:$E$1000,"$m",History_Q!$G$2:$G$1000,"populated")&lt;&gt;4,_xlfn.MAXIFS(History_Q!$B$2:$B$1000,History_Q!$C$2:$C$1000,"debt_repayment",History_Q!$B$2:$B$1000,"&gt;="&amp;((SUMIFS(History_Q!$B$2:$B$1000,History_Q!$A$2:$A$1000,H$6,History_Q!$C$2:$C$1000,"debt_repayment"))-3),History_Q!$B$2:$B$1000,"&lt;="&amp;(SUMIFS(History_Q!$B$2:$B$1000,History_Q!$A$2:$A$1000,H$6,History_Q!$C$2:$C$1000,"debt_repayment")),History_Q!$E$2:$E$1000,"$m",History_Q!$G$2:$G$1000,"populated")-_xlfn.MINIFS(History_Q!$B$2:$B$1000,History_Q!$C$2:$C$1000,"debt_repayment",History_Q!$B$2:$B$1000,"&gt;="&amp;((SUMIFS(History_Q!$B$2:$B$1000,History_Q!$A$2:$A$1000,H$6,History_Q!$C$2:$C$1000,"debt_repayment"))-3),History_Q!$B$2:$B$1000,"&lt;="&amp;(SUMIFS(History_Q!$B$2:$B$1000,History_Q!$A$2:$A$1000,H$6,History_Q!$C$2:$C$1000,"debt_repayment")),History_Q!$E$2:$E$1000,"$m",History_Q!$G$2:$G$1000,"populated")&lt;&gt;3),"",SUMIFS(History_Q!$D$2:$D$1000,History_Q!$C$2:$C$1000,"debt_repayment",History_Q!$B$2:$B$1000,"&gt;="&amp;((SUMIFS(History_Q!$B$2:$B$1000,History_Q!$A$2:$A$1000,H$6,History_Q!$C$2:$C$1000,"debt_repayment"))-3),History_Q!$B$2:$B$1000,"&lt;="&amp;(SUMIFS(History_Q!$B$2:$B$1000,History_Q!$A$2:$A$1000,H$6,History_Q!$C$2:$C$1000,"debt_repayment")),History_Q!$E$2:$E$1000,"$m",History_Q!$G$2:$G$1000,"populated"))</f>
        <v/>
      </c>
      <c r="I66" s="450">
        <f>IF(OR(I$6="",COUNTIFS(History_Q!$C$2:$C$1000,"debt_repayment",History_Q!$B$2:$B$1000,"&gt;="&amp;((SUMIFS(History_Q!$B$2:$B$1000,History_Q!$A$2:$A$1000,I$6,History_Q!$C$2:$C$1000,"debt_repayment"))-3),History_Q!$B$2:$B$1000,"&lt;="&amp;(SUMIFS(History_Q!$B$2:$B$1000,History_Q!$A$2:$A$1000,I$6,History_Q!$C$2:$C$1000,"debt_repayment")),History_Q!$E$2:$E$1000,"$m",History_Q!$G$2:$G$1000,"populated")&lt;&gt;4,_xlfn.MAXIFS(History_Q!$B$2:$B$1000,History_Q!$C$2:$C$1000,"debt_repayment",History_Q!$B$2:$B$1000,"&gt;="&amp;((SUMIFS(History_Q!$B$2:$B$1000,History_Q!$A$2:$A$1000,I$6,History_Q!$C$2:$C$1000,"debt_repayment"))-3),History_Q!$B$2:$B$1000,"&lt;="&amp;(SUMIFS(History_Q!$B$2:$B$1000,History_Q!$A$2:$A$1000,I$6,History_Q!$C$2:$C$1000,"debt_repayment")),History_Q!$E$2:$E$1000,"$m",History_Q!$G$2:$G$1000,"populated")-_xlfn.MINIFS(History_Q!$B$2:$B$1000,History_Q!$C$2:$C$1000,"debt_repayment",History_Q!$B$2:$B$1000,"&gt;="&amp;((SUMIFS(History_Q!$B$2:$B$1000,History_Q!$A$2:$A$1000,I$6,History_Q!$C$2:$C$1000,"debt_repayment"))-3),History_Q!$B$2:$B$1000,"&lt;="&amp;(SUMIFS(History_Q!$B$2:$B$1000,History_Q!$A$2:$A$1000,I$6,History_Q!$C$2:$C$1000,"debt_repayment")),History_Q!$E$2:$E$1000,"$m",History_Q!$G$2:$G$1000,"populated")&lt;&gt;3),"",SUMIFS(History_Q!$D$2:$D$1000,History_Q!$C$2:$C$1000,"debt_repayment",History_Q!$B$2:$B$1000,"&gt;="&amp;((SUMIFS(History_Q!$B$2:$B$1000,History_Q!$A$2:$A$1000,I$6,History_Q!$C$2:$C$1000,"debt_repayment"))-3),History_Q!$B$2:$B$1000,"&lt;="&amp;(SUMIFS(History_Q!$B$2:$B$1000,History_Q!$A$2:$A$1000,I$6,History_Q!$C$2:$C$1000,"debt_repayment")),History_Q!$E$2:$E$1000,"$m",History_Q!$G$2:$G$1000,"populated"))</f>
        <v/>
      </c>
      <c r="J66" s="450">
        <f>IF(OR(J$6="",COUNTIFS(History_Q!$C$2:$C$1000,"debt_repayment",History_Q!$B$2:$B$1000,"&gt;="&amp;((SUMIFS(History_Q!$B$2:$B$1000,History_Q!$A$2:$A$1000,J$6,History_Q!$C$2:$C$1000,"debt_repayment"))-3),History_Q!$B$2:$B$1000,"&lt;="&amp;(SUMIFS(History_Q!$B$2:$B$1000,History_Q!$A$2:$A$1000,J$6,History_Q!$C$2:$C$1000,"debt_repayment")),History_Q!$E$2:$E$1000,"$m",History_Q!$G$2:$G$1000,"populated")&lt;&gt;4,_xlfn.MAXIFS(History_Q!$B$2:$B$1000,History_Q!$C$2:$C$1000,"debt_repayment",History_Q!$B$2:$B$1000,"&gt;="&amp;((SUMIFS(History_Q!$B$2:$B$1000,History_Q!$A$2:$A$1000,J$6,History_Q!$C$2:$C$1000,"debt_repayment"))-3),History_Q!$B$2:$B$1000,"&lt;="&amp;(SUMIFS(History_Q!$B$2:$B$1000,History_Q!$A$2:$A$1000,J$6,History_Q!$C$2:$C$1000,"debt_repayment")),History_Q!$E$2:$E$1000,"$m",History_Q!$G$2:$G$1000,"populated")-_xlfn.MINIFS(History_Q!$B$2:$B$1000,History_Q!$C$2:$C$1000,"debt_repayment",History_Q!$B$2:$B$1000,"&gt;="&amp;((SUMIFS(History_Q!$B$2:$B$1000,History_Q!$A$2:$A$1000,J$6,History_Q!$C$2:$C$1000,"debt_repayment"))-3),History_Q!$B$2:$B$1000,"&lt;="&amp;(SUMIFS(History_Q!$B$2:$B$1000,History_Q!$A$2:$A$1000,J$6,History_Q!$C$2:$C$1000,"debt_repayment")),History_Q!$E$2:$E$1000,"$m",History_Q!$G$2:$G$1000,"populated")&lt;&gt;3),"",SUMIFS(History_Q!$D$2:$D$1000,History_Q!$C$2:$C$1000,"debt_repayment",History_Q!$B$2:$B$1000,"&gt;="&amp;((SUMIFS(History_Q!$B$2:$B$1000,History_Q!$A$2:$A$1000,J$6,History_Q!$C$2:$C$1000,"debt_repayment"))-3),History_Q!$B$2:$B$1000,"&lt;="&amp;(SUMIFS(History_Q!$B$2:$B$1000,History_Q!$A$2:$A$1000,J$6,History_Q!$C$2:$C$1000,"debt_repayment")),History_Q!$E$2:$E$1000,"$m",History_Q!$G$2:$G$1000,"populated"))</f>
        <v/>
      </c>
      <c r="K66" s="450">
        <f>IF(OR(K$6="",COUNTIFS(History_Q!$C$2:$C$1000,"debt_repayment",History_Q!$B$2:$B$1000,"&gt;="&amp;((SUMIFS(History_Q!$B$2:$B$1000,History_Q!$A$2:$A$1000,K$6,History_Q!$C$2:$C$1000,"debt_repayment"))-3),History_Q!$B$2:$B$1000,"&lt;="&amp;(SUMIFS(History_Q!$B$2:$B$1000,History_Q!$A$2:$A$1000,K$6,History_Q!$C$2:$C$1000,"debt_repayment")),History_Q!$E$2:$E$1000,"$m",History_Q!$G$2:$G$1000,"populated")&lt;&gt;4,_xlfn.MAXIFS(History_Q!$B$2:$B$1000,History_Q!$C$2:$C$1000,"debt_repayment",History_Q!$B$2:$B$1000,"&gt;="&amp;((SUMIFS(History_Q!$B$2:$B$1000,History_Q!$A$2:$A$1000,K$6,History_Q!$C$2:$C$1000,"debt_repayment"))-3),History_Q!$B$2:$B$1000,"&lt;="&amp;(SUMIFS(History_Q!$B$2:$B$1000,History_Q!$A$2:$A$1000,K$6,History_Q!$C$2:$C$1000,"debt_repayment")),History_Q!$E$2:$E$1000,"$m",History_Q!$G$2:$G$1000,"populated")-_xlfn.MINIFS(History_Q!$B$2:$B$1000,History_Q!$C$2:$C$1000,"debt_repayment",History_Q!$B$2:$B$1000,"&gt;="&amp;((SUMIFS(History_Q!$B$2:$B$1000,History_Q!$A$2:$A$1000,K$6,History_Q!$C$2:$C$1000,"debt_repayment"))-3),History_Q!$B$2:$B$1000,"&lt;="&amp;(SUMIFS(History_Q!$B$2:$B$1000,History_Q!$A$2:$A$1000,K$6,History_Q!$C$2:$C$1000,"debt_repayment")),History_Q!$E$2:$E$1000,"$m",History_Q!$G$2:$G$1000,"populated")&lt;&gt;3),"",SUMIFS(History_Q!$D$2:$D$1000,History_Q!$C$2:$C$1000,"debt_repayment",History_Q!$B$2:$B$1000,"&gt;="&amp;((SUMIFS(History_Q!$B$2:$B$1000,History_Q!$A$2:$A$1000,K$6,History_Q!$C$2:$C$1000,"debt_repayment"))-3),History_Q!$B$2:$B$1000,"&lt;="&amp;(SUMIFS(History_Q!$B$2:$B$1000,History_Q!$A$2:$A$1000,K$6,History_Q!$C$2:$C$1000,"debt_repayment")),History_Q!$E$2:$E$1000,"$m",History_Q!$G$2:$G$1000,"populated"))</f>
        <v/>
      </c>
      <c r="L66" s="450">
        <f>IF(OR(L$6="",COUNTIFS(History_Q!$C$2:$C$1000,"debt_repayment",History_Q!$B$2:$B$1000,"&gt;="&amp;((SUMIFS(History_Q!$B$2:$B$1000,History_Q!$A$2:$A$1000,L$6,History_Q!$C$2:$C$1000,"debt_repayment"))-3),History_Q!$B$2:$B$1000,"&lt;="&amp;(SUMIFS(History_Q!$B$2:$B$1000,History_Q!$A$2:$A$1000,L$6,History_Q!$C$2:$C$1000,"debt_repayment")),History_Q!$E$2:$E$1000,"$m",History_Q!$G$2:$G$1000,"populated")&lt;&gt;4,_xlfn.MAXIFS(History_Q!$B$2:$B$1000,History_Q!$C$2:$C$1000,"debt_repayment",History_Q!$B$2:$B$1000,"&gt;="&amp;((SUMIFS(History_Q!$B$2:$B$1000,History_Q!$A$2:$A$1000,L$6,History_Q!$C$2:$C$1000,"debt_repayment"))-3),History_Q!$B$2:$B$1000,"&lt;="&amp;(SUMIFS(History_Q!$B$2:$B$1000,History_Q!$A$2:$A$1000,L$6,History_Q!$C$2:$C$1000,"debt_repayment")),History_Q!$E$2:$E$1000,"$m",History_Q!$G$2:$G$1000,"populated")-_xlfn.MINIFS(History_Q!$B$2:$B$1000,History_Q!$C$2:$C$1000,"debt_repayment",History_Q!$B$2:$B$1000,"&gt;="&amp;((SUMIFS(History_Q!$B$2:$B$1000,History_Q!$A$2:$A$1000,L$6,History_Q!$C$2:$C$1000,"debt_repayment"))-3),History_Q!$B$2:$B$1000,"&lt;="&amp;(SUMIFS(History_Q!$B$2:$B$1000,History_Q!$A$2:$A$1000,L$6,History_Q!$C$2:$C$1000,"debt_repayment")),History_Q!$E$2:$E$1000,"$m",History_Q!$G$2:$G$1000,"populated")&lt;&gt;3),"",SUMIFS(History_Q!$D$2:$D$1000,History_Q!$C$2:$C$1000,"debt_repayment",History_Q!$B$2:$B$1000,"&gt;="&amp;((SUMIFS(History_Q!$B$2:$B$1000,History_Q!$A$2:$A$1000,L$6,History_Q!$C$2:$C$1000,"debt_repayment"))-3),History_Q!$B$2:$B$1000,"&lt;="&amp;(SUMIFS(History_Q!$B$2:$B$1000,History_Q!$A$2:$A$1000,L$6,History_Q!$C$2:$C$1000,"debt_repayment")),History_Q!$E$2:$E$1000,"$m",History_Q!$G$2:$G$1000,"populated"))</f>
        <v/>
      </c>
      <c r="M66" s="450">
        <f>IF(OR(M$6="",COUNTIFS(History_Q!$C$2:$C$1000,"debt_repayment",History_Q!$B$2:$B$1000,"&gt;="&amp;((SUMIFS(History_Q!$B$2:$B$1000,History_Q!$A$2:$A$1000,M$6,History_Q!$C$2:$C$1000,"debt_repayment"))-3),History_Q!$B$2:$B$1000,"&lt;="&amp;(SUMIFS(History_Q!$B$2:$B$1000,History_Q!$A$2:$A$1000,M$6,History_Q!$C$2:$C$1000,"debt_repayment")),History_Q!$E$2:$E$1000,"$m",History_Q!$G$2:$G$1000,"populated")&lt;&gt;4,_xlfn.MAXIFS(History_Q!$B$2:$B$1000,History_Q!$C$2:$C$1000,"debt_repayment",History_Q!$B$2:$B$1000,"&gt;="&amp;((SUMIFS(History_Q!$B$2:$B$1000,History_Q!$A$2:$A$1000,M$6,History_Q!$C$2:$C$1000,"debt_repayment"))-3),History_Q!$B$2:$B$1000,"&lt;="&amp;(SUMIFS(History_Q!$B$2:$B$1000,History_Q!$A$2:$A$1000,M$6,History_Q!$C$2:$C$1000,"debt_repayment")),History_Q!$E$2:$E$1000,"$m",History_Q!$G$2:$G$1000,"populated")-_xlfn.MINIFS(History_Q!$B$2:$B$1000,History_Q!$C$2:$C$1000,"debt_repayment",History_Q!$B$2:$B$1000,"&gt;="&amp;((SUMIFS(History_Q!$B$2:$B$1000,History_Q!$A$2:$A$1000,M$6,History_Q!$C$2:$C$1000,"debt_repayment"))-3),History_Q!$B$2:$B$1000,"&lt;="&amp;(SUMIFS(History_Q!$B$2:$B$1000,History_Q!$A$2:$A$1000,M$6,History_Q!$C$2:$C$1000,"debt_repayment")),History_Q!$E$2:$E$1000,"$m",History_Q!$G$2:$G$1000,"populated")&lt;&gt;3),"",SUMIFS(History_Q!$D$2:$D$1000,History_Q!$C$2:$C$1000,"debt_repayment",History_Q!$B$2:$B$1000,"&gt;="&amp;((SUMIFS(History_Q!$B$2:$B$1000,History_Q!$A$2:$A$1000,M$6,History_Q!$C$2:$C$1000,"debt_repayment"))-3),History_Q!$B$2:$B$1000,"&lt;="&amp;(SUMIFS(History_Q!$B$2:$B$1000,History_Q!$A$2:$A$1000,M$6,History_Q!$C$2:$C$1000,"debt_repayment")),History_Q!$E$2:$E$1000,"$m",History_Q!$G$2:$G$1000,"populated"))</f>
        <v/>
      </c>
      <c r="N66" s="22" t="n"/>
      <c r="O66" s="52" t="inlineStr">
        <is>
          <t>Diluted EPS (GAAP, TTM)</t>
        </is>
      </c>
      <c r="P66" s="47" t="n"/>
      <c r="Q66" s="47" t="n"/>
      <c r="R66" s="47" t="n"/>
      <c r="S66" s="47" t="n"/>
      <c r="T66" s="46" t="n"/>
      <c r="U66" s="456">
        <f>IF(EPS_TTM="","",EPS_TTM)</f>
        <v/>
      </c>
      <c r="V66" s="47" t="n"/>
      <c r="W66" s="46" t="n"/>
      <c r="X66" s="52" t="inlineStr">
        <is>
          <t>Guided midpoint</t>
        </is>
      </c>
      <c r="Y66" s="47" t="n"/>
      <c r="Z66" s="47" t="n"/>
      <c r="AA66" s="47" t="n"/>
      <c r="AB66" s="47" t="n"/>
      <c r="AC66" s="46" t="n"/>
      <c r="AD66" s="22" t="n"/>
      <c r="AE66" s="22" t="n"/>
      <c r="AF66" s="22" t="n"/>
      <c r="AG66" s="22" t="n"/>
      <c r="AH66" s="22" t="n"/>
      <c r="AI66" s="22" t="n"/>
    </row>
    <row r="67" ht="19.5" customHeight="1">
      <c r="A67" s="48" t="inlineStr">
        <is>
          <t>Debt issued (gross, TTM)</t>
        </is>
      </c>
      <c r="B67" s="450">
        <f>IF(OR(B$6="",COUNTIFS(History_Q!$C$2:$C$1000,"debt_issuance",History_Q!$B$2:$B$1000,"&gt;="&amp;((SUMIFS(History_Q!$B$2:$B$1000,History_Q!$A$2:$A$1000,B$6,History_Q!$C$2:$C$1000,"debt_issuance"))-3),History_Q!$B$2:$B$1000,"&lt;="&amp;(SUMIFS(History_Q!$B$2:$B$1000,History_Q!$A$2:$A$1000,B$6,History_Q!$C$2:$C$1000,"debt_issuance")),History_Q!$E$2:$E$1000,"$m",History_Q!$G$2:$G$1000,"populated")&lt;&gt;4,_xlfn.MAXIFS(History_Q!$B$2:$B$1000,History_Q!$C$2:$C$1000,"debt_issuance",History_Q!$B$2:$B$1000,"&gt;="&amp;((SUMIFS(History_Q!$B$2:$B$1000,History_Q!$A$2:$A$1000,B$6,History_Q!$C$2:$C$1000,"debt_issuance"))-3),History_Q!$B$2:$B$1000,"&lt;="&amp;(SUMIFS(History_Q!$B$2:$B$1000,History_Q!$A$2:$A$1000,B$6,History_Q!$C$2:$C$1000,"debt_issuance")),History_Q!$E$2:$E$1000,"$m",History_Q!$G$2:$G$1000,"populated")-_xlfn.MINIFS(History_Q!$B$2:$B$1000,History_Q!$C$2:$C$1000,"debt_issuance",History_Q!$B$2:$B$1000,"&gt;="&amp;((SUMIFS(History_Q!$B$2:$B$1000,History_Q!$A$2:$A$1000,B$6,History_Q!$C$2:$C$1000,"debt_issuance"))-3),History_Q!$B$2:$B$1000,"&lt;="&amp;(SUMIFS(History_Q!$B$2:$B$1000,History_Q!$A$2:$A$1000,B$6,History_Q!$C$2:$C$1000,"debt_issuance")),History_Q!$E$2:$E$1000,"$m",History_Q!$G$2:$G$1000,"populated")&lt;&gt;3),"",SUMIFS(History_Q!$D$2:$D$1000,History_Q!$C$2:$C$1000,"debt_issuance",History_Q!$B$2:$B$1000,"&gt;="&amp;((SUMIFS(History_Q!$B$2:$B$1000,History_Q!$A$2:$A$1000,B$6,History_Q!$C$2:$C$1000,"debt_issuance"))-3),History_Q!$B$2:$B$1000,"&lt;="&amp;(SUMIFS(History_Q!$B$2:$B$1000,History_Q!$A$2:$A$1000,B$6,History_Q!$C$2:$C$1000,"debt_issuance")),History_Q!$E$2:$E$1000,"$m",History_Q!$G$2:$G$1000,"populated"))</f>
        <v/>
      </c>
      <c r="C67" s="450">
        <f>IF(OR(C$6="",COUNTIFS(History_Q!$C$2:$C$1000,"debt_issuance",History_Q!$B$2:$B$1000,"&gt;="&amp;((SUMIFS(History_Q!$B$2:$B$1000,History_Q!$A$2:$A$1000,C$6,History_Q!$C$2:$C$1000,"debt_issuance"))-3),History_Q!$B$2:$B$1000,"&lt;="&amp;(SUMIFS(History_Q!$B$2:$B$1000,History_Q!$A$2:$A$1000,C$6,History_Q!$C$2:$C$1000,"debt_issuance")),History_Q!$E$2:$E$1000,"$m",History_Q!$G$2:$G$1000,"populated")&lt;&gt;4,_xlfn.MAXIFS(History_Q!$B$2:$B$1000,History_Q!$C$2:$C$1000,"debt_issuance",History_Q!$B$2:$B$1000,"&gt;="&amp;((SUMIFS(History_Q!$B$2:$B$1000,History_Q!$A$2:$A$1000,C$6,History_Q!$C$2:$C$1000,"debt_issuance"))-3),History_Q!$B$2:$B$1000,"&lt;="&amp;(SUMIFS(History_Q!$B$2:$B$1000,History_Q!$A$2:$A$1000,C$6,History_Q!$C$2:$C$1000,"debt_issuance")),History_Q!$E$2:$E$1000,"$m",History_Q!$G$2:$G$1000,"populated")-_xlfn.MINIFS(History_Q!$B$2:$B$1000,History_Q!$C$2:$C$1000,"debt_issuance",History_Q!$B$2:$B$1000,"&gt;="&amp;((SUMIFS(History_Q!$B$2:$B$1000,History_Q!$A$2:$A$1000,C$6,History_Q!$C$2:$C$1000,"debt_issuance"))-3),History_Q!$B$2:$B$1000,"&lt;="&amp;(SUMIFS(History_Q!$B$2:$B$1000,History_Q!$A$2:$A$1000,C$6,History_Q!$C$2:$C$1000,"debt_issuance")),History_Q!$E$2:$E$1000,"$m",History_Q!$G$2:$G$1000,"populated")&lt;&gt;3),"",SUMIFS(History_Q!$D$2:$D$1000,History_Q!$C$2:$C$1000,"debt_issuance",History_Q!$B$2:$B$1000,"&gt;="&amp;((SUMIFS(History_Q!$B$2:$B$1000,History_Q!$A$2:$A$1000,C$6,History_Q!$C$2:$C$1000,"debt_issuance"))-3),History_Q!$B$2:$B$1000,"&lt;="&amp;(SUMIFS(History_Q!$B$2:$B$1000,History_Q!$A$2:$A$1000,C$6,History_Q!$C$2:$C$1000,"debt_issuance")),History_Q!$E$2:$E$1000,"$m",History_Q!$G$2:$G$1000,"populated"))</f>
        <v/>
      </c>
      <c r="D67" s="450">
        <f>IF(OR(D$6="",COUNTIFS(History_Q!$C$2:$C$1000,"debt_issuance",History_Q!$B$2:$B$1000,"&gt;="&amp;((SUMIFS(History_Q!$B$2:$B$1000,History_Q!$A$2:$A$1000,D$6,History_Q!$C$2:$C$1000,"debt_issuance"))-3),History_Q!$B$2:$B$1000,"&lt;="&amp;(SUMIFS(History_Q!$B$2:$B$1000,History_Q!$A$2:$A$1000,D$6,History_Q!$C$2:$C$1000,"debt_issuance")),History_Q!$E$2:$E$1000,"$m",History_Q!$G$2:$G$1000,"populated")&lt;&gt;4,_xlfn.MAXIFS(History_Q!$B$2:$B$1000,History_Q!$C$2:$C$1000,"debt_issuance",History_Q!$B$2:$B$1000,"&gt;="&amp;((SUMIFS(History_Q!$B$2:$B$1000,History_Q!$A$2:$A$1000,D$6,History_Q!$C$2:$C$1000,"debt_issuance"))-3),History_Q!$B$2:$B$1000,"&lt;="&amp;(SUMIFS(History_Q!$B$2:$B$1000,History_Q!$A$2:$A$1000,D$6,History_Q!$C$2:$C$1000,"debt_issuance")),History_Q!$E$2:$E$1000,"$m",History_Q!$G$2:$G$1000,"populated")-_xlfn.MINIFS(History_Q!$B$2:$B$1000,History_Q!$C$2:$C$1000,"debt_issuance",History_Q!$B$2:$B$1000,"&gt;="&amp;((SUMIFS(History_Q!$B$2:$B$1000,History_Q!$A$2:$A$1000,D$6,History_Q!$C$2:$C$1000,"debt_issuance"))-3),History_Q!$B$2:$B$1000,"&lt;="&amp;(SUMIFS(History_Q!$B$2:$B$1000,History_Q!$A$2:$A$1000,D$6,History_Q!$C$2:$C$1000,"debt_issuance")),History_Q!$E$2:$E$1000,"$m",History_Q!$G$2:$G$1000,"populated")&lt;&gt;3),"",SUMIFS(History_Q!$D$2:$D$1000,History_Q!$C$2:$C$1000,"debt_issuance",History_Q!$B$2:$B$1000,"&gt;="&amp;((SUMIFS(History_Q!$B$2:$B$1000,History_Q!$A$2:$A$1000,D$6,History_Q!$C$2:$C$1000,"debt_issuance"))-3),History_Q!$B$2:$B$1000,"&lt;="&amp;(SUMIFS(History_Q!$B$2:$B$1000,History_Q!$A$2:$A$1000,D$6,History_Q!$C$2:$C$1000,"debt_issuance")),History_Q!$E$2:$E$1000,"$m",History_Q!$G$2:$G$1000,"populated"))</f>
        <v/>
      </c>
      <c r="E67" s="450">
        <f>IF(OR(E$6="",COUNTIFS(History_Q!$C$2:$C$1000,"debt_issuance",History_Q!$B$2:$B$1000,"&gt;="&amp;((SUMIFS(History_Q!$B$2:$B$1000,History_Q!$A$2:$A$1000,E$6,History_Q!$C$2:$C$1000,"debt_issuance"))-3),History_Q!$B$2:$B$1000,"&lt;="&amp;(SUMIFS(History_Q!$B$2:$B$1000,History_Q!$A$2:$A$1000,E$6,History_Q!$C$2:$C$1000,"debt_issuance")),History_Q!$E$2:$E$1000,"$m",History_Q!$G$2:$G$1000,"populated")&lt;&gt;4,_xlfn.MAXIFS(History_Q!$B$2:$B$1000,History_Q!$C$2:$C$1000,"debt_issuance",History_Q!$B$2:$B$1000,"&gt;="&amp;((SUMIFS(History_Q!$B$2:$B$1000,History_Q!$A$2:$A$1000,E$6,History_Q!$C$2:$C$1000,"debt_issuance"))-3),History_Q!$B$2:$B$1000,"&lt;="&amp;(SUMIFS(History_Q!$B$2:$B$1000,History_Q!$A$2:$A$1000,E$6,History_Q!$C$2:$C$1000,"debt_issuance")),History_Q!$E$2:$E$1000,"$m",History_Q!$G$2:$G$1000,"populated")-_xlfn.MINIFS(History_Q!$B$2:$B$1000,History_Q!$C$2:$C$1000,"debt_issuance",History_Q!$B$2:$B$1000,"&gt;="&amp;((SUMIFS(History_Q!$B$2:$B$1000,History_Q!$A$2:$A$1000,E$6,History_Q!$C$2:$C$1000,"debt_issuance"))-3),History_Q!$B$2:$B$1000,"&lt;="&amp;(SUMIFS(History_Q!$B$2:$B$1000,History_Q!$A$2:$A$1000,E$6,History_Q!$C$2:$C$1000,"debt_issuance")),History_Q!$E$2:$E$1000,"$m",History_Q!$G$2:$G$1000,"populated")&lt;&gt;3),"",SUMIFS(History_Q!$D$2:$D$1000,History_Q!$C$2:$C$1000,"debt_issuance",History_Q!$B$2:$B$1000,"&gt;="&amp;((SUMIFS(History_Q!$B$2:$B$1000,History_Q!$A$2:$A$1000,E$6,History_Q!$C$2:$C$1000,"debt_issuance"))-3),History_Q!$B$2:$B$1000,"&lt;="&amp;(SUMIFS(History_Q!$B$2:$B$1000,History_Q!$A$2:$A$1000,E$6,History_Q!$C$2:$C$1000,"debt_issuance")),History_Q!$E$2:$E$1000,"$m",History_Q!$G$2:$G$1000,"populated"))</f>
        <v/>
      </c>
      <c r="F67" s="450">
        <f>IF(OR(F$6="",COUNTIFS(History_Q!$C$2:$C$1000,"debt_issuance",History_Q!$B$2:$B$1000,"&gt;="&amp;((SUMIFS(History_Q!$B$2:$B$1000,History_Q!$A$2:$A$1000,F$6,History_Q!$C$2:$C$1000,"debt_issuance"))-3),History_Q!$B$2:$B$1000,"&lt;="&amp;(SUMIFS(History_Q!$B$2:$B$1000,History_Q!$A$2:$A$1000,F$6,History_Q!$C$2:$C$1000,"debt_issuance")),History_Q!$E$2:$E$1000,"$m",History_Q!$G$2:$G$1000,"populated")&lt;&gt;4,_xlfn.MAXIFS(History_Q!$B$2:$B$1000,History_Q!$C$2:$C$1000,"debt_issuance",History_Q!$B$2:$B$1000,"&gt;="&amp;((SUMIFS(History_Q!$B$2:$B$1000,History_Q!$A$2:$A$1000,F$6,History_Q!$C$2:$C$1000,"debt_issuance"))-3),History_Q!$B$2:$B$1000,"&lt;="&amp;(SUMIFS(History_Q!$B$2:$B$1000,History_Q!$A$2:$A$1000,F$6,History_Q!$C$2:$C$1000,"debt_issuance")),History_Q!$E$2:$E$1000,"$m",History_Q!$G$2:$G$1000,"populated")-_xlfn.MINIFS(History_Q!$B$2:$B$1000,History_Q!$C$2:$C$1000,"debt_issuance",History_Q!$B$2:$B$1000,"&gt;="&amp;((SUMIFS(History_Q!$B$2:$B$1000,History_Q!$A$2:$A$1000,F$6,History_Q!$C$2:$C$1000,"debt_issuance"))-3),History_Q!$B$2:$B$1000,"&lt;="&amp;(SUMIFS(History_Q!$B$2:$B$1000,History_Q!$A$2:$A$1000,F$6,History_Q!$C$2:$C$1000,"debt_issuance")),History_Q!$E$2:$E$1000,"$m",History_Q!$G$2:$G$1000,"populated")&lt;&gt;3),"",SUMIFS(History_Q!$D$2:$D$1000,History_Q!$C$2:$C$1000,"debt_issuance",History_Q!$B$2:$B$1000,"&gt;="&amp;((SUMIFS(History_Q!$B$2:$B$1000,History_Q!$A$2:$A$1000,F$6,History_Q!$C$2:$C$1000,"debt_issuance"))-3),History_Q!$B$2:$B$1000,"&lt;="&amp;(SUMIFS(History_Q!$B$2:$B$1000,History_Q!$A$2:$A$1000,F$6,History_Q!$C$2:$C$1000,"debt_issuance")),History_Q!$E$2:$E$1000,"$m",History_Q!$G$2:$G$1000,"populated"))</f>
        <v/>
      </c>
      <c r="G67" s="450">
        <f>IF(OR(G$6="",COUNTIFS(History_Q!$C$2:$C$1000,"debt_issuance",History_Q!$B$2:$B$1000,"&gt;="&amp;((SUMIFS(History_Q!$B$2:$B$1000,History_Q!$A$2:$A$1000,G$6,History_Q!$C$2:$C$1000,"debt_issuance"))-3),History_Q!$B$2:$B$1000,"&lt;="&amp;(SUMIFS(History_Q!$B$2:$B$1000,History_Q!$A$2:$A$1000,G$6,History_Q!$C$2:$C$1000,"debt_issuance")),History_Q!$E$2:$E$1000,"$m",History_Q!$G$2:$G$1000,"populated")&lt;&gt;4,_xlfn.MAXIFS(History_Q!$B$2:$B$1000,History_Q!$C$2:$C$1000,"debt_issuance",History_Q!$B$2:$B$1000,"&gt;="&amp;((SUMIFS(History_Q!$B$2:$B$1000,History_Q!$A$2:$A$1000,G$6,History_Q!$C$2:$C$1000,"debt_issuance"))-3),History_Q!$B$2:$B$1000,"&lt;="&amp;(SUMIFS(History_Q!$B$2:$B$1000,History_Q!$A$2:$A$1000,G$6,History_Q!$C$2:$C$1000,"debt_issuance")),History_Q!$E$2:$E$1000,"$m",History_Q!$G$2:$G$1000,"populated")-_xlfn.MINIFS(History_Q!$B$2:$B$1000,History_Q!$C$2:$C$1000,"debt_issuance",History_Q!$B$2:$B$1000,"&gt;="&amp;((SUMIFS(History_Q!$B$2:$B$1000,History_Q!$A$2:$A$1000,G$6,History_Q!$C$2:$C$1000,"debt_issuance"))-3),History_Q!$B$2:$B$1000,"&lt;="&amp;(SUMIFS(History_Q!$B$2:$B$1000,History_Q!$A$2:$A$1000,G$6,History_Q!$C$2:$C$1000,"debt_issuance")),History_Q!$E$2:$E$1000,"$m",History_Q!$G$2:$G$1000,"populated")&lt;&gt;3),"",SUMIFS(History_Q!$D$2:$D$1000,History_Q!$C$2:$C$1000,"debt_issuance",History_Q!$B$2:$B$1000,"&gt;="&amp;((SUMIFS(History_Q!$B$2:$B$1000,History_Q!$A$2:$A$1000,G$6,History_Q!$C$2:$C$1000,"debt_issuance"))-3),History_Q!$B$2:$B$1000,"&lt;="&amp;(SUMIFS(History_Q!$B$2:$B$1000,History_Q!$A$2:$A$1000,G$6,History_Q!$C$2:$C$1000,"debt_issuance")),History_Q!$E$2:$E$1000,"$m",History_Q!$G$2:$G$1000,"populated"))</f>
        <v/>
      </c>
      <c r="H67" s="450">
        <f>IF(OR(H$6="",COUNTIFS(History_Q!$C$2:$C$1000,"debt_issuance",History_Q!$B$2:$B$1000,"&gt;="&amp;((SUMIFS(History_Q!$B$2:$B$1000,History_Q!$A$2:$A$1000,H$6,History_Q!$C$2:$C$1000,"debt_issuance"))-3),History_Q!$B$2:$B$1000,"&lt;="&amp;(SUMIFS(History_Q!$B$2:$B$1000,History_Q!$A$2:$A$1000,H$6,History_Q!$C$2:$C$1000,"debt_issuance")),History_Q!$E$2:$E$1000,"$m",History_Q!$G$2:$G$1000,"populated")&lt;&gt;4,_xlfn.MAXIFS(History_Q!$B$2:$B$1000,History_Q!$C$2:$C$1000,"debt_issuance",History_Q!$B$2:$B$1000,"&gt;="&amp;((SUMIFS(History_Q!$B$2:$B$1000,History_Q!$A$2:$A$1000,H$6,History_Q!$C$2:$C$1000,"debt_issuance"))-3),History_Q!$B$2:$B$1000,"&lt;="&amp;(SUMIFS(History_Q!$B$2:$B$1000,History_Q!$A$2:$A$1000,H$6,History_Q!$C$2:$C$1000,"debt_issuance")),History_Q!$E$2:$E$1000,"$m",History_Q!$G$2:$G$1000,"populated")-_xlfn.MINIFS(History_Q!$B$2:$B$1000,History_Q!$C$2:$C$1000,"debt_issuance",History_Q!$B$2:$B$1000,"&gt;="&amp;((SUMIFS(History_Q!$B$2:$B$1000,History_Q!$A$2:$A$1000,H$6,History_Q!$C$2:$C$1000,"debt_issuance"))-3),History_Q!$B$2:$B$1000,"&lt;="&amp;(SUMIFS(History_Q!$B$2:$B$1000,History_Q!$A$2:$A$1000,H$6,History_Q!$C$2:$C$1000,"debt_issuance")),History_Q!$E$2:$E$1000,"$m",History_Q!$G$2:$G$1000,"populated")&lt;&gt;3),"",SUMIFS(History_Q!$D$2:$D$1000,History_Q!$C$2:$C$1000,"debt_issuance",History_Q!$B$2:$B$1000,"&gt;="&amp;((SUMIFS(History_Q!$B$2:$B$1000,History_Q!$A$2:$A$1000,H$6,History_Q!$C$2:$C$1000,"debt_issuance"))-3),History_Q!$B$2:$B$1000,"&lt;="&amp;(SUMIFS(History_Q!$B$2:$B$1000,History_Q!$A$2:$A$1000,H$6,History_Q!$C$2:$C$1000,"debt_issuance")),History_Q!$E$2:$E$1000,"$m",History_Q!$G$2:$G$1000,"populated"))</f>
        <v/>
      </c>
      <c r="I67" s="450">
        <f>IF(OR(I$6="",COUNTIFS(History_Q!$C$2:$C$1000,"debt_issuance",History_Q!$B$2:$B$1000,"&gt;="&amp;((SUMIFS(History_Q!$B$2:$B$1000,History_Q!$A$2:$A$1000,I$6,History_Q!$C$2:$C$1000,"debt_issuance"))-3),History_Q!$B$2:$B$1000,"&lt;="&amp;(SUMIFS(History_Q!$B$2:$B$1000,History_Q!$A$2:$A$1000,I$6,History_Q!$C$2:$C$1000,"debt_issuance")),History_Q!$E$2:$E$1000,"$m",History_Q!$G$2:$G$1000,"populated")&lt;&gt;4,_xlfn.MAXIFS(History_Q!$B$2:$B$1000,History_Q!$C$2:$C$1000,"debt_issuance",History_Q!$B$2:$B$1000,"&gt;="&amp;((SUMIFS(History_Q!$B$2:$B$1000,History_Q!$A$2:$A$1000,I$6,History_Q!$C$2:$C$1000,"debt_issuance"))-3),History_Q!$B$2:$B$1000,"&lt;="&amp;(SUMIFS(History_Q!$B$2:$B$1000,History_Q!$A$2:$A$1000,I$6,History_Q!$C$2:$C$1000,"debt_issuance")),History_Q!$E$2:$E$1000,"$m",History_Q!$G$2:$G$1000,"populated")-_xlfn.MINIFS(History_Q!$B$2:$B$1000,History_Q!$C$2:$C$1000,"debt_issuance",History_Q!$B$2:$B$1000,"&gt;="&amp;((SUMIFS(History_Q!$B$2:$B$1000,History_Q!$A$2:$A$1000,I$6,History_Q!$C$2:$C$1000,"debt_issuance"))-3),History_Q!$B$2:$B$1000,"&lt;="&amp;(SUMIFS(History_Q!$B$2:$B$1000,History_Q!$A$2:$A$1000,I$6,History_Q!$C$2:$C$1000,"debt_issuance")),History_Q!$E$2:$E$1000,"$m",History_Q!$G$2:$G$1000,"populated")&lt;&gt;3),"",SUMIFS(History_Q!$D$2:$D$1000,History_Q!$C$2:$C$1000,"debt_issuance",History_Q!$B$2:$B$1000,"&gt;="&amp;((SUMIFS(History_Q!$B$2:$B$1000,History_Q!$A$2:$A$1000,I$6,History_Q!$C$2:$C$1000,"debt_issuance"))-3),History_Q!$B$2:$B$1000,"&lt;="&amp;(SUMIFS(History_Q!$B$2:$B$1000,History_Q!$A$2:$A$1000,I$6,History_Q!$C$2:$C$1000,"debt_issuance")),History_Q!$E$2:$E$1000,"$m",History_Q!$G$2:$G$1000,"populated"))</f>
        <v/>
      </c>
      <c r="J67" s="450">
        <f>IF(OR(J$6="",COUNTIFS(History_Q!$C$2:$C$1000,"debt_issuance",History_Q!$B$2:$B$1000,"&gt;="&amp;((SUMIFS(History_Q!$B$2:$B$1000,History_Q!$A$2:$A$1000,J$6,History_Q!$C$2:$C$1000,"debt_issuance"))-3),History_Q!$B$2:$B$1000,"&lt;="&amp;(SUMIFS(History_Q!$B$2:$B$1000,History_Q!$A$2:$A$1000,J$6,History_Q!$C$2:$C$1000,"debt_issuance")),History_Q!$E$2:$E$1000,"$m",History_Q!$G$2:$G$1000,"populated")&lt;&gt;4,_xlfn.MAXIFS(History_Q!$B$2:$B$1000,History_Q!$C$2:$C$1000,"debt_issuance",History_Q!$B$2:$B$1000,"&gt;="&amp;((SUMIFS(History_Q!$B$2:$B$1000,History_Q!$A$2:$A$1000,J$6,History_Q!$C$2:$C$1000,"debt_issuance"))-3),History_Q!$B$2:$B$1000,"&lt;="&amp;(SUMIFS(History_Q!$B$2:$B$1000,History_Q!$A$2:$A$1000,J$6,History_Q!$C$2:$C$1000,"debt_issuance")),History_Q!$E$2:$E$1000,"$m",History_Q!$G$2:$G$1000,"populated")-_xlfn.MINIFS(History_Q!$B$2:$B$1000,History_Q!$C$2:$C$1000,"debt_issuance",History_Q!$B$2:$B$1000,"&gt;="&amp;((SUMIFS(History_Q!$B$2:$B$1000,History_Q!$A$2:$A$1000,J$6,History_Q!$C$2:$C$1000,"debt_issuance"))-3),History_Q!$B$2:$B$1000,"&lt;="&amp;(SUMIFS(History_Q!$B$2:$B$1000,History_Q!$A$2:$A$1000,J$6,History_Q!$C$2:$C$1000,"debt_issuance")),History_Q!$E$2:$E$1000,"$m",History_Q!$G$2:$G$1000,"populated")&lt;&gt;3),"",SUMIFS(History_Q!$D$2:$D$1000,History_Q!$C$2:$C$1000,"debt_issuance",History_Q!$B$2:$B$1000,"&gt;="&amp;((SUMIFS(History_Q!$B$2:$B$1000,History_Q!$A$2:$A$1000,J$6,History_Q!$C$2:$C$1000,"debt_issuance"))-3),History_Q!$B$2:$B$1000,"&lt;="&amp;(SUMIFS(History_Q!$B$2:$B$1000,History_Q!$A$2:$A$1000,J$6,History_Q!$C$2:$C$1000,"debt_issuance")),History_Q!$E$2:$E$1000,"$m",History_Q!$G$2:$G$1000,"populated"))</f>
        <v/>
      </c>
      <c r="K67" s="450">
        <f>IF(OR(K$6="",COUNTIFS(History_Q!$C$2:$C$1000,"debt_issuance",History_Q!$B$2:$B$1000,"&gt;="&amp;((SUMIFS(History_Q!$B$2:$B$1000,History_Q!$A$2:$A$1000,K$6,History_Q!$C$2:$C$1000,"debt_issuance"))-3),History_Q!$B$2:$B$1000,"&lt;="&amp;(SUMIFS(History_Q!$B$2:$B$1000,History_Q!$A$2:$A$1000,K$6,History_Q!$C$2:$C$1000,"debt_issuance")),History_Q!$E$2:$E$1000,"$m",History_Q!$G$2:$G$1000,"populated")&lt;&gt;4,_xlfn.MAXIFS(History_Q!$B$2:$B$1000,History_Q!$C$2:$C$1000,"debt_issuance",History_Q!$B$2:$B$1000,"&gt;="&amp;((SUMIFS(History_Q!$B$2:$B$1000,History_Q!$A$2:$A$1000,K$6,History_Q!$C$2:$C$1000,"debt_issuance"))-3),History_Q!$B$2:$B$1000,"&lt;="&amp;(SUMIFS(History_Q!$B$2:$B$1000,History_Q!$A$2:$A$1000,K$6,History_Q!$C$2:$C$1000,"debt_issuance")),History_Q!$E$2:$E$1000,"$m",History_Q!$G$2:$G$1000,"populated")-_xlfn.MINIFS(History_Q!$B$2:$B$1000,History_Q!$C$2:$C$1000,"debt_issuance",History_Q!$B$2:$B$1000,"&gt;="&amp;((SUMIFS(History_Q!$B$2:$B$1000,History_Q!$A$2:$A$1000,K$6,History_Q!$C$2:$C$1000,"debt_issuance"))-3),History_Q!$B$2:$B$1000,"&lt;="&amp;(SUMIFS(History_Q!$B$2:$B$1000,History_Q!$A$2:$A$1000,K$6,History_Q!$C$2:$C$1000,"debt_issuance")),History_Q!$E$2:$E$1000,"$m",History_Q!$G$2:$G$1000,"populated")&lt;&gt;3),"",SUMIFS(History_Q!$D$2:$D$1000,History_Q!$C$2:$C$1000,"debt_issuance",History_Q!$B$2:$B$1000,"&gt;="&amp;((SUMIFS(History_Q!$B$2:$B$1000,History_Q!$A$2:$A$1000,K$6,History_Q!$C$2:$C$1000,"debt_issuance"))-3),History_Q!$B$2:$B$1000,"&lt;="&amp;(SUMIFS(History_Q!$B$2:$B$1000,History_Q!$A$2:$A$1000,K$6,History_Q!$C$2:$C$1000,"debt_issuance")),History_Q!$E$2:$E$1000,"$m",History_Q!$G$2:$G$1000,"populated"))</f>
        <v/>
      </c>
      <c r="L67" s="450">
        <f>IF(OR(L$6="",COUNTIFS(History_Q!$C$2:$C$1000,"debt_issuance",History_Q!$B$2:$B$1000,"&gt;="&amp;((SUMIFS(History_Q!$B$2:$B$1000,History_Q!$A$2:$A$1000,L$6,History_Q!$C$2:$C$1000,"debt_issuance"))-3),History_Q!$B$2:$B$1000,"&lt;="&amp;(SUMIFS(History_Q!$B$2:$B$1000,History_Q!$A$2:$A$1000,L$6,History_Q!$C$2:$C$1000,"debt_issuance")),History_Q!$E$2:$E$1000,"$m",History_Q!$G$2:$G$1000,"populated")&lt;&gt;4,_xlfn.MAXIFS(History_Q!$B$2:$B$1000,History_Q!$C$2:$C$1000,"debt_issuance",History_Q!$B$2:$B$1000,"&gt;="&amp;((SUMIFS(History_Q!$B$2:$B$1000,History_Q!$A$2:$A$1000,L$6,History_Q!$C$2:$C$1000,"debt_issuance"))-3),History_Q!$B$2:$B$1000,"&lt;="&amp;(SUMIFS(History_Q!$B$2:$B$1000,History_Q!$A$2:$A$1000,L$6,History_Q!$C$2:$C$1000,"debt_issuance")),History_Q!$E$2:$E$1000,"$m",History_Q!$G$2:$G$1000,"populated")-_xlfn.MINIFS(History_Q!$B$2:$B$1000,History_Q!$C$2:$C$1000,"debt_issuance",History_Q!$B$2:$B$1000,"&gt;="&amp;((SUMIFS(History_Q!$B$2:$B$1000,History_Q!$A$2:$A$1000,L$6,History_Q!$C$2:$C$1000,"debt_issuance"))-3),History_Q!$B$2:$B$1000,"&lt;="&amp;(SUMIFS(History_Q!$B$2:$B$1000,History_Q!$A$2:$A$1000,L$6,History_Q!$C$2:$C$1000,"debt_issuance")),History_Q!$E$2:$E$1000,"$m",History_Q!$G$2:$G$1000,"populated")&lt;&gt;3),"",SUMIFS(History_Q!$D$2:$D$1000,History_Q!$C$2:$C$1000,"debt_issuance",History_Q!$B$2:$B$1000,"&gt;="&amp;((SUMIFS(History_Q!$B$2:$B$1000,History_Q!$A$2:$A$1000,L$6,History_Q!$C$2:$C$1000,"debt_issuance"))-3),History_Q!$B$2:$B$1000,"&lt;="&amp;(SUMIFS(History_Q!$B$2:$B$1000,History_Q!$A$2:$A$1000,L$6,History_Q!$C$2:$C$1000,"debt_issuance")),History_Q!$E$2:$E$1000,"$m",History_Q!$G$2:$G$1000,"populated"))</f>
        <v/>
      </c>
      <c r="M67" s="450">
        <f>IF(OR(M$6="",COUNTIFS(History_Q!$C$2:$C$1000,"debt_issuance",History_Q!$B$2:$B$1000,"&gt;="&amp;((SUMIFS(History_Q!$B$2:$B$1000,History_Q!$A$2:$A$1000,M$6,History_Q!$C$2:$C$1000,"debt_issuance"))-3),History_Q!$B$2:$B$1000,"&lt;="&amp;(SUMIFS(History_Q!$B$2:$B$1000,History_Q!$A$2:$A$1000,M$6,History_Q!$C$2:$C$1000,"debt_issuance")),History_Q!$E$2:$E$1000,"$m",History_Q!$G$2:$G$1000,"populated")&lt;&gt;4,_xlfn.MAXIFS(History_Q!$B$2:$B$1000,History_Q!$C$2:$C$1000,"debt_issuance",History_Q!$B$2:$B$1000,"&gt;="&amp;((SUMIFS(History_Q!$B$2:$B$1000,History_Q!$A$2:$A$1000,M$6,History_Q!$C$2:$C$1000,"debt_issuance"))-3),History_Q!$B$2:$B$1000,"&lt;="&amp;(SUMIFS(History_Q!$B$2:$B$1000,History_Q!$A$2:$A$1000,M$6,History_Q!$C$2:$C$1000,"debt_issuance")),History_Q!$E$2:$E$1000,"$m",History_Q!$G$2:$G$1000,"populated")-_xlfn.MINIFS(History_Q!$B$2:$B$1000,History_Q!$C$2:$C$1000,"debt_issuance",History_Q!$B$2:$B$1000,"&gt;="&amp;((SUMIFS(History_Q!$B$2:$B$1000,History_Q!$A$2:$A$1000,M$6,History_Q!$C$2:$C$1000,"debt_issuance"))-3),History_Q!$B$2:$B$1000,"&lt;="&amp;(SUMIFS(History_Q!$B$2:$B$1000,History_Q!$A$2:$A$1000,M$6,History_Q!$C$2:$C$1000,"debt_issuance")),History_Q!$E$2:$E$1000,"$m",History_Q!$G$2:$G$1000,"populated")&lt;&gt;3),"",SUMIFS(History_Q!$D$2:$D$1000,History_Q!$C$2:$C$1000,"debt_issuance",History_Q!$B$2:$B$1000,"&gt;="&amp;((SUMIFS(History_Q!$B$2:$B$1000,History_Q!$A$2:$A$1000,M$6,History_Q!$C$2:$C$1000,"debt_issuance"))-3),History_Q!$B$2:$B$1000,"&lt;="&amp;(SUMIFS(History_Q!$B$2:$B$1000,History_Q!$A$2:$A$1000,M$6,History_Q!$C$2:$C$1000,"debt_issuance")),History_Q!$E$2:$E$1000,"$m",History_Q!$G$2:$G$1000,"populated"))</f>
        <v/>
      </c>
      <c r="N67" s="22" t="n"/>
      <c r="O67" s="53" t="inlineStr">
        <is>
          <t>EV @ target EV/Adjusted EBITDA</t>
        </is>
      </c>
      <c r="P67" s="47" t="n"/>
      <c r="Q67" s="47" t="n"/>
      <c r="R67" s="47" t="n"/>
      <c r="S67" s="47" t="n"/>
      <c r="T67" s="46" t="n"/>
      <c r="U67" s="457">
        <f>IF(OR(Adj_EBITDA="",Target_EV_AdjEBITDA=""),"",Adj_EBITDA*Target_EV_AdjEBITDA)</f>
        <v/>
      </c>
      <c r="V67" s="47" t="n"/>
      <c r="W67" s="46" t="n"/>
      <c r="X67" s="53" t="inlineStr">
        <is>
          <t>Adjusted EBITDA × EV multiple</t>
        </is>
      </c>
      <c r="Y67" s="47" t="n"/>
      <c r="Z67" s="47" t="n"/>
      <c r="AA67" s="47" t="n"/>
      <c r="AB67" s="47" t="n"/>
      <c r="AC67" s="46" t="n"/>
      <c r="AD67" s="22" t="n"/>
      <c r="AE67" s="22" t="n"/>
      <c r="AF67" s="22" t="n"/>
      <c r="AG67" s="22" t="n"/>
      <c r="AH67" s="22" t="n"/>
      <c r="AI67" s="22" t="n"/>
    </row>
    <row r="68" ht="19.5" customHeight="1">
      <c r="A68" s="38" t="inlineStr">
        <is>
          <t>Leverage &amp; Liquidity</t>
        </is>
      </c>
      <c r="B68" s="39" t="n"/>
      <c r="C68" s="39" t="n"/>
      <c r="D68" s="39" t="n"/>
      <c r="E68" s="39" t="n"/>
      <c r="F68" s="39" t="n"/>
      <c r="G68" s="39" t="n"/>
      <c r="H68" s="39" t="n"/>
      <c r="I68" s="39" t="n"/>
      <c r="J68" s="39" t="n"/>
      <c r="K68" s="39" t="n"/>
      <c r="L68" s="39" t="n"/>
      <c r="M68" s="39" t="n"/>
      <c r="N68" s="22" t="n"/>
      <c r="O68" s="52" t="inlineStr">
        <is>
          <t>Equity value @ target EV/Adjusted EBITDA</t>
        </is>
      </c>
      <c r="P68" s="47" t="n"/>
      <c r="Q68" s="47" t="n"/>
      <c r="R68" s="47" t="n"/>
      <c r="S68" s="47" t="n"/>
      <c r="T68" s="46" t="n"/>
      <c r="U68" s="456">
        <f>IF(OR(U67="",NetDebt=""),"",U67-NetDebt)</f>
        <v/>
      </c>
      <c r="V68" s="47" t="n"/>
      <c r="W68" s="46" t="n"/>
      <c r="X68" s="52" t="inlineStr">
        <is>
          <t>Uses core net cash</t>
        </is>
      </c>
      <c r="Y68" s="47" t="n"/>
      <c r="Z68" s="47" t="n"/>
      <c r="AA68" s="47" t="n"/>
      <c r="AB68" s="47" t="n"/>
      <c r="AC68" s="46" t="n"/>
      <c r="AD68" s="22" t="n"/>
      <c r="AE68" s="22" t="n"/>
      <c r="AF68" s="22" t="n"/>
      <c r="AG68" s="22" t="n"/>
      <c r="AH68" s="22" t="n"/>
      <c r="AI68" s="22" t="n"/>
    </row>
    <row r="69" ht="19.5" customHeight="1">
      <c r="A69" s="96" t="inlineStr">
        <is>
          <t>Net debt position</t>
        </is>
      </c>
      <c r="B69" s="104" t="n"/>
      <c r="C69" s="104" t="n"/>
      <c r="D69" s="104" t="n"/>
      <c r="E69" s="104" t="n"/>
      <c r="F69" s="104" t="n"/>
      <c r="G69" s="104" t="n"/>
      <c r="H69" s="104" t="n"/>
      <c r="I69" s="104" t="n"/>
      <c r="J69" s="104" t="n"/>
      <c r="K69" s="104" t="n"/>
      <c r="L69" s="104" t="n"/>
      <c r="M69" s="105" t="n"/>
      <c r="N69" s="22" t="n"/>
      <c r="O69" s="53" t="inlineStr">
        <is>
          <t>EV @ target EV/EBITDA</t>
        </is>
      </c>
      <c r="P69" s="47" t="n"/>
      <c r="Q69" s="47" t="n"/>
      <c r="R69" s="47" t="n"/>
      <c r="S69" s="47" t="n"/>
      <c r="T69" s="46" t="n"/>
      <c r="U69" s="457">
        <f>IF(OR(Base_EBITDA="",Target_EV_EBITDA=""),"",Base_EBITDA*Target_EV_EBITDA)</f>
        <v/>
      </c>
      <c r="V69" s="47" t="n"/>
      <c r="W69" s="46" t="n"/>
      <c r="X69" s="53" t="inlineStr">
        <is>
          <t>per-share earnings × P/E × diluted shares</t>
        </is>
      </c>
      <c r="Y69" s="47" t="n"/>
      <c r="Z69" s="47" t="n"/>
      <c r="AA69" s="47" t="n"/>
      <c r="AB69" s="47" t="n"/>
      <c r="AC69" s="46" t="n"/>
      <c r="AD69" s="22" t="n"/>
      <c r="AE69" s="22" t="n"/>
      <c r="AF69" s="22" t="n"/>
      <c r="AG69" s="22" t="n"/>
      <c r="AH69" s="22" t="n"/>
      <c r="AI69" s="22" t="n"/>
    </row>
    <row r="70" ht="19.5" customHeight="1">
      <c r="A70" s="48" t="inlineStr">
        <is>
          <t>Cash &amp; equivalents</t>
        </is>
      </c>
      <c r="B70" s="62" t="n"/>
      <c r="C70" s="62" t="n"/>
      <c r="D70" s="62" t="n"/>
      <c r="E70" s="62" t="n"/>
      <c r="F70" s="62" t="n"/>
      <c r="G70" s="62" t="n"/>
      <c r="H70" s="62" t="n"/>
      <c r="I70" s="62" t="n"/>
      <c r="J70" s="62" t="n"/>
      <c r="K70" s="62" t="n"/>
      <c r="L70" s="62" t="n"/>
      <c r="M70" s="62" t="n"/>
      <c r="N70" s="22" t="n"/>
      <c r="O70" s="52" t="inlineStr">
        <is>
          <t>Equity value @ target EV/EBITDA</t>
        </is>
      </c>
      <c r="P70" s="47" t="n"/>
      <c r="Q70" s="47" t="n"/>
      <c r="R70" s="47" t="n"/>
      <c r="S70" s="47" t="n"/>
      <c r="T70" s="46" t="n"/>
      <c r="U70" s="456">
        <f>IF(OR(U69="",NetDebt=""),"",U69-NetDebt)</f>
        <v/>
      </c>
      <c r="V70" s="47" t="n"/>
      <c r="W70" s="46" t="n"/>
      <c r="X70" s="52" t="inlineStr">
        <is>
          <t>FCF / yield</t>
        </is>
      </c>
      <c r="Y70" s="47" t="n"/>
      <c r="Z70" s="47" t="n"/>
      <c r="AA70" s="47" t="n"/>
      <c r="AB70" s="47" t="n"/>
      <c r="AC70" s="46" t="n"/>
      <c r="AD70" s="22" t="n"/>
      <c r="AE70" s="22" t="n"/>
      <c r="AF70" s="22" t="n"/>
      <c r="AG70" s="22" t="n"/>
      <c r="AH70" s="22" t="n"/>
      <c r="AI70" s="22" t="n"/>
    </row>
    <row r="71" ht="19.5" customHeight="1">
      <c r="A71" s="48" t="inlineStr">
        <is>
          <t>Marketable securities</t>
        </is>
      </c>
      <c r="B71" s="62" t="n"/>
      <c r="C71" s="62" t="n"/>
      <c r="D71" s="62" t="n"/>
      <c r="E71" s="62" t="n"/>
      <c r="F71" s="62" t="n"/>
      <c r="G71" s="62" t="n"/>
      <c r="H71" s="62" t="n"/>
      <c r="I71" s="62" t="n"/>
      <c r="J71" s="62" t="n"/>
      <c r="K71" s="62" t="n"/>
      <c r="L71" s="62" t="n"/>
      <c r="M71" s="62" t="n"/>
      <c r="N71" s="22" t="n"/>
      <c r="O71" s="80" t="n"/>
      <c r="P71" s="80" t="n"/>
      <c r="Q71" s="80" t="n"/>
      <c r="R71" s="80" t="n"/>
      <c r="S71" s="80" t="n"/>
      <c r="T71" s="80" t="n"/>
      <c r="U71" s="80" t="n"/>
      <c r="V71" s="80" t="n"/>
      <c r="W71" s="80" t="n"/>
      <c r="X71" s="80" t="n"/>
      <c r="Y71" s="80" t="n"/>
      <c r="Z71" s="80" t="n"/>
      <c r="AA71" s="80" t="n"/>
      <c r="AB71" s="80" t="n"/>
      <c r="AC71" s="80" t="n"/>
      <c r="AD71" s="22" t="n"/>
      <c r="AE71" s="22" t="n"/>
      <c r="AF71" s="22" t="n"/>
      <c r="AG71" s="22" t="n"/>
      <c r="AH71" s="22" t="n"/>
      <c r="AI71" s="22" t="n"/>
    </row>
    <row r="72" ht="19.5" customHeight="1">
      <c r="A72" s="48" t="inlineStr">
        <is>
          <t>Debt (core borrowings)</t>
        </is>
      </c>
      <c r="B72" s="62" t="n"/>
      <c r="C72" s="62" t="n"/>
      <c r="D72" s="62" t="n"/>
      <c r="E72" s="62" t="n"/>
      <c r="F72" s="62" t="n"/>
      <c r="G72" s="62" t="n"/>
      <c r="H72" s="62" t="n"/>
      <c r="I72" s="62" t="n"/>
      <c r="J72" s="62" t="n"/>
      <c r="K72" s="62" t="n"/>
      <c r="L72" s="62" t="n"/>
      <c r="M72" s="62" t="n"/>
      <c r="N72" s="22" t="n"/>
      <c r="O72" s="52" t="inlineStr">
        <is>
          <t>Per-share valuation outputs</t>
        </is>
      </c>
      <c r="P72" s="47" t="n"/>
      <c r="Q72" s="47" t="n"/>
      <c r="R72" s="47" t="n"/>
      <c r="S72" s="47" t="n"/>
      <c r="T72" s="46" t="n"/>
      <c r="U72" s="456">
        <f>TEXT(MIN(U73,U74,U75),"$0")&amp;"-"&amp;TEXT(MAX(U73,U74,U75),"$0")</f>
        <v/>
      </c>
      <c r="V72" s="47" t="n"/>
      <c r="W72" s="46" t="n"/>
      <c r="X72" s="52" t="inlineStr">
        <is>
          <t>Per-share output range</t>
        </is>
      </c>
      <c r="Y72" s="47" t="n"/>
      <c r="Z72" s="47" t="n"/>
      <c r="AA72" s="47" t="n"/>
      <c r="AB72" s="47" t="n"/>
      <c r="AC72" s="46" t="n"/>
      <c r="AD72" s="22" t="n"/>
      <c r="AE72" s="22" t="n"/>
      <c r="AF72" s="22" t="n"/>
      <c r="AG72" s="22" t="n"/>
      <c r="AH72" s="22" t="n"/>
      <c r="AI72" s="22" t="n"/>
    </row>
    <row r="73" ht="19.5" customHeight="1">
      <c r="A73" s="48" t="inlineStr">
        <is>
          <t>Net debt (core borrowings)</t>
        </is>
      </c>
      <c r="B73" s="450">
        <f>IF(OR(B72="",B70=""),"",B72-B70)</f>
        <v/>
      </c>
      <c r="C73" s="450">
        <f>IF(OR(C72="",C70=""),"",C72-C70)</f>
        <v/>
      </c>
      <c r="D73" s="450">
        <f>IF(OR(D72="",D70=""),"",D72-D70)</f>
        <v/>
      </c>
      <c r="E73" s="450">
        <f>IF(OR(E72="",E70=""),"",E72-E70)</f>
        <v/>
      </c>
      <c r="F73" s="450">
        <f>IF(OR(F72="",F70=""),"",F72-F70)</f>
        <v/>
      </c>
      <c r="G73" s="450">
        <f>IF(OR(G72="",G70=""),"",G72-G70)</f>
        <v/>
      </c>
      <c r="H73" s="450">
        <f>IF(OR(H72="",H70=""),"",H72-H70)</f>
        <v/>
      </c>
      <c r="I73" s="450">
        <f>IF(OR(I72="",I70=""),"",I72-I70)</f>
        <v/>
      </c>
      <c r="J73" s="450">
        <f>IF(OR(J72="",J70=""),"",J72-J70)</f>
        <v/>
      </c>
      <c r="K73" s="450">
        <f>IF(OR(K72="",K70=""),"",K72-K70)</f>
        <v/>
      </c>
      <c r="L73" s="450">
        <f>IF(OR(L72="",L70=""),"",L72-L70)</f>
        <v/>
      </c>
      <c r="M73" s="450">
        <f>IF(OR(M72="",M70=""),"",M72-M70)</f>
        <v/>
      </c>
      <c r="N73" s="22" t="n"/>
      <c r="O73" s="53" t="inlineStr">
        <is>
          <t>Value/share @ target EV/Adjusted EBITDA</t>
        </is>
      </c>
      <c r="P73" s="47" t="n"/>
      <c r="Q73" s="47" t="n"/>
      <c r="R73" s="47" t="n"/>
      <c r="S73" s="47" t="n"/>
      <c r="T73" s="46" t="n"/>
      <c r="U73" s="458">
        <f>IF(EqShare_Target_Adj="","",EqShare_Target_Adj)</f>
        <v/>
      </c>
      <c r="V73" s="47" t="n"/>
      <c r="W73" s="46" t="n"/>
      <c r="X73" s="53" t="inlineStr">
        <is>
          <t>Guided per-share earnings midpoint × P/E</t>
        </is>
      </c>
      <c r="Y73" s="47" t="n"/>
      <c r="Z73" s="47" t="n"/>
      <c r="AA73" s="47" t="n"/>
      <c r="AB73" s="47" t="n"/>
      <c r="AC73" s="46" t="n"/>
      <c r="AD73" s="22" t="n"/>
      <c r="AE73" s="22" t="n"/>
      <c r="AF73" s="22" t="n"/>
      <c r="AG73" s="22" t="n"/>
      <c r="AH73" s="22" t="n"/>
      <c r="AI73" s="22" t="n"/>
    </row>
    <row r="74" ht="19.5" customHeight="1">
      <c r="A74" s="48" t="inlineStr">
        <is>
          <t>Net debt QoQ Δ ($m)</t>
        </is>
      </c>
      <c r="B74" s="450">
        <f>""</f>
        <v/>
      </c>
      <c r="C74" s="450">
        <f>IF(OR(C73="",B73=""),"",C73-B73)</f>
        <v/>
      </c>
      <c r="D74" s="450">
        <f>IF(OR(D73="",C73=""),"",D73-C73)</f>
        <v/>
      </c>
      <c r="E74" s="450">
        <f>IF(OR(E73="",D73=""),"",E73-D73)</f>
        <v/>
      </c>
      <c r="F74" s="450">
        <f>IF(OR(F73="",E73=""),"",F73-E73)</f>
        <v/>
      </c>
      <c r="G74" s="450">
        <f>IF(OR(G73="",F73=""),"",G73-F73)</f>
        <v/>
      </c>
      <c r="H74" s="450">
        <f>IF(OR(H73="",G73=""),"",H73-G73)</f>
        <v/>
      </c>
      <c r="I74" s="450">
        <f>IF(OR(I73="",H73=""),"",I73-H73)</f>
        <v/>
      </c>
      <c r="J74" s="450">
        <f>IF(OR(J73="",I73=""),"",J73-I73)</f>
        <v/>
      </c>
      <c r="K74" s="450">
        <f>IF(OR(K73="",J73=""),"",K73-J73)</f>
        <v/>
      </c>
      <c r="L74" s="450">
        <f>IF(OR(L73="",K73=""),"",L73-K73)</f>
        <v/>
      </c>
      <c r="M74" s="450">
        <f>IF(OR(M73="",L73=""),"",M73-L73)</f>
        <v/>
      </c>
      <c r="N74" s="22" t="n"/>
      <c r="O74" s="52" t="inlineStr">
        <is>
          <t>Value/share @ target EV/EBITDA</t>
        </is>
      </c>
      <c r="P74" s="47" t="n"/>
      <c r="Q74" s="47" t="n"/>
      <c r="R74" s="47" t="n"/>
      <c r="S74" s="47" t="n"/>
      <c r="T74" s="46" t="n"/>
      <c r="U74" s="459">
        <f>IF(EqShare_Target_EV="","",EqShare_Target_EV)</f>
        <v/>
      </c>
      <c r="V74" s="47" t="n"/>
      <c r="W74" s="46" t="n"/>
      <c r="X74" s="52" t="inlineStr">
        <is>
          <t>Equity value divided by diluted shares</t>
        </is>
      </c>
      <c r="Y74" s="47" t="n"/>
      <c r="Z74" s="47" t="n"/>
      <c r="AA74" s="47" t="n"/>
      <c r="AB74" s="47" t="n"/>
      <c r="AC74" s="46" t="n"/>
      <c r="AD74" s="22" t="n"/>
      <c r="AE74" s="22" t="n"/>
      <c r="AF74" s="22" t="n"/>
      <c r="AG74" s="22" t="n"/>
      <c r="AH74" s="22" t="n"/>
      <c r="AI74" s="22" t="n"/>
    </row>
    <row r="75" ht="19.5" customHeight="1">
      <c r="A75" s="48" t="inlineStr">
        <is>
          <t>Net debt YoY Δ ($m)</t>
        </is>
      </c>
      <c r="B75" s="450">
        <f>""</f>
        <v/>
      </c>
      <c r="C75" s="450">
        <f>""</f>
        <v/>
      </c>
      <c r="D75" s="450">
        <f>""</f>
        <v/>
      </c>
      <c r="E75" s="450">
        <f>""</f>
        <v/>
      </c>
      <c r="F75" s="450">
        <f>IF(OR(F73="",B73=""),"",F73-B73)</f>
        <v/>
      </c>
      <c r="G75" s="450">
        <f>IF(OR(G73="",C73=""),"",G73-C73)</f>
        <v/>
      </c>
      <c r="H75" s="450">
        <f>IF(OR(H73="",D73=""),"",H73-D73)</f>
        <v/>
      </c>
      <c r="I75" s="450">
        <f>IF(OR(I73="",E73=""),"",I73-E73)</f>
        <v/>
      </c>
      <c r="J75" s="450">
        <f>IF(OR(J73="",F73=""),"",J73-F73)</f>
        <v/>
      </c>
      <c r="K75" s="450">
        <f>IF(OR(K73="",G73=""),"",K73-G73)</f>
        <v/>
      </c>
      <c r="L75" s="450">
        <f>IF(OR(L73="",H73=""),"",L73-H73)</f>
        <v/>
      </c>
      <c r="M75" s="450">
        <f>IF(OR(M73="",I73=""),"",M73-I73)</f>
        <v/>
      </c>
      <c r="N75" s="22" t="n"/>
      <c r="O75" s="53" t="inlineStr">
        <is>
          <t>Value/share @ target FCFF yield</t>
        </is>
      </c>
      <c r="P75" s="47" t="n"/>
      <c r="Q75" s="47" t="n"/>
      <c r="R75" s="47" t="n"/>
      <c r="S75" s="47" t="n"/>
      <c r="T75" s="46" t="n"/>
      <c r="U75" s="458">
        <f>IF(EqShare_Target_Yield="","",EqShare_Target_Yield)</f>
        <v/>
      </c>
      <c r="V75" s="47" t="n"/>
      <c r="W75" s="46" t="n"/>
      <c r="X75" s="53" t="inlineStr">
        <is>
          <t>FCF-yield value / shares</t>
        </is>
      </c>
      <c r="Y75" s="47" t="n"/>
      <c r="Z75" s="47" t="n"/>
      <c r="AA75" s="47" t="n"/>
      <c r="AB75" s="47" t="n"/>
      <c r="AC75" s="46" t="n"/>
      <c r="AD75" s="22" t="n"/>
      <c r="AE75" s="22" t="n"/>
      <c r="AF75" s="22" t="n"/>
      <c r="AG75" s="22" t="n"/>
      <c r="AH75" s="22" t="n"/>
      <c r="AI75" s="22" t="n"/>
    </row>
    <row r="76" ht="19.5" customHeight="1">
      <c r="A76" s="96" t="inlineStr">
        <is>
          <t>Supplemental net cash / lease-adjusted view</t>
        </is>
      </c>
      <c r="B76" s="104" t="n"/>
      <c r="C76" s="104" t="n"/>
      <c r="D76" s="104" t="n"/>
      <c r="E76" s="104" t="n"/>
      <c r="F76" s="104" t="n"/>
      <c r="G76" s="104" t="n"/>
      <c r="H76" s="104" t="n"/>
      <c r="I76" s="104" t="n"/>
      <c r="J76" s="104" t="n"/>
      <c r="K76" s="104" t="n"/>
      <c r="L76" s="104" t="n"/>
      <c r="M76" s="105" t="n"/>
      <c r="N76" s="22" t="n"/>
      <c r="O76" s="28" t="n"/>
      <c r="P76" s="28" t="n"/>
      <c r="Q76" s="28" t="n"/>
      <c r="R76" s="28" t="n"/>
      <c r="S76" s="28" t="n"/>
      <c r="T76" s="28" t="n"/>
      <c r="U76" s="28" t="n"/>
      <c r="V76" s="28" t="n"/>
      <c r="W76" s="28" t="n"/>
      <c r="X76" s="28" t="n"/>
      <c r="Y76" s="28" t="n"/>
      <c r="Z76" s="28" t="n"/>
      <c r="AA76" s="28" t="n"/>
      <c r="AB76" s="28" t="n"/>
      <c r="AC76" s="28" t="n"/>
      <c r="AD76" s="22" t="n"/>
      <c r="AE76" s="22" t="n"/>
      <c r="AF76" s="22" t="n"/>
      <c r="AG76" s="22" t="n"/>
      <c r="AH76" s="22" t="n"/>
      <c r="AI76" s="22" t="n"/>
    </row>
    <row r="77" ht="19.5" customHeight="1">
      <c r="A77" s="48" t="inlineStr">
        <is>
          <t>Core net cash</t>
        </is>
      </c>
      <c r="B77" s="450">
        <f>IF(B73="","",-B73)</f>
        <v/>
      </c>
      <c r="C77" s="450">
        <f>IF(C73="","",-C73)</f>
        <v/>
      </c>
      <c r="D77" s="450">
        <f>IF(D73="","",-D73)</f>
        <v/>
      </c>
      <c r="E77" s="450">
        <f>IF(E73="","",-E73)</f>
        <v/>
      </c>
      <c r="F77" s="450">
        <f>IF(F73="","",-F73)</f>
        <v/>
      </c>
      <c r="G77" s="450">
        <f>IF(G73="","",-G73)</f>
        <v/>
      </c>
      <c r="H77" s="450">
        <f>IF(H73="","",-H73)</f>
        <v/>
      </c>
      <c r="I77" s="450">
        <f>IF(I73="","",-I73)</f>
        <v/>
      </c>
      <c r="J77" s="450">
        <f>IF(J73="","",-J73)</f>
        <v/>
      </c>
      <c r="K77" s="450">
        <f>IF(K73="","",-K73)</f>
        <v/>
      </c>
      <c r="L77" s="450">
        <f>IF(L73="","",-L73)</f>
        <v/>
      </c>
      <c r="M77" s="450">
        <f>IF(M73="","",-M73)</f>
        <v/>
      </c>
      <c r="N77" s="22" t="n"/>
      <c r="O77" s="28" t="n"/>
      <c r="P77" s="28" t="n"/>
      <c r="Q77" s="28" t="n"/>
      <c r="R77" s="28" t="n"/>
      <c r="S77" s="28" t="n"/>
      <c r="T77" s="28" t="n"/>
      <c r="U77" s="28" t="n"/>
      <c r="V77" s="28" t="n"/>
      <c r="W77" s="28" t="n"/>
      <c r="X77" s="28" t="n"/>
      <c r="Y77" s="28" t="n"/>
      <c r="Z77" s="28" t="n"/>
      <c r="AA77" s="28" t="n"/>
      <c r="AB77" s="28" t="n"/>
      <c r="AC77" s="28" t="n"/>
      <c r="AD77" s="22" t="n"/>
      <c r="AE77" s="22" t="n"/>
      <c r="AF77" s="22" t="n"/>
      <c r="AG77" s="22" t="n"/>
      <c r="AH77" s="22" t="n"/>
      <c r="AI77" s="22" t="n"/>
    </row>
    <row r="78" ht="19.5" customHeight="1">
      <c r="A78" s="48" t="inlineStr">
        <is>
          <t>Net cash incl. securities</t>
        </is>
      </c>
      <c r="B78" s="450">
        <f>IF(OR(B70="",B71="",B72=""),"",B70+B71-B72)</f>
        <v/>
      </c>
      <c r="C78" s="450">
        <f>IF(OR(C70="",C71="",C72=""),"",C70+C71-C72)</f>
        <v/>
      </c>
      <c r="D78" s="450">
        <f>IF(OR(D70="",D71="",D72=""),"",D70+D71-D72)</f>
        <v/>
      </c>
      <c r="E78" s="450">
        <f>IF(OR(E70="",E71="",E72=""),"",E70+E71-E72)</f>
        <v/>
      </c>
      <c r="F78" s="450">
        <f>IF(OR(F70="",F71="",F72=""),"",F70+F71-F72)</f>
        <v/>
      </c>
      <c r="G78" s="450">
        <f>IF(OR(G70="",G71="",G72=""),"",G70+G71-G72)</f>
        <v/>
      </c>
      <c r="H78" s="450">
        <f>IF(OR(H70="",H71="",H72=""),"",H70+H71-H72)</f>
        <v/>
      </c>
      <c r="I78" s="450">
        <f>IF(OR(I70="",I71="",I72=""),"",I70+I71-I72)</f>
        <v/>
      </c>
      <c r="J78" s="450">
        <f>IF(OR(J70="",J71="",J72=""),"",J70+J71-J72)</f>
        <v/>
      </c>
      <c r="K78" s="450">
        <f>IF(OR(K70="",K71="",K72=""),"",K70+K71-K72)</f>
        <v/>
      </c>
      <c r="L78" s="450">
        <f>IF(OR(L70="",L71="",L72=""),"",L70+L71-L72)</f>
        <v/>
      </c>
      <c r="M78" s="450">
        <f>IF(OR(M70="",M71="",M72=""),"",M70+M71-M72)</f>
        <v/>
      </c>
      <c r="N78" s="22" t="n"/>
      <c r="O78" s="28" t="n"/>
      <c r="P78" s="28" t="n"/>
      <c r="Q78" s="28" t="n"/>
      <c r="R78" s="28" t="n"/>
      <c r="S78" s="28" t="n"/>
      <c r="T78" s="28" t="n"/>
      <c r="U78" s="28" t="n"/>
      <c r="V78" s="28" t="n"/>
      <c r="W78" s="28" t="n"/>
      <c r="X78" s="28" t="n"/>
      <c r="Y78" s="28" t="n"/>
      <c r="Z78" s="28" t="n"/>
      <c r="AA78" s="28" t="n"/>
      <c r="AB78" s="28" t="n"/>
      <c r="AC78" s="28" t="n"/>
      <c r="AD78" s="22" t="n"/>
      <c r="AE78" s="22" t="n"/>
      <c r="AF78" s="22" t="n"/>
      <c r="AG78" s="22" t="n"/>
      <c r="AH78" s="22" t="n"/>
      <c r="AI78" s="22" t="n"/>
    </row>
    <row r="79" ht="19.5" customHeight="1">
      <c r="A79" s="48" t="inlineStr">
        <is>
          <t>Lease liabilities</t>
        </is>
      </c>
      <c r="B79" s="62" t="n"/>
      <c r="C79" s="62" t="n"/>
      <c r="D79" s="62" t="n"/>
      <c r="E79" s="62" t="n"/>
      <c r="F79" s="62" t="n"/>
      <c r="G79" s="62" t="n"/>
      <c r="H79" s="62" t="n"/>
      <c r="I79" s="62" t="n"/>
      <c r="J79" s="62" t="n"/>
      <c r="K79" s="62" t="n"/>
      <c r="L79" s="62" t="n"/>
      <c r="M79" s="62" t="n"/>
      <c r="N79" s="22" t="n"/>
      <c r="O79" s="28" t="n"/>
      <c r="P79" s="28" t="n"/>
      <c r="Q79" s="28" t="n"/>
      <c r="R79" s="28" t="n"/>
      <c r="S79" s="28" t="n"/>
      <c r="T79" s="28" t="n"/>
      <c r="U79" s="28" t="n"/>
      <c r="V79" s="28" t="n"/>
      <c r="W79" s="28" t="n"/>
      <c r="X79" s="28" t="n"/>
      <c r="Y79" s="28" t="n"/>
      <c r="Z79" s="28" t="n"/>
      <c r="AA79" s="28" t="n"/>
      <c r="AB79" s="28" t="n"/>
      <c r="AC79" s="28" t="n"/>
      <c r="AD79" s="22" t="n"/>
      <c r="AE79" s="22" t="n"/>
      <c r="AF79" s="22" t="n"/>
      <c r="AG79" s="22" t="n"/>
      <c r="AH79" s="22" t="n"/>
      <c r="AI79" s="22" t="n"/>
    </row>
    <row r="80" ht="19.5" customHeight="1">
      <c r="A80" s="48" t="inlineStr">
        <is>
          <t>Lease-adjusted net debt</t>
        </is>
      </c>
      <c r="B80" s="450">
        <f>IF(OR(B70="",B72="",B79=""),"",B72+B79-B70)</f>
        <v/>
      </c>
      <c r="C80" s="450">
        <f>IF(OR(C70="",C72="",C79=""),"",C72+C79-C70)</f>
        <v/>
      </c>
      <c r="D80" s="450">
        <f>IF(OR(D70="",D72="",D79=""),"",D72+D79-D70)</f>
        <v/>
      </c>
      <c r="E80" s="450">
        <f>IF(OR(E70="",E72="",E79=""),"",E72+E79-E70)</f>
        <v/>
      </c>
      <c r="F80" s="450">
        <f>IF(OR(F70="",F72="",F79=""),"",F72+F79-F70)</f>
        <v/>
      </c>
      <c r="G80" s="450">
        <f>IF(OR(G70="",G72="",G79=""),"",G72+G79-G70)</f>
        <v/>
      </c>
      <c r="H80" s="450">
        <f>IF(OR(H70="",H72="",H79=""),"",H72+H79-H70)</f>
        <v/>
      </c>
      <c r="I80" s="450">
        <f>IF(OR(I70="",I72="",I79=""),"",I72+I79-I70)</f>
        <v/>
      </c>
      <c r="J80" s="450">
        <f>IF(OR(J70="",J72="",J79=""),"",J72+J79-J70)</f>
        <v/>
      </c>
      <c r="K80" s="450">
        <f>IF(OR(K70="",K72="",K79=""),"",K72+K79-K70)</f>
        <v/>
      </c>
      <c r="L80" s="450">
        <f>IF(OR(L70="",L72="",L79=""),"",L72+L79-L70)</f>
        <v/>
      </c>
      <c r="M80" s="450">
        <f>IF(OR(M70="",M72="",M79=""),"",M72+M79-M70)</f>
        <v/>
      </c>
      <c r="N80" s="22" t="n"/>
      <c r="O80" s="28" t="n"/>
      <c r="P80" s="28" t="n"/>
      <c r="Q80" s="28" t="n"/>
      <c r="R80" s="28" t="n"/>
      <c r="S80" s="28" t="n"/>
      <c r="T80" s="28" t="n"/>
      <c r="U80" s="28" t="n"/>
      <c r="V80" s="28" t="n"/>
      <c r="W80" s="28" t="n"/>
      <c r="X80" s="28" t="n"/>
      <c r="Y80" s="28" t="n"/>
      <c r="Z80" s="28" t="n"/>
      <c r="AA80" s="28" t="n"/>
      <c r="AB80" s="28" t="n"/>
      <c r="AC80" s="28" t="n"/>
      <c r="AD80" s="22" t="n"/>
      <c r="AE80" s="22" t="n"/>
      <c r="AF80" s="22" t="n"/>
      <c r="AG80" s="22" t="n"/>
      <c r="AH80" s="22" t="n"/>
      <c r="AI80" s="22" t="n"/>
    </row>
    <row r="81" ht="19.5" customHeight="1">
      <c r="A81" s="48" t="inlineStr">
        <is>
          <t>Lease-adjusted net debt incl. securities</t>
        </is>
      </c>
      <c r="B81" s="450">
        <f>IF(OR(B70="",B71="",B72="",B79=""),"",B72+B79-B70-B71)</f>
        <v/>
      </c>
      <c r="C81" s="450">
        <f>IF(OR(C70="",C71="",C72="",C79=""),"",C72+C79-C70-C71)</f>
        <v/>
      </c>
      <c r="D81" s="450">
        <f>IF(OR(D70="",D71="",D72="",D79=""),"",D72+D79-D70-D71)</f>
        <v/>
      </c>
      <c r="E81" s="450">
        <f>IF(OR(E70="",E71="",E72="",E79=""),"",E72+E79-E70-E71)</f>
        <v/>
      </c>
      <c r="F81" s="450">
        <f>IF(OR(F70="",F71="",F72="",F79=""),"",F72+F79-F70-F71)</f>
        <v/>
      </c>
      <c r="G81" s="450">
        <f>IF(OR(G70="",G71="",G72="",G79=""),"",G72+G79-G70-G71)</f>
        <v/>
      </c>
      <c r="H81" s="450">
        <f>IF(OR(H70="",H71="",H72="",H79=""),"",H72+H79-H70-H71)</f>
        <v/>
      </c>
      <c r="I81" s="450">
        <f>IF(OR(I70="",I71="",I72="",I79=""),"",I72+I79-I70-I71)</f>
        <v/>
      </c>
      <c r="J81" s="450">
        <f>IF(OR(J70="",J71="",J72="",J79=""),"",J72+J79-J70-J71)</f>
        <v/>
      </c>
      <c r="K81" s="450">
        <f>IF(OR(K70="",K71="",K72="",K79=""),"",K72+K79-K70-K71)</f>
        <v/>
      </c>
      <c r="L81" s="450">
        <f>IF(OR(L70="",L71="",L72="",L79=""),"",L72+L79-L70-L71)</f>
        <v/>
      </c>
      <c r="M81" s="450">
        <f>IF(OR(M70="",M71="",M72="",M79=""),"",M72+M79-M70-M71)</f>
        <v/>
      </c>
      <c r="N81" s="22" t="n"/>
      <c r="O81" s="28" t="n"/>
      <c r="P81" s="28" t="n"/>
      <c r="Q81" s="28" t="n"/>
      <c r="R81" s="28" t="n"/>
      <c r="S81" s="28" t="n"/>
      <c r="T81" s="28" t="n"/>
      <c r="U81" s="28" t="n"/>
      <c r="V81" s="28" t="n"/>
      <c r="W81" s="28" t="n"/>
      <c r="X81" s="28" t="n"/>
      <c r="Y81" s="28" t="n"/>
      <c r="Z81" s="28" t="n"/>
      <c r="AA81" s="28" t="n"/>
      <c r="AB81" s="28" t="n"/>
      <c r="AC81" s="28" t="n"/>
      <c r="AD81" s="22" t="n"/>
      <c r="AE81" s="22" t="n"/>
      <c r="AF81" s="22" t="n"/>
      <c r="AG81" s="22" t="n"/>
      <c r="AH81" s="22" t="n"/>
      <c r="AI81" s="22" t="n"/>
    </row>
    <row r="82" ht="19.5" customHeight="1">
      <c r="A82" s="48" t="inlineStr">
        <is>
          <t>Net pension / OPEB</t>
        </is>
      </c>
      <c r="B82" s="62" t="n"/>
      <c r="C82" s="62" t="n"/>
      <c r="D82" s="62" t="n"/>
      <c r="E82" s="62" t="n"/>
      <c r="F82" s="62" t="n"/>
      <c r="G82" s="62" t="n"/>
      <c r="H82" s="62" t="n"/>
      <c r="I82" s="62" t="n"/>
      <c r="J82" s="62" t="n"/>
      <c r="K82" s="62" t="n"/>
      <c r="L82" s="62" t="n"/>
      <c r="M82" s="62" t="n"/>
      <c r="N82" s="22" t="n"/>
      <c r="O82" s="28" t="n"/>
      <c r="P82" s="28" t="n"/>
      <c r="Q82" s="28" t="n"/>
      <c r="R82" s="28" t="n"/>
      <c r="S82" s="28" t="n"/>
      <c r="T82" s="28" t="n"/>
      <c r="U82" s="28" t="n"/>
      <c r="V82" s="28" t="n"/>
      <c r="W82" s="28" t="n"/>
      <c r="X82" s="28" t="n"/>
      <c r="Y82" s="28" t="n"/>
      <c r="Z82" s="28" t="n"/>
      <c r="AA82" s="28" t="n"/>
      <c r="AB82" s="28" t="n"/>
      <c r="AC82" s="28" t="n"/>
      <c r="AD82" s="22" t="n"/>
      <c r="AE82" s="22" t="n"/>
      <c r="AF82" s="22" t="n"/>
      <c r="AG82" s="22" t="n"/>
      <c r="AH82" s="22" t="n"/>
      <c r="AI82" s="22" t="n"/>
    </row>
    <row r="83" ht="19.5" customHeight="1">
      <c r="A83" s="96" t="inlineStr">
        <is>
          <t>Coverage / leverage</t>
        </is>
      </c>
      <c r="B83" s="104" t="n"/>
      <c r="C83" s="104" t="n"/>
      <c r="D83" s="104" t="n"/>
      <c r="E83" s="104" t="n"/>
      <c r="F83" s="104" t="n"/>
      <c r="G83" s="104" t="n"/>
      <c r="H83" s="104" t="n"/>
      <c r="I83" s="104" t="n"/>
      <c r="J83" s="104" t="n"/>
      <c r="K83" s="104" t="n"/>
      <c r="L83" s="104" t="n"/>
      <c r="M83" s="105" t="n"/>
      <c r="N83" s="22" t="n"/>
      <c r="O83" s="28" t="n"/>
      <c r="P83" s="28" t="n"/>
      <c r="Q83" s="28" t="n"/>
      <c r="R83" s="28" t="n"/>
      <c r="S83" s="28" t="n"/>
      <c r="T83" s="28" t="n"/>
      <c r="U83" s="28" t="n"/>
      <c r="V83" s="28" t="n"/>
      <c r="W83" s="28" t="n"/>
      <c r="X83" s="28" t="n"/>
      <c r="Y83" s="28" t="n"/>
      <c r="Z83" s="28" t="n"/>
      <c r="AA83" s="28" t="n"/>
      <c r="AB83" s="28" t="n"/>
      <c r="AC83" s="28" t="n"/>
      <c r="AD83" s="22" t="n"/>
      <c r="AE83" s="22" t="n"/>
      <c r="AF83" s="22" t="n"/>
      <c r="AG83" s="22" t="n"/>
      <c r="AH83" s="22" t="n"/>
      <c r="AI83" s="22" t="n"/>
    </row>
    <row r="84" ht="19.5" customHeight="1">
      <c r="A84" s="48" t="inlineStr">
        <is>
          <t>EBITDA TTM</t>
        </is>
      </c>
      <c r="B84" s="450">
        <f>IF(B21="","",B21)</f>
        <v/>
      </c>
      <c r="C84" s="450">
        <f>IF(C21="","",C21)</f>
        <v/>
      </c>
      <c r="D84" s="450">
        <f>IF(D21="","",D21)</f>
        <v/>
      </c>
      <c r="E84" s="450">
        <f>IF(E21="","",E21)</f>
        <v/>
      </c>
      <c r="F84" s="450">
        <f>IF(F21="","",F21)</f>
        <v/>
      </c>
      <c r="G84" s="450">
        <f>IF(G21="","",G21)</f>
        <v/>
      </c>
      <c r="H84" s="450">
        <f>IF(H21="","",H21)</f>
        <v/>
      </c>
      <c r="I84" s="450">
        <f>IF(I21="","",I21)</f>
        <v/>
      </c>
      <c r="J84" s="450">
        <f>IF(J21="","",J21)</f>
        <v/>
      </c>
      <c r="K84" s="450">
        <f>IF(K21="","",K21)</f>
        <v/>
      </c>
      <c r="L84" s="450">
        <f>IF(L21="","",L21)</f>
        <v/>
      </c>
      <c r="M84" s="450">
        <f>IF(M21="","",M21)</f>
        <v/>
      </c>
      <c r="N84" s="22" t="n"/>
      <c r="O84" s="28" t="n"/>
      <c r="P84" s="28" t="n"/>
      <c r="Q84" s="28" t="n"/>
      <c r="R84" s="28" t="n"/>
      <c r="S84" s="28" t="n"/>
      <c r="T84" s="28" t="n"/>
      <c r="U84" s="28" t="n"/>
      <c r="V84" s="28" t="n"/>
      <c r="W84" s="28" t="n"/>
      <c r="X84" s="28" t="n"/>
      <c r="Y84" s="28" t="n"/>
      <c r="Z84" s="28" t="n"/>
      <c r="AA84" s="28" t="n"/>
      <c r="AB84" s="28" t="n"/>
      <c r="AC84" s="28" t="n"/>
      <c r="AD84" s="22" t="n"/>
      <c r="AE84" s="22" t="n"/>
      <c r="AF84" s="22" t="n"/>
      <c r="AG84" s="22" t="n"/>
      <c r="AH84" s="22" t="n"/>
      <c r="AI84" s="22" t="n"/>
    </row>
    <row r="85" ht="19.5" customHeight="1">
      <c r="A85" s="48" t="inlineStr">
        <is>
          <t>Adj EBITDA (TTM)</t>
        </is>
      </c>
      <c r="B85" s="450">
        <f>IF(B25="","",B25)</f>
        <v/>
      </c>
      <c r="C85" s="450">
        <f>IF(C25="","",C25)</f>
        <v/>
      </c>
      <c r="D85" s="450">
        <f>IF(D25="","",D25)</f>
        <v/>
      </c>
      <c r="E85" s="450">
        <f>IF(E25="","",E25)</f>
        <v/>
      </c>
      <c r="F85" s="450">
        <f>IF(F25="","",F25)</f>
        <v/>
      </c>
      <c r="G85" s="450">
        <f>IF(G25="","",G25)</f>
        <v/>
      </c>
      <c r="H85" s="450">
        <f>IF(H25="","",H25)</f>
        <v/>
      </c>
      <c r="I85" s="450">
        <f>IF(I25="","",I25)</f>
        <v/>
      </c>
      <c r="J85" s="450">
        <f>IF(J25="","",J25)</f>
        <v/>
      </c>
      <c r="K85" s="450">
        <f>IF(K25="","",K25)</f>
        <v/>
      </c>
      <c r="L85" s="450">
        <f>IF(L25="","",L25)</f>
        <v/>
      </c>
      <c r="M85" s="450">
        <f>IF(M25="","",M25)</f>
        <v/>
      </c>
      <c r="N85" s="22" t="n"/>
      <c r="O85" s="28" t="n"/>
      <c r="P85" s="28" t="n"/>
      <c r="Q85" s="28" t="n"/>
      <c r="R85" s="28" t="n"/>
      <c r="S85" s="28" t="n"/>
      <c r="T85" s="28" t="n"/>
      <c r="U85" s="28" t="n"/>
      <c r="V85" s="28" t="n"/>
      <c r="W85" s="28" t="n"/>
      <c r="X85" s="28" t="n"/>
      <c r="Y85" s="28" t="n"/>
      <c r="Z85" s="28" t="n"/>
      <c r="AA85" s="28" t="n"/>
      <c r="AB85" s="28" t="n"/>
      <c r="AC85" s="28" t="n"/>
      <c r="AD85" s="22" t="n"/>
      <c r="AE85" s="22" t="n"/>
      <c r="AF85" s="22" t="n"/>
      <c r="AG85" s="22" t="n"/>
      <c r="AH85" s="22" t="n"/>
      <c r="AI85" s="22" t="n"/>
    </row>
    <row r="86" ht="19.5" customHeight="1">
      <c r="A86" s="48" t="inlineStr">
        <is>
          <t>Net leverage</t>
        </is>
      </c>
      <c r="B86" s="460">
        <f>IF(OR(B73="",B84="",B84=0),"",B73/B84)</f>
        <v/>
      </c>
      <c r="C86" s="460">
        <f>IF(OR(C73="",C84="",C84=0),"",C73/C84)</f>
        <v/>
      </c>
      <c r="D86" s="460">
        <f>IF(OR(D73="",D84="",D84=0),"",D73/D84)</f>
        <v/>
      </c>
      <c r="E86" s="460">
        <f>IF(OR(E73="",E84="",E84=0),"",E73/E84)</f>
        <v/>
      </c>
      <c r="F86" s="460">
        <f>IF(OR(F73="",F84="",F84=0),"",F73/F84)</f>
        <v/>
      </c>
      <c r="G86" s="460">
        <f>IF(OR(G73="",G84="",G84=0),"",G73/G84)</f>
        <v/>
      </c>
      <c r="H86" s="460">
        <f>IF(OR(H73="",H84="",H84=0),"",H73/H84)</f>
        <v/>
      </c>
      <c r="I86" s="460">
        <f>IF(OR(I73="",I84="",I84=0),"",I73/I84)</f>
        <v/>
      </c>
      <c r="J86" s="460">
        <f>IF(OR(J73="",J84="",J84=0),"",J73/J84)</f>
        <v/>
      </c>
      <c r="K86" s="460">
        <f>IF(OR(K73="",K84="",K84=0),"",K73/K84)</f>
        <v/>
      </c>
      <c r="L86" s="460">
        <f>IF(OR(L73="",L84="",L84=0),"",L73/L84)</f>
        <v/>
      </c>
      <c r="M86" s="460">
        <f>IF(OR(M73="",M84="",M84=0),"",M73/M84)</f>
        <v/>
      </c>
      <c r="N86" s="22" t="n"/>
      <c r="O86" s="28" t="n"/>
      <c r="P86" s="28" t="n"/>
      <c r="Q86" s="28" t="n"/>
      <c r="R86" s="28" t="n"/>
      <c r="S86" s="28" t="n"/>
      <c r="T86" s="28" t="n"/>
      <c r="U86" s="28" t="n"/>
      <c r="V86" s="28" t="n"/>
      <c r="W86" s="28" t="n"/>
      <c r="X86" s="28" t="n"/>
      <c r="Y86" s="28" t="n"/>
      <c r="Z86" s="28" t="n"/>
      <c r="AA86" s="28" t="n"/>
      <c r="AB86" s="28" t="n"/>
      <c r="AC86" s="28" t="n"/>
      <c r="AD86" s="22" t="n"/>
      <c r="AE86" s="22" t="n"/>
      <c r="AF86" s="22" t="n"/>
      <c r="AG86" s="22" t="n"/>
      <c r="AH86" s="22" t="n"/>
      <c r="AI86" s="22" t="n"/>
    </row>
    <row r="87" ht="19.5" customHeight="1">
      <c r="A87" s="48" t="inlineStr">
        <is>
          <t>Net leverage (Adj)</t>
        </is>
      </c>
      <c r="B87" s="460">
        <f>IF(OR(B73="",B85="",B85=0),"",B73/B85)</f>
        <v/>
      </c>
      <c r="C87" s="460">
        <f>IF(OR(C73="",C85="",C85=0),"",C73/C85)</f>
        <v/>
      </c>
      <c r="D87" s="460">
        <f>IF(OR(D73="",D85="",D85=0),"",D73/D85)</f>
        <v/>
      </c>
      <c r="E87" s="460">
        <f>IF(OR(E73="",E85="",E85=0),"",E73/E85)</f>
        <v/>
      </c>
      <c r="F87" s="460">
        <f>IF(OR(F73="",F85="",F85=0),"",F73/F85)</f>
        <v/>
      </c>
      <c r="G87" s="460">
        <f>IF(OR(G73="",G85="",G85=0),"",G73/G85)</f>
        <v/>
      </c>
      <c r="H87" s="460">
        <f>IF(OR(H73="",H85="",H85=0),"",H73/H85)</f>
        <v/>
      </c>
      <c r="I87" s="460">
        <f>IF(OR(I73="",I85="",I85=0),"",I73/I85)</f>
        <v/>
      </c>
      <c r="J87" s="460">
        <f>IF(OR(J73="",J85="",J85=0),"",J73/J85)</f>
        <v/>
      </c>
      <c r="K87" s="460">
        <f>IF(OR(K73="",K85="",K85=0),"",K73/K85)</f>
        <v/>
      </c>
      <c r="L87" s="460">
        <f>IF(OR(L73="",L85="",L85=0),"",L73/L85)</f>
        <v/>
      </c>
      <c r="M87" s="460">
        <f>IF(OR(M73="",M85="",M85=0),"",M73/M85)</f>
        <v/>
      </c>
      <c r="N87" s="22" t="n"/>
      <c r="O87" s="28" t="n"/>
      <c r="P87" s="28" t="n"/>
      <c r="Q87" s="28" t="n"/>
      <c r="R87" s="28" t="n"/>
      <c r="S87" s="28" t="n"/>
      <c r="T87" s="28" t="n"/>
      <c r="U87" s="28" t="n"/>
      <c r="V87" s="28" t="n"/>
      <c r="W87" s="28" t="n"/>
      <c r="X87" s="28" t="n"/>
      <c r="Y87" s="28" t="n"/>
      <c r="Z87" s="28" t="n"/>
      <c r="AA87" s="28" t="n"/>
      <c r="AB87" s="28" t="n"/>
      <c r="AC87" s="28" t="n"/>
      <c r="AD87" s="22" t="n"/>
      <c r="AE87" s="22" t="n"/>
      <c r="AF87" s="22" t="n"/>
      <c r="AG87" s="22" t="n"/>
      <c r="AH87" s="22" t="n"/>
      <c r="AI87" s="22" t="n"/>
    </row>
    <row r="88" ht="19.5" customHeight="1">
      <c r="A88" s="48" t="inlineStr">
        <is>
          <t>Interest coverage (P&amp;L TTM)</t>
        </is>
      </c>
      <c r="B88" s="460">
        <f>IF(OR(B$6="",COUNTIFS(History_Q!$C$2:$C$1000,"operating_income",History_Q!$B$2:$B$1000,"&gt;="&amp;((SUMIFS(History_Q!$B$2:$B$1000,History_Q!$A$2:$A$1000,B$6,History_Q!$C$2:$C$1000,"operating_income"))-3),History_Q!$B$2:$B$1000,"&lt;="&amp;(SUMIFS(History_Q!$B$2:$B$1000,History_Q!$A$2:$A$1000,B$6,History_Q!$C$2:$C$1000,"operating_income")),History_Q!$E$2:$E$1000,"$m",History_Q!$G$2:$G$1000,"populated")&lt;&gt;4,COUNTIFS(History_Q!$C$2:$C$1000,"interest_expense",History_Q!$B$2:$B$1000,"&gt;="&amp;((SUMIFS(History_Q!$B$2:$B$1000,History_Q!$A$2:$A$1000,B$6,History_Q!$C$2:$C$1000,"interest_expense"))-3),History_Q!$B$2:$B$1000,"&lt;="&amp;(SUMIFS(History_Q!$B$2:$B$1000,History_Q!$A$2:$A$1000,B$6,History_Q!$C$2:$C$1000,"interest_expense")),History_Q!$E$2:$E$1000,"$m",History_Q!$G$2:$G$1000,"populated")&lt;&gt;4,_xlfn.MAXIFS(History_Q!$B$2:$B$1000,History_Q!$C$2:$C$1000,"operating_income",History_Q!$B$2:$B$1000,"&gt;="&amp;((SUMIFS(History_Q!$B$2:$B$1000,History_Q!$A$2:$A$1000,B$6,History_Q!$C$2:$C$1000,"operating_income"))-3),History_Q!$B$2:$B$1000,"&lt;="&amp;(SUMIFS(History_Q!$B$2:$B$1000,History_Q!$A$2:$A$1000,B$6,History_Q!$C$2:$C$1000,"operating_income")),History_Q!$E$2:$E$1000,"$m",History_Q!$G$2:$G$1000,"populated")-_xlfn.MINIFS(History_Q!$B$2:$B$1000,History_Q!$C$2:$C$1000,"operating_income",History_Q!$B$2:$B$1000,"&gt;="&amp;((SUMIFS(History_Q!$B$2:$B$1000,History_Q!$A$2:$A$1000,B$6,History_Q!$C$2:$C$1000,"operating_income"))-3),History_Q!$B$2:$B$1000,"&lt;="&amp;(SUMIFS(History_Q!$B$2:$B$1000,History_Q!$A$2:$A$1000,B$6,History_Q!$C$2:$C$1000,"operating_income")),History_Q!$E$2:$E$1000,"$m",History_Q!$G$2:$G$1000,"populated")&lt;&gt;3,_xlfn.MAXIFS(History_Q!$B$2:$B$1000,History_Q!$C$2:$C$1000,"interest_expense",History_Q!$B$2:$B$1000,"&gt;="&amp;((SUMIFS(History_Q!$B$2:$B$1000,History_Q!$A$2:$A$1000,B$6,History_Q!$C$2:$C$1000,"interest_expense"))-3),History_Q!$B$2:$B$1000,"&lt;="&amp;(SUMIFS(History_Q!$B$2:$B$1000,History_Q!$A$2:$A$1000,B$6,History_Q!$C$2:$C$1000,"interest_expense")),History_Q!$E$2:$E$1000,"$m",History_Q!$G$2:$G$1000,"populated")-_xlfn.MINIFS(History_Q!$B$2:$B$1000,History_Q!$C$2:$C$1000,"interest_expense",History_Q!$B$2:$B$1000,"&gt;="&amp;((SUMIFS(History_Q!$B$2:$B$1000,History_Q!$A$2:$A$1000,B$6,History_Q!$C$2:$C$1000,"interest_expense"))-3),History_Q!$B$2:$B$1000,"&lt;="&amp;(SUMIFS(History_Q!$B$2:$B$1000,History_Q!$A$2:$A$1000,B$6,History_Q!$C$2:$C$1000,"interest_expense")),History_Q!$E$2:$E$1000,"$m",History_Q!$G$2:$G$1000,"populated")&lt;&gt;3,SUMIFS(History_Q!$D$2:$D$1000,History_Q!$C$2:$C$1000,"interest_expense",History_Q!$B$2:$B$1000,"&gt;="&amp;((SUMIFS(History_Q!$B$2:$B$1000,History_Q!$A$2:$A$1000,B$6,History_Q!$C$2:$C$1000,"interest_expense"))-3),History_Q!$B$2:$B$1000,"&lt;="&amp;(SUMIFS(History_Q!$B$2:$B$1000,History_Q!$A$2:$A$1000,B$6,History_Q!$C$2:$C$1000,"interest_expense")),History_Q!$E$2:$E$1000,"$m",History_Q!$G$2:$G$1000,"populated")=0),"",SUMIFS(History_Q!$D$2:$D$1000,History_Q!$C$2:$C$1000,"operating_income",History_Q!$B$2:$B$1000,"&gt;="&amp;((SUMIFS(History_Q!$B$2:$B$1000,History_Q!$A$2:$A$1000,B$6,History_Q!$C$2:$C$1000,"operating_income"))-3),History_Q!$B$2:$B$1000,"&lt;="&amp;(SUMIFS(History_Q!$B$2:$B$1000,History_Q!$A$2:$A$1000,B$6,History_Q!$C$2:$C$1000,"operating_income")),History_Q!$E$2:$E$1000,"$m",History_Q!$G$2:$G$1000,"populated")/SUMIFS(History_Q!$D$2:$D$1000,History_Q!$C$2:$C$1000,"interest_expense",History_Q!$B$2:$B$1000,"&gt;="&amp;((SUMIFS(History_Q!$B$2:$B$1000,History_Q!$A$2:$A$1000,B$6,History_Q!$C$2:$C$1000,"interest_expense"))-3),History_Q!$B$2:$B$1000,"&lt;="&amp;(SUMIFS(History_Q!$B$2:$B$1000,History_Q!$A$2:$A$1000,B$6,History_Q!$C$2:$C$1000,"interest_expense")),History_Q!$E$2:$E$1000,"$m",History_Q!$G$2:$G$1000,"populated"))</f>
        <v/>
      </c>
      <c r="C88" s="460">
        <f>IF(OR(C$6="",COUNTIFS(History_Q!$C$2:$C$1000,"operating_income",History_Q!$B$2:$B$1000,"&gt;="&amp;((SUMIFS(History_Q!$B$2:$B$1000,History_Q!$A$2:$A$1000,C$6,History_Q!$C$2:$C$1000,"operating_income"))-3),History_Q!$B$2:$B$1000,"&lt;="&amp;(SUMIFS(History_Q!$B$2:$B$1000,History_Q!$A$2:$A$1000,C$6,History_Q!$C$2:$C$1000,"operating_income")),History_Q!$E$2:$E$1000,"$m",History_Q!$G$2:$G$1000,"populated")&lt;&gt;4,COUNTIFS(History_Q!$C$2:$C$1000,"interest_expense",History_Q!$B$2:$B$1000,"&gt;="&amp;((SUMIFS(History_Q!$B$2:$B$1000,History_Q!$A$2:$A$1000,C$6,History_Q!$C$2:$C$1000,"interest_expense"))-3),History_Q!$B$2:$B$1000,"&lt;="&amp;(SUMIFS(History_Q!$B$2:$B$1000,History_Q!$A$2:$A$1000,C$6,History_Q!$C$2:$C$1000,"interest_expense")),History_Q!$E$2:$E$1000,"$m",History_Q!$G$2:$G$1000,"populated")&lt;&gt;4,_xlfn.MAXIFS(History_Q!$B$2:$B$1000,History_Q!$C$2:$C$1000,"operating_income",History_Q!$B$2:$B$1000,"&gt;="&amp;((SUMIFS(History_Q!$B$2:$B$1000,History_Q!$A$2:$A$1000,C$6,History_Q!$C$2:$C$1000,"operating_income"))-3),History_Q!$B$2:$B$1000,"&lt;="&amp;(SUMIFS(History_Q!$B$2:$B$1000,History_Q!$A$2:$A$1000,C$6,History_Q!$C$2:$C$1000,"operating_income")),History_Q!$E$2:$E$1000,"$m",History_Q!$G$2:$G$1000,"populated")-_xlfn.MINIFS(History_Q!$B$2:$B$1000,History_Q!$C$2:$C$1000,"operating_income",History_Q!$B$2:$B$1000,"&gt;="&amp;((SUMIFS(History_Q!$B$2:$B$1000,History_Q!$A$2:$A$1000,C$6,History_Q!$C$2:$C$1000,"operating_income"))-3),History_Q!$B$2:$B$1000,"&lt;="&amp;(SUMIFS(History_Q!$B$2:$B$1000,History_Q!$A$2:$A$1000,C$6,History_Q!$C$2:$C$1000,"operating_income")),History_Q!$E$2:$E$1000,"$m",History_Q!$G$2:$G$1000,"populated")&lt;&gt;3,_xlfn.MAXIFS(History_Q!$B$2:$B$1000,History_Q!$C$2:$C$1000,"interest_expense",History_Q!$B$2:$B$1000,"&gt;="&amp;((SUMIFS(History_Q!$B$2:$B$1000,History_Q!$A$2:$A$1000,C$6,History_Q!$C$2:$C$1000,"interest_expense"))-3),History_Q!$B$2:$B$1000,"&lt;="&amp;(SUMIFS(History_Q!$B$2:$B$1000,History_Q!$A$2:$A$1000,C$6,History_Q!$C$2:$C$1000,"interest_expense")),History_Q!$E$2:$E$1000,"$m",History_Q!$G$2:$G$1000,"populated")-_xlfn.MINIFS(History_Q!$B$2:$B$1000,History_Q!$C$2:$C$1000,"interest_expense",History_Q!$B$2:$B$1000,"&gt;="&amp;((SUMIFS(History_Q!$B$2:$B$1000,History_Q!$A$2:$A$1000,C$6,History_Q!$C$2:$C$1000,"interest_expense"))-3),History_Q!$B$2:$B$1000,"&lt;="&amp;(SUMIFS(History_Q!$B$2:$B$1000,History_Q!$A$2:$A$1000,C$6,History_Q!$C$2:$C$1000,"interest_expense")),History_Q!$E$2:$E$1000,"$m",History_Q!$G$2:$G$1000,"populated")&lt;&gt;3,SUMIFS(History_Q!$D$2:$D$1000,History_Q!$C$2:$C$1000,"interest_expense",History_Q!$B$2:$B$1000,"&gt;="&amp;((SUMIFS(History_Q!$B$2:$B$1000,History_Q!$A$2:$A$1000,C$6,History_Q!$C$2:$C$1000,"interest_expense"))-3),History_Q!$B$2:$B$1000,"&lt;="&amp;(SUMIFS(History_Q!$B$2:$B$1000,History_Q!$A$2:$A$1000,C$6,History_Q!$C$2:$C$1000,"interest_expense")),History_Q!$E$2:$E$1000,"$m",History_Q!$G$2:$G$1000,"populated")=0),"",SUMIFS(History_Q!$D$2:$D$1000,History_Q!$C$2:$C$1000,"operating_income",History_Q!$B$2:$B$1000,"&gt;="&amp;((SUMIFS(History_Q!$B$2:$B$1000,History_Q!$A$2:$A$1000,C$6,History_Q!$C$2:$C$1000,"operating_income"))-3),History_Q!$B$2:$B$1000,"&lt;="&amp;(SUMIFS(History_Q!$B$2:$B$1000,History_Q!$A$2:$A$1000,C$6,History_Q!$C$2:$C$1000,"operating_income")),History_Q!$E$2:$E$1000,"$m",History_Q!$G$2:$G$1000,"populated")/SUMIFS(History_Q!$D$2:$D$1000,History_Q!$C$2:$C$1000,"interest_expense",History_Q!$B$2:$B$1000,"&gt;="&amp;((SUMIFS(History_Q!$B$2:$B$1000,History_Q!$A$2:$A$1000,C$6,History_Q!$C$2:$C$1000,"interest_expense"))-3),History_Q!$B$2:$B$1000,"&lt;="&amp;(SUMIFS(History_Q!$B$2:$B$1000,History_Q!$A$2:$A$1000,C$6,History_Q!$C$2:$C$1000,"interest_expense")),History_Q!$E$2:$E$1000,"$m",History_Q!$G$2:$G$1000,"populated"))</f>
        <v/>
      </c>
      <c r="D88" s="460">
        <f>IF(OR(D$6="",COUNTIFS(History_Q!$C$2:$C$1000,"operating_income",History_Q!$B$2:$B$1000,"&gt;="&amp;((SUMIFS(History_Q!$B$2:$B$1000,History_Q!$A$2:$A$1000,D$6,History_Q!$C$2:$C$1000,"operating_income"))-3),History_Q!$B$2:$B$1000,"&lt;="&amp;(SUMIFS(History_Q!$B$2:$B$1000,History_Q!$A$2:$A$1000,D$6,History_Q!$C$2:$C$1000,"operating_income")),History_Q!$E$2:$E$1000,"$m",History_Q!$G$2:$G$1000,"populated")&lt;&gt;4,COUNTIFS(History_Q!$C$2:$C$1000,"interest_expense",History_Q!$B$2:$B$1000,"&gt;="&amp;((SUMIFS(History_Q!$B$2:$B$1000,History_Q!$A$2:$A$1000,D$6,History_Q!$C$2:$C$1000,"interest_expense"))-3),History_Q!$B$2:$B$1000,"&lt;="&amp;(SUMIFS(History_Q!$B$2:$B$1000,History_Q!$A$2:$A$1000,D$6,History_Q!$C$2:$C$1000,"interest_expense")),History_Q!$E$2:$E$1000,"$m",History_Q!$G$2:$G$1000,"populated")&lt;&gt;4,_xlfn.MAXIFS(History_Q!$B$2:$B$1000,History_Q!$C$2:$C$1000,"operating_income",History_Q!$B$2:$B$1000,"&gt;="&amp;((SUMIFS(History_Q!$B$2:$B$1000,History_Q!$A$2:$A$1000,D$6,History_Q!$C$2:$C$1000,"operating_income"))-3),History_Q!$B$2:$B$1000,"&lt;="&amp;(SUMIFS(History_Q!$B$2:$B$1000,History_Q!$A$2:$A$1000,D$6,History_Q!$C$2:$C$1000,"operating_income")),History_Q!$E$2:$E$1000,"$m",History_Q!$G$2:$G$1000,"populated")-_xlfn.MINIFS(History_Q!$B$2:$B$1000,History_Q!$C$2:$C$1000,"operating_income",History_Q!$B$2:$B$1000,"&gt;="&amp;((SUMIFS(History_Q!$B$2:$B$1000,History_Q!$A$2:$A$1000,D$6,History_Q!$C$2:$C$1000,"operating_income"))-3),History_Q!$B$2:$B$1000,"&lt;="&amp;(SUMIFS(History_Q!$B$2:$B$1000,History_Q!$A$2:$A$1000,D$6,History_Q!$C$2:$C$1000,"operating_income")),History_Q!$E$2:$E$1000,"$m",History_Q!$G$2:$G$1000,"populated")&lt;&gt;3,_xlfn.MAXIFS(History_Q!$B$2:$B$1000,History_Q!$C$2:$C$1000,"interest_expense",History_Q!$B$2:$B$1000,"&gt;="&amp;((SUMIFS(History_Q!$B$2:$B$1000,History_Q!$A$2:$A$1000,D$6,History_Q!$C$2:$C$1000,"interest_expense"))-3),History_Q!$B$2:$B$1000,"&lt;="&amp;(SUMIFS(History_Q!$B$2:$B$1000,History_Q!$A$2:$A$1000,D$6,History_Q!$C$2:$C$1000,"interest_expense")),History_Q!$E$2:$E$1000,"$m",History_Q!$G$2:$G$1000,"populated")-_xlfn.MINIFS(History_Q!$B$2:$B$1000,History_Q!$C$2:$C$1000,"interest_expense",History_Q!$B$2:$B$1000,"&gt;="&amp;((SUMIFS(History_Q!$B$2:$B$1000,History_Q!$A$2:$A$1000,D$6,History_Q!$C$2:$C$1000,"interest_expense"))-3),History_Q!$B$2:$B$1000,"&lt;="&amp;(SUMIFS(History_Q!$B$2:$B$1000,History_Q!$A$2:$A$1000,D$6,History_Q!$C$2:$C$1000,"interest_expense")),History_Q!$E$2:$E$1000,"$m",History_Q!$G$2:$G$1000,"populated")&lt;&gt;3,SUMIFS(History_Q!$D$2:$D$1000,History_Q!$C$2:$C$1000,"interest_expense",History_Q!$B$2:$B$1000,"&gt;="&amp;((SUMIFS(History_Q!$B$2:$B$1000,History_Q!$A$2:$A$1000,D$6,History_Q!$C$2:$C$1000,"interest_expense"))-3),History_Q!$B$2:$B$1000,"&lt;="&amp;(SUMIFS(History_Q!$B$2:$B$1000,History_Q!$A$2:$A$1000,D$6,History_Q!$C$2:$C$1000,"interest_expense")),History_Q!$E$2:$E$1000,"$m",History_Q!$G$2:$G$1000,"populated")=0),"",SUMIFS(History_Q!$D$2:$D$1000,History_Q!$C$2:$C$1000,"operating_income",History_Q!$B$2:$B$1000,"&gt;="&amp;((SUMIFS(History_Q!$B$2:$B$1000,History_Q!$A$2:$A$1000,D$6,History_Q!$C$2:$C$1000,"operating_income"))-3),History_Q!$B$2:$B$1000,"&lt;="&amp;(SUMIFS(History_Q!$B$2:$B$1000,History_Q!$A$2:$A$1000,D$6,History_Q!$C$2:$C$1000,"operating_income")),History_Q!$E$2:$E$1000,"$m",History_Q!$G$2:$G$1000,"populated")/SUMIFS(History_Q!$D$2:$D$1000,History_Q!$C$2:$C$1000,"interest_expense",History_Q!$B$2:$B$1000,"&gt;="&amp;((SUMIFS(History_Q!$B$2:$B$1000,History_Q!$A$2:$A$1000,D$6,History_Q!$C$2:$C$1000,"interest_expense"))-3),History_Q!$B$2:$B$1000,"&lt;="&amp;(SUMIFS(History_Q!$B$2:$B$1000,History_Q!$A$2:$A$1000,D$6,History_Q!$C$2:$C$1000,"interest_expense")),History_Q!$E$2:$E$1000,"$m",History_Q!$G$2:$G$1000,"populated"))</f>
        <v/>
      </c>
      <c r="E88" s="460">
        <f>IF(OR(E$6="",COUNTIFS(History_Q!$C$2:$C$1000,"operating_income",History_Q!$B$2:$B$1000,"&gt;="&amp;((SUMIFS(History_Q!$B$2:$B$1000,History_Q!$A$2:$A$1000,E$6,History_Q!$C$2:$C$1000,"operating_income"))-3),History_Q!$B$2:$B$1000,"&lt;="&amp;(SUMIFS(History_Q!$B$2:$B$1000,History_Q!$A$2:$A$1000,E$6,History_Q!$C$2:$C$1000,"operating_income")),History_Q!$E$2:$E$1000,"$m",History_Q!$G$2:$G$1000,"populated")&lt;&gt;4,COUNTIFS(History_Q!$C$2:$C$1000,"interest_expense",History_Q!$B$2:$B$1000,"&gt;="&amp;((SUMIFS(History_Q!$B$2:$B$1000,History_Q!$A$2:$A$1000,E$6,History_Q!$C$2:$C$1000,"interest_expense"))-3),History_Q!$B$2:$B$1000,"&lt;="&amp;(SUMIFS(History_Q!$B$2:$B$1000,History_Q!$A$2:$A$1000,E$6,History_Q!$C$2:$C$1000,"interest_expense")),History_Q!$E$2:$E$1000,"$m",History_Q!$G$2:$G$1000,"populated")&lt;&gt;4,_xlfn.MAXIFS(History_Q!$B$2:$B$1000,History_Q!$C$2:$C$1000,"operating_income",History_Q!$B$2:$B$1000,"&gt;="&amp;((SUMIFS(History_Q!$B$2:$B$1000,History_Q!$A$2:$A$1000,E$6,History_Q!$C$2:$C$1000,"operating_income"))-3),History_Q!$B$2:$B$1000,"&lt;="&amp;(SUMIFS(History_Q!$B$2:$B$1000,History_Q!$A$2:$A$1000,E$6,History_Q!$C$2:$C$1000,"operating_income")),History_Q!$E$2:$E$1000,"$m",History_Q!$G$2:$G$1000,"populated")-_xlfn.MINIFS(History_Q!$B$2:$B$1000,History_Q!$C$2:$C$1000,"operating_income",History_Q!$B$2:$B$1000,"&gt;="&amp;((SUMIFS(History_Q!$B$2:$B$1000,History_Q!$A$2:$A$1000,E$6,History_Q!$C$2:$C$1000,"operating_income"))-3),History_Q!$B$2:$B$1000,"&lt;="&amp;(SUMIFS(History_Q!$B$2:$B$1000,History_Q!$A$2:$A$1000,E$6,History_Q!$C$2:$C$1000,"operating_income")),History_Q!$E$2:$E$1000,"$m",History_Q!$G$2:$G$1000,"populated")&lt;&gt;3,_xlfn.MAXIFS(History_Q!$B$2:$B$1000,History_Q!$C$2:$C$1000,"interest_expense",History_Q!$B$2:$B$1000,"&gt;="&amp;((SUMIFS(History_Q!$B$2:$B$1000,History_Q!$A$2:$A$1000,E$6,History_Q!$C$2:$C$1000,"interest_expense"))-3),History_Q!$B$2:$B$1000,"&lt;="&amp;(SUMIFS(History_Q!$B$2:$B$1000,History_Q!$A$2:$A$1000,E$6,History_Q!$C$2:$C$1000,"interest_expense")),History_Q!$E$2:$E$1000,"$m",History_Q!$G$2:$G$1000,"populated")-_xlfn.MINIFS(History_Q!$B$2:$B$1000,History_Q!$C$2:$C$1000,"interest_expense",History_Q!$B$2:$B$1000,"&gt;="&amp;((SUMIFS(History_Q!$B$2:$B$1000,History_Q!$A$2:$A$1000,E$6,History_Q!$C$2:$C$1000,"interest_expense"))-3),History_Q!$B$2:$B$1000,"&lt;="&amp;(SUMIFS(History_Q!$B$2:$B$1000,History_Q!$A$2:$A$1000,E$6,History_Q!$C$2:$C$1000,"interest_expense")),History_Q!$E$2:$E$1000,"$m",History_Q!$G$2:$G$1000,"populated")&lt;&gt;3,SUMIFS(History_Q!$D$2:$D$1000,History_Q!$C$2:$C$1000,"interest_expense",History_Q!$B$2:$B$1000,"&gt;="&amp;((SUMIFS(History_Q!$B$2:$B$1000,History_Q!$A$2:$A$1000,E$6,History_Q!$C$2:$C$1000,"interest_expense"))-3),History_Q!$B$2:$B$1000,"&lt;="&amp;(SUMIFS(History_Q!$B$2:$B$1000,History_Q!$A$2:$A$1000,E$6,History_Q!$C$2:$C$1000,"interest_expense")),History_Q!$E$2:$E$1000,"$m",History_Q!$G$2:$G$1000,"populated")=0),"",SUMIFS(History_Q!$D$2:$D$1000,History_Q!$C$2:$C$1000,"operating_income",History_Q!$B$2:$B$1000,"&gt;="&amp;((SUMIFS(History_Q!$B$2:$B$1000,History_Q!$A$2:$A$1000,E$6,History_Q!$C$2:$C$1000,"operating_income"))-3),History_Q!$B$2:$B$1000,"&lt;="&amp;(SUMIFS(History_Q!$B$2:$B$1000,History_Q!$A$2:$A$1000,E$6,History_Q!$C$2:$C$1000,"operating_income")),History_Q!$E$2:$E$1000,"$m",History_Q!$G$2:$G$1000,"populated")/SUMIFS(History_Q!$D$2:$D$1000,History_Q!$C$2:$C$1000,"interest_expense",History_Q!$B$2:$B$1000,"&gt;="&amp;((SUMIFS(History_Q!$B$2:$B$1000,History_Q!$A$2:$A$1000,E$6,History_Q!$C$2:$C$1000,"interest_expense"))-3),History_Q!$B$2:$B$1000,"&lt;="&amp;(SUMIFS(History_Q!$B$2:$B$1000,History_Q!$A$2:$A$1000,E$6,History_Q!$C$2:$C$1000,"interest_expense")),History_Q!$E$2:$E$1000,"$m",History_Q!$G$2:$G$1000,"populated"))</f>
        <v/>
      </c>
      <c r="F88" s="460">
        <f>IF(OR(F$6="",COUNTIFS(History_Q!$C$2:$C$1000,"operating_income",History_Q!$B$2:$B$1000,"&gt;="&amp;((SUMIFS(History_Q!$B$2:$B$1000,History_Q!$A$2:$A$1000,F$6,History_Q!$C$2:$C$1000,"operating_income"))-3),History_Q!$B$2:$B$1000,"&lt;="&amp;(SUMIFS(History_Q!$B$2:$B$1000,History_Q!$A$2:$A$1000,F$6,History_Q!$C$2:$C$1000,"operating_income")),History_Q!$E$2:$E$1000,"$m",History_Q!$G$2:$G$1000,"populated")&lt;&gt;4,COUNTIFS(History_Q!$C$2:$C$1000,"interest_expense",History_Q!$B$2:$B$1000,"&gt;="&amp;((SUMIFS(History_Q!$B$2:$B$1000,History_Q!$A$2:$A$1000,F$6,History_Q!$C$2:$C$1000,"interest_expense"))-3),History_Q!$B$2:$B$1000,"&lt;="&amp;(SUMIFS(History_Q!$B$2:$B$1000,History_Q!$A$2:$A$1000,F$6,History_Q!$C$2:$C$1000,"interest_expense")),History_Q!$E$2:$E$1000,"$m",History_Q!$G$2:$G$1000,"populated")&lt;&gt;4,_xlfn.MAXIFS(History_Q!$B$2:$B$1000,History_Q!$C$2:$C$1000,"operating_income",History_Q!$B$2:$B$1000,"&gt;="&amp;((SUMIFS(History_Q!$B$2:$B$1000,History_Q!$A$2:$A$1000,F$6,History_Q!$C$2:$C$1000,"operating_income"))-3),History_Q!$B$2:$B$1000,"&lt;="&amp;(SUMIFS(History_Q!$B$2:$B$1000,History_Q!$A$2:$A$1000,F$6,History_Q!$C$2:$C$1000,"operating_income")),History_Q!$E$2:$E$1000,"$m",History_Q!$G$2:$G$1000,"populated")-_xlfn.MINIFS(History_Q!$B$2:$B$1000,History_Q!$C$2:$C$1000,"operating_income",History_Q!$B$2:$B$1000,"&gt;="&amp;((SUMIFS(History_Q!$B$2:$B$1000,History_Q!$A$2:$A$1000,F$6,History_Q!$C$2:$C$1000,"operating_income"))-3),History_Q!$B$2:$B$1000,"&lt;="&amp;(SUMIFS(History_Q!$B$2:$B$1000,History_Q!$A$2:$A$1000,F$6,History_Q!$C$2:$C$1000,"operating_income")),History_Q!$E$2:$E$1000,"$m",History_Q!$G$2:$G$1000,"populated")&lt;&gt;3,_xlfn.MAXIFS(History_Q!$B$2:$B$1000,History_Q!$C$2:$C$1000,"interest_expense",History_Q!$B$2:$B$1000,"&gt;="&amp;((SUMIFS(History_Q!$B$2:$B$1000,History_Q!$A$2:$A$1000,F$6,History_Q!$C$2:$C$1000,"interest_expense"))-3),History_Q!$B$2:$B$1000,"&lt;="&amp;(SUMIFS(History_Q!$B$2:$B$1000,History_Q!$A$2:$A$1000,F$6,History_Q!$C$2:$C$1000,"interest_expense")),History_Q!$E$2:$E$1000,"$m",History_Q!$G$2:$G$1000,"populated")-_xlfn.MINIFS(History_Q!$B$2:$B$1000,History_Q!$C$2:$C$1000,"interest_expense",History_Q!$B$2:$B$1000,"&gt;="&amp;((SUMIFS(History_Q!$B$2:$B$1000,History_Q!$A$2:$A$1000,F$6,History_Q!$C$2:$C$1000,"interest_expense"))-3),History_Q!$B$2:$B$1000,"&lt;="&amp;(SUMIFS(History_Q!$B$2:$B$1000,History_Q!$A$2:$A$1000,F$6,History_Q!$C$2:$C$1000,"interest_expense")),History_Q!$E$2:$E$1000,"$m",History_Q!$G$2:$G$1000,"populated")&lt;&gt;3,SUMIFS(History_Q!$D$2:$D$1000,History_Q!$C$2:$C$1000,"interest_expense",History_Q!$B$2:$B$1000,"&gt;="&amp;((SUMIFS(History_Q!$B$2:$B$1000,History_Q!$A$2:$A$1000,F$6,History_Q!$C$2:$C$1000,"interest_expense"))-3),History_Q!$B$2:$B$1000,"&lt;="&amp;(SUMIFS(History_Q!$B$2:$B$1000,History_Q!$A$2:$A$1000,F$6,History_Q!$C$2:$C$1000,"interest_expense")),History_Q!$E$2:$E$1000,"$m",History_Q!$G$2:$G$1000,"populated")=0),"",SUMIFS(History_Q!$D$2:$D$1000,History_Q!$C$2:$C$1000,"operating_income",History_Q!$B$2:$B$1000,"&gt;="&amp;((SUMIFS(History_Q!$B$2:$B$1000,History_Q!$A$2:$A$1000,F$6,History_Q!$C$2:$C$1000,"operating_income"))-3),History_Q!$B$2:$B$1000,"&lt;="&amp;(SUMIFS(History_Q!$B$2:$B$1000,History_Q!$A$2:$A$1000,F$6,History_Q!$C$2:$C$1000,"operating_income")),History_Q!$E$2:$E$1000,"$m",History_Q!$G$2:$G$1000,"populated")/SUMIFS(History_Q!$D$2:$D$1000,History_Q!$C$2:$C$1000,"interest_expense",History_Q!$B$2:$B$1000,"&gt;="&amp;((SUMIFS(History_Q!$B$2:$B$1000,History_Q!$A$2:$A$1000,F$6,History_Q!$C$2:$C$1000,"interest_expense"))-3),History_Q!$B$2:$B$1000,"&lt;="&amp;(SUMIFS(History_Q!$B$2:$B$1000,History_Q!$A$2:$A$1000,F$6,History_Q!$C$2:$C$1000,"interest_expense")),History_Q!$E$2:$E$1000,"$m",History_Q!$G$2:$G$1000,"populated"))</f>
        <v/>
      </c>
      <c r="G88" s="460">
        <f>IF(OR(G$6="",COUNTIFS(History_Q!$C$2:$C$1000,"operating_income",History_Q!$B$2:$B$1000,"&gt;="&amp;((SUMIFS(History_Q!$B$2:$B$1000,History_Q!$A$2:$A$1000,G$6,History_Q!$C$2:$C$1000,"operating_income"))-3),History_Q!$B$2:$B$1000,"&lt;="&amp;(SUMIFS(History_Q!$B$2:$B$1000,History_Q!$A$2:$A$1000,G$6,History_Q!$C$2:$C$1000,"operating_income")),History_Q!$E$2:$E$1000,"$m",History_Q!$G$2:$G$1000,"populated")&lt;&gt;4,COUNTIFS(History_Q!$C$2:$C$1000,"interest_expense",History_Q!$B$2:$B$1000,"&gt;="&amp;((SUMIFS(History_Q!$B$2:$B$1000,History_Q!$A$2:$A$1000,G$6,History_Q!$C$2:$C$1000,"interest_expense"))-3),History_Q!$B$2:$B$1000,"&lt;="&amp;(SUMIFS(History_Q!$B$2:$B$1000,History_Q!$A$2:$A$1000,G$6,History_Q!$C$2:$C$1000,"interest_expense")),History_Q!$E$2:$E$1000,"$m",History_Q!$G$2:$G$1000,"populated")&lt;&gt;4,_xlfn.MAXIFS(History_Q!$B$2:$B$1000,History_Q!$C$2:$C$1000,"operating_income",History_Q!$B$2:$B$1000,"&gt;="&amp;((SUMIFS(History_Q!$B$2:$B$1000,History_Q!$A$2:$A$1000,G$6,History_Q!$C$2:$C$1000,"operating_income"))-3),History_Q!$B$2:$B$1000,"&lt;="&amp;(SUMIFS(History_Q!$B$2:$B$1000,History_Q!$A$2:$A$1000,G$6,History_Q!$C$2:$C$1000,"operating_income")),History_Q!$E$2:$E$1000,"$m",History_Q!$G$2:$G$1000,"populated")-_xlfn.MINIFS(History_Q!$B$2:$B$1000,History_Q!$C$2:$C$1000,"operating_income",History_Q!$B$2:$B$1000,"&gt;="&amp;((SUMIFS(History_Q!$B$2:$B$1000,History_Q!$A$2:$A$1000,G$6,History_Q!$C$2:$C$1000,"operating_income"))-3),History_Q!$B$2:$B$1000,"&lt;="&amp;(SUMIFS(History_Q!$B$2:$B$1000,History_Q!$A$2:$A$1000,G$6,History_Q!$C$2:$C$1000,"operating_income")),History_Q!$E$2:$E$1000,"$m",History_Q!$G$2:$G$1000,"populated")&lt;&gt;3,_xlfn.MAXIFS(History_Q!$B$2:$B$1000,History_Q!$C$2:$C$1000,"interest_expense",History_Q!$B$2:$B$1000,"&gt;="&amp;((SUMIFS(History_Q!$B$2:$B$1000,History_Q!$A$2:$A$1000,G$6,History_Q!$C$2:$C$1000,"interest_expense"))-3),History_Q!$B$2:$B$1000,"&lt;="&amp;(SUMIFS(History_Q!$B$2:$B$1000,History_Q!$A$2:$A$1000,G$6,History_Q!$C$2:$C$1000,"interest_expense")),History_Q!$E$2:$E$1000,"$m",History_Q!$G$2:$G$1000,"populated")-_xlfn.MINIFS(History_Q!$B$2:$B$1000,History_Q!$C$2:$C$1000,"interest_expense",History_Q!$B$2:$B$1000,"&gt;="&amp;((SUMIFS(History_Q!$B$2:$B$1000,History_Q!$A$2:$A$1000,G$6,History_Q!$C$2:$C$1000,"interest_expense"))-3),History_Q!$B$2:$B$1000,"&lt;="&amp;(SUMIFS(History_Q!$B$2:$B$1000,History_Q!$A$2:$A$1000,G$6,History_Q!$C$2:$C$1000,"interest_expense")),History_Q!$E$2:$E$1000,"$m",History_Q!$G$2:$G$1000,"populated")&lt;&gt;3,SUMIFS(History_Q!$D$2:$D$1000,History_Q!$C$2:$C$1000,"interest_expense",History_Q!$B$2:$B$1000,"&gt;="&amp;((SUMIFS(History_Q!$B$2:$B$1000,History_Q!$A$2:$A$1000,G$6,History_Q!$C$2:$C$1000,"interest_expense"))-3),History_Q!$B$2:$B$1000,"&lt;="&amp;(SUMIFS(History_Q!$B$2:$B$1000,History_Q!$A$2:$A$1000,G$6,History_Q!$C$2:$C$1000,"interest_expense")),History_Q!$E$2:$E$1000,"$m",History_Q!$G$2:$G$1000,"populated")=0),"",SUMIFS(History_Q!$D$2:$D$1000,History_Q!$C$2:$C$1000,"operating_income",History_Q!$B$2:$B$1000,"&gt;="&amp;((SUMIFS(History_Q!$B$2:$B$1000,History_Q!$A$2:$A$1000,G$6,History_Q!$C$2:$C$1000,"operating_income"))-3),History_Q!$B$2:$B$1000,"&lt;="&amp;(SUMIFS(History_Q!$B$2:$B$1000,History_Q!$A$2:$A$1000,G$6,History_Q!$C$2:$C$1000,"operating_income")),History_Q!$E$2:$E$1000,"$m",History_Q!$G$2:$G$1000,"populated")/SUMIFS(History_Q!$D$2:$D$1000,History_Q!$C$2:$C$1000,"interest_expense",History_Q!$B$2:$B$1000,"&gt;="&amp;((SUMIFS(History_Q!$B$2:$B$1000,History_Q!$A$2:$A$1000,G$6,History_Q!$C$2:$C$1000,"interest_expense"))-3),History_Q!$B$2:$B$1000,"&lt;="&amp;(SUMIFS(History_Q!$B$2:$B$1000,History_Q!$A$2:$A$1000,G$6,History_Q!$C$2:$C$1000,"interest_expense")),History_Q!$E$2:$E$1000,"$m",History_Q!$G$2:$G$1000,"populated"))</f>
        <v/>
      </c>
      <c r="H88" s="460">
        <f>IF(OR(H$6="",COUNTIFS(History_Q!$C$2:$C$1000,"operating_income",History_Q!$B$2:$B$1000,"&gt;="&amp;((SUMIFS(History_Q!$B$2:$B$1000,History_Q!$A$2:$A$1000,H$6,History_Q!$C$2:$C$1000,"operating_income"))-3),History_Q!$B$2:$B$1000,"&lt;="&amp;(SUMIFS(History_Q!$B$2:$B$1000,History_Q!$A$2:$A$1000,H$6,History_Q!$C$2:$C$1000,"operating_income")),History_Q!$E$2:$E$1000,"$m",History_Q!$G$2:$G$1000,"populated")&lt;&gt;4,COUNTIFS(History_Q!$C$2:$C$1000,"interest_expense",History_Q!$B$2:$B$1000,"&gt;="&amp;((SUMIFS(History_Q!$B$2:$B$1000,History_Q!$A$2:$A$1000,H$6,History_Q!$C$2:$C$1000,"interest_expense"))-3),History_Q!$B$2:$B$1000,"&lt;="&amp;(SUMIFS(History_Q!$B$2:$B$1000,History_Q!$A$2:$A$1000,H$6,History_Q!$C$2:$C$1000,"interest_expense")),History_Q!$E$2:$E$1000,"$m",History_Q!$G$2:$G$1000,"populated")&lt;&gt;4,_xlfn.MAXIFS(History_Q!$B$2:$B$1000,History_Q!$C$2:$C$1000,"operating_income",History_Q!$B$2:$B$1000,"&gt;="&amp;((SUMIFS(History_Q!$B$2:$B$1000,History_Q!$A$2:$A$1000,H$6,History_Q!$C$2:$C$1000,"operating_income"))-3),History_Q!$B$2:$B$1000,"&lt;="&amp;(SUMIFS(History_Q!$B$2:$B$1000,History_Q!$A$2:$A$1000,H$6,History_Q!$C$2:$C$1000,"operating_income")),History_Q!$E$2:$E$1000,"$m",History_Q!$G$2:$G$1000,"populated")-_xlfn.MINIFS(History_Q!$B$2:$B$1000,History_Q!$C$2:$C$1000,"operating_income",History_Q!$B$2:$B$1000,"&gt;="&amp;((SUMIFS(History_Q!$B$2:$B$1000,History_Q!$A$2:$A$1000,H$6,History_Q!$C$2:$C$1000,"operating_income"))-3),History_Q!$B$2:$B$1000,"&lt;="&amp;(SUMIFS(History_Q!$B$2:$B$1000,History_Q!$A$2:$A$1000,H$6,History_Q!$C$2:$C$1000,"operating_income")),History_Q!$E$2:$E$1000,"$m",History_Q!$G$2:$G$1000,"populated")&lt;&gt;3,_xlfn.MAXIFS(History_Q!$B$2:$B$1000,History_Q!$C$2:$C$1000,"interest_expense",History_Q!$B$2:$B$1000,"&gt;="&amp;((SUMIFS(History_Q!$B$2:$B$1000,History_Q!$A$2:$A$1000,H$6,History_Q!$C$2:$C$1000,"interest_expense"))-3),History_Q!$B$2:$B$1000,"&lt;="&amp;(SUMIFS(History_Q!$B$2:$B$1000,History_Q!$A$2:$A$1000,H$6,History_Q!$C$2:$C$1000,"interest_expense")),History_Q!$E$2:$E$1000,"$m",History_Q!$G$2:$G$1000,"populated")-_xlfn.MINIFS(History_Q!$B$2:$B$1000,History_Q!$C$2:$C$1000,"interest_expense",History_Q!$B$2:$B$1000,"&gt;="&amp;((SUMIFS(History_Q!$B$2:$B$1000,History_Q!$A$2:$A$1000,H$6,History_Q!$C$2:$C$1000,"interest_expense"))-3),History_Q!$B$2:$B$1000,"&lt;="&amp;(SUMIFS(History_Q!$B$2:$B$1000,History_Q!$A$2:$A$1000,H$6,History_Q!$C$2:$C$1000,"interest_expense")),History_Q!$E$2:$E$1000,"$m",History_Q!$G$2:$G$1000,"populated")&lt;&gt;3,SUMIFS(History_Q!$D$2:$D$1000,History_Q!$C$2:$C$1000,"interest_expense",History_Q!$B$2:$B$1000,"&gt;="&amp;((SUMIFS(History_Q!$B$2:$B$1000,History_Q!$A$2:$A$1000,H$6,History_Q!$C$2:$C$1000,"interest_expense"))-3),History_Q!$B$2:$B$1000,"&lt;="&amp;(SUMIFS(History_Q!$B$2:$B$1000,History_Q!$A$2:$A$1000,H$6,History_Q!$C$2:$C$1000,"interest_expense")),History_Q!$E$2:$E$1000,"$m",History_Q!$G$2:$G$1000,"populated")=0),"",SUMIFS(History_Q!$D$2:$D$1000,History_Q!$C$2:$C$1000,"operating_income",History_Q!$B$2:$B$1000,"&gt;="&amp;((SUMIFS(History_Q!$B$2:$B$1000,History_Q!$A$2:$A$1000,H$6,History_Q!$C$2:$C$1000,"operating_income"))-3),History_Q!$B$2:$B$1000,"&lt;="&amp;(SUMIFS(History_Q!$B$2:$B$1000,History_Q!$A$2:$A$1000,H$6,History_Q!$C$2:$C$1000,"operating_income")),History_Q!$E$2:$E$1000,"$m",History_Q!$G$2:$G$1000,"populated")/SUMIFS(History_Q!$D$2:$D$1000,History_Q!$C$2:$C$1000,"interest_expense",History_Q!$B$2:$B$1000,"&gt;="&amp;((SUMIFS(History_Q!$B$2:$B$1000,History_Q!$A$2:$A$1000,H$6,History_Q!$C$2:$C$1000,"interest_expense"))-3),History_Q!$B$2:$B$1000,"&lt;="&amp;(SUMIFS(History_Q!$B$2:$B$1000,History_Q!$A$2:$A$1000,H$6,History_Q!$C$2:$C$1000,"interest_expense")),History_Q!$E$2:$E$1000,"$m",History_Q!$G$2:$G$1000,"populated"))</f>
        <v/>
      </c>
      <c r="I88" s="460">
        <f>IF(OR(I$6="",COUNTIFS(History_Q!$C$2:$C$1000,"operating_income",History_Q!$B$2:$B$1000,"&gt;="&amp;((SUMIFS(History_Q!$B$2:$B$1000,History_Q!$A$2:$A$1000,I$6,History_Q!$C$2:$C$1000,"operating_income"))-3),History_Q!$B$2:$B$1000,"&lt;="&amp;(SUMIFS(History_Q!$B$2:$B$1000,History_Q!$A$2:$A$1000,I$6,History_Q!$C$2:$C$1000,"operating_income")),History_Q!$E$2:$E$1000,"$m",History_Q!$G$2:$G$1000,"populated")&lt;&gt;4,COUNTIFS(History_Q!$C$2:$C$1000,"interest_expense",History_Q!$B$2:$B$1000,"&gt;="&amp;((SUMIFS(History_Q!$B$2:$B$1000,History_Q!$A$2:$A$1000,I$6,History_Q!$C$2:$C$1000,"interest_expense"))-3),History_Q!$B$2:$B$1000,"&lt;="&amp;(SUMIFS(History_Q!$B$2:$B$1000,History_Q!$A$2:$A$1000,I$6,History_Q!$C$2:$C$1000,"interest_expense")),History_Q!$E$2:$E$1000,"$m",History_Q!$G$2:$G$1000,"populated")&lt;&gt;4,_xlfn.MAXIFS(History_Q!$B$2:$B$1000,History_Q!$C$2:$C$1000,"operating_income",History_Q!$B$2:$B$1000,"&gt;="&amp;((SUMIFS(History_Q!$B$2:$B$1000,History_Q!$A$2:$A$1000,I$6,History_Q!$C$2:$C$1000,"operating_income"))-3),History_Q!$B$2:$B$1000,"&lt;="&amp;(SUMIFS(History_Q!$B$2:$B$1000,History_Q!$A$2:$A$1000,I$6,History_Q!$C$2:$C$1000,"operating_income")),History_Q!$E$2:$E$1000,"$m",History_Q!$G$2:$G$1000,"populated")-_xlfn.MINIFS(History_Q!$B$2:$B$1000,History_Q!$C$2:$C$1000,"operating_income",History_Q!$B$2:$B$1000,"&gt;="&amp;((SUMIFS(History_Q!$B$2:$B$1000,History_Q!$A$2:$A$1000,I$6,History_Q!$C$2:$C$1000,"operating_income"))-3),History_Q!$B$2:$B$1000,"&lt;="&amp;(SUMIFS(History_Q!$B$2:$B$1000,History_Q!$A$2:$A$1000,I$6,History_Q!$C$2:$C$1000,"operating_income")),History_Q!$E$2:$E$1000,"$m",History_Q!$G$2:$G$1000,"populated")&lt;&gt;3,_xlfn.MAXIFS(History_Q!$B$2:$B$1000,History_Q!$C$2:$C$1000,"interest_expense",History_Q!$B$2:$B$1000,"&gt;="&amp;((SUMIFS(History_Q!$B$2:$B$1000,History_Q!$A$2:$A$1000,I$6,History_Q!$C$2:$C$1000,"interest_expense"))-3),History_Q!$B$2:$B$1000,"&lt;="&amp;(SUMIFS(History_Q!$B$2:$B$1000,History_Q!$A$2:$A$1000,I$6,History_Q!$C$2:$C$1000,"interest_expense")),History_Q!$E$2:$E$1000,"$m",History_Q!$G$2:$G$1000,"populated")-_xlfn.MINIFS(History_Q!$B$2:$B$1000,History_Q!$C$2:$C$1000,"interest_expense",History_Q!$B$2:$B$1000,"&gt;="&amp;((SUMIFS(History_Q!$B$2:$B$1000,History_Q!$A$2:$A$1000,I$6,History_Q!$C$2:$C$1000,"interest_expense"))-3),History_Q!$B$2:$B$1000,"&lt;="&amp;(SUMIFS(History_Q!$B$2:$B$1000,History_Q!$A$2:$A$1000,I$6,History_Q!$C$2:$C$1000,"interest_expense")),History_Q!$E$2:$E$1000,"$m",History_Q!$G$2:$G$1000,"populated")&lt;&gt;3,SUMIFS(History_Q!$D$2:$D$1000,History_Q!$C$2:$C$1000,"interest_expense",History_Q!$B$2:$B$1000,"&gt;="&amp;((SUMIFS(History_Q!$B$2:$B$1000,History_Q!$A$2:$A$1000,I$6,History_Q!$C$2:$C$1000,"interest_expense"))-3),History_Q!$B$2:$B$1000,"&lt;="&amp;(SUMIFS(History_Q!$B$2:$B$1000,History_Q!$A$2:$A$1000,I$6,History_Q!$C$2:$C$1000,"interest_expense")),History_Q!$E$2:$E$1000,"$m",History_Q!$G$2:$G$1000,"populated")=0),"",SUMIFS(History_Q!$D$2:$D$1000,History_Q!$C$2:$C$1000,"operating_income",History_Q!$B$2:$B$1000,"&gt;="&amp;((SUMIFS(History_Q!$B$2:$B$1000,History_Q!$A$2:$A$1000,I$6,History_Q!$C$2:$C$1000,"operating_income"))-3),History_Q!$B$2:$B$1000,"&lt;="&amp;(SUMIFS(History_Q!$B$2:$B$1000,History_Q!$A$2:$A$1000,I$6,History_Q!$C$2:$C$1000,"operating_income")),History_Q!$E$2:$E$1000,"$m",History_Q!$G$2:$G$1000,"populated")/SUMIFS(History_Q!$D$2:$D$1000,History_Q!$C$2:$C$1000,"interest_expense",History_Q!$B$2:$B$1000,"&gt;="&amp;((SUMIFS(History_Q!$B$2:$B$1000,History_Q!$A$2:$A$1000,I$6,History_Q!$C$2:$C$1000,"interest_expense"))-3),History_Q!$B$2:$B$1000,"&lt;="&amp;(SUMIFS(History_Q!$B$2:$B$1000,History_Q!$A$2:$A$1000,I$6,History_Q!$C$2:$C$1000,"interest_expense")),History_Q!$E$2:$E$1000,"$m",History_Q!$G$2:$G$1000,"populated"))</f>
        <v/>
      </c>
      <c r="J88" s="460">
        <f>IF(OR(J$6="",COUNTIFS(History_Q!$C$2:$C$1000,"operating_income",History_Q!$B$2:$B$1000,"&gt;="&amp;((SUMIFS(History_Q!$B$2:$B$1000,History_Q!$A$2:$A$1000,J$6,History_Q!$C$2:$C$1000,"operating_income"))-3),History_Q!$B$2:$B$1000,"&lt;="&amp;(SUMIFS(History_Q!$B$2:$B$1000,History_Q!$A$2:$A$1000,J$6,History_Q!$C$2:$C$1000,"operating_income")),History_Q!$E$2:$E$1000,"$m",History_Q!$G$2:$G$1000,"populated")&lt;&gt;4,COUNTIFS(History_Q!$C$2:$C$1000,"interest_expense",History_Q!$B$2:$B$1000,"&gt;="&amp;((SUMIFS(History_Q!$B$2:$B$1000,History_Q!$A$2:$A$1000,J$6,History_Q!$C$2:$C$1000,"interest_expense"))-3),History_Q!$B$2:$B$1000,"&lt;="&amp;(SUMIFS(History_Q!$B$2:$B$1000,History_Q!$A$2:$A$1000,J$6,History_Q!$C$2:$C$1000,"interest_expense")),History_Q!$E$2:$E$1000,"$m",History_Q!$G$2:$G$1000,"populated")&lt;&gt;4,_xlfn.MAXIFS(History_Q!$B$2:$B$1000,History_Q!$C$2:$C$1000,"operating_income",History_Q!$B$2:$B$1000,"&gt;="&amp;((SUMIFS(History_Q!$B$2:$B$1000,History_Q!$A$2:$A$1000,J$6,History_Q!$C$2:$C$1000,"operating_income"))-3),History_Q!$B$2:$B$1000,"&lt;="&amp;(SUMIFS(History_Q!$B$2:$B$1000,History_Q!$A$2:$A$1000,J$6,History_Q!$C$2:$C$1000,"operating_income")),History_Q!$E$2:$E$1000,"$m",History_Q!$G$2:$G$1000,"populated")-_xlfn.MINIFS(History_Q!$B$2:$B$1000,History_Q!$C$2:$C$1000,"operating_income",History_Q!$B$2:$B$1000,"&gt;="&amp;((SUMIFS(History_Q!$B$2:$B$1000,History_Q!$A$2:$A$1000,J$6,History_Q!$C$2:$C$1000,"operating_income"))-3),History_Q!$B$2:$B$1000,"&lt;="&amp;(SUMIFS(History_Q!$B$2:$B$1000,History_Q!$A$2:$A$1000,J$6,History_Q!$C$2:$C$1000,"operating_income")),History_Q!$E$2:$E$1000,"$m",History_Q!$G$2:$G$1000,"populated")&lt;&gt;3,_xlfn.MAXIFS(History_Q!$B$2:$B$1000,History_Q!$C$2:$C$1000,"interest_expense",History_Q!$B$2:$B$1000,"&gt;="&amp;((SUMIFS(History_Q!$B$2:$B$1000,History_Q!$A$2:$A$1000,J$6,History_Q!$C$2:$C$1000,"interest_expense"))-3),History_Q!$B$2:$B$1000,"&lt;="&amp;(SUMIFS(History_Q!$B$2:$B$1000,History_Q!$A$2:$A$1000,J$6,History_Q!$C$2:$C$1000,"interest_expense")),History_Q!$E$2:$E$1000,"$m",History_Q!$G$2:$G$1000,"populated")-_xlfn.MINIFS(History_Q!$B$2:$B$1000,History_Q!$C$2:$C$1000,"interest_expense",History_Q!$B$2:$B$1000,"&gt;="&amp;((SUMIFS(History_Q!$B$2:$B$1000,History_Q!$A$2:$A$1000,J$6,History_Q!$C$2:$C$1000,"interest_expense"))-3),History_Q!$B$2:$B$1000,"&lt;="&amp;(SUMIFS(History_Q!$B$2:$B$1000,History_Q!$A$2:$A$1000,J$6,History_Q!$C$2:$C$1000,"interest_expense")),History_Q!$E$2:$E$1000,"$m",History_Q!$G$2:$G$1000,"populated")&lt;&gt;3,SUMIFS(History_Q!$D$2:$D$1000,History_Q!$C$2:$C$1000,"interest_expense",History_Q!$B$2:$B$1000,"&gt;="&amp;((SUMIFS(History_Q!$B$2:$B$1000,History_Q!$A$2:$A$1000,J$6,History_Q!$C$2:$C$1000,"interest_expense"))-3),History_Q!$B$2:$B$1000,"&lt;="&amp;(SUMIFS(History_Q!$B$2:$B$1000,History_Q!$A$2:$A$1000,J$6,History_Q!$C$2:$C$1000,"interest_expense")),History_Q!$E$2:$E$1000,"$m",History_Q!$G$2:$G$1000,"populated")=0),"",SUMIFS(History_Q!$D$2:$D$1000,History_Q!$C$2:$C$1000,"operating_income",History_Q!$B$2:$B$1000,"&gt;="&amp;((SUMIFS(History_Q!$B$2:$B$1000,History_Q!$A$2:$A$1000,J$6,History_Q!$C$2:$C$1000,"operating_income"))-3),History_Q!$B$2:$B$1000,"&lt;="&amp;(SUMIFS(History_Q!$B$2:$B$1000,History_Q!$A$2:$A$1000,J$6,History_Q!$C$2:$C$1000,"operating_income")),History_Q!$E$2:$E$1000,"$m",History_Q!$G$2:$G$1000,"populated")/SUMIFS(History_Q!$D$2:$D$1000,History_Q!$C$2:$C$1000,"interest_expense",History_Q!$B$2:$B$1000,"&gt;="&amp;((SUMIFS(History_Q!$B$2:$B$1000,History_Q!$A$2:$A$1000,J$6,History_Q!$C$2:$C$1000,"interest_expense"))-3),History_Q!$B$2:$B$1000,"&lt;="&amp;(SUMIFS(History_Q!$B$2:$B$1000,History_Q!$A$2:$A$1000,J$6,History_Q!$C$2:$C$1000,"interest_expense")),History_Q!$E$2:$E$1000,"$m",History_Q!$G$2:$G$1000,"populated"))</f>
        <v/>
      </c>
      <c r="K88" s="460">
        <f>IF(OR(K$6="",COUNTIFS(History_Q!$C$2:$C$1000,"operating_income",History_Q!$B$2:$B$1000,"&gt;="&amp;((SUMIFS(History_Q!$B$2:$B$1000,History_Q!$A$2:$A$1000,K$6,History_Q!$C$2:$C$1000,"operating_income"))-3),History_Q!$B$2:$B$1000,"&lt;="&amp;(SUMIFS(History_Q!$B$2:$B$1000,History_Q!$A$2:$A$1000,K$6,History_Q!$C$2:$C$1000,"operating_income")),History_Q!$E$2:$E$1000,"$m",History_Q!$G$2:$G$1000,"populated")&lt;&gt;4,COUNTIFS(History_Q!$C$2:$C$1000,"interest_expense",History_Q!$B$2:$B$1000,"&gt;="&amp;((SUMIFS(History_Q!$B$2:$B$1000,History_Q!$A$2:$A$1000,K$6,History_Q!$C$2:$C$1000,"interest_expense"))-3),History_Q!$B$2:$B$1000,"&lt;="&amp;(SUMIFS(History_Q!$B$2:$B$1000,History_Q!$A$2:$A$1000,K$6,History_Q!$C$2:$C$1000,"interest_expense")),History_Q!$E$2:$E$1000,"$m",History_Q!$G$2:$G$1000,"populated")&lt;&gt;4,_xlfn.MAXIFS(History_Q!$B$2:$B$1000,History_Q!$C$2:$C$1000,"operating_income",History_Q!$B$2:$B$1000,"&gt;="&amp;((SUMIFS(History_Q!$B$2:$B$1000,History_Q!$A$2:$A$1000,K$6,History_Q!$C$2:$C$1000,"operating_income"))-3),History_Q!$B$2:$B$1000,"&lt;="&amp;(SUMIFS(History_Q!$B$2:$B$1000,History_Q!$A$2:$A$1000,K$6,History_Q!$C$2:$C$1000,"operating_income")),History_Q!$E$2:$E$1000,"$m",History_Q!$G$2:$G$1000,"populated")-_xlfn.MINIFS(History_Q!$B$2:$B$1000,History_Q!$C$2:$C$1000,"operating_income",History_Q!$B$2:$B$1000,"&gt;="&amp;((SUMIFS(History_Q!$B$2:$B$1000,History_Q!$A$2:$A$1000,K$6,History_Q!$C$2:$C$1000,"operating_income"))-3),History_Q!$B$2:$B$1000,"&lt;="&amp;(SUMIFS(History_Q!$B$2:$B$1000,History_Q!$A$2:$A$1000,K$6,History_Q!$C$2:$C$1000,"operating_income")),History_Q!$E$2:$E$1000,"$m",History_Q!$G$2:$G$1000,"populated")&lt;&gt;3,_xlfn.MAXIFS(History_Q!$B$2:$B$1000,History_Q!$C$2:$C$1000,"interest_expense",History_Q!$B$2:$B$1000,"&gt;="&amp;((SUMIFS(History_Q!$B$2:$B$1000,History_Q!$A$2:$A$1000,K$6,History_Q!$C$2:$C$1000,"interest_expense"))-3),History_Q!$B$2:$B$1000,"&lt;="&amp;(SUMIFS(History_Q!$B$2:$B$1000,History_Q!$A$2:$A$1000,K$6,History_Q!$C$2:$C$1000,"interest_expense")),History_Q!$E$2:$E$1000,"$m",History_Q!$G$2:$G$1000,"populated")-_xlfn.MINIFS(History_Q!$B$2:$B$1000,History_Q!$C$2:$C$1000,"interest_expense",History_Q!$B$2:$B$1000,"&gt;="&amp;((SUMIFS(History_Q!$B$2:$B$1000,History_Q!$A$2:$A$1000,K$6,History_Q!$C$2:$C$1000,"interest_expense"))-3),History_Q!$B$2:$B$1000,"&lt;="&amp;(SUMIFS(History_Q!$B$2:$B$1000,History_Q!$A$2:$A$1000,K$6,History_Q!$C$2:$C$1000,"interest_expense")),History_Q!$E$2:$E$1000,"$m",History_Q!$G$2:$G$1000,"populated")&lt;&gt;3,SUMIFS(History_Q!$D$2:$D$1000,History_Q!$C$2:$C$1000,"interest_expense",History_Q!$B$2:$B$1000,"&gt;="&amp;((SUMIFS(History_Q!$B$2:$B$1000,History_Q!$A$2:$A$1000,K$6,History_Q!$C$2:$C$1000,"interest_expense"))-3),History_Q!$B$2:$B$1000,"&lt;="&amp;(SUMIFS(History_Q!$B$2:$B$1000,History_Q!$A$2:$A$1000,K$6,History_Q!$C$2:$C$1000,"interest_expense")),History_Q!$E$2:$E$1000,"$m",History_Q!$G$2:$G$1000,"populated")=0),"",SUMIFS(History_Q!$D$2:$D$1000,History_Q!$C$2:$C$1000,"operating_income",History_Q!$B$2:$B$1000,"&gt;="&amp;((SUMIFS(History_Q!$B$2:$B$1000,History_Q!$A$2:$A$1000,K$6,History_Q!$C$2:$C$1000,"operating_income"))-3),History_Q!$B$2:$B$1000,"&lt;="&amp;(SUMIFS(History_Q!$B$2:$B$1000,History_Q!$A$2:$A$1000,K$6,History_Q!$C$2:$C$1000,"operating_income")),History_Q!$E$2:$E$1000,"$m",History_Q!$G$2:$G$1000,"populated")/SUMIFS(History_Q!$D$2:$D$1000,History_Q!$C$2:$C$1000,"interest_expense",History_Q!$B$2:$B$1000,"&gt;="&amp;((SUMIFS(History_Q!$B$2:$B$1000,History_Q!$A$2:$A$1000,K$6,History_Q!$C$2:$C$1000,"interest_expense"))-3),History_Q!$B$2:$B$1000,"&lt;="&amp;(SUMIFS(History_Q!$B$2:$B$1000,History_Q!$A$2:$A$1000,K$6,History_Q!$C$2:$C$1000,"interest_expense")),History_Q!$E$2:$E$1000,"$m",History_Q!$G$2:$G$1000,"populated"))</f>
        <v/>
      </c>
      <c r="L88" s="460">
        <f>IF(OR(L$6="",COUNTIFS(History_Q!$C$2:$C$1000,"operating_income",History_Q!$B$2:$B$1000,"&gt;="&amp;((SUMIFS(History_Q!$B$2:$B$1000,History_Q!$A$2:$A$1000,L$6,History_Q!$C$2:$C$1000,"operating_income"))-3),History_Q!$B$2:$B$1000,"&lt;="&amp;(SUMIFS(History_Q!$B$2:$B$1000,History_Q!$A$2:$A$1000,L$6,History_Q!$C$2:$C$1000,"operating_income")),History_Q!$E$2:$E$1000,"$m",History_Q!$G$2:$G$1000,"populated")&lt;&gt;4,COUNTIFS(History_Q!$C$2:$C$1000,"interest_expense",History_Q!$B$2:$B$1000,"&gt;="&amp;((SUMIFS(History_Q!$B$2:$B$1000,History_Q!$A$2:$A$1000,L$6,History_Q!$C$2:$C$1000,"interest_expense"))-3),History_Q!$B$2:$B$1000,"&lt;="&amp;(SUMIFS(History_Q!$B$2:$B$1000,History_Q!$A$2:$A$1000,L$6,History_Q!$C$2:$C$1000,"interest_expense")),History_Q!$E$2:$E$1000,"$m",History_Q!$G$2:$G$1000,"populated")&lt;&gt;4,_xlfn.MAXIFS(History_Q!$B$2:$B$1000,History_Q!$C$2:$C$1000,"operating_income",History_Q!$B$2:$B$1000,"&gt;="&amp;((SUMIFS(History_Q!$B$2:$B$1000,History_Q!$A$2:$A$1000,L$6,History_Q!$C$2:$C$1000,"operating_income"))-3),History_Q!$B$2:$B$1000,"&lt;="&amp;(SUMIFS(History_Q!$B$2:$B$1000,History_Q!$A$2:$A$1000,L$6,History_Q!$C$2:$C$1000,"operating_income")),History_Q!$E$2:$E$1000,"$m",History_Q!$G$2:$G$1000,"populated")-_xlfn.MINIFS(History_Q!$B$2:$B$1000,History_Q!$C$2:$C$1000,"operating_income",History_Q!$B$2:$B$1000,"&gt;="&amp;((SUMIFS(History_Q!$B$2:$B$1000,History_Q!$A$2:$A$1000,L$6,History_Q!$C$2:$C$1000,"operating_income"))-3),History_Q!$B$2:$B$1000,"&lt;="&amp;(SUMIFS(History_Q!$B$2:$B$1000,History_Q!$A$2:$A$1000,L$6,History_Q!$C$2:$C$1000,"operating_income")),History_Q!$E$2:$E$1000,"$m",History_Q!$G$2:$G$1000,"populated")&lt;&gt;3,_xlfn.MAXIFS(History_Q!$B$2:$B$1000,History_Q!$C$2:$C$1000,"interest_expense",History_Q!$B$2:$B$1000,"&gt;="&amp;((SUMIFS(History_Q!$B$2:$B$1000,History_Q!$A$2:$A$1000,L$6,History_Q!$C$2:$C$1000,"interest_expense"))-3),History_Q!$B$2:$B$1000,"&lt;="&amp;(SUMIFS(History_Q!$B$2:$B$1000,History_Q!$A$2:$A$1000,L$6,History_Q!$C$2:$C$1000,"interest_expense")),History_Q!$E$2:$E$1000,"$m",History_Q!$G$2:$G$1000,"populated")-_xlfn.MINIFS(History_Q!$B$2:$B$1000,History_Q!$C$2:$C$1000,"interest_expense",History_Q!$B$2:$B$1000,"&gt;="&amp;((SUMIFS(History_Q!$B$2:$B$1000,History_Q!$A$2:$A$1000,L$6,History_Q!$C$2:$C$1000,"interest_expense"))-3),History_Q!$B$2:$B$1000,"&lt;="&amp;(SUMIFS(History_Q!$B$2:$B$1000,History_Q!$A$2:$A$1000,L$6,History_Q!$C$2:$C$1000,"interest_expense")),History_Q!$E$2:$E$1000,"$m",History_Q!$G$2:$G$1000,"populated")&lt;&gt;3,SUMIFS(History_Q!$D$2:$D$1000,History_Q!$C$2:$C$1000,"interest_expense",History_Q!$B$2:$B$1000,"&gt;="&amp;((SUMIFS(History_Q!$B$2:$B$1000,History_Q!$A$2:$A$1000,L$6,History_Q!$C$2:$C$1000,"interest_expense"))-3),History_Q!$B$2:$B$1000,"&lt;="&amp;(SUMIFS(History_Q!$B$2:$B$1000,History_Q!$A$2:$A$1000,L$6,History_Q!$C$2:$C$1000,"interest_expense")),History_Q!$E$2:$E$1000,"$m",History_Q!$G$2:$G$1000,"populated")=0),"",SUMIFS(History_Q!$D$2:$D$1000,History_Q!$C$2:$C$1000,"operating_income",History_Q!$B$2:$B$1000,"&gt;="&amp;((SUMIFS(History_Q!$B$2:$B$1000,History_Q!$A$2:$A$1000,L$6,History_Q!$C$2:$C$1000,"operating_income"))-3),History_Q!$B$2:$B$1000,"&lt;="&amp;(SUMIFS(History_Q!$B$2:$B$1000,History_Q!$A$2:$A$1000,L$6,History_Q!$C$2:$C$1000,"operating_income")),History_Q!$E$2:$E$1000,"$m",History_Q!$G$2:$G$1000,"populated")/SUMIFS(History_Q!$D$2:$D$1000,History_Q!$C$2:$C$1000,"interest_expense",History_Q!$B$2:$B$1000,"&gt;="&amp;((SUMIFS(History_Q!$B$2:$B$1000,History_Q!$A$2:$A$1000,L$6,History_Q!$C$2:$C$1000,"interest_expense"))-3),History_Q!$B$2:$B$1000,"&lt;="&amp;(SUMIFS(History_Q!$B$2:$B$1000,History_Q!$A$2:$A$1000,L$6,History_Q!$C$2:$C$1000,"interest_expense")),History_Q!$E$2:$E$1000,"$m",History_Q!$G$2:$G$1000,"populated"))</f>
        <v/>
      </c>
      <c r="M88" s="460">
        <f>IF(OR(M$6="",COUNTIFS(History_Q!$C$2:$C$1000,"operating_income",History_Q!$B$2:$B$1000,"&gt;="&amp;((SUMIFS(History_Q!$B$2:$B$1000,History_Q!$A$2:$A$1000,M$6,History_Q!$C$2:$C$1000,"operating_income"))-3),History_Q!$B$2:$B$1000,"&lt;="&amp;(SUMIFS(History_Q!$B$2:$B$1000,History_Q!$A$2:$A$1000,M$6,History_Q!$C$2:$C$1000,"operating_income")),History_Q!$E$2:$E$1000,"$m",History_Q!$G$2:$G$1000,"populated")&lt;&gt;4,COUNTIFS(History_Q!$C$2:$C$1000,"interest_expense",History_Q!$B$2:$B$1000,"&gt;="&amp;((SUMIFS(History_Q!$B$2:$B$1000,History_Q!$A$2:$A$1000,M$6,History_Q!$C$2:$C$1000,"interest_expense"))-3),History_Q!$B$2:$B$1000,"&lt;="&amp;(SUMIFS(History_Q!$B$2:$B$1000,History_Q!$A$2:$A$1000,M$6,History_Q!$C$2:$C$1000,"interest_expense")),History_Q!$E$2:$E$1000,"$m",History_Q!$G$2:$G$1000,"populated")&lt;&gt;4,_xlfn.MAXIFS(History_Q!$B$2:$B$1000,History_Q!$C$2:$C$1000,"operating_income",History_Q!$B$2:$B$1000,"&gt;="&amp;((SUMIFS(History_Q!$B$2:$B$1000,History_Q!$A$2:$A$1000,M$6,History_Q!$C$2:$C$1000,"operating_income"))-3),History_Q!$B$2:$B$1000,"&lt;="&amp;(SUMIFS(History_Q!$B$2:$B$1000,History_Q!$A$2:$A$1000,M$6,History_Q!$C$2:$C$1000,"operating_income")),History_Q!$E$2:$E$1000,"$m",History_Q!$G$2:$G$1000,"populated")-_xlfn.MINIFS(History_Q!$B$2:$B$1000,History_Q!$C$2:$C$1000,"operating_income",History_Q!$B$2:$B$1000,"&gt;="&amp;((SUMIFS(History_Q!$B$2:$B$1000,History_Q!$A$2:$A$1000,M$6,History_Q!$C$2:$C$1000,"operating_income"))-3),History_Q!$B$2:$B$1000,"&lt;="&amp;(SUMIFS(History_Q!$B$2:$B$1000,History_Q!$A$2:$A$1000,M$6,History_Q!$C$2:$C$1000,"operating_income")),History_Q!$E$2:$E$1000,"$m",History_Q!$G$2:$G$1000,"populated")&lt;&gt;3,_xlfn.MAXIFS(History_Q!$B$2:$B$1000,History_Q!$C$2:$C$1000,"interest_expense",History_Q!$B$2:$B$1000,"&gt;="&amp;((SUMIFS(History_Q!$B$2:$B$1000,History_Q!$A$2:$A$1000,M$6,History_Q!$C$2:$C$1000,"interest_expense"))-3),History_Q!$B$2:$B$1000,"&lt;="&amp;(SUMIFS(History_Q!$B$2:$B$1000,History_Q!$A$2:$A$1000,M$6,History_Q!$C$2:$C$1000,"interest_expense")),History_Q!$E$2:$E$1000,"$m",History_Q!$G$2:$G$1000,"populated")-_xlfn.MINIFS(History_Q!$B$2:$B$1000,History_Q!$C$2:$C$1000,"interest_expense",History_Q!$B$2:$B$1000,"&gt;="&amp;((SUMIFS(History_Q!$B$2:$B$1000,History_Q!$A$2:$A$1000,M$6,History_Q!$C$2:$C$1000,"interest_expense"))-3),History_Q!$B$2:$B$1000,"&lt;="&amp;(SUMIFS(History_Q!$B$2:$B$1000,History_Q!$A$2:$A$1000,M$6,History_Q!$C$2:$C$1000,"interest_expense")),History_Q!$E$2:$E$1000,"$m",History_Q!$G$2:$G$1000,"populated")&lt;&gt;3,SUMIFS(History_Q!$D$2:$D$1000,History_Q!$C$2:$C$1000,"interest_expense",History_Q!$B$2:$B$1000,"&gt;="&amp;((SUMIFS(History_Q!$B$2:$B$1000,History_Q!$A$2:$A$1000,M$6,History_Q!$C$2:$C$1000,"interest_expense"))-3),History_Q!$B$2:$B$1000,"&lt;="&amp;(SUMIFS(History_Q!$B$2:$B$1000,History_Q!$A$2:$A$1000,M$6,History_Q!$C$2:$C$1000,"interest_expense")),History_Q!$E$2:$E$1000,"$m",History_Q!$G$2:$G$1000,"populated")=0),"",SUMIFS(History_Q!$D$2:$D$1000,History_Q!$C$2:$C$1000,"operating_income",History_Q!$B$2:$B$1000,"&gt;="&amp;((SUMIFS(History_Q!$B$2:$B$1000,History_Q!$A$2:$A$1000,M$6,History_Q!$C$2:$C$1000,"operating_income"))-3),History_Q!$B$2:$B$1000,"&lt;="&amp;(SUMIFS(History_Q!$B$2:$B$1000,History_Q!$A$2:$A$1000,M$6,History_Q!$C$2:$C$1000,"operating_income")),History_Q!$E$2:$E$1000,"$m",History_Q!$G$2:$G$1000,"populated")/SUMIFS(History_Q!$D$2:$D$1000,History_Q!$C$2:$C$1000,"interest_expense",History_Q!$B$2:$B$1000,"&gt;="&amp;((SUMIFS(History_Q!$B$2:$B$1000,History_Q!$A$2:$A$1000,M$6,History_Q!$C$2:$C$1000,"interest_expense"))-3),History_Q!$B$2:$B$1000,"&lt;="&amp;(SUMIFS(History_Q!$B$2:$B$1000,History_Q!$A$2:$A$1000,M$6,History_Q!$C$2:$C$1000,"interest_expense")),History_Q!$E$2:$E$1000,"$m",History_Q!$G$2:$G$1000,"populated"))</f>
        <v/>
      </c>
      <c r="N88" s="22" t="n"/>
      <c r="O88" s="28" t="n"/>
      <c r="P88" s="28" t="n"/>
      <c r="Q88" s="28" t="n"/>
      <c r="R88" s="28" t="n"/>
      <c r="S88" s="28" t="n"/>
      <c r="T88" s="28" t="n"/>
      <c r="U88" s="28" t="n"/>
      <c r="V88" s="28" t="n"/>
      <c r="W88" s="28" t="n"/>
      <c r="X88" s="28" t="n"/>
      <c r="Y88" s="28" t="n"/>
      <c r="Z88" s="28" t="n"/>
      <c r="AA88" s="28" t="n"/>
      <c r="AB88" s="28" t="n"/>
      <c r="AC88" s="28" t="n"/>
      <c r="AD88" s="22" t="n"/>
      <c r="AE88" s="22" t="n"/>
      <c r="AF88" s="22" t="n"/>
      <c r="AG88" s="22" t="n"/>
      <c r="AH88" s="22" t="n"/>
      <c r="AI88" s="22" t="n"/>
    </row>
    <row r="89" ht="19.5" customHeight="1">
      <c r="A89" s="48" t="inlineStr">
        <is>
          <t>Cash interest coverage (TTM)</t>
        </is>
      </c>
      <c r="B89" s="460">
        <f>IF(OR(B$6="",COUNTIFS(History_Q!$C$2:$C$1000,"base_ebitda",History_Q!$B$2:$B$1000,"&gt;="&amp;((SUMIFS(History_Q!$B$2:$B$1000,History_Q!$A$2:$A$1000,B$6,History_Q!$C$2:$C$1000,"base_ebitda"))-3),History_Q!$B$2:$B$1000,"&lt;="&amp;(SUMIFS(History_Q!$B$2:$B$1000,History_Q!$A$2:$A$1000,B$6,History_Q!$C$2:$C$1000,"base_ebitda")),History_Q!$E$2:$E$1000,"$m",History_Q!$G$2:$G$1000,"populated")&lt;&gt;4,COUNTIFS(History_Q!$C$2:$C$1000,"interest_paid",History_Q!$B$2:$B$1000,"&gt;="&amp;((SUMIFS(History_Q!$B$2:$B$1000,History_Q!$A$2:$A$1000,B$6,History_Q!$C$2:$C$1000,"interest_paid"))-3),History_Q!$B$2:$B$1000,"&lt;="&amp;(SUMIFS(History_Q!$B$2:$B$1000,History_Q!$A$2:$A$1000,B$6,History_Q!$C$2:$C$1000,"interest_paid")),History_Q!$E$2:$E$1000,"$m",History_Q!$G$2:$G$1000,"populated")&lt;&gt;4,_xlfn.MAXIFS(History_Q!$B$2:$B$1000,History_Q!$C$2:$C$1000,"base_ebitda",History_Q!$B$2:$B$1000,"&gt;="&amp;((SUMIFS(History_Q!$B$2:$B$1000,History_Q!$A$2:$A$1000,B$6,History_Q!$C$2:$C$1000,"base_ebitda"))-3),History_Q!$B$2:$B$1000,"&lt;="&amp;(SUMIFS(History_Q!$B$2:$B$1000,History_Q!$A$2:$A$1000,B$6,History_Q!$C$2:$C$1000,"base_ebitda")),History_Q!$E$2:$E$1000,"$m",History_Q!$G$2:$G$1000,"populated")-_xlfn.MINIFS(History_Q!$B$2:$B$1000,History_Q!$C$2:$C$1000,"base_ebitda",History_Q!$B$2:$B$1000,"&gt;="&amp;((SUMIFS(History_Q!$B$2:$B$1000,History_Q!$A$2:$A$1000,B$6,History_Q!$C$2:$C$1000,"base_ebitda"))-3),History_Q!$B$2:$B$1000,"&lt;="&amp;(SUMIFS(History_Q!$B$2:$B$1000,History_Q!$A$2:$A$1000,B$6,History_Q!$C$2:$C$1000,"base_ebitda")),History_Q!$E$2:$E$1000,"$m",History_Q!$G$2:$G$1000,"populated")&lt;&gt;3,_xlfn.MAXIFS(History_Q!$B$2:$B$1000,History_Q!$C$2:$C$1000,"interest_paid",History_Q!$B$2:$B$1000,"&gt;="&amp;((SUMIFS(History_Q!$B$2:$B$1000,History_Q!$A$2:$A$1000,B$6,History_Q!$C$2:$C$1000,"interest_paid"))-3),History_Q!$B$2:$B$1000,"&lt;="&amp;(SUMIFS(History_Q!$B$2:$B$1000,History_Q!$A$2:$A$1000,B$6,History_Q!$C$2:$C$1000,"interest_paid")),History_Q!$E$2:$E$1000,"$m",History_Q!$G$2:$G$1000,"populated")-_xlfn.MINIFS(History_Q!$B$2:$B$1000,History_Q!$C$2:$C$1000,"interest_paid",History_Q!$B$2:$B$1000,"&gt;="&amp;((SUMIFS(History_Q!$B$2:$B$1000,History_Q!$A$2:$A$1000,B$6,History_Q!$C$2:$C$1000,"interest_paid"))-3),History_Q!$B$2:$B$1000,"&lt;="&amp;(SUMIFS(History_Q!$B$2:$B$1000,History_Q!$A$2:$A$1000,B$6,History_Q!$C$2:$C$1000,"interest_paid")),History_Q!$E$2:$E$1000,"$m",History_Q!$G$2:$G$1000,"populated")&lt;&gt;3,SUMIFS(History_Q!$D$2:$D$1000,History_Q!$C$2:$C$1000,"interest_paid",History_Q!$B$2:$B$1000,"&gt;="&amp;((SUMIFS(History_Q!$B$2:$B$1000,History_Q!$A$2:$A$1000,B$6,History_Q!$C$2:$C$1000,"interest_paid"))-3),History_Q!$B$2:$B$1000,"&lt;="&amp;(SUMIFS(History_Q!$B$2:$B$1000,History_Q!$A$2:$A$1000,B$6,History_Q!$C$2:$C$1000,"interest_paid")),History_Q!$E$2:$E$1000,"$m",History_Q!$G$2:$G$1000,"populated")=0),"",SUMIFS(History_Q!$D$2:$D$1000,History_Q!$C$2:$C$1000,"base_ebitda",History_Q!$B$2:$B$1000,"&gt;="&amp;((SUMIFS(History_Q!$B$2:$B$1000,History_Q!$A$2:$A$1000,B$6,History_Q!$C$2:$C$1000,"base_ebitda"))-3),History_Q!$B$2:$B$1000,"&lt;="&amp;(SUMIFS(History_Q!$B$2:$B$1000,History_Q!$A$2:$A$1000,B$6,History_Q!$C$2:$C$1000,"base_ebitda")),History_Q!$E$2:$E$1000,"$m",History_Q!$G$2:$G$1000,"populated")/SUMIFS(History_Q!$D$2:$D$1000,History_Q!$C$2:$C$1000,"interest_paid",History_Q!$B$2:$B$1000,"&gt;="&amp;((SUMIFS(History_Q!$B$2:$B$1000,History_Q!$A$2:$A$1000,B$6,History_Q!$C$2:$C$1000,"interest_paid"))-3),History_Q!$B$2:$B$1000,"&lt;="&amp;(SUMIFS(History_Q!$B$2:$B$1000,History_Q!$A$2:$A$1000,B$6,History_Q!$C$2:$C$1000,"interest_paid")),History_Q!$E$2:$E$1000,"$m",History_Q!$G$2:$G$1000,"populated"))</f>
        <v/>
      </c>
      <c r="C89" s="460">
        <f>IF(OR(C$6="",COUNTIFS(History_Q!$C$2:$C$1000,"base_ebitda",History_Q!$B$2:$B$1000,"&gt;="&amp;((SUMIFS(History_Q!$B$2:$B$1000,History_Q!$A$2:$A$1000,C$6,History_Q!$C$2:$C$1000,"base_ebitda"))-3),History_Q!$B$2:$B$1000,"&lt;="&amp;(SUMIFS(History_Q!$B$2:$B$1000,History_Q!$A$2:$A$1000,C$6,History_Q!$C$2:$C$1000,"base_ebitda")),History_Q!$E$2:$E$1000,"$m",History_Q!$G$2:$G$1000,"populated")&lt;&gt;4,COUNTIFS(History_Q!$C$2:$C$1000,"interest_paid",History_Q!$B$2:$B$1000,"&gt;="&amp;((SUMIFS(History_Q!$B$2:$B$1000,History_Q!$A$2:$A$1000,C$6,History_Q!$C$2:$C$1000,"interest_paid"))-3),History_Q!$B$2:$B$1000,"&lt;="&amp;(SUMIFS(History_Q!$B$2:$B$1000,History_Q!$A$2:$A$1000,C$6,History_Q!$C$2:$C$1000,"interest_paid")),History_Q!$E$2:$E$1000,"$m",History_Q!$G$2:$G$1000,"populated")&lt;&gt;4,_xlfn.MAXIFS(History_Q!$B$2:$B$1000,History_Q!$C$2:$C$1000,"base_ebitda",History_Q!$B$2:$B$1000,"&gt;="&amp;((SUMIFS(History_Q!$B$2:$B$1000,History_Q!$A$2:$A$1000,C$6,History_Q!$C$2:$C$1000,"base_ebitda"))-3),History_Q!$B$2:$B$1000,"&lt;="&amp;(SUMIFS(History_Q!$B$2:$B$1000,History_Q!$A$2:$A$1000,C$6,History_Q!$C$2:$C$1000,"base_ebitda")),History_Q!$E$2:$E$1000,"$m",History_Q!$G$2:$G$1000,"populated")-_xlfn.MINIFS(History_Q!$B$2:$B$1000,History_Q!$C$2:$C$1000,"base_ebitda",History_Q!$B$2:$B$1000,"&gt;="&amp;((SUMIFS(History_Q!$B$2:$B$1000,History_Q!$A$2:$A$1000,C$6,History_Q!$C$2:$C$1000,"base_ebitda"))-3),History_Q!$B$2:$B$1000,"&lt;="&amp;(SUMIFS(History_Q!$B$2:$B$1000,History_Q!$A$2:$A$1000,C$6,History_Q!$C$2:$C$1000,"base_ebitda")),History_Q!$E$2:$E$1000,"$m",History_Q!$G$2:$G$1000,"populated")&lt;&gt;3,_xlfn.MAXIFS(History_Q!$B$2:$B$1000,History_Q!$C$2:$C$1000,"interest_paid",History_Q!$B$2:$B$1000,"&gt;="&amp;((SUMIFS(History_Q!$B$2:$B$1000,History_Q!$A$2:$A$1000,C$6,History_Q!$C$2:$C$1000,"interest_paid"))-3),History_Q!$B$2:$B$1000,"&lt;="&amp;(SUMIFS(History_Q!$B$2:$B$1000,History_Q!$A$2:$A$1000,C$6,History_Q!$C$2:$C$1000,"interest_paid")),History_Q!$E$2:$E$1000,"$m",History_Q!$G$2:$G$1000,"populated")-_xlfn.MINIFS(History_Q!$B$2:$B$1000,History_Q!$C$2:$C$1000,"interest_paid",History_Q!$B$2:$B$1000,"&gt;="&amp;((SUMIFS(History_Q!$B$2:$B$1000,History_Q!$A$2:$A$1000,C$6,History_Q!$C$2:$C$1000,"interest_paid"))-3),History_Q!$B$2:$B$1000,"&lt;="&amp;(SUMIFS(History_Q!$B$2:$B$1000,History_Q!$A$2:$A$1000,C$6,History_Q!$C$2:$C$1000,"interest_paid")),History_Q!$E$2:$E$1000,"$m",History_Q!$G$2:$G$1000,"populated")&lt;&gt;3,SUMIFS(History_Q!$D$2:$D$1000,History_Q!$C$2:$C$1000,"interest_paid",History_Q!$B$2:$B$1000,"&gt;="&amp;((SUMIFS(History_Q!$B$2:$B$1000,History_Q!$A$2:$A$1000,C$6,History_Q!$C$2:$C$1000,"interest_paid"))-3),History_Q!$B$2:$B$1000,"&lt;="&amp;(SUMIFS(History_Q!$B$2:$B$1000,History_Q!$A$2:$A$1000,C$6,History_Q!$C$2:$C$1000,"interest_paid")),History_Q!$E$2:$E$1000,"$m",History_Q!$G$2:$G$1000,"populated")=0),"",SUMIFS(History_Q!$D$2:$D$1000,History_Q!$C$2:$C$1000,"base_ebitda",History_Q!$B$2:$B$1000,"&gt;="&amp;((SUMIFS(History_Q!$B$2:$B$1000,History_Q!$A$2:$A$1000,C$6,History_Q!$C$2:$C$1000,"base_ebitda"))-3),History_Q!$B$2:$B$1000,"&lt;="&amp;(SUMIFS(History_Q!$B$2:$B$1000,History_Q!$A$2:$A$1000,C$6,History_Q!$C$2:$C$1000,"base_ebitda")),History_Q!$E$2:$E$1000,"$m",History_Q!$G$2:$G$1000,"populated")/SUMIFS(History_Q!$D$2:$D$1000,History_Q!$C$2:$C$1000,"interest_paid",History_Q!$B$2:$B$1000,"&gt;="&amp;((SUMIFS(History_Q!$B$2:$B$1000,History_Q!$A$2:$A$1000,C$6,History_Q!$C$2:$C$1000,"interest_paid"))-3),History_Q!$B$2:$B$1000,"&lt;="&amp;(SUMIFS(History_Q!$B$2:$B$1000,History_Q!$A$2:$A$1000,C$6,History_Q!$C$2:$C$1000,"interest_paid")),History_Q!$E$2:$E$1000,"$m",History_Q!$G$2:$G$1000,"populated"))</f>
        <v/>
      </c>
      <c r="D89" s="460">
        <f>IF(OR(D$6="",COUNTIFS(History_Q!$C$2:$C$1000,"base_ebitda",History_Q!$B$2:$B$1000,"&gt;="&amp;((SUMIFS(History_Q!$B$2:$B$1000,History_Q!$A$2:$A$1000,D$6,History_Q!$C$2:$C$1000,"base_ebitda"))-3),History_Q!$B$2:$B$1000,"&lt;="&amp;(SUMIFS(History_Q!$B$2:$B$1000,History_Q!$A$2:$A$1000,D$6,History_Q!$C$2:$C$1000,"base_ebitda")),History_Q!$E$2:$E$1000,"$m",History_Q!$G$2:$G$1000,"populated")&lt;&gt;4,COUNTIFS(History_Q!$C$2:$C$1000,"interest_paid",History_Q!$B$2:$B$1000,"&gt;="&amp;((SUMIFS(History_Q!$B$2:$B$1000,History_Q!$A$2:$A$1000,D$6,History_Q!$C$2:$C$1000,"interest_paid"))-3),History_Q!$B$2:$B$1000,"&lt;="&amp;(SUMIFS(History_Q!$B$2:$B$1000,History_Q!$A$2:$A$1000,D$6,History_Q!$C$2:$C$1000,"interest_paid")),History_Q!$E$2:$E$1000,"$m",History_Q!$G$2:$G$1000,"populated")&lt;&gt;4,_xlfn.MAXIFS(History_Q!$B$2:$B$1000,History_Q!$C$2:$C$1000,"base_ebitda",History_Q!$B$2:$B$1000,"&gt;="&amp;((SUMIFS(History_Q!$B$2:$B$1000,History_Q!$A$2:$A$1000,D$6,History_Q!$C$2:$C$1000,"base_ebitda"))-3),History_Q!$B$2:$B$1000,"&lt;="&amp;(SUMIFS(History_Q!$B$2:$B$1000,History_Q!$A$2:$A$1000,D$6,History_Q!$C$2:$C$1000,"base_ebitda")),History_Q!$E$2:$E$1000,"$m",History_Q!$G$2:$G$1000,"populated")-_xlfn.MINIFS(History_Q!$B$2:$B$1000,History_Q!$C$2:$C$1000,"base_ebitda",History_Q!$B$2:$B$1000,"&gt;="&amp;((SUMIFS(History_Q!$B$2:$B$1000,History_Q!$A$2:$A$1000,D$6,History_Q!$C$2:$C$1000,"base_ebitda"))-3),History_Q!$B$2:$B$1000,"&lt;="&amp;(SUMIFS(History_Q!$B$2:$B$1000,History_Q!$A$2:$A$1000,D$6,History_Q!$C$2:$C$1000,"base_ebitda")),History_Q!$E$2:$E$1000,"$m",History_Q!$G$2:$G$1000,"populated")&lt;&gt;3,_xlfn.MAXIFS(History_Q!$B$2:$B$1000,History_Q!$C$2:$C$1000,"interest_paid",History_Q!$B$2:$B$1000,"&gt;="&amp;((SUMIFS(History_Q!$B$2:$B$1000,History_Q!$A$2:$A$1000,D$6,History_Q!$C$2:$C$1000,"interest_paid"))-3),History_Q!$B$2:$B$1000,"&lt;="&amp;(SUMIFS(History_Q!$B$2:$B$1000,History_Q!$A$2:$A$1000,D$6,History_Q!$C$2:$C$1000,"interest_paid")),History_Q!$E$2:$E$1000,"$m",History_Q!$G$2:$G$1000,"populated")-_xlfn.MINIFS(History_Q!$B$2:$B$1000,History_Q!$C$2:$C$1000,"interest_paid",History_Q!$B$2:$B$1000,"&gt;="&amp;((SUMIFS(History_Q!$B$2:$B$1000,History_Q!$A$2:$A$1000,D$6,History_Q!$C$2:$C$1000,"interest_paid"))-3),History_Q!$B$2:$B$1000,"&lt;="&amp;(SUMIFS(History_Q!$B$2:$B$1000,History_Q!$A$2:$A$1000,D$6,History_Q!$C$2:$C$1000,"interest_paid")),History_Q!$E$2:$E$1000,"$m",History_Q!$G$2:$G$1000,"populated")&lt;&gt;3,SUMIFS(History_Q!$D$2:$D$1000,History_Q!$C$2:$C$1000,"interest_paid",History_Q!$B$2:$B$1000,"&gt;="&amp;((SUMIFS(History_Q!$B$2:$B$1000,History_Q!$A$2:$A$1000,D$6,History_Q!$C$2:$C$1000,"interest_paid"))-3),History_Q!$B$2:$B$1000,"&lt;="&amp;(SUMIFS(History_Q!$B$2:$B$1000,History_Q!$A$2:$A$1000,D$6,History_Q!$C$2:$C$1000,"interest_paid")),History_Q!$E$2:$E$1000,"$m",History_Q!$G$2:$G$1000,"populated")=0),"",SUMIFS(History_Q!$D$2:$D$1000,History_Q!$C$2:$C$1000,"base_ebitda",History_Q!$B$2:$B$1000,"&gt;="&amp;((SUMIFS(History_Q!$B$2:$B$1000,History_Q!$A$2:$A$1000,D$6,History_Q!$C$2:$C$1000,"base_ebitda"))-3),History_Q!$B$2:$B$1000,"&lt;="&amp;(SUMIFS(History_Q!$B$2:$B$1000,History_Q!$A$2:$A$1000,D$6,History_Q!$C$2:$C$1000,"base_ebitda")),History_Q!$E$2:$E$1000,"$m",History_Q!$G$2:$G$1000,"populated")/SUMIFS(History_Q!$D$2:$D$1000,History_Q!$C$2:$C$1000,"interest_paid",History_Q!$B$2:$B$1000,"&gt;="&amp;((SUMIFS(History_Q!$B$2:$B$1000,History_Q!$A$2:$A$1000,D$6,History_Q!$C$2:$C$1000,"interest_paid"))-3),History_Q!$B$2:$B$1000,"&lt;="&amp;(SUMIFS(History_Q!$B$2:$B$1000,History_Q!$A$2:$A$1000,D$6,History_Q!$C$2:$C$1000,"interest_paid")),History_Q!$E$2:$E$1000,"$m",History_Q!$G$2:$G$1000,"populated"))</f>
        <v/>
      </c>
      <c r="E89" s="460">
        <f>IF(OR(E$6="",COUNTIFS(History_Q!$C$2:$C$1000,"base_ebitda",History_Q!$B$2:$B$1000,"&gt;="&amp;((SUMIFS(History_Q!$B$2:$B$1000,History_Q!$A$2:$A$1000,E$6,History_Q!$C$2:$C$1000,"base_ebitda"))-3),History_Q!$B$2:$B$1000,"&lt;="&amp;(SUMIFS(History_Q!$B$2:$B$1000,History_Q!$A$2:$A$1000,E$6,History_Q!$C$2:$C$1000,"base_ebitda")),History_Q!$E$2:$E$1000,"$m",History_Q!$G$2:$G$1000,"populated")&lt;&gt;4,COUNTIFS(History_Q!$C$2:$C$1000,"interest_paid",History_Q!$B$2:$B$1000,"&gt;="&amp;((SUMIFS(History_Q!$B$2:$B$1000,History_Q!$A$2:$A$1000,E$6,History_Q!$C$2:$C$1000,"interest_paid"))-3),History_Q!$B$2:$B$1000,"&lt;="&amp;(SUMIFS(History_Q!$B$2:$B$1000,History_Q!$A$2:$A$1000,E$6,History_Q!$C$2:$C$1000,"interest_paid")),History_Q!$E$2:$E$1000,"$m",History_Q!$G$2:$G$1000,"populated")&lt;&gt;4,_xlfn.MAXIFS(History_Q!$B$2:$B$1000,History_Q!$C$2:$C$1000,"base_ebitda",History_Q!$B$2:$B$1000,"&gt;="&amp;((SUMIFS(History_Q!$B$2:$B$1000,History_Q!$A$2:$A$1000,E$6,History_Q!$C$2:$C$1000,"base_ebitda"))-3),History_Q!$B$2:$B$1000,"&lt;="&amp;(SUMIFS(History_Q!$B$2:$B$1000,History_Q!$A$2:$A$1000,E$6,History_Q!$C$2:$C$1000,"base_ebitda")),History_Q!$E$2:$E$1000,"$m",History_Q!$G$2:$G$1000,"populated")-_xlfn.MINIFS(History_Q!$B$2:$B$1000,History_Q!$C$2:$C$1000,"base_ebitda",History_Q!$B$2:$B$1000,"&gt;="&amp;((SUMIFS(History_Q!$B$2:$B$1000,History_Q!$A$2:$A$1000,E$6,History_Q!$C$2:$C$1000,"base_ebitda"))-3),History_Q!$B$2:$B$1000,"&lt;="&amp;(SUMIFS(History_Q!$B$2:$B$1000,History_Q!$A$2:$A$1000,E$6,History_Q!$C$2:$C$1000,"base_ebitda")),History_Q!$E$2:$E$1000,"$m",History_Q!$G$2:$G$1000,"populated")&lt;&gt;3,_xlfn.MAXIFS(History_Q!$B$2:$B$1000,History_Q!$C$2:$C$1000,"interest_paid",History_Q!$B$2:$B$1000,"&gt;="&amp;((SUMIFS(History_Q!$B$2:$B$1000,History_Q!$A$2:$A$1000,E$6,History_Q!$C$2:$C$1000,"interest_paid"))-3),History_Q!$B$2:$B$1000,"&lt;="&amp;(SUMIFS(History_Q!$B$2:$B$1000,History_Q!$A$2:$A$1000,E$6,History_Q!$C$2:$C$1000,"interest_paid")),History_Q!$E$2:$E$1000,"$m",History_Q!$G$2:$G$1000,"populated")-_xlfn.MINIFS(History_Q!$B$2:$B$1000,History_Q!$C$2:$C$1000,"interest_paid",History_Q!$B$2:$B$1000,"&gt;="&amp;((SUMIFS(History_Q!$B$2:$B$1000,History_Q!$A$2:$A$1000,E$6,History_Q!$C$2:$C$1000,"interest_paid"))-3),History_Q!$B$2:$B$1000,"&lt;="&amp;(SUMIFS(History_Q!$B$2:$B$1000,History_Q!$A$2:$A$1000,E$6,History_Q!$C$2:$C$1000,"interest_paid")),History_Q!$E$2:$E$1000,"$m",History_Q!$G$2:$G$1000,"populated")&lt;&gt;3,SUMIFS(History_Q!$D$2:$D$1000,History_Q!$C$2:$C$1000,"interest_paid",History_Q!$B$2:$B$1000,"&gt;="&amp;((SUMIFS(History_Q!$B$2:$B$1000,History_Q!$A$2:$A$1000,E$6,History_Q!$C$2:$C$1000,"interest_paid"))-3),History_Q!$B$2:$B$1000,"&lt;="&amp;(SUMIFS(History_Q!$B$2:$B$1000,History_Q!$A$2:$A$1000,E$6,History_Q!$C$2:$C$1000,"interest_paid")),History_Q!$E$2:$E$1000,"$m",History_Q!$G$2:$G$1000,"populated")=0),"",SUMIFS(History_Q!$D$2:$D$1000,History_Q!$C$2:$C$1000,"base_ebitda",History_Q!$B$2:$B$1000,"&gt;="&amp;((SUMIFS(History_Q!$B$2:$B$1000,History_Q!$A$2:$A$1000,E$6,History_Q!$C$2:$C$1000,"base_ebitda"))-3),History_Q!$B$2:$B$1000,"&lt;="&amp;(SUMIFS(History_Q!$B$2:$B$1000,History_Q!$A$2:$A$1000,E$6,History_Q!$C$2:$C$1000,"base_ebitda")),History_Q!$E$2:$E$1000,"$m",History_Q!$G$2:$G$1000,"populated")/SUMIFS(History_Q!$D$2:$D$1000,History_Q!$C$2:$C$1000,"interest_paid",History_Q!$B$2:$B$1000,"&gt;="&amp;((SUMIFS(History_Q!$B$2:$B$1000,History_Q!$A$2:$A$1000,E$6,History_Q!$C$2:$C$1000,"interest_paid"))-3),History_Q!$B$2:$B$1000,"&lt;="&amp;(SUMIFS(History_Q!$B$2:$B$1000,History_Q!$A$2:$A$1000,E$6,History_Q!$C$2:$C$1000,"interest_paid")),History_Q!$E$2:$E$1000,"$m",History_Q!$G$2:$G$1000,"populated"))</f>
        <v/>
      </c>
      <c r="F89" s="460">
        <f>IF(OR(F$6="",COUNTIFS(History_Q!$C$2:$C$1000,"base_ebitda",History_Q!$B$2:$B$1000,"&gt;="&amp;((SUMIFS(History_Q!$B$2:$B$1000,History_Q!$A$2:$A$1000,F$6,History_Q!$C$2:$C$1000,"base_ebitda"))-3),History_Q!$B$2:$B$1000,"&lt;="&amp;(SUMIFS(History_Q!$B$2:$B$1000,History_Q!$A$2:$A$1000,F$6,History_Q!$C$2:$C$1000,"base_ebitda")),History_Q!$E$2:$E$1000,"$m",History_Q!$G$2:$G$1000,"populated")&lt;&gt;4,COUNTIFS(History_Q!$C$2:$C$1000,"interest_paid",History_Q!$B$2:$B$1000,"&gt;="&amp;((SUMIFS(History_Q!$B$2:$B$1000,History_Q!$A$2:$A$1000,F$6,History_Q!$C$2:$C$1000,"interest_paid"))-3),History_Q!$B$2:$B$1000,"&lt;="&amp;(SUMIFS(History_Q!$B$2:$B$1000,History_Q!$A$2:$A$1000,F$6,History_Q!$C$2:$C$1000,"interest_paid")),History_Q!$E$2:$E$1000,"$m",History_Q!$G$2:$G$1000,"populated")&lt;&gt;4,_xlfn.MAXIFS(History_Q!$B$2:$B$1000,History_Q!$C$2:$C$1000,"base_ebitda",History_Q!$B$2:$B$1000,"&gt;="&amp;((SUMIFS(History_Q!$B$2:$B$1000,History_Q!$A$2:$A$1000,F$6,History_Q!$C$2:$C$1000,"base_ebitda"))-3),History_Q!$B$2:$B$1000,"&lt;="&amp;(SUMIFS(History_Q!$B$2:$B$1000,History_Q!$A$2:$A$1000,F$6,History_Q!$C$2:$C$1000,"base_ebitda")),History_Q!$E$2:$E$1000,"$m",History_Q!$G$2:$G$1000,"populated")-_xlfn.MINIFS(History_Q!$B$2:$B$1000,History_Q!$C$2:$C$1000,"base_ebitda",History_Q!$B$2:$B$1000,"&gt;="&amp;((SUMIFS(History_Q!$B$2:$B$1000,History_Q!$A$2:$A$1000,F$6,History_Q!$C$2:$C$1000,"base_ebitda"))-3),History_Q!$B$2:$B$1000,"&lt;="&amp;(SUMIFS(History_Q!$B$2:$B$1000,History_Q!$A$2:$A$1000,F$6,History_Q!$C$2:$C$1000,"base_ebitda")),History_Q!$E$2:$E$1000,"$m",History_Q!$G$2:$G$1000,"populated")&lt;&gt;3,_xlfn.MAXIFS(History_Q!$B$2:$B$1000,History_Q!$C$2:$C$1000,"interest_paid",History_Q!$B$2:$B$1000,"&gt;="&amp;((SUMIFS(History_Q!$B$2:$B$1000,History_Q!$A$2:$A$1000,F$6,History_Q!$C$2:$C$1000,"interest_paid"))-3),History_Q!$B$2:$B$1000,"&lt;="&amp;(SUMIFS(History_Q!$B$2:$B$1000,History_Q!$A$2:$A$1000,F$6,History_Q!$C$2:$C$1000,"interest_paid")),History_Q!$E$2:$E$1000,"$m",History_Q!$G$2:$G$1000,"populated")-_xlfn.MINIFS(History_Q!$B$2:$B$1000,History_Q!$C$2:$C$1000,"interest_paid",History_Q!$B$2:$B$1000,"&gt;="&amp;((SUMIFS(History_Q!$B$2:$B$1000,History_Q!$A$2:$A$1000,F$6,History_Q!$C$2:$C$1000,"interest_paid"))-3),History_Q!$B$2:$B$1000,"&lt;="&amp;(SUMIFS(History_Q!$B$2:$B$1000,History_Q!$A$2:$A$1000,F$6,History_Q!$C$2:$C$1000,"interest_paid")),History_Q!$E$2:$E$1000,"$m",History_Q!$G$2:$G$1000,"populated")&lt;&gt;3,SUMIFS(History_Q!$D$2:$D$1000,History_Q!$C$2:$C$1000,"interest_paid",History_Q!$B$2:$B$1000,"&gt;="&amp;((SUMIFS(History_Q!$B$2:$B$1000,History_Q!$A$2:$A$1000,F$6,History_Q!$C$2:$C$1000,"interest_paid"))-3),History_Q!$B$2:$B$1000,"&lt;="&amp;(SUMIFS(History_Q!$B$2:$B$1000,History_Q!$A$2:$A$1000,F$6,History_Q!$C$2:$C$1000,"interest_paid")),History_Q!$E$2:$E$1000,"$m",History_Q!$G$2:$G$1000,"populated")=0),"",SUMIFS(History_Q!$D$2:$D$1000,History_Q!$C$2:$C$1000,"base_ebitda",History_Q!$B$2:$B$1000,"&gt;="&amp;((SUMIFS(History_Q!$B$2:$B$1000,History_Q!$A$2:$A$1000,F$6,History_Q!$C$2:$C$1000,"base_ebitda"))-3),History_Q!$B$2:$B$1000,"&lt;="&amp;(SUMIFS(History_Q!$B$2:$B$1000,History_Q!$A$2:$A$1000,F$6,History_Q!$C$2:$C$1000,"base_ebitda")),History_Q!$E$2:$E$1000,"$m",History_Q!$G$2:$G$1000,"populated")/SUMIFS(History_Q!$D$2:$D$1000,History_Q!$C$2:$C$1000,"interest_paid",History_Q!$B$2:$B$1000,"&gt;="&amp;((SUMIFS(History_Q!$B$2:$B$1000,History_Q!$A$2:$A$1000,F$6,History_Q!$C$2:$C$1000,"interest_paid"))-3),History_Q!$B$2:$B$1000,"&lt;="&amp;(SUMIFS(History_Q!$B$2:$B$1000,History_Q!$A$2:$A$1000,F$6,History_Q!$C$2:$C$1000,"interest_paid")),History_Q!$E$2:$E$1000,"$m",History_Q!$G$2:$G$1000,"populated"))</f>
        <v/>
      </c>
      <c r="G89" s="460">
        <f>IF(OR(G$6="",COUNTIFS(History_Q!$C$2:$C$1000,"base_ebitda",History_Q!$B$2:$B$1000,"&gt;="&amp;((SUMIFS(History_Q!$B$2:$B$1000,History_Q!$A$2:$A$1000,G$6,History_Q!$C$2:$C$1000,"base_ebitda"))-3),History_Q!$B$2:$B$1000,"&lt;="&amp;(SUMIFS(History_Q!$B$2:$B$1000,History_Q!$A$2:$A$1000,G$6,History_Q!$C$2:$C$1000,"base_ebitda")),History_Q!$E$2:$E$1000,"$m",History_Q!$G$2:$G$1000,"populated")&lt;&gt;4,COUNTIFS(History_Q!$C$2:$C$1000,"interest_paid",History_Q!$B$2:$B$1000,"&gt;="&amp;((SUMIFS(History_Q!$B$2:$B$1000,History_Q!$A$2:$A$1000,G$6,History_Q!$C$2:$C$1000,"interest_paid"))-3),History_Q!$B$2:$B$1000,"&lt;="&amp;(SUMIFS(History_Q!$B$2:$B$1000,History_Q!$A$2:$A$1000,G$6,History_Q!$C$2:$C$1000,"interest_paid")),History_Q!$E$2:$E$1000,"$m",History_Q!$G$2:$G$1000,"populated")&lt;&gt;4,_xlfn.MAXIFS(History_Q!$B$2:$B$1000,History_Q!$C$2:$C$1000,"base_ebitda",History_Q!$B$2:$B$1000,"&gt;="&amp;((SUMIFS(History_Q!$B$2:$B$1000,History_Q!$A$2:$A$1000,G$6,History_Q!$C$2:$C$1000,"base_ebitda"))-3),History_Q!$B$2:$B$1000,"&lt;="&amp;(SUMIFS(History_Q!$B$2:$B$1000,History_Q!$A$2:$A$1000,G$6,History_Q!$C$2:$C$1000,"base_ebitda")),History_Q!$E$2:$E$1000,"$m",History_Q!$G$2:$G$1000,"populated")-_xlfn.MINIFS(History_Q!$B$2:$B$1000,History_Q!$C$2:$C$1000,"base_ebitda",History_Q!$B$2:$B$1000,"&gt;="&amp;((SUMIFS(History_Q!$B$2:$B$1000,History_Q!$A$2:$A$1000,G$6,History_Q!$C$2:$C$1000,"base_ebitda"))-3),History_Q!$B$2:$B$1000,"&lt;="&amp;(SUMIFS(History_Q!$B$2:$B$1000,History_Q!$A$2:$A$1000,G$6,History_Q!$C$2:$C$1000,"base_ebitda")),History_Q!$E$2:$E$1000,"$m",History_Q!$G$2:$G$1000,"populated")&lt;&gt;3,_xlfn.MAXIFS(History_Q!$B$2:$B$1000,History_Q!$C$2:$C$1000,"interest_paid",History_Q!$B$2:$B$1000,"&gt;="&amp;((SUMIFS(History_Q!$B$2:$B$1000,History_Q!$A$2:$A$1000,G$6,History_Q!$C$2:$C$1000,"interest_paid"))-3),History_Q!$B$2:$B$1000,"&lt;="&amp;(SUMIFS(History_Q!$B$2:$B$1000,History_Q!$A$2:$A$1000,G$6,History_Q!$C$2:$C$1000,"interest_paid")),History_Q!$E$2:$E$1000,"$m",History_Q!$G$2:$G$1000,"populated")-_xlfn.MINIFS(History_Q!$B$2:$B$1000,History_Q!$C$2:$C$1000,"interest_paid",History_Q!$B$2:$B$1000,"&gt;="&amp;((SUMIFS(History_Q!$B$2:$B$1000,History_Q!$A$2:$A$1000,G$6,History_Q!$C$2:$C$1000,"interest_paid"))-3),History_Q!$B$2:$B$1000,"&lt;="&amp;(SUMIFS(History_Q!$B$2:$B$1000,History_Q!$A$2:$A$1000,G$6,History_Q!$C$2:$C$1000,"interest_paid")),History_Q!$E$2:$E$1000,"$m",History_Q!$G$2:$G$1000,"populated")&lt;&gt;3,SUMIFS(History_Q!$D$2:$D$1000,History_Q!$C$2:$C$1000,"interest_paid",History_Q!$B$2:$B$1000,"&gt;="&amp;((SUMIFS(History_Q!$B$2:$B$1000,History_Q!$A$2:$A$1000,G$6,History_Q!$C$2:$C$1000,"interest_paid"))-3),History_Q!$B$2:$B$1000,"&lt;="&amp;(SUMIFS(History_Q!$B$2:$B$1000,History_Q!$A$2:$A$1000,G$6,History_Q!$C$2:$C$1000,"interest_paid")),History_Q!$E$2:$E$1000,"$m",History_Q!$G$2:$G$1000,"populated")=0),"",SUMIFS(History_Q!$D$2:$D$1000,History_Q!$C$2:$C$1000,"base_ebitda",History_Q!$B$2:$B$1000,"&gt;="&amp;((SUMIFS(History_Q!$B$2:$B$1000,History_Q!$A$2:$A$1000,G$6,History_Q!$C$2:$C$1000,"base_ebitda"))-3),History_Q!$B$2:$B$1000,"&lt;="&amp;(SUMIFS(History_Q!$B$2:$B$1000,History_Q!$A$2:$A$1000,G$6,History_Q!$C$2:$C$1000,"base_ebitda")),History_Q!$E$2:$E$1000,"$m",History_Q!$G$2:$G$1000,"populated")/SUMIFS(History_Q!$D$2:$D$1000,History_Q!$C$2:$C$1000,"interest_paid",History_Q!$B$2:$B$1000,"&gt;="&amp;((SUMIFS(History_Q!$B$2:$B$1000,History_Q!$A$2:$A$1000,G$6,History_Q!$C$2:$C$1000,"interest_paid"))-3),History_Q!$B$2:$B$1000,"&lt;="&amp;(SUMIFS(History_Q!$B$2:$B$1000,History_Q!$A$2:$A$1000,G$6,History_Q!$C$2:$C$1000,"interest_paid")),History_Q!$E$2:$E$1000,"$m",History_Q!$G$2:$G$1000,"populated"))</f>
        <v/>
      </c>
      <c r="H89" s="460">
        <f>IF(OR(H$6="",COUNTIFS(History_Q!$C$2:$C$1000,"base_ebitda",History_Q!$B$2:$B$1000,"&gt;="&amp;((SUMIFS(History_Q!$B$2:$B$1000,History_Q!$A$2:$A$1000,H$6,History_Q!$C$2:$C$1000,"base_ebitda"))-3),History_Q!$B$2:$B$1000,"&lt;="&amp;(SUMIFS(History_Q!$B$2:$B$1000,History_Q!$A$2:$A$1000,H$6,History_Q!$C$2:$C$1000,"base_ebitda")),History_Q!$E$2:$E$1000,"$m",History_Q!$G$2:$G$1000,"populated")&lt;&gt;4,COUNTIFS(History_Q!$C$2:$C$1000,"interest_paid",History_Q!$B$2:$B$1000,"&gt;="&amp;((SUMIFS(History_Q!$B$2:$B$1000,History_Q!$A$2:$A$1000,H$6,History_Q!$C$2:$C$1000,"interest_paid"))-3),History_Q!$B$2:$B$1000,"&lt;="&amp;(SUMIFS(History_Q!$B$2:$B$1000,History_Q!$A$2:$A$1000,H$6,History_Q!$C$2:$C$1000,"interest_paid")),History_Q!$E$2:$E$1000,"$m",History_Q!$G$2:$G$1000,"populated")&lt;&gt;4,_xlfn.MAXIFS(History_Q!$B$2:$B$1000,History_Q!$C$2:$C$1000,"base_ebitda",History_Q!$B$2:$B$1000,"&gt;="&amp;((SUMIFS(History_Q!$B$2:$B$1000,History_Q!$A$2:$A$1000,H$6,History_Q!$C$2:$C$1000,"base_ebitda"))-3),History_Q!$B$2:$B$1000,"&lt;="&amp;(SUMIFS(History_Q!$B$2:$B$1000,History_Q!$A$2:$A$1000,H$6,History_Q!$C$2:$C$1000,"base_ebitda")),History_Q!$E$2:$E$1000,"$m",History_Q!$G$2:$G$1000,"populated")-_xlfn.MINIFS(History_Q!$B$2:$B$1000,History_Q!$C$2:$C$1000,"base_ebitda",History_Q!$B$2:$B$1000,"&gt;="&amp;((SUMIFS(History_Q!$B$2:$B$1000,History_Q!$A$2:$A$1000,H$6,History_Q!$C$2:$C$1000,"base_ebitda"))-3),History_Q!$B$2:$B$1000,"&lt;="&amp;(SUMIFS(History_Q!$B$2:$B$1000,History_Q!$A$2:$A$1000,H$6,History_Q!$C$2:$C$1000,"base_ebitda")),History_Q!$E$2:$E$1000,"$m",History_Q!$G$2:$G$1000,"populated")&lt;&gt;3,_xlfn.MAXIFS(History_Q!$B$2:$B$1000,History_Q!$C$2:$C$1000,"interest_paid",History_Q!$B$2:$B$1000,"&gt;="&amp;((SUMIFS(History_Q!$B$2:$B$1000,History_Q!$A$2:$A$1000,H$6,History_Q!$C$2:$C$1000,"interest_paid"))-3),History_Q!$B$2:$B$1000,"&lt;="&amp;(SUMIFS(History_Q!$B$2:$B$1000,History_Q!$A$2:$A$1000,H$6,History_Q!$C$2:$C$1000,"interest_paid")),History_Q!$E$2:$E$1000,"$m",History_Q!$G$2:$G$1000,"populated")-_xlfn.MINIFS(History_Q!$B$2:$B$1000,History_Q!$C$2:$C$1000,"interest_paid",History_Q!$B$2:$B$1000,"&gt;="&amp;((SUMIFS(History_Q!$B$2:$B$1000,History_Q!$A$2:$A$1000,H$6,History_Q!$C$2:$C$1000,"interest_paid"))-3),History_Q!$B$2:$B$1000,"&lt;="&amp;(SUMIFS(History_Q!$B$2:$B$1000,History_Q!$A$2:$A$1000,H$6,History_Q!$C$2:$C$1000,"interest_paid")),History_Q!$E$2:$E$1000,"$m",History_Q!$G$2:$G$1000,"populated")&lt;&gt;3,SUMIFS(History_Q!$D$2:$D$1000,History_Q!$C$2:$C$1000,"interest_paid",History_Q!$B$2:$B$1000,"&gt;="&amp;((SUMIFS(History_Q!$B$2:$B$1000,History_Q!$A$2:$A$1000,H$6,History_Q!$C$2:$C$1000,"interest_paid"))-3),History_Q!$B$2:$B$1000,"&lt;="&amp;(SUMIFS(History_Q!$B$2:$B$1000,History_Q!$A$2:$A$1000,H$6,History_Q!$C$2:$C$1000,"interest_paid")),History_Q!$E$2:$E$1000,"$m",History_Q!$G$2:$G$1000,"populated")=0),"",SUMIFS(History_Q!$D$2:$D$1000,History_Q!$C$2:$C$1000,"base_ebitda",History_Q!$B$2:$B$1000,"&gt;="&amp;((SUMIFS(History_Q!$B$2:$B$1000,History_Q!$A$2:$A$1000,H$6,History_Q!$C$2:$C$1000,"base_ebitda"))-3),History_Q!$B$2:$B$1000,"&lt;="&amp;(SUMIFS(History_Q!$B$2:$B$1000,History_Q!$A$2:$A$1000,H$6,History_Q!$C$2:$C$1000,"base_ebitda")),History_Q!$E$2:$E$1000,"$m",History_Q!$G$2:$G$1000,"populated")/SUMIFS(History_Q!$D$2:$D$1000,History_Q!$C$2:$C$1000,"interest_paid",History_Q!$B$2:$B$1000,"&gt;="&amp;((SUMIFS(History_Q!$B$2:$B$1000,History_Q!$A$2:$A$1000,H$6,History_Q!$C$2:$C$1000,"interest_paid"))-3),History_Q!$B$2:$B$1000,"&lt;="&amp;(SUMIFS(History_Q!$B$2:$B$1000,History_Q!$A$2:$A$1000,H$6,History_Q!$C$2:$C$1000,"interest_paid")),History_Q!$E$2:$E$1000,"$m",History_Q!$G$2:$G$1000,"populated"))</f>
        <v/>
      </c>
      <c r="I89" s="460">
        <f>IF(OR(I$6="",COUNTIFS(History_Q!$C$2:$C$1000,"base_ebitda",History_Q!$B$2:$B$1000,"&gt;="&amp;((SUMIFS(History_Q!$B$2:$B$1000,History_Q!$A$2:$A$1000,I$6,History_Q!$C$2:$C$1000,"base_ebitda"))-3),History_Q!$B$2:$B$1000,"&lt;="&amp;(SUMIFS(History_Q!$B$2:$B$1000,History_Q!$A$2:$A$1000,I$6,History_Q!$C$2:$C$1000,"base_ebitda")),History_Q!$E$2:$E$1000,"$m",History_Q!$G$2:$G$1000,"populated")&lt;&gt;4,COUNTIFS(History_Q!$C$2:$C$1000,"interest_paid",History_Q!$B$2:$B$1000,"&gt;="&amp;((SUMIFS(History_Q!$B$2:$B$1000,History_Q!$A$2:$A$1000,I$6,History_Q!$C$2:$C$1000,"interest_paid"))-3),History_Q!$B$2:$B$1000,"&lt;="&amp;(SUMIFS(History_Q!$B$2:$B$1000,History_Q!$A$2:$A$1000,I$6,History_Q!$C$2:$C$1000,"interest_paid")),History_Q!$E$2:$E$1000,"$m",History_Q!$G$2:$G$1000,"populated")&lt;&gt;4,_xlfn.MAXIFS(History_Q!$B$2:$B$1000,History_Q!$C$2:$C$1000,"base_ebitda",History_Q!$B$2:$B$1000,"&gt;="&amp;((SUMIFS(History_Q!$B$2:$B$1000,History_Q!$A$2:$A$1000,I$6,History_Q!$C$2:$C$1000,"base_ebitda"))-3),History_Q!$B$2:$B$1000,"&lt;="&amp;(SUMIFS(History_Q!$B$2:$B$1000,History_Q!$A$2:$A$1000,I$6,History_Q!$C$2:$C$1000,"base_ebitda")),History_Q!$E$2:$E$1000,"$m",History_Q!$G$2:$G$1000,"populated")-_xlfn.MINIFS(History_Q!$B$2:$B$1000,History_Q!$C$2:$C$1000,"base_ebitda",History_Q!$B$2:$B$1000,"&gt;="&amp;((SUMIFS(History_Q!$B$2:$B$1000,History_Q!$A$2:$A$1000,I$6,History_Q!$C$2:$C$1000,"base_ebitda"))-3),History_Q!$B$2:$B$1000,"&lt;="&amp;(SUMIFS(History_Q!$B$2:$B$1000,History_Q!$A$2:$A$1000,I$6,History_Q!$C$2:$C$1000,"base_ebitda")),History_Q!$E$2:$E$1000,"$m",History_Q!$G$2:$G$1000,"populated")&lt;&gt;3,_xlfn.MAXIFS(History_Q!$B$2:$B$1000,History_Q!$C$2:$C$1000,"interest_paid",History_Q!$B$2:$B$1000,"&gt;="&amp;((SUMIFS(History_Q!$B$2:$B$1000,History_Q!$A$2:$A$1000,I$6,History_Q!$C$2:$C$1000,"interest_paid"))-3),History_Q!$B$2:$B$1000,"&lt;="&amp;(SUMIFS(History_Q!$B$2:$B$1000,History_Q!$A$2:$A$1000,I$6,History_Q!$C$2:$C$1000,"interest_paid")),History_Q!$E$2:$E$1000,"$m",History_Q!$G$2:$G$1000,"populated")-_xlfn.MINIFS(History_Q!$B$2:$B$1000,History_Q!$C$2:$C$1000,"interest_paid",History_Q!$B$2:$B$1000,"&gt;="&amp;((SUMIFS(History_Q!$B$2:$B$1000,History_Q!$A$2:$A$1000,I$6,History_Q!$C$2:$C$1000,"interest_paid"))-3),History_Q!$B$2:$B$1000,"&lt;="&amp;(SUMIFS(History_Q!$B$2:$B$1000,History_Q!$A$2:$A$1000,I$6,History_Q!$C$2:$C$1000,"interest_paid")),History_Q!$E$2:$E$1000,"$m",History_Q!$G$2:$G$1000,"populated")&lt;&gt;3,SUMIFS(History_Q!$D$2:$D$1000,History_Q!$C$2:$C$1000,"interest_paid",History_Q!$B$2:$B$1000,"&gt;="&amp;((SUMIFS(History_Q!$B$2:$B$1000,History_Q!$A$2:$A$1000,I$6,History_Q!$C$2:$C$1000,"interest_paid"))-3),History_Q!$B$2:$B$1000,"&lt;="&amp;(SUMIFS(History_Q!$B$2:$B$1000,History_Q!$A$2:$A$1000,I$6,History_Q!$C$2:$C$1000,"interest_paid")),History_Q!$E$2:$E$1000,"$m",History_Q!$G$2:$G$1000,"populated")=0),"",SUMIFS(History_Q!$D$2:$D$1000,History_Q!$C$2:$C$1000,"base_ebitda",History_Q!$B$2:$B$1000,"&gt;="&amp;((SUMIFS(History_Q!$B$2:$B$1000,History_Q!$A$2:$A$1000,I$6,History_Q!$C$2:$C$1000,"base_ebitda"))-3),History_Q!$B$2:$B$1000,"&lt;="&amp;(SUMIFS(History_Q!$B$2:$B$1000,History_Q!$A$2:$A$1000,I$6,History_Q!$C$2:$C$1000,"base_ebitda")),History_Q!$E$2:$E$1000,"$m",History_Q!$G$2:$G$1000,"populated")/SUMIFS(History_Q!$D$2:$D$1000,History_Q!$C$2:$C$1000,"interest_paid",History_Q!$B$2:$B$1000,"&gt;="&amp;((SUMIFS(History_Q!$B$2:$B$1000,History_Q!$A$2:$A$1000,I$6,History_Q!$C$2:$C$1000,"interest_paid"))-3),History_Q!$B$2:$B$1000,"&lt;="&amp;(SUMIFS(History_Q!$B$2:$B$1000,History_Q!$A$2:$A$1000,I$6,History_Q!$C$2:$C$1000,"interest_paid")),History_Q!$E$2:$E$1000,"$m",History_Q!$G$2:$G$1000,"populated"))</f>
        <v/>
      </c>
      <c r="J89" s="460">
        <f>IF(OR(J$6="",COUNTIFS(History_Q!$C$2:$C$1000,"base_ebitda",History_Q!$B$2:$B$1000,"&gt;="&amp;((SUMIFS(History_Q!$B$2:$B$1000,History_Q!$A$2:$A$1000,J$6,History_Q!$C$2:$C$1000,"base_ebitda"))-3),History_Q!$B$2:$B$1000,"&lt;="&amp;(SUMIFS(History_Q!$B$2:$B$1000,History_Q!$A$2:$A$1000,J$6,History_Q!$C$2:$C$1000,"base_ebitda")),History_Q!$E$2:$E$1000,"$m",History_Q!$G$2:$G$1000,"populated")&lt;&gt;4,COUNTIFS(History_Q!$C$2:$C$1000,"interest_paid",History_Q!$B$2:$B$1000,"&gt;="&amp;((SUMIFS(History_Q!$B$2:$B$1000,History_Q!$A$2:$A$1000,J$6,History_Q!$C$2:$C$1000,"interest_paid"))-3),History_Q!$B$2:$B$1000,"&lt;="&amp;(SUMIFS(History_Q!$B$2:$B$1000,History_Q!$A$2:$A$1000,J$6,History_Q!$C$2:$C$1000,"interest_paid")),History_Q!$E$2:$E$1000,"$m",History_Q!$G$2:$G$1000,"populated")&lt;&gt;4,_xlfn.MAXIFS(History_Q!$B$2:$B$1000,History_Q!$C$2:$C$1000,"base_ebitda",History_Q!$B$2:$B$1000,"&gt;="&amp;((SUMIFS(History_Q!$B$2:$B$1000,History_Q!$A$2:$A$1000,J$6,History_Q!$C$2:$C$1000,"base_ebitda"))-3),History_Q!$B$2:$B$1000,"&lt;="&amp;(SUMIFS(History_Q!$B$2:$B$1000,History_Q!$A$2:$A$1000,J$6,History_Q!$C$2:$C$1000,"base_ebitda")),History_Q!$E$2:$E$1000,"$m",History_Q!$G$2:$G$1000,"populated")-_xlfn.MINIFS(History_Q!$B$2:$B$1000,History_Q!$C$2:$C$1000,"base_ebitda",History_Q!$B$2:$B$1000,"&gt;="&amp;((SUMIFS(History_Q!$B$2:$B$1000,History_Q!$A$2:$A$1000,J$6,History_Q!$C$2:$C$1000,"base_ebitda"))-3),History_Q!$B$2:$B$1000,"&lt;="&amp;(SUMIFS(History_Q!$B$2:$B$1000,History_Q!$A$2:$A$1000,J$6,History_Q!$C$2:$C$1000,"base_ebitda")),History_Q!$E$2:$E$1000,"$m",History_Q!$G$2:$G$1000,"populated")&lt;&gt;3,_xlfn.MAXIFS(History_Q!$B$2:$B$1000,History_Q!$C$2:$C$1000,"interest_paid",History_Q!$B$2:$B$1000,"&gt;="&amp;((SUMIFS(History_Q!$B$2:$B$1000,History_Q!$A$2:$A$1000,J$6,History_Q!$C$2:$C$1000,"interest_paid"))-3),History_Q!$B$2:$B$1000,"&lt;="&amp;(SUMIFS(History_Q!$B$2:$B$1000,History_Q!$A$2:$A$1000,J$6,History_Q!$C$2:$C$1000,"interest_paid")),History_Q!$E$2:$E$1000,"$m",History_Q!$G$2:$G$1000,"populated")-_xlfn.MINIFS(History_Q!$B$2:$B$1000,History_Q!$C$2:$C$1000,"interest_paid",History_Q!$B$2:$B$1000,"&gt;="&amp;((SUMIFS(History_Q!$B$2:$B$1000,History_Q!$A$2:$A$1000,J$6,History_Q!$C$2:$C$1000,"interest_paid"))-3),History_Q!$B$2:$B$1000,"&lt;="&amp;(SUMIFS(History_Q!$B$2:$B$1000,History_Q!$A$2:$A$1000,J$6,History_Q!$C$2:$C$1000,"interest_paid")),History_Q!$E$2:$E$1000,"$m",History_Q!$G$2:$G$1000,"populated")&lt;&gt;3,SUMIFS(History_Q!$D$2:$D$1000,History_Q!$C$2:$C$1000,"interest_paid",History_Q!$B$2:$B$1000,"&gt;="&amp;((SUMIFS(History_Q!$B$2:$B$1000,History_Q!$A$2:$A$1000,J$6,History_Q!$C$2:$C$1000,"interest_paid"))-3),History_Q!$B$2:$B$1000,"&lt;="&amp;(SUMIFS(History_Q!$B$2:$B$1000,History_Q!$A$2:$A$1000,J$6,History_Q!$C$2:$C$1000,"interest_paid")),History_Q!$E$2:$E$1000,"$m",History_Q!$G$2:$G$1000,"populated")=0),"",SUMIFS(History_Q!$D$2:$D$1000,History_Q!$C$2:$C$1000,"base_ebitda",History_Q!$B$2:$B$1000,"&gt;="&amp;((SUMIFS(History_Q!$B$2:$B$1000,History_Q!$A$2:$A$1000,J$6,History_Q!$C$2:$C$1000,"base_ebitda"))-3),History_Q!$B$2:$B$1000,"&lt;="&amp;(SUMIFS(History_Q!$B$2:$B$1000,History_Q!$A$2:$A$1000,J$6,History_Q!$C$2:$C$1000,"base_ebitda")),History_Q!$E$2:$E$1000,"$m",History_Q!$G$2:$G$1000,"populated")/SUMIFS(History_Q!$D$2:$D$1000,History_Q!$C$2:$C$1000,"interest_paid",History_Q!$B$2:$B$1000,"&gt;="&amp;((SUMIFS(History_Q!$B$2:$B$1000,History_Q!$A$2:$A$1000,J$6,History_Q!$C$2:$C$1000,"interest_paid"))-3),History_Q!$B$2:$B$1000,"&lt;="&amp;(SUMIFS(History_Q!$B$2:$B$1000,History_Q!$A$2:$A$1000,J$6,History_Q!$C$2:$C$1000,"interest_paid")),History_Q!$E$2:$E$1000,"$m",History_Q!$G$2:$G$1000,"populated"))</f>
        <v/>
      </c>
      <c r="K89" s="460">
        <f>IF(OR(K$6="",COUNTIFS(History_Q!$C$2:$C$1000,"base_ebitda",History_Q!$B$2:$B$1000,"&gt;="&amp;((SUMIFS(History_Q!$B$2:$B$1000,History_Q!$A$2:$A$1000,K$6,History_Q!$C$2:$C$1000,"base_ebitda"))-3),History_Q!$B$2:$B$1000,"&lt;="&amp;(SUMIFS(History_Q!$B$2:$B$1000,History_Q!$A$2:$A$1000,K$6,History_Q!$C$2:$C$1000,"base_ebitda")),History_Q!$E$2:$E$1000,"$m",History_Q!$G$2:$G$1000,"populated")&lt;&gt;4,COUNTIFS(History_Q!$C$2:$C$1000,"interest_paid",History_Q!$B$2:$B$1000,"&gt;="&amp;((SUMIFS(History_Q!$B$2:$B$1000,History_Q!$A$2:$A$1000,K$6,History_Q!$C$2:$C$1000,"interest_paid"))-3),History_Q!$B$2:$B$1000,"&lt;="&amp;(SUMIFS(History_Q!$B$2:$B$1000,History_Q!$A$2:$A$1000,K$6,History_Q!$C$2:$C$1000,"interest_paid")),History_Q!$E$2:$E$1000,"$m",History_Q!$G$2:$G$1000,"populated")&lt;&gt;4,_xlfn.MAXIFS(History_Q!$B$2:$B$1000,History_Q!$C$2:$C$1000,"base_ebitda",History_Q!$B$2:$B$1000,"&gt;="&amp;((SUMIFS(History_Q!$B$2:$B$1000,History_Q!$A$2:$A$1000,K$6,History_Q!$C$2:$C$1000,"base_ebitda"))-3),History_Q!$B$2:$B$1000,"&lt;="&amp;(SUMIFS(History_Q!$B$2:$B$1000,History_Q!$A$2:$A$1000,K$6,History_Q!$C$2:$C$1000,"base_ebitda")),History_Q!$E$2:$E$1000,"$m",History_Q!$G$2:$G$1000,"populated")-_xlfn.MINIFS(History_Q!$B$2:$B$1000,History_Q!$C$2:$C$1000,"base_ebitda",History_Q!$B$2:$B$1000,"&gt;="&amp;((SUMIFS(History_Q!$B$2:$B$1000,History_Q!$A$2:$A$1000,K$6,History_Q!$C$2:$C$1000,"base_ebitda"))-3),History_Q!$B$2:$B$1000,"&lt;="&amp;(SUMIFS(History_Q!$B$2:$B$1000,History_Q!$A$2:$A$1000,K$6,History_Q!$C$2:$C$1000,"base_ebitda")),History_Q!$E$2:$E$1000,"$m",History_Q!$G$2:$G$1000,"populated")&lt;&gt;3,_xlfn.MAXIFS(History_Q!$B$2:$B$1000,History_Q!$C$2:$C$1000,"interest_paid",History_Q!$B$2:$B$1000,"&gt;="&amp;((SUMIFS(History_Q!$B$2:$B$1000,History_Q!$A$2:$A$1000,K$6,History_Q!$C$2:$C$1000,"interest_paid"))-3),History_Q!$B$2:$B$1000,"&lt;="&amp;(SUMIFS(History_Q!$B$2:$B$1000,History_Q!$A$2:$A$1000,K$6,History_Q!$C$2:$C$1000,"interest_paid")),History_Q!$E$2:$E$1000,"$m",History_Q!$G$2:$G$1000,"populated")-_xlfn.MINIFS(History_Q!$B$2:$B$1000,History_Q!$C$2:$C$1000,"interest_paid",History_Q!$B$2:$B$1000,"&gt;="&amp;((SUMIFS(History_Q!$B$2:$B$1000,History_Q!$A$2:$A$1000,K$6,History_Q!$C$2:$C$1000,"interest_paid"))-3),History_Q!$B$2:$B$1000,"&lt;="&amp;(SUMIFS(History_Q!$B$2:$B$1000,History_Q!$A$2:$A$1000,K$6,History_Q!$C$2:$C$1000,"interest_paid")),History_Q!$E$2:$E$1000,"$m",History_Q!$G$2:$G$1000,"populated")&lt;&gt;3,SUMIFS(History_Q!$D$2:$D$1000,History_Q!$C$2:$C$1000,"interest_paid",History_Q!$B$2:$B$1000,"&gt;="&amp;((SUMIFS(History_Q!$B$2:$B$1000,History_Q!$A$2:$A$1000,K$6,History_Q!$C$2:$C$1000,"interest_paid"))-3),History_Q!$B$2:$B$1000,"&lt;="&amp;(SUMIFS(History_Q!$B$2:$B$1000,History_Q!$A$2:$A$1000,K$6,History_Q!$C$2:$C$1000,"interest_paid")),History_Q!$E$2:$E$1000,"$m",History_Q!$G$2:$G$1000,"populated")=0),"",SUMIFS(History_Q!$D$2:$D$1000,History_Q!$C$2:$C$1000,"base_ebitda",History_Q!$B$2:$B$1000,"&gt;="&amp;((SUMIFS(History_Q!$B$2:$B$1000,History_Q!$A$2:$A$1000,K$6,History_Q!$C$2:$C$1000,"base_ebitda"))-3),History_Q!$B$2:$B$1000,"&lt;="&amp;(SUMIFS(History_Q!$B$2:$B$1000,History_Q!$A$2:$A$1000,K$6,History_Q!$C$2:$C$1000,"base_ebitda")),History_Q!$E$2:$E$1000,"$m",History_Q!$G$2:$G$1000,"populated")/SUMIFS(History_Q!$D$2:$D$1000,History_Q!$C$2:$C$1000,"interest_paid",History_Q!$B$2:$B$1000,"&gt;="&amp;((SUMIFS(History_Q!$B$2:$B$1000,History_Q!$A$2:$A$1000,K$6,History_Q!$C$2:$C$1000,"interest_paid"))-3),History_Q!$B$2:$B$1000,"&lt;="&amp;(SUMIFS(History_Q!$B$2:$B$1000,History_Q!$A$2:$A$1000,K$6,History_Q!$C$2:$C$1000,"interest_paid")),History_Q!$E$2:$E$1000,"$m",History_Q!$G$2:$G$1000,"populated"))</f>
        <v/>
      </c>
      <c r="L89" s="460">
        <f>IF(OR(L$6="",COUNTIFS(History_Q!$C$2:$C$1000,"base_ebitda",History_Q!$B$2:$B$1000,"&gt;="&amp;((SUMIFS(History_Q!$B$2:$B$1000,History_Q!$A$2:$A$1000,L$6,History_Q!$C$2:$C$1000,"base_ebitda"))-3),History_Q!$B$2:$B$1000,"&lt;="&amp;(SUMIFS(History_Q!$B$2:$B$1000,History_Q!$A$2:$A$1000,L$6,History_Q!$C$2:$C$1000,"base_ebitda")),History_Q!$E$2:$E$1000,"$m",History_Q!$G$2:$G$1000,"populated")&lt;&gt;4,COUNTIFS(History_Q!$C$2:$C$1000,"interest_paid",History_Q!$B$2:$B$1000,"&gt;="&amp;((SUMIFS(History_Q!$B$2:$B$1000,History_Q!$A$2:$A$1000,L$6,History_Q!$C$2:$C$1000,"interest_paid"))-3),History_Q!$B$2:$B$1000,"&lt;="&amp;(SUMIFS(History_Q!$B$2:$B$1000,History_Q!$A$2:$A$1000,L$6,History_Q!$C$2:$C$1000,"interest_paid")),History_Q!$E$2:$E$1000,"$m",History_Q!$G$2:$G$1000,"populated")&lt;&gt;4,_xlfn.MAXIFS(History_Q!$B$2:$B$1000,History_Q!$C$2:$C$1000,"base_ebitda",History_Q!$B$2:$B$1000,"&gt;="&amp;((SUMIFS(History_Q!$B$2:$B$1000,History_Q!$A$2:$A$1000,L$6,History_Q!$C$2:$C$1000,"base_ebitda"))-3),History_Q!$B$2:$B$1000,"&lt;="&amp;(SUMIFS(History_Q!$B$2:$B$1000,History_Q!$A$2:$A$1000,L$6,History_Q!$C$2:$C$1000,"base_ebitda")),History_Q!$E$2:$E$1000,"$m",History_Q!$G$2:$G$1000,"populated")-_xlfn.MINIFS(History_Q!$B$2:$B$1000,History_Q!$C$2:$C$1000,"base_ebitda",History_Q!$B$2:$B$1000,"&gt;="&amp;((SUMIFS(History_Q!$B$2:$B$1000,History_Q!$A$2:$A$1000,L$6,History_Q!$C$2:$C$1000,"base_ebitda"))-3),History_Q!$B$2:$B$1000,"&lt;="&amp;(SUMIFS(History_Q!$B$2:$B$1000,History_Q!$A$2:$A$1000,L$6,History_Q!$C$2:$C$1000,"base_ebitda")),History_Q!$E$2:$E$1000,"$m",History_Q!$G$2:$G$1000,"populated")&lt;&gt;3,_xlfn.MAXIFS(History_Q!$B$2:$B$1000,History_Q!$C$2:$C$1000,"interest_paid",History_Q!$B$2:$B$1000,"&gt;="&amp;((SUMIFS(History_Q!$B$2:$B$1000,History_Q!$A$2:$A$1000,L$6,History_Q!$C$2:$C$1000,"interest_paid"))-3),History_Q!$B$2:$B$1000,"&lt;="&amp;(SUMIFS(History_Q!$B$2:$B$1000,History_Q!$A$2:$A$1000,L$6,History_Q!$C$2:$C$1000,"interest_paid")),History_Q!$E$2:$E$1000,"$m",History_Q!$G$2:$G$1000,"populated")-_xlfn.MINIFS(History_Q!$B$2:$B$1000,History_Q!$C$2:$C$1000,"interest_paid",History_Q!$B$2:$B$1000,"&gt;="&amp;((SUMIFS(History_Q!$B$2:$B$1000,History_Q!$A$2:$A$1000,L$6,History_Q!$C$2:$C$1000,"interest_paid"))-3),History_Q!$B$2:$B$1000,"&lt;="&amp;(SUMIFS(History_Q!$B$2:$B$1000,History_Q!$A$2:$A$1000,L$6,History_Q!$C$2:$C$1000,"interest_paid")),History_Q!$E$2:$E$1000,"$m",History_Q!$G$2:$G$1000,"populated")&lt;&gt;3,SUMIFS(History_Q!$D$2:$D$1000,History_Q!$C$2:$C$1000,"interest_paid",History_Q!$B$2:$B$1000,"&gt;="&amp;((SUMIFS(History_Q!$B$2:$B$1000,History_Q!$A$2:$A$1000,L$6,History_Q!$C$2:$C$1000,"interest_paid"))-3),History_Q!$B$2:$B$1000,"&lt;="&amp;(SUMIFS(History_Q!$B$2:$B$1000,History_Q!$A$2:$A$1000,L$6,History_Q!$C$2:$C$1000,"interest_paid")),History_Q!$E$2:$E$1000,"$m",History_Q!$G$2:$G$1000,"populated")=0),"",SUMIFS(History_Q!$D$2:$D$1000,History_Q!$C$2:$C$1000,"base_ebitda",History_Q!$B$2:$B$1000,"&gt;="&amp;((SUMIFS(History_Q!$B$2:$B$1000,History_Q!$A$2:$A$1000,L$6,History_Q!$C$2:$C$1000,"base_ebitda"))-3),History_Q!$B$2:$B$1000,"&lt;="&amp;(SUMIFS(History_Q!$B$2:$B$1000,History_Q!$A$2:$A$1000,L$6,History_Q!$C$2:$C$1000,"base_ebitda")),History_Q!$E$2:$E$1000,"$m",History_Q!$G$2:$G$1000,"populated")/SUMIFS(History_Q!$D$2:$D$1000,History_Q!$C$2:$C$1000,"interest_paid",History_Q!$B$2:$B$1000,"&gt;="&amp;((SUMIFS(History_Q!$B$2:$B$1000,History_Q!$A$2:$A$1000,L$6,History_Q!$C$2:$C$1000,"interest_paid"))-3),History_Q!$B$2:$B$1000,"&lt;="&amp;(SUMIFS(History_Q!$B$2:$B$1000,History_Q!$A$2:$A$1000,L$6,History_Q!$C$2:$C$1000,"interest_paid")),History_Q!$E$2:$E$1000,"$m",History_Q!$G$2:$G$1000,"populated"))</f>
        <v/>
      </c>
      <c r="M89" s="460">
        <f>IF(OR(M$6="",COUNTIFS(History_Q!$C$2:$C$1000,"base_ebitda",History_Q!$B$2:$B$1000,"&gt;="&amp;((SUMIFS(History_Q!$B$2:$B$1000,History_Q!$A$2:$A$1000,M$6,History_Q!$C$2:$C$1000,"base_ebitda"))-3),History_Q!$B$2:$B$1000,"&lt;="&amp;(SUMIFS(History_Q!$B$2:$B$1000,History_Q!$A$2:$A$1000,M$6,History_Q!$C$2:$C$1000,"base_ebitda")),History_Q!$E$2:$E$1000,"$m",History_Q!$G$2:$G$1000,"populated")&lt;&gt;4,COUNTIFS(History_Q!$C$2:$C$1000,"interest_paid",History_Q!$B$2:$B$1000,"&gt;="&amp;((SUMIFS(History_Q!$B$2:$B$1000,History_Q!$A$2:$A$1000,M$6,History_Q!$C$2:$C$1000,"interest_paid"))-3),History_Q!$B$2:$B$1000,"&lt;="&amp;(SUMIFS(History_Q!$B$2:$B$1000,History_Q!$A$2:$A$1000,M$6,History_Q!$C$2:$C$1000,"interest_paid")),History_Q!$E$2:$E$1000,"$m",History_Q!$G$2:$G$1000,"populated")&lt;&gt;4,_xlfn.MAXIFS(History_Q!$B$2:$B$1000,History_Q!$C$2:$C$1000,"base_ebitda",History_Q!$B$2:$B$1000,"&gt;="&amp;((SUMIFS(History_Q!$B$2:$B$1000,History_Q!$A$2:$A$1000,M$6,History_Q!$C$2:$C$1000,"base_ebitda"))-3),History_Q!$B$2:$B$1000,"&lt;="&amp;(SUMIFS(History_Q!$B$2:$B$1000,History_Q!$A$2:$A$1000,M$6,History_Q!$C$2:$C$1000,"base_ebitda")),History_Q!$E$2:$E$1000,"$m",History_Q!$G$2:$G$1000,"populated")-_xlfn.MINIFS(History_Q!$B$2:$B$1000,History_Q!$C$2:$C$1000,"base_ebitda",History_Q!$B$2:$B$1000,"&gt;="&amp;((SUMIFS(History_Q!$B$2:$B$1000,History_Q!$A$2:$A$1000,M$6,History_Q!$C$2:$C$1000,"base_ebitda"))-3),History_Q!$B$2:$B$1000,"&lt;="&amp;(SUMIFS(History_Q!$B$2:$B$1000,History_Q!$A$2:$A$1000,M$6,History_Q!$C$2:$C$1000,"base_ebitda")),History_Q!$E$2:$E$1000,"$m",History_Q!$G$2:$G$1000,"populated")&lt;&gt;3,_xlfn.MAXIFS(History_Q!$B$2:$B$1000,History_Q!$C$2:$C$1000,"interest_paid",History_Q!$B$2:$B$1000,"&gt;="&amp;((SUMIFS(History_Q!$B$2:$B$1000,History_Q!$A$2:$A$1000,M$6,History_Q!$C$2:$C$1000,"interest_paid"))-3),History_Q!$B$2:$B$1000,"&lt;="&amp;(SUMIFS(History_Q!$B$2:$B$1000,History_Q!$A$2:$A$1000,M$6,History_Q!$C$2:$C$1000,"interest_paid")),History_Q!$E$2:$E$1000,"$m",History_Q!$G$2:$G$1000,"populated")-_xlfn.MINIFS(History_Q!$B$2:$B$1000,History_Q!$C$2:$C$1000,"interest_paid",History_Q!$B$2:$B$1000,"&gt;="&amp;((SUMIFS(History_Q!$B$2:$B$1000,History_Q!$A$2:$A$1000,M$6,History_Q!$C$2:$C$1000,"interest_paid"))-3),History_Q!$B$2:$B$1000,"&lt;="&amp;(SUMIFS(History_Q!$B$2:$B$1000,History_Q!$A$2:$A$1000,M$6,History_Q!$C$2:$C$1000,"interest_paid")),History_Q!$E$2:$E$1000,"$m",History_Q!$G$2:$G$1000,"populated")&lt;&gt;3,SUMIFS(History_Q!$D$2:$D$1000,History_Q!$C$2:$C$1000,"interest_paid",History_Q!$B$2:$B$1000,"&gt;="&amp;((SUMIFS(History_Q!$B$2:$B$1000,History_Q!$A$2:$A$1000,M$6,History_Q!$C$2:$C$1000,"interest_paid"))-3),History_Q!$B$2:$B$1000,"&lt;="&amp;(SUMIFS(History_Q!$B$2:$B$1000,History_Q!$A$2:$A$1000,M$6,History_Q!$C$2:$C$1000,"interest_paid")),History_Q!$E$2:$E$1000,"$m",History_Q!$G$2:$G$1000,"populated")=0),"",SUMIFS(History_Q!$D$2:$D$1000,History_Q!$C$2:$C$1000,"base_ebitda",History_Q!$B$2:$B$1000,"&gt;="&amp;((SUMIFS(History_Q!$B$2:$B$1000,History_Q!$A$2:$A$1000,M$6,History_Q!$C$2:$C$1000,"base_ebitda"))-3),History_Q!$B$2:$B$1000,"&lt;="&amp;(SUMIFS(History_Q!$B$2:$B$1000,History_Q!$A$2:$A$1000,M$6,History_Q!$C$2:$C$1000,"base_ebitda")),History_Q!$E$2:$E$1000,"$m",History_Q!$G$2:$G$1000,"populated")/SUMIFS(History_Q!$D$2:$D$1000,History_Q!$C$2:$C$1000,"interest_paid",History_Q!$B$2:$B$1000,"&gt;="&amp;((SUMIFS(History_Q!$B$2:$B$1000,History_Q!$A$2:$A$1000,M$6,History_Q!$C$2:$C$1000,"interest_paid"))-3),History_Q!$B$2:$B$1000,"&lt;="&amp;(SUMIFS(History_Q!$B$2:$B$1000,History_Q!$A$2:$A$1000,M$6,History_Q!$C$2:$C$1000,"interest_paid")),History_Q!$E$2:$E$1000,"$m",History_Q!$G$2:$G$1000,"populated"))</f>
        <v/>
      </c>
      <c r="N89" s="22" t="n"/>
      <c r="O89" s="28" t="n"/>
      <c r="P89" s="28" t="n"/>
      <c r="Q89" s="28" t="n"/>
      <c r="R89" s="28" t="n"/>
      <c r="S89" s="28" t="n"/>
      <c r="T89" s="28" t="n"/>
      <c r="U89" s="28" t="n"/>
      <c r="V89" s="28" t="n"/>
      <c r="W89" s="28" t="n"/>
      <c r="X89" s="28" t="n"/>
      <c r="Y89" s="28" t="n"/>
      <c r="Z89" s="28" t="n"/>
      <c r="AA89" s="28" t="n"/>
      <c r="AB89" s="28" t="n"/>
      <c r="AC89" s="28" t="n"/>
      <c r="AD89" s="22" t="n"/>
      <c r="AE89" s="22" t="n"/>
      <c r="AF89" s="22" t="n"/>
      <c r="AG89" s="22" t="n"/>
      <c r="AH89" s="22" t="n"/>
      <c r="AI89" s="22" t="n"/>
    </row>
    <row r="90" ht="19.5" customHeight="1">
      <c r="A90" s="48" t="inlineStr">
        <is>
          <t>FCF conversion (TTM)</t>
        </is>
      </c>
      <c r="B90" s="451">
        <f>IF(OR(B49="",B21="",B21=0),"",B49/B21)</f>
        <v/>
      </c>
      <c r="C90" s="451">
        <f>IF(OR(C49="",C21="",C21=0),"",C49/C21)</f>
        <v/>
      </c>
      <c r="D90" s="451">
        <f>IF(OR(D49="",D21="",D21=0),"",D49/D21)</f>
        <v/>
      </c>
      <c r="E90" s="451">
        <f>IF(OR(E49="",E21="",E21=0),"",E49/E21)</f>
        <v/>
      </c>
      <c r="F90" s="451">
        <f>IF(OR(F49="",F21="",F21=0),"",F49/F21)</f>
        <v/>
      </c>
      <c r="G90" s="451">
        <f>IF(OR(G49="",G21="",G21=0),"",G49/G21)</f>
        <v/>
      </c>
      <c r="H90" s="451">
        <f>IF(OR(H49="",H21="",H21=0),"",H49/H21)</f>
        <v/>
      </c>
      <c r="I90" s="451">
        <f>IF(OR(I49="",I21="",I21=0),"",I49/I21)</f>
        <v/>
      </c>
      <c r="J90" s="451">
        <f>IF(OR(J49="",J21="",J21=0),"",J49/J21)</f>
        <v/>
      </c>
      <c r="K90" s="451">
        <f>IF(OR(K49="",K21="",K21=0),"",K49/K21)</f>
        <v/>
      </c>
      <c r="L90" s="451">
        <f>IF(OR(L49="",L21="",L21=0),"",L49/L21)</f>
        <v/>
      </c>
      <c r="M90" s="451">
        <f>IF(OR(M49="",M21="",M21=0),"",M49/M21)</f>
        <v/>
      </c>
      <c r="N90" s="22" t="n"/>
      <c r="O90" s="28" t="n"/>
      <c r="P90" s="28" t="n"/>
      <c r="Q90" s="28" t="n"/>
      <c r="R90" s="28" t="n"/>
      <c r="S90" s="28" t="n"/>
      <c r="T90" s="28" t="n"/>
      <c r="U90" s="28" t="n"/>
      <c r="V90" s="28" t="n"/>
      <c r="W90" s="28" t="n"/>
      <c r="X90" s="28" t="n"/>
      <c r="Y90" s="28" t="n"/>
      <c r="Z90" s="28" t="n"/>
      <c r="AA90" s="28" t="n"/>
      <c r="AB90" s="28" t="n"/>
      <c r="AC90" s="28" t="n"/>
      <c r="AD90" s="22" t="n"/>
      <c r="AE90" s="22" t="n"/>
      <c r="AF90" s="22" t="n"/>
      <c r="AG90" s="22" t="n"/>
      <c r="AH90" s="22" t="n"/>
      <c r="AI90" s="22" t="n"/>
    </row>
    <row r="91" ht="19.5" customHeight="1">
      <c r="A91" s="96" t="inlineStr">
        <is>
          <t>Revolver / liquidity</t>
        </is>
      </c>
      <c r="B91" s="104" t="n"/>
      <c r="C91" s="104" t="n"/>
      <c r="D91" s="104" t="n"/>
      <c r="E91" s="104" t="n"/>
      <c r="F91" s="104" t="n"/>
      <c r="G91" s="104" t="n"/>
      <c r="H91" s="104" t="n"/>
      <c r="I91" s="104" t="n"/>
      <c r="J91" s="104" t="n"/>
      <c r="K91" s="104" t="n"/>
      <c r="L91" s="104" t="n"/>
      <c r="M91" s="105" t="n"/>
      <c r="N91" s="22" t="n"/>
      <c r="O91" s="28" t="n"/>
      <c r="P91" s="28" t="n"/>
      <c r="Q91" s="28" t="n"/>
      <c r="R91" s="28" t="n"/>
      <c r="S91" s="28" t="n"/>
      <c r="T91" s="28" t="n"/>
      <c r="U91" s="28" t="n"/>
      <c r="V91" s="28" t="n"/>
      <c r="W91" s="28" t="n"/>
      <c r="X91" s="28" t="n"/>
      <c r="Y91" s="28" t="n"/>
      <c r="Z91" s="28" t="n"/>
      <c r="AA91" s="28" t="n"/>
      <c r="AB91" s="28" t="n"/>
      <c r="AC91" s="28" t="n"/>
      <c r="AD91" s="22" t="n"/>
      <c r="AE91" s="22" t="n"/>
      <c r="AF91" s="22" t="n"/>
      <c r="AG91" s="22" t="n"/>
      <c r="AH91" s="22" t="n"/>
      <c r="AI91" s="22" t="n"/>
    </row>
    <row r="92" ht="19.5" customHeight="1">
      <c r="A92" s="48" t="inlineStr">
        <is>
          <t>Revolver facility size</t>
        </is>
      </c>
      <c r="B92" s="62" t="n"/>
      <c r="C92" s="62" t="n"/>
      <c r="D92" s="62" t="n"/>
      <c r="E92" s="62" t="n"/>
      <c r="F92" s="62" t="n"/>
      <c r="G92" s="62" t="n"/>
      <c r="H92" s="62" t="n"/>
      <c r="I92" s="62" t="n"/>
      <c r="J92" s="62" t="n"/>
      <c r="K92" s="62" t="n"/>
      <c r="L92" s="62" t="n"/>
      <c r="M92" s="62" t="n"/>
      <c r="N92" s="22" t="n"/>
      <c r="O92" s="28" t="n"/>
      <c r="P92" s="28" t="n"/>
      <c r="Q92" s="28" t="n"/>
      <c r="R92" s="28" t="n"/>
      <c r="S92" s="28" t="n"/>
      <c r="T92" s="28" t="n"/>
      <c r="U92" s="28" t="n"/>
      <c r="V92" s="28" t="n"/>
      <c r="W92" s="28" t="n"/>
      <c r="X92" s="28" t="n"/>
      <c r="Y92" s="28" t="n"/>
      <c r="Z92" s="28" t="n"/>
      <c r="AA92" s="28" t="n"/>
      <c r="AB92" s="28" t="n"/>
      <c r="AC92" s="28" t="n"/>
      <c r="AD92" s="22" t="n"/>
      <c r="AE92" s="22" t="n"/>
      <c r="AF92" s="22" t="n"/>
      <c r="AG92" s="22" t="n"/>
      <c r="AH92" s="22" t="n"/>
      <c r="AI92" s="22" t="n"/>
    </row>
    <row r="93" ht="19.5" customHeight="1">
      <c r="A93" s="48" t="inlineStr">
        <is>
          <t>Revolver drawn</t>
        </is>
      </c>
      <c r="B93" s="62" t="n"/>
      <c r="C93" s="62" t="n"/>
      <c r="D93" s="62" t="n"/>
      <c r="E93" s="62" t="n"/>
      <c r="F93" s="62" t="n"/>
      <c r="G93" s="62" t="n"/>
      <c r="H93" s="62" t="n"/>
      <c r="I93" s="62" t="n"/>
      <c r="J93" s="62" t="n"/>
      <c r="K93" s="62" t="n"/>
      <c r="L93" s="62" t="n"/>
      <c r="M93" s="62" t="n"/>
      <c r="N93" s="22" t="n"/>
      <c r="O93" s="28" t="n"/>
      <c r="P93" s="28" t="n"/>
      <c r="Q93" s="28" t="n"/>
      <c r="R93" s="28" t="n"/>
      <c r="S93" s="28" t="n"/>
      <c r="T93" s="28" t="n"/>
      <c r="U93" s="28" t="n"/>
      <c r="V93" s="28" t="n"/>
      <c r="W93" s="28" t="n"/>
      <c r="X93" s="28" t="n"/>
      <c r="Y93" s="28" t="n"/>
      <c r="Z93" s="28" t="n"/>
      <c r="AA93" s="28" t="n"/>
      <c r="AB93" s="28" t="n"/>
      <c r="AC93" s="28" t="n"/>
      <c r="AD93" s="22" t="n"/>
      <c r="AE93" s="22" t="n"/>
      <c r="AF93" s="22" t="n"/>
      <c r="AG93" s="22" t="n"/>
      <c r="AH93" s="22" t="n"/>
      <c r="AI93" s="22" t="n"/>
    </row>
    <row r="94" ht="19.5" customHeight="1">
      <c r="A94" s="48" t="inlineStr">
        <is>
          <t>Revolver letters of credit</t>
        </is>
      </c>
      <c r="B94" s="62" t="n"/>
      <c r="C94" s="62" t="n"/>
      <c r="D94" s="62" t="n"/>
      <c r="E94" s="62" t="n"/>
      <c r="F94" s="62" t="n"/>
      <c r="G94" s="62" t="n"/>
      <c r="H94" s="62" t="n"/>
      <c r="I94" s="62" t="n"/>
      <c r="J94" s="62" t="n"/>
      <c r="K94" s="62" t="n"/>
      <c r="L94" s="62" t="n"/>
      <c r="M94" s="62" t="n"/>
      <c r="N94" s="22" t="n"/>
      <c r="O94" s="28" t="n"/>
      <c r="P94" s="28" t="n"/>
      <c r="Q94" s="28" t="n"/>
      <c r="R94" s="28" t="n"/>
      <c r="S94" s="28" t="n"/>
      <c r="T94" s="28" t="n"/>
      <c r="U94" s="28" t="n"/>
      <c r="V94" s="28" t="n"/>
      <c r="W94" s="28" t="n"/>
      <c r="X94" s="28" t="n"/>
      <c r="Y94" s="28" t="n"/>
      <c r="Z94" s="28" t="n"/>
      <c r="AA94" s="28" t="n"/>
      <c r="AB94" s="28" t="n"/>
      <c r="AC94" s="28" t="n"/>
      <c r="AD94" s="22" t="n"/>
      <c r="AE94" s="22" t="n"/>
      <c r="AF94" s="22" t="n"/>
      <c r="AG94" s="22" t="n"/>
      <c r="AH94" s="22" t="n"/>
      <c r="AI94" s="22" t="n"/>
    </row>
    <row r="95" ht="19.5" customHeight="1">
      <c r="A95" s="48" t="inlineStr">
        <is>
          <t>Revolver availability</t>
        </is>
      </c>
      <c r="B95" s="62" t="n"/>
      <c r="C95" s="62" t="n"/>
      <c r="D95" s="62" t="n"/>
      <c r="E95" s="62" t="n"/>
      <c r="F95" s="62" t="n"/>
      <c r="G95" s="62" t="n"/>
      <c r="H95" s="62" t="n"/>
      <c r="I95" s="62" t="n"/>
      <c r="J95" s="62" t="n"/>
      <c r="K95" s="62" t="n"/>
      <c r="L95" s="62" t="n"/>
      <c r="M95" s="62" t="n"/>
      <c r="N95" s="22" t="n"/>
      <c r="O95" s="28" t="n"/>
      <c r="P95" s="28" t="n"/>
      <c r="Q95" s="28" t="n"/>
      <c r="R95" s="28" t="n"/>
      <c r="S95" s="28" t="n"/>
      <c r="T95" s="28" t="n"/>
      <c r="U95" s="28" t="n"/>
      <c r="V95" s="28" t="n"/>
      <c r="W95" s="28" t="n"/>
      <c r="X95" s="28" t="n"/>
      <c r="Y95" s="28" t="n"/>
      <c r="Z95" s="28" t="n"/>
      <c r="AA95" s="28" t="n"/>
      <c r="AB95" s="28" t="n"/>
      <c r="AC95" s="28" t="n"/>
      <c r="AD95" s="22" t="n"/>
      <c r="AE95" s="22" t="n"/>
      <c r="AF95" s="22" t="n"/>
      <c r="AG95" s="22" t="n"/>
      <c r="AH95" s="22" t="n"/>
      <c r="AI95" s="22" t="n"/>
    </row>
    <row r="96" ht="19.5" customHeight="1">
      <c r="A96" s="48" t="inlineStr">
        <is>
          <t>Liquidity (cash+availability)</t>
        </is>
      </c>
      <c r="B96" s="62" t="n"/>
      <c r="C96" s="62" t="n"/>
      <c r="D96" s="62" t="n"/>
      <c r="E96" s="62" t="n"/>
      <c r="F96" s="62" t="n"/>
      <c r="G96" s="62" t="n"/>
      <c r="H96" s="62" t="n"/>
      <c r="I96" s="62" t="n"/>
      <c r="J96" s="62" t="n"/>
      <c r="K96" s="62" t="n"/>
      <c r="L96" s="62" t="n"/>
      <c r="M96" s="62" t="n"/>
      <c r="N96" s="22" t="n"/>
      <c r="O96" s="28" t="n"/>
      <c r="P96" s="28" t="n"/>
      <c r="Q96" s="28" t="n"/>
      <c r="R96" s="28" t="n"/>
      <c r="S96" s="28" t="n"/>
      <c r="T96" s="28" t="n"/>
      <c r="U96" s="28" t="n"/>
      <c r="V96" s="28" t="n"/>
      <c r="W96" s="28" t="n"/>
      <c r="X96" s="28" t="n"/>
      <c r="Y96" s="28" t="n"/>
      <c r="Z96" s="28" t="n"/>
      <c r="AA96" s="28" t="n"/>
      <c r="AB96" s="28" t="n"/>
      <c r="AC96" s="28" t="n"/>
      <c r="AD96" s="22" t="n"/>
      <c r="AE96" s="22" t="n"/>
      <c r="AF96" s="22" t="n"/>
      <c r="AG96" s="22" t="n"/>
      <c r="AH96" s="22" t="n"/>
      <c r="AI96" s="22" t="n"/>
    </row>
    <row r="97" ht="19.5" customHeight="1">
      <c r="A97" s="96" t="inlineStr">
        <is>
          <t>Short-term liquidity</t>
        </is>
      </c>
      <c r="B97" s="104" t="n"/>
      <c r="C97" s="104" t="n"/>
      <c r="D97" s="104" t="n"/>
      <c r="E97" s="104" t="n"/>
      <c r="F97" s="104" t="n"/>
      <c r="G97" s="104" t="n"/>
      <c r="H97" s="104" t="n"/>
      <c r="I97" s="104" t="n"/>
      <c r="J97" s="104" t="n"/>
      <c r="K97" s="104" t="n"/>
      <c r="L97" s="104" t="n"/>
      <c r="M97" s="105" t="n"/>
      <c r="N97" s="22" t="n"/>
      <c r="O97" s="28" t="n"/>
      <c r="P97" s="28" t="n"/>
      <c r="Q97" s="28" t="n"/>
      <c r="R97" s="28" t="n"/>
      <c r="S97" s="28" t="n"/>
      <c r="T97" s="28" t="n"/>
      <c r="U97" s="28" t="n"/>
      <c r="V97" s="28" t="n"/>
      <c r="W97" s="28" t="n"/>
      <c r="X97" s="28" t="n"/>
      <c r="Y97" s="28" t="n"/>
      <c r="Z97" s="28" t="n"/>
      <c r="AA97" s="28" t="n"/>
      <c r="AB97" s="28" t="n"/>
      <c r="AC97" s="28" t="n"/>
      <c r="AD97" s="22" t="n"/>
      <c r="AE97" s="22" t="n"/>
      <c r="AF97" s="22" t="n"/>
      <c r="AG97" s="22" t="n"/>
      <c r="AH97" s="22" t="n"/>
      <c r="AI97" s="22" t="n"/>
    </row>
    <row r="98" ht="19.5" customHeight="1">
      <c r="A98" s="48" t="inlineStr">
        <is>
          <t>Current ratio</t>
        </is>
      </c>
      <c r="B98" s="88" t="n"/>
      <c r="C98" s="88" t="n"/>
      <c r="D98" s="88" t="n"/>
      <c r="E98" s="88" t="n"/>
      <c r="F98" s="88" t="n"/>
      <c r="G98" s="88" t="n"/>
      <c r="H98" s="88" t="n"/>
      <c r="I98" s="88" t="n"/>
      <c r="J98" s="88" t="n"/>
      <c r="K98" s="88" t="n"/>
      <c r="L98" s="88" t="n"/>
      <c r="M98" s="88" t="n"/>
      <c r="N98" s="22" t="n"/>
      <c r="O98" s="28" t="n"/>
      <c r="P98" s="28" t="n"/>
      <c r="Q98" s="28" t="n"/>
      <c r="R98" s="28" t="n"/>
      <c r="S98" s="28" t="n"/>
      <c r="T98" s="28" t="n"/>
      <c r="U98" s="28" t="n"/>
      <c r="V98" s="28" t="n"/>
      <c r="W98" s="28" t="n"/>
      <c r="X98" s="28" t="n"/>
      <c r="Y98" s="28" t="n"/>
      <c r="Z98" s="28" t="n"/>
      <c r="AA98" s="28" t="n"/>
      <c r="AB98" s="28" t="n"/>
      <c r="AC98" s="28" t="n"/>
      <c r="AD98" s="22" t="n"/>
      <c r="AE98" s="22" t="n"/>
      <c r="AF98" s="22" t="n"/>
      <c r="AG98" s="22" t="n"/>
      <c r="AH98" s="22" t="n"/>
      <c r="AI98" s="22" t="n"/>
    </row>
    <row r="99" ht="19.5" customHeight="1">
      <c r="A99" s="48" t="inlineStr">
        <is>
          <t>Quick ratio</t>
        </is>
      </c>
      <c r="B99" s="88" t="n"/>
      <c r="C99" s="88" t="n"/>
      <c r="D99" s="88" t="n"/>
      <c r="E99" s="88" t="n"/>
      <c r="F99" s="88" t="n"/>
      <c r="G99" s="88" t="n"/>
      <c r="H99" s="88" t="n"/>
      <c r="I99" s="88" t="n"/>
      <c r="J99" s="88" t="n"/>
      <c r="K99" s="88" t="n"/>
      <c r="L99" s="88" t="n"/>
      <c r="M99" s="88" t="n"/>
      <c r="N99" s="22" t="n"/>
      <c r="O99" s="28" t="n"/>
      <c r="P99" s="28" t="n"/>
      <c r="Q99" s="28" t="n"/>
      <c r="R99" s="28" t="n"/>
      <c r="S99" s="28" t="n"/>
      <c r="T99" s="28" t="n"/>
      <c r="U99" s="28" t="n"/>
      <c r="V99" s="28" t="n"/>
      <c r="W99" s="28" t="n"/>
      <c r="X99" s="28" t="n"/>
      <c r="Y99" s="28" t="n"/>
      <c r="Z99" s="28" t="n"/>
      <c r="AA99" s="28" t="n"/>
      <c r="AB99" s="28" t="n"/>
      <c r="AC99" s="28" t="n"/>
      <c r="AD99" s="22" t="n"/>
      <c r="AE99" s="22" t="n"/>
      <c r="AF99" s="22" t="n"/>
      <c r="AG99" s="22" t="n"/>
      <c r="AH99" s="22" t="n"/>
      <c r="AI99" s="22" t="n"/>
    </row>
    <row r="100" ht="19.5" customHeight="1">
      <c r="A100" s="38" t="inlineStr">
        <is>
          <t>Equity / Per-share</t>
        </is>
      </c>
      <c r="B100" s="39" t="n"/>
      <c r="C100" s="39" t="n"/>
      <c r="D100" s="39" t="n"/>
      <c r="E100" s="39" t="n"/>
      <c r="F100" s="39" t="n"/>
      <c r="G100" s="39" t="n"/>
      <c r="H100" s="39" t="n"/>
      <c r="I100" s="39" t="n"/>
      <c r="J100" s="39" t="n"/>
      <c r="K100" s="39" t="n"/>
      <c r="L100" s="39" t="n"/>
      <c r="M100" s="39" t="n"/>
      <c r="N100" s="22" t="n"/>
      <c r="O100" s="28" t="n"/>
      <c r="P100" s="28" t="n"/>
      <c r="Q100" s="28" t="n"/>
      <c r="R100" s="28" t="n"/>
      <c r="S100" s="28" t="n"/>
      <c r="T100" s="28" t="n"/>
      <c r="U100" s="28" t="n"/>
      <c r="V100" s="28" t="n"/>
      <c r="W100" s="28" t="n"/>
      <c r="X100" s="28" t="n"/>
      <c r="Y100" s="28" t="n"/>
      <c r="Z100" s="28" t="n"/>
      <c r="AA100" s="28" t="n"/>
      <c r="AB100" s="28" t="n"/>
      <c r="AC100" s="28" t="n"/>
      <c r="AD100" s="22" t="n"/>
      <c r="AE100" s="22" t="n"/>
      <c r="AF100" s="22" t="n"/>
      <c r="AG100" s="22" t="n"/>
      <c r="AH100" s="22" t="n"/>
      <c r="AI100" s="22" t="n"/>
    </row>
    <row r="101" ht="19.5" customHeight="1">
      <c r="A101" s="96" t="inlineStr">
        <is>
          <t>Share count</t>
        </is>
      </c>
      <c r="B101" s="104" t="n"/>
      <c r="C101" s="104" t="n"/>
      <c r="D101" s="104" t="n"/>
      <c r="E101" s="104" t="n"/>
      <c r="F101" s="104" t="n"/>
      <c r="G101" s="104" t="n"/>
      <c r="H101" s="104" t="n"/>
      <c r="I101" s="104" t="n"/>
      <c r="J101" s="104" t="n"/>
      <c r="K101" s="104" t="n"/>
      <c r="L101" s="104" t="n"/>
      <c r="M101" s="105" t="n"/>
      <c r="N101" s="22" t="n"/>
      <c r="O101" s="28" t="n"/>
      <c r="P101" s="28" t="n"/>
      <c r="Q101" s="28" t="n"/>
      <c r="R101" s="28" t="n"/>
      <c r="S101" s="28" t="n"/>
      <c r="T101" s="28" t="n"/>
      <c r="U101" s="28" t="n"/>
      <c r="V101" s="28" t="n"/>
      <c r="W101" s="28" t="n"/>
      <c r="X101" s="28" t="n"/>
      <c r="Y101" s="28" t="n"/>
      <c r="Z101" s="28" t="n"/>
      <c r="AA101" s="28" t="n"/>
      <c r="AB101" s="28" t="n"/>
      <c r="AC101" s="28" t="n"/>
      <c r="AD101" s="22" t="n"/>
      <c r="AE101" s="22" t="n"/>
      <c r="AF101" s="22" t="n"/>
      <c r="AG101" s="22" t="n"/>
      <c r="AH101" s="22" t="n"/>
      <c r="AI101" s="22" t="n"/>
    </row>
    <row r="102" ht="19.5" customHeight="1">
      <c r="A102" s="48" t="inlineStr">
        <is>
          <t>Diluted shares (m)</t>
        </is>
      </c>
      <c r="B102" s="62" t="n"/>
      <c r="C102" s="62" t="n"/>
      <c r="D102" s="62" t="n"/>
      <c r="E102" s="62" t="n"/>
      <c r="F102" s="62" t="n"/>
      <c r="G102" s="62" t="n"/>
      <c r="H102" s="62" t="n"/>
      <c r="I102" s="62" t="n"/>
      <c r="J102" s="62" t="n"/>
      <c r="K102" s="62" t="n"/>
      <c r="L102" s="62" t="n"/>
      <c r="M102" s="62" t="n"/>
      <c r="N102" s="22" t="n"/>
      <c r="O102" s="28" t="n"/>
      <c r="P102" s="28" t="n"/>
      <c r="Q102" s="28" t="n"/>
      <c r="R102" s="28" t="n"/>
      <c r="S102" s="28" t="n"/>
      <c r="T102" s="28" t="n"/>
      <c r="U102" s="28" t="n"/>
      <c r="V102" s="28" t="n"/>
      <c r="W102" s="28" t="n"/>
      <c r="X102" s="28" t="n"/>
      <c r="Y102" s="28" t="n"/>
      <c r="Z102" s="28" t="n"/>
      <c r="AA102" s="28" t="n"/>
      <c r="AB102" s="28" t="n"/>
      <c r="AC102" s="28" t="n"/>
      <c r="AD102" s="22" t="n"/>
      <c r="AE102" s="22" t="n"/>
      <c r="AF102" s="22" t="n"/>
      <c r="AG102" s="22" t="n"/>
      <c r="AH102" s="22" t="n"/>
      <c r="AI102" s="22" t="n"/>
    </row>
    <row r="103" ht="19.5" customHeight="1">
      <c r="A103" s="48" t="inlineStr">
        <is>
          <t>Shares outstanding (m)</t>
        </is>
      </c>
      <c r="B103" s="62" t="n"/>
      <c r="C103" s="62" t="n"/>
      <c r="D103" s="62" t="n"/>
      <c r="E103" s="62" t="n"/>
      <c r="F103" s="62" t="n"/>
      <c r="G103" s="62" t="n"/>
      <c r="H103" s="62" t="n"/>
      <c r="I103" s="62" t="n"/>
      <c r="J103" s="62" t="n"/>
      <c r="K103" s="62" t="n"/>
      <c r="L103" s="62" t="n"/>
      <c r="M103" s="62" t="n"/>
      <c r="N103" s="22" t="n"/>
      <c r="O103" s="28" t="n"/>
      <c r="P103" s="28" t="n"/>
      <c r="Q103" s="28" t="n"/>
      <c r="R103" s="28" t="n"/>
      <c r="S103" s="28" t="n"/>
      <c r="T103" s="28" t="n"/>
      <c r="U103" s="28" t="n"/>
      <c r="V103" s="28" t="n"/>
      <c r="W103" s="28" t="n"/>
      <c r="X103" s="28" t="n"/>
      <c r="Y103" s="28" t="n"/>
      <c r="Z103" s="28" t="n"/>
      <c r="AA103" s="28" t="n"/>
      <c r="AB103" s="28" t="n"/>
      <c r="AC103" s="28" t="n"/>
      <c r="AD103" s="22" t="n"/>
      <c r="AE103" s="22" t="n"/>
      <c r="AF103" s="22" t="n"/>
      <c r="AG103" s="22" t="n"/>
      <c r="AH103" s="22" t="n"/>
      <c r="AI103" s="22" t="n"/>
    </row>
    <row r="104" ht="19.5" customHeight="1">
      <c r="A104" s="48" t="inlineStr">
        <is>
          <t>Shares QoQ Δ (m) [dil]</t>
        </is>
      </c>
      <c r="B104" s="461">
        <f>IF(OR(B$6="",COUNTIFS(History_Q!$C$2:$C$1000,"diluted_shares",History_Q!$B$2:$B$1000,(SUMIFS(History_Q!$B$2:$B$1000,History_Q!$A$2:$A$1000,B$6,History_Q!$C$2:$C$1000,"diluted_shares")),History_Q!$E$2:$E$1000,"m shares",History_Q!$G$2:$G$1000,"populated")&lt;&gt;1,COUNTIFS(History_Q!$C$2:$C$1000,"diluted_shares",History_Q!$B$2:$B$1000,(SUMIFS(History_Q!$B$2:$B$1000,History_Q!$A$2:$A$1000,B$6,History_Q!$C$2:$C$1000,"diluted_shares")-1),History_Q!$E$2:$E$1000,"m shares",History_Q!$G$2:$G$1000,"populated")&lt;&gt;1),"",SUMIFS(History_Q!$D$2:$D$1000,History_Q!$C$2:$C$1000,"diluted_shares",History_Q!$B$2:$B$1000,(SUMIFS(History_Q!$B$2:$B$1000,History_Q!$A$2:$A$1000,B$6,History_Q!$C$2:$C$1000,"diluted_shares")),History_Q!$E$2:$E$1000,"m shares",History_Q!$G$2:$G$1000,"populated")-SUMIFS(History_Q!$D$2:$D$1000,History_Q!$C$2:$C$1000,"diluted_shares",History_Q!$B$2:$B$1000,(SUMIFS(History_Q!$B$2:$B$1000,History_Q!$A$2:$A$1000,B$6,History_Q!$C$2:$C$1000,"diluted_shares")-1),History_Q!$E$2:$E$1000,"m shares",History_Q!$G$2:$G$1000,"populated"))</f>
        <v/>
      </c>
      <c r="C104" s="461">
        <f>IF(OR(C$6="",COUNTIFS(History_Q!$C$2:$C$1000,"diluted_shares",History_Q!$B$2:$B$1000,(SUMIFS(History_Q!$B$2:$B$1000,History_Q!$A$2:$A$1000,C$6,History_Q!$C$2:$C$1000,"diluted_shares")),History_Q!$E$2:$E$1000,"m shares",History_Q!$G$2:$G$1000,"populated")&lt;&gt;1,COUNTIFS(History_Q!$C$2:$C$1000,"diluted_shares",History_Q!$B$2:$B$1000,(SUMIFS(History_Q!$B$2:$B$1000,History_Q!$A$2:$A$1000,C$6,History_Q!$C$2:$C$1000,"diluted_shares")-1),History_Q!$E$2:$E$1000,"m shares",History_Q!$G$2:$G$1000,"populated")&lt;&gt;1),"",SUMIFS(History_Q!$D$2:$D$1000,History_Q!$C$2:$C$1000,"diluted_shares",History_Q!$B$2:$B$1000,(SUMIFS(History_Q!$B$2:$B$1000,History_Q!$A$2:$A$1000,C$6,History_Q!$C$2:$C$1000,"diluted_shares")),History_Q!$E$2:$E$1000,"m shares",History_Q!$G$2:$G$1000,"populated")-SUMIFS(History_Q!$D$2:$D$1000,History_Q!$C$2:$C$1000,"diluted_shares",History_Q!$B$2:$B$1000,(SUMIFS(History_Q!$B$2:$B$1000,History_Q!$A$2:$A$1000,C$6,History_Q!$C$2:$C$1000,"diluted_shares")-1),History_Q!$E$2:$E$1000,"m shares",History_Q!$G$2:$G$1000,"populated"))</f>
        <v/>
      </c>
      <c r="D104" s="461">
        <f>IF(OR(D$6="",COUNTIFS(History_Q!$C$2:$C$1000,"diluted_shares",History_Q!$B$2:$B$1000,(SUMIFS(History_Q!$B$2:$B$1000,History_Q!$A$2:$A$1000,D$6,History_Q!$C$2:$C$1000,"diluted_shares")),History_Q!$E$2:$E$1000,"m shares",History_Q!$G$2:$G$1000,"populated")&lt;&gt;1,COUNTIFS(History_Q!$C$2:$C$1000,"diluted_shares",History_Q!$B$2:$B$1000,(SUMIFS(History_Q!$B$2:$B$1000,History_Q!$A$2:$A$1000,D$6,History_Q!$C$2:$C$1000,"diluted_shares")-1),History_Q!$E$2:$E$1000,"m shares",History_Q!$G$2:$G$1000,"populated")&lt;&gt;1),"",SUMIFS(History_Q!$D$2:$D$1000,History_Q!$C$2:$C$1000,"diluted_shares",History_Q!$B$2:$B$1000,(SUMIFS(History_Q!$B$2:$B$1000,History_Q!$A$2:$A$1000,D$6,History_Q!$C$2:$C$1000,"diluted_shares")),History_Q!$E$2:$E$1000,"m shares",History_Q!$G$2:$G$1000,"populated")-SUMIFS(History_Q!$D$2:$D$1000,History_Q!$C$2:$C$1000,"diluted_shares",History_Q!$B$2:$B$1000,(SUMIFS(History_Q!$B$2:$B$1000,History_Q!$A$2:$A$1000,D$6,History_Q!$C$2:$C$1000,"diluted_shares")-1),History_Q!$E$2:$E$1000,"m shares",History_Q!$G$2:$G$1000,"populated"))</f>
        <v/>
      </c>
      <c r="E104" s="461">
        <f>IF(OR(E$6="",COUNTIFS(History_Q!$C$2:$C$1000,"diluted_shares",History_Q!$B$2:$B$1000,(SUMIFS(History_Q!$B$2:$B$1000,History_Q!$A$2:$A$1000,E$6,History_Q!$C$2:$C$1000,"diluted_shares")),History_Q!$E$2:$E$1000,"m shares",History_Q!$G$2:$G$1000,"populated")&lt;&gt;1,COUNTIFS(History_Q!$C$2:$C$1000,"diluted_shares",History_Q!$B$2:$B$1000,(SUMIFS(History_Q!$B$2:$B$1000,History_Q!$A$2:$A$1000,E$6,History_Q!$C$2:$C$1000,"diluted_shares")-1),History_Q!$E$2:$E$1000,"m shares",History_Q!$G$2:$G$1000,"populated")&lt;&gt;1),"",SUMIFS(History_Q!$D$2:$D$1000,History_Q!$C$2:$C$1000,"diluted_shares",History_Q!$B$2:$B$1000,(SUMIFS(History_Q!$B$2:$B$1000,History_Q!$A$2:$A$1000,E$6,History_Q!$C$2:$C$1000,"diluted_shares")),History_Q!$E$2:$E$1000,"m shares",History_Q!$G$2:$G$1000,"populated")-SUMIFS(History_Q!$D$2:$D$1000,History_Q!$C$2:$C$1000,"diluted_shares",History_Q!$B$2:$B$1000,(SUMIFS(History_Q!$B$2:$B$1000,History_Q!$A$2:$A$1000,E$6,History_Q!$C$2:$C$1000,"diluted_shares")-1),History_Q!$E$2:$E$1000,"m shares",History_Q!$G$2:$G$1000,"populated"))</f>
        <v/>
      </c>
      <c r="F104" s="461">
        <f>IF(OR(F$6="",COUNTIFS(History_Q!$C$2:$C$1000,"diluted_shares",History_Q!$B$2:$B$1000,(SUMIFS(History_Q!$B$2:$B$1000,History_Q!$A$2:$A$1000,F$6,History_Q!$C$2:$C$1000,"diluted_shares")),History_Q!$E$2:$E$1000,"m shares",History_Q!$G$2:$G$1000,"populated")&lt;&gt;1,COUNTIFS(History_Q!$C$2:$C$1000,"diluted_shares",History_Q!$B$2:$B$1000,(SUMIFS(History_Q!$B$2:$B$1000,History_Q!$A$2:$A$1000,F$6,History_Q!$C$2:$C$1000,"diluted_shares")-1),History_Q!$E$2:$E$1000,"m shares",History_Q!$G$2:$G$1000,"populated")&lt;&gt;1),"",SUMIFS(History_Q!$D$2:$D$1000,History_Q!$C$2:$C$1000,"diluted_shares",History_Q!$B$2:$B$1000,(SUMIFS(History_Q!$B$2:$B$1000,History_Q!$A$2:$A$1000,F$6,History_Q!$C$2:$C$1000,"diluted_shares")),History_Q!$E$2:$E$1000,"m shares",History_Q!$G$2:$G$1000,"populated")-SUMIFS(History_Q!$D$2:$D$1000,History_Q!$C$2:$C$1000,"diluted_shares",History_Q!$B$2:$B$1000,(SUMIFS(History_Q!$B$2:$B$1000,History_Q!$A$2:$A$1000,F$6,History_Q!$C$2:$C$1000,"diluted_shares")-1),History_Q!$E$2:$E$1000,"m shares",History_Q!$G$2:$G$1000,"populated"))</f>
        <v/>
      </c>
      <c r="G104" s="461">
        <f>IF(OR(G$6="",COUNTIFS(History_Q!$C$2:$C$1000,"diluted_shares",History_Q!$B$2:$B$1000,(SUMIFS(History_Q!$B$2:$B$1000,History_Q!$A$2:$A$1000,G$6,History_Q!$C$2:$C$1000,"diluted_shares")),History_Q!$E$2:$E$1000,"m shares",History_Q!$G$2:$G$1000,"populated")&lt;&gt;1,COUNTIFS(History_Q!$C$2:$C$1000,"diluted_shares",History_Q!$B$2:$B$1000,(SUMIFS(History_Q!$B$2:$B$1000,History_Q!$A$2:$A$1000,G$6,History_Q!$C$2:$C$1000,"diluted_shares")-1),History_Q!$E$2:$E$1000,"m shares",History_Q!$G$2:$G$1000,"populated")&lt;&gt;1),"",SUMIFS(History_Q!$D$2:$D$1000,History_Q!$C$2:$C$1000,"diluted_shares",History_Q!$B$2:$B$1000,(SUMIFS(History_Q!$B$2:$B$1000,History_Q!$A$2:$A$1000,G$6,History_Q!$C$2:$C$1000,"diluted_shares")),History_Q!$E$2:$E$1000,"m shares",History_Q!$G$2:$G$1000,"populated")-SUMIFS(History_Q!$D$2:$D$1000,History_Q!$C$2:$C$1000,"diluted_shares",History_Q!$B$2:$B$1000,(SUMIFS(History_Q!$B$2:$B$1000,History_Q!$A$2:$A$1000,G$6,History_Q!$C$2:$C$1000,"diluted_shares")-1),History_Q!$E$2:$E$1000,"m shares",History_Q!$G$2:$G$1000,"populated"))</f>
        <v/>
      </c>
      <c r="H104" s="461">
        <f>IF(OR(H$6="",COUNTIFS(History_Q!$C$2:$C$1000,"diluted_shares",History_Q!$B$2:$B$1000,(SUMIFS(History_Q!$B$2:$B$1000,History_Q!$A$2:$A$1000,H$6,History_Q!$C$2:$C$1000,"diluted_shares")),History_Q!$E$2:$E$1000,"m shares",History_Q!$G$2:$G$1000,"populated")&lt;&gt;1,COUNTIFS(History_Q!$C$2:$C$1000,"diluted_shares",History_Q!$B$2:$B$1000,(SUMIFS(History_Q!$B$2:$B$1000,History_Q!$A$2:$A$1000,H$6,History_Q!$C$2:$C$1000,"diluted_shares")-1),History_Q!$E$2:$E$1000,"m shares",History_Q!$G$2:$G$1000,"populated")&lt;&gt;1),"",SUMIFS(History_Q!$D$2:$D$1000,History_Q!$C$2:$C$1000,"diluted_shares",History_Q!$B$2:$B$1000,(SUMIFS(History_Q!$B$2:$B$1000,History_Q!$A$2:$A$1000,H$6,History_Q!$C$2:$C$1000,"diluted_shares")),History_Q!$E$2:$E$1000,"m shares",History_Q!$G$2:$G$1000,"populated")-SUMIFS(History_Q!$D$2:$D$1000,History_Q!$C$2:$C$1000,"diluted_shares",History_Q!$B$2:$B$1000,(SUMIFS(History_Q!$B$2:$B$1000,History_Q!$A$2:$A$1000,H$6,History_Q!$C$2:$C$1000,"diluted_shares")-1),History_Q!$E$2:$E$1000,"m shares",History_Q!$G$2:$G$1000,"populated"))</f>
        <v/>
      </c>
      <c r="I104" s="461">
        <f>IF(OR(I$6="",COUNTIFS(History_Q!$C$2:$C$1000,"diluted_shares",History_Q!$B$2:$B$1000,(SUMIFS(History_Q!$B$2:$B$1000,History_Q!$A$2:$A$1000,I$6,History_Q!$C$2:$C$1000,"diluted_shares")),History_Q!$E$2:$E$1000,"m shares",History_Q!$G$2:$G$1000,"populated")&lt;&gt;1,COUNTIFS(History_Q!$C$2:$C$1000,"diluted_shares",History_Q!$B$2:$B$1000,(SUMIFS(History_Q!$B$2:$B$1000,History_Q!$A$2:$A$1000,I$6,History_Q!$C$2:$C$1000,"diluted_shares")-1),History_Q!$E$2:$E$1000,"m shares",History_Q!$G$2:$G$1000,"populated")&lt;&gt;1),"",SUMIFS(History_Q!$D$2:$D$1000,History_Q!$C$2:$C$1000,"diluted_shares",History_Q!$B$2:$B$1000,(SUMIFS(History_Q!$B$2:$B$1000,History_Q!$A$2:$A$1000,I$6,History_Q!$C$2:$C$1000,"diluted_shares")),History_Q!$E$2:$E$1000,"m shares",History_Q!$G$2:$G$1000,"populated")-SUMIFS(History_Q!$D$2:$D$1000,History_Q!$C$2:$C$1000,"diluted_shares",History_Q!$B$2:$B$1000,(SUMIFS(History_Q!$B$2:$B$1000,History_Q!$A$2:$A$1000,I$6,History_Q!$C$2:$C$1000,"diluted_shares")-1),History_Q!$E$2:$E$1000,"m shares",History_Q!$G$2:$G$1000,"populated"))</f>
        <v/>
      </c>
      <c r="J104" s="461">
        <f>IF(OR(J$6="",COUNTIFS(History_Q!$C$2:$C$1000,"diluted_shares",History_Q!$B$2:$B$1000,(SUMIFS(History_Q!$B$2:$B$1000,History_Q!$A$2:$A$1000,J$6,History_Q!$C$2:$C$1000,"diluted_shares")),History_Q!$E$2:$E$1000,"m shares",History_Q!$G$2:$G$1000,"populated")&lt;&gt;1,COUNTIFS(History_Q!$C$2:$C$1000,"diluted_shares",History_Q!$B$2:$B$1000,(SUMIFS(History_Q!$B$2:$B$1000,History_Q!$A$2:$A$1000,J$6,History_Q!$C$2:$C$1000,"diluted_shares")-1),History_Q!$E$2:$E$1000,"m shares",History_Q!$G$2:$G$1000,"populated")&lt;&gt;1),"",SUMIFS(History_Q!$D$2:$D$1000,History_Q!$C$2:$C$1000,"diluted_shares",History_Q!$B$2:$B$1000,(SUMIFS(History_Q!$B$2:$B$1000,History_Q!$A$2:$A$1000,J$6,History_Q!$C$2:$C$1000,"diluted_shares")),History_Q!$E$2:$E$1000,"m shares",History_Q!$G$2:$G$1000,"populated")-SUMIFS(History_Q!$D$2:$D$1000,History_Q!$C$2:$C$1000,"diluted_shares",History_Q!$B$2:$B$1000,(SUMIFS(History_Q!$B$2:$B$1000,History_Q!$A$2:$A$1000,J$6,History_Q!$C$2:$C$1000,"diluted_shares")-1),History_Q!$E$2:$E$1000,"m shares",History_Q!$G$2:$G$1000,"populated"))</f>
        <v/>
      </c>
      <c r="K104" s="461">
        <f>IF(OR(K$6="",COUNTIFS(History_Q!$C$2:$C$1000,"diluted_shares",History_Q!$B$2:$B$1000,(SUMIFS(History_Q!$B$2:$B$1000,History_Q!$A$2:$A$1000,K$6,History_Q!$C$2:$C$1000,"diluted_shares")),History_Q!$E$2:$E$1000,"m shares",History_Q!$G$2:$G$1000,"populated")&lt;&gt;1,COUNTIFS(History_Q!$C$2:$C$1000,"diluted_shares",History_Q!$B$2:$B$1000,(SUMIFS(History_Q!$B$2:$B$1000,History_Q!$A$2:$A$1000,K$6,History_Q!$C$2:$C$1000,"diluted_shares")-1),History_Q!$E$2:$E$1000,"m shares",History_Q!$G$2:$G$1000,"populated")&lt;&gt;1),"",SUMIFS(History_Q!$D$2:$D$1000,History_Q!$C$2:$C$1000,"diluted_shares",History_Q!$B$2:$B$1000,(SUMIFS(History_Q!$B$2:$B$1000,History_Q!$A$2:$A$1000,K$6,History_Q!$C$2:$C$1000,"diluted_shares")),History_Q!$E$2:$E$1000,"m shares",History_Q!$G$2:$G$1000,"populated")-SUMIFS(History_Q!$D$2:$D$1000,History_Q!$C$2:$C$1000,"diluted_shares",History_Q!$B$2:$B$1000,(SUMIFS(History_Q!$B$2:$B$1000,History_Q!$A$2:$A$1000,K$6,History_Q!$C$2:$C$1000,"diluted_shares")-1),History_Q!$E$2:$E$1000,"m shares",History_Q!$G$2:$G$1000,"populated"))</f>
        <v/>
      </c>
      <c r="L104" s="461">
        <f>IF(OR(L$6="",COUNTIFS(History_Q!$C$2:$C$1000,"diluted_shares",History_Q!$B$2:$B$1000,(SUMIFS(History_Q!$B$2:$B$1000,History_Q!$A$2:$A$1000,L$6,History_Q!$C$2:$C$1000,"diluted_shares")),History_Q!$E$2:$E$1000,"m shares",History_Q!$G$2:$G$1000,"populated")&lt;&gt;1,COUNTIFS(History_Q!$C$2:$C$1000,"diluted_shares",History_Q!$B$2:$B$1000,(SUMIFS(History_Q!$B$2:$B$1000,History_Q!$A$2:$A$1000,L$6,History_Q!$C$2:$C$1000,"diluted_shares")-1),History_Q!$E$2:$E$1000,"m shares",History_Q!$G$2:$G$1000,"populated")&lt;&gt;1),"",SUMIFS(History_Q!$D$2:$D$1000,History_Q!$C$2:$C$1000,"diluted_shares",History_Q!$B$2:$B$1000,(SUMIFS(History_Q!$B$2:$B$1000,History_Q!$A$2:$A$1000,L$6,History_Q!$C$2:$C$1000,"diluted_shares")),History_Q!$E$2:$E$1000,"m shares",History_Q!$G$2:$G$1000,"populated")-SUMIFS(History_Q!$D$2:$D$1000,History_Q!$C$2:$C$1000,"diluted_shares",History_Q!$B$2:$B$1000,(SUMIFS(History_Q!$B$2:$B$1000,History_Q!$A$2:$A$1000,L$6,History_Q!$C$2:$C$1000,"diluted_shares")-1),History_Q!$E$2:$E$1000,"m shares",History_Q!$G$2:$G$1000,"populated"))</f>
        <v/>
      </c>
      <c r="M104" s="461">
        <f>IF(OR(M$6="",COUNTIFS(History_Q!$C$2:$C$1000,"diluted_shares",History_Q!$B$2:$B$1000,(SUMIFS(History_Q!$B$2:$B$1000,History_Q!$A$2:$A$1000,M$6,History_Q!$C$2:$C$1000,"diluted_shares")),History_Q!$E$2:$E$1000,"m shares",History_Q!$G$2:$G$1000,"populated")&lt;&gt;1,COUNTIFS(History_Q!$C$2:$C$1000,"diluted_shares",History_Q!$B$2:$B$1000,(SUMIFS(History_Q!$B$2:$B$1000,History_Q!$A$2:$A$1000,M$6,History_Q!$C$2:$C$1000,"diluted_shares")-1),History_Q!$E$2:$E$1000,"m shares",History_Q!$G$2:$G$1000,"populated")&lt;&gt;1),"",SUMIFS(History_Q!$D$2:$D$1000,History_Q!$C$2:$C$1000,"diluted_shares",History_Q!$B$2:$B$1000,(SUMIFS(History_Q!$B$2:$B$1000,History_Q!$A$2:$A$1000,M$6,History_Q!$C$2:$C$1000,"diluted_shares")),History_Q!$E$2:$E$1000,"m shares",History_Q!$G$2:$G$1000,"populated")-SUMIFS(History_Q!$D$2:$D$1000,History_Q!$C$2:$C$1000,"diluted_shares",History_Q!$B$2:$B$1000,(SUMIFS(History_Q!$B$2:$B$1000,History_Q!$A$2:$A$1000,M$6,History_Q!$C$2:$C$1000,"diluted_shares")-1),History_Q!$E$2:$E$1000,"m shares",History_Q!$G$2:$G$1000,"populated"))</f>
        <v/>
      </c>
      <c r="N104" s="22" t="n"/>
      <c r="O104" s="28" t="n"/>
      <c r="P104" s="28" t="n"/>
      <c r="Q104" s="28" t="n"/>
      <c r="R104" s="28" t="n"/>
      <c r="S104" s="28" t="n"/>
      <c r="T104" s="28" t="n"/>
      <c r="U104" s="28" t="n"/>
      <c r="V104" s="28" t="n"/>
      <c r="W104" s="28" t="n"/>
      <c r="X104" s="28" t="n"/>
      <c r="Y104" s="28" t="n"/>
      <c r="Z104" s="28" t="n"/>
      <c r="AA104" s="28" t="n"/>
      <c r="AB104" s="28" t="n"/>
      <c r="AC104" s="28" t="n"/>
      <c r="AD104" s="22" t="n"/>
      <c r="AE104" s="22" t="n"/>
      <c r="AF104" s="22" t="n"/>
      <c r="AG104" s="22" t="n"/>
      <c r="AH104" s="22" t="n"/>
      <c r="AI104" s="22" t="n"/>
    </row>
    <row r="105" ht="19.5" customHeight="1">
      <c r="A105" s="48" t="inlineStr">
        <is>
          <t>Shares YoY Δ (m) [dil]</t>
        </is>
      </c>
      <c r="B105" s="461">
        <f>IF(OR(B$6="",COUNTIFS(History_Q!$C$2:$C$1000,"diluted_shares",History_Q!$B$2:$B$1000,(SUMIFS(History_Q!$B$2:$B$1000,History_Q!$A$2:$A$1000,B$6,History_Q!$C$2:$C$1000,"diluted_shares")),History_Q!$E$2:$E$1000,"m shares",History_Q!$G$2:$G$1000,"populated")&lt;&gt;1,COUNTIFS(History_Q!$C$2:$C$1000,"diluted_shares",History_Q!$B$2:$B$1000,(SUMIFS(History_Q!$B$2:$B$1000,History_Q!$A$2:$A$1000,B$6,History_Q!$C$2:$C$1000,"diluted_shares")-4),History_Q!$E$2:$E$1000,"m shares",History_Q!$G$2:$G$1000,"populated")&lt;&gt;1),"",SUMIFS(History_Q!$D$2:$D$1000,History_Q!$C$2:$C$1000,"diluted_shares",History_Q!$B$2:$B$1000,(SUMIFS(History_Q!$B$2:$B$1000,History_Q!$A$2:$A$1000,B$6,History_Q!$C$2:$C$1000,"diluted_shares")),History_Q!$E$2:$E$1000,"m shares",History_Q!$G$2:$G$1000,"populated")-SUMIFS(History_Q!$D$2:$D$1000,History_Q!$C$2:$C$1000,"diluted_shares",History_Q!$B$2:$B$1000,(SUMIFS(History_Q!$B$2:$B$1000,History_Q!$A$2:$A$1000,B$6,History_Q!$C$2:$C$1000,"diluted_shares")-4),History_Q!$E$2:$E$1000,"m shares",History_Q!$G$2:$G$1000,"populated"))</f>
        <v/>
      </c>
      <c r="C105" s="461">
        <f>IF(OR(C$6="",COUNTIFS(History_Q!$C$2:$C$1000,"diluted_shares",History_Q!$B$2:$B$1000,(SUMIFS(History_Q!$B$2:$B$1000,History_Q!$A$2:$A$1000,C$6,History_Q!$C$2:$C$1000,"diluted_shares")),History_Q!$E$2:$E$1000,"m shares",History_Q!$G$2:$G$1000,"populated")&lt;&gt;1,COUNTIFS(History_Q!$C$2:$C$1000,"diluted_shares",History_Q!$B$2:$B$1000,(SUMIFS(History_Q!$B$2:$B$1000,History_Q!$A$2:$A$1000,C$6,History_Q!$C$2:$C$1000,"diluted_shares")-4),History_Q!$E$2:$E$1000,"m shares",History_Q!$G$2:$G$1000,"populated")&lt;&gt;1),"",SUMIFS(History_Q!$D$2:$D$1000,History_Q!$C$2:$C$1000,"diluted_shares",History_Q!$B$2:$B$1000,(SUMIFS(History_Q!$B$2:$B$1000,History_Q!$A$2:$A$1000,C$6,History_Q!$C$2:$C$1000,"diluted_shares")),History_Q!$E$2:$E$1000,"m shares",History_Q!$G$2:$G$1000,"populated")-SUMIFS(History_Q!$D$2:$D$1000,History_Q!$C$2:$C$1000,"diluted_shares",History_Q!$B$2:$B$1000,(SUMIFS(History_Q!$B$2:$B$1000,History_Q!$A$2:$A$1000,C$6,History_Q!$C$2:$C$1000,"diluted_shares")-4),History_Q!$E$2:$E$1000,"m shares",History_Q!$G$2:$G$1000,"populated"))</f>
        <v/>
      </c>
      <c r="D105" s="461">
        <f>IF(OR(D$6="",COUNTIFS(History_Q!$C$2:$C$1000,"diluted_shares",History_Q!$B$2:$B$1000,(SUMIFS(History_Q!$B$2:$B$1000,History_Q!$A$2:$A$1000,D$6,History_Q!$C$2:$C$1000,"diluted_shares")),History_Q!$E$2:$E$1000,"m shares",History_Q!$G$2:$G$1000,"populated")&lt;&gt;1,COUNTIFS(History_Q!$C$2:$C$1000,"diluted_shares",History_Q!$B$2:$B$1000,(SUMIFS(History_Q!$B$2:$B$1000,History_Q!$A$2:$A$1000,D$6,History_Q!$C$2:$C$1000,"diluted_shares")-4),History_Q!$E$2:$E$1000,"m shares",History_Q!$G$2:$G$1000,"populated")&lt;&gt;1),"",SUMIFS(History_Q!$D$2:$D$1000,History_Q!$C$2:$C$1000,"diluted_shares",History_Q!$B$2:$B$1000,(SUMIFS(History_Q!$B$2:$B$1000,History_Q!$A$2:$A$1000,D$6,History_Q!$C$2:$C$1000,"diluted_shares")),History_Q!$E$2:$E$1000,"m shares",History_Q!$G$2:$G$1000,"populated")-SUMIFS(History_Q!$D$2:$D$1000,History_Q!$C$2:$C$1000,"diluted_shares",History_Q!$B$2:$B$1000,(SUMIFS(History_Q!$B$2:$B$1000,History_Q!$A$2:$A$1000,D$6,History_Q!$C$2:$C$1000,"diluted_shares")-4),History_Q!$E$2:$E$1000,"m shares",History_Q!$G$2:$G$1000,"populated"))</f>
        <v/>
      </c>
      <c r="E105" s="461">
        <f>IF(OR(E$6="",COUNTIFS(History_Q!$C$2:$C$1000,"diluted_shares",History_Q!$B$2:$B$1000,(SUMIFS(History_Q!$B$2:$B$1000,History_Q!$A$2:$A$1000,E$6,History_Q!$C$2:$C$1000,"diluted_shares")),History_Q!$E$2:$E$1000,"m shares",History_Q!$G$2:$G$1000,"populated")&lt;&gt;1,COUNTIFS(History_Q!$C$2:$C$1000,"diluted_shares",History_Q!$B$2:$B$1000,(SUMIFS(History_Q!$B$2:$B$1000,History_Q!$A$2:$A$1000,E$6,History_Q!$C$2:$C$1000,"diluted_shares")-4),History_Q!$E$2:$E$1000,"m shares",History_Q!$G$2:$G$1000,"populated")&lt;&gt;1),"",SUMIFS(History_Q!$D$2:$D$1000,History_Q!$C$2:$C$1000,"diluted_shares",History_Q!$B$2:$B$1000,(SUMIFS(History_Q!$B$2:$B$1000,History_Q!$A$2:$A$1000,E$6,History_Q!$C$2:$C$1000,"diluted_shares")),History_Q!$E$2:$E$1000,"m shares",History_Q!$G$2:$G$1000,"populated")-SUMIFS(History_Q!$D$2:$D$1000,History_Q!$C$2:$C$1000,"diluted_shares",History_Q!$B$2:$B$1000,(SUMIFS(History_Q!$B$2:$B$1000,History_Q!$A$2:$A$1000,E$6,History_Q!$C$2:$C$1000,"diluted_shares")-4),History_Q!$E$2:$E$1000,"m shares",History_Q!$G$2:$G$1000,"populated"))</f>
        <v/>
      </c>
      <c r="F105" s="461">
        <f>IF(OR(F$6="",COUNTIFS(History_Q!$C$2:$C$1000,"diluted_shares",History_Q!$B$2:$B$1000,(SUMIFS(History_Q!$B$2:$B$1000,History_Q!$A$2:$A$1000,F$6,History_Q!$C$2:$C$1000,"diluted_shares")),History_Q!$E$2:$E$1000,"m shares",History_Q!$G$2:$G$1000,"populated")&lt;&gt;1,COUNTIFS(History_Q!$C$2:$C$1000,"diluted_shares",History_Q!$B$2:$B$1000,(SUMIFS(History_Q!$B$2:$B$1000,History_Q!$A$2:$A$1000,F$6,History_Q!$C$2:$C$1000,"diluted_shares")-4),History_Q!$E$2:$E$1000,"m shares",History_Q!$G$2:$G$1000,"populated")&lt;&gt;1),"",SUMIFS(History_Q!$D$2:$D$1000,History_Q!$C$2:$C$1000,"diluted_shares",History_Q!$B$2:$B$1000,(SUMIFS(History_Q!$B$2:$B$1000,History_Q!$A$2:$A$1000,F$6,History_Q!$C$2:$C$1000,"diluted_shares")),History_Q!$E$2:$E$1000,"m shares",History_Q!$G$2:$G$1000,"populated")-SUMIFS(History_Q!$D$2:$D$1000,History_Q!$C$2:$C$1000,"diluted_shares",History_Q!$B$2:$B$1000,(SUMIFS(History_Q!$B$2:$B$1000,History_Q!$A$2:$A$1000,F$6,History_Q!$C$2:$C$1000,"diluted_shares")-4),History_Q!$E$2:$E$1000,"m shares",History_Q!$G$2:$G$1000,"populated"))</f>
        <v/>
      </c>
      <c r="G105" s="461">
        <f>IF(OR(G$6="",COUNTIFS(History_Q!$C$2:$C$1000,"diluted_shares",History_Q!$B$2:$B$1000,(SUMIFS(History_Q!$B$2:$B$1000,History_Q!$A$2:$A$1000,G$6,History_Q!$C$2:$C$1000,"diluted_shares")),History_Q!$E$2:$E$1000,"m shares",History_Q!$G$2:$G$1000,"populated")&lt;&gt;1,COUNTIFS(History_Q!$C$2:$C$1000,"diluted_shares",History_Q!$B$2:$B$1000,(SUMIFS(History_Q!$B$2:$B$1000,History_Q!$A$2:$A$1000,G$6,History_Q!$C$2:$C$1000,"diluted_shares")-4),History_Q!$E$2:$E$1000,"m shares",History_Q!$G$2:$G$1000,"populated")&lt;&gt;1),"",SUMIFS(History_Q!$D$2:$D$1000,History_Q!$C$2:$C$1000,"diluted_shares",History_Q!$B$2:$B$1000,(SUMIFS(History_Q!$B$2:$B$1000,History_Q!$A$2:$A$1000,G$6,History_Q!$C$2:$C$1000,"diluted_shares")),History_Q!$E$2:$E$1000,"m shares",History_Q!$G$2:$G$1000,"populated")-SUMIFS(History_Q!$D$2:$D$1000,History_Q!$C$2:$C$1000,"diluted_shares",History_Q!$B$2:$B$1000,(SUMIFS(History_Q!$B$2:$B$1000,History_Q!$A$2:$A$1000,G$6,History_Q!$C$2:$C$1000,"diluted_shares")-4),History_Q!$E$2:$E$1000,"m shares",History_Q!$G$2:$G$1000,"populated"))</f>
        <v/>
      </c>
      <c r="H105" s="461">
        <f>IF(OR(H$6="",COUNTIFS(History_Q!$C$2:$C$1000,"diluted_shares",History_Q!$B$2:$B$1000,(SUMIFS(History_Q!$B$2:$B$1000,History_Q!$A$2:$A$1000,H$6,History_Q!$C$2:$C$1000,"diluted_shares")),History_Q!$E$2:$E$1000,"m shares",History_Q!$G$2:$G$1000,"populated")&lt;&gt;1,COUNTIFS(History_Q!$C$2:$C$1000,"diluted_shares",History_Q!$B$2:$B$1000,(SUMIFS(History_Q!$B$2:$B$1000,History_Q!$A$2:$A$1000,H$6,History_Q!$C$2:$C$1000,"diluted_shares")-4),History_Q!$E$2:$E$1000,"m shares",History_Q!$G$2:$G$1000,"populated")&lt;&gt;1),"",SUMIFS(History_Q!$D$2:$D$1000,History_Q!$C$2:$C$1000,"diluted_shares",History_Q!$B$2:$B$1000,(SUMIFS(History_Q!$B$2:$B$1000,History_Q!$A$2:$A$1000,H$6,History_Q!$C$2:$C$1000,"diluted_shares")),History_Q!$E$2:$E$1000,"m shares",History_Q!$G$2:$G$1000,"populated")-SUMIFS(History_Q!$D$2:$D$1000,History_Q!$C$2:$C$1000,"diluted_shares",History_Q!$B$2:$B$1000,(SUMIFS(History_Q!$B$2:$B$1000,History_Q!$A$2:$A$1000,H$6,History_Q!$C$2:$C$1000,"diluted_shares")-4),History_Q!$E$2:$E$1000,"m shares",History_Q!$G$2:$G$1000,"populated"))</f>
        <v/>
      </c>
      <c r="I105" s="461">
        <f>IF(OR(I$6="",COUNTIFS(History_Q!$C$2:$C$1000,"diluted_shares",History_Q!$B$2:$B$1000,(SUMIFS(History_Q!$B$2:$B$1000,History_Q!$A$2:$A$1000,I$6,History_Q!$C$2:$C$1000,"diluted_shares")),History_Q!$E$2:$E$1000,"m shares",History_Q!$G$2:$G$1000,"populated")&lt;&gt;1,COUNTIFS(History_Q!$C$2:$C$1000,"diluted_shares",History_Q!$B$2:$B$1000,(SUMIFS(History_Q!$B$2:$B$1000,History_Q!$A$2:$A$1000,I$6,History_Q!$C$2:$C$1000,"diluted_shares")-4),History_Q!$E$2:$E$1000,"m shares",History_Q!$G$2:$G$1000,"populated")&lt;&gt;1),"",SUMIFS(History_Q!$D$2:$D$1000,History_Q!$C$2:$C$1000,"diluted_shares",History_Q!$B$2:$B$1000,(SUMIFS(History_Q!$B$2:$B$1000,History_Q!$A$2:$A$1000,I$6,History_Q!$C$2:$C$1000,"diluted_shares")),History_Q!$E$2:$E$1000,"m shares",History_Q!$G$2:$G$1000,"populated")-SUMIFS(History_Q!$D$2:$D$1000,History_Q!$C$2:$C$1000,"diluted_shares",History_Q!$B$2:$B$1000,(SUMIFS(History_Q!$B$2:$B$1000,History_Q!$A$2:$A$1000,I$6,History_Q!$C$2:$C$1000,"diluted_shares")-4),History_Q!$E$2:$E$1000,"m shares",History_Q!$G$2:$G$1000,"populated"))</f>
        <v/>
      </c>
      <c r="J105" s="461">
        <f>IF(OR(J$6="",COUNTIFS(History_Q!$C$2:$C$1000,"diluted_shares",History_Q!$B$2:$B$1000,(SUMIFS(History_Q!$B$2:$B$1000,History_Q!$A$2:$A$1000,J$6,History_Q!$C$2:$C$1000,"diluted_shares")),History_Q!$E$2:$E$1000,"m shares",History_Q!$G$2:$G$1000,"populated")&lt;&gt;1,COUNTIFS(History_Q!$C$2:$C$1000,"diluted_shares",History_Q!$B$2:$B$1000,(SUMIFS(History_Q!$B$2:$B$1000,History_Q!$A$2:$A$1000,J$6,History_Q!$C$2:$C$1000,"diluted_shares")-4),History_Q!$E$2:$E$1000,"m shares",History_Q!$G$2:$G$1000,"populated")&lt;&gt;1),"",SUMIFS(History_Q!$D$2:$D$1000,History_Q!$C$2:$C$1000,"diluted_shares",History_Q!$B$2:$B$1000,(SUMIFS(History_Q!$B$2:$B$1000,History_Q!$A$2:$A$1000,J$6,History_Q!$C$2:$C$1000,"diluted_shares")),History_Q!$E$2:$E$1000,"m shares",History_Q!$G$2:$G$1000,"populated")-SUMIFS(History_Q!$D$2:$D$1000,History_Q!$C$2:$C$1000,"diluted_shares",History_Q!$B$2:$B$1000,(SUMIFS(History_Q!$B$2:$B$1000,History_Q!$A$2:$A$1000,J$6,History_Q!$C$2:$C$1000,"diluted_shares")-4),History_Q!$E$2:$E$1000,"m shares",History_Q!$G$2:$G$1000,"populated"))</f>
        <v/>
      </c>
      <c r="K105" s="461">
        <f>IF(OR(K$6="",COUNTIFS(History_Q!$C$2:$C$1000,"diluted_shares",History_Q!$B$2:$B$1000,(SUMIFS(History_Q!$B$2:$B$1000,History_Q!$A$2:$A$1000,K$6,History_Q!$C$2:$C$1000,"diluted_shares")),History_Q!$E$2:$E$1000,"m shares",History_Q!$G$2:$G$1000,"populated")&lt;&gt;1,COUNTIFS(History_Q!$C$2:$C$1000,"diluted_shares",History_Q!$B$2:$B$1000,(SUMIFS(History_Q!$B$2:$B$1000,History_Q!$A$2:$A$1000,K$6,History_Q!$C$2:$C$1000,"diluted_shares")-4),History_Q!$E$2:$E$1000,"m shares",History_Q!$G$2:$G$1000,"populated")&lt;&gt;1),"",SUMIFS(History_Q!$D$2:$D$1000,History_Q!$C$2:$C$1000,"diluted_shares",History_Q!$B$2:$B$1000,(SUMIFS(History_Q!$B$2:$B$1000,History_Q!$A$2:$A$1000,K$6,History_Q!$C$2:$C$1000,"diluted_shares")),History_Q!$E$2:$E$1000,"m shares",History_Q!$G$2:$G$1000,"populated")-SUMIFS(History_Q!$D$2:$D$1000,History_Q!$C$2:$C$1000,"diluted_shares",History_Q!$B$2:$B$1000,(SUMIFS(History_Q!$B$2:$B$1000,History_Q!$A$2:$A$1000,K$6,History_Q!$C$2:$C$1000,"diluted_shares")-4),History_Q!$E$2:$E$1000,"m shares",History_Q!$G$2:$G$1000,"populated"))</f>
        <v/>
      </c>
      <c r="L105" s="461">
        <f>IF(OR(L$6="",COUNTIFS(History_Q!$C$2:$C$1000,"diluted_shares",History_Q!$B$2:$B$1000,(SUMIFS(History_Q!$B$2:$B$1000,History_Q!$A$2:$A$1000,L$6,History_Q!$C$2:$C$1000,"diluted_shares")),History_Q!$E$2:$E$1000,"m shares",History_Q!$G$2:$G$1000,"populated")&lt;&gt;1,COUNTIFS(History_Q!$C$2:$C$1000,"diluted_shares",History_Q!$B$2:$B$1000,(SUMIFS(History_Q!$B$2:$B$1000,History_Q!$A$2:$A$1000,L$6,History_Q!$C$2:$C$1000,"diluted_shares")-4),History_Q!$E$2:$E$1000,"m shares",History_Q!$G$2:$G$1000,"populated")&lt;&gt;1),"",SUMIFS(History_Q!$D$2:$D$1000,History_Q!$C$2:$C$1000,"diluted_shares",History_Q!$B$2:$B$1000,(SUMIFS(History_Q!$B$2:$B$1000,History_Q!$A$2:$A$1000,L$6,History_Q!$C$2:$C$1000,"diluted_shares")),History_Q!$E$2:$E$1000,"m shares",History_Q!$G$2:$G$1000,"populated")-SUMIFS(History_Q!$D$2:$D$1000,History_Q!$C$2:$C$1000,"diluted_shares",History_Q!$B$2:$B$1000,(SUMIFS(History_Q!$B$2:$B$1000,History_Q!$A$2:$A$1000,L$6,History_Q!$C$2:$C$1000,"diluted_shares")-4),History_Q!$E$2:$E$1000,"m shares",History_Q!$G$2:$G$1000,"populated"))</f>
        <v/>
      </c>
      <c r="M105" s="461">
        <f>IF(OR(M$6="",COUNTIFS(History_Q!$C$2:$C$1000,"diluted_shares",History_Q!$B$2:$B$1000,(SUMIFS(History_Q!$B$2:$B$1000,History_Q!$A$2:$A$1000,M$6,History_Q!$C$2:$C$1000,"diluted_shares")),History_Q!$E$2:$E$1000,"m shares",History_Q!$G$2:$G$1000,"populated")&lt;&gt;1,COUNTIFS(History_Q!$C$2:$C$1000,"diluted_shares",History_Q!$B$2:$B$1000,(SUMIFS(History_Q!$B$2:$B$1000,History_Q!$A$2:$A$1000,M$6,History_Q!$C$2:$C$1000,"diluted_shares")-4),History_Q!$E$2:$E$1000,"m shares",History_Q!$G$2:$G$1000,"populated")&lt;&gt;1),"",SUMIFS(History_Q!$D$2:$D$1000,History_Q!$C$2:$C$1000,"diluted_shares",History_Q!$B$2:$B$1000,(SUMIFS(History_Q!$B$2:$B$1000,History_Q!$A$2:$A$1000,M$6,History_Q!$C$2:$C$1000,"diluted_shares")),History_Q!$E$2:$E$1000,"m shares",History_Q!$G$2:$G$1000,"populated")-SUMIFS(History_Q!$D$2:$D$1000,History_Q!$C$2:$C$1000,"diluted_shares",History_Q!$B$2:$B$1000,(SUMIFS(History_Q!$B$2:$B$1000,History_Q!$A$2:$A$1000,M$6,History_Q!$C$2:$C$1000,"diluted_shares")-4),History_Q!$E$2:$E$1000,"m shares",History_Q!$G$2:$G$1000,"populated"))</f>
        <v/>
      </c>
      <c r="N105" s="22" t="n"/>
      <c r="O105" s="28" t="n"/>
      <c r="P105" s="28" t="n"/>
      <c r="Q105" s="28" t="n"/>
      <c r="R105" s="28" t="n"/>
      <c r="S105" s="28" t="n"/>
      <c r="T105" s="28" t="n"/>
      <c r="U105" s="28" t="n"/>
      <c r="V105" s="28" t="n"/>
      <c r="W105" s="28" t="n"/>
      <c r="X105" s="28" t="n"/>
      <c r="Y105" s="28" t="n"/>
      <c r="Z105" s="28" t="n"/>
      <c r="AA105" s="28" t="n"/>
      <c r="AB105" s="28" t="n"/>
      <c r="AC105" s="28" t="n"/>
      <c r="AD105" s="22" t="n"/>
      <c r="AE105" s="22" t="n"/>
      <c r="AF105" s="22" t="n"/>
      <c r="AG105" s="22" t="n"/>
      <c r="AH105" s="22" t="n"/>
      <c r="AI105" s="22" t="n"/>
    </row>
    <row r="106" ht="19.5" customHeight="1">
      <c r="A106" s="96" t="inlineStr">
        <is>
          <t>Per-share earnings</t>
        </is>
      </c>
      <c r="B106" s="104" t="n"/>
      <c r="C106" s="104" t="n"/>
      <c r="D106" s="104" t="n"/>
      <c r="E106" s="104" t="n"/>
      <c r="F106" s="104" t="n"/>
      <c r="G106" s="104" t="n"/>
      <c r="H106" s="104" t="n"/>
      <c r="I106" s="104" t="n"/>
      <c r="J106" s="104" t="n"/>
      <c r="K106" s="104" t="n"/>
      <c r="L106" s="104" t="n"/>
      <c r="M106" s="105" t="n"/>
      <c r="N106" s="22" t="n"/>
      <c r="O106" s="28" t="n"/>
      <c r="P106" s="28" t="n"/>
      <c r="Q106" s="28" t="n"/>
      <c r="R106" s="28" t="n"/>
      <c r="S106" s="28" t="n"/>
      <c r="T106" s="28" t="n"/>
      <c r="U106" s="28" t="n"/>
      <c r="V106" s="28" t="n"/>
      <c r="W106" s="28" t="n"/>
      <c r="X106" s="28" t="n"/>
      <c r="Y106" s="28" t="n"/>
      <c r="Z106" s="28" t="n"/>
      <c r="AA106" s="28" t="n"/>
      <c r="AB106" s="28" t="n"/>
      <c r="AC106" s="28" t="n"/>
      <c r="AD106" s="22" t="n"/>
      <c r="AE106" s="22" t="n"/>
      <c r="AF106" s="22" t="n"/>
      <c r="AG106" s="22" t="n"/>
      <c r="AH106" s="22" t="n"/>
      <c r="AI106" s="22" t="n"/>
    </row>
    <row r="107" ht="19.5" customHeight="1">
      <c r="A107" s="48" t="inlineStr">
        <is>
          <t>Diluted EPS (GAAP)</t>
        </is>
      </c>
      <c r="B107" s="62" t="n"/>
      <c r="C107" s="62" t="n"/>
      <c r="D107" s="62" t="n"/>
      <c r="E107" s="62" t="n"/>
      <c r="F107" s="62" t="n"/>
      <c r="G107" s="62" t="n"/>
      <c r="H107" s="62" t="n"/>
      <c r="I107" s="62" t="n"/>
      <c r="J107" s="62" t="n"/>
      <c r="K107" s="62" t="n"/>
      <c r="L107" s="62" t="n"/>
      <c r="M107" s="62" t="n"/>
      <c r="N107" s="22" t="n"/>
      <c r="O107" s="28" t="n"/>
      <c r="P107" s="28" t="n"/>
      <c r="Q107" s="28" t="n"/>
      <c r="R107" s="28" t="n"/>
      <c r="S107" s="28" t="n"/>
      <c r="T107" s="28" t="n"/>
      <c r="U107" s="28" t="n"/>
      <c r="V107" s="28" t="n"/>
      <c r="W107" s="28" t="n"/>
      <c r="X107" s="28" t="n"/>
      <c r="Y107" s="28" t="n"/>
      <c r="Z107" s="28" t="n"/>
      <c r="AA107" s="28" t="n"/>
      <c r="AB107" s="28" t="n"/>
      <c r="AC107" s="28" t="n"/>
      <c r="AD107" s="22" t="n"/>
      <c r="AE107" s="22" t="n"/>
      <c r="AF107" s="22" t="n"/>
      <c r="AG107" s="22" t="n"/>
      <c r="AH107" s="22" t="n"/>
      <c r="AI107" s="22" t="n"/>
    </row>
    <row r="108" ht="19.5" customHeight="1">
      <c r="A108" s="48" t="inlineStr">
        <is>
          <t>Diluted EPS YoY %</t>
        </is>
      </c>
      <c r="B108" s="451">
        <f>IF(OR(B$6="",COUNTIFS(History_Q!$C$2:$C$1000,"eps",History_Q!$B$2:$B$1000,(SUMIFS(History_Q!$B$2:$B$1000,History_Q!$A$2:$A$1000,B$6,History_Q!$C$2:$C$1000,"eps")),History_Q!$E$2:$E$1000,"$/share",History_Q!$G$2:$G$1000,"populated")&lt;&gt;1,COUNTIFS(History_Q!$C$2:$C$1000,"eps",History_Q!$B$2:$B$1000,(SUMIFS(History_Q!$B$2:$B$1000,History_Q!$A$2:$A$1000,B$6,History_Q!$C$2:$C$1000,"eps")-4),History_Q!$E$2:$E$1000,"$/share",History_Q!$G$2:$G$1000,"populated")&lt;&gt;1,SUMIFS(History_Q!$D$2:$D$1000,History_Q!$C$2:$C$1000,"eps",History_Q!$B$2:$B$1000,(SUMIFS(History_Q!$B$2:$B$1000,History_Q!$A$2:$A$1000,B$6,History_Q!$C$2:$C$1000,"eps")-4),History_Q!$E$2:$E$1000,"$/share",History_Q!$G$2:$G$1000,"populated")=0),"",SUMIFS(History_Q!$D$2:$D$1000,History_Q!$C$2:$C$1000,"eps",History_Q!$B$2:$B$1000,(SUMIFS(History_Q!$B$2:$B$1000,History_Q!$A$2:$A$1000,B$6,History_Q!$C$2:$C$1000,"eps")),History_Q!$E$2:$E$1000,"$/share",History_Q!$G$2:$G$1000,"populated")/SUMIFS(History_Q!$D$2:$D$1000,History_Q!$C$2:$C$1000,"eps",History_Q!$B$2:$B$1000,(SUMIFS(History_Q!$B$2:$B$1000,History_Q!$A$2:$A$1000,B$6,History_Q!$C$2:$C$1000,"eps")-4),History_Q!$E$2:$E$1000,"$/share",History_Q!$G$2:$G$1000,"populated")-1)</f>
        <v/>
      </c>
      <c r="C108" s="451">
        <f>IF(OR(C$6="",COUNTIFS(History_Q!$C$2:$C$1000,"eps",History_Q!$B$2:$B$1000,(SUMIFS(History_Q!$B$2:$B$1000,History_Q!$A$2:$A$1000,C$6,History_Q!$C$2:$C$1000,"eps")),History_Q!$E$2:$E$1000,"$/share",History_Q!$G$2:$G$1000,"populated")&lt;&gt;1,COUNTIFS(History_Q!$C$2:$C$1000,"eps",History_Q!$B$2:$B$1000,(SUMIFS(History_Q!$B$2:$B$1000,History_Q!$A$2:$A$1000,C$6,History_Q!$C$2:$C$1000,"eps")-4),History_Q!$E$2:$E$1000,"$/share",History_Q!$G$2:$G$1000,"populated")&lt;&gt;1,SUMIFS(History_Q!$D$2:$D$1000,History_Q!$C$2:$C$1000,"eps",History_Q!$B$2:$B$1000,(SUMIFS(History_Q!$B$2:$B$1000,History_Q!$A$2:$A$1000,C$6,History_Q!$C$2:$C$1000,"eps")-4),History_Q!$E$2:$E$1000,"$/share",History_Q!$G$2:$G$1000,"populated")=0),"",SUMIFS(History_Q!$D$2:$D$1000,History_Q!$C$2:$C$1000,"eps",History_Q!$B$2:$B$1000,(SUMIFS(History_Q!$B$2:$B$1000,History_Q!$A$2:$A$1000,C$6,History_Q!$C$2:$C$1000,"eps")),History_Q!$E$2:$E$1000,"$/share",History_Q!$G$2:$G$1000,"populated")/SUMIFS(History_Q!$D$2:$D$1000,History_Q!$C$2:$C$1000,"eps",History_Q!$B$2:$B$1000,(SUMIFS(History_Q!$B$2:$B$1000,History_Q!$A$2:$A$1000,C$6,History_Q!$C$2:$C$1000,"eps")-4),History_Q!$E$2:$E$1000,"$/share",History_Q!$G$2:$G$1000,"populated")-1)</f>
        <v/>
      </c>
      <c r="D108" s="451">
        <f>IF(OR(D$6="",COUNTIFS(History_Q!$C$2:$C$1000,"eps",History_Q!$B$2:$B$1000,(SUMIFS(History_Q!$B$2:$B$1000,History_Q!$A$2:$A$1000,D$6,History_Q!$C$2:$C$1000,"eps")),History_Q!$E$2:$E$1000,"$/share",History_Q!$G$2:$G$1000,"populated")&lt;&gt;1,COUNTIFS(History_Q!$C$2:$C$1000,"eps",History_Q!$B$2:$B$1000,(SUMIFS(History_Q!$B$2:$B$1000,History_Q!$A$2:$A$1000,D$6,History_Q!$C$2:$C$1000,"eps")-4),History_Q!$E$2:$E$1000,"$/share",History_Q!$G$2:$G$1000,"populated")&lt;&gt;1,SUMIFS(History_Q!$D$2:$D$1000,History_Q!$C$2:$C$1000,"eps",History_Q!$B$2:$B$1000,(SUMIFS(History_Q!$B$2:$B$1000,History_Q!$A$2:$A$1000,D$6,History_Q!$C$2:$C$1000,"eps")-4),History_Q!$E$2:$E$1000,"$/share",History_Q!$G$2:$G$1000,"populated")=0),"",SUMIFS(History_Q!$D$2:$D$1000,History_Q!$C$2:$C$1000,"eps",History_Q!$B$2:$B$1000,(SUMIFS(History_Q!$B$2:$B$1000,History_Q!$A$2:$A$1000,D$6,History_Q!$C$2:$C$1000,"eps")),History_Q!$E$2:$E$1000,"$/share",History_Q!$G$2:$G$1000,"populated")/SUMIFS(History_Q!$D$2:$D$1000,History_Q!$C$2:$C$1000,"eps",History_Q!$B$2:$B$1000,(SUMIFS(History_Q!$B$2:$B$1000,History_Q!$A$2:$A$1000,D$6,History_Q!$C$2:$C$1000,"eps")-4),History_Q!$E$2:$E$1000,"$/share",History_Q!$G$2:$G$1000,"populated")-1)</f>
        <v/>
      </c>
      <c r="E108" s="451">
        <f>IF(OR(E$6="",COUNTIFS(History_Q!$C$2:$C$1000,"eps",History_Q!$B$2:$B$1000,(SUMIFS(History_Q!$B$2:$B$1000,History_Q!$A$2:$A$1000,E$6,History_Q!$C$2:$C$1000,"eps")),History_Q!$E$2:$E$1000,"$/share",History_Q!$G$2:$G$1000,"populated")&lt;&gt;1,COUNTIFS(History_Q!$C$2:$C$1000,"eps",History_Q!$B$2:$B$1000,(SUMIFS(History_Q!$B$2:$B$1000,History_Q!$A$2:$A$1000,E$6,History_Q!$C$2:$C$1000,"eps")-4),History_Q!$E$2:$E$1000,"$/share",History_Q!$G$2:$G$1000,"populated")&lt;&gt;1,SUMIFS(History_Q!$D$2:$D$1000,History_Q!$C$2:$C$1000,"eps",History_Q!$B$2:$B$1000,(SUMIFS(History_Q!$B$2:$B$1000,History_Q!$A$2:$A$1000,E$6,History_Q!$C$2:$C$1000,"eps")-4),History_Q!$E$2:$E$1000,"$/share",History_Q!$G$2:$G$1000,"populated")=0),"",SUMIFS(History_Q!$D$2:$D$1000,History_Q!$C$2:$C$1000,"eps",History_Q!$B$2:$B$1000,(SUMIFS(History_Q!$B$2:$B$1000,History_Q!$A$2:$A$1000,E$6,History_Q!$C$2:$C$1000,"eps")),History_Q!$E$2:$E$1000,"$/share",History_Q!$G$2:$G$1000,"populated")/SUMIFS(History_Q!$D$2:$D$1000,History_Q!$C$2:$C$1000,"eps",History_Q!$B$2:$B$1000,(SUMIFS(History_Q!$B$2:$B$1000,History_Q!$A$2:$A$1000,E$6,History_Q!$C$2:$C$1000,"eps")-4),History_Q!$E$2:$E$1000,"$/share",History_Q!$G$2:$G$1000,"populated")-1)</f>
        <v/>
      </c>
      <c r="F108" s="451">
        <f>IF(OR(F$6="",COUNTIFS(History_Q!$C$2:$C$1000,"eps",History_Q!$B$2:$B$1000,(SUMIFS(History_Q!$B$2:$B$1000,History_Q!$A$2:$A$1000,F$6,History_Q!$C$2:$C$1000,"eps")),History_Q!$E$2:$E$1000,"$/share",History_Q!$G$2:$G$1000,"populated")&lt;&gt;1,COUNTIFS(History_Q!$C$2:$C$1000,"eps",History_Q!$B$2:$B$1000,(SUMIFS(History_Q!$B$2:$B$1000,History_Q!$A$2:$A$1000,F$6,History_Q!$C$2:$C$1000,"eps")-4),History_Q!$E$2:$E$1000,"$/share",History_Q!$G$2:$G$1000,"populated")&lt;&gt;1,SUMIFS(History_Q!$D$2:$D$1000,History_Q!$C$2:$C$1000,"eps",History_Q!$B$2:$B$1000,(SUMIFS(History_Q!$B$2:$B$1000,History_Q!$A$2:$A$1000,F$6,History_Q!$C$2:$C$1000,"eps")-4),History_Q!$E$2:$E$1000,"$/share",History_Q!$G$2:$G$1000,"populated")=0),"",SUMIFS(History_Q!$D$2:$D$1000,History_Q!$C$2:$C$1000,"eps",History_Q!$B$2:$B$1000,(SUMIFS(History_Q!$B$2:$B$1000,History_Q!$A$2:$A$1000,F$6,History_Q!$C$2:$C$1000,"eps")),History_Q!$E$2:$E$1000,"$/share",History_Q!$G$2:$G$1000,"populated")/SUMIFS(History_Q!$D$2:$D$1000,History_Q!$C$2:$C$1000,"eps",History_Q!$B$2:$B$1000,(SUMIFS(History_Q!$B$2:$B$1000,History_Q!$A$2:$A$1000,F$6,History_Q!$C$2:$C$1000,"eps")-4),History_Q!$E$2:$E$1000,"$/share",History_Q!$G$2:$G$1000,"populated")-1)</f>
        <v/>
      </c>
      <c r="G108" s="451">
        <f>IF(OR(G$6="",COUNTIFS(History_Q!$C$2:$C$1000,"eps",History_Q!$B$2:$B$1000,(SUMIFS(History_Q!$B$2:$B$1000,History_Q!$A$2:$A$1000,G$6,History_Q!$C$2:$C$1000,"eps")),History_Q!$E$2:$E$1000,"$/share",History_Q!$G$2:$G$1000,"populated")&lt;&gt;1,COUNTIFS(History_Q!$C$2:$C$1000,"eps",History_Q!$B$2:$B$1000,(SUMIFS(History_Q!$B$2:$B$1000,History_Q!$A$2:$A$1000,G$6,History_Q!$C$2:$C$1000,"eps")-4),History_Q!$E$2:$E$1000,"$/share",History_Q!$G$2:$G$1000,"populated")&lt;&gt;1,SUMIFS(History_Q!$D$2:$D$1000,History_Q!$C$2:$C$1000,"eps",History_Q!$B$2:$B$1000,(SUMIFS(History_Q!$B$2:$B$1000,History_Q!$A$2:$A$1000,G$6,History_Q!$C$2:$C$1000,"eps")-4),History_Q!$E$2:$E$1000,"$/share",History_Q!$G$2:$G$1000,"populated")=0),"",SUMIFS(History_Q!$D$2:$D$1000,History_Q!$C$2:$C$1000,"eps",History_Q!$B$2:$B$1000,(SUMIFS(History_Q!$B$2:$B$1000,History_Q!$A$2:$A$1000,G$6,History_Q!$C$2:$C$1000,"eps")),History_Q!$E$2:$E$1000,"$/share",History_Q!$G$2:$G$1000,"populated")/SUMIFS(History_Q!$D$2:$D$1000,History_Q!$C$2:$C$1000,"eps",History_Q!$B$2:$B$1000,(SUMIFS(History_Q!$B$2:$B$1000,History_Q!$A$2:$A$1000,G$6,History_Q!$C$2:$C$1000,"eps")-4),History_Q!$E$2:$E$1000,"$/share",History_Q!$G$2:$G$1000,"populated")-1)</f>
        <v/>
      </c>
      <c r="H108" s="451">
        <f>IF(OR(H$6="",COUNTIFS(History_Q!$C$2:$C$1000,"eps",History_Q!$B$2:$B$1000,(SUMIFS(History_Q!$B$2:$B$1000,History_Q!$A$2:$A$1000,H$6,History_Q!$C$2:$C$1000,"eps")),History_Q!$E$2:$E$1000,"$/share",History_Q!$G$2:$G$1000,"populated")&lt;&gt;1,COUNTIFS(History_Q!$C$2:$C$1000,"eps",History_Q!$B$2:$B$1000,(SUMIFS(History_Q!$B$2:$B$1000,History_Q!$A$2:$A$1000,H$6,History_Q!$C$2:$C$1000,"eps")-4),History_Q!$E$2:$E$1000,"$/share",History_Q!$G$2:$G$1000,"populated")&lt;&gt;1,SUMIFS(History_Q!$D$2:$D$1000,History_Q!$C$2:$C$1000,"eps",History_Q!$B$2:$B$1000,(SUMIFS(History_Q!$B$2:$B$1000,History_Q!$A$2:$A$1000,H$6,History_Q!$C$2:$C$1000,"eps")-4),History_Q!$E$2:$E$1000,"$/share",History_Q!$G$2:$G$1000,"populated")=0),"",SUMIFS(History_Q!$D$2:$D$1000,History_Q!$C$2:$C$1000,"eps",History_Q!$B$2:$B$1000,(SUMIFS(History_Q!$B$2:$B$1000,History_Q!$A$2:$A$1000,H$6,History_Q!$C$2:$C$1000,"eps")),History_Q!$E$2:$E$1000,"$/share",History_Q!$G$2:$G$1000,"populated")/SUMIFS(History_Q!$D$2:$D$1000,History_Q!$C$2:$C$1000,"eps",History_Q!$B$2:$B$1000,(SUMIFS(History_Q!$B$2:$B$1000,History_Q!$A$2:$A$1000,H$6,History_Q!$C$2:$C$1000,"eps")-4),History_Q!$E$2:$E$1000,"$/share",History_Q!$G$2:$G$1000,"populated")-1)</f>
        <v/>
      </c>
      <c r="I108" s="451">
        <f>IF(OR(I$6="",COUNTIFS(History_Q!$C$2:$C$1000,"eps",History_Q!$B$2:$B$1000,(SUMIFS(History_Q!$B$2:$B$1000,History_Q!$A$2:$A$1000,I$6,History_Q!$C$2:$C$1000,"eps")),History_Q!$E$2:$E$1000,"$/share",History_Q!$G$2:$G$1000,"populated")&lt;&gt;1,COUNTIFS(History_Q!$C$2:$C$1000,"eps",History_Q!$B$2:$B$1000,(SUMIFS(History_Q!$B$2:$B$1000,History_Q!$A$2:$A$1000,I$6,History_Q!$C$2:$C$1000,"eps")-4),History_Q!$E$2:$E$1000,"$/share",History_Q!$G$2:$G$1000,"populated")&lt;&gt;1,SUMIFS(History_Q!$D$2:$D$1000,History_Q!$C$2:$C$1000,"eps",History_Q!$B$2:$B$1000,(SUMIFS(History_Q!$B$2:$B$1000,History_Q!$A$2:$A$1000,I$6,History_Q!$C$2:$C$1000,"eps")-4),History_Q!$E$2:$E$1000,"$/share",History_Q!$G$2:$G$1000,"populated")=0),"",SUMIFS(History_Q!$D$2:$D$1000,History_Q!$C$2:$C$1000,"eps",History_Q!$B$2:$B$1000,(SUMIFS(History_Q!$B$2:$B$1000,History_Q!$A$2:$A$1000,I$6,History_Q!$C$2:$C$1000,"eps")),History_Q!$E$2:$E$1000,"$/share",History_Q!$G$2:$G$1000,"populated")/SUMIFS(History_Q!$D$2:$D$1000,History_Q!$C$2:$C$1000,"eps",History_Q!$B$2:$B$1000,(SUMIFS(History_Q!$B$2:$B$1000,History_Q!$A$2:$A$1000,I$6,History_Q!$C$2:$C$1000,"eps")-4),History_Q!$E$2:$E$1000,"$/share",History_Q!$G$2:$G$1000,"populated")-1)</f>
        <v/>
      </c>
      <c r="J108" s="451">
        <f>IF(OR(J$6="",COUNTIFS(History_Q!$C$2:$C$1000,"eps",History_Q!$B$2:$B$1000,(SUMIFS(History_Q!$B$2:$B$1000,History_Q!$A$2:$A$1000,J$6,History_Q!$C$2:$C$1000,"eps")),History_Q!$E$2:$E$1000,"$/share",History_Q!$G$2:$G$1000,"populated")&lt;&gt;1,COUNTIFS(History_Q!$C$2:$C$1000,"eps",History_Q!$B$2:$B$1000,(SUMIFS(History_Q!$B$2:$B$1000,History_Q!$A$2:$A$1000,J$6,History_Q!$C$2:$C$1000,"eps")-4),History_Q!$E$2:$E$1000,"$/share",History_Q!$G$2:$G$1000,"populated")&lt;&gt;1,SUMIFS(History_Q!$D$2:$D$1000,History_Q!$C$2:$C$1000,"eps",History_Q!$B$2:$B$1000,(SUMIFS(History_Q!$B$2:$B$1000,History_Q!$A$2:$A$1000,J$6,History_Q!$C$2:$C$1000,"eps")-4),History_Q!$E$2:$E$1000,"$/share",History_Q!$G$2:$G$1000,"populated")=0),"",SUMIFS(History_Q!$D$2:$D$1000,History_Q!$C$2:$C$1000,"eps",History_Q!$B$2:$B$1000,(SUMIFS(History_Q!$B$2:$B$1000,History_Q!$A$2:$A$1000,J$6,History_Q!$C$2:$C$1000,"eps")),History_Q!$E$2:$E$1000,"$/share",History_Q!$G$2:$G$1000,"populated")/SUMIFS(History_Q!$D$2:$D$1000,History_Q!$C$2:$C$1000,"eps",History_Q!$B$2:$B$1000,(SUMIFS(History_Q!$B$2:$B$1000,History_Q!$A$2:$A$1000,J$6,History_Q!$C$2:$C$1000,"eps")-4),History_Q!$E$2:$E$1000,"$/share",History_Q!$G$2:$G$1000,"populated")-1)</f>
        <v/>
      </c>
      <c r="K108" s="451">
        <f>IF(OR(K$6="",COUNTIFS(History_Q!$C$2:$C$1000,"eps",History_Q!$B$2:$B$1000,(SUMIFS(History_Q!$B$2:$B$1000,History_Q!$A$2:$A$1000,K$6,History_Q!$C$2:$C$1000,"eps")),History_Q!$E$2:$E$1000,"$/share",History_Q!$G$2:$G$1000,"populated")&lt;&gt;1,COUNTIFS(History_Q!$C$2:$C$1000,"eps",History_Q!$B$2:$B$1000,(SUMIFS(History_Q!$B$2:$B$1000,History_Q!$A$2:$A$1000,K$6,History_Q!$C$2:$C$1000,"eps")-4),History_Q!$E$2:$E$1000,"$/share",History_Q!$G$2:$G$1000,"populated")&lt;&gt;1,SUMIFS(History_Q!$D$2:$D$1000,History_Q!$C$2:$C$1000,"eps",History_Q!$B$2:$B$1000,(SUMIFS(History_Q!$B$2:$B$1000,History_Q!$A$2:$A$1000,K$6,History_Q!$C$2:$C$1000,"eps")-4),History_Q!$E$2:$E$1000,"$/share",History_Q!$G$2:$G$1000,"populated")=0),"",SUMIFS(History_Q!$D$2:$D$1000,History_Q!$C$2:$C$1000,"eps",History_Q!$B$2:$B$1000,(SUMIFS(History_Q!$B$2:$B$1000,History_Q!$A$2:$A$1000,K$6,History_Q!$C$2:$C$1000,"eps")),History_Q!$E$2:$E$1000,"$/share",History_Q!$G$2:$G$1000,"populated")/SUMIFS(History_Q!$D$2:$D$1000,History_Q!$C$2:$C$1000,"eps",History_Q!$B$2:$B$1000,(SUMIFS(History_Q!$B$2:$B$1000,History_Q!$A$2:$A$1000,K$6,History_Q!$C$2:$C$1000,"eps")-4),History_Q!$E$2:$E$1000,"$/share",History_Q!$G$2:$G$1000,"populated")-1)</f>
        <v/>
      </c>
      <c r="L108" s="451">
        <f>IF(OR(L$6="",COUNTIFS(History_Q!$C$2:$C$1000,"eps",History_Q!$B$2:$B$1000,(SUMIFS(History_Q!$B$2:$B$1000,History_Q!$A$2:$A$1000,L$6,History_Q!$C$2:$C$1000,"eps")),History_Q!$E$2:$E$1000,"$/share",History_Q!$G$2:$G$1000,"populated")&lt;&gt;1,COUNTIFS(History_Q!$C$2:$C$1000,"eps",History_Q!$B$2:$B$1000,(SUMIFS(History_Q!$B$2:$B$1000,History_Q!$A$2:$A$1000,L$6,History_Q!$C$2:$C$1000,"eps")-4),History_Q!$E$2:$E$1000,"$/share",History_Q!$G$2:$G$1000,"populated")&lt;&gt;1,SUMIFS(History_Q!$D$2:$D$1000,History_Q!$C$2:$C$1000,"eps",History_Q!$B$2:$B$1000,(SUMIFS(History_Q!$B$2:$B$1000,History_Q!$A$2:$A$1000,L$6,History_Q!$C$2:$C$1000,"eps")-4),History_Q!$E$2:$E$1000,"$/share",History_Q!$G$2:$G$1000,"populated")=0),"",SUMIFS(History_Q!$D$2:$D$1000,History_Q!$C$2:$C$1000,"eps",History_Q!$B$2:$B$1000,(SUMIFS(History_Q!$B$2:$B$1000,History_Q!$A$2:$A$1000,L$6,History_Q!$C$2:$C$1000,"eps")),History_Q!$E$2:$E$1000,"$/share",History_Q!$G$2:$G$1000,"populated")/SUMIFS(History_Q!$D$2:$D$1000,History_Q!$C$2:$C$1000,"eps",History_Q!$B$2:$B$1000,(SUMIFS(History_Q!$B$2:$B$1000,History_Q!$A$2:$A$1000,L$6,History_Q!$C$2:$C$1000,"eps")-4),History_Q!$E$2:$E$1000,"$/share",History_Q!$G$2:$G$1000,"populated")-1)</f>
        <v/>
      </c>
      <c r="M108" s="451">
        <f>IF(OR(M$6="",COUNTIFS(History_Q!$C$2:$C$1000,"eps",History_Q!$B$2:$B$1000,(SUMIFS(History_Q!$B$2:$B$1000,History_Q!$A$2:$A$1000,M$6,History_Q!$C$2:$C$1000,"eps")),History_Q!$E$2:$E$1000,"$/share",History_Q!$G$2:$G$1000,"populated")&lt;&gt;1,COUNTIFS(History_Q!$C$2:$C$1000,"eps",History_Q!$B$2:$B$1000,(SUMIFS(History_Q!$B$2:$B$1000,History_Q!$A$2:$A$1000,M$6,History_Q!$C$2:$C$1000,"eps")-4),History_Q!$E$2:$E$1000,"$/share",History_Q!$G$2:$G$1000,"populated")&lt;&gt;1,SUMIFS(History_Q!$D$2:$D$1000,History_Q!$C$2:$C$1000,"eps",History_Q!$B$2:$B$1000,(SUMIFS(History_Q!$B$2:$B$1000,History_Q!$A$2:$A$1000,M$6,History_Q!$C$2:$C$1000,"eps")-4),History_Q!$E$2:$E$1000,"$/share",History_Q!$G$2:$G$1000,"populated")=0),"",SUMIFS(History_Q!$D$2:$D$1000,History_Q!$C$2:$C$1000,"eps",History_Q!$B$2:$B$1000,(SUMIFS(History_Q!$B$2:$B$1000,History_Q!$A$2:$A$1000,M$6,History_Q!$C$2:$C$1000,"eps")),History_Q!$E$2:$E$1000,"$/share",History_Q!$G$2:$G$1000,"populated")/SUMIFS(History_Q!$D$2:$D$1000,History_Q!$C$2:$C$1000,"eps",History_Q!$B$2:$B$1000,(SUMIFS(History_Q!$B$2:$B$1000,History_Q!$A$2:$A$1000,M$6,History_Q!$C$2:$C$1000,"eps")-4),History_Q!$E$2:$E$1000,"$/share",History_Q!$G$2:$G$1000,"populated")-1)</f>
        <v/>
      </c>
      <c r="N108" s="22" t="n"/>
      <c r="O108" s="28" t="n"/>
      <c r="P108" s="28" t="n"/>
      <c r="Q108" s="28" t="n"/>
      <c r="R108" s="28" t="n"/>
      <c r="S108" s="28" t="n"/>
      <c r="T108" s="28" t="n"/>
      <c r="U108" s="28" t="n"/>
      <c r="V108" s="28" t="n"/>
      <c r="W108" s="28" t="n"/>
      <c r="X108" s="28" t="n"/>
      <c r="Y108" s="28" t="n"/>
      <c r="Z108" s="28" t="n"/>
      <c r="AA108" s="28" t="n"/>
      <c r="AB108" s="28" t="n"/>
      <c r="AC108" s="28" t="n"/>
      <c r="AD108" s="22" t="n"/>
      <c r="AE108" s="22" t="n"/>
      <c r="AF108" s="22" t="n"/>
      <c r="AG108" s="22" t="n"/>
      <c r="AH108" s="22" t="n"/>
      <c r="AI108" s="22" t="n"/>
    </row>
    <row r="109" ht="19.5" customHeight="1">
      <c r="A109" s="48" t="inlineStr">
        <is>
          <t>Diluted EPS (GAAP, TTM)</t>
        </is>
      </c>
      <c r="B109" s="462">
        <f>IF(OR(B$6="",COUNTIFS(History_Q!$C$2:$C$1000,"eps",History_Q!$B$2:$B$1000,"&gt;="&amp;((SUMIFS(History_Q!$B$2:$B$1000,History_Q!$A$2:$A$1000,B$6,History_Q!$C$2:$C$1000,"eps"))-3),History_Q!$B$2:$B$1000,"&lt;="&amp;(SUMIFS(History_Q!$B$2:$B$1000,History_Q!$A$2:$A$1000,B$6,History_Q!$C$2:$C$1000,"eps")),History_Q!$E$2:$E$1000,"$/share",History_Q!$G$2:$G$1000,"populated")&lt;&gt;4,_xlfn.MAXIFS(History_Q!$B$2:$B$1000,History_Q!$C$2:$C$1000,"eps",History_Q!$B$2:$B$1000,"&gt;="&amp;((SUMIFS(History_Q!$B$2:$B$1000,History_Q!$A$2:$A$1000,B$6,History_Q!$C$2:$C$1000,"eps"))-3),History_Q!$B$2:$B$1000,"&lt;="&amp;(SUMIFS(History_Q!$B$2:$B$1000,History_Q!$A$2:$A$1000,B$6,History_Q!$C$2:$C$1000,"eps")),History_Q!$E$2:$E$1000,"$/share",History_Q!$G$2:$G$1000,"populated")-_xlfn.MINIFS(History_Q!$B$2:$B$1000,History_Q!$C$2:$C$1000,"eps",History_Q!$B$2:$B$1000,"&gt;="&amp;((SUMIFS(History_Q!$B$2:$B$1000,History_Q!$A$2:$A$1000,B$6,History_Q!$C$2:$C$1000,"eps"))-3),History_Q!$B$2:$B$1000,"&lt;="&amp;(SUMIFS(History_Q!$B$2:$B$1000,History_Q!$A$2:$A$1000,B$6,History_Q!$C$2:$C$1000,"eps")),History_Q!$E$2:$E$1000,"$/share",History_Q!$G$2:$G$1000,"populated")&lt;&gt;3),"",SUMIFS(History_Q!$D$2:$D$1000,History_Q!$C$2:$C$1000,"eps",History_Q!$B$2:$B$1000,"&gt;="&amp;((SUMIFS(History_Q!$B$2:$B$1000,History_Q!$A$2:$A$1000,B$6,History_Q!$C$2:$C$1000,"eps"))-3),History_Q!$B$2:$B$1000,"&lt;="&amp;(SUMIFS(History_Q!$B$2:$B$1000,History_Q!$A$2:$A$1000,B$6,History_Q!$C$2:$C$1000,"eps")),History_Q!$E$2:$E$1000,"$/share",History_Q!$G$2:$G$1000,"populated"))</f>
        <v/>
      </c>
      <c r="C109" s="462">
        <f>IF(OR(C$6="",COUNTIFS(History_Q!$C$2:$C$1000,"eps",History_Q!$B$2:$B$1000,"&gt;="&amp;((SUMIFS(History_Q!$B$2:$B$1000,History_Q!$A$2:$A$1000,C$6,History_Q!$C$2:$C$1000,"eps"))-3),History_Q!$B$2:$B$1000,"&lt;="&amp;(SUMIFS(History_Q!$B$2:$B$1000,History_Q!$A$2:$A$1000,C$6,History_Q!$C$2:$C$1000,"eps")),History_Q!$E$2:$E$1000,"$/share",History_Q!$G$2:$G$1000,"populated")&lt;&gt;4,_xlfn.MAXIFS(History_Q!$B$2:$B$1000,History_Q!$C$2:$C$1000,"eps",History_Q!$B$2:$B$1000,"&gt;="&amp;((SUMIFS(History_Q!$B$2:$B$1000,History_Q!$A$2:$A$1000,C$6,History_Q!$C$2:$C$1000,"eps"))-3),History_Q!$B$2:$B$1000,"&lt;="&amp;(SUMIFS(History_Q!$B$2:$B$1000,History_Q!$A$2:$A$1000,C$6,History_Q!$C$2:$C$1000,"eps")),History_Q!$E$2:$E$1000,"$/share",History_Q!$G$2:$G$1000,"populated")-_xlfn.MINIFS(History_Q!$B$2:$B$1000,History_Q!$C$2:$C$1000,"eps",History_Q!$B$2:$B$1000,"&gt;="&amp;((SUMIFS(History_Q!$B$2:$B$1000,History_Q!$A$2:$A$1000,C$6,History_Q!$C$2:$C$1000,"eps"))-3),History_Q!$B$2:$B$1000,"&lt;="&amp;(SUMIFS(History_Q!$B$2:$B$1000,History_Q!$A$2:$A$1000,C$6,History_Q!$C$2:$C$1000,"eps")),History_Q!$E$2:$E$1000,"$/share",History_Q!$G$2:$G$1000,"populated")&lt;&gt;3),"",SUMIFS(History_Q!$D$2:$D$1000,History_Q!$C$2:$C$1000,"eps",History_Q!$B$2:$B$1000,"&gt;="&amp;((SUMIFS(History_Q!$B$2:$B$1000,History_Q!$A$2:$A$1000,C$6,History_Q!$C$2:$C$1000,"eps"))-3),History_Q!$B$2:$B$1000,"&lt;="&amp;(SUMIFS(History_Q!$B$2:$B$1000,History_Q!$A$2:$A$1000,C$6,History_Q!$C$2:$C$1000,"eps")),History_Q!$E$2:$E$1000,"$/share",History_Q!$G$2:$G$1000,"populated"))</f>
        <v/>
      </c>
      <c r="D109" s="462">
        <f>IF(OR(D$6="",COUNTIFS(History_Q!$C$2:$C$1000,"eps",History_Q!$B$2:$B$1000,"&gt;="&amp;((SUMIFS(History_Q!$B$2:$B$1000,History_Q!$A$2:$A$1000,D$6,History_Q!$C$2:$C$1000,"eps"))-3),History_Q!$B$2:$B$1000,"&lt;="&amp;(SUMIFS(History_Q!$B$2:$B$1000,History_Q!$A$2:$A$1000,D$6,History_Q!$C$2:$C$1000,"eps")),History_Q!$E$2:$E$1000,"$/share",History_Q!$G$2:$G$1000,"populated")&lt;&gt;4,_xlfn.MAXIFS(History_Q!$B$2:$B$1000,History_Q!$C$2:$C$1000,"eps",History_Q!$B$2:$B$1000,"&gt;="&amp;((SUMIFS(History_Q!$B$2:$B$1000,History_Q!$A$2:$A$1000,D$6,History_Q!$C$2:$C$1000,"eps"))-3),History_Q!$B$2:$B$1000,"&lt;="&amp;(SUMIFS(History_Q!$B$2:$B$1000,History_Q!$A$2:$A$1000,D$6,History_Q!$C$2:$C$1000,"eps")),History_Q!$E$2:$E$1000,"$/share",History_Q!$G$2:$G$1000,"populated")-_xlfn.MINIFS(History_Q!$B$2:$B$1000,History_Q!$C$2:$C$1000,"eps",History_Q!$B$2:$B$1000,"&gt;="&amp;((SUMIFS(History_Q!$B$2:$B$1000,History_Q!$A$2:$A$1000,D$6,History_Q!$C$2:$C$1000,"eps"))-3),History_Q!$B$2:$B$1000,"&lt;="&amp;(SUMIFS(History_Q!$B$2:$B$1000,History_Q!$A$2:$A$1000,D$6,History_Q!$C$2:$C$1000,"eps")),History_Q!$E$2:$E$1000,"$/share",History_Q!$G$2:$G$1000,"populated")&lt;&gt;3),"",SUMIFS(History_Q!$D$2:$D$1000,History_Q!$C$2:$C$1000,"eps",History_Q!$B$2:$B$1000,"&gt;="&amp;((SUMIFS(History_Q!$B$2:$B$1000,History_Q!$A$2:$A$1000,D$6,History_Q!$C$2:$C$1000,"eps"))-3),History_Q!$B$2:$B$1000,"&lt;="&amp;(SUMIFS(History_Q!$B$2:$B$1000,History_Q!$A$2:$A$1000,D$6,History_Q!$C$2:$C$1000,"eps")),History_Q!$E$2:$E$1000,"$/share",History_Q!$G$2:$G$1000,"populated"))</f>
        <v/>
      </c>
      <c r="E109" s="462">
        <f>IF(OR(E$6="",COUNTIFS(History_Q!$C$2:$C$1000,"eps",History_Q!$B$2:$B$1000,"&gt;="&amp;((SUMIFS(History_Q!$B$2:$B$1000,History_Q!$A$2:$A$1000,E$6,History_Q!$C$2:$C$1000,"eps"))-3),History_Q!$B$2:$B$1000,"&lt;="&amp;(SUMIFS(History_Q!$B$2:$B$1000,History_Q!$A$2:$A$1000,E$6,History_Q!$C$2:$C$1000,"eps")),History_Q!$E$2:$E$1000,"$/share",History_Q!$G$2:$G$1000,"populated")&lt;&gt;4,_xlfn.MAXIFS(History_Q!$B$2:$B$1000,History_Q!$C$2:$C$1000,"eps",History_Q!$B$2:$B$1000,"&gt;="&amp;((SUMIFS(History_Q!$B$2:$B$1000,History_Q!$A$2:$A$1000,E$6,History_Q!$C$2:$C$1000,"eps"))-3),History_Q!$B$2:$B$1000,"&lt;="&amp;(SUMIFS(History_Q!$B$2:$B$1000,History_Q!$A$2:$A$1000,E$6,History_Q!$C$2:$C$1000,"eps")),History_Q!$E$2:$E$1000,"$/share",History_Q!$G$2:$G$1000,"populated")-_xlfn.MINIFS(History_Q!$B$2:$B$1000,History_Q!$C$2:$C$1000,"eps",History_Q!$B$2:$B$1000,"&gt;="&amp;((SUMIFS(History_Q!$B$2:$B$1000,History_Q!$A$2:$A$1000,E$6,History_Q!$C$2:$C$1000,"eps"))-3),History_Q!$B$2:$B$1000,"&lt;="&amp;(SUMIFS(History_Q!$B$2:$B$1000,History_Q!$A$2:$A$1000,E$6,History_Q!$C$2:$C$1000,"eps")),History_Q!$E$2:$E$1000,"$/share",History_Q!$G$2:$G$1000,"populated")&lt;&gt;3),"",SUMIFS(History_Q!$D$2:$D$1000,History_Q!$C$2:$C$1000,"eps",History_Q!$B$2:$B$1000,"&gt;="&amp;((SUMIFS(History_Q!$B$2:$B$1000,History_Q!$A$2:$A$1000,E$6,History_Q!$C$2:$C$1000,"eps"))-3),History_Q!$B$2:$B$1000,"&lt;="&amp;(SUMIFS(History_Q!$B$2:$B$1000,History_Q!$A$2:$A$1000,E$6,History_Q!$C$2:$C$1000,"eps")),History_Q!$E$2:$E$1000,"$/share",History_Q!$G$2:$G$1000,"populated"))</f>
        <v/>
      </c>
      <c r="F109" s="462">
        <f>IF(OR(F$6="",COUNTIFS(History_Q!$C$2:$C$1000,"eps",History_Q!$B$2:$B$1000,"&gt;="&amp;((SUMIFS(History_Q!$B$2:$B$1000,History_Q!$A$2:$A$1000,F$6,History_Q!$C$2:$C$1000,"eps"))-3),History_Q!$B$2:$B$1000,"&lt;="&amp;(SUMIFS(History_Q!$B$2:$B$1000,History_Q!$A$2:$A$1000,F$6,History_Q!$C$2:$C$1000,"eps")),History_Q!$E$2:$E$1000,"$/share",History_Q!$G$2:$G$1000,"populated")&lt;&gt;4,_xlfn.MAXIFS(History_Q!$B$2:$B$1000,History_Q!$C$2:$C$1000,"eps",History_Q!$B$2:$B$1000,"&gt;="&amp;((SUMIFS(History_Q!$B$2:$B$1000,History_Q!$A$2:$A$1000,F$6,History_Q!$C$2:$C$1000,"eps"))-3),History_Q!$B$2:$B$1000,"&lt;="&amp;(SUMIFS(History_Q!$B$2:$B$1000,History_Q!$A$2:$A$1000,F$6,History_Q!$C$2:$C$1000,"eps")),History_Q!$E$2:$E$1000,"$/share",History_Q!$G$2:$G$1000,"populated")-_xlfn.MINIFS(History_Q!$B$2:$B$1000,History_Q!$C$2:$C$1000,"eps",History_Q!$B$2:$B$1000,"&gt;="&amp;((SUMIFS(History_Q!$B$2:$B$1000,History_Q!$A$2:$A$1000,F$6,History_Q!$C$2:$C$1000,"eps"))-3),History_Q!$B$2:$B$1000,"&lt;="&amp;(SUMIFS(History_Q!$B$2:$B$1000,History_Q!$A$2:$A$1000,F$6,History_Q!$C$2:$C$1000,"eps")),History_Q!$E$2:$E$1000,"$/share",History_Q!$G$2:$G$1000,"populated")&lt;&gt;3),"",SUMIFS(History_Q!$D$2:$D$1000,History_Q!$C$2:$C$1000,"eps",History_Q!$B$2:$B$1000,"&gt;="&amp;((SUMIFS(History_Q!$B$2:$B$1000,History_Q!$A$2:$A$1000,F$6,History_Q!$C$2:$C$1000,"eps"))-3),History_Q!$B$2:$B$1000,"&lt;="&amp;(SUMIFS(History_Q!$B$2:$B$1000,History_Q!$A$2:$A$1000,F$6,History_Q!$C$2:$C$1000,"eps")),History_Q!$E$2:$E$1000,"$/share",History_Q!$G$2:$G$1000,"populated"))</f>
        <v/>
      </c>
      <c r="G109" s="462">
        <f>IF(OR(G$6="",COUNTIFS(History_Q!$C$2:$C$1000,"eps",History_Q!$B$2:$B$1000,"&gt;="&amp;((SUMIFS(History_Q!$B$2:$B$1000,History_Q!$A$2:$A$1000,G$6,History_Q!$C$2:$C$1000,"eps"))-3),History_Q!$B$2:$B$1000,"&lt;="&amp;(SUMIFS(History_Q!$B$2:$B$1000,History_Q!$A$2:$A$1000,G$6,History_Q!$C$2:$C$1000,"eps")),History_Q!$E$2:$E$1000,"$/share",History_Q!$G$2:$G$1000,"populated")&lt;&gt;4,_xlfn.MAXIFS(History_Q!$B$2:$B$1000,History_Q!$C$2:$C$1000,"eps",History_Q!$B$2:$B$1000,"&gt;="&amp;((SUMIFS(History_Q!$B$2:$B$1000,History_Q!$A$2:$A$1000,G$6,History_Q!$C$2:$C$1000,"eps"))-3),History_Q!$B$2:$B$1000,"&lt;="&amp;(SUMIFS(History_Q!$B$2:$B$1000,History_Q!$A$2:$A$1000,G$6,History_Q!$C$2:$C$1000,"eps")),History_Q!$E$2:$E$1000,"$/share",History_Q!$G$2:$G$1000,"populated")-_xlfn.MINIFS(History_Q!$B$2:$B$1000,History_Q!$C$2:$C$1000,"eps",History_Q!$B$2:$B$1000,"&gt;="&amp;((SUMIFS(History_Q!$B$2:$B$1000,History_Q!$A$2:$A$1000,G$6,History_Q!$C$2:$C$1000,"eps"))-3),History_Q!$B$2:$B$1000,"&lt;="&amp;(SUMIFS(History_Q!$B$2:$B$1000,History_Q!$A$2:$A$1000,G$6,History_Q!$C$2:$C$1000,"eps")),History_Q!$E$2:$E$1000,"$/share",History_Q!$G$2:$G$1000,"populated")&lt;&gt;3),"",SUMIFS(History_Q!$D$2:$D$1000,History_Q!$C$2:$C$1000,"eps",History_Q!$B$2:$B$1000,"&gt;="&amp;((SUMIFS(History_Q!$B$2:$B$1000,History_Q!$A$2:$A$1000,G$6,History_Q!$C$2:$C$1000,"eps"))-3),History_Q!$B$2:$B$1000,"&lt;="&amp;(SUMIFS(History_Q!$B$2:$B$1000,History_Q!$A$2:$A$1000,G$6,History_Q!$C$2:$C$1000,"eps")),History_Q!$E$2:$E$1000,"$/share",History_Q!$G$2:$G$1000,"populated"))</f>
        <v/>
      </c>
      <c r="H109" s="462">
        <f>IF(OR(H$6="",COUNTIFS(History_Q!$C$2:$C$1000,"eps",History_Q!$B$2:$B$1000,"&gt;="&amp;((SUMIFS(History_Q!$B$2:$B$1000,History_Q!$A$2:$A$1000,H$6,History_Q!$C$2:$C$1000,"eps"))-3),History_Q!$B$2:$B$1000,"&lt;="&amp;(SUMIFS(History_Q!$B$2:$B$1000,History_Q!$A$2:$A$1000,H$6,History_Q!$C$2:$C$1000,"eps")),History_Q!$E$2:$E$1000,"$/share",History_Q!$G$2:$G$1000,"populated")&lt;&gt;4,_xlfn.MAXIFS(History_Q!$B$2:$B$1000,History_Q!$C$2:$C$1000,"eps",History_Q!$B$2:$B$1000,"&gt;="&amp;((SUMIFS(History_Q!$B$2:$B$1000,History_Q!$A$2:$A$1000,H$6,History_Q!$C$2:$C$1000,"eps"))-3),History_Q!$B$2:$B$1000,"&lt;="&amp;(SUMIFS(History_Q!$B$2:$B$1000,History_Q!$A$2:$A$1000,H$6,History_Q!$C$2:$C$1000,"eps")),History_Q!$E$2:$E$1000,"$/share",History_Q!$G$2:$G$1000,"populated")-_xlfn.MINIFS(History_Q!$B$2:$B$1000,History_Q!$C$2:$C$1000,"eps",History_Q!$B$2:$B$1000,"&gt;="&amp;((SUMIFS(History_Q!$B$2:$B$1000,History_Q!$A$2:$A$1000,H$6,History_Q!$C$2:$C$1000,"eps"))-3),History_Q!$B$2:$B$1000,"&lt;="&amp;(SUMIFS(History_Q!$B$2:$B$1000,History_Q!$A$2:$A$1000,H$6,History_Q!$C$2:$C$1000,"eps")),History_Q!$E$2:$E$1000,"$/share",History_Q!$G$2:$G$1000,"populated")&lt;&gt;3),"",SUMIFS(History_Q!$D$2:$D$1000,History_Q!$C$2:$C$1000,"eps",History_Q!$B$2:$B$1000,"&gt;="&amp;((SUMIFS(History_Q!$B$2:$B$1000,History_Q!$A$2:$A$1000,H$6,History_Q!$C$2:$C$1000,"eps"))-3),History_Q!$B$2:$B$1000,"&lt;="&amp;(SUMIFS(History_Q!$B$2:$B$1000,History_Q!$A$2:$A$1000,H$6,History_Q!$C$2:$C$1000,"eps")),History_Q!$E$2:$E$1000,"$/share",History_Q!$G$2:$G$1000,"populated"))</f>
        <v/>
      </c>
      <c r="I109" s="462">
        <f>IF(OR(I$6="",COUNTIFS(History_Q!$C$2:$C$1000,"eps",History_Q!$B$2:$B$1000,"&gt;="&amp;((SUMIFS(History_Q!$B$2:$B$1000,History_Q!$A$2:$A$1000,I$6,History_Q!$C$2:$C$1000,"eps"))-3),History_Q!$B$2:$B$1000,"&lt;="&amp;(SUMIFS(History_Q!$B$2:$B$1000,History_Q!$A$2:$A$1000,I$6,History_Q!$C$2:$C$1000,"eps")),History_Q!$E$2:$E$1000,"$/share",History_Q!$G$2:$G$1000,"populated")&lt;&gt;4,_xlfn.MAXIFS(History_Q!$B$2:$B$1000,History_Q!$C$2:$C$1000,"eps",History_Q!$B$2:$B$1000,"&gt;="&amp;((SUMIFS(History_Q!$B$2:$B$1000,History_Q!$A$2:$A$1000,I$6,History_Q!$C$2:$C$1000,"eps"))-3),History_Q!$B$2:$B$1000,"&lt;="&amp;(SUMIFS(History_Q!$B$2:$B$1000,History_Q!$A$2:$A$1000,I$6,History_Q!$C$2:$C$1000,"eps")),History_Q!$E$2:$E$1000,"$/share",History_Q!$G$2:$G$1000,"populated")-_xlfn.MINIFS(History_Q!$B$2:$B$1000,History_Q!$C$2:$C$1000,"eps",History_Q!$B$2:$B$1000,"&gt;="&amp;((SUMIFS(History_Q!$B$2:$B$1000,History_Q!$A$2:$A$1000,I$6,History_Q!$C$2:$C$1000,"eps"))-3),History_Q!$B$2:$B$1000,"&lt;="&amp;(SUMIFS(History_Q!$B$2:$B$1000,History_Q!$A$2:$A$1000,I$6,History_Q!$C$2:$C$1000,"eps")),History_Q!$E$2:$E$1000,"$/share",History_Q!$G$2:$G$1000,"populated")&lt;&gt;3),"",SUMIFS(History_Q!$D$2:$D$1000,History_Q!$C$2:$C$1000,"eps",History_Q!$B$2:$B$1000,"&gt;="&amp;((SUMIFS(History_Q!$B$2:$B$1000,History_Q!$A$2:$A$1000,I$6,History_Q!$C$2:$C$1000,"eps"))-3),History_Q!$B$2:$B$1000,"&lt;="&amp;(SUMIFS(History_Q!$B$2:$B$1000,History_Q!$A$2:$A$1000,I$6,History_Q!$C$2:$C$1000,"eps")),History_Q!$E$2:$E$1000,"$/share",History_Q!$G$2:$G$1000,"populated"))</f>
        <v/>
      </c>
      <c r="J109" s="462">
        <f>IF(OR(J$6="",COUNTIFS(History_Q!$C$2:$C$1000,"eps",History_Q!$B$2:$B$1000,"&gt;="&amp;((SUMIFS(History_Q!$B$2:$B$1000,History_Q!$A$2:$A$1000,J$6,History_Q!$C$2:$C$1000,"eps"))-3),History_Q!$B$2:$B$1000,"&lt;="&amp;(SUMIFS(History_Q!$B$2:$B$1000,History_Q!$A$2:$A$1000,J$6,History_Q!$C$2:$C$1000,"eps")),History_Q!$E$2:$E$1000,"$/share",History_Q!$G$2:$G$1000,"populated")&lt;&gt;4,_xlfn.MAXIFS(History_Q!$B$2:$B$1000,History_Q!$C$2:$C$1000,"eps",History_Q!$B$2:$B$1000,"&gt;="&amp;((SUMIFS(History_Q!$B$2:$B$1000,History_Q!$A$2:$A$1000,J$6,History_Q!$C$2:$C$1000,"eps"))-3),History_Q!$B$2:$B$1000,"&lt;="&amp;(SUMIFS(History_Q!$B$2:$B$1000,History_Q!$A$2:$A$1000,J$6,History_Q!$C$2:$C$1000,"eps")),History_Q!$E$2:$E$1000,"$/share",History_Q!$G$2:$G$1000,"populated")-_xlfn.MINIFS(History_Q!$B$2:$B$1000,History_Q!$C$2:$C$1000,"eps",History_Q!$B$2:$B$1000,"&gt;="&amp;((SUMIFS(History_Q!$B$2:$B$1000,History_Q!$A$2:$A$1000,J$6,History_Q!$C$2:$C$1000,"eps"))-3),History_Q!$B$2:$B$1000,"&lt;="&amp;(SUMIFS(History_Q!$B$2:$B$1000,History_Q!$A$2:$A$1000,J$6,History_Q!$C$2:$C$1000,"eps")),History_Q!$E$2:$E$1000,"$/share",History_Q!$G$2:$G$1000,"populated")&lt;&gt;3),"",SUMIFS(History_Q!$D$2:$D$1000,History_Q!$C$2:$C$1000,"eps",History_Q!$B$2:$B$1000,"&gt;="&amp;((SUMIFS(History_Q!$B$2:$B$1000,History_Q!$A$2:$A$1000,J$6,History_Q!$C$2:$C$1000,"eps"))-3),History_Q!$B$2:$B$1000,"&lt;="&amp;(SUMIFS(History_Q!$B$2:$B$1000,History_Q!$A$2:$A$1000,J$6,History_Q!$C$2:$C$1000,"eps")),History_Q!$E$2:$E$1000,"$/share",History_Q!$G$2:$G$1000,"populated"))</f>
        <v/>
      </c>
      <c r="K109" s="462">
        <f>IF(OR(K$6="",COUNTIFS(History_Q!$C$2:$C$1000,"eps",History_Q!$B$2:$B$1000,"&gt;="&amp;((SUMIFS(History_Q!$B$2:$B$1000,History_Q!$A$2:$A$1000,K$6,History_Q!$C$2:$C$1000,"eps"))-3),History_Q!$B$2:$B$1000,"&lt;="&amp;(SUMIFS(History_Q!$B$2:$B$1000,History_Q!$A$2:$A$1000,K$6,History_Q!$C$2:$C$1000,"eps")),History_Q!$E$2:$E$1000,"$/share",History_Q!$G$2:$G$1000,"populated")&lt;&gt;4,_xlfn.MAXIFS(History_Q!$B$2:$B$1000,History_Q!$C$2:$C$1000,"eps",History_Q!$B$2:$B$1000,"&gt;="&amp;((SUMIFS(History_Q!$B$2:$B$1000,History_Q!$A$2:$A$1000,K$6,History_Q!$C$2:$C$1000,"eps"))-3),History_Q!$B$2:$B$1000,"&lt;="&amp;(SUMIFS(History_Q!$B$2:$B$1000,History_Q!$A$2:$A$1000,K$6,History_Q!$C$2:$C$1000,"eps")),History_Q!$E$2:$E$1000,"$/share",History_Q!$G$2:$G$1000,"populated")-_xlfn.MINIFS(History_Q!$B$2:$B$1000,History_Q!$C$2:$C$1000,"eps",History_Q!$B$2:$B$1000,"&gt;="&amp;((SUMIFS(History_Q!$B$2:$B$1000,History_Q!$A$2:$A$1000,K$6,History_Q!$C$2:$C$1000,"eps"))-3),History_Q!$B$2:$B$1000,"&lt;="&amp;(SUMIFS(History_Q!$B$2:$B$1000,History_Q!$A$2:$A$1000,K$6,History_Q!$C$2:$C$1000,"eps")),History_Q!$E$2:$E$1000,"$/share",History_Q!$G$2:$G$1000,"populated")&lt;&gt;3),"",SUMIFS(History_Q!$D$2:$D$1000,History_Q!$C$2:$C$1000,"eps",History_Q!$B$2:$B$1000,"&gt;="&amp;((SUMIFS(History_Q!$B$2:$B$1000,History_Q!$A$2:$A$1000,K$6,History_Q!$C$2:$C$1000,"eps"))-3),History_Q!$B$2:$B$1000,"&lt;="&amp;(SUMIFS(History_Q!$B$2:$B$1000,History_Q!$A$2:$A$1000,K$6,History_Q!$C$2:$C$1000,"eps")),History_Q!$E$2:$E$1000,"$/share",History_Q!$G$2:$G$1000,"populated"))</f>
        <v/>
      </c>
      <c r="L109" s="462">
        <f>IF(OR(L$6="",COUNTIFS(History_Q!$C$2:$C$1000,"eps",History_Q!$B$2:$B$1000,"&gt;="&amp;((SUMIFS(History_Q!$B$2:$B$1000,History_Q!$A$2:$A$1000,L$6,History_Q!$C$2:$C$1000,"eps"))-3),History_Q!$B$2:$B$1000,"&lt;="&amp;(SUMIFS(History_Q!$B$2:$B$1000,History_Q!$A$2:$A$1000,L$6,History_Q!$C$2:$C$1000,"eps")),History_Q!$E$2:$E$1000,"$/share",History_Q!$G$2:$G$1000,"populated")&lt;&gt;4,_xlfn.MAXIFS(History_Q!$B$2:$B$1000,History_Q!$C$2:$C$1000,"eps",History_Q!$B$2:$B$1000,"&gt;="&amp;((SUMIFS(History_Q!$B$2:$B$1000,History_Q!$A$2:$A$1000,L$6,History_Q!$C$2:$C$1000,"eps"))-3),History_Q!$B$2:$B$1000,"&lt;="&amp;(SUMIFS(History_Q!$B$2:$B$1000,History_Q!$A$2:$A$1000,L$6,History_Q!$C$2:$C$1000,"eps")),History_Q!$E$2:$E$1000,"$/share",History_Q!$G$2:$G$1000,"populated")-_xlfn.MINIFS(History_Q!$B$2:$B$1000,History_Q!$C$2:$C$1000,"eps",History_Q!$B$2:$B$1000,"&gt;="&amp;((SUMIFS(History_Q!$B$2:$B$1000,History_Q!$A$2:$A$1000,L$6,History_Q!$C$2:$C$1000,"eps"))-3),History_Q!$B$2:$B$1000,"&lt;="&amp;(SUMIFS(History_Q!$B$2:$B$1000,History_Q!$A$2:$A$1000,L$6,History_Q!$C$2:$C$1000,"eps")),History_Q!$E$2:$E$1000,"$/share",History_Q!$G$2:$G$1000,"populated")&lt;&gt;3),"",SUMIFS(History_Q!$D$2:$D$1000,History_Q!$C$2:$C$1000,"eps",History_Q!$B$2:$B$1000,"&gt;="&amp;((SUMIFS(History_Q!$B$2:$B$1000,History_Q!$A$2:$A$1000,L$6,History_Q!$C$2:$C$1000,"eps"))-3),History_Q!$B$2:$B$1000,"&lt;="&amp;(SUMIFS(History_Q!$B$2:$B$1000,History_Q!$A$2:$A$1000,L$6,History_Q!$C$2:$C$1000,"eps")),History_Q!$E$2:$E$1000,"$/share",History_Q!$G$2:$G$1000,"populated"))</f>
        <v/>
      </c>
      <c r="M109" s="462">
        <f>IF(OR(M$6="",COUNTIFS(History_Q!$C$2:$C$1000,"eps",History_Q!$B$2:$B$1000,"&gt;="&amp;((SUMIFS(History_Q!$B$2:$B$1000,History_Q!$A$2:$A$1000,M$6,History_Q!$C$2:$C$1000,"eps"))-3),History_Q!$B$2:$B$1000,"&lt;="&amp;(SUMIFS(History_Q!$B$2:$B$1000,History_Q!$A$2:$A$1000,M$6,History_Q!$C$2:$C$1000,"eps")),History_Q!$E$2:$E$1000,"$/share",History_Q!$G$2:$G$1000,"populated")&lt;&gt;4,_xlfn.MAXIFS(History_Q!$B$2:$B$1000,History_Q!$C$2:$C$1000,"eps",History_Q!$B$2:$B$1000,"&gt;="&amp;((SUMIFS(History_Q!$B$2:$B$1000,History_Q!$A$2:$A$1000,M$6,History_Q!$C$2:$C$1000,"eps"))-3),History_Q!$B$2:$B$1000,"&lt;="&amp;(SUMIFS(History_Q!$B$2:$B$1000,History_Q!$A$2:$A$1000,M$6,History_Q!$C$2:$C$1000,"eps")),History_Q!$E$2:$E$1000,"$/share",History_Q!$G$2:$G$1000,"populated")-_xlfn.MINIFS(History_Q!$B$2:$B$1000,History_Q!$C$2:$C$1000,"eps",History_Q!$B$2:$B$1000,"&gt;="&amp;((SUMIFS(History_Q!$B$2:$B$1000,History_Q!$A$2:$A$1000,M$6,History_Q!$C$2:$C$1000,"eps"))-3),History_Q!$B$2:$B$1000,"&lt;="&amp;(SUMIFS(History_Q!$B$2:$B$1000,History_Q!$A$2:$A$1000,M$6,History_Q!$C$2:$C$1000,"eps")),History_Q!$E$2:$E$1000,"$/share",History_Q!$G$2:$G$1000,"populated")&lt;&gt;3),"",SUMIFS(History_Q!$D$2:$D$1000,History_Q!$C$2:$C$1000,"eps",History_Q!$B$2:$B$1000,"&gt;="&amp;((SUMIFS(History_Q!$B$2:$B$1000,History_Q!$A$2:$A$1000,M$6,History_Q!$C$2:$C$1000,"eps"))-3),History_Q!$B$2:$B$1000,"&lt;="&amp;(SUMIFS(History_Q!$B$2:$B$1000,History_Q!$A$2:$A$1000,M$6,History_Q!$C$2:$C$1000,"eps")),History_Q!$E$2:$E$1000,"$/share",History_Q!$G$2:$G$1000,"populated"))</f>
        <v/>
      </c>
      <c r="N109" s="22" t="n"/>
      <c r="O109" s="28" t="n"/>
      <c r="P109" s="28" t="n"/>
      <c r="Q109" s="28" t="n"/>
      <c r="R109" s="28" t="n"/>
      <c r="S109" s="28" t="n"/>
      <c r="T109" s="28" t="n"/>
      <c r="U109" s="28" t="n"/>
      <c r="V109" s="28" t="n"/>
      <c r="W109" s="28" t="n"/>
      <c r="X109" s="28" t="n"/>
      <c r="Y109" s="28" t="n"/>
      <c r="Z109" s="28" t="n"/>
      <c r="AA109" s="28" t="n"/>
      <c r="AB109" s="28" t="n"/>
      <c r="AC109" s="28" t="n"/>
      <c r="AD109" s="22" t="n"/>
      <c r="AE109" s="22" t="n"/>
      <c r="AF109" s="22" t="n"/>
      <c r="AG109" s="22" t="n"/>
      <c r="AH109" s="22" t="n"/>
      <c r="AI109" s="22" t="n"/>
    </row>
    <row r="110" ht="19.5" customHeight="1">
      <c r="A110" s="48" t="inlineStr">
        <is>
          <t>Adjusted diluted EPS</t>
        </is>
      </c>
      <c r="B110" s="62" t="n"/>
      <c r="C110" s="62" t="n"/>
      <c r="D110" s="62" t="n"/>
      <c r="E110" s="62" t="n"/>
      <c r="F110" s="62" t="n"/>
      <c r="G110" s="62" t="n"/>
      <c r="H110" s="62" t="n"/>
      <c r="I110" s="62" t="n"/>
      <c r="J110" s="62" t="n"/>
      <c r="K110" s="62" t="n"/>
      <c r="L110" s="62" t="n"/>
      <c r="M110" s="62" t="n"/>
      <c r="N110" s="22" t="n"/>
      <c r="O110" s="28" t="n"/>
      <c r="P110" s="28" t="n"/>
      <c r="Q110" s="28" t="n"/>
      <c r="R110" s="28" t="n"/>
      <c r="S110" s="28" t="n"/>
      <c r="T110" s="28" t="n"/>
      <c r="U110" s="28" t="n"/>
      <c r="V110" s="28" t="n"/>
      <c r="W110" s="28" t="n"/>
      <c r="X110" s="28" t="n"/>
      <c r="Y110" s="28" t="n"/>
      <c r="Z110" s="28" t="n"/>
      <c r="AA110" s="28" t="n"/>
      <c r="AB110" s="28" t="n"/>
      <c r="AC110" s="28" t="n"/>
      <c r="AD110" s="22" t="n"/>
      <c r="AE110" s="22" t="n"/>
      <c r="AF110" s="22" t="n"/>
      <c r="AG110" s="22" t="n"/>
      <c r="AH110" s="22" t="n"/>
      <c r="AI110" s="22" t="n"/>
    </row>
    <row r="111" ht="19.5" customHeight="1">
      <c r="A111" s="48" t="inlineStr">
        <is>
          <t>Adjusted diluted EPS (TTM)</t>
        </is>
      </c>
      <c r="B111" s="462">
        <f>IF(OR(B$6="",COUNTIFS(History_Q!$C$2:$C$1000,"adjusted_eps",History_Q!$B$2:$B$1000,"&gt;="&amp;((SUMIFS(History_Q!$B$2:$B$1000,History_Q!$A$2:$A$1000,B$6,History_Q!$C$2:$C$1000,"adjusted_eps"))-3),History_Q!$B$2:$B$1000,"&lt;="&amp;(SUMIFS(History_Q!$B$2:$B$1000,History_Q!$A$2:$A$1000,B$6,History_Q!$C$2:$C$1000,"adjusted_eps")),History_Q!$E$2:$E$1000,"$/share",History_Q!$G$2:$G$1000,"populated")&lt;&gt;4,_xlfn.MAXIFS(History_Q!$B$2:$B$1000,History_Q!$C$2:$C$1000,"adjusted_eps",History_Q!$B$2:$B$1000,"&gt;="&amp;((SUMIFS(History_Q!$B$2:$B$1000,History_Q!$A$2:$A$1000,B$6,History_Q!$C$2:$C$1000,"adjusted_eps"))-3),History_Q!$B$2:$B$1000,"&lt;="&amp;(SUMIFS(History_Q!$B$2:$B$1000,History_Q!$A$2:$A$1000,B$6,History_Q!$C$2:$C$1000,"adjusted_eps")),History_Q!$E$2:$E$1000,"$/share",History_Q!$G$2:$G$1000,"populated")-_xlfn.MINIFS(History_Q!$B$2:$B$1000,History_Q!$C$2:$C$1000,"adjusted_eps",History_Q!$B$2:$B$1000,"&gt;="&amp;((SUMIFS(History_Q!$B$2:$B$1000,History_Q!$A$2:$A$1000,B$6,History_Q!$C$2:$C$1000,"adjusted_eps"))-3),History_Q!$B$2:$B$1000,"&lt;="&amp;(SUMIFS(History_Q!$B$2:$B$1000,History_Q!$A$2:$A$1000,B$6,History_Q!$C$2:$C$1000,"adjusted_eps")),History_Q!$E$2:$E$1000,"$/share",History_Q!$G$2:$G$1000,"populated")&lt;&gt;3),"",SUMIFS(History_Q!$D$2:$D$1000,History_Q!$C$2:$C$1000,"adjusted_eps",History_Q!$B$2:$B$1000,"&gt;="&amp;((SUMIFS(History_Q!$B$2:$B$1000,History_Q!$A$2:$A$1000,B$6,History_Q!$C$2:$C$1000,"adjusted_eps"))-3),History_Q!$B$2:$B$1000,"&lt;="&amp;(SUMIFS(History_Q!$B$2:$B$1000,History_Q!$A$2:$A$1000,B$6,History_Q!$C$2:$C$1000,"adjusted_eps")),History_Q!$E$2:$E$1000,"$/share",History_Q!$G$2:$G$1000,"populated"))</f>
        <v/>
      </c>
      <c r="C111" s="462">
        <f>IF(OR(C$6="",COUNTIFS(History_Q!$C$2:$C$1000,"adjusted_eps",History_Q!$B$2:$B$1000,"&gt;="&amp;((SUMIFS(History_Q!$B$2:$B$1000,History_Q!$A$2:$A$1000,C$6,History_Q!$C$2:$C$1000,"adjusted_eps"))-3),History_Q!$B$2:$B$1000,"&lt;="&amp;(SUMIFS(History_Q!$B$2:$B$1000,History_Q!$A$2:$A$1000,C$6,History_Q!$C$2:$C$1000,"adjusted_eps")),History_Q!$E$2:$E$1000,"$/share",History_Q!$G$2:$G$1000,"populated")&lt;&gt;4,_xlfn.MAXIFS(History_Q!$B$2:$B$1000,History_Q!$C$2:$C$1000,"adjusted_eps",History_Q!$B$2:$B$1000,"&gt;="&amp;((SUMIFS(History_Q!$B$2:$B$1000,History_Q!$A$2:$A$1000,C$6,History_Q!$C$2:$C$1000,"adjusted_eps"))-3),History_Q!$B$2:$B$1000,"&lt;="&amp;(SUMIFS(History_Q!$B$2:$B$1000,History_Q!$A$2:$A$1000,C$6,History_Q!$C$2:$C$1000,"adjusted_eps")),History_Q!$E$2:$E$1000,"$/share",History_Q!$G$2:$G$1000,"populated")-_xlfn.MINIFS(History_Q!$B$2:$B$1000,History_Q!$C$2:$C$1000,"adjusted_eps",History_Q!$B$2:$B$1000,"&gt;="&amp;((SUMIFS(History_Q!$B$2:$B$1000,History_Q!$A$2:$A$1000,C$6,History_Q!$C$2:$C$1000,"adjusted_eps"))-3),History_Q!$B$2:$B$1000,"&lt;="&amp;(SUMIFS(History_Q!$B$2:$B$1000,History_Q!$A$2:$A$1000,C$6,History_Q!$C$2:$C$1000,"adjusted_eps")),History_Q!$E$2:$E$1000,"$/share",History_Q!$G$2:$G$1000,"populated")&lt;&gt;3),"",SUMIFS(History_Q!$D$2:$D$1000,History_Q!$C$2:$C$1000,"adjusted_eps",History_Q!$B$2:$B$1000,"&gt;="&amp;((SUMIFS(History_Q!$B$2:$B$1000,History_Q!$A$2:$A$1000,C$6,History_Q!$C$2:$C$1000,"adjusted_eps"))-3),History_Q!$B$2:$B$1000,"&lt;="&amp;(SUMIFS(History_Q!$B$2:$B$1000,History_Q!$A$2:$A$1000,C$6,History_Q!$C$2:$C$1000,"adjusted_eps")),History_Q!$E$2:$E$1000,"$/share",History_Q!$G$2:$G$1000,"populated"))</f>
        <v/>
      </c>
      <c r="D111" s="462">
        <f>IF(OR(D$6="",COUNTIFS(History_Q!$C$2:$C$1000,"adjusted_eps",History_Q!$B$2:$B$1000,"&gt;="&amp;((SUMIFS(History_Q!$B$2:$B$1000,History_Q!$A$2:$A$1000,D$6,History_Q!$C$2:$C$1000,"adjusted_eps"))-3),History_Q!$B$2:$B$1000,"&lt;="&amp;(SUMIFS(History_Q!$B$2:$B$1000,History_Q!$A$2:$A$1000,D$6,History_Q!$C$2:$C$1000,"adjusted_eps")),History_Q!$E$2:$E$1000,"$/share",History_Q!$G$2:$G$1000,"populated")&lt;&gt;4,_xlfn.MAXIFS(History_Q!$B$2:$B$1000,History_Q!$C$2:$C$1000,"adjusted_eps",History_Q!$B$2:$B$1000,"&gt;="&amp;((SUMIFS(History_Q!$B$2:$B$1000,History_Q!$A$2:$A$1000,D$6,History_Q!$C$2:$C$1000,"adjusted_eps"))-3),History_Q!$B$2:$B$1000,"&lt;="&amp;(SUMIFS(History_Q!$B$2:$B$1000,History_Q!$A$2:$A$1000,D$6,History_Q!$C$2:$C$1000,"adjusted_eps")),History_Q!$E$2:$E$1000,"$/share",History_Q!$G$2:$G$1000,"populated")-_xlfn.MINIFS(History_Q!$B$2:$B$1000,History_Q!$C$2:$C$1000,"adjusted_eps",History_Q!$B$2:$B$1000,"&gt;="&amp;((SUMIFS(History_Q!$B$2:$B$1000,History_Q!$A$2:$A$1000,D$6,History_Q!$C$2:$C$1000,"adjusted_eps"))-3),History_Q!$B$2:$B$1000,"&lt;="&amp;(SUMIFS(History_Q!$B$2:$B$1000,History_Q!$A$2:$A$1000,D$6,History_Q!$C$2:$C$1000,"adjusted_eps")),History_Q!$E$2:$E$1000,"$/share",History_Q!$G$2:$G$1000,"populated")&lt;&gt;3),"",SUMIFS(History_Q!$D$2:$D$1000,History_Q!$C$2:$C$1000,"adjusted_eps",History_Q!$B$2:$B$1000,"&gt;="&amp;((SUMIFS(History_Q!$B$2:$B$1000,History_Q!$A$2:$A$1000,D$6,History_Q!$C$2:$C$1000,"adjusted_eps"))-3),History_Q!$B$2:$B$1000,"&lt;="&amp;(SUMIFS(History_Q!$B$2:$B$1000,History_Q!$A$2:$A$1000,D$6,History_Q!$C$2:$C$1000,"adjusted_eps")),History_Q!$E$2:$E$1000,"$/share",History_Q!$G$2:$G$1000,"populated"))</f>
        <v/>
      </c>
      <c r="E111" s="462">
        <f>IF(OR(E$6="",COUNTIFS(History_Q!$C$2:$C$1000,"adjusted_eps",History_Q!$B$2:$B$1000,"&gt;="&amp;((SUMIFS(History_Q!$B$2:$B$1000,History_Q!$A$2:$A$1000,E$6,History_Q!$C$2:$C$1000,"adjusted_eps"))-3),History_Q!$B$2:$B$1000,"&lt;="&amp;(SUMIFS(History_Q!$B$2:$B$1000,History_Q!$A$2:$A$1000,E$6,History_Q!$C$2:$C$1000,"adjusted_eps")),History_Q!$E$2:$E$1000,"$/share",History_Q!$G$2:$G$1000,"populated")&lt;&gt;4,_xlfn.MAXIFS(History_Q!$B$2:$B$1000,History_Q!$C$2:$C$1000,"adjusted_eps",History_Q!$B$2:$B$1000,"&gt;="&amp;((SUMIFS(History_Q!$B$2:$B$1000,History_Q!$A$2:$A$1000,E$6,History_Q!$C$2:$C$1000,"adjusted_eps"))-3),History_Q!$B$2:$B$1000,"&lt;="&amp;(SUMIFS(History_Q!$B$2:$B$1000,History_Q!$A$2:$A$1000,E$6,History_Q!$C$2:$C$1000,"adjusted_eps")),History_Q!$E$2:$E$1000,"$/share",History_Q!$G$2:$G$1000,"populated")-_xlfn.MINIFS(History_Q!$B$2:$B$1000,History_Q!$C$2:$C$1000,"adjusted_eps",History_Q!$B$2:$B$1000,"&gt;="&amp;((SUMIFS(History_Q!$B$2:$B$1000,History_Q!$A$2:$A$1000,E$6,History_Q!$C$2:$C$1000,"adjusted_eps"))-3),History_Q!$B$2:$B$1000,"&lt;="&amp;(SUMIFS(History_Q!$B$2:$B$1000,History_Q!$A$2:$A$1000,E$6,History_Q!$C$2:$C$1000,"adjusted_eps")),History_Q!$E$2:$E$1000,"$/share",History_Q!$G$2:$G$1000,"populated")&lt;&gt;3),"",SUMIFS(History_Q!$D$2:$D$1000,History_Q!$C$2:$C$1000,"adjusted_eps",History_Q!$B$2:$B$1000,"&gt;="&amp;((SUMIFS(History_Q!$B$2:$B$1000,History_Q!$A$2:$A$1000,E$6,History_Q!$C$2:$C$1000,"adjusted_eps"))-3),History_Q!$B$2:$B$1000,"&lt;="&amp;(SUMIFS(History_Q!$B$2:$B$1000,History_Q!$A$2:$A$1000,E$6,History_Q!$C$2:$C$1000,"adjusted_eps")),History_Q!$E$2:$E$1000,"$/share",History_Q!$G$2:$G$1000,"populated"))</f>
        <v/>
      </c>
      <c r="F111" s="462">
        <f>IF(OR(F$6="",COUNTIFS(History_Q!$C$2:$C$1000,"adjusted_eps",History_Q!$B$2:$B$1000,"&gt;="&amp;((SUMIFS(History_Q!$B$2:$B$1000,History_Q!$A$2:$A$1000,F$6,History_Q!$C$2:$C$1000,"adjusted_eps"))-3),History_Q!$B$2:$B$1000,"&lt;="&amp;(SUMIFS(History_Q!$B$2:$B$1000,History_Q!$A$2:$A$1000,F$6,History_Q!$C$2:$C$1000,"adjusted_eps")),History_Q!$E$2:$E$1000,"$/share",History_Q!$G$2:$G$1000,"populated")&lt;&gt;4,_xlfn.MAXIFS(History_Q!$B$2:$B$1000,History_Q!$C$2:$C$1000,"adjusted_eps",History_Q!$B$2:$B$1000,"&gt;="&amp;((SUMIFS(History_Q!$B$2:$B$1000,History_Q!$A$2:$A$1000,F$6,History_Q!$C$2:$C$1000,"adjusted_eps"))-3),History_Q!$B$2:$B$1000,"&lt;="&amp;(SUMIFS(History_Q!$B$2:$B$1000,History_Q!$A$2:$A$1000,F$6,History_Q!$C$2:$C$1000,"adjusted_eps")),History_Q!$E$2:$E$1000,"$/share",History_Q!$G$2:$G$1000,"populated")-_xlfn.MINIFS(History_Q!$B$2:$B$1000,History_Q!$C$2:$C$1000,"adjusted_eps",History_Q!$B$2:$B$1000,"&gt;="&amp;((SUMIFS(History_Q!$B$2:$B$1000,History_Q!$A$2:$A$1000,F$6,History_Q!$C$2:$C$1000,"adjusted_eps"))-3),History_Q!$B$2:$B$1000,"&lt;="&amp;(SUMIFS(History_Q!$B$2:$B$1000,History_Q!$A$2:$A$1000,F$6,History_Q!$C$2:$C$1000,"adjusted_eps")),History_Q!$E$2:$E$1000,"$/share",History_Q!$G$2:$G$1000,"populated")&lt;&gt;3),"",SUMIFS(History_Q!$D$2:$D$1000,History_Q!$C$2:$C$1000,"adjusted_eps",History_Q!$B$2:$B$1000,"&gt;="&amp;((SUMIFS(History_Q!$B$2:$B$1000,History_Q!$A$2:$A$1000,F$6,History_Q!$C$2:$C$1000,"adjusted_eps"))-3),History_Q!$B$2:$B$1000,"&lt;="&amp;(SUMIFS(History_Q!$B$2:$B$1000,History_Q!$A$2:$A$1000,F$6,History_Q!$C$2:$C$1000,"adjusted_eps")),History_Q!$E$2:$E$1000,"$/share",History_Q!$G$2:$G$1000,"populated"))</f>
        <v/>
      </c>
      <c r="G111" s="462">
        <f>IF(OR(G$6="",COUNTIFS(History_Q!$C$2:$C$1000,"adjusted_eps",History_Q!$B$2:$B$1000,"&gt;="&amp;((SUMIFS(History_Q!$B$2:$B$1000,History_Q!$A$2:$A$1000,G$6,History_Q!$C$2:$C$1000,"adjusted_eps"))-3),History_Q!$B$2:$B$1000,"&lt;="&amp;(SUMIFS(History_Q!$B$2:$B$1000,History_Q!$A$2:$A$1000,G$6,History_Q!$C$2:$C$1000,"adjusted_eps")),History_Q!$E$2:$E$1000,"$/share",History_Q!$G$2:$G$1000,"populated")&lt;&gt;4,_xlfn.MAXIFS(History_Q!$B$2:$B$1000,History_Q!$C$2:$C$1000,"adjusted_eps",History_Q!$B$2:$B$1000,"&gt;="&amp;((SUMIFS(History_Q!$B$2:$B$1000,History_Q!$A$2:$A$1000,G$6,History_Q!$C$2:$C$1000,"adjusted_eps"))-3),History_Q!$B$2:$B$1000,"&lt;="&amp;(SUMIFS(History_Q!$B$2:$B$1000,History_Q!$A$2:$A$1000,G$6,History_Q!$C$2:$C$1000,"adjusted_eps")),History_Q!$E$2:$E$1000,"$/share",History_Q!$G$2:$G$1000,"populated")-_xlfn.MINIFS(History_Q!$B$2:$B$1000,History_Q!$C$2:$C$1000,"adjusted_eps",History_Q!$B$2:$B$1000,"&gt;="&amp;((SUMIFS(History_Q!$B$2:$B$1000,History_Q!$A$2:$A$1000,G$6,History_Q!$C$2:$C$1000,"adjusted_eps"))-3),History_Q!$B$2:$B$1000,"&lt;="&amp;(SUMIFS(History_Q!$B$2:$B$1000,History_Q!$A$2:$A$1000,G$6,History_Q!$C$2:$C$1000,"adjusted_eps")),History_Q!$E$2:$E$1000,"$/share",History_Q!$G$2:$G$1000,"populated")&lt;&gt;3),"",SUMIFS(History_Q!$D$2:$D$1000,History_Q!$C$2:$C$1000,"adjusted_eps",History_Q!$B$2:$B$1000,"&gt;="&amp;((SUMIFS(History_Q!$B$2:$B$1000,History_Q!$A$2:$A$1000,G$6,History_Q!$C$2:$C$1000,"adjusted_eps"))-3),History_Q!$B$2:$B$1000,"&lt;="&amp;(SUMIFS(History_Q!$B$2:$B$1000,History_Q!$A$2:$A$1000,G$6,History_Q!$C$2:$C$1000,"adjusted_eps")),History_Q!$E$2:$E$1000,"$/share",History_Q!$G$2:$G$1000,"populated"))</f>
        <v/>
      </c>
      <c r="H111" s="462">
        <f>IF(OR(H$6="",COUNTIFS(History_Q!$C$2:$C$1000,"adjusted_eps",History_Q!$B$2:$B$1000,"&gt;="&amp;((SUMIFS(History_Q!$B$2:$B$1000,History_Q!$A$2:$A$1000,H$6,History_Q!$C$2:$C$1000,"adjusted_eps"))-3),History_Q!$B$2:$B$1000,"&lt;="&amp;(SUMIFS(History_Q!$B$2:$B$1000,History_Q!$A$2:$A$1000,H$6,History_Q!$C$2:$C$1000,"adjusted_eps")),History_Q!$E$2:$E$1000,"$/share",History_Q!$G$2:$G$1000,"populated")&lt;&gt;4,_xlfn.MAXIFS(History_Q!$B$2:$B$1000,History_Q!$C$2:$C$1000,"adjusted_eps",History_Q!$B$2:$B$1000,"&gt;="&amp;((SUMIFS(History_Q!$B$2:$B$1000,History_Q!$A$2:$A$1000,H$6,History_Q!$C$2:$C$1000,"adjusted_eps"))-3),History_Q!$B$2:$B$1000,"&lt;="&amp;(SUMIFS(History_Q!$B$2:$B$1000,History_Q!$A$2:$A$1000,H$6,History_Q!$C$2:$C$1000,"adjusted_eps")),History_Q!$E$2:$E$1000,"$/share",History_Q!$G$2:$G$1000,"populated")-_xlfn.MINIFS(History_Q!$B$2:$B$1000,History_Q!$C$2:$C$1000,"adjusted_eps",History_Q!$B$2:$B$1000,"&gt;="&amp;((SUMIFS(History_Q!$B$2:$B$1000,History_Q!$A$2:$A$1000,H$6,History_Q!$C$2:$C$1000,"adjusted_eps"))-3),History_Q!$B$2:$B$1000,"&lt;="&amp;(SUMIFS(History_Q!$B$2:$B$1000,History_Q!$A$2:$A$1000,H$6,History_Q!$C$2:$C$1000,"adjusted_eps")),History_Q!$E$2:$E$1000,"$/share",History_Q!$G$2:$G$1000,"populated")&lt;&gt;3),"",SUMIFS(History_Q!$D$2:$D$1000,History_Q!$C$2:$C$1000,"adjusted_eps",History_Q!$B$2:$B$1000,"&gt;="&amp;((SUMIFS(History_Q!$B$2:$B$1000,History_Q!$A$2:$A$1000,H$6,History_Q!$C$2:$C$1000,"adjusted_eps"))-3),History_Q!$B$2:$B$1000,"&lt;="&amp;(SUMIFS(History_Q!$B$2:$B$1000,History_Q!$A$2:$A$1000,H$6,History_Q!$C$2:$C$1000,"adjusted_eps")),History_Q!$E$2:$E$1000,"$/share",History_Q!$G$2:$G$1000,"populated"))</f>
        <v/>
      </c>
      <c r="I111" s="462">
        <f>IF(OR(I$6="",COUNTIFS(History_Q!$C$2:$C$1000,"adjusted_eps",History_Q!$B$2:$B$1000,"&gt;="&amp;((SUMIFS(History_Q!$B$2:$B$1000,History_Q!$A$2:$A$1000,I$6,History_Q!$C$2:$C$1000,"adjusted_eps"))-3),History_Q!$B$2:$B$1000,"&lt;="&amp;(SUMIFS(History_Q!$B$2:$B$1000,History_Q!$A$2:$A$1000,I$6,History_Q!$C$2:$C$1000,"adjusted_eps")),History_Q!$E$2:$E$1000,"$/share",History_Q!$G$2:$G$1000,"populated")&lt;&gt;4,_xlfn.MAXIFS(History_Q!$B$2:$B$1000,History_Q!$C$2:$C$1000,"adjusted_eps",History_Q!$B$2:$B$1000,"&gt;="&amp;((SUMIFS(History_Q!$B$2:$B$1000,History_Q!$A$2:$A$1000,I$6,History_Q!$C$2:$C$1000,"adjusted_eps"))-3),History_Q!$B$2:$B$1000,"&lt;="&amp;(SUMIFS(History_Q!$B$2:$B$1000,History_Q!$A$2:$A$1000,I$6,History_Q!$C$2:$C$1000,"adjusted_eps")),History_Q!$E$2:$E$1000,"$/share",History_Q!$G$2:$G$1000,"populated")-_xlfn.MINIFS(History_Q!$B$2:$B$1000,History_Q!$C$2:$C$1000,"adjusted_eps",History_Q!$B$2:$B$1000,"&gt;="&amp;((SUMIFS(History_Q!$B$2:$B$1000,History_Q!$A$2:$A$1000,I$6,History_Q!$C$2:$C$1000,"adjusted_eps"))-3),History_Q!$B$2:$B$1000,"&lt;="&amp;(SUMIFS(History_Q!$B$2:$B$1000,History_Q!$A$2:$A$1000,I$6,History_Q!$C$2:$C$1000,"adjusted_eps")),History_Q!$E$2:$E$1000,"$/share",History_Q!$G$2:$G$1000,"populated")&lt;&gt;3),"",SUMIFS(History_Q!$D$2:$D$1000,History_Q!$C$2:$C$1000,"adjusted_eps",History_Q!$B$2:$B$1000,"&gt;="&amp;((SUMIFS(History_Q!$B$2:$B$1000,History_Q!$A$2:$A$1000,I$6,History_Q!$C$2:$C$1000,"adjusted_eps"))-3),History_Q!$B$2:$B$1000,"&lt;="&amp;(SUMIFS(History_Q!$B$2:$B$1000,History_Q!$A$2:$A$1000,I$6,History_Q!$C$2:$C$1000,"adjusted_eps")),History_Q!$E$2:$E$1000,"$/share",History_Q!$G$2:$G$1000,"populated"))</f>
        <v/>
      </c>
      <c r="J111" s="462">
        <f>IF(OR(J$6="",COUNTIFS(History_Q!$C$2:$C$1000,"adjusted_eps",History_Q!$B$2:$B$1000,"&gt;="&amp;((SUMIFS(History_Q!$B$2:$B$1000,History_Q!$A$2:$A$1000,J$6,History_Q!$C$2:$C$1000,"adjusted_eps"))-3),History_Q!$B$2:$B$1000,"&lt;="&amp;(SUMIFS(History_Q!$B$2:$B$1000,History_Q!$A$2:$A$1000,J$6,History_Q!$C$2:$C$1000,"adjusted_eps")),History_Q!$E$2:$E$1000,"$/share",History_Q!$G$2:$G$1000,"populated")&lt;&gt;4,_xlfn.MAXIFS(History_Q!$B$2:$B$1000,History_Q!$C$2:$C$1000,"adjusted_eps",History_Q!$B$2:$B$1000,"&gt;="&amp;((SUMIFS(History_Q!$B$2:$B$1000,History_Q!$A$2:$A$1000,J$6,History_Q!$C$2:$C$1000,"adjusted_eps"))-3),History_Q!$B$2:$B$1000,"&lt;="&amp;(SUMIFS(History_Q!$B$2:$B$1000,History_Q!$A$2:$A$1000,J$6,History_Q!$C$2:$C$1000,"adjusted_eps")),History_Q!$E$2:$E$1000,"$/share",History_Q!$G$2:$G$1000,"populated")-_xlfn.MINIFS(History_Q!$B$2:$B$1000,History_Q!$C$2:$C$1000,"adjusted_eps",History_Q!$B$2:$B$1000,"&gt;="&amp;((SUMIFS(History_Q!$B$2:$B$1000,History_Q!$A$2:$A$1000,J$6,History_Q!$C$2:$C$1000,"adjusted_eps"))-3),History_Q!$B$2:$B$1000,"&lt;="&amp;(SUMIFS(History_Q!$B$2:$B$1000,History_Q!$A$2:$A$1000,J$6,History_Q!$C$2:$C$1000,"adjusted_eps")),History_Q!$E$2:$E$1000,"$/share",History_Q!$G$2:$G$1000,"populated")&lt;&gt;3),"",SUMIFS(History_Q!$D$2:$D$1000,History_Q!$C$2:$C$1000,"adjusted_eps",History_Q!$B$2:$B$1000,"&gt;="&amp;((SUMIFS(History_Q!$B$2:$B$1000,History_Q!$A$2:$A$1000,J$6,History_Q!$C$2:$C$1000,"adjusted_eps"))-3),History_Q!$B$2:$B$1000,"&lt;="&amp;(SUMIFS(History_Q!$B$2:$B$1000,History_Q!$A$2:$A$1000,J$6,History_Q!$C$2:$C$1000,"adjusted_eps")),History_Q!$E$2:$E$1000,"$/share",History_Q!$G$2:$G$1000,"populated"))</f>
        <v/>
      </c>
      <c r="K111" s="462">
        <f>IF(OR(K$6="",COUNTIFS(History_Q!$C$2:$C$1000,"adjusted_eps",History_Q!$B$2:$B$1000,"&gt;="&amp;((SUMIFS(History_Q!$B$2:$B$1000,History_Q!$A$2:$A$1000,K$6,History_Q!$C$2:$C$1000,"adjusted_eps"))-3),History_Q!$B$2:$B$1000,"&lt;="&amp;(SUMIFS(History_Q!$B$2:$B$1000,History_Q!$A$2:$A$1000,K$6,History_Q!$C$2:$C$1000,"adjusted_eps")),History_Q!$E$2:$E$1000,"$/share",History_Q!$G$2:$G$1000,"populated")&lt;&gt;4,_xlfn.MAXIFS(History_Q!$B$2:$B$1000,History_Q!$C$2:$C$1000,"adjusted_eps",History_Q!$B$2:$B$1000,"&gt;="&amp;((SUMIFS(History_Q!$B$2:$B$1000,History_Q!$A$2:$A$1000,K$6,History_Q!$C$2:$C$1000,"adjusted_eps"))-3),History_Q!$B$2:$B$1000,"&lt;="&amp;(SUMIFS(History_Q!$B$2:$B$1000,History_Q!$A$2:$A$1000,K$6,History_Q!$C$2:$C$1000,"adjusted_eps")),History_Q!$E$2:$E$1000,"$/share",History_Q!$G$2:$G$1000,"populated")-_xlfn.MINIFS(History_Q!$B$2:$B$1000,History_Q!$C$2:$C$1000,"adjusted_eps",History_Q!$B$2:$B$1000,"&gt;="&amp;((SUMIFS(History_Q!$B$2:$B$1000,History_Q!$A$2:$A$1000,K$6,History_Q!$C$2:$C$1000,"adjusted_eps"))-3),History_Q!$B$2:$B$1000,"&lt;="&amp;(SUMIFS(History_Q!$B$2:$B$1000,History_Q!$A$2:$A$1000,K$6,History_Q!$C$2:$C$1000,"adjusted_eps")),History_Q!$E$2:$E$1000,"$/share",History_Q!$G$2:$G$1000,"populated")&lt;&gt;3),"",SUMIFS(History_Q!$D$2:$D$1000,History_Q!$C$2:$C$1000,"adjusted_eps",History_Q!$B$2:$B$1000,"&gt;="&amp;((SUMIFS(History_Q!$B$2:$B$1000,History_Q!$A$2:$A$1000,K$6,History_Q!$C$2:$C$1000,"adjusted_eps"))-3),History_Q!$B$2:$B$1000,"&lt;="&amp;(SUMIFS(History_Q!$B$2:$B$1000,History_Q!$A$2:$A$1000,K$6,History_Q!$C$2:$C$1000,"adjusted_eps")),History_Q!$E$2:$E$1000,"$/share",History_Q!$G$2:$G$1000,"populated"))</f>
        <v/>
      </c>
      <c r="L111" s="462">
        <f>IF(OR(L$6="",COUNTIFS(History_Q!$C$2:$C$1000,"adjusted_eps",History_Q!$B$2:$B$1000,"&gt;="&amp;((SUMIFS(History_Q!$B$2:$B$1000,History_Q!$A$2:$A$1000,L$6,History_Q!$C$2:$C$1000,"adjusted_eps"))-3),History_Q!$B$2:$B$1000,"&lt;="&amp;(SUMIFS(History_Q!$B$2:$B$1000,History_Q!$A$2:$A$1000,L$6,History_Q!$C$2:$C$1000,"adjusted_eps")),History_Q!$E$2:$E$1000,"$/share",History_Q!$G$2:$G$1000,"populated")&lt;&gt;4,_xlfn.MAXIFS(History_Q!$B$2:$B$1000,History_Q!$C$2:$C$1000,"adjusted_eps",History_Q!$B$2:$B$1000,"&gt;="&amp;((SUMIFS(History_Q!$B$2:$B$1000,History_Q!$A$2:$A$1000,L$6,History_Q!$C$2:$C$1000,"adjusted_eps"))-3),History_Q!$B$2:$B$1000,"&lt;="&amp;(SUMIFS(History_Q!$B$2:$B$1000,History_Q!$A$2:$A$1000,L$6,History_Q!$C$2:$C$1000,"adjusted_eps")),History_Q!$E$2:$E$1000,"$/share",History_Q!$G$2:$G$1000,"populated")-_xlfn.MINIFS(History_Q!$B$2:$B$1000,History_Q!$C$2:$C$1000,"adjusted_eps",History_Q!$B$2:$B$1000,"&gt;="&amp;((SUMIFS(History_Q!$B$2:$B$1000,History_Q!$A$2:$A$1000,L$6,History_Q!$C$2:$C$1000,"adjusted_eps"))-3),History_Q!$B$2:$B$1000,"&lt;="&amp;(SUMIFS(History_Q!$B$2:$B$1000,History_Q!$A$2:$A$1000,L$6,History_Q!$C$2:$C$1000,"adjusted_eps")),History_Q!$E$2:$E$1000,"$/share",History_Q!$G$2:$G$1000,"populated")&lt;&gt;3),"",SUMIFS(History_Q!$D$2:$D$1000,History_Q!$C$2:$C$1000,"adjusted_eps",History_Q!$B$2:$B$1000,"&gt;="&amp;((SUMIFS(History_Q!$B$2:$B$1000,History_Q!$A$2:$A$1000,L$6,History_Q!$C$2:$C$1000,"adjusted_eps"))-3),History_Q!$B$2:$B$1000,"&lt;="&amp;(SUMIFS(History_Q!$B$2:$B$1000,History_Q!$A$2:$A$1000,L$6,History_Q!$C$2:$C$1000,"adjusted_eps")),History_Q!$E$2:$E$1000,"$/share",History_Q!$G$2:$G$1000,"populated"))</f>
        <v/>
      </c>
      <c r="M111" s="462">
        <f>IF(OR(M$6="",COUNTIFS(History_Q!$C$2:$C$1000,"adjusted_eps",History_Q!$B$2:$B$1000,"&gt;="&amp;((SUMIFS(History_Q!$B$2:$B$1000,History_Q!$A$2:$A$1000,M$6,History_Q!$C$2:$C$1000,"adjusted_eps"))-3),History_Q!$B$2:$B$1000,"&lt;="&amp;(SUMIFS(History_Q!$B$2:$B$1000,History_Q!$A$2:$A$1000,M$6,History_Q!$C$2:$C$1000,"adjusted_eps")),History_Q!$E$2:$E$1000,"$/share",History_Q!$G$2:$G$1000,"populated")&lt;&gt;4,_xlfn.MAXIFS(History_Q!$B$2:$B$1000,History_Q!$C$2:$C$1000,"adjusted_eps",History_Q!$B$2:$B$1000,"&gt;="&amp;((SUMIFS(History_Q!$B$2:$B$1000,History_Q!$A$2:$A$1000,M$6,History_Q!$C$2:$C$1000,"adjusted_eps"))-3),History_Q!$B$2:$B$1000,"&lt;="&amp;(SUMIFS(History_Q!$B$2:$B$1000,History_Q!$A$2:$A$1000,M$6,History_Q!$C$2:$C$1000,"adjusted_eps")),History_Q!$E$2:$E$1000,"$/share",History_Q!$G$2:$G$1000,"populated")-_xlfn.MINIFS(History_Q!$B$2:$B$1000,History_Q!$C$2:$C$1000,"adjusted_eps",History_Q!$B$2:$B$1000,"&gt;="&amp;((SUMIFS(History_Q!$B$2:$B$1000,History_Q!$A$2:$A$1000,M$6,History_Q!$C$2:$C$1000,"adjusted_eps"))-3),History_Q!$B$2:$B$1000,"&lt;="&amp;(SUMIFS(History_Q!$B$2:$B$1000,History_Q!$A$2:$A$1000,M$6,History_Q!$C$2:$C$1000,"adjusted_eps")),History_Q!$E$2:$E$1000,"$/share",History_Q!$G$2:$G$1000,"populated")&lt;&gt;3),"",SUMIFS(History_Q!$D$2:$D$1000,History_Q!$C$2:$C$1000,"adjusted_eps",History_Q!$B$2:$B$1000,"&gt;="&amp;((SUMIFS(History_Q!$B$2:$B$1000,History_Q!$A$2:$A$1000,M$6,History_Q!$C$2:$C$1000,"adjusted_eps"))-3),History_Q!$B$2:$B$1000,"&lt;="&amp;(SUMIFS(History_Q!$B$2:$B$1000,History_Q!$A$2:$A$1000,M$6,History_Q!$C$2:$C$1000,"adjusted_eps")),History_Q!$E$2:$E$1000,"$/share",History_Q!$G$2:$G$1000,"populated"))</f>
        <v/>
      </c>
      <c r="N111" s="22" t="n"/>
      <c r="O111" s="28" t="n"/>
      <c r="P111" s="28" t="n"/>
      <c r="Q111" s="28" t="n"/>
      <c r="R111" s="28" t="n"/>
      <c r="S111" s="28" t="n"/>
      <c r="T111" s="28" t="n"/>
      <c r="U111" s="28" t="n"/>
      <c r="V111" s="28" t="n"/>
      <c r="W111" s="28" t="n"/>
      <c r="X111" s="28" t="n"/>
      <c r="Y111" s="28" t="n"/>
      <c r="Z111" s="28" t="n"/>
      <c r="AA111" s="28" t="n"/>
      <c r="AB111" s="28" t="n"/>
      <c r="AC111" s="28" t="n"/>
      <c r="AD111" s="22" t="n"/>
      <c r="AE111" s="22" t="n"/>
      <c r="AF111" s="22" t="n"/>
      <c r="AG111" s="22" t="n"/>
      <c r="AH111" s="22" t="n"/>
      <c r="AI111" s="22" t="n"/>
    </row>
    <row r="112" ht="19.5" customHeight="1">
      <c r="A112" s="96" t="inlineStr">
        <is>
          <t>Per-share value</t>
        </is>
      </c>
      <c r="B112" s="104" t="n"/>
      <c r="C112" s="104" t="n"/>
      <c r="D112" s="104" t="n"/>
      <c r="E112" s="104" t="n"/>
      <c r="F112" s="104" t="n"/>
      <c r="G112" s="104" t="n"/>
      <c r="H112" s="104" t="n"/>
      <c r="I112" s="104" t="n"/>
      <c r="J112" s="104" t="n"/>
      <c r="K112" s="104" t="n"/>
      <c r="L112" s="104" t="n"/>
      <c r="M112" s="105" t="n"/>
      <c r="N112" s="22" t="n"/>
      <c r="O112" s="28" t="n"/>
      <c r="P112" s="28" t="n"/>
      <c r="Q112" s="28" t="n"/>
      <c r="R112" s="28" t="n"/>
      <c r="S112" s="28" t="n"/>
      <c r="T112" s="28" t="n"/>
      <c r="U112" s="28" t="n"/>
      <c r="V112" s="28" t="n"/>
      <c r="W112" s="28" t="n"/>
      <c r="X112" s="28" t="n"/>
      <c r="Y112" s="28" t="n"/>
      <c r="Z112" s="28" t="n"/>
      <c r="AA112" s="28" t="n"/>
      <c r="AB112" s="28" t="n"/>
      <c r="AC112" s="28" t="n"/>
      <c r="AD112" s="22" t="n"/>
      <c r="AE112" s="22" t="n"/>
      <c r="AF112" s="22" t="n"/>
      <c r="AG112" s="22" t="n"/>
      <c r="AH112" s="22" t="n"/>
      <c r="AI112" s="22" t="n"/>
    </row>
    <row r="113" ht="19.5" customHeight="1">
      <c r="A113" s="48" t="inlineStr">
        <is>
          <t>Book value/share</t>
        </is>
      </c>
      <c r="B113" s="462">
        <f>IF(OR(B268="",B103="",B103=0),"",B268/B103)</f>
        <v/>
      </c>
      <c r="C113" s="462">
        <f>IF(OR(C268="",C103="",C103=0),"",C268/C103)</f>
        <v/>
      </c>
      <c r="D113" s="462">
        <f>IF(OR(D268="",D103="",D103=0),"",D268/D103)</f>
        <v/>
      </c>
      <c r="E113" s="462">
        <f>IF(OR(E268="",E103="",E103=0),"",E268/E103)</f>
        <v/>
      </c>
      <c r="F113" s="462">
        <f>IF(OR(F268="",F103="",F103=0),"",F268/F103)</f>
        <v/>
      </c>
      <c r="G113" s="462">
        <f>IF(OR(G268="",G103="",G103=0),"",G268/G103)</f>
        <v/>
      </c>
      <c r="H113" s="462">
        <f>IF(OR(H268="",H103="",H103=0),"",H268/H103)</f>
        <v/>
      </c>
      <c r="I113" s="462">
        <f>IF(OR(I268="",I103="",I103=0),"",I268/I103)</f>
        <v/>
      </c>
      <c r="J113" s="462">
        <f>IF(OR(J268="",J103="",J103=0),"",J268/J103)</f>
        <v/>
      </c>
      <c r="K113" s="462">
        <f>IF(OR(K268="",K103="",K103=0),"",K268/K103)</f>
        <v/>
      </c>
      <c r="L113" s="462">
        <f>IF(OR(L268="",L103="",L103=0),"",L268/L103)</f>
        <v/>
      </c>
      <c r="M113" s="462">
        <f>IF(OR(M268="",M103="",M103=0),"",M268/M103)</f>
        <v/>
      </c>
      <c r="N113" s="22" t="n"/>
      <c r="O113" s="28" t="n"/>
      <c r="P113" s="28" t="n"/>
      <c r="Q113" s="28" t="n"/>
      <c r="R113" s="28" t="n"/>
      <c r="S113" s="28" t="n"/>
      <c r="T113" s="28" t="n"/>
      <c r="U113" s="28" t="n"/>
      <c r="V113" s="28" t="n"/>
      <c r="W113" s="28" t="n"/>
      <c r="X113" s="28" t="n"/>
      <c r="Y113" s="28" t="n"/>
      <c r="Z113" s="28" t="n"/>
      <c r="AA113" s="28" t="n"/>
      <c r="AB113" s="28" t="n"/>
      <c r="AC113" s="28" t="n"/>
      <c r="AD113" s="22" t="n"/>
      <c r="AE113" s="22" t="n"/>
      <c r="AF113" s="22" t="n"/>
      <c r="AG113" s="22" t="n"/>
      <c r="AH113" s="22" t="n"/>
      <c r="AI113" s="22" t="n"/>
    </row>
    <row r="114" ht="19.5" customHeight="1">
      <c r="A114" s="48" t="inlineStr">
        <is>
          <t>Tangible book value/share</t>
        </is>
      </c>
      <c r="B114" s="462">
        <f>IF(OR(B268="",B269="",B270="",B103="",B103=0),"",(B268-B269-B270)/B103)</f>
        <v/>
      </c>
      <c r="C114" s="462">
        <f>IF(OR(C268="",C269="",C270="",C103="",C103=0),"",(C268-C269-C270)/C103)</f>
        <v/>
      </c>
      <c r="D114" s="462">
        <f>IF(OR(D268="",D269="",D270="",D103="",D103=0),"",(D268-D269-D270)/D103)</f>
        <v/>
      </c>
      <c r="E114" s="462">
        <f>IF(OR(E268="",E269="",E270="",E103="",E103=0),"",(E268-E269-E270)/E103)</f>
        <v/>
      </c>
      <c r="F114" s="462">
        <f>IF(OR(F268="",F269="",F270="",F103="",F103=0),"",(F268-F269-F270)/F103)</f>
        <v/>
      </c>
      <c r="G114" s="462">
        <f>IF(OR(G268="",G269="",G270="",G103="",G103=0),"",(G268-G269-G270)/G103)</f>
        <v/>
      </c>
      <c r="H114" s="462">
        <f>IF(OR(H268="",H269="",H270="",H103="",H103=0),"",(H268-H269-H270)/H103)</f>
        <v/>
      </c>
      <c r="I114" s="462">
        <f>IF(OR(I268="",I269="",I270="",I103="",I103=0),"",(I268-I269-I270)/I103)</f>
        <v/>
      </c>
      <c r="J114" s="462">
        <f>IF(OR(J268="",J269="",J270="",J103="",J103=0),"",(J268-J269-J270)/J103)</f>
        <v/>
      </c>
      <c r="K114" s="462">
        <f>IF(OR(K268="",K269="",K270="",K103="",K103=0),"",(K268-K269-K270)/K103)</f>
        <v/>
      </c>
      <c r="L114" s="462">
        <f>IF(OR(L268="",L269="",L270="",L103="",L103=0),"",(L268-L269-L270)/L103)</f>
        <v/>
      </c>
      <c r="M114" s="462">
        <f>IF(OR(M268="",M269="",M270="",M103="",M103=0),"",(M268-M269-M270)/M103)</f>
        <v/>
      </c>
      <c r="N114" s="22" t="n"/>
      <c r="O114" s="28" t="n"/>
      <c r="P114" s="28" t="n"/>
      <c r="Q114" s="28" t="n"/>
      <c r="R114" s="28" t="n"/>
      <c r="S114" s="28" t="n"/>
      <c r="T114" s="28" t="n"/>
      <c r="U114" s="28" t="n"/>
      <c r="V114" s="28" t="n"/>
      <c r="W114" s="28" t="n"/>
      <c r="X114" s="28" t="n"/>
      <c r="Y114" s="28" t="n"/>
      <c r="Z114" s="28" t="n"/>
      <c r="AA114" s="28" t="n"/>
      <c r="AB114" s="28" t="n"/>
      <c r="AC114" s="28" t="n"/>
      <c r="AD114" s="22" t="n"/>
      <c r="AE114" s="22" t="n"/>
      <c r="AF114" s="22" t="n"/>
      <c r="AG114" s="22" t="n"/>
      <c r="AH114" s="22" t="n"/>
      <c r="AI114" s="22" t="n"/>
    </row>
    <row r="115" ht="19.5" customHeight="1">
      <c r="A115" s="48" t="inlineStr">
        <is>
          <t>FCF/share (TTM)</t>
        </is>
      </c>
      <c r="B115" s="462">
        <f>IF(OR(B49="",B102="",B102=0),"",B49/B102)</f>
        <v/>
      </c>
      <c r="C115" s="462">
        <f>IF(OR(C49="",C102="",C102=0),"",C49/C102)</f>
        <v/>
      </c>
      <c r="D115" s="462">
        <f>IF(OR(D49="",D102="",D102=0),"",D49/D102)</f>
        <v/>
      </c>
      <c r="E115" s="462">
        <f>IF(OR(E49="",E102="",E102=0),"",E49/E102)</f>
        <v/>
      </c>
      <c r="F115" s="462">
        <f>IF(OR(F49="",F102="",F102=0),"",F49/F102)</f>
        <v/>
      </c>
      <c r="G115" s="462">
        <f>IF(OR(G49="",G102="",G102=0),"",G49/G102)</f>
        <v/>
      </c>
      <c r="H115" s="462">
        <f>IF(OR(H49="",H102="",H102=0),"",H49/H102)</f>
        <v/>
      </c>
      <c r="I115" s="462">
        <f>IF(OR(I49="",I102="",I102=0),"",I49/I102)</f>
        <v/>
      </c>
      <c r="J115" s="462">
        <f>IF(OR(J49="",J102="",J102=0),"",J49/J102)</f>
        <v/>
      </c>
      <c r="K115" s="462">
        <f>IF(OR(K49="",K102="",K102=0),"",K49/K102)</f>
        <v/>
      </c>
      <c r="L115" s="462">
        <f>IF(OR(L49="",L102="",L102=0),"",L49/L102)</f>
        <v/>
      </c>
      <c r="M115" s="462">
        <f>IF(OR(M49="",M102="",M102=0),"",M49/M102)</f>
        <v/>
      </c>
      <c r="N115" s="22" t="n"/>
      <c r="O115" s="28" t="n"/>
      <c r="P115" s="28" t="n"/>
      <c r="Q115" s="28" t="n"/>
      <c r="R115" s="28" t="n"/>
      <c r="S115" s="28" t="n"/>
      <c r="T115" s="28" t="n"/>
      <c r="U115" s="28" t="n"/>
      <c r="V115" s="28" t="n"/>
      <c r="W115" s="28" t="n"/>
      <c r="X115" s="28" t="n"/>
      <c r="Y115" s="28" t="n"/>
      <c r="Z115" s="28" t="n"/>
      <c r="AA115" s="28" t="n"/>
      <c r="AB115" s="28" t="n"/>
      <c r="AC115" s="28" t="n"/>
      <c r="AD115" s="22" t="n"/>
      <c r="AE115" s="22" t="n"/>
      <c r="AF115" s="22" t="n"/>
      <c r="AG115" s="22" t="n"/>
      <c r="AH115" s="22" t="n"/>
      <c r="AI115" s="22" t="n"/>
    </row>
    <row r="116" ht="19.5" customHeight="1">
      <c r="A116" s="96" t="inlineStr">
        <is>
          <t>Market-linked</t>
        </is>
      </c>
      <c r="B116" s="104" t="n"/>
      <c r="C116" s="104" t="n"/>
      <c r="D116" s="104" t="n"/>
      <c r="E116" s="104" t="n"/>
      <c r="F116" s="104" t="n"/>
      <c r="G116" s="104" t="n"/>
      <c r="H116" s="104" t="n"/>
      <c r="I116" s="104" t="n"/>
      <c r="J116" s="104" t="n"/>
      <c r="K116" s="104" t="n"/>
      <c r="L116" s="104" t="n"/>
      <c r="M116" s="105" t="n"/>
      <c r="N116" s="22" t="n"/>
      <c r="O116" s="28" t="n"/>
      <c r="P116" s="28" t="n"/>
      <c r="Q116" s="28" t="n"/>
      <c r="R116" s="28" t="n"/>
      <c r="S116" s="28" t="n"/>
      <c r="T116" s="28" t="n"/>
      <c r="U116" s="28" t="n"/>
      <c r="V116" s="28" t="n"/>
      <c r="W116" s="28" t="n"/>
      <c r="X116" s="28" t="n"/>
      <c r="Y116" s="28" t="n"/>
      <c r="Z116" s="28" t="n"/>
      <c r="AA116" s="28" t="n"/>
      <c r="AB116" s="28" t="n"/>
      <c r="AC116" s="28" t="n"/>
      <c r="AD116" s="22" t="n"/>
      <c r="AE116" s="22" t="n"/>
      <c r="AF116" s="22" t="n"/>
      <c r="AG116" s="22" t="n"/>
      <c r="AH116" s="22" t="n"/>
      <c r="AI116" s="22" t="n"/>
    </row>
    <row r="117" ht="19.5" customHeight="1">
      <c r="A117" s="48" t="inlineStr">
        <is>
          <t>EV ($m)</t>
        </is>
      </c>
      <c r="B117" s="62" t="n"/>
      <c r="C117" s="62" t="n"/>
      <c r="D117" s="62" t="n"/>
      <c r="E117" s="62" t="n"/>
      <c r="F117" s="62" t="n"/>
      <c r="G117" s="62" t="n"/>
      <c r="H117" s="62" t="n"/>
      <c r="I117" s="62" t="n"/>
      <c r="J117" s="62" t="n"/>
      <c r="K117" s="62" t="n"/>
      <c r="L117" s="62" t="n"/>
      <c r="M117" s="62" t="n"/>
      <c r="N117" s="22" t="n"/>
      <c r="O117" s="28" t="n"/>
      <c r="P117" s="28" t="n"/>
      <c r="Q117" s="28" t="n"/>
      <c r="R117" s="28" t="n"/>
      <c r="S117" s="28" t="n"/>
      <c r="T117" s="28" t="n"/>
      <c r="U117" s="28" t="n"/>
      <c r="V117" s="28" t="n"/>
      <c r="W117" s="28" t="n"/>
      <c r="X117" s="28" t="n"/>
      <c r="Y117" s="28" t="n"/>
      <c r="Z117" s="28" t="n"/>
      <c r="AA117" s="28" t="n"/>
      <c r="AB117" s="28" t="n"/>
      <c r="AC117" s="28" t="n"/>
      <c r="AD117" s="22" t="n"/>
      <c r="AE117" s="22" t="n"/>
      <c r="AF117" s="22" t="n"/>
      <c r="AG117" s="22" t="n"/>
      <c r="AH117" s="22" t="n"/>
      <c r="AI117" s="22" t="n"/>
    </row>
    <row r="118" ht="19.5" customHeight="1">
      <c r="A118" s="48" t="inlineStr">
        <is>
          <t>EV/EBITDA (TTM)</t>
        </is>
      </c>
      <c r="B118" s="359" t="n"/>
      <c r="C118" s="359" t="n"/>
      <c r="D118" s="359" t="n"/>
      <c r="E118" s="359" t="n"/>
      <c r="F118" s="359" t="n"/>
      <c r="G118" s="359" t="n"/>
      <c r="H118" s="359" t="n"/>
      <c r="I118" s="359" t="n"/>
      <c r="J118" s="359" t="n"/>
      <c r="K118" s="359" t="n"/>
      <c r="L118" s="359" t="n"/>
      <c r="M118" s="359" t="n"/>
      <c r="N118" s="22" t="n"/>
      <c r="O118" s="28" t="n"/>
      <c r="P118" s="28" t="n"/>
      <c r="Q118" s="28" t="n"/>
      <c r="R118" s="28" t="n"/>
      <c r="S118" s="28" t="n"/>
      <c r="T118" s="28" t="n"/>
      <c r="U118" s="28" t="n"/>
      <c r="V118" s="28" t="n"/>
      <c r="W118" s="28" t="n"/>
      <c r="X118" s="28" t="n"/>
      <c r="Y118" s="28" t="n"/>
      <c r="Z118" s="28" t="n"/>
      <c r="AA118" s="28" t="n"/>
      <c r="AB118" s="28" t="n"/>
      <c r="AC118" s="28" t="n"/>
      <c r="AD118" s="22" t="n"/>
      <c r="AE118" s="22" t="n"/>
      <c r="AF118" s="22" t="n"/>
      <c r="AG118" s="22" t="n"/>
      <c r="AH118" s="22" t="n"/>
      <c r="AI118" s="22" t="n"/>
    </row>
    <row r="119" ht="19.5" customHeight="1">
      <c r="A119" s="48" t="inlineStr">
        <is>
          <t>EV/Adj EBITDA (TTM)</t>
        </is>
      </c>
      <c r="B119" s="359" t="n"/>
      <c r="C119" s="359" t="n"/>
      <c r="D119" s="359" t="n"/>
      <c r="E119" s="359" t="n"/>
      <c r="F119" s="359" t="n"/>
      <c r="G119" s="359" t="n"/>
      <c r="H119" s="359" t="n"/>
      <c r="I119" s="359" t="n"/>
      <c r="J119" s="359" t="n"/>
      <c r="K119" s="359" t="n"/>
      <c r="L119" s="359" t="n"/>
      <c r="M119" s="359" t="n"/>
      <c r="N119" s="22" t="n"/>
      <c r="O119" s="28" t="n"/>
      <c r="P119" s="28" t="n"/>
      <c r="Q119" s="28" t="n"/>
      <c r="R119" s="28" t="n"/>
      <c r="S119" s="28" t="n"/>
      <c r="T119" s="28" t="n"/>
      <c r="U119" s="28" t="n"/>
      <c r="V119" s="28" t="n"/>
      <c r="W119" s="28" t="n"/>
      <c r="X119" s="28" t="n"/>
      <c r="Y119" s="28" t="n"/>
      <c r="Z119" s="28" t="n"/>
      <c r="AA119" s="28" t="n"/>
      <c r="AB119" s="28" t="n"/>
      <c r="AC119" s="28" t="n"/>
      <c r="AD119" s="22" t="n"/>
      <c r="AE119" s="22" t="n"/>
      <c r="AF119" s="22" t="n"/>
      <c r="AG119" s="22" t="n"/>
      <c r="AH119" s="22" t="n"/>
      <c r="AI119" s="22" t="n"/>
    </row>
    <row r="120" ht="19.5" customHeight="1">
      <c r="A120" s="48" t="inlineStr">
        <is>
          <t>FCF yield (TTM, equity)</t>
        </is>
      </c>
      <c r="B120" s="59" t="n"/>
      <c r="C120" s="59" t="n"/>
      <c r="D120" s="59" t="n"/>
      <c r="E120" s="59" t="n"/>
      <c r="F120" s="59" t="n"/>
      <c r="G120" s="59" t="n"/>
      <c r="H120" s="59" t="n"/>
      <c r="I120" s="59" t="n"/>
      <c r="J120" s="59" t="n"/>
      <c r="K120" s="59" t="n"/>
      <c r="L120" s="59" t="n"/>
      <c r="M120" s="59" t="n"/>
      <c r="N120" s="22" t="n"/>
      <c r="O120" s="28" t="n"/>
      <c r="P120" s="28" t="n"/>
      <c r="Q120" s="28" t="n"/>
      <c r="R120" s="28" t="n"/>
      <c r="S120" s="28" t="n"/>
      <c r="T120" s="28" t="n"/>
      <c r="U120" s="28" t="n"/>
      <c r="V120" s="28" t="n"/>
      <c r="W120" s="28" t="n"/>
      <c r="X120" s="28" t="n"/>
      <c r="Y120" s="28" t="n"/>
      <c r="Z120" s="28" t="n"/>
      <c r="AA120" s="28" t="n"/>
      <c r="AB120" s="28" t="n"/>
      <c r="AC120" s="28" t="n"/>
      <c r="AD120" s="22" t="n"/>
      <c r="AE120" s="22" t="n"/>
      <c r="AF120" s="22" t="n"/>
      <c r="AG120" s="22" t="n"/>
      <c r="AH120" s="22" t="n"/>
      <c r="AI120" s="22" t="n"/>
    </row>
    <row r="121" ht="19.5" customHeight="1">
      <c r="A121" s="48" t="inlineStr">
        <is>
          <t>FCF yield (TTM, EV)</t>
        </is>
      </c>
      <c r="B121" s="59" t="n"/>
      <c r="C121" s="59" t="n"/>
      <c r="D121" s="59" t="n"/>
      <c r="E121" s="59" t="n"/>
      <c r="F121" s="59" t="n"/>
      <c r="G121" s="59" t="n"/>
      <c r="H121" s="59" t="n"/>
      <c r="I121" s="59" t="n"/>
      <c r="J121" s="59" t="n"/>
      <c r="K121" s="59" t="n"/>
      <c r="L121" s="59" t="n"/>
      <c r="M121" s="59" t="n"/>
      <c r="N121" s="22" t="n"/>
      <c r="O121" s="28" t="n"/>
      <c r="P121" s="28" t="n"/>
      <c r="Q121" s="28" t="n"/>
      <c r="R121" s="28" t="n"/>
      <c r="S121" s="28" t="n"/>
      <c r="T121" s="28" t="n"/>
      <c r="U121" s="28" t="n"/>
      <c r="V121" s="28" t="n"/>
      <c r="W121" s="28" t="n"/>
      <c r="X121" s="28" t="n"/>
      <c r="Y121" s="28" t="n"/>
      <c r="Z121" s="28" t="n"/>
      <c r="AA121" s="28" t="n"/>
      <c r="AB121" s="28" t="n"/>
      <c r="AC121" s="28" t="n"/>
      <c r="AD121" s="22" t="n"/>
      <c r="AE121" s="22" t="n"/>
      <c r="AF121" s="22" t="n"/>
      <c r="AG121" s="22" t="n"/>
      <c r="AH121" s="22" t="n"/>
      <c r="AI121" s="22" t="n"/>
    </row>
    <row r="122" ht="19.5" customHeight="1">
      <c r="A122" s="463" t="inlineStr">
        <is>
          <t>Debt &amp; liquidity snapshot</t>
        </is>
      </c>
      <c r="N122" s="22" t="n"/>
      <c r="O122" s="28" t="n"/>
      <c r="P122" s="28" t="n"/>
      <c r="Q122" s="28" t="n"/>
      <c r="R122" s="28" t="n"/>
      <c r="S122" s="28" t="n"/>
      <c r="T122" s="28" t="n"/>
      <c r="U122" s="28" t="n"/>
      <c r="V122" s="28" t="n"/>
      <c r="W122" s="28" t="n"/>
      <c r="X122" s="28" t="n"/>
      <c r="Y122" s="28" t="n"/>
      <c r="Z122" s="28" t="n"/>
      <c r="AA122" s="28" t="n"/>
      <c r="AB122" s="28" t="n"/>
      <c r="AC122" s="28" t="n"/>
      <c r="AD122" s="22" t="n"/>
      <c r="AE122" s="22" t="n"/>
      <c r="AF122" s="22" t="n"/>
      <c r="AG122" s="22" t="n"/>
      <c r="AH122" s="22" t="n"/>
      <c r="AI122" s="22" t="n"/>
    </row>
    <row r="123" ht="19.5" customHeight="1">
      <c r="A123" s="464" t="inlineStr">
        <is>
          <t>Metric</t>
        </is>
      </c>
      <c r="B123" s="464" t="inlineStr">
        <is>
          <t>Value</t>
        </is>
      </c>
      <c r="C123" s="464" t="inlineStr">
        <is>
          <t>Unit</t>
        </is>
      </c>
      <c r="D123" s="464" t="inlineStr">
        <is>
          <t>As of</t>
        </is>
      </c>
      <c r="E123" s="464" t="inlineStr">
        <is>
          <t>Status</t>
        </is>
      </c>
      <c r="F123" s="464" t="inlineStr">
        <is>
          <t>Evidence / lineage</t>
        </is>
      </c>
      <c r="O123" s="92" t="n"/>
      <c r="P123" s="64" t="n"/>
      <c r="Q123" s="92" t="n"/>
      <c r="R123" s="64" t="n"/>
      <c r="S123" s="28" t="n"/>
      <c r="T123" s="28" t="n"/>
      <c r="U123" s="28" t="n"/>
      <c r="V123" s="28" t="n"/>
      <c r="W123" s="28" t="n"/>
      <c r="X123" s="28" t="n"/>
      <c r="Y123" s="28" t="n"/>
      <c r="Z123" s="28" t="n"/>
      <c r="AA123" s="28" t="n"/>
      <c r="AB123" s="28" t="n"/>
      <c r="AC123" s="28" t="n"/>
      <c r="AD123" s="22" t="n"/>
      <c r="AE123" s="22" t="n"/>
      <c r="AF123" s="22" t="n"/>
      <c r="AG123" s="22" t="n"/>
      <c r="AH123" s="22" t="n"/>
      <c r="AI123" s="22" t="n"/>
    </row>
    <row r="124" ht="19.5" customHeight="1">
      <c r="A124" s="101" t="inlineStr">
        <is>
          <t>Cash</t>
        </is>
      </c>
      <c r="B124" s="465" t="n"/>
      <c r="C124" s="101" t="inlineStr">
        <is>
          <t>$m</t>
        </is>
      </c>
      <c r="D124" s="101" t="n"/>
      <c r="E124" s="101" t="n"/>
      <c r="F124" s="101" t="n"/>
      <c r="N124" s="22" t="n"/>
      <c r="O124" s="28" t="n"/>
      <c r="P124" s="28" t="n"/>
      <c r="Q124" s="28" t="n"/>
      <c r="R124" s="28" t="n"/>
      <c r="S124" s="28" t="n"/>
      <c r="T124" s="28" t="n"/>
      <c r="U124" s="28" t="n"/>
      <c r="V124" s="28" t="n"/>
      <c r="W124" s="28" t="n"/>
      <c r="X124" s="28" t="n"/>
      <c r="Y124" s="28" t="n"/>
      <c r="Z124" s="28" t="n"/>
      <c r="AA124" s="28" t="n"/>
      <c r="AB124" s="28" t="n"/>
      <c r="AC124" s="28" t="n"/>
      <c r="AD124" s="22" t="n"/>
      <c r="AE124" s="22" t="n"/>
      <c r="AF124" s="22" t="n"/>
      <c r="AG124" s="22" t="n"/>
      <c r="AH124" s="22" t="n"/>
      <c r="AI124" s="22" t="n"/>
    </row>
    <row r="125" ht="19.5" customHeight="1">
      <c r="A125" s="101" t="inlineStr">
        <is>
          <t>Revolver availability</t>
        </is>
      </c>
      <c r="B125" s="465" t="n"/>
      <c r="C125" s="101" t="inlineStr">
        <is>
          <t>$m</t>
        </is>
      </c>
      <c r="D125" s="101" t="n"/>
      <c r="E125" s="101" t="n"/>
      <c r="F125" s="101" t="n"/>
      <c r="N125" s="22" t="n"/>
      <c r="O125" s="28" t="n"/>
      <c r="P125" s="28" t="n"/>
      <c r="Q125" s="28" t="n"/>
      <c r="R125" s="28" t="n"/>
      <c r="S125" s="28" t="n"/>
      <c r="T125" s="28" t="n"/>
      <c r="U125" s="28" t="n"/>
      <c r="V125" s="28" t="n"/>
      <c r="W125" s="28" t="n"/>
      <c r="X125" s="28" t="n"/>
      <c r="Y125" s="28" t="n"/>
      <c r="Z125" s="28" t="n"/>
      <c r="AA125" s="28" t="n"/>
      <c r="AB125" s="28" t="n"/>
      <c r="AC125" s="28" t="n"/>
      <c r="AD125" s="22" t="n"/>
      <c r="AE125" s="22" t="n"/>
      <c r="AF125" s="22" t="n"/>
      <c r="AG125" s="22" t="n"/>
      <c r="AH125" s="22" t="n"/>
      <c r="AI125" s="22" t="n"/>
    </row>
    <row r="126" ht="19.5" customHeight="1">
      <c r="A126" s="101" t="inlineStr">
        <is>
          <t>Total liquidity</t>
        </is>
      </c>
      <c r="B126" s="465" t="n"/>
      <c r="C126" s="101" t="inlineStr">
        <is>
          <t>$m</t>
        </is>
      </c>
      <c r="D126" s="101" t="n"/>
      <c r="E126" s="101" t="n"/>
      <c r="F126" s="101" t="n"/>
      <c r="N126" s="22" t="n"/>
      <c r="O126" s="22" t="n"/>
      <c r="P126" s="22" t="n"/>
      <c r="Q126" s="22" t="n"/>
      <c r="R126" s="22" t="n"/>
      <c r="S126" s="22" t="n"/>
      <c r="T126" s="22" t="n"/>
      <c r="U126" s="22" t="n"/>
      <c r="V126" s="22" t="n"/>
      <c r="W126" s="22" t="n"/>
      <c r="X126" s="22" t="n"/>
      <c r="Y126" s="22" t="n"/>
      <c r="Z126" s="22" t="n"/>
      <c r="AA126" s="22" t="n"/>
      <c r="AB126" s="22" t="n"/>
      <c r="AC126" s="22" t="n"/>
      <c r="AD126" s="22" t="n"/>
      <c r="AE126" s="22" t="n"/>
      <c r="AF126" s="22" t="n"/>
      <c r="AG126" s="22" t="n"/>
      <c r="AH126" s="22" t="n"/>
      <c r="AI126" s="22" t="n"/>
    </row>
    <row r="127" ht="19.5" customHeight="1">
      <c r="A127" s="101" t="inlineStr">
        <is>
          <t>Operating lease liabilities</t>
        </is>
      </c>
      <c r="B127" s="465" t="n"/>
      <c r="C127" s="101" t="inlineStr">
        <is>
          <t>$m</t>
        </is>
      </c>
      <c r="D127" s="101" t="n"/>
      <c r="E127" s="101" t="n"/>
      <c r="F127" s="101" t="n"/>
      <c r="N127" s="22" t="n"/>
      <c r="O127" s="22" t="n"/>
      <c r="P127" s="22" t="n"/>
      <c r="Q127" s="22" t="n"/>
      <c r="R127" s="22" t="n"/>
      <c r="S127" s="22" t="n"/>
      <c r="T127" s="22" t="n"/>
      <c r="U127" s="22" t="n"/>
      <c r="V127" s="22" t="n"/>
      <c r="W127" s="22" t="n"/>
      <c r="X127" s="22" t="n"/>
      <c r="Y127" s="22" t="n"/>
      <c r="Z127" s="22" t="n"/>
      <c r="AA127" s="22" t="n"/>
      <c r="AB127" s="22" t="n"/>
      <c r="AC127" s="22" t="n"/>
      <c r="AD127" s="22" t="n"/>
      <c r="AE127" s="22" t="n"/>
      <c r="AF127" s="22" t="n"/>
      <c r="AG127" s="22" t="n"/>
      <c r="AH127" s="22" t="n"/>
      <c r="AI127" s="22" t="n"/>
    </row>
    <row r="128" ht="19.5" customHeight="1">
      <c r="A128" s="101" t="inlineStr">
        <is>
          <t>Core debt</t>
        </is>
      </c>
      <c r="B128" s="465" t="n"/>
      <c r="C128" s="101" t="inlineStr">
        <is>
          <t>$m</t>
        </is>
      </c>
      <c r="D128" s="101" t="n"/>
      <c r="E128" s="101" t="n"/>
      <c r="F128" s="101" t="n"/>
      <c r="N128" s="22" t="n"/>
      <c r="O128" s="22" t="n"/>
      <c r="P128" s="22" t="n"/>
      <c r="Q128" s="22" t="n"/>
      <c r="R128" s="22" t="n"/>
      <c r="S128" s="22" t="n"/>
      <c r="T128" s="22" t="n"/>
      <c r="U128" s="22" t="n"/>
      <c r="V128" s="22" t="n"/>
      <c r="W128" s="22" t="n"/>
      <c r="X128" s="22" t="n"/>
      <c r="Y128" s="22" t="n"/>
      <c r="Z128" s="22" t="n"/>
      <c r="AA128" s="22" t="n"/>
      <c r="AB128" s="22" t="n"/>
      <c r="AC128" s="22" t="n"/>
      <c r="AD128" s="22" t="n"/>
      <c r="AE128" s="22" t="n"/>
      <c r="AF128" s="22" t="n"/>
      <c r="AG128" s="22" t="n"/>
      <c r="AH128" s="22" t="n"/>
      <c r="AI128" s="22" t="n"/>
    </row>
    <row r="129" ht="19.5" customHeight="1">
      <c r="A129" s="101" t="inlineStr">
        <is>
          <t>Net debt</t>
        </is>
      </c>
      <c r="B129" s="465" t="n"/>
      <c r="C129" s="101" t="inlineStr">
        <is>
          <t>$m</t>
        </is>
      </c>
      <c r="D129" s="101" t="n"/>
      <c r="E129" s="101" t="n"/>
      <c r="F129" s="101" t="n"/>
      <c r="N129" s="22" t="n"/>
      <c r="O129" s="22" t="n"/>
      <c r="P129" s="22" t="n"/>
      <c r="Q129" s="22" t="n"/>
      <c r="R129" s="22" t="n"/>
      <c r="S129" s="22" t="n"/>
      <c r="T129" s="22" t="n"/>
      <c r="U129" s="22" t="n"/>
      <c r="V129" s="22" t="n"/>
      <c r="W129" s="22" t="n"/>
      <c r="X129" s="22" t="n"/>
      <c r="Y129" s="22" t="n"/>
      <c r="Z129" s="22" t="n"/>
      <c r="AA129" s="22" t="n"/>
      <c r="AB129" s="22" t="n"/>
      <c r="AC129" s="22" t="n"/>
      <c r="AD129" s="22" t="n"/>
      <c r="AE129" s="22" t="n"/>
      <c r="AF129" s="22" t="n"/>
      <c r="AG129" s="22" t="n"/>
      <c r="AH129" s="22" t="n"/>
      <c r="AI129" s="22" t="n"/>
    </row>
    <row r="130" ht="19.5" customHeight="1">
      <c r="A130" s="101" t="inlineStr">
        <is>
          <t>Net leverage</t>
        </is>
      </c>
      <c r="B130" s="466" t="n"/>
      <c r="C130" s="101" t="inlineStr">
        <is>
          <t>x</t>
        </is>
      </c>
      <c r="D130" s="101" t="n"/>
      <c r="E130" s="101" t="n"/>
      <c r="F130" s="101" t="n"/>
      <c r="N130" s="22" t="n"/>
      <c r="O130" s="22" t="n"/>
      <c r="P130" s="22" t="n"/>
      <c r="Q130" s="22" t="n"/>
      <c r="R130" s="22" t="n"/>
      <c r="S130" s="22" t="n"/>
      <c r="T130" s="22" t="n"/>
      <c r="U130" s="22" t="n"/>
      <c r="V130" s="22" t="n"/>
      <c r="W130" s="22" t="n"/>
      <c r="X130" s="22" t="n"/>
      <c r="Y130" s="22" t="n"/>
      <c r="Z130" s="22" t="n"/>
      <c r="AA130" s="22" t="n"/>
      <c r="AB130" s="22" t="n"/>
      <c r="AC130" s="22" t="n"/>
      <c r="AD130" s="22" t="n"/>
      <c r="AE130" s="22" t="n"/>
      <c r="AF130" s="22" t="n"/>
      <c r="AG130" s="22" t="n"/>
      <c r="AH130" s="22" t="n"/>
      <c r="AI130" s="22" t="n"/>
    </row>
    <row r="131" ht="19.5" customHeight="1">
      <c r="A131" s="101" t="inlineStr">
        <is>
          <t>Maturity detail</t>
        </is>
      </c>
      <c r="B131" s="465" t="n"/>
      <c r="C131" s="101" t="inlineStr"/>
      <c r="D131" s="101" t="n"/>
      <c r="E131" s="101" t="inlineStr">
        <is>
          <t>unavailable</t>
        </is>
      </c>
      <c r="F131" s="101" t="inlineStr">
        <is>
          <t>No maturity schedule available.</t>
        </is>
      </c>
      <c r="N131" s="22" t="n"/>
      <c r="O131" s="22" t="n"/>
      <c r="P131" s="22" t="n"/>
      <c r="Q131" s="22" t="n"/>
      <c r="R131" s="22" t="n"/>
      <c r="S131" s="22" t="n"/>
      <c r="T131" s="22" t="n"/>
      <c r="U131" s="22" t="n"/>
      <c r="V131" s="22" t="n"/>
      <c r="W131" s="22" t="n"/>
      <c r="X131" s="22" t="n"/>
      <c r="Y131" s="22" t="n"/>
      <c r="Z131" s="22" t="n"/>
      <c r="AA131" s="22" t="n"/>
      <c r="AB131" s="22" t="n"/>
      <c r="AC131" s="22" t="n"/>
      <c r="AD131" s="22" t="n"/>
      <c r="AE131" s="22" t="n"/>
      <c r="AF131" s="22" t="n"/>
      <c r="AG131" s="22" t="n"/>
      <c r="AH131" s="22" t="n"/>
      <c r="AI131" s="22" t="n"/>
    </row>
    <row r="132" ht="19.5" customHeight="1">
      <c r="A132" s="22" t="n"/>
      <c r="B132" s="22" t="n"/>
      <c r="C132" s="22" t="n"/>
      <c r="D132" s="22" t="n"/>
      <c r="E132" s="22" t="n"/>
      <c r="F132" s="22" t="n"/>
      <c r="G132" s="22" t="n"/>
      <c r="H132" s="22" t="n"/>
      <c r="I132" s="22" t="n"/>
      <c r="J132" s="22" t="n"/>
      <c r="K132" s="22" t="n"/>
      <c r="L132" s="22" t="n"/>
      <c r="M132" s="22" t="n"/>
      <c r="N132" s="22" t="n"/>
      <c r="O132" s="22" t="n"/>
      <c r="P132" s="22" t="n"/>
      <c r="Q132" s="22" t="n"/>
      <c r="R132" s="22" t="n"/>
      <c r="S132" s="22" t="n"/>
      <c r="T132" s="22" t="n"/>
      <c r="U132" s="22" t="n"/>
      <c r="V132" s="22" t="n"/>
      <c r="W132" s="22" t="n"/>
      <c r="X132" s="22" t="n"/>
      <c r="Y132" s="22" t="n"/>
      <c r="Z132" s="22" t="n"/>
      <c r="AA132" s="22" t="n"/>
      <c r="AB132" s="22" t="n"/>
      <c r="AC132" s="22" t="n"/>
      <c r="AD132" s="22" t="n"/>
      <c r="AE132" s="22" t="n"/>
      <c r="AF132" s="22" t="n"/>
      <c r="AG132" s="22" t="n"/>
      <c r="AH132" s="22" t="n"/>
      <c r="AI132" s="22" t="n"/>
    </row>
    <row r="133" ht="19.5" customHeight="1">
      <c r="A133" s="22" t="n"/>
      <c r="B133" s="22" t="n"/>
      <c r="C133" s="22" t="n"/>
      <c r="D133" s="22" t="n"/>
      <c r="E133" s="22" t="n"/>
      <c r="F133" s="22" t="n"/>
      <c r="G133" s="22" t="n"/>
      <c r="H133" s="22" t="n"/>
      <c r="I133" s="22" t="n"/>
      <c r="J133" s="22" t="n"/>
      <c r="K133" s="22" t="n"/>
      <c r="L133" s="22" t="n"/>
      <c r="M133" s="22" t="n"/>
      <c r="N133" s="22" t="n"/>
      <c r="O133" s="22" t="n"/>
      <c r="P133" s="22" t="n"/>
      <c r="Q133" s="22" t="n"/>
      <c r="R133" s="22" t="n"/>
      <c r="S133" s="22" t="n"/>
      <c r="T133" s="22" t="n"/>
      <c r="U133" s="22" t="n"/>
      <c r="V133" s="22" t="n"/>
      <c r="W133" s="22" t="n"/>
      <c r="X133" s="22" t="n"/>
      <c r="Y133" s="22" t="n"/>
      <c r="Z133" s="22" t="n"/>
      <c r="AA133" s="22" t="n"/>
      <c r="AB133" s="22" t="n"/>
      <c r="AC133" s="22" t="n"/>
      <c r="AD133" s="22" t="n"/>
      <c r="AE133" s="22" t="n"/>
      <c r="AF133" s="22" t="n"/>
      <c r="AG133" s="22" t="n"/>
      <c r="AH133" s="22" t="n"/>
      <c r="AI133" s="22" t="n"/>
    </row>
    <row r="134" ht="19.5" customHeight="1">
      <c r="A134" s="22" t="n"/>
      <c r="B134" s="22" t="n"/>
      <c r="C134" s="22" t="n"/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2" t="n"/>
      <c r="M134" s="22" t="n"/>
      <c r="N134" s="22" t="n"/>
      <c r="O134" s="22" t="n"/>
      <c r="P134" s="22" t="n"/>
      <c r="Q134" s="22" t="n"/>
      <c r="R134" s="22" t="n"/>
      <c r="S134" s="22" t="n"/>
      <c r="T134" s="22" t="n"/>
      <c r="U134" s="22" t="n"/>
      <c r="V134" s="22" t="n"/>
      <c r="W134" s="22" t="n"/>
      <c r="X134" s="22" t="n"/>
      <c r="Y134" s="22" t="n"/>
      <c r="Z134" s="22" t="n"/>
      <c r="AA134" s="22" t="n"/>
      <c r="AB134" s="22" t="n"/>
      <c r="AC134" s="22" t="n"/>
      <c r="AD134" s="22" t="n"/>
      <c r="AE134" s="22" t="n"/>
      <c r="AF134" s="22" t="n"/>
      <c r="AG134" s="22" t="n"/>
      <c r="AH134" s="22" t="n"/>
      <c r="AI134" s="22" t="n"/>
    </row>
    <row r="135" ht="19.5" customHeight="1">
      <c r="A135" s="22" t="n"/>
      <c r="B135" s="22" t="n"/>
      <c r="C135" s="22" t="n"/>
      <c r="D135" s="22" t="n"/>
      <c r="E135" s="22" t="n"/>
      <c r="F135" s="22" t="n"/>
      <c r="G135" s="22" t="n"/>
      <c r="H135" s="22" t="n"/>
      <c r="I135" s="22" t="n"/>
      <c r="J135" s="22" t="n"/>
      <c r="K135" s="22" t="n"/>
      <c r="L135" s="22" t="n"/>
      <c r="M135" s="22" t="n"/>
      <c r="N135" s="22" t="n"/>
      <c r="O135" s="22" t="n"/>
      <c r="P135" s="22" t="n"/>
      <c r="Q135" s="22" t="n"/>
      <c r="R135" s="22" t="n"/>
      <c r="S135" s="22" t="n"/>
      <c r="T135" s="22" t="n"/>
      <c r="U135" s="22" t="n"/>
      <c r="V135" s="22" t="n"/>
      <c r="W135" s="22" t="n"/>
      <c r="X135" s="22" t="n"/>
      <c r="Y135" s="22" t="n"/>
      <c r="Z135" s="22" t="n"/>
      <c r="AA135" s="22" t="n"/>
      <c r="AB135" s="22" t="n"/>
      <c r="AC135" s="22" t="n"/>
      <c r="AD135" s="22" t="n"/>
      <c r="AE135" s="22" t="n"/>
      <c r="AF135" s="22" t="n"/>
      <c r="AG135" s="22" t="n"/>
      <c r="AH135" s="22" t="n"/>
      <c r="AI135" s="22" t="n"/>
    </row>
    <row r="136" ht="19.5" customHeight="1">
      <c r="A136" s="22" t="n"/>
      <c r="B136" s="22" t="n"/>
      <c r="C136" s="22" t="n"/>
      <c r="D136" s="22" t="n"/>
      <c r="E136" s="22" t="n"/>
      <c r="F136" s="22" t="n"/>
      <c r="G136" s="22" t="n"/>
      <c r="H136" s="22" t="n"/>
      <c r="I136" s="22" t="n"/>
      <c r="J136" s="22" t="n"/>
      <c r="K136" s="22" t="n"/>
      <c r="L136" s="22" t="n"/>
      <c r="M136" s="22" t="n"/>
      <c r="N136" s="22" t="n"/>
      <c r="O136" s="22" t="n"/>
      <c r="P136" s="22" t="n"/>
      <c r="Q136" s="22" t="n"/>
      <c r="R136" s="22" t="n"/>
      <c r="S136" s="22" t="n"/>
      <c r="T136" s="22" t="n"/>
      <c r="U136" s="22" t="n"/>
      <c r="V136" s="22" t="n"/>
      <c r="W136" s="22" t="n"/>
      <c r="X136" s="22" t="n"/>
      <c r="Y136" s="22" t="n"/>
      <c r="Z136" s="22" t="n"/>
      <c r="AA136" s="22" t="n"/>
      <c r="AB136" s="22" t="n"/>
      <c r="AC136" s="22" t="n"/>
      <c r="AD136" s="22" t="n"/>
      <c r="AE136" s="22" t="n"/>
      <c r="AF136" s="22" t="n"/>
      <c r="AG136" s="22" t="n"/>
      <c r="AH136" s="22" t="n"/>
      <c r="AI136" s="22" t="n"/>
    </row>
    <row r="137" ht="19.5" customHeight="1">
      <c r="A137" s="463" t="inlineStr">
        <is>
          <t>Hidden value flags</t>
        </is>
      </c>
      <c r="N137" s="467" t="inlineStr">
        <is>
          <t>Signal state counts</t>
        </is>
      </c>
      <c r="O137" s="104" t="n"/>
      <c r="P137" s="104" t="n"/>
      <c r="Q137" s="104" t="n"/>
      <c r="R137" s="105" t="n"/>
      <c r="S137" s="22" t="n"/>
      <c r="T137" s="22" t="n"/>
      <c r="U137" s="22" t="n"/>
      <c r="V137" s="22" t="n"/>
      <c r="W137" s="22" t="n"/>
      <c r="X137" s="22" t="n"/>
      <c r="Y137" s="22" t="n"/>
      <c r="Z137" s="22" t="n"/>
      <c r="AA137" s="22" t="n"/>
      <c r="AB137" s="22" t="n"/>
      <c r="AC137" s="22" t="n"/>
      <c r="AD137" s="22" t="n"/>
      <c r="AE137" s="22" t="n"/>
      <c r="AF137" s="22" t="n"/>
      <c r="AG137" s="22" t="n"/>
      <c r="AH137" s="22" t="n"/>
      <c r="AI137" s="22" t="n"/>
    </row>
    <row r="138" ht="19.5" customHeight="1">
      <c r="A138" s="96" t="inlineStr">
        <is>
          <t>Triggered signal</t>
        </is>
      </c>
      <c r="B138" s="468" t="inlineStr">
        <is>
          <t>Summary</t>
        </is>
      </c>
      <c r="C138" s="468" t="inlineStr"/>
      <c r="D138" s="468" t="inlineStr"/>
      <c r="E138" s="468" t="inlineStr"/>
      <c r="F138" s="468" t="inlineStr">
        <is>
          <t>Score</t>
        </is>
      </c>
      <c r="G138" s="468" t="inlineStr">
        <is>
          <t>State</t>
        </is>
      </c>
      <c r="H138" s="468" t="inlineStr">
        <is>
          <t>As of period</t>
        </is>
      </c>
      <c r="I138" s="105" t="n"/>
      <c r="J138" s="96" t="inlineStr"/>
      <c r="K138" s="96" t="inlineStr"/>
      <c r="L138" s="96" t="inlineStr"/>
      <c r="M138" s="96" t="inlineStr"/>
      <c r="N138" s="98" t="inlineStr">
        <is>
          <t>State</t>
        </is>
      </c>
      <c r="O138" s="104" t="n"/>
      <c r="P138" s="104" t="n"/>
      <c r="Q138" s="105" t="n"/>
      <c r="R138" s="100" t="inlineStr">
        <is>
          <t>Count</t>
        </is>
      </c>
      <c r="S138" s="101" t="n"/>
      <c r="T138" s="22" t="n"/>
      <c r="U138" s="22" t="n"/>
      <c r="V138" s="22" t="n"/>
      <c r="W138" s="22" t="n"/>
      <c r="X138" s="22" t="n"/>
      <c r="Y138" s="22" t="n"/>
      <c r="Z138" s="22" t="n"/>
      <c r="AA138" s="101" t="n"/>
      <c r="AB138" s="22" t="n"/>
      <c r="AC138" s="22" t="n"/>
      <c r="AD138" s="22" t="n"/>
      <c r="AE138" s="22" t="n"/>
      <c r="AF138" s="22" t="n"/>
      <c r="AG138" s="22" t="n"/>
      <c r="AH138" s="22" t="n"/>
      <c r="AI138" s="22" t="n"/>
    </row>
    <row r="139" ht="28" customHeight="1">
      <c r="A139" s="102" t="n"/>
      <c r="B139" s="107" t="n"/>
      <c r="C139" s="104" t="n"/>
      <c r="D139" s="104" t="n"/>
      <c r="E139" s="105" t="n"/>
      <c r="F139" s="469" t="n"/>
      <c r="G139" s="470" t="n"/>
      <c r="H139" s="470" t="n"/>
      <c r="I139" s="104" t="n"/>
      <c r="J139" s="104" t="n"/>
      <c r="K139" s="104" t="n"/>
      <c r="L139" s="104" t="n"/>
      <c r="M139" s="105" t="n"/>
      <c r="N139" s="98" t="inlineStr">
        <is>
          <t>Triggered</t>
        </is>
      </c>
      <c r="O139" s="104" t="n"/>
      <c r="P139" s="104" t="n"/>
      <c r="Q139" s="105" t="n"/>
      <c r="R139" s="100">
        <f>IF(COUNTA('Hidden_Value_Audit'!$A$2:$A$8)=0,"",COUNTIF('Hidden_Value_Audit'!$R$2:$R$8,"triggered"))</f>
        <v/>
      </c>
      <c r="S139" s="101" t="n"/>
      <c r="T139" s="22" t="n"/>
      <c r="U139" s="22" t="n"/>
      <c r="V139" s="22" t="n"/>
      <c r="W139" s="22" t="n"/>
      <c r="X139" s="22" t="n"/>
      <c r="Y139" s="22" t="n"/>
      <c r="Z139" s="22" t="n"/>
      <c r="AA139" s="101" t="n"/>
      <c r="AB139" s="22" t="n"/>
      <c r="AC139" s="22" t="n"/>
      <c r="AD139" s="22" t="n"/>
      <c r="AE139" s="22" t="n"/>
      <c r="AF139" s="22" t="n"/>
      <c r="AG139" s="22" t="n"/>
      <c r="AH139" s="22" t="n"/>
      <c r="AI139" s="22" t="n"/>
    </row>
    <row r="140" ht="28" customHeight="1">
      <c r="A140" s="28" t="n"/>
      <c r="B140" s="471" t="n"/>
      <c r="C140" s="28" t="n"/>
      <c r="D140" s="28" t="n"/>
      <c r="E140" s="28" t="n"/>
      <c r="F140" s="472" t="n"/>
      <c r="G140" s="473" t="n"/>
      <c r="H140" s="473" t="n"/>
      <c r="I140" s="28" t="n"/>
      <c r="J140" s="28" t="n"/>
      <c r="K140" s="28" t="n"/>
      <c r="L140" s="28" t="n"/>
      <c r="M140" s="28" t="n"/>
      <c r="N140" s="98" t="inlineStr">
        <is>
          <t>Near miss</t>
        </is>
      </c>
      <c r="O140" s="104" t="n"/>
      <c r="P140" s="104" t="n"/>
      <c r="Q140" s="105" t="n"/>
      <c r="R140" s="100">
        <f>IF(COUNTA('Hidden_Value_Audit'!$A$2:$A$8)=0,"",COUNTIF('Hidden_Value_Audit'!$R$2:$R$8,"near_miss"))</f>
        <v/>
      </c>
      <c r="S140" s="101" t="n"/>
      <c r="T140" s="22" t="n"/>
      <c r="U140" s="22" t="n"/>
      <c r="V140" s="22" t="n"/>
      <c r="W140" s="22" t="n"/>
      <c r="X140" s="22" t="n"/>
      <c r="Y140" s="22" t="n"/>
      <c r="Z140" s="22" t="n"/>
      <c r="AA140" s="101" t="n"/>
      <c r="AB140" s="22" t="n"/>
      <c r="AC140" s="22" t="n"/>
      <c r="AD140" s="22" t="n"/>
      <c r="AE140" s="22" t="n"/>
      <c r="AF140" s="22" t="n"/>
      <c r="AG140" s="22" t="n"/>
      <c r="AH140" s="22" t="n"/>
      <c r="AI140" s="22" t="n"/>
    </row>
    <row r="141" ht="28" customHeight="1">
      <c r="A141" s="28" t="n"/>
      <c r="B141" s="471" t="n"/>
      <c r="C141" s="28" t="n"/>
      <c r="D141" s="28" t="n"/>
      <c r="E141" s="28" t="n"/>
      <c r="F141" s="472" t="n"/>
      <c r="G141" s="473" t="n"/>
      <c r="H141" s="473" t="n"/>
      <c r="I141" s="28" t="n"/>
      <c r="J141" s="28" t="n"/>
      <c r="K141" s="28" t="n"/>
      <c r="L141" s="28" t="n"/>
      <c r="M141" s="28" t="n"/>
      <c r="N141" s="98" t="inlineStr">
        <is>
          <t>Not triggered</t>
        </is>
      </c>
      <c r="O141" s="104" t="n"/>
      <c r="P141" s="104" t="n"/>
      <c r="Q141" s="105" t="n"/>
      <c r="R141" s="100">
        <f>IF(COUNTA('Hidden_Value_Audit'!$A$2:$A$8)=0,"",COUNTIF('Hidden_Value_Audit'!$R$2:$R$8,"not_triggered"))</f>
        <v/>
      </c>
      <c r="S141" s="101" t="n"/>
      <c r="T141" s="22" t="n"/>
      <c r="U141" s="22" t="n"/>
      <c r="V141" s="22" t="n"/>
      <c r="W141" s="22" t="n"/>
      <c r="X141" s="22" t="n"/>
      <c r="Y141" s="22" t="n"/>
      <c r="Z141" s="22" t="n"/>
      <c r="AA141" s="101" t="n"/>
      <c r="AB141" s="22" t="n"/>
      <c r="AC141" s="22" t="n"/>
      <c r="AD141" s="22" t="n"/>
      <c r="AE141" s="22" t="n"/>
      <c r="AF141" s="22" t="n"/>
      <c r="AG141" s="22" t="n"/>
      <c r="AH141" s="22" t="n"/>
      <c r="AI141" s="22" t="n"/>
    </row>
    <row r="142" ht="28" customHeight="1">
      <c r="A142" s="28" t="n"/>
      <c r="B142" s="471" t="n"/>
      <c r="C142" s="28" t="n"/>
      <c r="D142" s="28" t="n"/>
      <c r="E142" s="28" t="n"/>
      <c r="F142" s="472" t="n"/>
      <c r="G142" s="473" t="n"/>
      <c r="H142" s="473" t="n"/>
      <c r="I142" s="28" t="n"/>
      <c r="J142" s="28" t="n"/>
      <c r="K142" s="28" t="n"/>
      <c r="L142" s="28" t="n"/>
      <c r="M142" s="28" t="n"/>
      <c r="N142" s="98" t="inlineStr">
        <is>
          <t>Insufficient evidence</t>
        </is>
      </c>
      <c r="O142" s="104" t="n"/>
      <c r="P142" s="104" t="n"/>
      <c r="Q142" s="105" t="n"/>
      <c r="R142" s="100">
        <f>IF(COUNTA('Hidden_Value_Audit'!$A$2:$A$8)=0,"",COUNTIF('Hidden_Value_Audit'!$R$2:$R$8,"insufficient_evidence"))</f>
        <v/>
      </c>
      <c r="S142" s="101" t="n"/>
      <c r="T142" s="22" t="n"/>
      <c r="U142" s="22" t="n"/>
      <c r="V142" s="22" t="n"/>
      <c r="W142" s="22" t="n"/>
      <c r="X142" s="22" t="n"/>
      <c r="Y142" s="22" t="n"/>
      <c r="Z142" s="22" t="n"/>
      <c r="AA142" s="101" t="n"/>
      <c r="AB142" s="22" t="n"/>
      <c r="AC142" s="22" t="n"/>
      <c r="AD142" s="22" t="n"/>
      <c r="AE142" s="22" t="n"/>
      <c r="AF142" s="22" t="n"/>
      <c r="AG142" s="22" t="n"/>
      <c r="AH142" s="22" t="n"/>
      <c r="AI142" s="22" t="n"/>
    </row>
    <row r="143" ht="28" customHeight="1">
      <c r="A143" s="28" t="n"/>
      <c r="B143" s="471" t="n"/>
      <c r="C143" s="28" t="n"/>
      <c r="D143" s="28" t="n"/>
      <c r="E143" s="28" t="n"/>
      <c r="F143" s="472" t="n"/>
      <c r="G143" s="473" t="n"/>
      <c r="H143" s="473" t="n"/>
      <c r="I143" s="28" t="n"/>
      <c r="J143" s="28" t="n"/>
      <c r="K143" s="28" t="n"/>
      <c r="L143" s="28" t="n"/>
      <c r="M143" s="28" t="n"/>
      <c r="N143" s="98" t="inlineStr">
        <is>
          <t>Unavailable / invalid</t>
        </is>
      </c>
      <c r="O143" s="104" t="n"/>
      <c r="P143" s="104" t="n"/>
      <c r="Q143" s="105" t="n"/>
      <c r="R143" s="100">
        <f>IF(COUNTA('Hidden_Value_Audit'!$A$2:$A$8)=0,"",COUNTIF('Hidden_Value_Audit'!$R$2:$R$8,"unavailable")+COUNTIF('Hidden_Value_Audit'!$R$2:$R$8,"invalid_input"))</f>
        <v/>
      </c>
      <c r="S143" s="101" t="n"/>
      <c r="T143" s="22" t="n"/>
      <c r="U143" s="22" t="n"/>
      <c r="V143" s="22" t="n"/>
      <c r="W143" s="22" t="n"/>
      <c r="X143" s="22" t="n"/>
      <c r="Y143" s="22" t="n"/>
      <c r="Z143" s="22" t="n"/>
      <c r="AA143" s="101" t="n"/>
      <c r="AB143" s="22" t="n"/>
      <c r="AC143" s="22" t="n"/>
      <c r="AD143" s="22" t="n"/>
      <c r="AE143" s="22" t="n"/>
      <c r="AF143" s="22" t="n"/>
      <c r="AG143" s="22" t="n"/>
      <c r="AH143" s="22" t="n"/>
      <c r="AI143" s="22" t="n"/>
    </row>
    <row r="144" ht="19.5" customHeight="1">
      <c r="A144" s="22" t="n"/>
      <c r="B144" s="22" t="n"/>
      <c r="C144" s="22" t="n"/>
      <c r="D144" s="22" t="n"/>
      <c r="E144" s="22" t="n"/>
      <c r="F144" s="22" t="n"/>
      <c r="G144" s="22" t="n"/>
      <c r="H144" s="22" t="n"/>
      <c r="I144" s="22" t="n"/>
      <c r="J144" s="22" t="n"/>
      <c r="K144" s="22" t="n"/>
      <c r="L144" s="22" t="n"/>
      <c r="M144" s="22" t="n"/>
      <c r="N144" s="22" t="n"/>
      <c r="O144" s="22" t="n"/>
      <c r="P144" s="22" t="n"/>
      <c r="Q144" s="22" t="n"/>
      <c r="R144" s="22" t="n"/>
      <c r="S144" s="22" t="n"/>
      <c r="T144" s="22" t="n"/>
      <c r="U144" s="22" t="n"/>
      <c r="V144" s="22" t="n"/>
      <c r="W144" s="22" t="n"/>
      <c r="X144" s="22" t="n"/>
      <c r="Y144" s="22" t="n"/>
      <c r="Z144" s="22" t="n"/>
      <c r="AA144" s="22" t="n"/>
      <c r="AB144" s="22" t="n"/>
      <c r="AC144" s="22" t="n"/>
      <c r="AD144" s="22" t="n"/>
      <c r="AE144" s="22" t="n"/>
      <c r="AF144" s="22" t="n"/>
      <c r="AG144" s="22" t="n"/>
      <c r="AH144" s="22" t="n"/>
      <c r="AI144" s="22" t="n"/>
    </row>
    <row r="145" hidden="1" ht="19.5" customHeight="1">
      <c r="N145" s="22" t="n"/>
      <c r="O145" s="22" t="n"/>
      <c r="P145" s="22" t="n"/>
      <c r="Q145" s="22" t="n"/>
      <c r="R145" s="22" t="n"/>
      <c r="S145" s="22" t="n"/>
      <c r="T145" s="22" t="n"/>
      <c r="U145" s="22" t="n"/>
      <c r="V145" s="22" t="n"/>
      <c r="W145" s="22" t="n"/>
      <c r="X145" s="22" t="n"/>
      <c r="Y145" s="22" t="n"/>
      <c r="Z145" s="22" t="n"/>
      <c r="AA145" s="22" t="n"/>
      <c r="AB145" s="22" t="n"/>
      <c r="AC145" s="22" t="n"/>
      <c r="AD145" s="22" t="n"/>
      <c r="AE145" s="22" t="n"/>
      <c r="AF145" s="22" t="n"/>
      <c r="AG145" s="22" t="n"/>
      <c r="AH145" s="22" t="n"/>
      <c r="AI145" s="22" t="n"/>
    </row>
    <row r="146" hidden="1" ht="19.5" customHeight="1">
      <c r="N146" s="22" t="n"/>
      <c r="O146" s="22" t="n"/>
      <c r="P146" s="22" t="n"/>
      <c r="Q146" s="22" t="n"/>
      <c r="R146" s="22" t="n"/>
      <c r="S146" s="22" t="n"/>
      <c r="T146" s="22" t="n"/>
      <c r="U146" s="22" t="n"/>
      <c r="V146" s="22" t="n"/>
      <c r="W146" s="22" t="n"/>
      <c r="X146" s="22" t="n"/>
      <c r="Y146" s="22" t="n"/>
      <c r="Z146" s="22" t="n"/>
      <c r="AA146" s="22" t="n"/>
      <c r="AB146" s="22" t="n"/>
      <c r="AC146" s="22" t="n"/>
      <c r="AD146" s="22" t="n"/>
      <c r="AE146" s="22" t="n"/>
      <c r="AF146" s="22" t="n"/>
      <c r="AG146" s="22" t="n"/>
      <c r="AH146" s="22" t="n"/>
      <c r="AI146" s="22" t="n"/>
    </row>
    <row r="147" hidden="1" ht="19.5" customHeight="1">
      <c r="N147" s="22" t="n"/>
      <c r="O147" s="22" t="n"/>
      <c r="P147" s="22" t="n"/>
      <c r="Q147" s="22" t="n"/>
      <c r="R147" s="22" t="n"/>
      <c r="S147" s="22" t="n"/>
      <c r="T147" s="22" t="n"/>
      <c r="U147" s="22" t="n"/>
      <c r="V147" s="22" t="n"/>
      <c r="W147" s="22" t="n"/>
      <c r="X147" s="22" t="n"/>
      <c r="Y147" s="22" t="n"/>
      <c r="Z147" s="22" t="n"/>
      <c r="AA147" s="22" t="n"/>
      <c r="AB147" s="22" t="n"/>
      <c r="AC147" s="22" t="n"/>
      <c r="AD147" s="22" t="n"/>
      <c r="AE147" s="22" t="n"/>
      <c r="AF147" s="22" t="n"/>
      <c r="AG147" s="22" t="n"/>
      <c r="AH147" s="22" t="n"/>
      <c r="AI147" s="22" t="n"/>
    </row>
    <row r="148" hidden="1" ht="19.5" customHeight="1">
      <c r="N148" s="22" t="n"/>
      <c r="O148" s="22" t="n"/>
      <c r="P148" s="22" t="n"/>
      <c r="Q148" s="22" t="n"/>
      <c r="R148" s="22" t="n"/>
      <c r="S148" s="22" t="n"/>
      <c r="T148" s="22" t="n"/>
      <c r="U148" s="22" t="n"/>
      <c r="V148" s="22" t="n"/>
      <c r="W148" s="22" t="n"/>
      <c r="X148" s="22" t="n"/>
      <c r="Y148" s="22" t="n"/>
      <c r="Z148" s="22" t="n"/>
      <c r="AA148" s="22" t="n"/>
      <c r="AB148" s="22" t="n"/>
      <c r="AC148" s="22" t="n"/>
      <c r="AD148" s="22" t="n"/>
      <c r="AE148" s="22" t="n"/>
      <c r="AF148" s="22" t="n"/>
      <c r="AG148" s="22" t="n"/>
      <c r="AH148" s="22" t="n"/>
      <c r="AI148" s="22" t="n"/>
    </row>
    <row r="149" hidden="1" ht="19.5" customHeight="1">
      <c r="N149" s="22" t="n"/>
      <c r="O149" s="22" t="n"/>
      <c r="P149" s="22" t="n"/>
      <c r="Q149" s="22" t="n"/>
      <c r="R149" s="22" t="n"/>
      <c r="S149" s="22" t="n"/>
      <c r="T149" s="22" t="n"/>
      <c r="U149" s="22" t="n"/>
      <c r="V149" s="22" t="n"/>
      <c r="W149" s="22" t="n"/>
      <c r="X149" s="22" t="n"/>
      <c r="Y149" s="22" t="n"/>
      <c r="Z149" s="22" t="n"/>
      <c r="AA149" s="22" t="n"/>
      <c r="AB149" s="22" t="n"/>
      <c r="AC149" s="22" t="n"/>
      <c r="AD149" s="22" t="n"/>
      <c r="AE149" s="22" t="n"/>
      <c r="AF149" s="22" t="n"/>
      <c r="AG149" s="22" t="n"/>
      <c r="AH149" s="22" t="n"/>
      <c r="AI149" s="22" t="n"/>
    </row>
    <row r="150" hidden="1" ht="19.5" customHeight="1">
      <c r="N150" s="22" t="n"/>
      <c r="O150" s="22" t="n"/>
      <c r="P150" s="22" t="n"/>
      <c r="Q150" s="22" t="n"/>
      <c r="R150" s="22" t="n"/>
      <c r="S150" s="22" t="n"/>
      <c r="T150" s="22" t="n"/>
      <c r="U150" s="22" t="n"/>
      <c r="V150" s="22" t="n"/>
      <c r="W150" s="22" t="n"/>
      <c r="X150" s="22" t="n"/>
      <c r="Y150" s="22" t="n"/>
      <c r="Z150" s="22" t="n"/>
      <c r="AA150" s="22" t="n"/>
      <c r="AB150" s="22" t="n"/>
      <c r="AC150" s="22" t="n"/>
      <c r="AD150" s="22" t="n"/>
      <c r="AE150" s="22" t="n"/>
      <c r="AF150" s="22" t="n"/>
      <c r="AG150" s="22" t="n"/>
      <c r="AH150" s="22" t="n"/>
      <c r="AI150" s="22" t="n"/>
    </row>
    <row r="151" hidden="1" ht="19.5" customHeight="1">
      <c r="N151" s="22" t="n"/>
      <c r="O151" s="22" t="n"/>
      <c r="P151" s="22" t="n"/>
      <c r="Q151" s="22" t="n"/>
      <c r="R151" s="22" t="n"/>
      <c r="S151" s="22" t="n"/>
      <c r="T151" s="22" t="n"/>
      <c r="U151" s="22" t="n"/>
      <c r="V151" s="22" t="n"/>
      <c r="W151" s="22" t="n"/>
      <c r="X151" s="22" t="n"/>
      <c r="Y151" s="22" t="n"/>
      <c r="Z151" s="22" t="n"/>
      <c r="AA151" s="22" t="n"/>
      <c r="AB151" s="22" t="n"/>
      <c r="AC151" s="22" t="n"/>
      <c r="AD151" s="22" t="n"/>
      <c r="AE151" s="22" t="n"/>
      <c r="AF151" s="22" t="n"/>
      <c r="AG151" s="22" t="n"/>
      <c r="AH151" s="22" t="n"/>
      <c r="AI151" s="22" t="n"/>
    </row>
    <row r="152" hidden="1" ht="19.5" customHeight="1">
      <c r="N152" s="22" t="n"/>
      <c r="O152" s="22" t="n"/>
      <c r="P152" s="22" t="n"/>
      <c r="Q152" s="22" t="n"/>
      <c r="R152" s="22" t="n"/>
      <c r="S152" s="22" t="n"/>
      <c r="T152" s="22" t="n"/>
      <c r="U152" s="22" t="n"/>
      <c r="V152" s="22" t="n"/>
      <c r="W152" s="22" t="n"/>
      <c r="X152" s="22" t="n"/>
      <c r="Y152" s="22" t="n"/>
      <c r="Z152" s="22" t="n"/>
      <c r="AA152" s="22" t="n"/>
      <c r="AB152" s="22" t="n"/>
      <c r="AC152" s="22" t="n"/>
      <c r="AD152" s="22" t="n"/>
      <c r="AE152" s="22" t="n"/>
      <c r="AF152" s="22" t="n"/>
      <c r="AG152" s="22" t="n"/>
      <c r="AH152" s="22" t="n"/>
      <c r="AI152" s="22" t="n"/>
    </row>
    <row r="153" hidden="1" ht="19.5" customHeight="1">
      <c r="N153" s="22" t="n"/>
      <c r="O153" s="22" t="n"/>
      <c r="P153" s="22" t="n"/>
      <c r="Q153" s="22" t="n"/>
      <c r="R153" s="22" t="n"/>
      <c r="S153" s="22" t="n"/>
      <c r="T153" s="22" t="n"/>
      <c r="U153" s="22" t="n"/>
      <c r="V153" s="22" t="n"/>
      <c r="W153" s="22" t="n"/>
      <c r="X153" s="22" t="n"/>
      <c r="Y153" s="22" t="n"/>
      <c r="Z153" s="22" t="n"/>
      <c r="AA153" s="22" t="n"/>
      <c r="AB153" s="22" t="n"/>
      <c r="AC153" s="22" t="n"/>
      <c r="AD153" s="22" t="n"/>
      <c r="AE153" s="22" t="n"/>
      <c r="AF153" s="22" t="n"/>
      <c r="AG153" s="22" t="n"/>
      <c r="AH153" s="22" t="n"/>
      <c r="AI153" s="22" t="n"/>
    </row>
    <row r="154" hidden="1" ht="19.5" customHeight="1">
      <c r="N154" s="22" t="n"/>
      <c r="O154" s="22" t="n"/>
      <c r="P154" s="22" t="n"/>
      <c r="Q154" s="22" t="n"/>
      <c r="R154" s="22" t="n"/>
      <c r="S154" s="22" t="n"/>
      <c r="T154" s="22" t="n"/>
      <c r="U154" s="22" t="n"/>
      <c r="V154" s="22" t="n"/>
      <c r="W154" s="22" t="n"/>
      <c r="X154" s="22" t="n"/>
      <c r="Y154" s="22" t="n"/>
      <c r="Z154" s="22" t="n"/>
      <c r="AA154" s="22" t="n"/>
      <c r="AB154" s="22" t="n"/>
      <c r="AC154" s="22" t="n"/>
      <c r="AD154" s="22" t="n"/>
      <c r="AE154" s="22" t="n"/>
      <c r="AF154" s="22" t="n"/>
      <c r="AG154" s="22" t="n"/>
      <c r="AH154" s="22" t="n"/>
      <c r="AI154" s="22" t="n"/>
    </row>
    <row r="155" hidden="1" ht="19.5" customHeight="1">
      <c r="N155" s="22" t="n"/>
      <c r="O155" s="22" t="n"/>
      <c r="P155" s="22" t="n"/>
      <c r="Q155" s="22" t="n"/>
      <c r="R155" s="22" t="n"/>
      <c r="S155" s="22" t="n"/>
      <c r="T155" s="22" t="n"/>
      <c r="U155" s="22" t="n"/>
      <c r="V155" s="22" t="n"/>
      <c r="W155" s="22" t="n"/>
      <c r="X155" s="22" t="n"/>
      <c r="Y155" s="22" t="n"/>
      <c r="Z155" s="22" t="n"/>
      <c r="AA155" s="22" t="n"/>
      <c r="AB155" s="22" t="n"/>
      <c r="AC155" s="22" t="n"/>
      <c r="AD155" s="22" t="n"/>
      <c r="AE155" s="22" t="n"/>
      <c r="AF155" s="22" t="n"/>
      <c r="AG155" s="22" t="n"/>
      <c r="AH155" s="22" t="n"/>
      <c r="AI155" s="22" t="n"/>
    </row>
    <row r="156" hidden="1" ht="19.5" customHeight="1">
      <c r="N156" s="22" t="n"/>
      <c r="O156" s="22" t="n"/>
      <c r="P156" s="22" t="n"/>
      <c r="Q156" s="22" t="n"/>
      <c r="R156" s="22" t="n"/>
      <c r="S156" s="22" t="n"/>
      <c r="T156" s="22" t="n"/>
      <c r="U156" s="22" t="n"/>
      <c r="V156" s="22" t="n"/>
      <c r="W156" s="22" t="n"/>
      <c r="X156" s="22" t="n"/>
      <c r="Y156" s="22" t="n"/>
      <c r="Z156" s="22" t="n"/>
      <c r="AA156" s="22" t="n"/>
      <c r="AB156" s="22" t="n"/>
      <c r="AC156" s="22" t="n"/>
      <c r="AD156" s="22" t="n"/>
      <c r="AE156" s="22" t="n"/>
      <c r="AF156" s="22" t="n"/>
      <c r="AG156" s="22" t="n"/>
      <c r="AH156" s="22" t="n"/>
      <c r="AI156" s="22" t="n"/>
    </row>
    <row r="157" hidden="1" ht="19.5" customHeight="1">
      <c r="N157" s="22" t="n"/>
      <c r="O157" s="22" t="n"/>
      <c r="P157" s="22" t="n"/>
      <c r="Q157" s="22" t="n"/>
      <c r="R157" s="22" t="n"/>
      <c r="S157" s="22" t="n"/>
      <c r="T157" s="22" t="n"/>
      <c r="U157" s="22" t="n"/>
      <c r="V157" s="22" t="n"/>
      <c r="W157" s="22" t="n"/>
      <c r="X157" s="22" t="n"/>
      <c r="Y157" s="22" t="n"/>
      <c r="Z157" s="22" t="n"/>
      <c r="AA157" s="22" t="n"/>
      <c r="AB157" s="22" t="n"/>
      <c r="AC157" s="22" t="n"/>
      <c r="AD157" s="22" t="n"/>
      <c r="AE157" s="22" t="n"/>
      <c r="AF157" s="22" t="n"/>
      <c r="AG157" s="22" t="n"/>
      <c r="AH157" s="22" t="n"/>
      <c r="AI157" s="22" t="n"/>
    </row>
    <row r="158" hidden="1" ht="19.5" customHeight="1">
      <c r="N158" s="22" t="n"/>
      <c r="O158" s="22" t="n"/>
      <c r="P158" s="22" t="n"/>
      <c r="Q158" s="22" t="n"/>
      <c r="R158" s="22" t="n"/>
      <c r="S158" s="22" t="n"/>
      <c r="T158" s="22" t="n"/>
      <c r="U158" s="22" t="n"/>
      <c r="V158" s="22" t="n"/>
      <c r="W158" s="22" t="n"/>
      <c r="X158" s="22" t="n"/>
      <c r="Y158" s="22" t="n"/>
      <c r="Z158" s="22" t="n"/>
      <c r="AA158" s="22" t="n"/>
      <c r="AB158" s="22" t="n"/>
      <c r="AC158" s="22" t="n"/>
      <c r="AD158" s="22" t="n"/>
      <c r="AE158" s="22" t="n"/>
      <c r="AF158" s="22" t="n"/>
      <c r="AG158" s="22" t="n"/>
      <c r="AH158" s="22" t="n"/>
      <c r="AI158" s="22" t="n"/>
    </row>
    <row r="159" hidden="1" ht="19.5" customHeight="1">
      <c r="N159" s="22" t="n"/>
      <c r="O159" s="22" t="n"/>
      <c r="P159" s="22" t="n"/>
      <c r="Q159" s="22" t="n"/>
      <c r="R159" s="22" t="n"/>
      <c r="S159" s="22" t="n"/>
      <c r="T159" s="22" t="n"/>
      <c r="U159" s="22" t="n"/>
      <c r="V159" s="22" t="n"/>
      <c r="W159" s="22" t="n"/>
      <c r="X159" s="22" t="n"/>
      <c r="Y159" s="22" t="n"/>
      <c r="Z159" s="22" t="n"/>
      <c r="AA159" s="22" t="n"/>
      <c r="AB159" s="22" t="n"/>
      <c r="AC159" s="22" t="n"/>
      <c r="AD159" s="22" t="n"/>
      <c r="AE159" s="22" t="n"/>
      <c r="AF159" s="22" t="n"/>
      <c r="AG159" s="22" t="n"/>
      <c r="AH159" s="22" t="n"/>
      <c r="AI159" s="22" t="n"/>
    </row>
    <row r="160" hidden="1" ht="19.5" customHeight="1">
      <c r="N160" s="22" t="n"/>
      <c r="O160" s="22" t="n"/>
      <c r="P160" s="22" t="n"/>
      <c r="Q160" s="22" t="n"/>
      <c r="R160" s="22" t="n"/>
      <c r="S160" s="22" t="n"/>
      <c r="T160" s="22" t="n"/>
      <c r="U160" s="22" t="n"/>
      <c r="V160" s="22" t="n"/>
      <c r="W160" s="22" t="n"/>
      <c r="X160" s="22" t="n"/>
      <c r="Y160" s="22" t="n"/>
      <c r="Z160" s="22" t="n"/>
      <c r="AA160" s="22" t="n"/>
      <c r="AB160" s="22" t="n"/>
      <c r="AC160" s="22" t="n"/>
      <c r="AD160" s="22" t="n"/>
      <c r="AE160" s="22" t="n"/>
      <c r="AF160" s="22" t="n"/>
      <c r="AG160" s="22" t="n"/>
      <c r="AH160" s="22" t="n"/>
      <c r="AI160" s="22" t="n"/>
    </row>
    <row r="161" hidden="1" ht="19.5" customHeight="1">
      <c r="N161" s="22" t="n"/>
      <c r="O161" s="22" t="n"/>
      <c r="P161" s="22" t="n"/>
      <c r="Q161" s="22" t="n"/>
      <c r="R161" s="22" t="n"/>
      <c r="S161" s="22" t="n"/>
      <c r="T161" s="22" t="n"/>
      <c r="U161" s="22" t="n"/>
      <c r="V161" s="22" t="n"/>
      <c r="W161" s="22" t="n"/>
      <c r="X161" s="22" t="n"/>
      <c r="Y161" s="22" t="n"/>
      <c r="Z161" s="22" t="n"/>
      <c r="AA161" s="22" t="n"/>
      <c r="AB161" s="22" t="n"/>
      <c r="AC161" s="22" t="n"/>
      <c r="AD161" s="22" t="n"/>
      <c r="AE161" s="22" t="n"/>
      <c r="AF161" s="22" t="n"/>
      <c r="AG161" s="22" t="n"/>
      <c r="AH161" s="22" t="n"/>
      <c r="AI161" s="22" t="n"/>
    </row>
    <row r="162" hidden="1" ht="19.5" customHeight="1">
      <c r="N162" s="22" t="n"/>
      <c r="O162" s="22" t="n"/>
      <c r="P162" s="22" t="n"/>
      <c r="Q162" s="22" t="n"/>
      <c r="R162" s="22" t="n"/>
      <c r="S162" s="22" t="n"/>
      <c r="T162" s="22" t="n"/>
      <c r="U162" s="22" t="n"/>
      <c r="V162" s="22" t="n"/>
      <c r="W162" s="22" t="n"/>
      <c r="X162" s="22" t="n"/>
      <c r="Y162" s="22" t="n"/>
      <c r="Z162" s="22" t="n"/>
      <c r="AA162" s="22" t="n"/>
      <c r="AB162" s="22" t="n"/>
      <c r="AC162" s="22" t="n"/>
      <c r="AD162" s="22" t="n"/>
      <c r="AE162" s="22" t="n"/>
      <c r="AF162" s="22" t="n"/>
      <c r="AG162" s="22" t="n"/>
      <c r="AH162" s="22" t="n"/>
      <c r="AI162" s="22" t="n"/>
    </row>
    <row r="163" hidden="1" ht="19.5" customHeight="1">
      <c r="N163" s="22" t="n"/>
      <c r="O163" s="22" t="n"/>
      <c r="P163" s="22" t="n"/>
      <c r="Q163" s="22" t="n"/>
      <c r="R163" s="22" t="n"/>
      <c r="S163" s="22" t="n"/>
      <c r="T163" s="22" t="n"/>
      <c r="U163" s="22" t="n"/>
      <c r="V163" s="22" t="n"/>
      <c r="W163" s="22" t="n"/>
      <c r="X163" s="22" t="n"/>
      <c r="Y163" s="22" t="n"/>
      <c r="Z163" s="22" t="n"/>
      <c r="AA163" s="22" t="n"/>
      <c r="AB163" s="22" t="n"/>
      <c r="AC163" s="22" t="n"/>
      <c r="AD163" s="22" t="n"/>
      <c r="AE163" s="22" t="n"/>
      <c r="AF163" s="22" t="n"/>
      <c r="AG163" s="22" t="n"/>
      <c r="AH163" s="22" t="n"/>
      <c r="AI163" s="22" t="n"/>
    </row>
    <row r="164" hidden="1" ht="19.5" customHeight="1">
      <c r="N164" s="22" t="n"/>
      <c r="O164" s="22" t="n"/>
      <c r="P164" s="22" t="n"/>
      <c r="Q164" s="22" t="n"/>
      <c r="R164" s="22" t="n"/>
      <c r="S164" s="22" t="n"/>
      <c r="T164" s="22" t="n"/>
      <c r="U164" s="22" t="n"/>
      <c r="V164" s="22" t="n"/>
      <c r="W164" s="22" t="n"/>
      <c r="X164" s="22" t="n"/>
      <c r="Y164" s="22" t="n"/>
      <c r="Z164" s="22" t="n"/>
      <c r="AA164" s="22" t="n"/>
      <c r="AB164" s="22" t="n"/>
      <c r="AC164" s="22" t="n"/>
      <c r="AD164" s="22" t="n"/>
      <c r="AE164" s="22" t="n"/>
      <c r="AF164" s="22" t="n"/>
      <c r="AG164" s="22" t="n"/>
      <c r="AH164" s="22" t="n"/>
      <c r="AI164" s="22" t="n"/>
    </row>
    <row r="165" hidden="1" ht="19.5" customHeight="1">
      <c r="N165" s="22" t="n"/>
      <c r="O165" s="22" t="n"/>
      <c r="P165" s="22" t="n"/>
      <c r="Q165" s="22" t="n"/>
      <c r="R165" s="22" t="n"/>
      <c r="S165" s="22" t="n"/>
      <c r="T165" s="22" t="n"/>
      <c r="U165" s="22" t="n"/>
      <c r="V165" s="22" t="n"/>
      <c r="W165" s="22" t="n"/>
      <c r="X165" s="22" t="n"/>
      <c r="Y165" s="22" t="n"/>
      <c r="Z165" s="22" t="n"/>
      <c r="AA165" s="22" t="n"/>
      <c r="AB165" s="22" t="n"/>
      <c r="AC165" s="22" t="n"/>
      <c r="AD165" s="22" t="n"/>
      <c r="AE165" s="22" t="n"/>
      <c r="AF165" s="22" t="n"/>
      <c r="AG165" s="22" t="n"/>
      <c r="AH165" s="22" t="n"/>
      <c r="AI165" s="22" t="n"/>
    </row>
    <row r="166" hidden="1" ht="19.5" customHeight="1">
      <c r="N166" s="22" t="n"/>
      <c r="O166" s="22" t="n"/>
      <c r="P166" s="22" t="n"/>
      <c r="Q166" s="22" t="n"/>
      <c r="R166" s="22" t="n"/>
      <c r="S166" s="22" t="n"/>
      <c r="T166" s="22" t="n"/>
      <c r="U166" s="22" t="n"/>
      <c r="V166" s="22" t="n"/>
      <c r="W166" s="22" t="n"/>
      <c r="X166" s="22" t="n"/>
      <c r="Y166" s="22" t="n"/>
      <c r="Z166" s="22" t="n"/>
      <c r="AA166" s="22" t="n"/>
      <c r="AB166" s="22" t="n"/>
      <c r="AC166" s="22" t="n"/>
      <c r="AD166" s="22" t="n"/>
      <c r="AE166" s="22" t="n"/>
      <c r="AF166" s="22" t="n"/>
      <c r="AG166" s="22" t="n"/>
      <c r="AH166" s="22" t="n"/>
      <c r="AI166" s="22" t="n"/>
    </row>
    <row r="167" hidden="1" ht="19.5" customHeight="1">
      <c r="N167" s="22" t="n"/>
      <c r="O167" s="22" t="n"/>
      <c r="P167" s="22" t="n"/>
      <c r="Q167" s="22" t="n"/>
      <c r="R167" s="22" t="n"/>
      <c r="S167" s="22" t="n"/>
      <c r="T167" s="22" t="n"/>
      <c r="U167" s="22" t="n"/>
      <c r="V167" s="22" t="n"/>
      <c r="W167" s="22" t="n"/>
      <c r="X167" s="22" t="n"/>
      <c r="Y167" s="22" t="n"/>
      <c r="Z167" s="22" t="n"/>
      <c r="AA167" s="22" t="n"/>
      <c r="AB167" s="22" t="n"/>
      <c r="AC167" s="22" t="n"/>
      <c r="AD167" s="22" t="n"/>
      <c r="AE167" s="22" t="n"/>
      <c r="AF167" s="22" t="n"/>
      <c r="AG167" s="22" t="n"/>
      <c r="AH167" s="22" t="n"/>
      <c r="AI167" s="22" t="n"/>
    </row>
    <row r="168" hidden="1" ht="19.5" customHeight="1">
      <c r="N168" s="22" t="n"/>
      <c r="O168" s="22" t="n"/>
      <c r="P168" s="22" t="n"/>
      <c r="Q168" s="22" t="n"/>
      <c r="R168" s="22" t="n"/>
      <c r="S168" s="22" t="n"/>
      <c r="T168" s="22" t="n"/>
      <c r="U168" s="22" t="n"/>
      <c r="V168" s="22" t="n"/>
      <c r="W168" s="22" t="n"/>
      <c r="X168" s="22" t="n"/>
      <c r="Y168" s="22" t="n"/>
      <c r="Z168" s="22" t="n"/>
      <c r="AA168" s="22" t="n"/>
      <c r="AB168" s="22" t="n"/>
      <c r="AC168" s="22" t="n"/>
      <c r="AD168" s="22" t="n"/>
      <c r="AE168" s="22" t="n"/>
      <c r="AF168" s="22" t="n"/>
      <c r="AG168" s="22" t="n"/>
      <c r="AH168" s="22" t="n"/>
      <c r="AI168" s="22" t="n"/>
    </row>
    <row r="169" hidden="1" ht="19.5" customHeight="1">
      <c r="N169" s="22" t="n"/>
      <c r="O169" s="22" t="n"/>
      <c r="P169" s="22" t="n"/>
      <c r="Q169" s="22" t="n"/>
      <c r="R169" s="22" t="n"/>
      <c r="S169" s="22" t="n"/>
      <c r="T169" s="22" t="n"/>
      <c r="U169" s="22" t="n"/>
      <c r="V169" s="22" t="n"/>
      <c r="W169" s="22" t="n"/>
      <c r="X169" s="22" t="n"/>
      <c r="Y169" s="22" t="n"/>
      <c r="Z169" s="22" t="n"/>
      <c r="AA169" s="22" t="n"/>
      <c r="AB169" s="22" t="n"/>
      <c r="AC169" s="22" t="n"/>
      <c r="AD169" s="22" t="n"/>
      <c r="AE169" s="22" t="n"/>
      <c r="AF169" s="22" t="n"/>
      <c r="AG169" s="22" t="n"/>
      <c r="AH169" s="22" t="n"/>
      <c r="AI169" s="22" t="n"/>
    </row>
    <row r="170" hidden="1" ht="19.5" customHeight="1">
      <c r="N170" s="22" t="n"/>
      <c r="O170" s="22" t="n"/>
      <c r="P170" s="22" t="n"/>
      <c r="Q170" s="22" t="n"/>
      <c r="R170" s="22" t="n"/>
      <c r="S170" s="22" t="n"/>
      <c r="T170" s="22" t="n"/>
      <c r="U170" s="22" t="n"/>
      <c r="V170" s="22" t="n"/>
      <c r="W170" s="22" t="n"/>
      <c r="X170" s="22" t="n"/>
      <c r="Y170" s="22" t="n"/>
      <c r="Z170" s="22" t="n"/>
      <c r="AA170" s="22" t="n"/>
      <c r="AB170" s="22" t="n"/>
      <c r="AC170" s="22" t="n"/>
      <c r="AD170" s="22" t="n"/>
      <c r="AE170" s="22" t="n"/>
      <c r="AF170" s="22" t="n"/>
      <c r="AG170" s="22" t="n"/>
      <c r="AH170" s="22" t="n"/>
      <c r="AI170" s="22" t="n"/>
    </row>
    <row r="171" hidden="1" ht="19.5" customHeight="1">
      <c r="N171" s="22" t="n"/>
      <c r="O171" s="22" t="n"/>
      <c r="P171" s="22" t="n"/>
      <c r="Q171" s="22" t="n"/>
      <c r="R171" s="22" t="n"/>
      <c r="S171" s="22" t="n"/>
      <c r="T171" s="22" t="n"/>
      <c r="U171" s="22" t="n"/>
      <c r="V171" s="22" t="n"/>
      <c r="W171" s="22" t="n"/>
      <c r="X171" s="22" t="n"/>
      <c r="Y171" s="22" t="n"/>
      <c r="Z171" s="22" t="n"/>
      <c r="AA171" s="22" t="n"/>
      <c r="AB171" s="22" t="n"/>
      <c r="AC171" s="22" t="n"/>
      <c r="AD171" s="22" t="n"/>
      <c r="AE171" s="22" t="n"/>
      <c r="AF171" s="22" t="n"/>
      <c r="AG171" s="22" t="n"/>
      <c r="AH171" s="22" t="n"/>
      <c r="AI171" s="22" t="n"/>
    </row>
    <row r="172" hidden="1" ht="19.5" customHeight="1">
      <c r="N172" s="22" t="n"/>
      <c r="O172" s="22" t="n"/>
      <c r="P172" s="22" t="n"/>
      <c r="Q172" s="22" t="n"/>
      <c r="R172" s="22" t="n"/>
      <c r="S172" s="22" t="n"/>
      <c r="T172" s="22" t="n"/>
      <c r="U172" s="22" t="n"/>
      <c r="V172" s="22" t="n"/>
      <c r="W172" s="22" t="n"/>
      <c r="X172" s="22" t="n"/>
      <c r="Y172" s="22" t="n"/>
      <c r="Z172" s="22" t="n"/>
      <c r="AA172" s="22" t="n"/>
      <c r="AB172" s="22" t="n"/>
      <c r="AC172" s="22" t="n"/>
      <c r="AD172" s="22" t="n"/>
      <c r="AE172" s="22" t="n"/>
      <c r="AF172" s="22" t="n"/>
      <c r="AG172" s="22" t="n"/>
      <c r="AH172" s="22" t="n"/>
      <c r="AI172" s="22" t="n"/>
    </row>
    <row r="173" hidden="1" ht="19.5" customHeight="1">
      <c r="N173" s="22" t="n"/>
      <c r="O173" s="22" t="n"/>
      <c r="P173" s="22" t="n"/>
      <c r="Q173" s="22" t="n"/>
      <c r="R173" s="22" t="n"/>
      <c r="S173" s="22" t="n"/>
      <c r="T173" s="22" t="n"/>
      <c r="U173" s="22" t="n"/>
      <c r="V173" s="22" t="n"/>
      <c r="W173" s="22" t="n"/>
      <c r="X173" s="22" t="n"/>
      <c r="Y173" s="22" t="n"/>
      <c r="Z173" s="22" t="n"/>
      <c r="AA173" s="22" t="n"/>
      <c r="AB173" s="22" t="n"/>
      <c r="AC173" s="22" t="n"/>
      <c r="AD173" s="22" t="n"/>
      <c r="AE173" s="22" t="n"/>
      <c r="AF173" s="22" t="n"/>
      <c r="AG173" s="22" t="n"/>
      <c r="AH173" s="22" t="n"/>
      <c r="AI173" s="22" t="n"/>
    </row>
    <row r="174" hidden="1" ht="19.5" customHeight="1">
      <c r="N174" s="22" t="n"/>
      <c r="O174" s="22" t="n"/>
      <c r="P174" s="22" t="n"/>
      <c r="Q174" s="22" t="n"/>
      <c r="R174" s="22" t="n"/>
      <c r="S174" s="22" t="n"/>
      <c r="T174" s="22" t="n"/>
      <c r="U174" s="22" t="n"/>
      <c r="V174" s="22" t="n"/>
      <c r="W174" s="22" t="n"/>
      <c r="X174" s="22" t="n"/>
      <c r="Y174" s="22" t="n"/>
      <c r="Z174" s="22" t="n"/>
      <c r="AA174" s="22" t="n"/>
      <c r="AB174" s="22" t="n"/>
      <c r="AC174" s="22" t="n"/>
      <c r="AD174" s="22" t="n"/>
      <c r="AE174" s="22" t="n"/>
      <c r="AF174" s="22" t="n"/>
      <c r="AG174" s="22" t="n"/>
      <c r="AH174" s="22" t="n"/>
      <c r="AI174" s="22" t="n"/>
    </row>
    <row r="175" hidden="1" ht="19.5" customHeight="1">
      <c r="N175" s="22" t="n"/>
      <c r="O175" s="22" t="n"/>
      <c r="P175" s="22" t="n"/>
      <c r="Q175" s="22" t="n"/>
      <c r="R175" s="22" t="n"/>
      <c r="S175" s="22" t="n"/>
      <c r="T175" s="22" t="n"/>
      <c r="U175" s="22" t="n"/>
      <c r="V175" s="22" t="n"/>
      <c r="W175" s="22" t="n"/>
      <c r="X175" s="22" t="n"/>
      <c r="Y175" s="22" t="n"/>
      <c r="Z175" s="22" t="n"/>
      <c r="AA175" s="22" t="n"/>
      <c r="AB175" s="22" t="n"/>
      <c r="AC175" s="22" t="n"/>
      <c r="AD175" s="22" t="n"/>
      <c r="AE175" s="22" t="n"/>
      <c r="AF175" s="22" t="n"/>
      <c r="AG175" s="22" t="n"/>
      <c r="AH175" s="22" t="n"/>
      <c r="AI175" s="22" t="n"/>
    </row>
    <row r="176" hidden="1" ht="19.5" customHeight="1">
      <c r="N176" s="22" t="n"/>
      <c r="O176" s="22" t="n"/>
      <c r="P176" s="22" t="n"/>
      <c r="Q176" s="22" t="n"/>
      <c r="R176" s="22" t="n"/>
      <c r="S176" s="22" t="n"/>
      <c r="T176" s="22" t="n"/>
      <c r="U176" s="22" t="n"/>
      <c r="V176" s="22" t="n"/>
      <c r="W176" s="22" t="n"/>
      <c r="X176" s="22" t="n"/>
      <c r="Y176" s="22" t="n"/>
      <c r="Z176" s="22" t="n"/>
      <c r="AA176" s="22" t="n"/>
      <c r="AB176" s="22" t="n"/>
      <c r="AC176" s="22" t="n"/>
      <c r="AD176" s="22" t="n"/>
      <c r="AE176" s="22" t="n"/>
      <c r="AF176" s="22" t="n"/>
      <c r="AG176" s="22" t="n"/>
      <c r="AH176" s="22" t="n"/>
      <c r="AI176" s="22" t="n"/>
    </row>
    <row r="177" hidden="1" ht="19.5" customHeight="1">
      <c r="N177" s="22" t="n"/>
      <c r="O177" s="22" t="n"/>
      <c r="P177" s="22" t="n"/>
      <c r="Q177" s="22" t="n"/>
      <c r="R177" s="22" t="n"/>
      <c r="S177" s="22" t="n"/>
      <c r="T177" s="22" t="n"/>
      <c r="U177" s="22" t="n"/>
      <c r="V177" s="22" t="n"/>
      <c r="W177" s="22" t="n"/>
      <c r="X177" s="22" t="n"/>
      <c r="Y177" s="22" t="n"/>
      <c r="Z177" s="22" t="n"/>
      <c r="AA177" s="22" t="n"/>
      <c r="AB177" s="22" t="n"/>
      <c r="AC177" s="22" t="n"/>
      <c r="AD177" s="22" t="n"/>
      <c r="AE177" s="22" t="n"/>
      <c r="AF177" s="22" t="n"/>
      <c r="AG177" s="22" t="n"/>
      <c r="AH177" s="22" t="n"/>
      <c r="AI177" s="22" t="n"/>
    </row>
    <row r="178" hidden="1" ht="19.5" customHeight="1">
      <c r="N178" s="22" t="n"/>
      <c r="O178" s="22" t="n"/>
      <c r="P178" s="22" t="n"/>
      <c r="Q178" s="22" t="n"/>
      <c r="R178" s="22" t="n"/>
      <c r="S178" s="22" t="n"/>
      <c r="T178" s="22" t="n"/>
      <c r="U178" s="22" t="n"/>
      <c r="V178" s="22" t="n"/>
      <c r="W178" s="22" t="n"/>
      <c r="X178" s="22" t="n"/>
      <c r="Y178" s="22" t="n"/>
      <c r="Z178" s="22" t="n"/>
      <c r="AA178" s="22" t="n"/>
      <c r="AB178" s="22" t="n"/>
      <c r="AC178" s="22" t="n"/>
      <c r="AD178" s="22" t="n"/>
      <c r="AE178" s="22" t="n"/>
      <c r="AF178" s="22" t="n"/>
      <c r="AG178" s="22" t="n"/>
      <c r="AH178" s="22" t="n"/>
      <c r="AI178" s="22" t="n"/>
    </row>
    <row r="179" hidden="1" ht="19.5" customHeight="1">
      <c r="N179" s="22" t="n"/>
      <c r="O179" s="22" t="n"/>
      <c r="P179" s="22" t="n"/>
      <c r="Q179" s="22" t="n"/>
      <c r="R179" s="22" t="n"/>
      <c r="S179" s="22" t="n"/>
      <c r="T179" s="22" t="n"/>
      <c r="U179" s="22" t="n"/>
      <c r="V179" s="22" t="n"/>
      <c r="W179" s="22" t="n"/>
      <c r="X179" s="22" t="n"/>
      <c r="Y179" s="22" t="n"/>
      <c r="Z179" s="22" t="n"/>
      <c r="AA179" s="22" t="n"/>
      <c r="AB179" s="22" t="n"/>
      <c r="AC179" s="22" t="n"/>
      <c r="AD179" s="22" t="n"/>
      <c r="AE179" s="22" t="n"/>
      <c r="AF179" s="22" t="n"/>
      <c r="AG179" s="22" t="n"/>
      <c r="AH179" s="22" t="n"/>
      <c r="AI179" s="22" t="n"/>
    </row>
    <row r="180" hidden="1" ht="19.5" customHeight="1">
      <c r="N180" s="22" t="n"/>
      <c r="O180" s="22" t="n"/>
      <c r="P180" s="22" t="n"/>
      <c r="Q180" s="22" t="n"/>
      <c r="R180" s="22" t="n"/>
      <c r="S180" s="22" t="n"/>
      <c r="T180" s="22" t="n"/>
      <c r="U180" s="22" t="n"/>
      <c r="V180" s="22" t="n"/>
      <c r="W180" s="22" t="n"/>
      <c r="X180" s="22" t="n"/>
      <c r="Y180" s="22" t="n"/>
      <c r="Z180" s="22" t="n"/>
      <c r="AA180" s="22" t="n"/>
      <c r="AB180" s="22" t="n"/>
      <c r="AC180" s="22" t="n"/>
      <c r="AD180" s="22" t="n"/>
      <c r="AE180" s="22" t="n"/>
      <c r="AF180" s="22" t="n"/>
      <c r="AG180" s="22" t="n"/>
      <c r="AH180" s="22" t="n"/>
      <c r="AI180" s="22" t="n"/>
    </row>
    <row r="181" hidden="1" ht="19.5" customHeight="1">
      <c r="N181" s="22" t="n"/>
      <c r="O181" s="22" t="n"/>
      <c r="P181" s="22" t="n"/>
      <c r="Q181" s="22" t="n"/>
      <c r="R181" s="22" t="n"/>
      <c r="S181" s="22" t="n"/>
      <c r="T181" s="22" t="n"/>
      <c r="U181" s="22" t="n"/>
      <c r="V181" s="22" t="n"/>
      <c r="W181" s="22" t="n"/>
      <c r="X181" s="22" t="n"/>
      <c r="Y181" s="22" t="n"/>
      <c r="Z181" s="22" t="n"/>
      <c r="AA181" s="22" t="n"/>
      <c r="AB181" s="22" t="n"/>
      <c r="AC181" s="22" t="n"/>
      <c r="AD181" s="22" t="n"/>
      <c r="AE181" s="22" t="n"/>
      <c r="AF181" s="22" t="n"/>
      <c r="AG181" s="22" t="n"/>
      <c r="AH181" s="22" t="n"/>
      <c r="AI181" s="22" t="n"/>
    </row>
    <row r="182" hidden="1" ht="19.5" customHeight="1">
      <c r="N182" s="22" t="n"/>
      <c r="O182" s="22" t="n"/>
      <c r="P182" s="22" t="n"/>
      <c r="Q182" s="22" t="n"/>
      <c r="R182" s="22" t="n"/>
      <c r="S182" s="22" t="n"/>
      <c r="T182" s="22" t="n"/>
      <c r="U182" s="22" t="n"/>
      <c r="V182" s="22" t="n"/>
      <c r="W182" s="22" t="n"/>
      <c r="X182" s="22" t="n"/>
      <c r="Y182" s="22" t="n"/>
      <c r="Z182" s="22" t="n"/>
      <c r="AA182" s="22" t="n"/>
      <c r="AB182" s="22" t="n"/>
      <c r="AC182" s="22" t="n"/>
      <c r="AD182" s="22" t="n"/>
      <c r="AE182" s="22" t="n"/>
      <c r="AF182" s="22" t="n"/>
      <c r="AG182" s="22" t="n"/>
      <c r="AH182" s="22" t="n"/>
      <c r="AI182" s="22" t="n"/>
    </row>
    <row r="183" hidden="1" ht="19.5" customHeight="1">
      <c r="N183" s="22" t="n"/>
      <c r="O183" s="22" t="n"/>
      <c r="P183" s="22" t="n"/>
      <c r="Q183" s="22" t="n"/>
      <c r="R183" s="22" t="n"/>
      <c r="S183" s="22" t="n"/>
      <c r="T183" s="22" t="n"/>
      <c r="U183" s="22" t="n"/>
      <c r="V183" s="22" t="n"/>
      <c r="W183" s="22" t="n"/>
      <c r="X183" s="22" t="n"/>
      <c r="Y183" s="22" t="n"/>
      <c r="Z183" s="22" t="n"/>
      <c r="AA183" s="22" t="n"/>
      <c r="AB183" s="22" t="n"/>
      <c r="AC183" s="22" t="n"/>
      <c r="AD183" s="22" t="n"/>
      <c r="AE183" s="22" t="n"/>
      <c r="AF183" s="22" t="n"/>
      <c r="AG183" s="22" t="n"/>
      <c r="AH183" s="22" t="n"/>
      <c r="AI183" s="22" t="n"/>
    </row>
    <row r="184" hidden="1" ht="19.5" customHeight="1">
      <c r="N184" s="22" t="n"/>
      <c r="O184" s="22" t="n"/>
      <c r="P184" s="22" t="n"/>
      <c r="Q184" s="22" t="n"/>
      <c r="R184" s="22" t="n"/>
      <c r="S184" s="22" t="n"/>
      <c r="T184" s="22" t="n"/>
      <c r="U184" s="22" t="n"/>
      <c r="V184" s="22" t="n"/>
      <c r="W184" s="22" t="n"/>
      <c r="X184" s="22" t="n"/>
      <c r="Y184" s="22" t="n"/>
      <c r="Z184" s="22" t="n"/>
      <c r="AA184" s="22" t="n"/>
      <c r="AB184" s="22" t="n"/>
      <c r="AC184" s="22" t="n"/>
      <c r="AD184" s="22" t="n"/>
      <c r="AE184" s="22" t="n"/>
      <c r="AF184" s="22" t="n"/>
      <c r="AG184" s="22" t="n"/>
      <c r="AH184" s="22" t="n"/>
      <c r="AI184" s="22" t="n"/>
    </row>
    <row r="185" hidden="1" ht="19.5" customHeight="1">
      <c r="N185" s="22" t="n"/>
      <c r="O185" s="22" t="n"/>
      <c r="P185" s="22" t="n"/>
      <c r="Q185" s="22" t="n"/>
      <c r="R185" s="22" t="n"/>
      <c r="S185" s="22" t="n"/>
      <c r="T185" s="22" t="n"/>
      <c r="U185" s="22" t="n"/>
      <c r="V185" s="22" t="n"/>
      <c r="W185" s="22" t="n"/>
      <c r="X185" s="22" t="n"/>
      <c r="Y185" s="22" t="n"/>
      <c r="Z185" s="22" t="n"/>
      <c r="AA185" s="22" t="n"/>
      <c r="AB185" s="22" t="n"/>
      <c r="AC185" s="22" t="n"/>
      <c r="AD185" s="22" t="n"/>
      <c r="AE185" s="22" t="n"/>
      <c r="AF185" s="22" t="n"/>
      <c r="AG185" s="22" t="n"/>
      <c r="AH185" s="22" t="n"/>
      <c r="AI185" s="22" t="n"/>
    </row>
    <row r="186" hidden="1" ht="19.5" customHeight="1">
      <c r="N186" s="22" t="n"/>
      <c r="O186" s="22" t="n"/>
      <c r="P186" s="22" t="n"/>
      <c r="Q186" s="22" t="n"/>
      <c r="R186" s="22" t="n"/>
      <c r="S186" s="22" t="n"/>
      <c r="T186" s="22" t="n"/>
      <c r="U186" s="22" t="n"/>
      <c r="V186" s="22" t="n"/>
      <c r="W186" s="22" t="n"/>
      <c r="X186" s="22" t="n"/>
      <c r="Y186" s="22" t="n"/>
      <c r="Z186" s="22" t="n"/>
      <c r="AA186" s="22" t="n"/>
      <c r="AB186" s="22" t="n"/>
      <c r="AC186" s="22" t="n"/>
      <c r="AD186" s="22" t="n"/>
      <c r="AE186" s="22" t="n"/>
      <c r="AF186" s="22" t="n"/>
      <c r="AG186" s="22" t="n"/>
      <c r="AH186" s="22" t="n"/>
      <c r="AI186" s="22" t="n"/>
    </row>
    <row r="187" hidden="1" ht="19.5" customHeight="1">
      <c r="N187" s="22" t="n"/>
      <c r="O187" s="22" t="n"/>
      <c r="P187" s="22" t="n"/>
      <c r="Q187" s="22" t="n"/>
      <c r="R187" s="22" t="n"/>
      <c r="S187" s="22" t="n"/>
      <c r="T187" s="22" t="n"/>
      <c r="U187" s="22" t="n"/>
      <c r="V187" s="22" t="n"/>
      <c r="W187" s="22" t="n"/>
      <c r="X187" s="22" t="n"/>
      <c r="Y187" s="22" t="n"/>
      <c r="Z187" s="22" t="n"/>
      <c r="AA187" s="22" t="n"/>
      <c r="AB187" s="22" t="n"/>
      <c r="AC187" s="22" t="n"/>
      <c r="AD187" s="22" t="n"/>
      <c r="AE187" s="22" t="n"/>
      <c r="AF187" s="22" t="n"/>
      <c r="AG187" s="22" t="n"/>
      <c r="AH187" s="22" t="n"/>
      <c r="AI187" s="22" t="n"/>
    </row>
    <row r="188" hidden="1" ht="19.5" customHeight="1">
      <c r="N188" s="22" t="n"/>
      <c r="O188" s="22" t="n"/>
      <c r="P188" s="22" t="n"/>
      <c r="Q188" s="22" t="n"/>
      <c r="R188" s="22" t="n"/>
      <c r="S188" s="22" t="n"/>
      <c r="T188" s="22" t="n"/>
      <c r="U188" s="22" t="n"/>
      <c r="V188" s="22" t="n"/>
      <c r="W188" s="22" t="n"/>
      <c r="X188" s="22" t="n"/>
      <c r="Y188" s="22" t="n"/>
      <c r="Z188" s="22" t="n"/>
      <c r="AA188" s="22" t="n"/>
      <c r="AB188" s="22" t="n"/>
      <c r="AC188" s="22" t="n"/>
      <c r="AD188" s="22" t="n"/>
      <c r="AE188" s="22" t="n"/>
      <c r="AF188" s="22" t="n"/>
      <c r="AG188" s="22" t="n"/>
      <c r="AH188" s="22" t="n"/>
      <c r="AI188" s="22" t="n"/>
    </row>
    <row r="189" ht="19.5" customHeight="1">
      <c r="A189" s="28" t="n"/>
      <c r="B189" s="28" t="n"/>
      <c r="C189" s="28" t="n"/>
      <c r="D189" s="28" t="n"/>
      <c r="E189" s="28" t="n"/>
      <c r="F189" s="28" t="n"/>
      <c r="G189" s="28" t="n"/>
      <c r="H189" s="28" t="n"/>
      <c r="I189" s="28" t="n"/>
      <c r="J189" s="28" t="n"/>
      <c r="K189" s="28" t="n"/>
      <c r="L189" s="28" t="n"/>
      <c r="M189" s="28" t="n"/>
      <c r="N189" s="22" t="n"/>
      <c r="O189" s="22" t="n"/>
      <c r="P189" s="22" t="n"/>
      <c r="Q189" s="22" t="n"/>
      <c r="R189" s="22" t="n"/>
      <c r="S189" s="22" t="n"/>
      <c r="T189" s="22" t="n"/>
      <c r="U189" s="22" t="n"/>
      <c r="V189" s="22" t="n"/>
      <c r="W189" s="22" t="n"/>
      <c r="X189" s="22" t="n"/>
      <c r="Y189" s="22" t="n"/>
      <c r="Z189" s="22" t="n"/>
      <c r="AA189" s="22" t="n"/>
      <c r="AB189" s="22" t="n"/>
      <c r="AC189" s="22" t="n"/>
      <c r="AD189" s="22" t="n"/>
      <c r="AE189" s="22" t="n"/>
      <c r="AF189" s="22" t="n"/>
      <c r="AG189" s="22" t="n"/>
      <c r="AH189" s="22" t="n"/>
      <c r="AI189" s="22" t="n"/>
    </row>
    <row r="190" ht="19.5" customHeight="1">
      <c r="A190" s="28" t="n"/>
      <c r="B190" s="28" t="n"/>
      <c r="C190" s="28" t="n"/>
      <c r="D190" s="28" t="n"/>
      <c r="E190" s="28" t="n"/>
      <c r="F190" s="28" t="n"/>
      <c r="G190" s="28" t="n"/>
      <c r="H190" s="28" t="n"/>
      <c r="I190" s="28" t="n"/>
      <c r="J190" s="28" t="n"/>
      <c r="K190" s="28" t="n"/>
      <c r="L190" s="28" t="n"/>
      <c r="M190" s="28" t="n"/>
      <c r="N190" s="22" t="n"/>
      <c r="O190" s="22" t="n"/>
      <c r="P190" s="22" t="n"/>
      <c r="Q190" s="22" t="n"/>
      <c r="R190" s="22" t="n"/>
      <c r="S190" s="22" t="n"/>
      <c r="T190" s="22" t="n"/>
      <c r="U190" s="22" t="n"/>
      <c r="V190" s="22" t="n"/>
      <c r="W190" s="22" t="n"/>
      <c r="X190" s="22" t="n"/>
      <c r="Y190" s="22" t="n"/>
      <c r="Z190" s="22" t="n"/>
      <c r="AA190" s="22" t="n"/>
      <c r="AB190" s="22" t="n"/>
      <c r="AC190" s="22" t="n"/>
      <c r="AD190" s="22" t="n"/>
      <c r="AE190" s="22" t="n"/>
      <c r="AF190" s="22" t="n"/>
      <c r="AG190" s="22" t="n"/>
      <c r="AH190" s="22" t="n"/>
      <c r="AI190" s="22" t="n"/>
    </row>
    <row r="191" ht="19.5" customHeight="1">
      <c r="A191" s="28" t="n"/>
      <c r="B191" s="28" t="n"/>
      <c r="C191" s="28" t="n"/>
      <c r="D191" s="28" t="n"/>
      <c r="E191" s="28" t="n"/>
      <c r="F191" s="28" t="n"/>
      <c r="G191" s="28" t="n"/>
      <c r="H191" s="28" t="n"/>
      <c r="I191" s="28" t="n"/>
      <c r="J191" s="28" t="n"/>
      <c r="K191" s="28" t="n"/>
      <c r="L191" s="28" t="n"/>
      <c r="M191" s="28" t="n"/>
      <c r="N191" s="22" t="n"/>
      <c r="O191" s="22" t="n"/>
      <c r="P191" s="22" t="n"/>
      <c r="Q191" s="22" t="n"/>
      <c r="R191" s="22" t="n"/>
      <c r="S191" s="22" t="n"/>
      <c r="T191" s="22" t="n"/>
      <c r="U191" s="22" t="n"/>
      <c r="V191" s="22" t="n"/>
      <c r="W191" s="22" t="n"/>
      <c r="X191" s="22" t="n"/>
      <c r="Y191" s="22" t="n"/>
      <c r="Z191" s="22" t="n"/>
      <c r="AA191" s="22" t="n"/>
      <c r="AB191" s="22" t="n"/>
      <c r="AC191" s="22" t="n"/>
      <c r="AD191" s="22" t="n"/>
      <c r="AE191" s="22" t="n"/>
      <c r="AF191" s="22" t="n"/>
      <c r="AG191" s="22" t="n"/>
      <c r="AH191" s="22" t="n"/>
      <c r="AI191" s="22" t="n"/>
    </row>
    <row r="192" ht="21" customHeight="1">
      <c r="A192" s="22" t="n"/>
      <c r="B192" s="474" t="inlineStr">
        <is>
          <t>Valuation</t>
        </is>
      </c>
      <c r="S192" s="364" t="n"/>
      <c r="T192" s="22" t="n"/>
      <c r="U192" s="22" t="n"/>
      <c r="V192" s="22" t="n"/>
      <c r="W192" s="22" t="n"/>
      <c r="X192" s="22" t="n"/>
      <c r="Y192" s="22" t="n"/>
      <c r="Z192" s="22" t="n"/>
      <c r="AA192" s="22" t="n"/>
      <c r="AB192" s="22" t="n"/>
      <c r="AC192" s="22" t="n"/>
      <c r="AD192" s="22" t="n"/>
      <c r="AE192" s="22" t="n"/>
      <c r="AF192" s="22" t="n"/>
      <c r="AG192" s="22" t="n"/>
      <c r="AH192" s="22" t="n"/>
      <c r="AI192" s="22" t="n"/>
    </row>
    <row r="193" ht="19.5" customHeight="1">
      <c r="A193" s="22" t="n"/>
      <c r="B193" s="91" t="inlineStr">
        <is>
          <t>Inputs</t>
        </is>
      </c>
      <c r="D193" s="120" t="inlineStr">
        <is>
          <t>Value</t>
        </is>
      </c>
      <c r="E193" s="91" t="inlineStr">
        <is>
          <t>Basis</t>
        </is>
      </c>
      <c r="F193" s="365" t="inlineStr">
        <is>
          <t>Hint</t>
        </is>
      </c>
      <c r="J193" s="364" t="n"/>
      <c r="K193" s="91" t="inlineStr">
        <is>
          <t>Outputs</t>
        </is>
      </c>
      <c r="N193" s="120" t="inlineStr">
        <is>
          <t>Value</t>
        </is>
      </c>
      <c r="O193" s="366" t="inlineStr">
        <is>
          <t>Interpretation</t>
        </is>
      </c>
      <c r="S193" s="364" t="n"/>
      <c r="T193" s="22" t="n"/>
      <c r="U193" s="22" t="n"/>
      <c r="V193" s="22" t="n"/>
      <c r="W193" s="22" t="n"/>
      <c r="X193" s="22" t="n"/>
      <c r="Y193" s="22" t="n"/>
      <c r="Z193" s="22" t="n"/>
      <c r="AA193" s="22" t="n"/>
      <c r="AB193" s="22" t="n"/>
      <c r="AC193" s="22" t="n"/>
      <c r="AD193" s="22" t="n"/>
      <c r="AE193" s="22" t="n"/>
      <c r="AF193" s="22" t="n"/>
      <c r="AG193" s="22" t="n"/>
      <c r="AH193" s="22" t="n"/>
      <c r="AI193" s="22" t="n"/>
    </row>
    <row r="194" ht="19.5" customHeight="1">
      <c r="A194" s="22" t="n"/>
      <c r="B194" s="48" t="inlineStr">
        <is>
          <t>Price</t>
        </is>
      </c>
      <c r="D194" s="475" t="n"/>
      <c r="E194" s="124" t="inlineStr">
        <is>
          <t>User</t>
        </is>
      </c>
      <c r="F194" s="368" t="inlineStr">
        <is>
          <t>Primary market input. Update when testing valuation scenarios.</t>
        </is>
      </c>
      <c r="J194" s="364" t="n"/>
      <c r="K194" s="125" t="inlineStr">
        <is>
          <t>Market cap ($m)</t>
        </is>
      </c>
      <c r="N194" s="476">
        <f>IF(OR(Price="",Shares=""),"",Price*Shares)</f>
        <v/>
      </c>
      <c r="O194" s="368" t="inlineStr">
        <is>
          <t>Price × shares; equity market value implied by current input price.</t>
        </is>
      </c>
      <c r="S194" s="364" t="n"/>
      <c r="T194" s="22" t="n"/>
      <c r="U194" s="22" t="n"/>
      <c r="V194" s="22" t="n"/>
      <c r="W194" s="22" t="n"/>
      <c r="X194" s="22" t="n"/>
      <c r="Y194" s="22" t="n"/>
      <c r="Z194" s="22" t="n"/>
      <c r="AA194" s="22" t="n"/>
      <c r="AB194" s="22" t="n"/>
      <c r="AC194" s="22" t="n"/>
      <c r="AD194" s="22" t="n"/>
      <c r="AE194" s="22" t="n"/>
      <c r="AF194" s="22" t="n"/>
      <c r="AG194" s="22" t="n"/>
      <c r="AH194" s="22" t="n"/>
      <c r="AI194" s="22" t="n"/>
    </row>
    <row r="195" ht="19.5" customHeight="1">
      <c r="A195" s="22" t="n"/>
      <c r="B195" s="48" t="inlineStr">
        <is>
          <t>As of</t>
        </is>
      </c>
      <c r="D195" s="126" t="n"/>
      <c r="E195" s="124" t="inlineStr">
        <is>
          <t>Latest Q</t>
        </is>
      </c>
      <c r="F195" s="368" t="inlineStr">
        <is>
          <t>Reference quarter used for TTM and current balance-sheet metrics.</t>
        </is>
      </c>
      <c r="J195" s="364" t="n"/>
      <c r="K195" s="125" t="inlineStr">
        <is>
          <t>EV ($m)</t>
        </is>
      </c>
      <c r="N195" s="476">
        <f>IF(OR(MarketCap="",NetDebt=""),"",MarketCap+NetDebt)</f>
        <v/>
      </c>
      <c r="O195" s="368" t="inlineStr">
        <is>
          <t>Market cap plus net debt; enterprise value used across multiples/yields.</t>
        </is>
      </c>
      <c r="S195" s="364" t="n"/>
      <c r="T195" s="22" t="n"/>
      <c r="U195" s="22" t="n"/>
      <c r="V195" s="22" t="n"/>
      <c r="W195" s="22" t="n"/>
      <c r="X195" s="22" t="n"/>
      <c r="Y195" s="22" t="n"/>
      <c r="Z195" s="22" t="n"/>
      <c r="AA195" s="22" t="n"/>
      <c r="AB195" s="22" t="n"/>
      <c r="AC195" s="22" t="n"/>
      <c r="AD195" s="22" t="n"/>
      <c r="AE195" s="22" t="n"/>
      <c r="AF195" s="22" t="n"/>
      <c r="AG195" s="22" t="n"/>
      <c r="AH195" s="22" t="n"/>
      <c r="AI195" s="22" t="n"/>
    </row>
    <row r="196" ht="19.5" customHeight="1">
      <c r="A196" s="22" t="n"/>
      <c r="B196" s="48" t="inlineStr">
        <is>
          <t>Shares outstanding (m)</t>
        </is>
      </c>
      <c r="D196" s="62" t="n"/>
      <c r="E196" s="124" t="inlineStr">
        <is>
          <t>Latest Q</t>
        </is>
      </c>
      <c r="F196" s="368" t="inlineStr">
        <is>
          <t>Used for per-share outputs when mode = Outstanding.</t>
        </is>
      </c>
      <c r="J196" s="364" t="n"/>
      <c r="K196" s="125" t="inlineStr">
        <is>
          <t>Implied EV/Adj EBITDA</t>
        </is>
      </c>
      <c r="N196" s="359">
        <f>IF(OR(EV="",Adj_EBITDA="",Adj_EBITDA=0),"",EV/Adj_EBITDA)</f>
        <v/>
      </c>
      <c r="O196" s="368" t="inlineStr">
        <is>
          <t>Current price implies this EV/Adj EBITDA multiple; compare vs target multiple.</t>
        </is>
      </c>
      <c r="S196" s="364" t="n"/>
      <c r="T196" s="22" t="n"/>
      <c r="U196" s="22" t="n"/>
      <c r="V196" s="22" t="n"/>
      <c r="W196" s="22" t="n"/>
      <c r="X196" s="22" t="n"/>
      <c r="Y196" s="22" t="n"/>
      <c r="Z196" s="22" t="n"/>
      <c r="AA196" s="22" t="n"/>
      <c r="AB196" s="22" t="n"/>
      <c r="AC196" s="22" t="n"/>
      <c r="AD196" s="22" t="n"/>
      <c r="AE196" s="22" t="n"/>
      <c r="AF196" s="22" t="n"/>
      <c r="AG196" s="22" t="n"/>
      <c r="AH196" s="22" t="n"/>
      <c r="AI196" s="22" t="n"/>
    </row>
    <row r="197" ht="19.5" customHeight="1">
      <c r="A197" s="22" t="n"/>
      <c r="B197" s="48" t="inlineStr">
        <is>
          <t>Shares diluted (m)</t>
        </is>
      </c>
      <c r="D197" s="62" t="n"/>
      <c r="E197" s="124" t="inlineStr">
        <is>
          <t>Latest Q</t>
        </is>
      </c>
      <c r="F197" s="368" t="inlineStr">
        <is>
          <t>Used for per-share outputs when mode = Diluted.</t>
        </is>
      </c>
      <c r="J197" s="364" t="n"/>
      <c r="K197" s="125" t="inlineStr">
        <is>
          <t>Implied EV/EBITDA</t>
        </is>
      </c>
      <c r="N197" s="359">
        <f>IF(OR(EV="",Base_EBITDA="",Base_EBITDA=0),"",EV/Base_EBITDA)</f>
        <v/>
      </c>
      <c r="O197" s="368" t="inlineStr">
        <is>
          <t>Current price implies this EV/EBITDA multiple; cross-check vs target EV/EBITDA.</t>
        </is>
      </c>
      <c r="S197" s="364" t="n"/>
      <c r="T197" s="22" t="n"/>
      <c r="U197" s="22" t="n"/>
      <c r="V197" s="22" t="n"/>
      <c r="W197" s="22" t="n"/>
      <c r="X197" s="22" t="n"/>
      <c r="Y197" s="22" t="n"/>
      <c r="Z197" s="22" t="n"/>
      <c r="AA197" s="22" t="n"/>
      <c r="AB197" s="22" t="n"/>
      <c r="AC197" s="22" t="n"/>
      <c r="AD197" s="22" t="n"/>
      <c r="AE197" s="22" t="n"/>
      <c r="AF197" s="22" t="n"/>
      <c r="AG197" s="22" t="n"/>
      <c r="AH197" s="22" t="n"/>
      <c r="AI197" s="22" t="n"/>
    </row>
    <row r="198" ht="19.5" customHeight="1">
      <c r="A198" s="22" t="n"/>
      <c r="B198" s="48" t="inlineStr">
        <is>
          <t>Net debt (core, $m)</t>
        </is>
      </c>
      <c r="D198" s="62" t="n"/>
      <c r="E198" s="124" t="inlineStr">
        <is>
          <t>Latest Q</t>
        </is>
      </c>
      <c r="F198" s="368" t="inlineStr">
        <is>
          <t>Debt core minus cash at as-of quarter.</t>
        </is>
      </c>
      <c r="J198" s="364" t="n"/>
      <c r="K198" s="125" t="inlineStr">
        <is>
          <t>FCFF proxy TTM ($m)</t>
        </is>
      </c>
      <c r="N198" s="476">
        <f>IF(OR(FCF_TTM="",InterestPaid_TTM=""),"",FCF_TTM+InterestPaid_TTM)</f>
        <v/>
      </c>
      <c r="O198" s="368" t="inlineStr">
        <is>
          <t>FCF + cash interest paid; proxy FCFF base used for target-yield math.</t>
        </is>
      </c>
      <c r="S198" s="364" t="n"/>
      <c r="T198" s="22" t="n"/>
      <c r="U198" s="22" t="n"/>
      <c r="V198" s="22" t="n"/>
      <c r="W198" s="22" t="n"/>
      <c r="X198" s="22" t="n"/>
      <c r="Y198" s="22" t="n"/>
      <c r="Z198" s="22" t="n"/>
      <c r="AA198" s="22" t="n"/>
      <c r="AB198" s="22" t="n"/>
      <c r="AC198" s="22" t="n"/>
      <c r="AD198" s="22" t="n"/>
      <c r="AE198" s="22" t="n"/>
      <c r="AF198" s="22" t="n"/>
      <c r="AG198" s="22" t="n"/>
      <c r="AH198" s="22" t="n"/>
      <c r="AI198" s="22" t="n"/>
    </row>
    <row r="199" ht="19.5" customHeight="1">
      <c r="A199" s="22" t="n"/>
      <c r="B199" s="48" t="inlineStr">
        <is>
          <t>EBITDA (base, TTM)</t>
        </is>
      </c>
      <c r="D199" s="62" t="n"/>
      <c r="E199" s="124" t="inlineStr">
        <is>
          <t>TTM</t>
        </is>
      </c>
      <c r="F199" s="368" t="inlineStr">
        <is>
          <t>Base GAAP-like EBITDA over trailing 4 quarters.</t>
        </is>
      </c>
      <c r="J199" s="364" t="n"/>
      <c r="K199" s="125" t="inlineStr">
        <is>
          <t>Implied FCFF yield (EV)</t>
        </is>
      </c>
      <c r="N199" s="59">
        <f>IF(OR(FCFF_Proxy_TTM="",EV="",EV=0),"",FCFF_Proxy_TTM/EV)</f>
        <v/>
      </c>
      <c r="O199" s="368" t="inlineStr">
        <is>
          <t>Current EV translated to FCFF yield proxy.</t>
        </is>
      </c>
      <c r="S199" s="364" t="n"/>
      <c r="T199" s="22" t="n"/>
      <c r="U199" s="22" t="n"/>
      <c r="V199" s="22" t="n"/>
      <c r="W199" s="22" t="n"/>
      <c r="X199" s="22" t="n"/>
      <c r="Y199" s="22" t="n"/>
      <c r="Z199" s="22" t="n"/>
      <c r="AA199" s="22" t="n"/>
      <c r="AB199" s="22" t="n"/>
      <c r="AC199" s="22" t="n"/>
      <c r="AD199" s="22" t="n"/>
      <c r="AE199" s="22" t="n"/>
      <c r="AF199" s="22" t="n"/>
      <c r="AG199" s="22" t="n"/>
      <c r="AH199" s="22" t="n"/>
      <c r="AI199" s="22" t="n"/>
    </row>
    <row r="200" ht="19.5" customHeight="1">
      <c r="A200" s="22" t="n"/>
      <c r="B200" s="48" t="inlineStr">
        <is>
          <t>Adjusted EBITDA (TTM)</t>
        </is>
      </c>
      <c r="D200" s="62" t="n"/>
      <c r="E200" s="124" t="inlineStr">
        <is>
          <t>TTM</t>
        </is>
      </c>
      <c r="F200" s="368" t="inlineStr">
        <is>
          <t>Adjusted EBITDA over trailing 4 quarters.</t>
        </is>
      </c>
      <c r="J200" s="364" t="n"/>
      <c r="K200" s="125" t="inlineStr">
        <is>
          <t>Equity FCF yield</t>
        </is>
      </c>
      <c r="N200" s="59">
        <f>IF(OR(FCF_TTM="",MarketCap="",MarketCap=0),"",FCF_TTM/MarketCap)</f>
        <v/>
      </c>
      <c r="O200" s="368" t="inlineStr">
        <is>
          <t>FCF relative to equity value only (market cap).</t>
        </is>
      </c>
      <c r="S200" s="364" t="n"/>
      <c r="T200" s="22" t="n"/>
      <c r="U200" s="22" t="n"/>
      <c r="V200" s="22" t="n"/>
      <c r="W200" s="22" t="n"/>
      <c r="X200" s="22" t="n"/>
      <c r="Y200" s="22" t="n"/>
      <c r="Z200" s="22" t="n"/>
      <c r="AA200" s="22" t="n"/>
      <c r="AB200" s="22" t="n"/>
      <c r="AC200" s="22" t="n"/>
      <c r="AD200" s="22" t="n"/>
      <c r="AE200" s="22" t="n"/>
      <c r="AF200" s="22" t="n"/>
      <c r="AG200" s="22" t="n"/>
      <c r="AH200" s="22" t="n"/>
      <c r="AI200" s="22" t="n"/>
    </row>
    <row r="201" ht="19.5" customHeight="1">
      <c r="A201" s="22" t="n"/>
      <c r="B201" s="48" t="inlineStr">
        <is>
          <t>FCF TTM ($m)</t>
        </is>
      </c>
      <c r="D201" s="62" t="n"/>
      <c r="E201" s="124" t="inlineStr">
        <is>
          <t>TTM</t>
        </is>
      </c>
      <c r="F201" s="368" t="inlineStr">
        <is>
          <t>FCF proxy from CFO - Capex over trailing 4 quarters.</t>
        </is>
      </c>
      <c r="J201" s="364" t="n"/>
      <c r="K201" s="125" t="inlineStr">
        <is>
          <t>Owner earnings TTM ($m)</t>
        </is>
      </c>
      <c r="N201" s="476">
        <f>IF(OR(FCF_TTM="",Capex_TTM="",MaintCapexRatio="",RecurringCashCosts="",WCNormalization=""),"",FCF_TTM+(1-MaintCapexRatio)*Capex_TTM-RecurringCashCosts+WCNormalization)</f>
        <v/>
      </c>
      <c r="O201" s="368" t="inlineStr">
        <is>
          <t>Owner earnings bridge after maintenance capex and recurring adjustments.</t>
        </is>
      </c>
      <c r="S201" s="364" t="n"/>
      <c r="T201" s="22" t="n"/>
      <c r="U201" s="22" t="n"/>
      <c r="V201" s="22" t="n"/>
      <c r="W201" s="22" t="n"/>
      <c r="X201" s="22" t="n"/>
      <c r="Y201" s="22" t="n"/>
      <c r="Z201" s="22" t="n"/>
      <c r="AA201" s="22" t="n"/>
      <c r="AB201" s="22" t="n"/>
      <c r="AC201" s="22" t="n"/>
      <c r="AD201" s="22" t="n"/>
      <c r="AE201" s="22" t="n"/>
      <c r="AF201" s="22" t="n"/>
      <c r="AG201" s="22" t="n"/>
      <c r="AH201" s="22" t="n"/>
      <c r="AI201" s="22" t="n"/>
    </row>
    <row r="202" ht="19.5" customHeight="1">
      <c r="A202" s="22" t="n"/>
      <c r="B202" s="48" t="inlineStr">
        <is>
          <t>CFO TTM ($m)</t>
        </is>
      </c>
      <c r="D202" s="62" t="n"/>
      <c r="E202" s="124" t="inlineStr">
        <is>
          <t>TTM</t>
        </is>
      </c>
      <c r="F202" s="368" t="inlineStr">
        <is>
          <t>Non-GAAP FCF when available; otherwise blank.</t>
        </is>
      </c>
      <c r="J202" s="364" t="n"/>
      <c r="K202" s="125" t="inlineStr">
        <is>
          <t>Owner earnings yield</t>
        </is>
      </c>
      <c r="N202" s="59">
        <f>IF(OR(OwnerEarnings_TTM="",EV="",EV=0),"",OwnerEarnings_TTM/EV)</f>
        <v/>
      </c>
      <c r="O202" s="368" t="inlineStr">
        <is>
          <t>Owner earnings relative to enterprise value.</t>
        </is>
      </c>
      <c r="S202" s="364" t="n"/>
      <c r="T202" s="22" t="n"/>
      <c r="U202" s="22" t="n"/>
      <c r="V202" s="22" t="n"/>
      <c r="W202" s="22" t="n"/>
      <c r="X202" s="22" t="n"/>
      <c r="Y202" s="22" t="n"/>
      <c r="Z202" s="22" t="n"/>
      <c r="AA202" s="22" t="n"/>
      <c r="AB202" s="22" t="n"/>
      <c r="AC202" s="22" t="n"/>
      <c r="AD202" s="22" t="n"/>
      <c r="AE202" s="22" t="n"/>
      <c r="AF202" s="22" t="n"/>
      <c r="AG202" s="22" t="n"/>
      <c r="AH202" s="22" t="n"/>
      <c r="AI202" s="22" t="n"/>
    </row>
    <row r="203" ht="19.5" customHeight="1">
      <c r="A203" s="22" t="n"/>
      <c r="B203" s="48" t="inlineStr">
        <is>
          <t>Revenue TTM ($m)</t>
        </is>
      </c>
      <c r="D203" s="62" t="n"/>
      <c r="E203" s="124" t="inlineStr">
        <is>
          <t>TTM</t>
        </is>
      </c>
      <c r="F203" s="368" t="inlineStr">
        <is>
          <t>Revenue over trailing 4 quarters.</t>
        </is>
      </c>
      <c r="J203" s="364" t="n"/>
      <c r="K203" s="125" t="inlineStr">
        <is>
          <t>Eq/Share @ target EV/Adj EBITDA</t>
        </is>
      </c>
      <c r="N203" s="476">
        <f>IF(OR(Target_EV_AdjEBITDA="",Adj_EBITDA="",NetDebt="",IF(PerShareMode="Outstanding",Shares,IF(PerShareMode="Diluted",SharesDiluted,""))="",IF(PerShareMode="Outstanding",Shares,IF(PerShareMode="Diluted",SharesDiluted,""))=0),"",(Target_EV_AdjEBITDA*Adj_EBITDA-NetDebt)/IF(PerShareMode="Outstanding",Shares,IF(PerShareMode="Diluted",SharesDiluted,"")))</f>
        <v/>
      </c>
      <c r="O203" s="368" t="inlineStr">
        <is>
          <t>Per-share value if target EV/Adj EBITDA holds today.</t>
        </is>
      </c>
      <c r="S203" s="364" t="n"/>
      <c r="T203" s="22" t="n"/>
      <c r="U203" s="22" t="n"/>
      <c r="V203" s="22" t="n"/>
      <c r="W203" s="22" t="n"/>
      <c r="X203" s="22" t="n"/>
      <c r="Y203" s="22" t="n"/>
      <c r="Z203" s="22" t="n"/>
      <c r="AA203" s="22" t="n"/>
      <c r="AB203" s="22" t="n"/>
      <c r="AC203" s="22" t="n"/>
      <c r="AD203" s="22" t="n"/>
      <c r="AE203" s="22" t="n"/>
      <c r="AF203" s="22" t="n"/>
      <c r="AG203" s="22" t="n"/>
      <c r="AH203" s="22" t="n"/>
      <c r="AI203" s="22" t="n"/>
    </row>
    <row r="204" ht="19.5" customHeight="1">
      <c r="A204" s="22" t="n"/>
      <c r="B204" s="48" t="inlineStr">
        <is>
          <t>Diluted EPS (GAAP, TTM)</t>
        </is>
      </c>
      <c r="D204" s="62" t="n"/>
      <c r="E204" s="124" t="inlineStr">
        <is>
          <t>TTM</t>
        </is>
      </c>
      <c r="F204" s="368" t="inlineStr">
        <is>
          <t>GAAP per-share earnings over trailing 4 quarters.</t>
        </is>
      </c>
      <c r="J204" s="364" t="n"/>
      <c r="K204" s="125" t="inlineStr">
        <is>
          <t>Eq/Share @ target EV/EBITDA</t>
        </is>
      </c>
      <c r="N204" s="476">
        <f>IF(OR(Target_EV_EBITDA="",Base_EBITDA="",NetDebt="",IF(PerShareMode="Outstanding",Shares,IF(PerShareMode="Diluted",SharesDiluted,""))="",IF(PerShareMode="Outstanding",Shares,IF(PerShareMode="Diluted",SharesDiluted,""))=0),"",(Target_EV_EBITDA*Base_EBITDA-NetDebt)/IF(PerShareMode="Outstanding",Shares,IF(PerShareMode="Diluted",SharesDiluted,"")))</f>
        <v/>
      </c>
      <c r="O204" s="368" t="inlineStr">
        <is>
          <t>Per-share value if target EV/EBITDA holds today.</t>
        </is>
      </c>
      <c r="S204" s="364" t="n"/>
      <c r="T204" s="22" t="n"/>
      <c r="U204" s="22" t="n"/>
      <c r="V204" s="22" t="n"/>
      <c r="W204" s="22" t="n"/>
      <c r="X204" s="22" t="n"/>
      <c r="Y204" s="22" t="n"/>
      <c r="Z204" s="22" t="n"/>
      <c r="AA204" s="22" t="n"/>
      <c r="AB204" s="22" t="n"/>
      <c r="AC204" s="22" t="n"/>
      <c r="AD204" s="22" t="n"/>
      <c r="AE204" s="22" t="n"/>
      <c r="AF204" s="22" t="n"/>
      <c r="AG204" s="22" t="n"/>
      <c r="AH204" s="22" t="n"/>
      <c r="AI204" s="22" t="n"/>
    </row>
    <row r="205" ht="19.5" customHeight="1">
      <c r="A205" s="22" t="n"/>
      <c r="B205" s="48" t="inlineStr">
        <is>
          <t>Adjusted diluted EPS (TTM)</t>
        </is>
      </c>
      <c r="D205" s="62" t="n"/>
      <c r="E205" s="124" t="inlineStr">
        <is>
          <t>TTM</t>
        </is>
      </c>
      <c r="F205" s="368" t="inlineStr">
        <is>
          <t>per-share earnings over trailing 4 quarters.</t>
        </is>
      </c>
      <c r="J205" s="364" t="n"/>
      <c r="K205" s="125" t="inlineStr">
        <is>
          <t>Eq/Share @ target EV yield (FCFF)</t>
        </is>
      </c>
      <c r="N205" s="476">
        <f>IF(OR(Target_EV_Yield="",Target_EV_Yield&lt;=0,Target_EV_Yield&gt;1,FCFF_Proxy_TTM="",NetDebt="",IF(PerShareMode="Outstanding",Shares,IF(PerShareMode="Diluted",SharesDiluted,""))="",IF(PerShareMode="Outstanding",Shares,IF(PerShareMode="Diluted",SharesDiluted,""))=0),"",(FCFF_Proxy_TTM/Target_EV_Yield-NetDebt)/IF(PerShareMode="Outstanding",Shares,IF(PerShareMode="Diluted",SharesDiluted,"")))</f>
        <v/>
      </c>
      <c r="O205" s="368" t="inlineStr">
        <is>
          <t>Per-share value using FCFF target yield framework.</t>
        </is>
      </c>
      <c r="S205" s="364" t="n"/>
      <c r="T205" s="22" t="n"/>
      <c r="U205" s="22" t="n"/>
      <c r="V205" s="22" t="n"/>
      <c r="W205" s="22" t="n"/>
      <c r="X205" s="22" t="n"/>
      <c r="Y205" s="22" t="n"/>
      <c r="Z205" s="22" t="n"/>
      <c r="AA205" s="22" t="n"/>
      <c r="AB205" s="22" t="n"/>
      <c r="AC205" s="22" t="n"/>
      <c r="AD205" s="22" t="n"/>
      <c r="AE205" s="22" t="n"/>
      <c r="AF205" s="22" t="n"/>
      <c r="AG205" s="22" t="n"/>
      <c r="AH205" s="22" t="n"/>
      <c r="AI205" s="22" t="n"/>
    </row>
    <row r="206" ht="19.5" customHeight="1">
      <c r="A206" s="22" t="n"/>
      <c r="B206" s="48" t="inlineStr">
        <is>
          <t>Book value/share</t>
        </is>
      </c>
      <c r="D206" s="62" t="n"/>
      <c r="E206" s="124" t="inlineStr">
        <is>
          <t>Latest Q</t>
        </is>
      </c>
      <c r="F206" s="368" t="inlineStr">
        <is>
          <t>Book value per share from latest quarter balance sheet.</t>
        </is>
      </c>
      <c r="J206" s="364" t="n"/>
      <c r="K206" s="125" t="inlineStr">
        <is>
          <t>P/E (GAAP, TTM)</t>
        </is>
      </c>
      <c r="N206" s="359">
        <f>IF(OR(Price="",EPS_TTM="",EPS_TTM=0),"",Price/EPS_TTM)</f>
        <v/>
      </c>
      <c r="O206" s="368" t="inlineStr">
        <is>
          <t>Price divided by GAAP per-share earnings TTM.</t>
        </is>
      </c>
      <c r="S206" s="364" t="n"/>
      <c r="T206" s="22" t="n"/>
      <c r="U206" s="22" t="n"/>
      <c r="V206" s="22" t="n"/>
      <c r="W206" s="22" t="n"/>
      <c r="X206" s="22" t="n"/>
      <c r="Y206" s="22" t="n"/>
      <c r="Z206" s="22" t="n"/>
      <c r="AA206" s="22" t="n"/>
      <c r="AB206" s="22" t="n"/>
      <c r="AC206" s="22" t="n"/>
      <c r="AD206" s="22" t="n"/>
      <c r="AE206" s="22" t="n"/>
      <c r="AF206" s="22" t="n"/>
      <c r="AG206" s="22" t="n"/>
      <c r="AH206" s="22" t="n"/>
      <c r="AI206" s="22" t="n"/>
    </row>
    <row r="207" ht="19.5" customHeight="1">
      <c r="A207" s="22" t="n"/>
      <c r="B207" s="48" t="inlineStr">
        <is>
          <t>Tangible book value/share</t>
        </is>
      </c>
      <c r="D207" s="62" t="n"/>
      <c r="E207" s="124" t="inlineStr">
        <is>
          <t>Latest Q</t>
        </is>
      </c>
      <c r="F207" s="368" t="inlineStr">
        <is>
          <t>Tangible book value per share from latest quarter.</t>
        </is>
      </c>
      <c r="J207" s="364" t="n"/>
      <c r="K207" s="125" t="inlineStr">
        <is>
          <t>P/E (adjusted, TTM)</t>
        </is>
      </c>
      <c r="N207" s="359">
        <f>IF(OR(Price="",Adj_EPS_TTM="",Adj_EPS_TTM=0),"",Price/Adj_EPS_TTM)</f>
        <v/>
      </c>
      <c r="O207" s="368" t="inlineStr">
        <is>
          <t>Price divided by per-share earnings TTM.</t>
        </is>
      </c>
      <c r="S207" s="364" t="n"/>
      <c r="T207" s="22" t="n"/>
      <c r="U207" s="22" t="n"/>
      <c r="V207" s="22" t="n"/>
      <c r="W207" s="22" t="n"/>
      <c r="X207" s="22" t="n"/>
      <c r="Y207" s="22" t="n"/>
      <c r="Z207" s="22" t="n"/>
      <c r="AA207" s="22" t="n"/>
      <c r="AB207" s="22" t="n"/>
      <c r="AC207" s="22" t="n"/>
      <c r="AD207" s="22" t="n"/>
      <c r="AE207" s="22" t="n"/>
      <c r="AF207" s="22" t="n"/>
      <c r="AG207" s="22" t="n"/>
      <c r="AH207" s="22" t="n"/>
      <c r="AI207" s="22" t="n"/>
    </row>
    <row r="208" ht="19.5" customHeight="1">
      <c r="A208" s="22" t="n"/>
      <c r="B208" s="48" t="inlineStr">
        <is>
          <t>Target EV/Adj EBITDA</t>
        </is>
      </c>
      <c r="D208" s="477" t="n"/>
      <c r="E208" s="124" t="inlineStr">
        <is>
          <t>User</t>
        </is>
      </c>
      <c r="F208" s="368" t="inlineStr">
        <is>
          <t>Target EV/Adj EBITDA multiple; adjust for business quality and cycle.</t>
        </is>
      </c>
      <c r="J208" s="364" t="n"/>
      <c r="K208" s="125" t="inlineStr">
        <is>
          <t>EV/Sales (TTM)</t>
        </is>
      </c>
      <c r="N208" s="359">
        <f>IF(OR(EV="",Revenue_TTM="",Revenue_TTM=0),"",EV/Revenue_TTM)</f>
        <v/>
      </c>
      <c r="O208" s="368" t="inlineStr">
        <is>
          <t>Enterprise value divided by revenue TTM.</t>
        </is>
      </c>
      <c r="S208" s="364" t="n"/>
      <c r="T208" s="22" t="n"/>
      <c r="U208" s="22" t="n"/>
      <c r="V208" s="22" t="n"/>
      <c r="W208" s="22" t="n"/>
      <c r="X208" s="22" t="n"/>
      <c r="Y208" s="22" t="n"/>
      <c r="Z208" s="22" t="n"/>
      <c r="AA208" s="22" t="n"/>
      <c r="AB208" s="22" t="n"/>
      <c r="AC208" s="22" t="n"/>
      <c r="AD208" s="22" t="n"/>
      <c r="AE208" s="22" t="n"/>
      <c r="AF208" s="22" t="n"/>
      <c r="AG208" s="22" t="n"/>
      <c r="AH208" s="22" t="n"/>
      <c r="AI208" s="22" t="n"/>
    </row>
    <row r="209" ht="19.5" customHeight="1">
      <c r="A209" s="22" t="n"/>
      <c r="B209" s="48" t="inlineStr">
        <is>
          <t>Target EV/EBITDA</t>
        </is>
      </c>
      <c r="D209" s="477" t="n"/>
      <c r="E209" s="124" t="inlineStr">
        <is>
          <t>User</t>
        </is>
      </c>
      <c r="F209" s="368" t="inlineStr">
        <is>
          <t>Target EV/EBITDA multiple used as cross-check.</t>
        </is>
      </c>
      <c r="J209" s="364" t="n"/>
      <c r="K209" s="125" t="inlineStr">
        <is>
          <t>Price/BV</t>
        </is>
      </c>
      <c r="N209" s="359">
        <f>IF(OR(Price="",BV_PerShare="",BV_PerShare=0),"",Price/BV_PerShare)</f>
        <v/>
      </c>
      <c r="O209" s="368" t="inlineStr">
        <is>
          <t>Price to book value per share; n/a when equity is negative.</t>
        </is>
      </c>
      <c r="S209" s="364" t="n"/>
      <c r="T209" s="22" t="n"/>
      <c r="U209" s="22" t="n"/>
      <c r="V209" s="22" t="n"/>
      <c r="W209" s="22" t="n"/>
      <c r="X209" s="22" t="n"/>
      <c r="Y209" s="22" t="n"/>
      <c r="Z209" s="22" t="n"/>
      <c r="AA209" s="22" t="n"/>
      <c r="AB209" s="22" t="n"/>
      <c r="AC209" s="22" t="n"/>
      <c r="AD209" s="22" t="n"/>
      <c r="AE209" s="22" t="n"/>
      <c r="AF209" s="22" t="n"/>
      <c r="AG209" s="22" t="n"/>
      <c r="AH209" s="22" t="n"/>
      <c r="AI209" s="22" t="n"/>
    </row>
    <row r="210" ht="19.5" customHeight="1">
      <c r="A210" s="22" t="n"/>
      <c r="B210" s="48" t="inlineStr">
        <is>
          <t>Target EV yield</t>
        </is>
      </c>
      <c r="D210" s="478" t="n"/>
      <c r="E210" s="124" t="inlineStr">
        <is>
          <t>User</t>
        </is>
      </c>
      <c r="F210" s="368" t="inlineStr">
        <is>
          <t>Enter a decimal percentage (for example, 10%); values above 100% are invalid.</t>
        </is>
      </c>
      <c r="J210" s="364" t="n"/>
      <c r="K210" s="125" t="inlineStr">
        <is>
          <t>Price/TBV</t>
        </is>
      </c>
      <c r="N210" s="359">
        <f>IF(OR(Price="",TBV_PerShare="",TBV_PerShare=0),"",Price/TBV_PerShare)</f>
        <v/>
      </c>
      <c r="O210" s="368" t="inlineStr">
        <is>
          <t>Price to tangible book value per share; n/a when TBV is negative.</t>
        </is>
      </c>
      <c r="S210" s="364" t="n"/>
      <c r="T210" s="22" t="n"/>
      <c r="U210" s="22" t="n"/>
      <c r="V210" s="22" t="n"/>
      <c r="W210" s="22" t="n"/>
      <c r="X210" s="22" t="n"/>
      <c r="Y210" s="22" t="n"/>
      <c r="Z210" s="22" t="n"/>
      <c r="AA210" s="22" t="n"/>
      <c r="AB210" s="22" t="n"/>
      <c r="AC210" s="22" t="n"/>
      <c r="AD210" s="22" t="n"/>
      <c r="AE210" s="22" t="n"/>
      <c r="AF210" s="22" t="n"/>
      <c r="AG210" s="22" t="n"/>
      <c r="AH210" s="22" t="n"/>
      <c r="AI210" s="22" t="n"/>
    </row>
    <row r="211" ht="19.5" customHeight="1">
      <c r="A211" s="22" t="n"/>
      <c r="B211" s="48" t="inlineStr">
        <is>
          <t>Capex TTM ($m)</t>
        </is>
      </c>
      <c r="D211" s="62" t="n"/>
      <c r="E211" s="124" t="inlineStr">
        <is>
          <t>TTM</t>
        </is>
      </c>
      <c r="F211" s="368" t="inlineStr">
        <is>
          <t>Capex trailing 4 quarters.</t>
        </is>
      </c>
      <c r="J211" s="364" t="n"/>
      <c r="K211" s="22" t="n"/>
      <c r="L211" s="22" t="n"/>
      <c r="M211" s="22" t="n"/>
      <c r="N211" s="22" t="n"/>
      <c r="O211" s="22" t="n"/>
      <c r="P211" s="22" t="n"/>
      <c r="Q211" s="22" t="n"/>
      <c r="R211" s="22" t="n"/>
      <c r="S211" s="130" t="n"/>
      <c r="T211" s="22" t="n"/>
      <c r="U211" s="22" t="n"/>
      <c r="V211" s="22" t="n"/>
      <c r="W211" s="22" t="n"/>
      <c r="X211" s="22" t="n"/>
      <c r="Y211" s="22" t="n"/>
      <c r="Z211" s="22" t="n"/>
      <c r="AA211" s="22" t="n"/>
      <c r="AB211" s="22" t="n"/>
      <c r="AC211" s="22" t="n"/>
      <c r="AD211" s="22" t="n"/>
      <c r="AE211" s="22" t="n"/>
      <c r="AF211" s="22" t="n"/>
      <c r="AG211" s="22" t="n"/>
      <c r="AH211" s="22" t="n"/>
      <c r="AI211" s="22" t="n"/>
    </row>
    <row r="212" ht="19.5" customHeight="1">
      <c r="A212" s="22" t="n"/>
      <c r="B212" s="48" t="inlineStr">
        <is>
          <t>Interest paid TTM ($m)</t>
        </is>
      </c>
      <c r="D212" s="62" t="n"/>
      <c r="E212" s="124" t="inlineStr">
        <is>
          <t>TTM</t>
        </is>
      </c>
      <c r="F212" s="368" t="inlineStr">
        <is>
          <t>Cash interest paid trailing 4 quarters.</t>
        </is>
      </c>
      <c r="J212" s="364" t="n"/>
      <c r="K212" s="22" t="n"/>
      <c r="L212" s="22" t="n"/>
      <c r="M212" s="22" t="n"/>
      <c r="N212" s="22" t="n"/>
      <c r="O212" s="22" t="n"/>
      <c r="P212" s="22" t="n"/>
      <c r="Q212" s="22" t="n"/>
      <c r="R212" s="22" t="n"/>
      <c r="S212" s="130" t="n"/>
      <c r="T212" s="22" t="n"/>
      <c r="U212" s="22" t="n"/>
      <c r="V212" s="22" t="n"/>
      <c r="W212" s="22" t="n"/>
      <c r="X212" s="22" t="n"/>
      <c r="Y212" s="22" t="n"/>
      <c r="Z212" s="22" t="n"/>
      <c r="AA212" s="22" t="n"/>
      <c r="AB212" s="22" t="n"/>
      <c r="AC212" s="22" t="n"/>
      <c r="AD212" s="22" t="n"/>
      <c r="AE212" s="22" t="n"/>
      <c r="AF212" s="22" t="n"/>
      <c r="AG212" s="22" t="n"/>
      <c r="AH212" s="22" t="n"/>
      <c r="AI212" s="22" t="n"/>
    </row>
    <row r="213" ht="19.5" customHeight="1">
      <c r="A213" s="22" t="n"/>
      <c r="B213" s="48" t="inlineStr">
        <is>
          <t>Maint. capex % of capex</t>
        </is>
      </c>
      <c r="D213" s="478" t="n"/>
      <c r="E213" s="124" t="inlineStr">
        <is>
          <t>Assumption</t>
        </is>
      </c>
      <c r="F213" s="368" t="inlineStr">
        <is>
          <t>Maintenance share of capex used in owner-earnings bridge.</t>
        </is>
      </c>
      <c r="J213" s="364" t="n"/>
      <c r="K213" s="22" t="n"/>
      <c r="L213" s="22" t="n"/>
      <c r="M213" s="22" t="n"/>
      <c r="N213" s="22" t="n"/>
      <c r="O213" s="22" t="n"/>
      <c r="P213" s="22" t="n"/>
      <c r="Q213" s="22" t="n"/>
      <c r="R213" s="22" t="n"/>
      <c r="S213" s="130" t="n"/>
      <c r="T213" s="22" t="n"/>
      <c r="U213" s="22" t="n"/>
      <c r="V213" s="22" t="n"/>
      <c r="W213" s="22" t="n"/>
      <c r="X213" s="22" t="n"/>
      <c r="Y213" s="22" t="n"/>
      <c r="Z213" s="22" t="n"/>
      <c r="AA213" s="22" t="n"/>
      <c r="AB213" s="22" t="n"/>
      <c r="AC213" s="22" t="n"/>
      <c r="AD213" s="22" t="n"/>
      <c r="AE213" s="22" t="n"/>
      <c r="AF213" s="22" t="n"/>
      <c r="AG213" s="22" t="n"/>
      <c r="AH213" s="22" t="n"/>
      <c r="AI213" s="22" t="n"/>
    </row>
    <row r="214" ht="19.5" customHeight="1">
      <c r="A214" s="22" t="n"/>
      <c r="B214" s="48" t="inlineStr">
        <is>
          <t>Recurring cash costs ($m)</t>
        </is>
      </c>
      <c r="D214" s="479" t="n"/>
      <c r="E214" s="124" t="inlineStr">
        <is>
          <t>Assumption</t>
        </is>
      </c>
      <c r="F214" s="368" t="inlineStr">
        <is>
          <t>Recurring cash costs to subtract from owner earnings.</t>
        </is>
      </c>
      <c r="J214" s="364" t="n"/>
      <c r="K214" s="22" t="n"/>
      <c r="L214" s="22" t="n"/>
      <c r="M214" s="22" t="n"/>
      <c r="N214" s="22" t="n"/>
      <c r="O214" s="22" t="n"/>
      <c r="P214" s="22" t="n"/>
      <c r="Q214" s="22" t="n"/>
      <c r="R214" s="22" t="n"/>
      <c r="S214" s="130" t="n"/>
      <c r="T214" s="22" t="n"/>
      <c r="U214" s="22" t="n"/>
      <c r="V214" s="22" t="n"/>
      <c r="W214" s="22" t="n"/>
      <c r="X214" s="22" t="n"/>
      <c r="Y214" s="22" t="n"/>
      <c r="Z214" s="22" t="n"/>
      <c r="AA214" s="22" t="n"/>
      <c r="AB214" s="22" t="n"/>
      <c r="AC214" s="22" t="n"/>
      <c r="AD214" s="22" t="n"/>
      <c r="AE214" s="22" t="n"/>
      <c r="AF214" s="22" t="n"/>
      <c r="AG214" s="22" t="n"/>
      <c r="AH214" s="22" t="n"/>
      <c r="AI214" s="22" t="n"/>
    </row>
    <row r="215" ht="19.5" customHeight="1">
      <c r="A215" s="22" t="n"/>
      <c r="B215" s="48" t="inlineStr">
        <is>
          <t>WC normalization ($m)</t>
        </is>
      </c>
      <c r="D215" s="479" t="n"/>
      <c r="E215" s="124" t="inlineStr">
        <is>
          <t>Assumption</t>
        </is>
      </c>
      <c r="F215" s="368" t="inlineStr">
        <is>
          <t>Working-capital normalization adjustment.</t>
        </is>
      </c>
      <c r="J215" s="364" t="n"/>
      <c r="K215" s="22" t="n"/>
      <c r="L215" s="22" t="n"/>
      <c r="M215" s="22" t="n"/>
      <c r="N215" s="22" t="n"/>
      <c r="O215" s="22" t="n"/>
      <c r="P215" s="22" t="n"/>
      <c r="Q215" s="22" t="n"/>
      <c r="R215" s="22" t="n"/>
      <c r="S215" s="130" t="n"/>
      <c r="T215" s="22" t="n"/>
      <c r="U215" s="22" t="n"/>
      <c r="V215" s="22" t="n"/>
      <c r="W215" s="22" t="n"/>
      <c r="X215" s="22" t="n"/>
      <c r="Y215" s="22" t="n"/>
      <c r="Z215" s="22" t="n"/>
      <c r="AA215" s="22" t="n"/>
      <c r="AB215" s="22" t="n"/>
      <c r="AC215" s="22" t="n"/>
      <c r="AD215" s="22" t="n"/>
      <c r="AE215" s="22" t="n"/>
      <c r="AF215" s="22" t="n"/>
      <c r="AG215" s="22" t="n"/>
      <c r="AH215" s="22" t="n"/>
      <c r="AI215" s="22" t="n"/>
    </row>
    <row r="216" ht="19.5" customHeight="1">
      <c r="A216" s="22" t="n"/>
      <c r="B216" s="132" t="inlineStr">
        <is>
          <t>Per-share denominator</t>
        </is>
      </c>
      <c r="C216" s="371" t="n"/>
      <c r="D216" s="480" t="n"/>
      <c r="E216" s="135" t="inlineStr">
        <is>
          <t>User</t>
        </is>
      </c>
      <c r="F216" s="372" t="inlineStr">
        <is>
          <t>Choose Outstanding or Diluted denominator for per-share values.</t>
        </is>
      </c>
      <c r="G216" s="371" t="n"/>
      <c r="H216" s="371" t="n"/>
      <c r="I216" s="371" t="n"/>
      <c r="J216" s="373" t="n"/>
      <c r="K216" s="133" t="n"/>
      <c r="L216" s="133" t="n"/>
      <c r="M216" s="133" t="n"/>
      <c r="N216" s="133" t="n"/>
      <c r="O216" s="133" t="n"/>
      <c r="P216" s="133" t="n"/>
      <c r="Q216" s="133" t="n"/>
      <c r="R216" s="133" t="n"/>
      <c r="S216" s="139" t="n"/>
      <c r="T216" s="22" t="n"/>
      <c r="U216" s="22" t="n"/>
      <c r="V216" s="22" t="n"/>
      <c r="W216" s="22" t="n"/>
      <c r="X216" s="22" t="n"/>
      <c r="Y216" s="22" t="n"/>
      <c r="Z216" s="22" t="n"/>
      <c r="AA216" s="22" t="n"/>
      <c r="AB216" s="22" t="n"/>
      <c r="AC216" s="22" t="n"/>
      <c r="AD216" s="22" t="n"/>
      <c r="AE216" s="22" t="n"/>
      <c r="AF216" s="22" t="n"/>
      <c r="AG216" s="22" t="n"/>
      <c r="AH216" s="22" t="n"/>
      <c r="AI216" s="22" t="n"/>
    </row>
    <row r="217" ht="19.5" customHeight="1">
      <c r="A217" s="22" t="n"/>
      <c r="B217" s="22" t="inlineStr">
        <is>
          <t>Net income TTM ($m)</t>
        </is>
      </c>
      <c r="F217" s="22" t="n"/>
      <c r="G217" s="140" t="inlineStr">
        <is>
          <t>DCF (optional module)</t>
        </is>
      </c>
      <c r="K217" s="365" t="inlineStr">
        <is>
          <t>Interpretation</t>
        </is>
      </c>
      <c r="O217" s="364" t="n"/>
      <c r="P217" s="374" t="inlineStr">
        <is>
          <t>Market-implied terminal g (solve gT so DCF EV = Market EV)</t>
        </is>
      </c>
      <c r="S217" s="364" t="n"/>
      <c r="T217" s="22" t="n"/>
      <c r="U217" s="22" t="n"/>
      <c r="V217" s="22" t="n"/>
      <c r="W217" s="22" t="n"/>
      <c r="X217" s="22" t="n"/>
      <c r="Y217" s="22" t="n"/>
      <c r="Z217" s="22" t="n"/>
      <c r="AA217" s="22" t="n"/>
      <c r="AB217" s="22" t="n"/>
      <c r="AC217" s="22" t="n"/>
      <c r="AD217" s="22" t="n"/>
      <c r="AE217" s="22" t="n"/>
      <c r="AF217" s="22" t="n"/>
      <c r="AG217" s="22" t="n"/>
      <c r="AH217" s="22" t="n"/>
      <c r="AI217" s="22" t="n"/>
    </row>
    <row r="218" ht="19.5" customHeight="1">
      <c r="A218" s="22" t="n"/>
      <c r="B218" s="22" t="inlineStr">
        <is>
          <t>Target EV/Revenue (x)</t>
        </is>
      </c>
      <c r="C218" s="22" t="n"/>
      <c r="D218" s="481" t="n"/>
      <c r="E218" s="22" t="n"/>
      <c r="F218" s="22" t="n"/>
      <c r="G218" s="48" t="inlineStr">
        <is>
          <t>Starting FCFF ($m)</t>
        </is>
      </c>
      <c r="J218" s="479" t="n"/>
      <c r="K218" s="368" t="inlineStr">
        <is>
          <t>Default = Adj FCF TTM, fallback to FCF TTM.</t>
        </is>
      </c>
      <c r="O218" s="364" t="n"/>
      <c r="P218" s="22" t="inlineStr">
        <is>
          <t>Market EV ($m)</t>
        </is>
      </c>
      <c r="Q218" s="62" t="n"/>
      <c r="R218" s="22" t="n"/>
      <c r="S218" s="130" t="n"/>
      <c r="T218" s="22" t="n"/>
      <c r="U218" s="22" t="n"/>
      <c r="V218" s="22" t="n"/>
      <c r="W218" s="22" t="n"/>
      <c r="X218" s="22" t="n"/>
      <c r="Y218" s="22" t="n"/>
      <c r="Z218" s="22" t="n"/>
      <c r="AA218" s="22" t="n"/>
      <c r="AB218" s="22" t="n"/>
      <c r="AC218" s="22" t="n"/>
      <c r="AD218" s="22" t="n"/>
      <c r="AE218" s="22" t="n"/>
      <c r="AF218" s="22" t="n"/>
      <c r="AG218" s="22" t="n"/>
      <c r="AH218" s="22" t="n"/>
      <c r="AI218" s="22" t="n"/>
    </row>
    <row r="219" ht="19.5" customHeight="1">
      <c r="A219" s="22" t="n"/>
      <c r="B219" s="22" t="inlineStr">
        <is>
          <t>Target P/E (x)</t>
        </is>
      </c>
      <c r="C219" s="22" t="n"/>
      <c r="D219" s="481" t="n"/>
      <c r="E219" s="22" t="n"/>
      <c r="F219" s="22" t="n"/>
      <c r="G219" s="48" t="inlineStr">
        <is>
          <t>Growth (projection period)</t>
        </is>
      </c>
      <c r="J219" s="478" t="n"/>
      <c r="K219" s="368" t="inlineStr">
        <is>
          <t>Short-horizon growth assumption for years 1-5.</t>
        </is>
      </c>
      <c r="O219" s="364" t="n"/>
      <c r="P219" s="22" t="inlineStr">
        <is>
          <t>DCF EV ($m)</t>
        </is>
      </c>
      <c r="Q219" s="450">
        <f>IF(DCF_EV="","",DCF_EV)</f>
        <v/>
      </c>
      <c r="R219" s="22" t="n"/>
      <c r="S219" s="130" t="n"/>
      <c r="T219" s="22" t="n"/>
      <c r="U219" s="22" t="n"/>
      <c r="V219" s="22" t="n"/>
      <c r="W219" s="22" t="n"/>
      <c r="X219" s="22" t="n"/>
      <c r="Y219" s="22" t="n"/>
      <c r="Z219" s="22" t="n"/>
      <c r="AA219" s="22" t="n"/>
      <c r="AB219" s="22" t="n"/>
      <c r="AC219" s="22" t="n"/>
      <c r="AD219" s="22" t="n"/>
      <c r="AE219" s="22" t="n"/>
      <c r="AF219" s="22" t="n"/>
      <c r="AG219" s="22" t="n"/>
      <c r="AH219" s="22" t="n"/>
      <c r="AI219" s="22" t="n"/>
    </row>
    <row r="220" ht="19.5" customHeight="1">
      <c r="A220" s="22" t="n"/>
      <c r="B220" s="22" t="inlineStr">
        <is>
          <t>DCF horizon (years)</t>
        </is>
      </c>
      <c r="C220" s="22" t="n"/>
      <c r="D220" s="481" t="n"/>
      <c r="E220" s="22" t="n"/>
      <c r="F220" s="22" t="n"/>
      <c r="G220" s="48" t="inlineStr">
        <is>
          <t>Terminal growth</t>
        </is>
      </c>
      <c r="J220" s="478" t="n"/>
      <c r="K220" s="368" t="inlineStr">
        <is>
          <t>Perpetual growth assumption used in terminal value.</t>
        </is>
      </c>
      <c r="O220" s="364" t="n"/>
      <c r="P220" s="22" t="inlineStr">
        <is>
          <t>Current WACC (cell)</t>
        </is>
      </c>
      <c r="Q220" s="59">
        <f>IF(DCF_WACC="","",DCF_WACC)</f>
        <v/>
      </c>
      <c r="R220" s="22" t="n"/>
      <c r="S220" s="130" t="n"/>
      <c r="T220" s="22" t="n"/>
      <c r="U220" s="22" t="n"/>
      <c r="V220" s="22" t="n"/>
      <c r="W220" s="22" t="n"/>
      <c r="X220" s="22" t="n"/>
      <c r="Y220" s="22" t="n"/>
      <c r="Z220" s="22" t="n"/>
      <c r="AA220" s="22" t="n"/>
      <c r="AB220" s="22" t="n"/>
      <c r="AC220" s="22" t="n"/>
      <c r="AD220" s="22" t="n"/>
      <c r="AE220" s="22" t="n"/>
      <c r="AF220" s="22" t="n"/>
      <c r="AG220" s="22" t="n"/>
      <c r="AH220" s="22" t="n"/>
      <c r="AI220" s="22" t="n"/>
    </row>
    <row r="221" ht="19.5" customHeight="1">
      <c r="A221" s="22" t="n"/>
      <c r="B221" s="22" t="n"/>
      <c r="C221" s="22" t="n"/>
      <c r="D221" s="22" t="n"/>
      <c r="E221" s="22" t="n"/>
      <c r="F221" s="22" t="n"/>
      <c r="G221" s="48" t="inlineStr">
        <is>
          <t>WACC</t>
        </is>
      </c>
      <c r="J221" s="478" t="n"/>
      <c r="K221" s="368" t="inlineStr">
        <is>
          <t>Discount rate assumption; higher WACC lowers DCF value.</t>
        </is>
      </c>
      <c r="O221" s="364" t="n"/>
      <c r="P221" s="22" t="inlineStr">
        <is>
          <t>Current gT (cell)</t>
        </is>
      </c>
      <c r="Q221" s="59">
        <f>IF(DCF_TerminalGrowth="","",DCF_TerminalGrowth)</f>
        <v/>
      </c>
      <c r="R221" s="22" t="n"/>
      <c r="S221" s="130" t="n"/>
      <c r="T221" s="22" t="n"/>
      <c r="U221" s="22" t="n"/>
      <c r="V221" s="22" t="n"/>
      <c r="W221" s="22" t="n"/>
      <c r="X221" s="22" t="n"/>
      <c r="Y221" s="22" t="n"/>
      <c r="Z221" s="22" t="n"/>
      <c r="AA221" s="22" t="n"/>
      <c r="AB221" s="22" t="n"/>
      <c r="AC221" s="22" t="n"/>
      <c r="AD221" s="22" t="n"/>
      <c r="AE221" s="22" t="n"/>
      <c r="AF221" s="22" t="n"/>
      <c r="AG221" s="22" t="n"/>
      <c r="AH221" s="22" t="n"/>
      <c r="AI221" s="22" t="n"/>
    </row>
    <row r="222" ht="19.5" customHeight="1">
      <c r="A222" s="22" t="n"/>
      <c r="B222" s="22" t="n"/>
      <c r="C222" s="22" t="n"/>
      <c r="D222" s="22" t="n"/>
      <c r="E222" s="22" t="n"/>
      <c r="F222" s="22" t="n"/>
      <c r="G222" s="48" t="inlineStr">
        <is>
          <t>DCF EV ($m)</t>
        </is>
      </c>
      <c r="J222" s="450">
        <f>IF(OR(DCF_FCFF="",DCF_FCFF&lt;=0,DCF_Growth="",DCF_TerminalGrowth="",DCF_WACC="",DCF_Horizon="",DCF_Horizon&lt;1,DCF_WACC&lt;=DCF_Growth,DCF_WACC&lt;=DCF_TerminalGrowth),"",DCF_FCFF*(1+DCF_Growth)/(DCF_WACC-DCF_Growth)*(1-((1+DCF_Growth)/(1+DCF_WACC))^DCF_Horizon)+DCF_FCFF*(1+DCF_Growth)^DCF_Horizon*(1+DCF_TerminalGrowth)/(DCF_WACC-DCF_TerminalGrowth)/(1+DCF_WACC)^DCF_Horizon)</f>
        <v/>
      </c>
      <c r="K222" s="368" t="inlineStr">
        <is>
          <t>Enterprise value from 5-year growth + terminal value.</t>
        </is>
      </c>
      <c r="O222" s="364" t="n"/>
      <c r="P222" s="91" t="inlineStr">
        <is>
          <t>WACC</t>
        </is>
      </c>
      <c r="Q222" s="91" t="inlineStr">
        <is>
          <t>Implied terminal g</t>
        </is>
      </c>
      <c r="S222" s="141" t="inlineStr">
        <is>
          <t>Status</t>
        </is>
      </c>
      <c r="T222" s="142" t="inlineStr">
        <is>
          <t>Högre WACC = marknaden kräver mer betalt för risken =&gt; framtida cash flow värderas lägre idag.
gT (terminaltillväxt): antagen långsiktig FCF tillväxt (efter prognosperioden).
Market-implied gT (givet WACC) = vad priset kräver att du tror.
gT &lt; 0% =&gt; marknaden prisar krympning/erosion
gT ~1-3% =&gt; normal långsiktig nominell tillväxt
gT &gt;3-4% =&gt; marknaden kräver stark uthållig growth (eller WACC/FCF-antaganden är för snälla).</t>
        </is>
      </c>
      <c r="AA222" s="22" t="n"/>
      <c r="AB222" s="22" t="n"/>
      <c r="AC222" s="22" t="n"/>
      <c r="AD222" s="22" t="n"/>
      <c r="AE222" s="22" t="n"/>
      <c r="AF222" s="22" t="n"/>
      <c r="AG222" s="22" t="n"/>
      <c r="AH222" s="22" t="n"/>
      <c r="AI222" s="22" t="n"/>
    </row>
    <row r="223" ht="19.5" customHeight="1">
      <c r="A223" s="22" t="n"/>
      <c r="B223" s="22" t="n"/>
      <c r="C223" s="22" t="n"/>
      <c r="D223" s="22" t="n"/>
      <c r="E223" s="22" t="n"/>
      <c r="F223" s="22" t="n"/>
      <c r="G223" s="48" t="inlineStr">
        <is>
          <t>DCF Equity value/share</t>
        </is>
      </c>
      <c r="J223" s="482">
        <f>IF(OR(DCF_EV="",NetDebt="",IF(PerShareMode="Outstanding",Shares,IF(PerShareMode="Diluted",SharesDiluted,""))="",IF(PerShareMode="Outstanding",Shares,IF(PerShareMode="Diluted",SharesDiluted,""))&lt;=0),"",(DCF_EV-NetDebt)/IF(PerShareMode="Outstanding",Shares,IF(PerShareMode="Diluted",SharesDiluted,"")))</f>
        <v/>
      </c>
      <c r="K223" s="368" t="inlineStr">
        <is>
          <t>DCF EV less net debt, divided by selected share denominator.</t>
        </is>
      </c>
      <c r="O223" s="364" t="n"/>
      <c r="P223" s="59" t="n"/>
      <c r="Q223" s="59" t="n"/>
      <c r="R223" s="22" t="n"/>
      <c r="S223" s="143" t="inlineStr"/>
      <c r="AA223" s="22" t="n"/>
      <c r="AB223" s="22" t="n"/>
      <c r="AC223" s="22" t="n"/>
      <c r="AD223" s="22" t="n"/>
      <c r="AE223" s="22" t="n"/>
      <c r="AF223" s="22" t="n"/>
      <c r="AG223" s="22" t="n"/>
      <c r="AH223" s="22" t="n"/>
      <c r="AI223" s="22" t="n"/>
    </row>
    <row r="224" ht="19.5" customHeight="1">
      <c r="A224" s="22" t="n"/>
      <c r="B224" s="22" t="n"/>
      <c r="C224" s="22" t="n"/>
      <c r="D224" s="22" t="n"/>
      <c r="E224" s="22" t="n"/>
      <c r="F224" s="22" t="n"/>
      <c r="G224" s="22" t="n"/>
      <c r="H224" s="22" t="n"/>
      <c r="I224" s="22" t="n"/>
      <c r="J224" s="22" t="n"/>
      <c r="K224" s="22" t="n"/>
      <c r="L224" s="22" t="n"/>
      <c r="M224" s="22" t="n"/>
      <c r="N224" s="22" t="n"/>
      <c r="O224" s="130" t="n"/>
      <c r="P224" s="59" t="n"/>
      <c r="Q224" s="59" t="n"/>
      <c r="R224" s="22" t="n"/>
      <c r="S224" s="143" t="inlineStr"/>
      <c r="AA224" s="22" t="n"/>
      <c r="AB224" s="22" t="n"/>
      <c r="AC224" s="22" t="n"/>
      <c r="AD224" s="22" t="n"/>
      <c r="AE224" s="22" t="n"/>
      <c r="AF224" s="22" t="n"/>
      <c r="AG224" s="22" t="n"/>
      <c r="AH224" s="22" t="n"/>
      <c r="AI224" s="22" t="n"/>
    </row>
    <row r="225" ht="19.5" customHeight="1">
      <c r="A225" s="22" t="n"/>
      <c r="B225" s="22" t="n"/>
      <c r="C225" s="22" t="n"/>
      <c r="D225" s="22" t="n"/>
      <c r="E225" s="22" t="n"/>
      <c r="F225" s="22" t="n"/>
      <c r="G225" s="140" t="inlineStr">
        <is>
          <t>DCF sensitivity ($/share)</t>
        </is>
      </c>
      <c r="M225" s="22" t="n"/>
      <c r="N225" s="22" t="n"/>
      <c r="O225" s="130" t="n"/>
      <c r="P225" s="59" t="n"/>
      <c r="Q225" s="59" t="n"/>
      <c r="R225" s="22" t="n"/>
      <c r="S225" s="143" t="inlineStr"/>
      <c r="AA225" s="22" t="n"/>
      <c r="AB225" s="22" t="n"/>
      <c r="AC225" s="22" t="n"/>
      <c r="AD225" s="22" t="n"/>
      <c r="AE225" s="22" t="n"/>
      <c r="AF225" s="22" t="n"/>
      <c r="AG225" s="22" t="n"/>
      <c r="AH225" s="22" t="n"/>
      <c r="AI225" s="22" t="n"/>
    </row>
    <row r="226" ht="19.5" customHeight="1">
      <c r="A226" s="22" t="n"/>
      <c r="B226" s="22" t="n"/>
      <c r="C226" s="22" t="n"/>
      <c r="D226" s="22" t="n"/>
      <c r="E226" s="22" t="n"/>
      <c r="F226" s="22" t="n"/>
      <c r="G226" s="32" t="inlineStr">
        <is>
          <t>WACC / terminal growth</t>
        </is>
      </c>
      <c r="H226" s="483" t="n"/>
      <c r="I226" s="484" t="n"/>
      <c r="J226" s="484" t="n"/>
      <c r="K226" s="484" t="n"/>
      <c r="L226" s="483" t="n"/>
      <c r="M226" s="22" t="n"/>
      <c r="N226" s="22" t="n"/>
      <c r="O226" s="130" t="n"/>
      <c r="P226" s="59" t="n"/>
      <c r="Q226" s="59" t="n"/>
      <c r="R226" s="22" t="n"/>
      <c r="S226" s="143" t="inlineStr"/>
      <c r="AA226" s="22" t="n"/>
      <c r="AB226" s="22" t="n"/>
      <c r="AC226" s="22" t="n"/>
      <c r="AD226" s="22" t="n"/>
      <c r="AE226" s="22" t="n"/>
      <c r="AF226" s="22" t="n"/>
      <c r="AG226" s="22" t="n"/>
      <c r="AH226" s="22" t="n"/>
      <c r="AI226" s="22" t="n"/>
    </row>
    <row r="227" ht="19.5" customHeight="1">
      <c r="A227" s="22" t="n"/>
      <c r="B227" s="22" t="n"/>
      <c r="C227" s="22" t="n"/>
      <c r="D227" s="22" t="n"/>
      <c r="E227" s="22" t="n"/>
      <c r="F227" s="22" t="n"/>
      <c r="G227" s="483" t="n"/>
      <c r="H227" s="485">
        <f>IF(OR(DCF_FCFF="",DCF_FCFF&lt;=0,DCF_Growth="",DCF_Horizon="",DCF_Horizon&lt;1,$G$227="",$H$226="",$G$227&lt;=DCF_Growth,$G$227&lt;=$H$226,NetDebt="",IF(PerShareMode="Outstanding",Shares,IF(PerShareMode="Diluted",SharesDiluted,""))="",IF(PerShareMode="Outstanding",Shares,IF(PerShareMode="Diluted",SharesDiluted,""))&lt;=0),"",(DCF_FCFF*(1+DCF_Growth)/($G$227-DCF_Growth)*(1-((1+DCF_Growth)/(1+$G$227))^DCF_Horizon)+DCF_FCFF*(1+DCF_Growth)^DCF_Horizon*(1+$H$226)/($G$227-$H$226)/(1+$G$227)^DCF_Horizon-NetDebt)/IF(PerShareMode="Outstanding",Shares,IF(PerShareMode="Diluted",SharesDiluted,"")))</f>
        <v/>
      </c>
      <c r="I227" s="485">
        <f>IF(OR(DCF_FCFF="",DCF_FCFF&lt;=0,DCF_Growth="",DCF_Horizon="",DCF_Horizon&lt;1,$G$227="",$I$226="",$G$227&lt;=DCF_Growth,$G$227&lt;=$I$226,NetDebt="",IF(PerShareMode="Outstanding",Shares,IF(PerShareMode="Diluted",SharesDiluted,""))="",IF(PerShareMode="Outstanding",Shares,IF(PerShareMode="Diluted",SharesDiluted,""))&lt;=0),"",(DCF_FCFF*(1+DCF_Growth)/($G$227-DCF_Growth)*(1-((1+DCF_Growth)/(1+$G$227))^DCF_Horizon)+DCF_FCFF*(1+DCF_Growth)^DCF_Horizon*(1+$I$226)/($G$227-$I$226)/(1+$G$227)^DCF_Horizon-NetDebt)/IF(PerShareMode="Outstanding",Shares,IF(PerShareMode="Diluted",SharesDiluted,"")))</f>
        <v/>
      </c>
      <c r="J227" s="485">
        <f>IF(OR(DCF_FCFF="",DCF_FCFF&lt;=0,DCF_Growth="",DCF_Horizon="",DCF_Horizon&lt;1,$G$227="",$J$226="",$G$227&lt;=DCF_Growth,$G$227&lt;=$J$226,NetDebt="",IF(PerShareMode="Outstanding",Shares,IF(PerShareMode="Diluted",SharesDiluted,""))="",IF(PerShareMode="Outstanding",Shares,IF(PerShareMode="Diluted",SharesDiluted,""))&lt;=0),"",(DCF_FCFF*(1+DCF_Growth)/($G$227-DCF_Growth)*(1-((1+DCF_Growth)/(1+$G$227))^DCF_Horizon)+DCF_FCFF*(1+DCF_Growth)^DCF_Horizon*(1+$J$226)/($G$227-$J$226)/(1+$G$227)^DCF_Horizon-NetDebt)/IF(PerShareMode="Outstanding",Shares,IF(PerShareMode="Diluted",SharesDiluted,"")))</f>
        <v/>
      </c>
      <c r="K227" s="485">
        <f>IF(OR(DCF_FCFF="",DCF_FCFF&lt;=0,DCF_Growth="",DCF_Horizon="",DCF_Horizon&lt;1,$G$227="",$K$226="",$G$227&lt;=DCF_Growth,$G$227&lt;=$K$226,NetDebt="",IF(PerShareMode="Outstanding",Shares,IF(PerShareMode="Diluted",SharesDiluted,""))="",IF(PerShareMode="Outstanding",Shares,IF(PerShareMode="Diluted",SharesDiluted,""))&lt;=0),"",(DCF_FCFF*(1+DCF_Growth)/($G$227-DCF_Growth)*(1-((1+DCF_Growth)/(1+$G$227))^DCF_Horizon)+DCF_FCFF*(1+DCF_Growth)^DCF_Horizon*(1+$K$226)/($G$227-$K$226)/(1+$G$227)^DCF_Horizon-NetDebt)/IF(PerShareMode="Outstanding",Shares,IF(PerShareMode="Diluted",SharesDiluted,"")))</f>
        <v/>
      </c>
      <c r="L227" s="485">
        <f>IF(OR(DCF_FCFF="",DCF_FCFF&lt;=0,DCF_Growth="",DCF_Horizon="",DCF_Horizon&lt;1,$G$227="",$L$226="",$G$227&lt;=DCF_Growth,$G$227&lt;=$L$226,NetDebt="",IF(PerShareMode="Outstanding",Shares,IF(PerShareMode="Diluted",SharesDiluted,""))="",IF(PerShareMode="Outstanding",Shares,IF(PerShareMode="Diluted",SharesDiluted,""))&lt;=0),"",(DCF_FCFF*(1+DCF_Growth)/($G$227-DCF_Growth)*(1-((1+DCF_Growth)/(1+$G$227))^DCF_Horizon)+DCF_FCFF*(1+DCF_Growth)^DCF_Horizon*(1+$L$226)/($G$227-$L$226)/(1+$G$227)^DCF_Horizon-NetDebt)/IF(PerShareMode="Outstanding",Shares,IF(PerShareMode="Diluted",SharesDiluted,"")))</f>
        <v/>
      </c>
      <c r="M227" s="22" t="n"/>
      <c r="N227" s="22" t="n"/>
      <c r="O227" s="130" t="n"/>
      <c r="P227" s="59" t="n"/>
      <c r="Q227" s="59" t="n"/>
      <c r="R227" s="22" t="n"/>
      <c r="S227" s="143" t="inlineStr"/>
      <c r="AA227" s="22" t="n"/>
      <c r="AB227" s="22" t="n"/>
      <c r="AC227" s="22" t="n"/>
      <c r="AD227" s="22" t="n"/>
      <c r="AE227" s="22" t="n"/>
      <c r="AF227" s="22" t="n"/>
      <c r="AG227" s="22" t="n"/>
      <c r="AH227" s="22" t="n"/>
      <c r="AI227" s="22" t="n"/>
    </row>
    <row r="228" ht="19.5" customHeight="1">
      <c r="A228" s="22" t="n"/>
      <c r="B228" s="22" t="n"/>
      <c r="C228" s="22" t="n"/>
      <c r="D228" s="22" t="n"/>
      <c r="E228" s="22" t="n"/>
      <c r="F228" s="22" t="n"/>
      <c r="G228" s="484" t="n"/>
      <c r="H228" s="485">
        <f>IF(OR(DCF_FCFF="",DCF_FCFF&lt;=0,DCF_Growth="",DCF_Horizon="",DCF_Horizon&lt;1,$G$228="",$H$226="",$G$228&lt;=DCF_Growth,$G$228&lt;=$H$226,NetDebt="",IF(PerShareMode="Outstanding",Shares,IF(PerShareMode="Diluted",SharesDiluted,""))="",IF(PerShareMode="Outstanding",Shares,IF(PerShareMode="Diluted",SharesDiluted,""))&lt;=0),"",(DCF_FCFF*(1+DCF_Growth)/($G$228-DCF_Growth)*(1-((1+DCF_Growth)/(1+$G$228))^DCF_Horizon)+DCF_FCFF*(1+DCF_Growth)^DCF_Horizon*(1+$H$226)/($G$228-$H$226)/(1+$G$228)^DCF_Horizon-NetDebt)/IF(PerShareMode="Outstanding",Shares,IF(PerShareMode="Diluted",SharesDiluted,"")))</f>
        <v/>
      </c>
      <c r="I228" s="486">
        <f>IF(OR(DCF_FCFF="",DCF_FCFF&lt;=0,DCF_Growth="",DCF_Horizon="",DCF_Horizon&lt;1,$G$228="",$I$226="",$G$228&lt;=DCF_Growth,$G$228&lt;=$I$226,NetDebt="",IF(PerShareMode="Outstanding",Shares,IF(PerShareMode="Diluted",SharesDiluted,""))="",IF(PerShareMode="Outstanding",Shares,IF(PerShareMode="Diluted",SharesDiluted,""))&lt;=0),"",(DCF_FCFF*(1+DCF_Growth)/($G$228-DCF_Growth)*(1-((1+DCF_Growth)/(1+$G$228))^DCF_Horizon)+DCF_FCFF*(1+DCF_Growth)^DCF_Horizon*(1+$I$226)/($G$228-$I$226)/(1+$G$228)^DCF_Horizon-NetDebt)/IF(PerShareMode="Outstanding",Shares,IF(PerShareMode="Diluted",SharesDiluted,"")))</f>
        <v/>
      </c>
      <c r="J228" s="487">
        <f>IF(OR(DCF_FCFF="",DCF_FCFF&lt;=0,DCF_Growth="",DCF_Horizon="",DCF_Horizon&lt;1,$G$228="",$J$226="",$G$228&lt;=DCF_Growth,$G$228&lt;=$J$226,NetDebt="",IF(PerShareMode="Outstanding",Shares,IF(PerShareMode="Diluted",SharesDiluted,""))="",IF(PerShareMode="Outstanding",Shares,IF(PerShareMode="Diluted",SharesDiluted,""))&lt;=0),"",(DCF_FCFF*(1+DCF_Growth)/($G$228-DCF_Growth)*(1-((1+DCF_Growth)/(1+$G$228))^DCF_Horizon)+DCF_FCFF*(1+DCF_Growth)^DCF_Horizon*(1+$J$226)/($G$228-$J$226)/(1+$G$228)^DCF_Horizon-NetDebt)/IF(PerShareMode="Outstanding",Shares,IF(PerShareMode="Diluted",SharesDiluted,"")))</f>
        <v/>
      </c>
      <c r="K228" s="488">
        <f>IF(OR(DCF_FCFF="",DCF_FCFF&lt;=0,DCF_Growth="",DCF_Horizon="",DCF_Horizon&lt;1,$G$228="",$K$226="",$G$228&lt;=DCF_Growth,$G$228&lt;=$K$226,NetDebt="",IF(PerShareMode="Outstanding",Shares,IF(PerShareMode="Diluted",SharesDiluted,""))="",IF(PerShareMode="Outstanding",Shares,IF(PerShareMode="Diluted",SharesDiluted,""))&lt;=0),"",(DCF_FCFF*(1+DCF_Growth)/($G$228-DCF_Growth)*(1-((1+DCF_Growth)/(1+$G$228))^DCF_Horizon)+DCF_FCFF*(1+DCF_Growth)^DCF_Horizon*(1+$K$226)/($G$228-$K$226)/(1+$G$228)^DCF_Horizon-NetDebt)/IF(PerShareMode="Outstanding",Shares,IF(PerShareMode="Diluted",SharesDiluted,"")))</f>
        <v/>
      </c>
      <c r="L228" s="485">
        <f>IF(OR(DCF_FCFF="",DCF_FCFF&lt;=0,DCF_Growth="",DCF_Horizon="",DCF_Horizon&lt;1,$G$228="",$L$226="",$G$228&lt;=DCF_Growth,$G$228&lt;=$L$226,NetDebt="",IF(PerShareMode="Outstanding",Shares,IF(PerShareMode="Diluted",SharesDiluted,""))="",IF(PerShareMode="Outstanding",Shares,IF(PerShareMode="Diluted",SharesDiluted,""))&lt;=0),"",(DCF_FCFF*(1+DCF_Growth)/($G$228-DCF_Growth)*(1-((1+DCF_Growth)/(1+$G$228))^DCF_Horizon)+DCF_FCFF*(1+DCF_Growth)^DCF_Horizon*(1+$L$226)/($G$228-$L$226)/(1+$G$228)^DCF_Horizon-NetDebt)/IF(PerShareMode="Outstanding",Shares,IF(PerShareMode="Diluted",SharesDiluted,"")))</f>
        <v/>
      </c>
      <c r="M228" s="22" t="n"/>
      <c r="N228" s="22" t="n"/>
      <c r="O228" s="130" t="n"/>
      <c r="P228" s="59" t="n"/>
      <c r="Q228" s="59" t="n"/>
      <c r="R228" s="22" t="n"/>
      <c r="S228" s="143" t="inlineStr"/>
      <c r="AA228" s="22" t="n"/>
      <c r="AB228" s="22" t="n"/>
      <c r="AC228" s="22" t="n"/>
      <c r="AD228" s="22" t="n"/>
      <c r="AE228" s="22" t="n"/>
      <c r="AF228" s="22" t="n"/>
      <c r="AG228" s="22" t="n"/>
      <c r="AH228" s="22" t="n"/>
      <c r="AI228" s="22" t="n"/>
    </row>
    <row r="229" ht="19.5" customHeight="1">
      <c r="A229" s="22" t="n"/>
      <c r="B229" s="22" t="n"/>
      <c r="C229" s="22" t="n"/>
      <c r="D229" s="22" t="n"/>
      <c r="E229" s="22" t="n"/>
      <c r="F229" s="22" t="n"/>
      <c r="G229" s="484" t="n"/>
      <c r="H229" s="485">
        <f>IF(OR(DCF_FCFF="",DCF_FCFF&lt;=0,DCF_Growth="",DCF_Horizon="",DCF_Horizon&lt;1,$G$229="",$H$226="",$G$229&lt;=DCF_Growth,$G$229&lt;=$H$226,NetDebt="",IF(PerShareMode="Outstanding",Shares,IF(PerShareMode="Diluted",SharesDiluted,""))="",IF(PerShareMode="Outstanding",Shares,IF(PerShareMode="Diluted",SharesDiluted,""))&lt;=0),"",(DCF_FCFF*(1+DCF_Growth)/($G$229-DCF_Growth)*(1-((1+DCF_Growth)/(1+$G$229))^DCF_Horizon)+DCF_FCFF*(1+DCF_Growth)^DCF_Horizon*(1+$H$226)/($G$229-$H$226)/(1+$G$229)^DCF_Horizon-NetDebt)/IF(PerShareMode="Outstanding",Shares,IF(PerShareMode="Diluted",SharesDiluted,"")))</f>
        <v/>
      </c>
      <c r="I229" s="489">
        <f>IF(OR(DCF_FCFF="",DCF_FCFF&lt;=0,DCF_Growth="",DCF_Horizon="",DCF_Horizon&lt;1,$G$229="",$I$226="",$G$229&lt;=DCF_Growth,$G$229&lt;=$I$226,NetDebt="",IF(PerShareMode="Outstanding",Shares,IF(PerShareMode="Diluted",SharesDiluted,""))="",IF(PerShareMode="Outstanding",Shares,IF(PerShareMode="Diluted",SharesDiluted,""))&lt;=0),"",(DCF_FCFF*(1+DCF_Growth)/($G$229-DCF_Growth)*(1-((1+DCF_Growth)/(1+$G$229))^DCF_Horizon)+DCF_FCFF*(1+DCF_Growth)^DCF_Horizon*(1+$I$226)/($G$229-$I$226)/(1+$G$229)^DCF_Horizon-NetDebt)/IF(PerShareMode="Outstanding",Shares,IF(PerShareMode="Diluted",SharesDiluted,"")))</f>
        <v/>
      </c>
      <c r="J229" s="490">
        <f>IF(OR(DCF_FCFF="",DCF_FCFF&lt;=0,DCF_Growth="",DCF_Horizon="",DCF_Horizon&lt;1,$G$229="",$J$226="",$G$229&lt;=DCF_Growth,$G$229&lt;=$J$226,NetDebt="",IF(PerShareMode="Outstanding",Shares,IF(PerShareMode="Diluted",SharesDiluted,""))="",IF(PerShareMode="Outstanding",Shares,IF(PerShareMode="Diluted",SharesDiluted,""))&lt;=0),"",(DCF_FCFF*(1+DCF_Growth)/($G$229-DCF_Growth)*(1-((1+DCF_Growth)/(1+$G$229))^DCF_Horizon)+DCF_FCFF*(1+DCF_Growth)^DCF_Horizon*(1+$J$226)/($G$229-$J$226)/(1+$G$229)^DCF_Horizon-NetDebt)/IF(PerShareMode="Outstanding",Shares,IF(PerShareMode="Diluted",SharesDiluted,"")))</f>
        <v/>
      </c>
      <c r="K229" s="491">
        <f>IF(OR(DCF_FCFF="",DCF_FCFF&lt;=0,DCF_Growth="",DCF_Horizon="",DCF_Horizon&lt;1,$G$229="",$K$226="",$G$229&lt;=DCF_Growth,$G$229&lt;=$K$226,NetDebt="",IF(PerShareMode="Outstanding",Shares,IF(PerShareMode="Diluted",SharesDiluted,""))="",IF(PerShareMode="Outstanding",Shares,IF(PerShareMode="Diluted",SharesDiluted,""))&lt;=0),"",(DCF_FCFF*(1+DCF_Growth)/($G$229-DCF_Growth)*(1-((1+DCF_Growth)/(1+$G$229))^DCF_Horizon)+DCF_FCFF*(1+DCF_Growth)^DCF_Horizon*(1+$K$226)/($G$229-$K$226)/(1+$G$229)^DCF_Horizon-NetDebt)/IF(PerShareMode="Outstanding",Shares,IF(PerShareMode="Diluted",SharesDiluted,"")))</f>
        <v/>
      </c>
      <c r="L229" s="485">
        <f>IF(OR(DCF_FCFF="",DCF_FCFF&lt;=0,DCF_Growth="",DCF_Horizon="",DCF_Horizon&lt;1,$G$229="",$L$226="",$G$229&lt;=DCF_Growth,$G$229&lt;=$L$226,NetDebt="",IF(PerShareMode="Outstanding",Shares,IF(PerShareMode="Diluted",SharesDiluted,""))="",IF(PerShareMode="Outstanding",Shares,IF(PerShareMode="Diluted",SharesDiluted,""))&lt;=0),"",(DCF_FCFF*(1+DCF_Growth)/($G$229-DCF_Growth)*(1-((1+DCF_Growth)/(1+$G$229))^DCF_Horizon)+DCF_FCFF*(1+DCF_Growth)^DCF_Horizon*(1+$L$226)/($G$229-$L$226)/(1+$G$229)^DCF_Horizon-NetDebt)/IF(PerShareMode="Outstanding",Shares,IF(PerShareMode="Diluted",SharesDiluted,"")))</f>
        <v/>
      </c>
      <c r="M229" s="22" t="n"/>
      <c r="N229" s="22" t="n"/>
      <c r="O229" s="130" t="n"/>
      <c r="P229" s="59" t="n"/>
      <c r="Q229" s="59" t="n"/>
      <c r="R229" s="22" t="n"/>
      <c r="S229" s="143" t="inlineStr"/>
      <c r="AA229" s="22" t="n"/>
      <c r="AB229" s="22" t="n"/>
      <c r="AC229" s="22" t="n"/>
      <c r="AD229" s="22" t="n"/>
      <c r="AE229" s="22" t="n"/>
      <c r="AF229" s="22" t="n"/>
      <c r="AG229" s="22" t="n"/>
      <c r="AH229" s="22" t="n"/>
      <c r="AI229" s="22" t="n"/>
    </row>
    <row r="230" ht="19.5" customHeight="1">
      <c r="A230" s="22" t="n"/>
      <c r="B230" s="22" t="n"/>
      <c r="C230" s="22" t="n"/>
      <c r="D230" s="22" t="n"/>
      <c r="E230" s="22" t="n"/>
      <c r="F230" s="22" t="n"/>
      <c r="G230" s="484" t="n"/>
      <c r="H230" s="485">
        <f>IF(OR(DCF_FCFF="",DCF_FCFF&lt;=0,DCF_Growth="",DCF_Horizon="",DCF_Horizon&lt;1,$G$230="",$H$226="",$G$230&lt;=DCF_Growth,$G$230&lt;=$H$226,NetDebt="",IF(PerShareMode="Outstanding",Shares,IF(PerShareMode="Diluted",SharesDiluted,""))="",IF(PerShareMode="Outstanding",Shares,IF(PerShareMode="Diluted",SharesDiluted,""))&lt;=0),"",(DCF_FCFF*(1+DCF_Growth)/($G$230-DCF_Growth)*(1-((1+DCF_Growth)/(1+$G$230))^DCF_Horizon)+DCF_FCFF*(1+DCF_Growth)^DCF_Horizon*(1+$H$226)/($G$230-$H$226)/(1+$G$230)^DCF_Horizon-NetDebt)/IF(PerShareMode="Outstanding",Shares,IF(PerShareMode="Diluted",SharesDiluted,"")))</f>
        <v/>
      </c>
      <c r="I230" s="489">
        <f>IF(OR(DCF_FCFF="",DCF_FCFF&lt;=0,DCF_Growth="",DCF_Horizon="",DCF_Horizon&lt;1,$G$230="",$I$226="",$G$230&lt;=DCF_Growth,$G$230&lt;=$I$226,NetDebt="",IF(PerShareMode="Outstanding",Shares,IF(PerShareMode="Diluted",SharesDiluted,""))="",IF(PerShareMode="Outstanding",Shares,IF(PerShareMode="Diluted",SharesDiluted,""))&lt;=0),"",(DCF_FCFF*(1+DCF_Growth)/($G$230-DCF_Growth)*(1-((1+DCF_Growth)/(1+$G$230))^DCF_Horizon)+DCF_FCFF*(1+DCF_Growth)^DCF_Horizon*(1+$I$226)/($G$230-$I$226)/(1+$G$230)^DCF_Horizon-NetDebt)/IF(PerShareMode="Outstanding",Shares,IF(PerShareMode="Diluted",SharesDiluted,"")))</f>
        <v/>
      </c>
      <c r="J230" s="490">
        <f>IF(OR(DCF_FCFF="",DCF_FCFF&lt;=0,DCF_Growth="",DCF_Horizon="",DCF_Horizon&lt;1,$G$230="",$J$226="",$G$230&lt;=DCF_Growth,$G$230&lt;=$J$226,NetDebt="",IF(PerShareMode="Outstanding",Shares,IF(PerShareMode="Diluted",SharesDiluted,""))="",IF(PerShareMode="Outstanding",Shares,IF(PerShareMode="Diluted",SharesDiluted,""))&lt;=0),"",(DCF_FCFF*(1+DCF_Growth)/($G$230-DCF_Growth)*(1-((1+DCF_Growth)/(1+$G$230))^DCF_Horizon)+DCF_FCFF*(1+DCF_Growth)^DCF_Horizon*(1+$J$226)/($G$230-$J$226)/(1+$G$230)^DCF_Horizon-NetDebt)/IF(PerShareMode="Outstanding",Shares,IF(PerShareMode="Diluted",SharesDiluted,"")))</f>
        <v/>
      </c>
      <c r="K230" s="491">
        <f>IF(OR(DCF_FCFF="",DCF_FCFF&lt;=0,DCF_Growth="",DCF_Horizon="",DCF_Horizon&lt;1,$G$230="",$K$226="",$G$230&lt;=DCF_Growth,$G$230&lt;=$K$226,NetDebt="",IF(PerShareMode="Outstanding",Shares,IF(PerShareMode="Diluted",SharesDiluted,""))="",IF(PerShareMode="Outstanding",Shares,IF(PerShareMode="Diluted",SharesDiluted,""))&lt;=0),"",(DCF_FCFF*(1+DCF_Growth)/($G$230-DCF_Growth)*(1-((1+DCF_Growth)/(1+$G$230))^DCF_Horizon)+DCF_FCFF*(1+DCF_Growth)^DCF_Horizon*(1+$K$226)/($G$230-$K$226)/(1+$G$230)^DCF_Horizon-NetDebt)/IF(PerShareMode="Outstanding",Shares,IF(PerShareMode="Diluted",SharesDiluted,"")))</f>
        <v/>
      </c>
      <c r="L230" s="485">
        <f>IF(OR(DCF_FCFF="",DCF_FCFF&lt;=0,DCF_Growth="",DCF_Horizon="",DCF_Horizon&lt;1,$G$230="",$L$226="",$G$230&lt;=DCF_Growth,$G$230&lt;=$L$226,NetDebt="",IF(PerShareMode="Outstanding",Shares,IF(PerShareMode="Diluted",SharesDiluted,""))="",IF(PerShareMode="Outstanding",Shares,IF(PerShareMode="Diluted",SharesDiluted,""))&lt;=0),"",(DCF_FCFF*(1+DCF_Growth)/($G$230-DCF_Growth)*(1-((1+DCF_Growth)/(1+$G$230))^DCF_Horizon)+DCF_FCFF*(1+DCF_Growth)^DCF_Horizon*(1+$L$226)/($G$230-$L$226)/(1+$G$230)^DCF_Horizon-NetDebt)/IF(PerShareMode="Outstanding",Shares,IF(PerShareMode="Diluted",SharesDiluted,"")))</f>
        <v/>
      </c>
      <c r="M230" s="22" t="n"/>
      <c r="N230" s="22" t="n"/>
      <c r="O230" s="130" t="n"/>
      <c r="P230" s="59" t="n"/>
      <c r="Q230" s="59" t="n"/>
      <c r="R230" s="22" t="n"/>
      <c r="S230" s="143" t="inlineStr"/>
      <c r="AA230" s="22" t="n"/>
      <c r="AB230" s="22" t="n"/>
      <c r="AC230" s="22" t="n"/>
      <c r="AD230" s="22" t="n"/>
      <c r="AE230" s="22" t="n"/>
      <c r="AF230" s="22" t="n"/>
      <c r="AG230" s="22" t="n"/>
      <c r="AH230" s="22" t="n"/>
      <c r="AI230" s="22" t="n"/>
    </row>
    <row r="231" ht="19.5" customHeight="1">
      <c r="A231" s="22" t="n"/>
      <c r="B231" s="22" t="n"/>
      <c r="C231" s="22" t="n"/>
      <c r="D231" s="22" t="n"/>
      <c r="E231" s="22" t="n"/>
      <c r="F231" s="22" t="n"/>
      <c r="G231" s="484" t="n"/>
      <c r="H231" s="485">
        <f>IF(OR(DCF_FCFF="",DCF_FCFF&lt;=0,DCF_Growth="",DCF_Horizon="",DCF_Horizon&lt;1,$G$231="",$H$226="",$G$231&lt;=DCF_Growth,$G$231&lt;=$H$226,NetDebt="",IF(PerShareMode="Outstanding",Shares,IF(PerShareMode="Diluted",SharesDiluted,""))="",IF(PerShareMode="Outstanding",Shares,IF(PerShareMode="Diluted",SharesDiluted,""))&lt;=0),"",(DCF_FCFF*(1+DCF_Growth)/($G$231-DCF_Growth)*(1-((1+DCF_Growth)/(1+$G$231))^DCF_Horizon)+DCF_FCFF*(1+DCF_Growth)^DCF_Horizon*(1+$H$226)/($G$231-$H$226)/(1+$G$231)^DCF_Horizon-NetDebt)/IF(PerShareMode="Outstanding",Shares,IF(PerShareMode="Diluted",SharesDiluted,"")))</f>
        <v/>
      </c>
      <c r="I231" s="489">
        <f>IF(OR(DCF_FCFF="",DCF_FCFF&lt;=0,DCF_Growth="",DCF_Horizon="",DCF_Horizon&lt;1,$G$231="",$I$226="",$G$231&lt;=DCF_Growth,$G$231&lt;=$I$226,NetDebt="",IF(PerShareMode="Outstanding",Shares,IF(PerShareMode="Diluted",SharesDiluted,""))="",IF(PerShareMode="Outstanding",Shares,IF(PerShareMode="Diluted",SharesDiluted,""))&lt;=0),"",(DCF_FCFF*(1+DCF_Growth)/($G$231-DCF_Growth)*(1-((1+DCF_Growth)/(1+$G$231))^DCF_Horizon)+DCF_FCFF*(1+DCF_Growth)^DCF_Horizon*(1+$I$226)/($G$231-$I$226)/(1+$G$231)^DCF_Horizon-NetDebt)/IF(PerShareMode="Outstanding",Shares,IF(PerShareMode="Diluted",SharesDiluted,"")))</f>
        <v/>
      </c>
      <c r="J231" s="490">
        <f>IF(OR(DCF_FCFF="",DCF_FCFF&lt;=0,DCF_Growth="",DCF_Horizon="",DCF_Horizon&lt;1,$G$231="",$J$226="",$G$231&lt;=DCF_Growth,$G$231&lt;=$J$226,NetDebt="",IF(PerShareMode="Outstanding",Shares,IF(PerShareMode="Diluted",SharesDiluted,""))="",IF(PerShareMode="Outstanding",Shares,IF(PerShareMode="Diluted",SharesDiluted,""))&lt;=0),"",(DCF_FCFF*(1+DCF_Growth)/($G$231-DCF_Growth)*(1-((1+DCF_Growth)/(1+$G$231))^DCF_Horizon)+DCF_FCFF*(1+DCF_Growth)^DCF_Horizon*(1+$J$226)/($G$231-$J$226)/(1+$G$231)^DCF_Horizon-NetDebt)/IF(PerShareMode="Outstanding",Shares,IF(PerShareMode="Diluted",SharesDiluted,"")))</f>
        <v/>
      </c>
      <c r="K231" s="491">
        <f>IF(OR(DCF_FCFF="",DCF_FCFF&lt;=0,DCF_Growth="",DCF_Horizon="",DCF_Horizon&lt;1,$G$231="",$K$226="",$G$231&lt;=DCF_Growth,$G$231&lt;=$K$226,NetDebt="",IF(PerShareMode="Outstanding",Shares,IF(PerShareMode="Diluted",SharesDiluted,""))="",IF(PerShareMode="Outstanding",Shares,IF(PerShareMode="Diluted",SharesDiluted,""))&lt;=0),"",(DCF_FCFF*(1+DCF_Growth)/($G$231-DCF_Growth)*(1-((1+DCF_Growth)/(1+$G$231))^DCF_Horizon)+DCF_FCFF*(1+DCF_Growth)^DCF_Horizon*(1+$K$226)/($G$231-$K$226)/(1+$G$231)^DCF_Horizon-NetDebt)/IF(PerShareMode="Outstanding",Shares,IF(PerShareMode="Diluted",SharesDiluted,"")))</f>
        <v/>
      </c>
      <c r="L231" s="485">
        <f>IF(OR(DCF_FCFF="",DCF_FCFF&lt;=0,DCF_Growth="",DCF_Horizon="",DCF_Horizon&lt;1,$G$231="",$L$226="",$G$231&lt;=DCF_Growth,$G$231&lt;=$L$226,NetDebt="",IF(PerShareMode="Outstanding",Shares,IF(PerShareMode="Diluted",SharesDiluted,""))="",IF(PerShareMode="Outstanding",Shares,IF(PerShareMode="Diluted",SharesDiluted,""))&lt;=0),"",(DCF_FCFF*(1+DCF_Growth)/($G$231-DCF_Growth)*(1-((1+DCF_Growth)/(1+$G$231))^DCF_Horizon)+DCF_FCFF*(1+DCF_Growth)^DCF_Horizon*(1+$L$226)/($G$231-$L$226)/(1+$G$231)^DCF_Horizon-NetDebt)/IF(PerShareMode="Outstanding",Shares,IF(PerShareMode="Diluted",SharesDiluted,"")))</f>
        <v/>
      </c>
      <c r="M231" s="22" t="n"/>
      <c r="N231" s="22" t="n"/>
      <c r="O231" s="130" t="n"/>
      <c r="P231" s="22" t="n"/>
      <c r="Q231" s="22" t="n"/>
      <c r="R231" s="22" t="n"/>
      <c r="S231" s="130" t="n"/>
      <c r="AA231" s="22" t="n"/>
      <c r="AB231" s="22" t="n"/>
      <c r="AC231" s="22" t="n"/>
      <c r="AD231" s="22" t="n"/>
      <c r="AE231" s="22" t="n"/>
      <c r="AF231" s="22" t="n"/>
      <c r="AG231" s="22" t="n"/>
      <c r="AH231" s="22" t="n"/>
      <c r="AI231" s="22" t="n"/>
    </row>
    <row r="232" ht="19.5" customHeight="1">
      <c r="A232" s="22" t="n"/>
      <c r="B232" s="22" t="n"/>
      <c r="C232" s="22" t="n"/>
      <c r="D232" s="22" t="n"/>
      <c r="E232" s="22" t="n"/>
      <c r="F232" s="22" t="n"/>
      <c r="G232" s="484" t="n"/>
      <c r="H232" s="485">
        <f>IF(OR(DCF_FCFF="",DCF_FCFF&lt;=0,DCF_Growth="",DCF_Horizon="",DCF_Horizon&lt;1,$G$232="",$H$226="",$G$232&lt;=DCF_Growth,$G$232&lt;=$H$226,NetDebt="",IF(PerShareMode="Outstanding",Shares,IF(PerShareMode="Diluted",SharesDiluted,""))="",IF(PerShareMode="Outstanding",Shares,IF(PerShareMode="Diluted",SharesDiluted,""))&lt;=0),"",(DCF_FCFF*(1+DCF_Growth)/($G$232-DCF_Growth)*(1-((1+DCF_Growth)/(1+$G$232))^DCF_Horizon)+DCF_FCFF*(1+DCF_Growth)^DCF_Horizon*(1+$H$226)/($G$232-$H$226)/(1+$G$232)^DCF_Horizon-NetDebt)/IF(PerShareMode="Outstanding",Shares,IF(PerShareMode="Diluted",SharesDiluted,"")))</f>
        <v/>
      </c>
      <c r="I232" s="492">
        <f>IF(OR(DCF_FCFF="",DCF_FCFF&lt;=0,DCF_Growth="",DCF_Horizon="",DCF_Horizon&lt;1,$G$232="",$I$226="",$G$232&lt;=DCF_Growth,$G$232&lt;=$I$226,NetDebt="",IF(PerShareMode="Outstanding",Shares,IF(PerShareMode="Diluted",SharesDiluted,""))="",IF(PerShareMode="Outstanding",Shares,IF(PerShareMode="Diluted",SharesDiluted,""))&lt;=0),"",(DCF_FCFF*(1+DCF_Growth)/($G$232-DCF_Growth)*(1-((1+DCF_Growth)/(1+$G$232))^DCF_Horizon)+DCF_FCFF*(1+DCF_Growth)^DCF_Horizon*(1+$I$226)/($G$232-$I$226)/(1+$G$232)^DCF_Horizon-NetDebt)/IF(PerShareMode="Outstanding",Shares,IF(PerShareMode="Diluted",SharesDiluted,"")))</f>
        <v/>
      </c>
      <c r="J232" s="493">
        <f>IF(OR(DCF_FCFF="",DCF_FCFF&lt;=0,DCF_Growth="",DCF_Horizon="",DCF_Horizon&lt;1,$G$232="",$J$226="",$G$232&lt;=DCF_Growth,$G$232&lt;=$J$226,NetDebt="",IF(PerShareMode="Outstanding",Shares,IF(PerShareMode="Diluted",SharesDiluted,""))="",IF(PerShareMode="Outstanding",Shares,IF(PerShareMode="Diluted",SharesDiluted,""))&lt;=0),"",(DCF_FCFF*(1+DCF_Growth)/($G$232-DCF_Growth)*(1-((1+DCF_Growth)/(1+$G$232))^DCF_Horizon)+DCF_FCFF*(1+DCF_Growth)^DCF_Horizon*(1+$J$226)/($G$232-$J$226)/(1+$G$232)^DCF_Horizon-NetDebt)/IF(PerShareMode="Outstanding",Shares,IF(PerShareMode="Diluted",SharesDiluted,"")))</f>
        <v/>
      </c>
      <c r="K232" s="494">
        <f>IF(OR(DCF_FCFF="",DCF_FCFF&lt;=0,DCF_Growth="",DCF_Horizon="",DCF_Horizon&lt;1,$G$232="",$K$226="",$G$232&lt;=DCF_Growth,$G$232&lt;=$K$226,NetDebt="",IF(PerShareMode="Outstanding",Shares,IF(PerShareMode="Diluted",SharesDiluted,""))="",IF(PerShareMode="Outstanding",Shares,IF(PerShareMode="Diluted",SharesDiluted,""))&lt;=0),"",(DCF_FCFF*(1+DCF_Growth)/($G$232-DCF_Growth)*(1-((1+DCF_Growth)/(1+$G$232))^DCF_Horizon)+DCF_FCFF*(1+DCF_Growth)^DCF_Horizon*(1+$K$226)/($G$232-$K$226)/(1+$G$232)^DCF_Horizon-NetDebt)/IF(PerShareMode="Outstanding",Shares,IF(PerShareMode="Diluted",SharesDiluted,"")))</f>
        <v/>
      </c>
      <c r="L232" s="485">
        <f>IF(OR(DCF_FCFF="",DCF_FCFF&lt;=0,DCF_Growth="",DCF_Horizon="",DCF_Horizon&lt;1,$G$232="",$L$226="",$G$232&lt;=DCF_Growth,$G$232&lt;=$L$226,NetDebt="",IF(PerShareMode="Outstanding",Shares,IF(PerShareMode="Diluted",SharesDiluted,""))="",IF(PerShareMode="Outstanding",Shares,IF(PerShareMode="Diluted",SharesDiluted,""))&lt;=0),"",(DCF_FCFF*(1+DCF_Growth)/($G$232-DCF_Growth)*(1-((1+DCF_Growth)/(1+$G$232))^DCF_Horizon)+DCF_FCFF*(1+DCF_Growth)^DCF_Horizon*(1+$L$226)/($G$232-$L$226)/(1+$G$232)^DCF_Horizon-NetDebt)/IF(PerShareMode="Outstanding",Shares,IF(PerShareMode="Diluted",SharesDiluted,"")))</f>
        <v/>
      </c>
      <c r="M232" s="22" t="n"/>
      <c r="N232" s="22" t="n"/>
      <c r="O232" s="130" t="n"/>
      <c r="P232" s="22" t="n"/>
      <c r="Q232" s="22" t="n"/>
      <c r="R232" s="22" t="n"/>
      <c r="S232" s="130" t="n"/>
      <c r="T232" s="22" t="n"/>
      <c r="U232" s="22" t="n"/>
      <c r="V232" s="22" t="n"/>
      <c r="W232" s="22" t="n"/>
      <c r="X232" s="22" t="n"/>
      <c r="Y232" s="22" t="n"/>
      <c r="Z232" s="22" t="n"/>
      <c r="AA232" s="22" t="n"/>
      <c r="AB232" s="22" t="n"/>
      <c r="AC232" s="22" t="n"/>
      <c r="AD232" s="22" t="n"/>
      <c r="AE232" s="22" t="n"/>
      <c r="AF232" s="22" t="n"/>
      <c r="AG232" s="22" t="n"/>
      <c r="AH232" s="22" t="n"/>
      <c r="AI232" s="22" t="n"/>
    </row>
    <row r="233" ht="19.5" customHeight="1">
      <c r="A233" s="22" t="n"/>
      <c r="B233" s="22" t="n"/>
      <c r="C233" s="22" t="n"/>
      <c r="D233" s="22" t="n"/>
      <c r="E233" s="22" t="n"/>
      <c r="F233" s="22" t="n"/>
      <c r="G233" s="483" t="n"/>
      <c r="H233" s="485">
        <f>IF(OR(DCF_FCFF="",DCF_FCFF&lt;=0,DCF_Growth="",DCF_Horizon="",DCF_Horizon&lt;1,$G$233="",$H$226="",$G$233&lt;=DCF_Growth,$G$233&lt;=$H$226,NetDebt="",IF(PerShareMode="Outstanding",Shares,IF(PerShareMode="Diluted",SharesDiluted,""))="",IF(PerShareMode="Outstanding",Shares,IF(PerShareMode="Diluted",SharesDiluted,""))&lt;=0),"",(DCF_FCFF*(1+DCF_Growth)/($G$233-DCF_Growth)*(1-((1+DCF_Growth)/(1+$G$233))^DCF_Horizon)+DCF_FCFF*(1+DCF_Growth)^DCF_Horizon*(1+$H$226)/($G$233-$H$226)/(1+$G$233)^DCF_Horizon-NetDebt)/IF(PerShareMode="Outstanding",Shares,IF(PerShareMode="Diluted",SharesDiluted,"")))</f>
        <v/>
      </c>
      <c r="I233" s="485">
        <f>IF(OR(DCF_FCFF="",DCF_FCFF&lt;=0,DCF_Growth="",DCF_Horizon="",DCF_Horizon&lt;1,$G$233="",$I$226="",$G$233&lt;=DCF_Growth,$G$233&lt;=$I$226,NetDebt="",IF(PerShareMode="Outstanding",Shares,IF(PerShareMode="Diluted",SharesDiluted,""))="",IF(PerShareMode="Outstanding",Shares,IF(PerShareMode="Diluted",SharesDiluted,""))&lt;=0),"",(DCF_FCFF*(1+DCF_Growth)/($G$233-DCF_Growth)*(1-((1+DCF_Growth)/(1+$G$233))^DCF_Horizon)+DCF_FCFF*(1+DCF_Growth)^DCF_Horizon*(1+$I$226)/($G$233-$I$226)/(1+$G$233)^DCF_Horizon-NetDebt)/IF(PerShareMode="Outstanding",Shares,IF(PerShareMode="Diluted",SharesDiluted,"")))</f>
        <v/>
      </c>
      <c r="J233" s="485">
        <f>IF(OR(DCF_FCFF="",DCF_FCFF&lt;=0,DCF_Growth="",DCF_Horizon="",DCF_Horizon&lt;1,$G$233="",$J$226="",$G$233&lt;=DCF_Growth,$G$233&lt;=$J$226,NetDebt="",IF(PerShareMode="Outstanding",Shares,IF(PerShareMode="Diluted",SharesDiluted,""))="",IF(PerShareMode="Outstanding",Shares,IF(PerShareMode="Diluted",SharesDiluted,""))&lt;=0),"",(DCF_FCFF*(1+DCF_Growth)/($G$233-DCF_Growth)*(1-((1+DCF_Growth)/(1+$G$233))^DCF_Horizon)+DCF_FCFF*(1+DCF_Growth)^DCF_Horizon*(1+$J$226)/($G$233-$J$226)/(1+$G$233)^DCF_Horizon-NetDebt)/IF(PerShareMode="Outstanding",Shares,IF(PerShareMode="Diluted",SharesDiluted,"")))</f>
        <v/>
      </c>
      <c r="K233" s="485">
        <f>IF(OR(DCF_FCFF="",DCF_FCFF&lt;=0,DCF_Growth="",DCF_Horizon="",DCF_Horizon&lt;1,$G$233="",$K$226="",$G$233&lt;=DCF_Growth,$G$233&lt;=$K$226,NetDebt="",IF(PerShareMode="Outstanding",Shares,IF(PerShareMode="Diluted",SharesDiluted,""))="",IF(PerShareMode="Outstanding",Shares,IF(PerShareMode="Diluted",SharesDiluted,""))&lt;=0),"",(DCF_FCFF*(1+DCF_Growth)/($G$233-DCF_Growth)*(1-((1+DCF_Growth)/(1+$G$233))^DCF_Horizon)+DCF_FCFF*(1+DCF_Growth)^DCF_Horizon*(1+$K$226)/($G$233-$K$226)/(1+$G$233)^DCF_Horizon-NetDebt)/IF(PerShareMode="Outstanding",Shares,IF(PerShareMode="Diluted",SharesDiluted,"")))</f>
        <v/>
      </c>
      <c r="L233" s="485">
        <f>IF(OR(DCF_FCFF="",DCF_FCFF&lt;=0,DCF_Growth="",DCF_Horizon="",DCF_Horizon&lt;1,$G$233="",$L$226="",$G$233&lt;=DCF_Growth,$G$233&lt;=$L$226,NetDebt="",IF(PerShareMode="Outstanding",Shares,IF(PerShareMode="Diluted",SharesDiluted,""))="",IF(PerShareMode="Outstanding",Shares,IF(PerShareMode="Diluted",SharesDiluted,""))&lt;=0),"",(DCF_FCFF*(1+DCF_Growth)/($G$233-DCF_Growth)*(1-((1+DCF_Growth)/(1+$G$233))^DCF_Horizon)+DCF_FCFF*(1+DCF_Growth)^DCF_Horizon*(1+$L$226)/($G$233-$L$226)/(1+$G$233)^DCF_Horizon-NetDebt)/IF(PerShareMode="Outstanding",Shares,IF(PerShareMode="Diluted",SharesDiluted,"")))</f>
        <v/>
      </c>
      <c r="M233" s="22" t="n"/>
      <c r="N233" s="22" t="n"/>
      <c r="O233" s="130" t="n"/>
      <c r="P233" s="22" t="n"/>
      <c r="Q233" s="22" t="n"/>
      <c r="R233" s="22" t="n"/>
      <c r="S233" s="130" t="n"/>
      <c r="T233" s="22" t="n"/>
      <c r="U233" s="22" t="n"/>
      <c r="V233" s="22" t="n"/>
      <c r="W233" s="22" t="n"/>
      <c r="X233" s="22" t="n"/>
      <c r="Y233" s="22" t="n"/>
      <c r="Z233" s="22" t="n"/>
      <c r="AA233" s="22" t="n"/>
      <c r="AB233" s="22" t="n"/>
      <c r="AC233" s="22" t="n"/>
      <c r="AD233" s="22" t="n"/>
      <c r="AE233" s="22" t="n"/>
      <c r="AF233" s="22" t="n"/>
      <c r="AG233" s="22" t="n"/>
      <c r="AH233" s="22" t="n"/>
      <c r="AI233" s="22" t="n"/>
    </row>
    <row r="234" ht="19.5" customHeight="1">
      <c r="A234" s="22" t="n"/>
      <c r="B234" s="133" t="n"/>
      <c r="C234" s="133" t="n"/>
      <c r="D234" s="133" t="n"/>
      <c r="E234" s="133" t="n"/>
      <c r="F234" s="133" t="n"/>
      <c r="G234" s="495" t="n"/>
      <c r="H234" s="496">
        <f>IF(OR(DCF_FCFF="",DCF_FCFF&lt;=0,DCF_Growth="",DCF_Horizon="",DCF_Horizon&lt;1,$G$234="",$H$226="",$G$234&lt;=DCF_Growth,$G$234&lt;=$H$226,NetDebt="",IF(PerShareMode="Outstanding",Shares,IF(PerShareMode="Diluted",SharesDiluted,""))="",IF(PerShareMode="Outstanding",Shares,IF(PerShareMode="Diluted",SharesDiluted,""))&lt;=0),"",(DCF_FCFF*(1+DCF_Growth)/($G$234-DCF_Growth)*(1-((1+DCF_Growth)/(1+$G$234))^DCF_Horizon)+DCF_FCFF*(1+DCF_Growth)^DCF_Horizon*(1+$H$226)/($G$234-$H$226)/(1+$G$234)^DCF_Horizon-NetDebt)/IF(PerShareMode="Outstanding",Shares,IF(PerShareMode="Diluted",SharesDiluted,"")))</f>
        <v/>
      </c>
      <c r="I234" s="496">
        <f>IF(OR(DCF_FCFF="",DCF_FCFF&lt;=0,DCF_Growth="",DCF_Horizon="",DCF_Horizon&lt;1,$G$234="",$I$226="",$G$234&lt;=DCF_Growth,$G$234&lt;=$I$226,NetDebt="",IF(PerShareMode="Outstanding",Shares,IF(PerShareMode="Diluted",SharesDiluted,""))="",IF(PerShareMode="Outstanding",Shares,IF(PerShareMode="Diluted",SharesDiluted,""))&lt;=0),"",(DCF_FCFF*(1+DCF_Growth)/($G$234-DCF_Growth)*(1-((1+DCF_Growth)/(1+$G$234))^DCF_Horizon)+DCF_FCFF*(1+DCF_Growth)^DCF_Horizon*(1+$I$226)/($G$234-$I$226)/(1+$G$234)^DCF_Horizon-NetDebt)/IF(PerShareMode="Outstanding",Shares,IF(PerShareMode="Diluted",SharesDiluted,"")))</f>
        <v/>
      </c>
      <c r="J234" s="496">
        <f>IF(OR(DCF_FCFF="",DCF_FCFF&lt;=0,DCF_Growth="",DCF_Horizon="",DCF_Horizon&lt;1,$G$234="",$J$226="",$G$234&lt;=DCF_Growth,$G$234&lt;=$J$226,NetDebt="",IF(PerShareMode="Outstanding",Shares,IF(PerShareMode="Diluted",SharesDiluted,""))="",IF(PerShareMode="Outstanding",Shares,IF(PerShareMode="Diluted",SharesDiluted,""))&lt;=0),"",(DCF_FCFF*(1+DCF_Growth)/($G$234-DCF_Growth)*(1-((1+DCF_Growth)/(1+$G$234))^DCF_Horizon)+DCF_FCFF*(1+DCF_Growth)^DCF_Horizon*(1+$J$226)/($G$234-$J$226)/(1+$G$234)^DCF_Horizon-NetDebt)/IF(PerShareMode="Outstanding",Shares,IF(PerShareMode="Diluted",SharesDiluted,"")))</f>
        <v/>
      </c>
      <c r="K234" s="496">
        <f>IF(OR(DCF_FCFF="",DCF_FCFF&lt;=0,DCF_Growth="",DCF_Horizon="",DCF_Horizon&lt;1,$G$234="",$K$226="",$G$234&lt;=DCF_Growth,$G$234&lt;=$K$226,NetDebt="",IF(PerShareMode="Outstanding",Shares,IF(PerShareMode="Diluted",SharesDiluted,""))="",IF(PerShareMode="Outstanding",Shares,IF(PerShareMode="Diluted",SharesDiluted,""))&lt;=0),"",(DCF_FCFF*(1+DCF_Growth)/($G$234-DCF_Growth)*(1-((1+DCF_Growth)/(1+$G$234))^DCF_Horizon)+DCF_FCFF*(1+DCF_Growth)^DCF_Horizon*(1+$K$226)/($G$234-$K$226)/(1+$G$234)^DCF_Horizon-NetDebt)/IF(PerShareMode="Outstanding",Shares,IF(PerShareMode="Diluted",SharesDiluted,"")))</f>
        <v/>
      </c>
      <c r="L234" s="496">
        <f>IF(OR(DCF_FCFF="",DCF_FCFF&lt;=0,DCF_Growth="",DCF_Horizon="",DCF_Horizon&lt;1,$G$234="",$L$226="",$G$234&lt;=DCF_Growth,$G$234&lt;=$L$226,NetDebt="",IF(PerShareMode="Outstanding",Shares,IF(PerShareMode="Diluted",SharesDiluted,""))="",IF(PerShareMode="Outstanding",Shares,IF(PerShareMode="Diluted",SharesDiluted,""))&lt;=0),"",(DCF_FCFF*(1+DCF_Growth)/($G$234-DCF_Growth)*(1-((1+DCF_Growth)/(1+$G$234))^DCF_Horizon)+DCF_FCFF*(1+DCF_Growth)^DCF_Horizon*(1+$L$226)/($G$234-$L$226)/(1+$G$234)^DCF_Horizon-NetDebt)/IF(PerShareMode="Outstanding",Shares,IF(PerShareMode="Diluted",SharesDiluted,"")))</f>
        <v/>
      </c>
      <c r="M234" s="133" t="n"/>
      <c r="N234" s="133" t="n"/>
      <c r="O234" s="139" t="n"/>
      <c r="P234" s="133" t="inlineStr">
        <is>
          <t>Auto-update implied gT</t>
        </is>
      </c>
      <c r="Q234" s="371" t="n"/>
      <c r="R234" s="158" t="n"/>
      <c r="S234" s="139" t="n"/>
      <c r="T234" s="133" t="n"/>
      <c r="U234" s="133" t="n"/>
      <c r="V234" s="22" t="n"/>
      <c r="W234" s="22" t="n"/>
      <c r="X234" s="22" t="n"/>
      <c r="Y234" s="22" t="n"/>
      <c r="Z234" s="22" t="n"/>
      <c r="AA234" s="22" t="n"/>
      <c r="AB234" s="22" t="n"/>
      <c r="AC234" s="22" t="n"/>
      <c r="AD234" s="22" t="n"/>
      <c r="AE234" s="22" t="n"/>
      <c r="AF234" s="22" t="n"/>
      <c r="AG234" s="22" t="n"/>
      <c r="AH234" s="22" t="n"/>
      <c r="AI234" s="22" t="n"/>
    </row>
    <row r="235" ht="19.5" customHeight="1">
      <c r="A235" s="22" t="n"/>
      <c r="B235" s="386" t="inlineStr">
        <is>
          <t>Scenario economics</t>
        </is>
      </c>
      <c r="K235" s="364" t="n"/>
      <c r="L235" s="386" t="inlineStr">
        <is>
          <t>What Market Is Pricing</t>
        </is>
      </c>
      <c r="U235" s="364" t="n"/>
      <c r="V235" s="22" t="n"/>
      <c r="W235" s="22" t="n"/>
      <c r="X235" s="22" t="n"/>
      <c r="Y235" s="22" t="n"/>
      <c r="Z235" s="22" t="n"/>
      <c r="AA235" s="22" t="n"/>
      <c r="AB235" s="22" t="n"/>
      <c r="AC235" s="22" t="n"/>
      <c r="AD235" s="22" t="n"/>
      <c r="AE235" s="22" t="n"/>
      <c r="AF235" s="22" t="n"/>
      <c r="AG235" s="22" t="n"/>
      <c r="AH235" s="22" t="n"/>
      <c r="AI235" s="22" t="n"/>
    </row>
    <row r="236" ht="19.5" customHeight="1">
      <c r="A236" s="22" t="n"/>
      <c r="B236" s="125" t="inlineStr">
        <is>
          <t>Scenario label</t>
        </is>
      </c>
      <c r="E236" s="497" t="n"/>
      <c r="F236" s="368">
        <f>IF(ScenarioProfile="","",IF(OR(ScenarioHorizon="",ResolvedRevenueGrowth_Custom="",ScenarioBaseMargin="",ScenarioAdjustedMargin="",ScenarioTaxRate="",ScenarioPreTaxBridge="",ScenarioTaxTreatment="",ScenarioCashInterestChange="",ScenarioInterestTaxTreatment="",ScenarioCapexChange="",ScenarioWCAdjustment="",ScenarioBuybackCash="",ScenarioShareIssuance="",ScenarioDebtPaydown="",Revenue_TTM="",FCF_TTM="",NetIncome_TTM="",NetDebt="",IF(PerShareMode="Outstanding",Shares,IF(PerShareMode="Diluted",SharesDiluted,""))="",AND(ScenarioBuybackCash&lt;&gt;0,OR(ScenarioBuybackPrice="",ScenarioBuybackPrice&lt;=0))),"Incomplete","Ready"))</f>
        <v/>
      </c>
      <c r="H236" t="inlineStr">
        <is>
          <t>Scenario horizon</t>
        </is>
      </c>
      <c r="J236" s="498" t="n"/>
      <c r="L236" s="125" t="inlineStr">
        <is>
          <t>Market cap ($m)</t>
        </is>
      </c>
      <c r="N236" s="499">
        <f>IF(OR(Price="",IF(PerShareMode="Outstanding",Shares,IF(PerShareMode="Diluted",SharesDiluted,""))=""),"",Price*IF(PerShareMode="Outstanding",Shares,IF(PerShareMode="Diluted",SharesDiluted,"")))</f>
        <v/>
      </c>
      <c r="P236" s="62" t="n"/>
      <c r="Q236" s="368" t="inlineStr">
        <is>
          <t>At quality-adjusted target multiple, Adj EBITDA must reach this level.</t>
        </is>
      </c>
      <c r="U236" s="364" t="n"/>
      <c r="V236" s="22" t="n"/>
      <c r="W236" s="22" t="n"/>
      <c r="X236" s="22" t="n"/>
      <c r="Y236" s="22" t="n"/>
      <c r="Z236" s="22" t="n"/>
      <c r="AA236" s="22" t="n"/>
      <c r="AB236" s="22" t="n"/>
      <c r="AC236" s="22" t="n"/>
      <c r="AD236" s="22" t="n"/>
      <c r="AE236" s="22" t="n"/>
      <c r="AF236" s="22" t="n"/>
      <c r="AG236" s="22" t="n"/>
      <c r="AH236" s="22" t="n"/>
      <c r="AI236" s="22" t="n"/>
    </row>
    <row r="237" ht="19.5" customHeight="1">
      <c r="A237" s="22" t="n"/>
      <c r="B237" s="125" t="inlineStr">
        <is>
          <t>Revenue growth</t>
        </is>
      </c>
      <c r="E237" s="478" t="n"/>
      <c r="F237" s="368" t="inlineStr">
        <is>
          <t>Default from historical revenue growth distribution (recent 8 quarters).</t>
        </is>
      </c>
      <c r="K237" s="364" t="n"/>
      <c r="L237" s="125" t="inlineStr">
        <is>
          <t>Enterprise value ($m)</t>
        </is>
      </c>
      <c r="N237" s="499">
        <f>IF(OR(N236="",NetDebt=""),"",N236+NetDebt)</f>
        <v/>
      </c>
      <c r="P237" s="59" t="n"/>
      <c r="Q237" s="368" t="inlineStr">
        <is>
          <t>Required Adj EBITDA change versus current TTM level.</t>
        </is>
      </c>
      <c r="U237" s="364" t="n"/>
      <c r="V237" s="22" t="n"/>
      <c r="W237" s="22" t="n"/>
      <c r="X237" s="22" t="n"/>
      <c r="Y237" s="22" t="n"/>
      <c r="Z237" s="22" t="n"/>
      <c r="AA237" s="22" t="n"/>
      <c r="AB237" s="22" t="n"/>
      <c r="AC237" s="22" t="n"/>
      <c r="AD237" s="22" t="n"/>
      <c r="AE237" s="22" t="n"/>
      <c r="AF237" s="22" t="n"/>
      <c r="AG237" s="22" t="n"/>
      <c r="AH237" s="22" t="n"/>
      <c r="AI237" s="22" t="n"/>
    </row>
    <row r="238" ht="19.5" customHeight="1">
      <c r="A238" s="22" t="n"/>
      <c r="B238" s="125" t="inlineStr">
        <is>
          <t>Base EBITDA margin</t>
        </is>
      </c>
      <c r="E238" s="478" t="n"/>
      <c r="F238" s="368" t="inlineStr">
        <is>
          <t>Default from historical adjusted margin distribution (recent 8 quarters).</t>
        </is>
      </c>
      <c r="K238" s="364" t="n"/>
      <c r="L238" s="125" t="inlineStr">
        <is>
          <t>Required revenue @ target EV/Revenue ($m)</t>
        </is>
      </c>
      <c r="N238" s="499">
        <f>IF(OR(N237="",Target_EV_Revenue="",Target_EV_Revenue&lt;=0),"",N237/Target_EV_Revenue)</f>
        <v/>
      </c>
      <c r="P238" s="62" t="n"/>
      <c r="Q238" s="368" t="inlineStr">
        <is>
          <t>At quality-adjusted target yield, FCFF requirement implied by EV.</t>
        </is>
      </c>
      <c r="U238" s="364" t="n"/>
      <c r="V238" s="22" t="n"/>
      <c r="W238" s="22" t="n"/>
      <c r="X238" s="22" t="n"/>
      <c r="Y238" s="22" t="n"/>
      <c r="Z238" s="22" t="n"/>
      <c r="AA238" s="22" t="n"/>
      <c r="AB238" s="22" t="n"/>
      <c r="AC238" s="22" t="n"/>
      <c r="AD238" s="22" t="n"/>
      <c r="AE238" s="22" t="n"/>
      <c r="AF238" s="22" t="n"/>
      <c r="AG238" s="22" t="n"/>
      <c r="AH238" s="22" t="n"/>
      <c r="AI238" s="22" t="n"/>
    </row>
    <row r="239" ht="19.5" customHeight="1">
      <c r="A239" s="22" t="n"/>
      <c r="B239" s="125" t="inlineStr">
        <is>
          <t>Adjusted EBITDA margin</t>
        </is>
      </c>
      <c r="E239" s="479" t="n"/>
      <c r="F239" s="368" t="inlineStr">
        <is>
          <t>Manual refinancing normalization assumption.</t>
        </is>
      </c>
      <c r="K239" s="364" t="n"/>
      <c r="L239" s="125" t="inlineStr">
        <is>
          <t>Required adjusted EBITDA @ target multiple ($m)</t>
        </is>
      </c>
      <c r="N239" s="499">
        <f>IF(OR(N237="",Target_EV_AdjEBITDA="",Target_EV_AdjEBITDA&lt;=0),"",N237/Target_EV_AdjEBITDA)</f>
        <v/>
      </c>
      <c r="P239" s="59" t="n"/>
      <c r="Q239" s="368" t="inlineStr">
        <is>
          <t>Market-implied FCFF delta versus FCFF proxy TTM.</t>
        </is>
      </c>
      <c r="U239" s="364" t="n"/>
      <c r="V239" s="22" t="n"/>
      <c r="W239" s="22" t="n"/>
      <c r="X239" s="22" t="n"/>
      <c r="Y239" s="22" t="n"/>
      <c r="Z239" s="22" t="n"/>
      <c r="AA239" s="22" t="n"/>
      <c r="AB239" s="22" t="n"/>
      <c r="AC239" s="22" t="n"/>
      <c r="AD239" s="22" t="n"/>
      <c r="AE239" s="22" t="n"/>
      <c r="AF239" s="22" t="n"/>
      <c r="AG239" s="22" t="n"/>
      <c r="AH239" s="22" t="n"/>
      <c r="AI239" s="22" t="n"/>
    </row>
    <row r="240" ht="19.5" customHeight="1">
      <c r="A240" s="22" t="n"/>
      <c r="B240" s="125" t="inlineStr">
        <is>
          <t>Tax rate</t>
        </is>
      </c>
      <c r="E240" s="479" t="n"/>
      <c r="F240" s="368" t="inlineStr">
        <is>
          <t>Manual share-count continuation assumption.</t>
        </is>
      </c>
      <c r="K240" s="364" t="n"/>
      <c r="L240" s="125" t="inlineStr">
        <is>
          <t>Implied adjusted EBITDA margin</t>
        </is>
      </c>
      <c r="N240" s="500">
        <f>IF(OR(N238="",N239="",N238=0),"",N239/N238)</f>
        <v/>
      </c>
      <c r="P240" s="62" t="n"/>
      <c r="Q240" s="368" t="inlineStr">
        <is>
          <t>Owner earnings required at quality-adjusted target yield.</t>
        </is>
      </c>
      <c r="U240" s="364" t="n"/>
      <c r="V240" s="22" t="n"/>
      <c r="W240" s="22" t="n"/>
      <c r="X240" s="22" t="n"/>
      <c r="Y240" s="22" t="n"/>
      <c r="Z240" s="22" t="n"/>
      <c r="AA240" s="22" t="n"/>
      <c r="AB240" s="22" t="n"/>
      <c r="AC240" s="22" t="n"/>
      <c r="AD240" s="22" t="n"/>
      <c r="AE240" s="22" t="n"/>
      <c r="AF240" s="22" t="n"/>
      <c r="AG240" s="22" t="n"/>
      <c r="AH240" s="22" t="n"/>
      <c r="AI240" s="22" t="n"/>
    </row>
    <row r="241" ht="19.5" customHeight="1">
      <c r="A241" s="22" t="n"/>
      <c r="B241" s="125" t="inlineStr">
        <is>
          <t>Scenario revenue ($m)</t>
        </is>
      </c>
      <c r="E241" s="450">
        <f>IF(OR(Revenue_TTM="",ResolvedRevenueGrowth_Custom=""),"",Revenue_TTM*(1+ResolvedRevenueGrowth_Custom))</f>
        <v/>
      </c>
      <c r="F241" s="368" t="inlineStr">
        <is>
          <t>Scenario revenue × scenario margin.</t>
        </is>
      </c>
      <c r="K241" s="364" t="n"/>
      <c r="L241" s="125" t="inlineStr">
        <is>
          <t>Implied revenue growth</t>
        </is>
      </c>
      <c r="N241" s="500">
        <f>IF(OR(N238="",Revenue_TTM="",Revenue_TTM=0),"",N238/Revenue_TTM-1)</f>
        <v/>
      </c>
      <c r="P241" s="59" t="n"/>
      <c r="Q241" s="368" t="inlineStr">
        <is>
          <t>Owner earnings change versus current owner-earnings TTM.</t>
        </is>
      </c>
      <c r="U241" s="364" t="n"/>
      <c r="V241" s="22" t="n"/>
      <c r="W241" s="22" t="n"/>
      <c r="X241" s="22" t="n"/>
      <c r="Y241" s="22" t="n"/>
      <c r="Z241" s="22" t="n"/>
      <c r="AA241" s="22" t="n"/>
      <c r="AB241" s="22" t="n"/>
      <c r="AC241" s="22" t="n"/>
      <c r="AD241" s="22" t="n"/>
      <c r="AE241" s="22" t="n"/>
      <c r="AF241" s="22" t="n"/>
      <c r="AG241" s="22" t="n"/>
      <c r="AH241" s="22" t="n"/>
      <c r="AI241" s="22" t="n"/>
    </row>
    <row r="242" ht="19.5" customHeight="1">
      <c r="A242" s="22" t="n"/>
      <c r="B242" s="125" t="inlineStr">
        <is>
          <t>Scenario EBITDA (base, $m)</t>
        </is>
      </c>
      <c r="E242" s="450">
        <f>IF(OR(ScenarioRevenue="",ScenarioBaseMargin=""),"",ScenarioRevenue*ScenarioBaseMargin)</f>
        <v/>
      </c>
      <c r="F242" s="368" t="inlineStr">
        <is>
          <t>Owner earnings bridge adjusted by scenario EBITDA and refinancing.</t>
        </is>
      </c>
      <c r="K242" s="364" t="n"/>
      <c r="L242" s="22" t="inlineStr">
        <is>
          <t>Required FCFF @ target yield ($m)</t>
        </is>
      </c>
      <c r="M242" s="22" t="n"/>
      <c r="N242" s="476">
        <f>IF(OR(N237="",Target_EV_Yield="",Target_EV_Yield&lt;=0),"",N237*Target_EV_Yield)</f>
        <v/>
      </c>
      <c r="O242" s="22" t="n"/>
      <c r="P242" s="22" t="n"/>
      <c r="Q242" s="22" t="n"/>
      <c r="R242" s="22" t="n"/>
      <c r="S242" s="22" t="n"/>
      <c r="T242" s="22" t="n"/>
      <c r="U242" s="130" t="n"/>
      <c r="V242" s="22" t="n"/>
      <c r="W242" s="22" t="n"/>
      <c r="X242" s="22" t="n"/>
      <c r="Y242" s="22" t="n"/>
      <c r="Z242" s="22" t="n"/>
      <c r="AA242" s="22" t="n"/>
      <c r="AB242" s="22" t="n"/>
      <c r="AC242" s="22" t="n"/>
      <c r="AD242" s="22" t="n"/>
      <c r="AE242" s="22" t="n"/>
      <c r="AF242" s="22" t="n"/>
      <c r="AG242" s="22" t="n"/>
      <c r="AH242" s="22" t="n"/>
      <c r="AI242" s="22" t="n"/>
    </row>
    <row r="243" ht="19.5" customHeight="1">
      <c r="A243" s="22" t="n"/>
      <c r="B243" s="125" t="inlineStr">
        <is>
          <t>Scenario adjusted EBITDA ($m)</t>
        </is>
      </c>
      <c r="E243" s="450">
        <f>IF(OR(ScenarioRevenue="",ScenarioAdjustedMargin=""),"",ScenarioRevenue*ScenarioAdjustedMargin)</f>
        <v/>
      </c>
      <c r="F243" s="368" t="inlineStr">
        <is>
          <t>Scenario per-share value with quality-adjusted EV/Adj multiple.</t>
        </is>
      </c>
      <c r="K243" s="364" t="n"/>
      <c r="L243" s="22" t="inlineStr">
        <is>
          <t>Required EPS @ target P/E ($/share)</t>
        </is>
      </c>
      <c r="M243" s="22" t="n"/>
      <c r="N243" s="501">
        <f>IF(OR(Price="",Target_PE="",Target_PE&lt;=0),"",Price/Target_PE)</f>
        <v/>
      </c>
      <c r="O243" s="22" t="n"/>
      <c r="P243" s="22" t="n"/>
      <c r="Q243" s="22" t="n"/>
      <c r="R243" s="22" t="n"/>
      <c r="S243" s="22" t="n"/>
      <c r="T243" s="22" t="n"/>
      <c r="U243" s="130" t="n"/>
      <c r="V243" s="22" t="n"/>
      <c r="W243" s="22" t="n"/>
      <c r="X243" s="22" t="n"/>
      <c r="Y243" s="22" t="n"/>
      <c r="Z243" s="22" t="n"/>
      <c r="AA243" s="22" t="n"/>
      <c r="AB243" s="22" t="n"/>
      <c r="AC243" s="22" t="n"/>
      <c r="AD243" s="22" t="n"/>
      <c r="AE243" s="22" t="n"/>
      <c r="AF243" s="22" t="n"/>
      <c r="AG243" s="22" t="n"/>
      <c r="AH243" s="22" t="n"/>
      <c r="AI243" s="22" t="n"/>
    </row>
    <row r="244" ht="19.5" customHeight="1">
      <c r="A244" s="22" t="n"/>
      <c r="B244" s="125" t="inlineStr">
        <is>
          <t>Scenario FCF ($m)</t>
        </is>
      </c>
      <c r="E244" s="450">
        <f>IF(OR(FCF_TTM="",ScenarioPreTaxBridge="",ScenarioTaxTreatment="",ScenarioTaxRate="",ScenarioCashInterestChange="",ScenarioInterestTaxTreatment="",ScenarioCapexChange="",ScenarioWCAdjustment=""),"",FCF_TTM+IF(ScenarioTaxTreatment="taxable",ScenarioPreTaxBridge*(1-ScenarioTaxRate),IF(OR(ScenarioTaxTreatment="non_taxable",ScenarioTaxTreatment="non_taxable_credit",ScenarioTaxTreatment="cash_only",ScenarioTaxTreatment="no_eps_impact"),ScenarioPreTaxBridge,IF(OR(ScenarioTaxTreatment="cash_only",ScenarioTaxTreatment="no_eps_impact"),ScenarioPreTaxBridge,"")))-IF(ScenarioInterestTaxTreatment="taxable",ScenarioCashInterestChange*(1-ScenarioTaxRate),IF(ScenarioInterestTaxTreatment="non_taxable",ScenarioCashInterestChange,""))-ScenarioCapexChange+ScenarioWCAdjustment)</f>
        <v/>
      </c>
      <c r="F244" s="368" t="inlineStr">
        <is>
          <t>Scenario per-share value with quality-adjusted owner-earnings yield.</t>
        </is>
      </c>
      <c r="K244" s="364" t="n"/>
      <c r="L244" s="22" t="inlineStr">
        <is>
          <t>Implied terminal growth (perpetuity)</t>
        </is>
      </c>
      <c r="M244" s="22" t="n"/>
      <c r="N244" s="59">
        <f>IF(OR(NOT(ISNUMBER(N237)),NOT(ISNUMBER(DCF_WACC)),NOT(ISNUMBER(DCF_FCFF)),N237&lt;=0,DCF_WACC&lt;=0),"",IF(N237+DCF_FCFF=0,"",(N237*DCF_WACC-DCF_FCFF)/(N237+DCF_FCFF)))</f>
        <v/>
      </c>
      <c r="O244" s="22" t="n"/>
      <c r="P244" s="22" t="n"/>
      <c r="Q244" s="22" t="n"/>
      <c r="R244" s="22" t="n"/>
      <c r="S244" s="22" t="n"/>
      <c r="T244" s="22" t="n"/>
      <c r="U244" s="130" t="n"/>
      <c r="V244" s="22" t="n"/>
      <c r="W244" s="22" t="n"/>
      <c r="X244" s="22" t="n"/>
      <c r="Y244" s="22" t="n"/>
      <c r="Z244" s="22" t="n"/>
      <c r="AA244" s="22" t="n"/>
      <c r="AB244" s="22" t="n"/>
      <c r="AC244" s="22" t="n"/>
      <c r="AD244" s="22" t="n"/>
      <c r="AE244" s="22" t="n"/>
      <c r="AF244" s="22" t="n"/>
      <c r="AG244" s="22" t="n"/>
      <c r="AH244" s="22" t="n"/>
      <c r="AI244" s="22" t="n"/>
    </row>
    <row r="245" ht="19.5" customHeight="1">
      <c r="A245" s="22" t="n"/>
      <c r="B245" s="133" t="n"/>
      <c r="C245" s="133" t="n"/>
      <c r="D245" s="133" t="n"/>
      <c r="E245" s="133" t="n"/>
      <c r="F245" s="133" t="n"/>
      <c r="G245" s="133" t="n"/>
      <c r="H245" s="133" t="n"/>
      <c r="I245" s="133" t="n"/>
      <c r="J245" s="133" t="n"/>
      <c r="K245" s="139" t="n"/>
      <c r="L245" s="133" t="n"/>
      <c r="M245" s="133" t="n"/>
      <c r="N245" s="133" t="n"/>
      <c r="O245" s="133" t="n"/>
      <c r="P245" s="133" t="n"/>
      <c r="Q245" s="133" t="n"/>
      <c r="R245" s="133" t="n"/>
      <c r="S245" s="133" t="n"/>
      <c r="T245" s="133" t="n"/>
      <c r="U245" s="139" t="n"/>
      <c r="V245" s="22" t="n"/>
      <c r="W245" s="22" t="n"/>
      <c r="X245" s="22" t="n"/>
      <c r="Y245" s="22" t="n"/>
      <c r="Z245" s="22" t="n"/>
      <c r="AA245" s="22" t="n"/>
      <c r="AB245" s="22" t="n"/>
      <c r="AC245" s="22" t="n"/>
      <c r="AD245" s="22" t="n"/>
      <c r="AE245" s="22" t="n"/>
      <c r="AF245" s="22" t="n"/>
      <c r="AG245" s="22" t="n"/>
      <c r="AH245" s="22" t="n"/>
      <c r="AI245" s="22" t="n"/>
    </row>
    <row r="246" ht="19.5" customHeight="1">
      <c r="A246" s="22" t="n"/>
      <c r="B246" s="387" t="inlineStr">
        <is>
          <t>Explicit scenario bridge inputs</t>
        </is>
      </c>
      <c r="C246" s="162" t="n"/>
      <c r="D246" s="162" t="n"/>
      <c r="E246" s="162" t="n"/>
      <c r="F246" s="162" t="n"/>
      <c r="G246" s="162" t="n"/>
      <c r="H246" s="162" t="n"/>
      <c r="I246" s="162" t="n"/>
      <c r="J246" s="162" t="n"/>
      <c r="K246" s="388" t="n"/>
      <c r="L246" s="502" t="inlineStr">
        <is>
          <t>Convertible notes</t>
        </is>
      </c>
      <c r="AB246" s="22" t="n"/>
      <c r="AC246" s="22" t="n"/>
      <c r="AD246" s="22" t="n"/>
      <c r="AE246" s="22" t="n"/>
      <c r="AF246" s="22" t="n"/>
      <c r="AG246" s="22" t="n"/>
      <c r="AH246" s="22" t="n"/>
      <c r="AI246" s="22" t="n"/>
    </row>
    <row r="247" ht="19.5" customHeight="1">
      <c r="A247" s="22" t="n"/>
      <c r="B247" s="48" t="inlineStr">
        <is>
          <t>Pre-tax earnings bridge ($m)</t>
        </is>
      </c>
      <c r="D247" s="503" t="n"/>
      <c r="E247" s="498" t="n"/>
      <c r="L247" s="166" t="inlineStr">
        <is>
          <t>Security</t>
        </is>
      </c>
      <c r="M247" s="105" t="n"/>
      <c r="N247" s="167" t="inlineStr">
        <is>
          <t>Principal</t>
        </is>
      </c>
      <c r="O247" s="167" t="inlineStr">
        <is>
          <t>Coupon</t>
        </is>
      </c>
      <c r="P247" s="167" t="inlineStr">
        <is>
          <t>Maturity</t>
        </is>
      </c>
      <c r="Q247" s="167" t="inlineStr">
        <is>
          <t>Conversion price</t>
        </is>
      </c>
      <c r="R247" s="105" t="n"/>
      <c r="S247" s="167" t="inlineStr">
        <is>
          <t>Shares on full conversion (m)</t>
        </is>
      </c>
      <c r="T247" s="105" t="n"/>
      <c r="U247" s="167" t="inlineStr">
        <is>
          <t>Concurrent repurchase shares (m)</t>
        </is>
      </c>
      <c r="V247" s="104" t="n"/>
      <c r="W247" s="105" t="n"/>
      <c r="X247" s="167" t="inlineStr">
        <is>
          <t>Net added shares on full conversion (m)</t>
        </is>
      </c>
      <c r="Y247" s="104" t="n"/>
      <c r="Z247" s="104" t="n"/>
      <c r="AA247" s="105" t="n"/>
      <c r="AB247" s="22" t="n"/>
      <c r="AC247" s="22" t="n"/>
      <c r="AD247" s="22" t="n"/>
      <c r="AE247" s="22" t="n"/>
      <c r="AF247" s="22" t="n"/>
      <c r="AG247" s="22" t="n"/>
      <c r="AH247" s="22" t="n"/>
      <c r="AI247" s="22" t="n"/>
    </row>
    <row r="248" ht="19.5" customHeight="1">
      <c r="A248" s="22" t="n"/>
      <c r="B248" s="48" t="inlineStr">
        <is>
          <t>Cash-interest change ($m)</t>
        </is>
      </c>
      <c r="D248" s="503" t="n"/>
      <c r="E248" s="498" t="n"/>
      <c r="L248" s="168" t="n"/>
      <c r="M248" s="104" t="n"/>
      <c r="N248" s="104" t="n"/>
      <c r="O248" s="104" t="n"/>
      <c r="P248" s="104" t="n"/>
      <c r="Q248" s="104" t="n"/>
      <c r="R248" s="104" t="n"/>
      <c r="S248" s="104" t="n"/>
      <c r="T248" s="104" t="n"/>
      <c r="U248" s="104" t="n"/>
      <c r="V248" s="104" t="n"/>
      <c r="W248" s="104" t="n"/>
      <c r="X248" s="104" t="n"/>
      <c r="Y248" s="104" t="n"/>
      <c r="Z248" s="104" t="n"/>
      <c r="AA248" s="105" t="n"/>
      <c r="AB248" s="22" t="n"/>
      <c r="AC248" s="22" t="n"/>
      <c r="AD248" s="22" t="n"/>
      <c r="AE248" s="22" t="n"/>
      <c r="AF248" s="22" t="n"/>
      <c r="AG248" s="22" t="n"/>
      <c r="AH248" s="22" t="n"/>
      <c r="AI248" s="22" t="n"/>
    </row>
    <row r="249" ht="19.5" customHeight="1">
      <c r="A249" s="22" t="n"/>
      <c r="B249" s="48" t="inlineStr">
        <is>
          <t>Capex change ($m, positive outflow)</t>
        </is>
      </c>
      <c r="D249" s="503" t="n"/>
      <c r="L249" s="22" t="n"/>
      <c r="M249" s="22" t="n"/>
      <c r="N249" s="22" t="n"/>
      <c r="O249" s="22" t="n"/>
      <c r="P249" s="22" t="n"/>
      <c r="Q249" s="22" t="n"/>
      <c r="R249" s="22" t="n"/>
      <c r="S249" s="22" t="n"/>
      <c r="T249" s="22" t="n"/>
      <c r="U249" s="22" t="n"/>
      <c r="V249" s="22" t="n"/>
      <c r="W249" s="22" t="n"/>
      <c r="X249" s="22" t="n"/>
      <c r="Y249" s="22" t="n"/>
      <c r="Z249" s="22" t="n"/>
      <c r="AA249" s="22" t="n"/>
      <c r="AB249" s="22" t="n"/>
      <c r="AC249" s="22" t="n"/>
      <c r="AD249" s="22" t="n"/>
      <c r="AE249" s="22" t="n"/>
      <c r="AF249" s="22" t="n"/>
      <c r="AG249" s="22" t="n"/>
      <c r="AH249" s="22" t="n"/>
      <c r="AI249" s="22" t="n"/>
    </row>
    <row r="250" ht="19.5" customHeight="1">
      <c r="A250" s="22" t="n"/>
      <c r="B250" s="48" t="inlineStr">
        <is>
          <t>Working-capital adjustment ($m, positive source)</t>
        </is>
      </c>
      <c r="D250" s="503" t="n"/>
      <c r="L250" s="29" t="n"/>
      <c r="M250" s="29" t="n"/>
      <c r="N250" s="29" t="n"/>
      <c r="O250" s="29" t="n"/>
      <c r="P250" s="29" t="n"/>
      <c r="Q250" s="29" t="n"/>
      <c r="R250" s="29" t="n"/>
      <c r="S250" s="29" t="n"/>
      <c r="T250" s="29" t="n"/>
      <c r="U250" s="29" t="n"/>
      <c r="V250" s="29" t="n"/>
      <c r="W250" s="29" t="n"/>
      <c r="X250" s="29" t="n"/>
      <c r="Y250" s="29" t="n"/>
      <c r="Z250" s="29" t="n"/>
      <c r="AA250" s="29" t="n"/>
      <c r="AB250" s="22" t="n"/>
      <c r="AC250" s="22" t="n"/>
      <c r="AD250" s="22" t="n"/>
      <c r="AE250" s="22" t="n"/>
      <c r="AF250" s="22" t="n"/>
      <c r="AG250" s="22" t="n"/>
      <c r="AH250" s="22" t="n"/>
      <c r="AI250" s="22" t="n"/>
    </row>
    <row r="251" ht="19.5" customHeight="1">
      <c r="A251" s="22" t="n"/>
      <c r="B251" s="22" t="n"/>
      <c r="C251" s="22" t="n"/>
      <c r="D251" s="22" t="n"/>
      <c r="E251" s="22" t="n"/>
      <c r="F251" s="22" t="n"/>
      <c r="G251" s="22" t="n"/>
      <c r="H251" s="22" t="n"/>
      <c r="I251" s="22" t="n"/>
      <c r="J251" s="22" t="n"/>
      <c r="K251" s="130" t="n"/>
      <c r="L251" s="29" t="n"/>
      <c r="M251" s="29" t="n"/>
      <c r="N251" s="29" t="n"/>
      <c r="O251" s="29" t="n"/>
      <c r="P251" s="29" t="n"/>
      <c r="Q251" s="29" t="n"/>
      <c r="R251" s="29" t="n"/>
      <c r="S251" s="29" t="n"/>
      <c r="T251" s="29" t="n"/>
      <c r="U251" s="29" t="n"/>
      <c r="V251" s="29" t="n"/>
      <c r="W251" s="29" t="n"/>
      <c r="X251" s="29" t="n"/>
      <c r="Y251" s="29" t="n"/>
      <c r="Z251" s="29" t="n"/>
      <c r="AA251" s="29" t="n"/>
      <c r="AB251" s="22" t="n"/>
      <c r="AC251" s="22" t="n"/>
      <c r="AD251" s="22" t="n"/>
      <c r="AE251" s="22" t="n"/>
      <c r="AF251" s="22" t="n"/>
      <c r="AG251" s="22" t="n"/>
      <c r="AH251" s="22" t="n"/>
      <c r="AI251" s="22" t="n"/>
    </row>
    <row r="252" ht="19.5" customHeight="1">
      <c r="A252" s="22" t="n"/>
      <c r="B252" s="140" t="inlineStr">
        <is>
          <t>Capital allocation inputs</t>
        </is>
      </c>
      <c r="F252" s="22" t="n"/>
      <c r="G252" s="22" t="n"/>
      <c r="H252" s="22" t="n"/>
      <c r="I252" s="22" t="n"/>
      <c r="J252" s="22" t="n"/>
      <c r="K252" s="130" t="n"/>
      <c r="L252" s="22" t="n"/>
      <c r="M252" s="22" t="n"/>
      <c r="N252" s="22" t="n"/>
      <c r="O252" s="22" t="n"/>
      <c r="P252" s="22" t="n"/>
      <c r="Q252" s="22" t="n"/>
      <c r="R252" s="22" t="n"/>
      <c r="S252" s="22" t="n"/>
      <c r="T252" s="22" t="n"/>
      <c r="U252" s="22" t="n"/>
      <c r="V252" s="22" t="n"/>
      <c r="W252" s="22" t="n"/>
      <c r="X252" s="22" t="n"/>
      <c r="Y252" s="22" t="n"/>
      <c r="Z252" s="22" t="n"/>
      <c r="AA252" s="22" t="n"/>
      <c r="AB252" s="22" t="n"/>
      <c r="AC252" s="22" t="n"/>
      <c r="AD252" s="22" t="n"/>
      <c r="AE252" s="22" t="n"/>
      <c r="AF252" s="22" t="n"/>
      <c r="AG252" s="22" t="n"/>
      <c r="AH252" s="22" t="n"/>
      <c r="AI252" s="22" t="n"/>
    </row>
    <row r="253" ht="19.5" customHeight="1">
      <c r="A253" s="22" t="n"/>
      <c r="B253" s="48" t="inlineStr">
        <is>
          <t>Buyback cash ($m)</t>
        </is>
      </c>
      <c r="D253" s="498" t="n"/>
      <c r="E253" s="22" t="n"/>
      <c r="F253" s="22" t="n"/>
      <c r="G253" s="22" t="n"/>
      <c r="H253" s="22" t="n"/>
      <c r="I253" s="22" t="n"/>
      <c r="J253" s="22" t="n"/>
      <c r="K253" s="130" t="n"/>
      <c r="L253" s="22" t="n"/>
      <c r="M253" s="22" t="n"/>
      <c r="N253" s="22" t="n"/>
      <c r="O253" s="22" t="n"/>
      <c r="P253" s="22" t="n"/>
      <c r="Q253" s="22" t="n"/>
      <c r="R253" s="22" t="n"/>
      <c r="S253" s="22" t="n"/>
      <c r="T253" s="22" t="n"/>
      <c r="U253" s="22" t="n"/>
      <c r="V253" s="22" t="n"/>
      <c r="W253" s="22" t="n"/>
      <c r="X253" s="22" t="n"/>
      <c r="Y253" s="22" t="n"/>
      <c r="Z253" s="22" t="n"/>
      <c r="AA253" s="22" t="n"/>
      <c r="AB253" s="22" t="n"/>
      <c r="AC253" s="22" t="n"/>
      <c r="AD253" s="22" t="n"/>
      <c r="AE253" s="22" t="n"/>
      <c r="AF253" s="22" t="n"/>
      <c r="AG253" s="22" t="n"/>
      <c r="AH253" s="22" t="n"/>
      <c r="AI253" s="22" t="n"/>
    </row>
    <row r="254" ht="19.5" customHeight="1">
      <c r="A254" s="22" t="n"/>
      <c r="B254" s="48" t="inlineStr">
        <is>
          <t>Buyback execution price ($/share)</t>
        </is>
      </c>
      <c r="D254" s="498" t="n"/>
      <c r="E254" s="22" t="n"/>
      <c r="F254" s="22" t="n"/>
      <c r="G254" s="22" t="n"/>
      <c r="H254" s="22" t="n"/>
      <c r="I254" s="22" t="n"/>
      <c r="J254" s="22" t="n"/>
      <c r="K254" s="130" t="n"/>
      <c r="L254" s="22" t="n"/>
      <c r="M254" s="22" t="n"/>
      <c r="N254" s="22" t="n"/>
      <c r="O254" s="22" t="n"/>
      <c r="P254" s="22" t="n"/>
      <c r="Q254" s="22" t="n"/>
      <c r="R254" s="22" t="n"/>
      <c r="S254" s="22" t="n"/>
      <c r="T254" s="22" t="n"/>
      <c r="U254" s="22" t="n"/>
      <c r="V254" s="22" t="n"/>
      <c r="W254" s="22" t="n"/>
      <c r="X254" s="22" t="n"/>
      <c r="Y254" s="22" t="n"/>
      <c r="Z254" s="22" t="n"/>
      <c r="AA254" s="22" t="n"/>
      <c r="AB254" s="22" t="n"/>
      <c r="AC254" s="22" t="n"/>
      <c r="AD254" s="22" t="n"/>
      <c r="AE254" s="22" t="n"/>
      <c r="AF254" s="22" t="n"/>
      <c r="AG254" s="22" t="n"/>
      <c r="AH254" s="22" t="n"/>
      <c r="AI254" s="22" t="n"/>
    </row>
    <row r="255" ht="19.5" customHeight="1">
      <c r="A255" s="22" t="n"/>
      <c r="B255" s="48" t="inlineStr">
        <is>
          <t>Share issuance (m shares)</t>
        </is>
      </c>
      <c r="D255" s="498" t="n"/>
      <c r="E255" s="22" t="n"/>
      <c r="F255" s="22" t="n"/>
      <c r="G255" s="22" t="n"/>
      <c r="H255" s="22" t="n"/>
      <c r="I255" s="22" t="n"/>
      <c r="J255" s="22" t="n"/>
      <c r="K255" s="130" t="n"/>
      <c r="L255" s="22" t="n"/>
      <c r="M255" s="22" t="n"/>
      <c r="N255" s="22" t="n"/>
      <c r="O255" s="22" t="n"/>
      <c r="P255" s="22" t="n"/>
      <c r="Q255" s="22" t="n"/>
      <c r="R255" s="22" t="n"/>
      <c r="S255" s="22" t="n"/>
      <c r="T255" s="22" t="n"/>
      <c r="U255" s="22" t="n"/>
      <c r="V255" s="22" t="n"/>
      <c r="W255" s="22" t="n"/>
      <c r="X255" s="22" t="n"/>
      <c r="Y255" s="22" t="n"/>
      <c r="Z255" s="22" t="n"/>
      <c r="AA255" s="22" t="n"/>
      <c r="AB255" s="22" t="n"/>
      <c r="AC255" s="22" t="n"/>
      <c r="AD255" s="22" t="n"/>
      <c r="AE255" s="22" t="n"/>
      <c r="AF255" s="22" t="n"/>
      <c r="AG255" s="22" t="n"/>
      <c r="AH255" s="22" t="n"/>
      <c r="AI255" s="22" t="n"/>
    </row>
    <row r="256" ht="19.5" customHeight="1">
      <c r="A256" s="22" t="n"/>
      <c r="B256" s="48" t="inlineStr">
        <is>
          <t>Debt paydown ($m)</t>
        </is>
      </c>
      <c r="D256" s="498" t="n"/>
      <c r="E256" s="22" t="n"/>
      <c r="F256" s="22" t="n"/>
      <c r="G256" s="22" t="n"/>
      <c r="H256" s="22" t="n"/>
      <c r="I256" s="22" t="n"/>
      <c r="J256" s="22" t="n"/>
      <c r="K256" s="130" t="n"/>
      <c r="L256" s="22" t="n"/>
      <c r="M256" s="22" t="n"/>
      <c r="N256" s="22" t="n"/>
      <c r="O256" s="22" t="n"/>
      <c r="P256" s="22" t="n"/>
      <c r="Q256" s="22" t="n"/>
      <c r="R256" s="22" t="n"/>
      <c r="S256" s="22" t="n"/>
      <c r="T256" s="22" t="n"/>
      <c r="U256" s="22" t="n"/>
      <c r="V256" s="22" t="n"/>
      <c r="W256" s="22" t="n"/>
      <c r="X256" s="22" t="n"/>
      <c r="Y256" s="22" t="n"/>
      <c r="Z256" s="22" t="n"/>
      <c r="AA256" s="22" t="n"/>
      <c r="AB256" s="22" t="n"/>
      <c r="AC256" s="22" t="n"/>
      <c r="AD256" s="22" t="n"/>
      <c r="AE256" s="22" t="n"/>
      <c r="AF256" s="22" t="n"/>
      <c r="AG256" s="22" t="n"/>
      <c r="AH256" s="22" t="n"/>
      <c r="AI256" s="22" t="n"/>
    </row>
    <row r="257" ht="19.5" customHeight="1">
      <c r="A257" s="22" t="n"/>
      <c r="B257" s="22" t="n"/>
      <c r="C257" s="22" t="n"/>
      <c r="D257" s="22" t="n"/>
      <c r="E257" s="22" t="n"/>
      <c r="F257" s="22" t="n"/>
      <c r="G257" s="22" t="n"/>
      <c r="H257" s="22" t="n"/>
      <c r="I257" s="22" t="n"/>
      <c r="J257" s="22" t="n"/>
      <c r="K257" s="130" t="n"/>
      <c r="L257" s="22" t="n"/>
      <c r="M257" s="22" t="n"/>
      <c r="N257" s="22" t="n"/>
      <c r="O257" s="22" t="n"/>
      <c r="P257" s="22" t="n"/>
      <c r="Q257" s="22" t="n"/>
      <c r="R257" s="22" t="n"/>
      <c r="S257" s="22" t="n"/>
      <c r="T257" s="22" t="n"/>
      <c r="U257" s="22" t="n"/>
      <c r="V257" s="22" t="n"/>
      <c r="W257" s="22" t="n"/>
      <c r="X257" s="22" t="n"/>
      <c r="Y257" s="22" t="n"/>
      <c r="Z257" s="22" t="n"/>
      <c r="AA257" s="22" t="n"/>
      <c r="AB257" s="22" t="n"/>
      <c r="AC257" s="22" t="n"/>
      <c r="AD257" s="22" t="n"/>
      <c r="AE257" s="22" t="n"/>
      <c r="AF257" s="22" t="n"/>
      <c r="AG257" s="22" t="n"/>
      <c r="AH257" s="22" t="n"/>
      <c r="AI257" s="22" t="n"/>
    </row>
    <row r="258" ht="19.5" customHeight="1">
      <c r="A258" s="22" t="n"/>
      <c r="B258" s="374" t="inlineStr">
        <is>
          <t>Scenario outputs</t>
        </is>
      </c>
      <c r="K258" s="364" t="n"/>
      <c r="L258" s="22" t="n"/>
      <c r="M258" s="22" t="n"/>
      <c r="N258" s="22" t="n"/>
      <c r="O258" s="22" t="n"/>
      <c r="P258" s="22" t="n"/>
      <c r="Q258" s="22" t="n"/>
      <c r="R258" s="22" t="n"/>
      <c r="S258" s="22" t="n"/>
      <c r="T258" s="22" t="n"/>
      <c r="U258" s="22" t="n"/>
      <c r="V258" s="22" t="n"/>
      <c r="W258" s="22" t="n"/>
      <c r="X258" s="22" t="n"/>
      <c r="Y258" s="22" t="n"/>
      <c r="Z258" s="22" t="n"/>
      <c r="AA258" s="22" t="n"/>
      <c r="AB258" s="22" t="n"/>
      <c r="AC258" s="22" t="n"/>
      <c r="AD258" s="22" t="n"/>
      <c r="AE258" s="22" t="n"/>
      <c r="AF258" s="22" t="n"/>
      <c r="AG258" s="22" t="n"/>
      <c r="AH258" s="22" t="n"/>
      <c r="AI258" s="22" t="n"/>
    </row>
    <row r="259" ht="19.5" customHeight="1">
      <c r="A259" s="22" t="n"/>
      <c r="B259" s="48" t="inlineStr">
        <is>
          <t>Scenario shares (m)</t>
        </is>
      </c>
      <c r="E259" s="504">
        <f>IF(OR(IF(PerShareMode="Outstanding",Shares,IF(PerShareMode="Diluted",SharesDiluted,""))="",ScenarioBuybackCash="",ScenarioShareIssuance="",AND(ScenarioBuybackCash&lt;&gt;0,OR(ScenarioBuybackPrice="",ScenarioBuybackPrice&lt;=0))),"",IF(IF(PerShareMode="Outstanding",Shares,IF(PerShareMode="Diluted",SharesDiluted,""))-IF(ScenarioBuybackCash=0,0,ScenarioBuybackCash/ScenarioBuybackPrice)+ScenarioShareIssuance&lt;=0,"",IF(PerShareMode="Outstanding",Shares,IF(PerShareMode="Diluted",SharesDiluted,""))-IF(ScenarioBuybackCash=0,0,ScenarioBuybackCash/ScenarioBuybackPrice)+ScenarioShareIssuance))</f>
        <v/>
      </c>
      <c r="F259" s="368" t="inlineStr">
        <is>
          <t>Multiple adjusted for balance-sheet optionality toggle.</t>
        </is>
      </c>
      <c r="H259" t="inlineStr">
        <is>
          <t>Scenario enterprise value ($m)</t>
        </is>
      </c>
      <c r="J259" s="505">
        <f>IF(OR(Target_EV_AdjEBITDA="",ScenarioAdjustedEBITDA=""),"",Target_EV_AdjEBITDA*ScenarioAdjustedEBITDA)</f>
        <v/>
      </c>
      <c r="L259" s="22" t="n"/>
      <c r="M259" s="22" t="inlineStr">
        <is>
          <t>Upside / downside</t>
        </is>
      </c>
      <c r="N259" s="451">
        <f>IF(OR(ScenarioImpliedPrice="",Price="",Price&lt;=0),"",ScenarioImpliedPrice/Price-1)</f>
        <v/>
      </c>
      <c r="O259" s="22" t="n"/>
      <c r="P259" s="22" t="n"/>
      <c r="Q259" s="22" t="inlineStr">
        <is>
          <t>Scenario EV/Revenue</t>
        </is>
      </c>
      <c r="R259" s="359">
        <f>IF(OR(ScenarioEV="",ScenarioRevenue="",ScenarioRevenue=0),"",ScenarioEV/ScenarioRevenue)</f>
        <v/>
      </c>
      <c r="S259" s="22" t="n"/>
      <c r="T259" s="22" t="n"/>
      <c r="U259" s="22" t="n"/>
      <c r="V259" s="22" t="n"/>
      <c r="W259" s="22" t="n"/>
      <c r="X259" s="22" t="n"/>
      <c r="Y259" s="22" t="n"/>
      <c r="Z259" s="22" t="n"/>
      <c r="AA259" s="22" t="n"/>
      <c r="AB259" s="22" t="n"/>
      <c r="AC259" s="22" t="n"/>
      <c r="AD259" s="22" t="n"/>
      <c r="AE259" s="22" t="n"/>
      <c r="AF259" s="22" t="n"/>
      <c r="AG259" s="22" t="n"/>
      <c r="AH259" s="22" t="n"/>
      <c r="AI259" s="22" t="n"/>
    </row>
    <row r="260" ht="19.5" customHeight="1">
      <c r="A260" s="22" t="n"/>
      <c r="B260" s="48" t="inlineStr">
        <is>
          <t>Scenario net debt ($m)</t>
        </is>
      </c>
      <c r="E260" s="450">
        <f>IF(OR(NetDebt="",ScenarioBuybackCash="",ScenarioDebtPaydown=""),"",NetDebt+ScenarioBuybackCash-ScenarioDebtPaydown)</f>
        <v/>
      </c>
      <c r="F260" s="368" t="inlineStr">
        <is>
          <t>Cross-check multiple adjusted for balance-sheet optionality toggle.</t>
        </is>
      </c>
      <c r="H260" t="inlineStr">
        <is>
          <t>Scenario equity value ($m)</t>
        </is>
      </c>
      <c r="J260" s="505">
        <f>IF(OR(ScenarioEV="",ScenarioNetDebt=""),"",ScenarioEV-ScenarioNetDebt)</f>
        <v/>
      </c>
      <c r="L260" s="22" t="n"/>
      <c r="M260" s="22" t="inlineStr">
        <is>
          <t>Scenario P/E</t>
        </is>
      </c>
      <c r="N260" s="359">
        <f>IF(OR(ScenarioImpliedPrice="",ScenarioEPS="",ScenarioEPS=0),"",ScenarioImpliedPrice/ScenarioEPS)</f>
        <v/>
      </c>
      <c r="O260" s="22" t="n"/>
      <c r="P260" s="22" t="n"/>
      <c r="Q260" s="22" t="inlineStr">
        <is>
          <t>Scenario EV/EBITDA (base)</t>
        </is>
      </c>
      <c r="R260" s="359">
        <f>IF(OR(ScenarioEV="",ScenarioBaseEBITDA="",ScenarioBaseEBITDA=0),"",ScenarioEV/ScenarioBaseEBITDA)</f>
        <v/>
      </c>
      <c r="S260" s="22" t="n"/>
      <c r="T260" s="22" t="n"/>
      <c r="U260" s="22" t="n"/>
      <c r="V260" s="22" t="n"/>
      <c r="W260" s="22" t="n"/>
      <c r="X260" s="22" t="n"/>
      <c r="Y260" s="22" t="n"/>
      <c r="Z260" s="22" t="n"/>
      <c r="AA260" s="22" t="n"/>
      <c r="AB260" s="22" t="n"/>
      <c r="AC260" s="22" t="n"/>
      <c r="AD260" s="22" t="n"/>
      <c r="AE260" s="22" t="n"/>
      <c r="AF260" s="22" t="n"/>
      <c r="AG260" s="22" t="n"/>
      <c r="AH260" s="22" t="n"/>
      <c r="AI260" s="22" t="n"/>
    </row>
    <row r="261" ht="19.5" customHeight="1">
      <c r="A261" s="22" t="n"/>
      <c r="B261" s="132" t="inlineStr">
        <is>
          <t>Scenario EPS ($/share)</t>
        </is>
      </c>
      <c r="C261" s="371" t="n"/>
      <c r="D261" s="371" t="n"/>
      <c r="E261" s="506">
        <f>IF(OR(NetIncome_TTM="",ScenarioShares="",ScenarioShares&lt;=0,ScenarioPreTaxBridge="",ScenarioTaxTreatment="",ScenarioTaxRate="",ScenarioCashInterestChange="",ScenarioInterestTaxTreatment=""),"",(NetIncome_TTM+IF(ScenarioTaxTreatment="taxable",ScenarioPreTaxBridge*(1-ScenarioTaxRate),IF(OR(ScenarioTaxTreatment="non_taxable",ScenarioTaxTreatment="non_taxable_credit"),ScenarioPreTaxBridge,IF(OR(ScenarioTaxTreatment="cash_only",ScenarioTaxTreatment="no_eps_impact"),0,"")))-IF(ScenarioInterestTaxTreatment="taxable",ScenarioCashInterestChange*(1-ScenarioTaxRate),IF(ScenarioInterestTaxTreatment="non_taxable",ScenarioCashInterestChange,"")))/ScenarioShares)</f>
        <v/>
      </c>
      <c r="F261" s="372" t="inlineStr">
        <is>
          <t>Yield uplift from regulatory/non-GAAP/customer-concentration toggles.</t>
        </is>
      </c>
      <c r="H261" t="inlineStr">
        <is>
          <t>Scenario implied price ($/share)</t>
        </is>
      </c>
      <c r="J261" s="507">
        <f>IF(OR(ScenarioEquityValue="",ScenarioShares="",ScenarioShares&lt;=0),"",ScenarioEquityValue/ScenarioShares)</f>
        <v/>
      </c>
      <c r="L261" s="22" t="n"/>
      <c r="M261" s="22" t="inlineStr">
        <is>
          <t>Scenario FCF yield</t>
        </is>
      </c>
      <c r="N261" s="59">
        <f>IF(OR(NOT(ISNUMBER(ScenarioFCF)),NOT(ISNUMBER(ScenarioImpliedPrice)),NOT(ISNUMBER(ScenarioShares)),ScenarioImpliedPrice&lt;=0,ScenarioShares&lt;=0),"",ScenarioFCF/(ScenarioImpliedPrice*ScenarioShares))</f>
        <v/>
      </c>
      <c r="O261" s="22" t="n"/>
      <c r="P261" s="22" t="n"/>
      <c r="Q261" s="22" t="inlineStr">
        <is>
          <t>Scenario EV/Adjusted EBITDA</t>
        </is>
      </c>
      <c r="R261" s="359">
        <f>IF(OR(ScenarioEV="",ScenarioAdjustedEBITDA="",ScenarioAdjustedEBITDA=0),"",ScenarioEV/ScenarioAdjustedEBITDA)</f>
        <v/>
      </c>
      <c r="S261" s="22" t="n"/>
      <c r="T261" s="22" t="n"/>
      <c r="U261" s="22" t="n"/>
      <c r="V261" s="22" t="n"/>
      <c r="W261" s="22" t="n"/>
      <c r="X261" s="22" t="n"/>
      <c r="Y261" s="22" t="n"/>
      <c r="Z261" s="22" t="n"/>
      <c r="AA261" s="22" t="n"/>
      <c r="AB261" s="22" t="n"/>
      <c r="AC261" s="22" t="n"/>
      <c r="AD261" s="22" t="n"/>
      <c r="AE261" s="22" t="n"/>
      <c r="AF261" s="22" t="n"/>
      <c r="AG261" s="22" t="n"/>
      <c r="AH261" s="22" t="n"/>
      <c r="AI261" s="22" t="n"/>
    </row>
    <row r="262" hidden="1">
      <c r="A262" t="inlineStr">
        <is>
          <t>Formula input: gross_profit</t>
        </is>
      </c>
      <c r="B262" s="508" t="n"/>
      <c r="C262" s="508" t="n"/>
      <c r="D262" s="508" t="n"/>
      <c r="E262" s="508" t="n"/>
      <c r="F262" s="508" t="n"/>
      <c r="G262" s="508" t="n"/>
      <c r="H262" s="508" t="n"/>
      <c r="I262" s="508" t="n"/>
      <c r="J262" s="508" t="n"/>
      <c r="K262" s="508" t="n"/>
      <c r="L262" s="508" t="n"/>
      <c r="M262" s="508" t="n"/>
    </row>
    <row r="263" hidden="1">
      <c r="A263" t="inlineStr">
        <is>
          <t>Formula input: interest_expense</t>
        </is>
      </c>
      <c r="B263" s="508" t="n"/>
      <c r="C263" s="508" t="n"/>
      <c r="D263" s="508" t="n"/>
      <c r="E263" s="508" t="n"/>
      <c r="F263" s="508" t="n"/>
      <c r="G263" s="508" t="n"/>
      <c r="H263" s="508" t="n"/>
      <c r="I263" s="508" t="n"/>
      <c r="J263" s="508" t="n"/>
      <c r="K263" s="508" t="n"/>
      <c r="L263" s="508" t="n"/>
      <c r="M263" s="508" t="n"/>
    </row>
    <row r="264" hidden="1">
      <c r="A264" t="inlineStr">
        <is>
          <t>Formula input: dividends_cash</t>
        </is>
      </c>
      <c r="B264" s="508" t="n"/>
      <c r="C264" s="508" t="n"/>
      <c r="D264" s="508" t="n"/>
      <c r="E264" s="508" t="n"/>
      <c r="F264" s="508" t="n"/>
      <c r="G264" s="508" t="n"/>
      <c r="H264" s="508" t="n"/>
      <c r="I264" s="508" t="n"/>
      <c r="J264" s="508" t="n"/>
      <c r="K264" s="508" t="n"/>
      <c r="L264" s="508" t="n"/>
      <c r="M264" s="508" t="n"/>
    </row>
    <row r="265" hidden="1">
      <c r="A265" t="inlineStr">
        <is>
          <t>Formula input: acquisitions_cash</t>
        </is>
      </c>
      <c r="B265" s="508" t="n"/>
      <c r="C265" s="508" t="n"/>
      <c r="D265" s="508" t="n"/>
      <c r="E265" s="508" t="n"/>
      <c r="F265" s="508" t="n"/>
      <c r="G265" s="508" t="n"/>
      <c r="H265" s="508" t="n"/>
      <c r="I265" s="508" t="n"/>
      <c r="J265" s="508" t="n"/>
      <c r="K265" s="508" t="n"/>
      <c r="L265" s="508" t="n"/>
      <c r="M265" s="508" t="n"/>
    </row>
    <row r="266" hidden="1">
      <c r="A266" t="inlineStr">
        <is>
          <t>Formula input: debt_repayment</t>
        </is>
      </c>
      <c r="B266" s="508" t="n"/>
      <c r="C266" s="508" t="n"/>
      <c r="D266" s="508" t="n"/>
      <c r="E266" s="508" t="n"/>
      <c r="F266" s="508" t="n"/>
      <c r="G266" s="508" t="n"/>
      <c r="H266" s="508" t="n"/>
      <c r="I266" s="508" t="n"/>
      <c r="J266" s="508" t="n"/>
      <c r="K266" s="508" t="n"/>
      <c r="L266" s="508" t="n"/>
      <c r="M266" s="508" t="n"/>
    </row>
    <row r="267" hidden="1">
      <c r="A267" t="inlineStr">
        <is>
          <t>Formula input: debt_issuance</t>
        </is>
      </c>
      <c r="B267" s="508" t="n"/>
      <c r="C267" s="508" t="n"/>
      <c r="D267" s="508" t="n"/>
      <c r="E267" s="508" t="n"/>
      <c r="F267" s="508" t="n"/>
      <c r="G267" s="508" t="n"/>
      <c r="H267" s="508" t="n"/>
      <c r="I267" s="508" t="n"/>
      <c r="J267" s="508" t="n"/>
      <c r="K267" s="508" t="n"/>
      <c r="L267" s="508" t="n"/>
      <c r="M267" s="508" t="n"/>
    </row>
    <row r="268" hidden="1">
      <c r="A268" t="inlineStr">
        <is>
          <t>Formula input: total_equity</t>
        </is>
      </c>
      <c r="B268" s="508" t="n"/>
      <c r="C268" s="508" t="n"/>
      <c r="D268" s="508" t="n"/>
      <c r="E268" s="508" t="n"/>
      <c r="F268" s="508" t="n"/>
      <c r="G268" s="508" t="n"/>
      <c r="H268" s="508" t="n"/>
      <c r="I268" s="508" t="n"/>
      <c r="J268" s="508" t="n"/>
      <c r="K268" s="508" t="n"/>
      <c r="L268" s="508" t="n"/>
      <c r="M268" s="508" t="n"/>
    </row>
    <row r="269" hidden="1">
      <c r="A269" t="inlineStr">
        <is>
          <t>Formula input: goodwill</t>
        </is>
      </c>
      <c r="B269" s="508" t="n"/>
      <c r="C269" s="508" t="n"/>
      <c r="D269" s="508" t="n"/>
      <c r="E269" s="508" t="n"/>
      <c r="F269" s="508" t="n"/>
      <c r="G269" s="508" t="n"/>
      <c r="H269" s="508" t="n"/>
      <c r="I269" s="508" t="n"/>
      <c r="J269" s="508" t="n"/>
      <c r="K269" s="508" t="n"/>
      <c r="L269" s="508" t="n"/>
      <c r="M269" s="508" t="n"/>
    </row>
    <row r="270" hidden="1">
      <c r="A270" t="inlineStr">
        <is>
          <t>Formula input: intangibles</t>
        </is>
      </c>
      <c r="B270" s="508" t="n"/>
      <c r="C270" s="508" t="n"/>
      <c r="D270" s="508" t="n"/>
      <c r="E270" s="508" t="n"/>
      <c r="F270" s="508" t="n"/>
      <c r="G270" s="508" t="n"/>
      <c r="H270" s="508" t="n"/>
      <c r="I270" s="508" t="n"/>
      <c r="J270" s="508" t="n"/>
      <c r="K270" s="508" t="n"/>
      <c r="L270" s="508" t="n"/>
      <c r="M270" s="508" t="n"/>
    </row>
    <row r="271" hidden="1">
      <c r="A271" t="inlineStr">
        <is>
          <t>Formula output: operating_cash_flow_ttm</t>
        </is>
      </c>
      <c r="B271" s="505">
        <f>IF(OR(B$6="",COUNTIFS(History_Q!$C$2:$C$1000,"operating_cash_flow",History_Q!$B$2:$B$1000,"&gt;="&amp;((SUMIFS(History_Q!$B$2:$B$1000,History_Q!$A$2:$A$1000,B$6,History_Q!$C$2:$C$1000,"operating_cash_flow"))-3),History_Q!$B$2:$B$1000,"&lt;="&amp;(SUMIFS(History_Q!$B$2:$B$1000,History_Q!$A$2:$A$1000,B$6,History_Q!$C$2:$C$1000,"operating_cash_flow")),History_Q!$E$2:$E$1000,"$m",History_Q!$G$2:$G$1000,"populated")&lt;&gt;4,_xlfn.MAXIFS(History_Q!$B$2:$B$1000,History_Q!$C$2:$C$1000,"operating_cash_flow",History_Q!$B$2:$B$1000,"&gt;="&amp;((SUMIFS(History_Q!$B$2:$B$1000,History_Q!$A$2:$A$1000,B$6,History_Q!$C$2:$C$1000,"operating_cash_flow"))-3),History_Q!$B$2:$B$1000,"&lt;="&amp;(SUMIFS(History_Q!$B$2:$B$1000,History_Q!$A$2:$A$1000,B$6,History_Q!$C$2:$C$1000,"operating_cash_flow")),History_Q!$E$2:$E$1000,"$m",History_Q!$G$2:$G$1000,"populated")-_xlfn.MINIFS(History_Q!$B$2:$B$1000,History_Q!$C$2:$C$1000,"operating_cash_flow",History_Q!$B$2:$B$1000,"&gt;="&amp;((SUMIFS(History_Q!$B$2:$B$1000,History_Q!$A$2:$A$1000,B$6,History_Q!$C$2:$C$1000,"operating_cash_flow"))-3),History_Q!$B$2:$B$1000,"&lt;="&amp;(SUMIFS(History_Q!$B$2:$B$1000,History_Q!$A$2:$A$1000,B$6,History_Q!$C$2:$C$1000,"operating_cash_flow")),History_Q!$E$2:$E$1000,"$m",History_Q!$G$2:$G$1000,"populated")&lt;&gt;3),"",SUMIFS(History_Q!$D$2:$D$1000,History_Q!$C$2:$C$1000,"operating_cash_flow",History_Q!$B$2:$B$1000,"&gt;="&amp;((SUMIFS(History_Q!$B$2:$B$1000,History_Q!$A$2:$A$1000,B$6,History_Q!$C$2:$C$1000,"operating_cash_flow"))-3),History_Q!$B$2:$B$1000,"&lt;="&amp;(SUMIFS(History_Q!$B$2:$B$1000,History_Q!$A$2:$A$1000,B$6,History_Q!$C$2:$C$1000,"operating_cash_flow")),History_Q!$E$2:$E$1000,"$m",History_Q!$G$2:$G$1000,"populated"))</f>
        <v/>
      </c>
      <c r="C271" s="505">
        <f>IF(OR(C$6="",COUNTIFS(History_Q!$C$2:$C$1000,"operating_cash_flow",History_Q!$B$2:$B$1000,"&gt;="&amp;((SUMIFS(History_Q!$B$2:$B$1000,History_Q!$A$2:$A$1000,C$6,History_Q!$C$2:$C$1000,"operating_cash_flow"))-3),History_Q!$B$2:$B$1000,"&lt;="&amp;(SUMIFS(History_Q!$B$2:$B$1000,History_Q!$A$2:$A$1000,C$6,History_Q!$C$2:$C$1000,"operating_cash_flow")),History_Q!$E$2:$E$1000,"$m",History_Q!$G$2:$G$1000,"populated")&lt;&gt;4,_xlfn.MAXIFS(History_Q!$B$2:$B$1000,History_Q!$C$2:$C$1000,"operating_cash_flow",History_Q!$B$2:$B$1000,"&gt;="&amp;((SUMIFS(History_Q!$B$2:$B$1000,History_Q!$A$2:$A$1000,C$6,History_Q!$C$2:$C$1000,"operating_cash_flow"))-3),History_Q!$B$2:$B$1000,"&lt;="&amp;(SUMIFS(History_Q!$B$2:$B$1000,History_Q!$A$2:$A$1000,C$6,History_Q!$C$2:$C$1000,"operating_cash_flow")),History_Q!$E$2:$E$1000,"$m",History_Q!$G$2:$G$1000,"populated")-_xlfn.MINIFS(History_Q!$B$2:$B$1000,History_Q!$C$2:$C$1000,"operating_cash_flow",History_Q!$B$2:$B$1000,"&gt;="&amp;((SUMIFS(History_Q!$B$2:$B$1000,History_Q!$A$2:$A$1000,C$6,History_Q!$C$2:$C$1000,"operating_cash_flow"))-3),History_Q!$B$2:$B$1000,"&lt;="&amp;(SUMIFS(History_Q!$B$2:$B$1000,History_Q!$A$2:$A$1000,C$6,History_Q!$C$2:$C$1000,"operating_cash_flow")),History_Q!$E$2:$E$1000,"$m",History_Q!$G$2:$G$1000,"populated")&lt;&gt;3),"",SUMIFS(History_Q!$D$2:$D$1000,History_Q!$C$2:$C$1000,"operating_cash_flow",History_Q!$B$2:$B$1000,"&gt;="&amp;((SUMIFS(History_Q!$B$2:$B$1000,History_Q!$A$2:$A$1000,C$6,History_Q!$C$2:$C$1000,"operating_cash_flow"))-3),History_Q!$B$2:$B$1000,"&lt;="&amp;(SUMIFS(History_Q!$B$2:$B$1000,History_Q!$A$2:$A$1000,C$6,History_Q!$C$2:$C$1000,"operating_cash_flow")),History_Q!$E$2:$E$1000,"$m",History_Q!$G$2:$G$1000,"populated"))</f>
        <v/>
      </c>
      <c r="D271" s="505">
        <f>IF(OR(D$6="",COUNTIFS(History_Q!$C$2:$C$1000,"operating_cash_flow",History_Q!$B$2:$B$1000,"&gt;="&amp;((SUMIFS(History_Q!$B$2:$B$1000,History_Q!$A$2:$A$1000,D$6,History_Q!$C$2:$C$1000,"operating_cash_flow"))-3),History_Q!$B$2:$B$1000,"&lt;="&amp;(SUMIFS(History_Q!$B$2:$B$1000,History_Q!$A$2:$A$1000,D$6,History_Q!$C$2:$C$1000,"operating_cash_flow")),History_Q!$E$2:$E$1000,"$m",History_Q!$G$2:$G$1000,"populated")&lt;&gt;4,_xlfn.MAXIFS(History_Q!$B$2:$B$1000,History_Q!$C$2:$C$1000,"operating_cash_flow",History_Q!$B$2:$B$1000,"&gt;="&amp;((SUMIFS(History_Q!$B$2:$B$1000,History_Q!$A$2:$A$1000,D$6,History_Q!$C$2:$C$1000,"operating_cash_flow"))-3),History_Q!$B$2:$B$1000,"&lt;="&amp;(SUMIFS(History_Q!$B$2:$B$1000,History_Q!$A$2:$A$1000,D$6,History_Q!$C$2:$C$1000,"operating_cash_flow")),History_Q!$E$2:$E$1000,"$m",History_Q!$G$2:$G$1000,"populated")-_xlfn.MINIFS(History_Q!$B$2:$B$1000,History_Q!$C$2:$C$1000,"operating_cash_flow",History_Q!$B$2:$B$1000,"&gt;="&amp;((SUMIFS(History_Q!$B$2:$B$1000,History_Q!$A$2:$A$1000,D$6,History_Q!$C$2:$C$1000,"operating_cash_flow"))-3),History_Q!$B$2:$B$1000,"&lt;="&amp;(SUMIFS(History_Q!$B$2:$B$1000,History_Q!$A$2:$A$1000,D$6,History_Q!$C$2:$C$1000,"operating_cash_flow")),History_Q!$E$2:$E$1000,"$m",History_Q!$G$2:$G$1000,"populated")&lt;&gt;3),"",SUMIFS(History_Q!$D$2:$D$1000,History_Q!$C$2:$C$1000,"operating_cash_flow",History_Q!$B$2:$B$1000,"&gt;="&amp;((SUMIFS(History_Q!$B$2:$B$1000,History_Q!$A$2:$A$1000,D$6,History_Q!$C$2:$C$1000,"operating_cash_flow"))-3),History_Q!$B$2:$B$1000,"&lt;="&amp;(SUMIFS(History_Q!$B$2:$B$1000,History_Q!$A$2:$A$1000,D$6,History_Q!$C$2:$C$1000,"operating_cash_flow")),History_Q!$E$2:$E$1000,"$m",History_Q!$G$2:$G$1000,"populated"))</f>
        <v/>
      </c>
      <c r="E271" s="505">
        <f>IF(OR(E$6="",COUNTIFS(History_Q!$C$2:$C$1000,"operating_cash_flow",History_Q!$B$2:$B$1000,"&gt;="&amp;((SUMIFS(History_Q!$B$2:$B$1000,History_Q!$A$2:$A$1000,E$6,History_Q!$C$2:$C$1000,"operating_cash_flow"))-3),History_Q!$B$2:$B$1000,"&lt;="&amp;(SUMIFS(History_Q!$B$2:$B$1000,History_Q!$A$2:$A$1000,E$6,History_Q!$C$2:$C$1000,"operating_cash_flow")),History_Q!$E$2:$E$1000,"$m",History_Q!$G$2:$G$1000,"populated")&lt;&gt;4,_xlfn.MAXIFS(History_Q!$B$2:$B$1000,History_Q!$C$2:$C$1000,"operating_cash_flow",History_Q!$B$2:$B$1000,"&gt;="&amp;((SUMIFS(History_Q!$B$2:$B$1000,History_Q!$A$2:$A$1000,E$6,History_Q!$C$2:$C$1000,"operating_cash_flow"))-3),History_Q!$B$2:$B$1000,"&lt;="&amp;(SUMIFS(History_Q!$B$2:$B$1000,History_Q!$A$2:$A$1000,E$6,History_Q!$C$2:$C$1000,"operating_cash_flow")),History_Q!$E$2:$E$1000,"$m",History_Q!$G$2:$G$1000,"populated")-_xlfn.MINIFS(History_Q!$B$2:$B$1000,History_Q!$C$2:$C$1000,"operating_cash_flow",History_Q!$B$2:$B$1000,"&gt;="&amp;((SUMIFS(History_Q!$B$2:$B$1000,History_Q!$A$2:$A$1000,E$6,History_Q!$C$2:$C$1000,"operating_cash_flow"))-3),History_Q!$B$2:$B$1000,"&lt;="&amp;(SUMIFS(History_Q!$B$2:$B$1000,History_Q!$A$2:$A$1000,E$6,History_Q!$C$2:$C$1000,"operating_cash_flow")),History_Q!$E$2:$E$1000,"$m",History_Q!$G$2:$G$1000,"populated")&lt;&gt;3),"",SUMIFS(History_Q!$D$2:$D$1000,History_Q!$C$2:$C$1000,"operating_cash_flow",History_Q!$B$2:$B$1000,"&gt;="&amp;((SUMIFS(History_Q!$B$2:$B$1000,History_Q!$A$2:$A$1000,E$6,History_Q!$C$2:$C$1000,"operating_cash_flow"))-3),History_Q!$B$2:$B$1000,"&lt;="&amp;(SUMIFS(History_Q!$B$2:$B$1000,History_Q!$A$2:$A$1000,E$6,History_Q!$C$2:$C$1000,"operating_cash_flow")),History_Q!$E$2:$E$1000,"$m",History_Q!$G$2:$G$1000,"populated"))</f>
        <v/>
      </c>
      <c r="F271" s="505">
        <f>IF(OR(F$6="",COUNTIFS(History_Q!$C$2:$C$1000,"operating_cash_flow",History_Q!$B$2:$B$1000,"&gt;="&amp;((SUMIFS(History_Q!$B$2:$B$1000,History_Q!$A$2:$A$1000,F$6,History_Q!$C$2:$C$1000,"operating_cash_flow"))-3),History_Q!$B$2:$B$1000,"&lt;="&amp;(SUMIFS(History_Q!$B$2:$B$1000,History_Q!$A$2:$A$1000,F$6,History_Q!$C$2:$C$1000,"operating_cash_flow")),History_Q!$E$2:$E$1000,"$m",History_Q!$G$2:$G$1000,"populated")&lt;&gt;4,_xlfn.MAXIFS(History_Q!$B$2:$B$1000,History_Q!$C$2:$C$1000,"operating_cash_flow",History_Q!$B$2:$B$1000,"&gt;="&amp;((SUMIFS(History_Q!$B$2:$B$1000,History_Q!$A$2:$A$1000,F$6,History_Q!$C$2:$C$1000,"operating_cash_flow"))-3),History_Q!$B$2:$B$1000,"&lt;="&amp;(SUMIFS(History_Q!$B$2:$B$1000,History_Q!$A$2:$A$1000,F$6,History_Q!$C$2:$C$1000,"operating_cash_flow")),History_Q!$E$2:$E$1000,"$m",History_Q!$G$2:$G$1000,"populated")-_xlfn.MINIFS(History_Q!$B$2:$B$1000,History_Q!$C$2:$C$1000,"operating_cash_flow",History_Q!$B$2:$B$1000,"&gt;="&amp;((SUMIFS(History_Q!$B$2:$B$1000,History_Q!$A$2:$A$1000,F$6,History_Q!$C$2:$C$1000,"operating_cash_flow"))-3),History_Q!$B$2:$B$1000,"&lt;="&amp;(SUMIFS(History_Q!$B$2:$B$1000,History_Q!$A$2:$A$1000,F$6,History_Q!$C$2:$C$1000,"operating_cash_flow")),History_Q!$E$2:$E$1000,"$m",History_Q!$G$2:$G$1000,"populated")&lt;&gt;3),"",SUMIFS(History_Q!$D$2:$D$1000,History_Q!$C$2:$C$1000,"operating_cash_flow",History_Q!$B$2:$B$1000,"&gt;="&amp;((SUMIFS(History_Q!$B$2:$B$1000,History_Q!$A$2:$A$1000,F$6,History_Q!$C$2:$C$1000,"operating_cash_flow"))-3),History_Q!$B$2:$B$1000,"&lt;="&amp;(SUMIFS(History_Q!$B$2:$B$1000,History_Q!$A$2:$A$1000,F$6,History_Q!$C$2:$C$1000,"operating_cash_flow")),History_Q!$E$2:$E$1000,"$m",History_Q!$G$2:$G$1000,"populated"))</f>
        <v/>
      </c>
      <c r="G271" s="505">
        <f>IF(OR(G$6="",COUNTIFS(History_Q!$C$2:$C$1000,"operating_cash_flow",History_Q!$B$2:$B$1000,"&gt;="&amp;((SUMIFS(History_Q!$B$2:$B$1000,History_Q!$A$2:$A$1000,G$6,History_Q!$C$2:$C$1000,"operating_cash_flow"))-3),History_Q!$B$2:$B$1000,"&lt;="&amp;(SUMIFS(History_Q!$B$2:$B$1000,History_Q!$A$2:$A$1000,G$6,History_Q!$C$2:$C$1000,"operating_cash_flow")),History_Q!$E$2:$E$1000,"$m",History_Q!$G$2:$G$1000,"populated")&lt;&gt;4,_xlfn.MAXIFS(History_Q!$B$2:$B$1000,History_Q!$C$2:$C$1000,"operating_cash_flow",History_Q!$B$2:$B$1000,"&gt;="&amp;((SUMIFS(History_Q!$B$2:$B$1000,History_Q!$A$2:$A$1000,G$6,History_Q!$C$2:$C$1000,"operating_cash_flow"))-3),History_Q!$B$2:$B$1000,"&lt;="&amp;(SUMIFS(History_Q!$B$2:$B$1000,History_Q!$A$2:$A$1000,G$6,History_Q!$C$2:$C$1000,"operating_cash_flow")),History_Q!$E$2:$E$1000,"$m",History_Q!$G$2:$G$1000,"populated")-_xlfn.MINIFS(History_Q!$B$2:$B$1000,History_Q!$C$2:$C$1000,"operating_cash_flow",History_Q!$B$2:$B$1000,"&gt;="&amp;((SUMIFS(History_Q!$B$2:$B$1000,History_Q!$A$2:$A$1000,G$6,History_Q!$C$2:$C$1000,"operating_cash_flow"))-3),History_Q!$B$2:$B$1000,"&lt;="&amp;(SUMIFS(History_Q!$B$2:$B$1000,History_Q!$A$2:$A$1000,G$6,History_Q!$C$2:$C$1000,"operating_cash_flow")),History_Q!$E$2:$E$1000,"$m",History_Q!$G$2:$G$1000,"populated")&lt;&gt;3),"",SUMIFS(History_Q!$D$2:$D$1000,History_Q!$C$2:$C$1000,"operating_cash_flow",History_Q!$B$2:$B$1000,"&gt;="&amp;((SUMIFS(History_Q!$B$2:$B$1000,History_Q!$A$2:$A$1000,G$6,History_Q!$C$2:$C$1000,"operating_cash_flow"))-3),History_Q!$B$2:$B$1000,"&lt;="&amp;(SUMIFS(History_Q!$B$2:$B$1000,History_Q!$A$2:$A$1000,G$6,History_Q!$C$2:$C$1000,"operating_cash_flow")),History_Q!$E$2:$E$1000,"$m",History_Q!$G$2:$G$1000,"populated"))</f>
        <v/>
      </c>
      <c r="H271" s="505">
        <f>IF(OR(H$6="",COUNTIFS(History_Q!$C$2:$C$1000,"operating_cash_flow",History_Q!$B$2:$B$1000,"&gt;="&amp;((SUMIFS(History_Q!$B$2:$B$1000,History_Q!$A$2:$A$1000,H$6,History_Q!$C$2:$C$1000,"operating_cash_flow"))-3),History_Q!$B$2:$B$1000,"&lt;="&amp;(SUMIFS(History_Q!$B$2:$B$1000,History_Q!$A$2:$A$1000,H$6,History_Q!$C$2:$C$1000,"operating_cash_flow")),History_Q!$E$2:$E$1000,"$m",History_Q!$G$2:$G$1000,"populated")&lt;&gt;4,_xlfn.MAXIFS(History_Q!$B$2:$B$1000,History_Q!$C$2:$C$1000,"operating_cash_flow",History_Q!$B$2:$B$1000,"&gt;="&amp;((SUMIFS(History_Q!$B$2:$B$1000,History_Q!$A$2:$A$1000,H$6,History_Q!$C$2:$C$1000,"operating_cash_flow"))-3),History_Q!$B$2:$B$1000,"&lt;="&amp;(SUMIFS(History_Q!$B$2:$B$1000,History_Q!$A$2:$A$1000,H$6,History_Q!$C$2:$C$1000,"operating_cash_flow")),History_Q!$E$2:$E$1000,"$m",History_Q!$G$2:$G$1000,"populated")-_xlfn.MINIFS(History_Q!$B$2:$B$1000,History_Q!$C$2:$C$1000,"operating_cash_flow",History_Q!$B$2:$B$1000,"&gt;="&amp;((SUMIFS(History_Q!$B$2:$B$1000,History_Q!$A$2:$A$1000,H$6,History_Q!$C$2:$C$1000,"operating_cash_flow"))-3),History_Q!$B$2:$B$1000,"&lt;="&amp;(SUMIFS(History_Q!$B$2:$B$1000,History_Q!$A$2:$A$1000,H$6,History_Q!$C$2:$C$1000,"operating_cash_flow")),History_Q!$E$2:$E$1000,"$m",History_Q!$G$2:$G$1000,"populated")&lt;&gt;3),"",SUMIFS(History_Q!$D$2:$D$1000,History_Q!$C$2:$C$1000,"operating_cash_flow",History_Q!$B$2:$B$1000,"&gt;="&amp;((SUMIFS(History_Q!$B$2:$B$1000,History_Q!$A$2:$A$1000,H$6,History_Q!$C$2:$C$1000,"operating_cash_flow"))-3),History_Q!$B$2:$B$1000,"&lt;="&amp;(SUMIFS(History_Q!$B$2:$B$1000,History_Q!$A$2:$A$1000,H$6,History_Q!$C$2:$C$1000,"operating_cash_flow")),History_Q!$E$2:$E$1000,"$m",History_Q!$G$2:$G$1000,"populated"))</f>
        <v/>
      </c>
      <c r="I271" s="505">
        <f>IF(OR(I$6="",COUNTIFS(History_Q!$C$2:$C$1000,"operating_cash_flow",History_Q!$B$2:$B$1000,"&gt;="&amp;((SUMIFS(History_Q!$B$2:$B$1000,History_Q!$A$2:$A$1000,I$6,History_Q!$C$2:$C$1000,"operating_cash_flow"))-3),History_Q!$B$2:$B$1000,"&lt;="&amp;(SUMIFS(History_Q!$B$2:$B$1000,History_Q!$A$2:$A$1000,I$6,History_Q!$C$2:$C$1000,"operating_cash_flow")),History_Q!$E$2:$E$1000,"$m",History_Q!$G$2:$G$1000,"populated")&lt;&gt;4,_xlfn.MAXIFS(History_Q!$B$2:$B$1000,History_Q!$C$2:$C$1000,"operating_cash_flow",History_Q!$B$2:$B$1000,"&gt;="&amp;((SUMIFS(History_Q!$B$2:$B$1000,History_Q!$A$2:$A$1000,I$6,History_Q!$C$2:$C$1000,"operating_cash_flow"))-3),History_Q!$B$2:$B$1000,"&lt;="&amp;(SUMIFS(History_Q!$B$2:$B$1000,History_Q!$A$2:$A$1000,I$6,History_Q!$C$2:$C$1000,"operating_cash_flow")),History_Q!$E$2:$E$1000,"$m",History_Q!$G$2:$G$1000,"populated")-_xlfn.MINIFS(History_Q!$B$2:$B$1000,History_Q!$C$2:$C$1000,"operating_cash_flow",History_Q!$B$2:$B$1000,"&gt;="&amp;((SUMIFS(History_Q!$B$2:$B$1000,History_Q!$A$2:$A$1000,I$6,History_Q!$C$2:$C$1000,"operating_cash_flow"))-3),History_Q!$B$2:$B$1000,"&lt;="&amp;(SUMIFS(History_Q!$B$2:$B$1000,History_Q!$A$2:$A$1000,I$6,History_Q!$C$2:$C$1000,"operating_cash_flow")),History_Q!$E$2:$E$1000,"$m",History_Q!$G$2:$G$1000,"populated")&lt;&gt;3),"",SUMIFS(History_Q!$D$2:$D$1000,History_Q!$C$2:$C$1000,"operating_cash_flow",History_Q!$B$2:$B$1000,"&gt;="&amp;((SUMIFS(History_Q!$B$2:$B$1000,History_Q!$A$2:$A$1000,I$6,History_Q!$C$2:$C$1000,"operating_cash_flow"))-3),History_Q!$B$2:$B$1000,"&lt;="&amp;(SUMIFS(History_Q!$B$2:$B$1000,History_Q!$A$2:$A$1000,I$6,History_Q!$C$2:$C$1000,"operating_cash_flow")),History_Q!$E$2:$E$1000,"$m",History_Q!$G$2:$G$1000,"populated"))</f>
        <v/>
      </c>
      <c r="J271" s="505">
        <f>IF(OR(J$6="",COUNTIFS(History_Q!$C$2:$C$1000,"operating_cash_flow",History_Q!$B$2:$B$1000,"&gt;="&amp;((SUMIFS(History_Q!$B$2:$B$1000,History_Q!$A$2:$A$1000,J$6,History_Q!$C$2:$C$1000,"operating_cash_flow"))-3),History_Q!$B$2:$B$1000,"&lt;="&amp;(SUMIFS(History_Q!$B$2:$B$1000,History_Q!$A$2:$A$1000,J$6,History_Q!$C$2:$C$1000,"operating_cash_flow")),History_Q!$E$2:$E$1000,"$m",History_Q!$G$2:$G$1000,"populated")&lt;&gt;4,_xlfn.MAXIFS(History_Q!$B$2:$B$1000,History_Q!$C$2:$C$1000,"operating_cash_flow",History_Q!$B$2:$B$1000,"&gt;="&amp;((SUMIFS(History_Q!$B$2:$B$1000,History_Q!$A$2:$A$1000,J$6,History_Q!$C$2:$C$1000,"operating_cash_flow"))-3),History_Q!$B$2:$B$1000,"&lt;="&amp;(SUMIFS(History_Q!$B$2:$B$1000,History_Q!$A$2:$A$1000,J$6,History_Q!$C$2:$C$1000,"operating_cash_flow")),History_Q!$E$2:$E$1000,"$m",History_Q!$G$2:$G$1000,"populated")-_xlfn.MINIFS(History_Q!$B$2:$B$1000,History_Q!$C$2:$C$1000,"operating_cash_flow",History_Q!$B$2:$B$1000,"&gt;="&amp;((SUMIFS(History_Q!$B$2:$B$1000,History_Q!$A$2:$A$1000,J$6,History_Q!$C$2:$C$1000,"operating_cash_flow"))-3),History_Q!$B$2:$B$1000,"&lt;="&amp;(SUMIFS(History_Q!$B$2:$B$1000,History_Q!$A$2:$A$1000,J$6,History_Q!$C$2:$C$1000,"operating_cash_flow")),History_Q!$E$2:$E$1000,"$m",History_Q!$G$2:$G$1000,"populated")&lt;&gt;3),"",SUMIFS(History_Q!$D$2:$D$1000,History_Q!$C$2:$C$1000,"operating_cash_flow",History_Q!$B$2:$B$1000,"&gt;="&amp;((SUMIFS(History_Q!$B$2:$B$1000,History_Q!$A$2:$A$1000,J$6,History_Q!$C$2:$C$1000,"operating_cash_flow"))-3),History_Q!$B$2:$B$1000,"&lt;="&amp;(SUMIFS(History_Q!$B$2:$B$1000,History_Q!$A$2:$A$1000,J$6,History_Q!$C$2:$C$1000,"operating_cash_flow")),History_Q!$E$2:$E$1000,"$m",History_Q!$G$2:$G$1000,"populated"))</f>
        <v/>
      </c>
      <c r="K271" s="505">
        <f>IF(OR(K$6="",COUNTIFS(History_Q!$C$2:$C$1000,"operating_cash_flow",History_Q!$B$2:$B$1000,"&gt;="&amp;((SUMIFS(History_Q!$B$2:$B$1000,History_Q!$A$2:$A$1000,K$6,History_Q!$C$2:$C$1000,"operating_cash_flow"))-3),History_Q!$B$2:$B$1000,"&lt;="&amp;(SUMIFS(History_Q!$B$2:$B$1000,History_Q!$A$2:$A$1000,K$6,History_Q!$C$2:$C$1000,"operating_cash_flow")),History_Q!$E$2:$E$1000,"$m",History_Q!$G$2:$G$1000,"populated")&lt;&gt;4,_xlfn.MAXIFS(History_Q!$B$2:$B$1000,History_Q!$C$2:$C$1000,"operating_cash_flow",History_Q!$B$2:$B$1000,"&gt;="&amp;((SUMIFS(History_Q!$B$2:$B$1000,History_Q!$A$2:$A$1000,K$6,History_Q!$C$2:$C$1000,"operating_cash_flow"))-3),History_Q!$B$2:$B$1000,"&lt;="&amp;(SUMIFS(History_Q!$B$2:$B$1000,History_Q!$A$2:$A$1000,K$6,History_Q!$C$2:$C$1000,"operating_cash_flow")),History_Q!$E$2:$E$1000,"$m",History_Q!$G$2:$G$1000,"populated")-_xlfn.MINIFS(History_Q!$B$2:$B$1000,History_Q!$C$2:$C$1000,"operating_cash_flow",History_Q!$B$2:$B$1000,"&gt;="&amp;((SUMIFS(History_Q!$B$2:$B$1000,History_Q!$A$2:$A$1000,K$6,History_Q!$C$2:$C$1000,"operating_cash_flow"))-3),History_Q!$B$2:$B$1000,"&lt;="&amp;(SUMIFS(History_Q!$B$2:$B$1000,History_Q!$A$2:$A$1000,K$6,History_Q!$C$2:$C$1000,"operating_cash_flow")),History_Q!$E$2:$E$1000,"$m",History_Q!$G$2:$G$1000,"populated")&lt;&gt;3),"",SUMIFS(History_Q!$D$2:$D$1000,History_Q!$C$2:$C$1000,"operating_cash_flow",History_Q!$B$2:$B$1000,"&gt;="&amp;((SUMIFS(History_Q!$B$2:$B$1000,History_Q!$A$2:$A$1000,K$6,History_Q!$C$2:$C$1000,"operating_cash_flow"))-3),History_Q!$B$2:$B$1000,"&lt;="&amp;(SUMIFS(History_Q!$B$2:$B$1000,History_Q!$A$2:$A$1000,K$6,History_Q!$C$2:$C$1000,"operating_cash_flow")),History_Q!$E$2:$E$1000,"$m",History_Q!$G$2:$G$1000,"populated"))</f>
        <v/>
      </c>
      <c r="L271" s="505">
        <f>IF(OR(L$6="",COUNTIFS(History_Q!$C$2:$C$1000,"operating_cash_flow",History_Q!$B$2:$B$1000,"&gt;="&amp;((SUMIFS(History_Q!$B$2:$B$1000,History_Q!$A$2:$A$1000,L$6,History_Q!$C$2:$C$1000,"operating_cash_flow"))-3),History_Q!$B$2:$B$1000,"&lt;="&amp;(SUMIFS(History_Q!$B$2:$B$1000,History_Q!$A$2:$A$1000,L$6,History_Q!$C$2:$C$1000,"operating_cash_flow")),History_Q!$E$2:$E$1000,"$m",History_Q!$G$2:$G$1000,"populated")&lt;&gt;4,_xlfn.MAXIFS(History_Q!$B$2:$B$1000,History_Q!$C$2:$C$1000,"operating_cash_flow",History_Q!$B$2:$B$1000,"&gt;="&amp;((SUMIFS(History_Q!$B$2:$B$1000,History_Q!$A$2:$A$1000,L$6,History_Q!$C$2:$C$1000,"operating_cash_flow"))-3),History_Q!$B$2:$B$1000,"&lt;="&amp;(SUMIFS(History_Q!$B$2:$B$1000,History_Q!$A$2:$A$1000,L$6,History_Q!$C$2:$C$1000,"operating_cash_flow")),History_Q!$E$2:$E$1000,"$m",History_Q!$G$2:$G$1000,"populated")-_xlfn.MINIFS(History_Q!$B$2:$B$1000,History_Q!$C$2:$C$1000,"operating_cash_flow",History_Q!$B$2:$B$1000,"&gt;="&amp;((SUMIFS(History_Q!$B$2:$B$1000,History_Q!$A$2:$A$1000,L$6,History_Q!$C$2:$C$1000,"operating_cash_flow"))-3),History_Q!$B$2:$B$1000,"&lt;="&amp;(SUMIFS(History_Q!$B$2:$B$1000,History_Q!$A$2:$A$1000,L$6,History_Q!$C$2:$C$1000,"operating_cash_flow")),History_Q!$E$2:$E$1000,"$m",History_Q!$G$2:$G$1000,"populated")&lt;&gt;3),"",SUMIFS(History_Q!$D$2:$D$1000,History_Q!$C$2:$C$1000,"operating_cash_flow",History_Q!$B$2:$B$1000,"&gt;="&amp;((SUMIFS(History_Q!$B$2:$B$1000,History_Q!$A$2:$A$1000,L$6,History_Q!$C$2:$C$1000,"operating_cash_flow"))-3),History_Q!$B$2:$B$1000,"&lt;="&amp;(SUMIFS(History_Q!$B$2:$B$1000,History_Q!$A$2:$A$1000,L$6,History_Q!$C$2:$C$1000,"operating_cash_flow")),History_Q!$E$2:$E$1000,"$m",History_Q!$G$2:$G$1000,"populated"))</f>
        <v/>
      </c>
      <c r="M271" s="505">
        <f>IF(OR(M$6="",COUNTIFS(History_Q!$C$2:$C$1000,"operating_cash_flow",History_Q!$B$2:$B$1000,"&gt;="&amp;((SUMIFS(History_Q!$B$2:$B$1000,History_Q!$A$2:$A$1000,M$6,History_Q!$C$2:$C$1000,"operating_cash_flow"))-3),History_Q!$B$2:$B$1000,"&lt;="&amp;(SUMIFS(History_Q!$B$2:$B$1000,History_Q!$A$2:$A$1000,M$6,History_Q!$C$2:$C$1000,"operating_cash_flow")),History_Q!$E$2:$E$1000,"$m",History_Q!$G$2:$G$1000,"populated")&lt;&gt;4,_xlfn.MAXIFS(History_Q!$B$2:$B$1000,History_Q!$C$2:$C$1000,"operating_cash_flow",History_Q!$B$2:$B$1000,"&gt;="&amp;((SUMIFS(History_Q!$B$2:$B$1000,History_Q!$A$2:$A$1000,M$6,History_Q!$C$2:$C$1000,"operating_cash_flow"))-3),History_Q!$B$2:$B$1000,"&lt;="&amp;(SUMIFS(History_Q!$B$2:$B$1000,History_Q!$A$2:$A$1000,M$6,History_Q!$C$2:$C$1000,"operating_cash_flow")),History_Q!$E$2:$E$1000,"$m",History_Q!$G$2:$G$1000,"populated")-_xlfn.MINIFS(History_Q!$B$2:$B$1000,History_Q!$C$2:$C$1000,"operating_cash_flow",History_Q!$B$2:$B$1000,"&gt;="&amp;((SUMIFS(History_Q!$B$2:$B$1000,History_Q!$A$2:$A$1000,M$6,History_Q!$C$2:$C$1000,"operating_cash_flow"))-3),History_Q!$B$2:$B$1000,"&lt;="&amp;(SUMIFS(History_Q!$B$2:$B$1000,History_Q!$A$2:$A$1000,M$6,History_Q!$C$2:$C$1000,"operating_cash_flow")),History_Q!$E$2:$E$1000,"$m",History_Q!$G$2:$G$1000,"populated")&lt;&gt;3),"",SUMIFS(History_Q!$D$2:$D$1000,History_Q!$C$2:$C$1000,"operating_cash_flow",History_Q!$B$2:$B$1000,"&gt;="&amp;((SUMIFS(History_Q!$B$2:$B$1000,History_Q!$A$2:$A$1000,M$6,History_Q!$C$2:$C$1000,"operating_cash_flow"))-3),History_Q!$B$2:$B$1000,"&lt;="&amp;(SUMIFS(History_Q!$B$2:$B$1000,History_Q!$A$2:$A$1000,M$6,History_Q!$C$2:$C$1000,"operating_cash_flow")),History_Q!$E$2:$E$1000,"$m",History_Q!$G$2:$G$1000,"populated"))</f>
        <v/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mergeCells count="319">
    <mergeCell ref="B139:E139"/>
    <mergeCell ref="O207:S207"/>
    <mergeCell ref="X73:AC73"/>
    <mergeCell ref="Z53:AA53"/>
    <mergeCell ref="A31:M31"/>
    <mergeCell ref="O200:S200"/>
    <mergeCell ref="O32:P32"/>
    <mergeCell ref="B241:D241"/>
    <mergeCell ref="O202:S202"/>
    <mergeCell ref="U73:W73"/>
    <mergeCell ref="B205:C205"/>
    <mergeCell ref="O55:P55"/>
    <mergeCell ref="F237:K237"/>
    <mergeCell ref="B242:D242"/>
    <mergeCell ref="F130:M130"/>
    <mergeCell ref="X66:AC66"/>
    <mergeCell ref="U247:W247"/>
    <mergeCell ref="A42:M42"/>
    <mergeCell ref="B200:C200"/>
    <mergeCell ref="O63:T63"/>
    <mergeCell ref="O195:S195"/>
    <mergeCell ref="Q238:U238"/>
    <mergeCell ref="O74:T74"/>
    <mergeCell ref="F127:M127"/>
    <mergeCell ref="S17:W17"/>
    <mergeCell ref="B195:C195"/>
    <mergeCell ref="O27:AC27"/>
    <mergeCell ref="B239:D239"/>
    <mergeCell ref="AA12:AC12"/>
    <mergeCell ref="F194:J194"/>
    <mergeCell ref="B5:M5"/>
    <mergeCell ref="AA14:AC14"/>
    <mergeCell ref="O51:P51"/>
    <mergeCell ref="B235:K235"/>
    <mergeCell ref="O58:P58"/>
    <mergeCell ref="A137:M137"/>
    <mergeCell ref="B213:C213"/>
    <mergeCell ref="U74:W74"/>
    <mergeCell ref="O208:S208"/>
    <mergeCell ref="S32:W32"/>
    <mergeCell ref="B244:D244"/>
    <mergeCell ref="A76:M76"/>
    <mergeCell ref="F238:K238"/>
    <mergeCell ref="F205:J205"/>
    <mergeCell ref="B208:C208"/>
    <mergeCell ref="S247:T247"/>
    <mergeCell ref="F240:K240"/>
    <mergeCell ref="B210:C210"/>
    <mergeCell ref="B260:D260"/>
    <mergeCell ref="Q56:W56"/>
    <mergeCell ref="X69:AC69"/>
    <mergeCell ref="O73:T73"/>
    <mergeCell ref="F200:J200"/>
    <mergeCell ref="O66:T66"/>
    <mergeCell ref="O68:T68"/>
    <mergeCell ref="S20:W20"/>
    <mergeCell ref="AA13:AC13"/>
    <mergeCell ref="F195:J195"/>
    <mergeCell ref="B238:D238"/>
    <mergeCell ref="T222:Z231"/>
    <mergeCell ref="AA15:AC15"/>
    <mergeCell ref="F197:J197"/>
    <mergeCell ref="B240:D240"/>
    <mergeCell ref="K194:M194"/>
    <mergeCell ref="B246:K246"/>
    <mergeCell ref="O10:P10"/>
    <mergeCell ref="X247:AA247"/>
    <mergeCell ref="F213:J213"/>
    <mergeCell ref="F215:J215"/>
    <mergeCell ref="H138:I138"/>
    <mergeCell ref="S33:W33"/>
    <mergeCell ref="K205:M205"/>
    <mergeCell ref="Q51:W51"/>
    <mergeCell ref="B261:D261"/>
    <mergeCell ref="S35:W35"/>
    <mergeCell ref="AA28:AC28"/>
    <mergeCell ref="F210:J210"/>
    <mergeCell ref="A3:M3"/>
    <mergeCell ref="B207:C207"/>
    <mergeCell ref="AA30:AC30"/>
    <mergeCell ref="A97:M97"/>
    <mergeCell ref="Q239:U239"/>
    <mergeCell ref="X52:Y52"/>
    <mergeCell ref="U72:W72"/>
    <mergeCell ref="F201:J201"/>
    <mergeCell ref="X63:AC63"/>
    <mergeCell ref="F203:J203"/>
    <mergeCell ref="O16:P16"/>
    <mergeCell ref="N141:Q141"/>
    <mergeCell ref="Q52:W52"/>
    <mergeCell ref="Q236:U236"/>
    <mergeCell ref="U63:W63"/>
    <mergeCell ref="K197:M197"/>
    <mergeCell ref="F131:M131"/>
    <mergeCell ref="K201:M201"/>
    <mergeCell ref="O17:P17"/>
    <mergeCell ref="O11:P11"/>
    <mergeCell ref="Q237:U237"/>
    <mergeCell ref="B197:C197"/>
    <mergeCell ref="F216:J216"/>
    <mergeCell ref="AA34:AC34"/>
    <mergeCell ref="B259:D259"/>
    <mergeCell ref="F193:J193"/>
    <mergeCell ref="AA31:AC31"/>
    <mergeCell ref="K210:M210"/>
    <mergeCell ref="Q240:U240"/>
    <mergeCell ref="K193:M193"/>
    <mergeCell ref="N137:R137"/>
    <mergeCell ref="Q222:R222"/>
    <mergeCell ref="O194:S194"/>
    <mergeCell ref="F206:J206"/>
    <mergeCell ref="K209:M209"/>
    <mergeCell ref="K203:M203"/>
    <mergeCell ref="A116:M116"/>
    <mergeCell ref="S16:W16"/>
    <mergeCell ref="O19:P19"/>
    <mergeCell ref="B194:C194"/>
    <mergeCell ref="K217:O217"/>
    <mergeCell ref="A17:M17"/>
    <mergeCell ref="U66:W66"/>
    <mergeCell ref="Z54:AA54"/>
    <mergeCell ref="S18:W18"/>
    <mergeCell ref="N142:Q142"/>
    <mergeCell ref="K204:M204"/>
    <mergeCell ref="U68:W68"/>
    <mergeCell ref="O20:P20"/>
    <mergeCell ref="S11:W11"/>
    <mergeCell ref="O205:S205"/>
    <mergeCell ref="F125:M125"/>
    <mergeCell ref="X51:Y51"/>
    <mergeCell ref="A12:M12"/>
    <mergeCell ref="B216:C216"/>
    <mergeCell ref="A106:M106"/>
    <mergeCell ref="F212:J212"/>
    <mergeCell ref="S12:W12"/>
    <mergeCell ref="O33:P33"/>
    <mergeCell ref="X74:AC74"/>
    <mergeCell ref="X68:AC68"/>
    <mergeCell ref="F214:J214"/>
    <mergeCell ref="O197:S197"/>
    <mergeCell ref="Z56:AA56"/>
    <mergeCell ref="U67:W67"/>
    <mergeCell ref="K206:M206"/>
    <mergeCell ref="O201:S201"/>
    <mergeCell ref="S19:W19"/>
    <mergeCell ref="Z51:AA51"/>
    <mergeCell ref="B237:D237"/>
    <mergeCell ref="A69:M69"/>
    <mergeCell ref="K220:O220"/>
    <mergeCell ref="U69:W69"/>
    <mergeCell ref="Q247:R247"/>
    <mergeCell ref="O49:AA49"/>
    <mergeCell ref="B201:C201"/>
    <mergeCell ref="K222:O222"/>
    <mergeCell ref="X67:AC67"/>
    <mergeCell ref="K221:O221"/>
    <mergeCell ref="B203:C203"/>
    <mergeCell ref="K223:O223"/>
    <mergeCell ref="O69:T69"/>
    <mergeCell ref="F128:M128"/>
    <mergeCell ref="B215:C215"/>
    <mergeCell ref="X64:AC64"/>
    <mergeCell ref="O210:S210"/>
    <mergeCell ref="F243:K243"/>
    <mergeCell ref="Z50:AA50"/>
    <mergeCell ref="G225:L225"/>
    <mergeCell ref="S14:W14"/>
    <mergeCell ref="O54:P54"/>
    <mergeCell ref="O64:T64"/>
    <mergeCell ref="O35:P35"/>
    <mergeCell ref="U64:W64"/>
    <mergeCell ref="O193:S193"/>
    <mergeCell ref="A51:M51"/>
    <mergeCell ref="S13:W13"/>
    <mergeCell ref="Z52:AA52"/>
    <mergeCell ref="O72:T72"/>
    <mergeCell ref="S15:W15"/>
    <mergeCell ref="Q54:W54"/>
    <mergeCell ref="AA8:AC8"/>
    <mergeCell ref="AA10:AC10"/>
    <mergeCell ref="O209:S209"/>
    <mergeCell ref="O203:S203"/>
    <mergeCell ref="F123:M123"/>
    <mergeCell ref="B209:C209"/>
    <mergeCell ref="U75:W75"/>
    <mergeCell ref="O204:S204"/>
    <mergeCell ref="A122:M122"/>
    <mergeCell ref="F208:J208"/>
    <mergeCell ref="O29:P29"/>
    <mergeCell ref="Q57:W57"/>
    <mergeCell ref="S28:W28"/>
    <mergeCell ref="O31:P31"/>
    <mergeCell ref="AA21:AC21"/>
    <mergeCell ref="X72:AC72"/>
    <mergeCell ref="O67:T67"/>
    <mergeCell ref="X58:Y58"/>
    <mergeCell ref="A61:M61"/>
    <mergeCell ref="AA32:AC32"/>
    <mergeCell ref="F129:M129"/>
    <mergeCell ref="O56:P56"/>
    <mergeCell ref="U65:W65"/>
    <mergeCell ref="A56:M56"/>
    <mergeCell ref="B258:K258"/>
    <mergeCell ref="O57:P57"/>
    <mergeCell ref="Z55:AA55"/>
    <mergeCell ref="F196:J196"/>
    <mergeCell ref="B199:C199"/>
    <mergeCell ref="O9:P9"/>
    <mergeCell ref="B243:D243"/>
    <mergeCell ref="AA18:AC18"/>
    <mergeCell ref="O206:S206"/>
    <mergeCell ref="B252:E252"/>
    <mergeCell ref="Z58:AA58"/>
    <mergeCell ref="F126:M126"/>
    <mergeCell ref="AA11:AC11"/>
    <mergeCell ref="S34:W34"/>
    <mergeCell ref="F209:J209"/>
    <mergeCell ref="Q58:W58"/>
    <mergeCell ref="AA29:AC29"/>
    <mergeCell ref="F211:J211"/>
    <mergeCell ref="S30:W30"/>
    <mergeCell ref="Q50:W50"/>
    <mergeCell ref="S29:W29"/>
    <mergeCell ref="S31:W31"/>
    <mergeCell ref="O75:T75"/>
    <mergeCell ref="O48:AA48"/>
    <mergeCell ref="A91:M91"/>
    <mergeCell ref="F124:M124"/>
    <mergeCell ref="G217:J217"/>
    <mergeCell ref="F204:J204"/>
    <mergeCell ref="F198:J198"/>
    <mergeCell ref="O70:T70"/>
    <mergeCell ref="L246:AA246"/>
    <mergeCell ref="AA17:AC17"/>
    <mergeCell ref="F199:J199"/>
    <mergeCell ref="Q55:W55"/>
    <mergeCell ref="K196:M196"/>
    <mergeCell ref="S9:W9"/>
    <mergeCell ref="O12:P12"/>
    <mergeCell ref="L248:AA248"/>
    <mergeCell ref="AA19:AC19"/>
    <mergeCell ref="K198:M198"/>
    <mergeCell ref="O14:P14"/>
    <mergeCell ref="O13:P13"/>
    <mergeCell ref="O53:P53"/>
    <mergeCell ref="O15:P15"/>
    <mergeCell ref="B193:C193"/>
    <mergeCell ref="Q53:W53"/>
    <mergeCell ref="B192:S192"/>
    <mergeCell ref="B211:C211"/>
    <mergeCell ref="O7:AC7"/>
    <mergeCell ref="O8:P8"/>
    <mergeCell ref="Q241:U241"/>
    <mergeCell ref="X54:Y54"/>
    <mergeCell ref="A101:M101"/>
    <mergeCell ref="F207:J207"/>
    <mergeCell ref="B212:C212"/>
    <mergeCell ref="B206:C206"/>
    <mergeCell ref="X56:Y56"/>
    <mergeCell ref="AA20:AC20"/>
    <mergeCell ref="F202:J202"/>
    <mergeCell ref="K199:M199"/>
    <mergeCell ref="X57:Y57"/>
    <mergeCell ref="A112:M112"/>
    <mergeCell ref="Z57:AA57"/>
    <mergeCell ref="AA35:AC35"/>
    <mergeCell ref="N139:Q139"/>
    <mergeCell ref="K207:M207"/>
    <mergeCell ref="N138:Q138"/>
    <mergeCell ref="H139:M139"/>
    <mergeCell ref="K200:M200"/>
    <mergeCell ref="O21:P21"/>
    <mergeCell ref="B196:C196"/>
    <mergeCell ref="N140:Q140"/>
    <mergeCell ref="K202:M202"/>
    <mergeCell ref="F241:K241"/>
    <mergeCell ref="L235:U235"/>
    <mergeCell ref="AA33:AC33"/>
    <mergeCell ref="A8:M8"/>
    <mergeCell ref="O34:P34"/>
    <mergeCell ref="O28:P28"/>
    <mergeCell ref="B214:C214"/>
    <mergeCell ref="K195:M195"/>
    <mergeCell ref="O30:P30"/>
    <mergeCell ref="S8:W8"/>
    <mergeCell ref="X75:AC75"/>
    <mergeCell ref="O196:S196"/>
    <mergeCell ref="O198:S198"/>
    <mergeCell ref="X50:Y50"/>
    <mergeCell ref="X70:AC70"/>
    <mergeCell ref="B204:C204"/>
    <mergeCell ref="B198:C198"/>
    <mergeCell ref="L247:M247"/>
    <mergeCell ref="U70:W70"/>
    <mergeCell ref="O199:S199"/>
    <mergeCell ref="K218:O218"/>
    <mergeCell ref="F242:K242"/>
    <mergeCell ref="A23:M23"/>
    <mergeCell ref="K208:M208"/>
    <mergeCell ref="O65:T65"/>
    <mergeCell ref="S21:W21"/>
    <mergeCell ref="B202:C202"/>
    <mergeCell ref="O18:P18"/>
    <mergeCell ref="X65:AC65"/>
    <mergeCell ref="F244:K244"/>
    <mergeCell ref="AA16:AC16"/>
    <mergeCell ref="K219:O219"/>
    <mergeCell ref="X53:Y53"/>
    <mergeCell ref="A83:M83"/>
    <mergeCell ref="F239:K239"/>
    <mergeCell ref="X55:Y55"/>
    <mergeCell ref="S10:W10"/>
    <mergeCell ref="O50:P50"/>
    <mergeCell ref="N143:Q143"/>
    <mergeCell ref="P217:S217"/>
    <mergeCell ref="O52:P52"/>
    <mergeCell ref="P234:Q234"/>
    <mergeCell ref="B236:D236"/>
    <mergeCell ref="AA9:AC9"/>
  </mergeCells>
  <conditionalFormatting sqref="Q223:Q230">
    <cfRule type="cellIs" priority="1" operator="greaterThan" dxfId="0">
      <formula>0.035</formula>
    </cfRule>
    <cfRule type="cellIs" priority="2" operator="lessThan" dxfId="1">
      <formula>0</formula>
    </cfRule>
  </conditionalFormatting>
  <dataValidations count="26">
    <dataValidation sqref="D194" showDropDown="0" showInputMessage="0" showErrorMessage="1" allowBlank="1" errorTitle="Invalid scenario input" error="Enter a value compatible with the declared scenario contract." type="decimal" errorStyle="stop" operator="greaterThan">
      <formula1>0</formula1>
    </dataValidation>
    <dataValidation sqref="D208:D209" showDropDown="0" showInputMessage="0" showErrorMessage="1" allowBlank="1" errorTitle="Invalid scenario input" error="Enter a value compatible with the declared scenario contract." type="decimal" errorStyle="stop" operator="greaterThan">
      <formula1>0</formula1>
    </dataValidation>
    <dataValidation sqref="D210" showDropDown="0" showInputMessage="0" showErrorMessage="1" allowBlank="1" errorTitle="Invalid scenario input" error="Enter a value compatible with the declared scenario contract." type="decimal" errorStyle="stop" operator="between">
      <formula1>0.000001</formula1>
      <formula2>1</formula2>
    </dataValidation>
    <dataValidation sqref="D213" showDropDown="0" showInputMessage="0" showErrorMessage="1" allowBlank="1" errorTitle="Invalid scenario input" error="Enter a value compatible with the declared scenario contract." type="decimal" errorStyle="stop" operator="between">
      <formula1>0</formula1>
      <formula2>1</formula2>
    </dataValidation>
    <dataValidation sqref="D214" showDropDown="0" showInputMessage="0" showErrorMessage="1" allowBlank="1" errorTitle="Invalid scenario input" error="Enter a value compatible with the declared scenario contract." type="custom" errorStyle="stop">
      <formula1>=OR(D214="",ISNUMBER(D214))</formula1>
    </dataValidation>
    <dataValidation sqref="D215" showDropDown="0" showInputMessage="0" showErrorMessage="1" allowBlank="1" errorTitle="Invalid scenario input" error="Enter a value compatible with the declared scenario contract." type="custom" errorStyle="stop">
      <formula1>=OR(D215="",ISNUMBER(D215))</formula1>
    </dataValidation>
    <dataValidation sqref="D216" showDropDown="0" showInputMessage="0" showErrorMessage="1" allowBlank="1" errorTitle="Invalid scenario input" error="Enter a value compatible with the declared scenario contract." type="list" errorStyle="stop">
      <formula1>"Outstanding,Diluted"</formula1>
    </dataValidation>
    <dataValidation sqref="D218:D219" showDropDown="0" showInputMessage="0" showErrorMessage="1" allowBlank="1" errorTitle="Invalid scenario input" error="Enter a value compatible with the declared scenario contract." type="decimal" errorStyle="stop" operator="greaterThan">
      <formula1>0</formula1>
    </dataValidation>
    <dataValidation sqref="D220" showDropDown="0" showInputMessage="0" showErrorMessage="1" allowBlank="1" errorTitle="Invalid scenario input" error="Enter a value compatible with the declared scenario contract." type="whole" errorStyle="stop" operator="between">
      <formula1>1</formula1>
      <formula2>20</formula2>
    </dataValidation>
    <dataValidation sqref="J218" showDropDown="0" showInputMessage="0" showErrorMessage="1" allowBlank="1" errorTitle="Invalid scenario input" error="Enter a value compatible with the declared scenario contract." type="decimal" errorStyle="stop" operator="greaterThan">
      <formula1>0</formula1>
    </dataValidation>
    <dataValidation sqref="J219:J220" showDropDown="0" showInputMessage="0" showErrorMessage="1" allowBlank="1" errorTitle="Invalid scenario input" error="Enter a value compatible with the declared scenario contract." type="decimal" errorStyle="stop" operator="between">
      <formula1>-1</formula1>
      <formula2>1</formula2>
    </dataValidation>
    <dataValidation sqref="J221" showDropDown="0" showInputMessage="0" showErrorMessage="1" allowBlank="1" errorTitle="Invalid scenario input" error="Enter a value compatible with the declared scenario contract." type="decimal" errorStyle="stop" operator="between">
      <formula1>0.000001</formula1>
      <formula2>1</formula2>
    </dataValidation>
    <dataValidation sqref="H226:L226" showDropDown="0" showInputMessage="0" showErrorMessage="1" allowBlank="1" errorTitle="Invalid scenario input" error="Enter a value compatible with the declared scenario contract." type="decimal" errorStyle="stop" operator="between">
      <formula1>-1</formula1>
      <formula2>1</formula2>
    </dataValidation>
    <dataValidation sqref="G227:G234" showDropDown="0" showInputMessage="0" showErrorMessage="1" allowBlank="1" errorTitle="Invalid scenario input" error="Enter a value compatible with the declared scenario contract." type="decimal" errorStyle="stop" operator="between">
      <formula1>0.000001</formula1>
      <formula2>1</formula2>
    </dataValidation>
    <dataValidation sqref="E236" showDropDown="0" showInputMessage="0" showErrorMessage="1" allowBlank="1" errorTitle="Invalid scenario input" error="Enter a value compatible with the declared scenario contract." type="list" errorStyle="stop">
      <formula1>"Bear,Base,Bull,Custom"</formula1>
    </dataValidation>
    <dataValidation sqref="E237:E239" showDropDown="0" showInputMessage="0" showErrorMessage="1" allowBlank="1" errorTitle="Invalid scenario input" error="Enter a value compatible with the declared scenario contract." type="decimal" errorStyle="stop" operator="between">
      <formula1>-1</formula1>
      <formula2>1</formula2>
    </dataValidation>
    <dataValidation sqref="E240" showDropDown="0" showInputMessage="0" showErrorMessage="1" allowBlank="1" errorTitle="Invalid scenario input" error="Enter a value compatible with the declared scenario contract." type="decimal" errorStyle="stop" operator="between">
      <formula1>0</formula1>
      <formula2>1</formula2>
    </dataValidation>
    <dataValidation sqref="J236" showDropDown="0" showInputMessage="0" showErrorMessage="1" allowBlank="1" errorTitle="Invalid scenario input" error="Enter a value compatible with the declared scenario contract." type="custom" errorStyle="stop">
      <formula1>=OR(J236="",AND(LEFT(J236,2)="FY",LEN(J236)=6,ISNUMBER(VALUE(RIGHT(J236,4)))),AND(LEN(J236)=7,MID(J236,5,2)="-Q",ISNUMBER(VALUE(LEFT(J236,4))),VALUE(RIGHT(J236,1))&gt;=1,VALUE(RIGHT(J236,1))&lt;=4))</formula1>
    </dataValidation>
    <dataValidation sqref="D247" showDropDown="0" showInputMessage="0" showErrorMessage="1" allowBlank="1" errorTitle="Invalid scenario input" error="Enter a value compatible with the declared scenario contract." type="custom" errorStyle="stop">
      <formula1>=OR(D247="",ISNUMBER(D247))</formula1>
    </dataValidation>
    <dataValidation sqref="E247" showDropDown="0" showInputMessage="0" showErrorMessage="1" allowBlank="1" errorTitle="Invalid scenario input" error="Enter a value compatible with the declared scenario contract." type="list" errorStyle="stop">
      <formula1>"taxable,non_taxable,non_taxable_credit,cash_only,no_eps_impact"</formula1>
    </dataValidation>
    <dataValidation sqref="D248" showDropDown="0" showInputMessage="0" showErrorMessage="1" allowBlank="1" errorTitle="Invalid scenario input" error="Enter a value compatible with the declared scenario contract." type="custom" errorStyle="stop">
      <formula1>=OR(D248="",ISNUMBER(D248))</formula1>
    </dataValidation>
    <dataValidation sqref="E248" showDropDown="0" showInputMessage="0" showErrorMessage="1" allowBlank="1" errorTitle="Invalid scenario input" error="Enter a value compatible with the declared scenario contract." type="list" errorStyle="stop">
      <formula1>"taxable,non_taxable"</formula1>
    </dataValidation>
    <dataValidation sqref="D249:D250" showDropDown="0" showInputMessage="0" showErrorMessage="1" allowBlank="1" errorTitle="Invalid scenario input" error="Enter a value compatible with the declared scenario contract." type="custom" errorStyle="stop">
      <formula1>=OR(D249="",ISNUMBER(D249))</formula1>
    </dataValidation>
    <dataValidation sqref="D253" showDropDown="0" showInputMessage="0" showErrorMessage="1" allowBlank="1" errorTitle="Invalid scenario input" error="Enter a value compatible with the declared scenario contract." type="decimal" errorStyle="stop" operator="greaterThanOrEqual">
      <formula1>0</formula1>
    </dataValidation>
    <dataValidation sqref="D254" showDropDown="0" showInputMessage="0" showErrorMessage="1" allowBlank="1" errorTitle="Invalid scenario input" error="Enter a value compatible with the declared scenario contract." type="decimal" errorStyle="stop" operator="greaterThan">
      <formula1>0</formula1>
    </dataValidation>
    <dataValidation sqref="D255:D256" showDropDown="0" showInputMessage="0" showErrorMessage="1" allowBlank="1" errorTitle="Invalid scenario input" error="Enter a value compatible with the declared scenario contract." type="decimal" errorStyle="stop" operator="greaterThanOrEqual">
      <formula1>0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04"/>
  <sheetViews>
    <sheetView zoomScale="110" workbookViewId="0">
      <pane xSplit="1" ySplit="7" topLeftCell="B8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8"/>
  <cols>
    <col width="54" customWidth="1" min="1" max="1"/>
    <col width="11.29" customWidth="1" min="2" max="2"/>
    <col width="11.29" customWidth="1" min="3" max="3"/>
    <col width="11.29" customWidth="1" min="4" max="4"/>
    <col width="11.29" customWidth="1" min="5" max="5"/>
    <col width="11.29" customWidth="1" min="6" max="6"/>
    <col width="11.29" customWidth="1" min="7" max="7"/>
    <col width="11.29" customWidth="1" min="8" max="8"/>
    <col width="11.29" customWidth="1" min="9" max="9"/>
    <col width="11.29" customWidth="1" min="10" max="10"/>
    <col width="11.29" customWidth="1" min="11" max="11"/>
    <col width="11.29" customWidth="1" min="12" max="12"/>
    <col width="11.29" customWidth="1" min="13" max="13"/>
  </cols>
  <sheetData>
    <row r="1">
      <c r="A1" s="22" t="inlineStr">
        <is>
          <t>Scale</t>
        </is>
      </c>
      <c r="B1" s="22" t="inlineStr">
        <is>
          <t>$m</t>
        </is>
      </c>
      <c r="C1" s="23" t="inlineStr">
        <is>
          <t>&lt;=-15%</t>
        </is>
      </c>
      <c r="D1" s="24" t="inlineStr">
        <is>
          <t>-15..-5</t>
        </is>
      </c>
      <c r="E1" s="25" t="inlineStr">
        <is>
          <t>-5..+5</t>
        </is>
      </c>
      <c r="F1" s="26" t="inlineStr">
        <is>
          <t>+5..+15</t>
        </is>
      </c>
      <c r="G1" s="27" t="inlineStr">
        <is>
          <t>&gt;=+15%</t>
        </is>
      </c>
    </row>
    <row r="2">
      <c r="A2" t="inlineStr">
        <is>
          <t>Quarter labels are fiscal periods. Values are scaled to $m unless otherwise stated.</t>
        </is>
      </c>
    </row>
    <row r="3">
      <c r="A3" s="171" t="inlineStr">
        <is>
          <t>QA checks populate after normalized data is planned.</t>
        </is>
      </c>
    </row>
    <row r="4" ht="24" customHeight="1">
      <c r="A4" s="172" t="inlineStr">
        <is>
          <t>Balance Sheet and Segments</t>
        </is>
      </c>
    </row>
    <row r="5" ht="18" customHeight="1">
      <c r="A5" s="173" t="n"/>
    </row>
    <row r="6" ht="19.5" customHeight="1">
      <c r="A6" s="174" t="n"/>
      <c r="B6" s="34" t="inlineStr">
        <is>
          <t>Actuals</t>
        </is>
      </c>
      <c r="C6" s="104" t="n"/>
      <c r="D6" s="104" t="n"/>
      <c r="E6" s="104" t="n"/>
      <c r="F6" s="104" t="n"/>
      <c r="G6" s="104" t="n"/>
      <c r="H6" s="104" t="n"/>
      <c r="I6" s="104" t="n"/>
      <c r="J6" s="104" t="n"/>
      <c r="K6" s="104" t="n"/>
      <c r="L6" s="104" t="n"/>
      <c r="M6" s="104" t="n"/>
    </row>
    <row r="7" ht="19.5" customHeight="1">
      <c r="A7" s="176" t="inlineStr">
        <is>
          <t>Quarter</t>
        </is>
      </c>
      <c r="B7" s="34" t="n"/>
      <c r="C7" s="34" t="n"/>
      <c r="D7" s="34" t="n"/>
      <c r="E7" s="34" t="n"/>
      <c r="F7" s="34" t="n"/>
      <c r="G7" s="34" t="n"/>
      <c r="H7" s="34" t="n"/>
      <c r="I7" s="34" t="n"/>
      <c r="J7" s="34" t="n"/>
      <c r="K7" s="34" t="n"/>
      <c r="L7" s="34" t="n"/>
      <c r="M7" s="34" t="n"/>
    </row>
    <row r="8" ht="18" customHeight="1">
      <c r="A8" s="177" t="inlineStr">
        <is>
          <t>Liquidity / Assets</t>
        </is>
      </c>
      <c r="B8" s="178" t="n"/>
      <c r="C8" s="178" t="n"/>
      <c r="D8" s="178" t="n"/>
      <c r="E8" s="178" t="n"/>
      <c r="F8" s="178" t="n"/>
      <c r="G8" s="178" t="n"/>
      <c r="H8" s="178" t="n"/>
      <c r="I8" s="178" t="n"/>
      <c r="J8" s="178" t="n"/>
      <c r="K8" s="178" t="n"/>
      <c r="L8" s="178" t="n"/>
      <c r="M8" s="178" t="n"/>
    </row>
    <row r="9" ht="18" customHeight="1">
      <c r="A9" s="179" t="inlineStr">
        <is>
          <t>Cash &amp; cash equivalents ($m)</t>
        </is>
      </c>
      <c r="B9" s="509" t="n"/>
      <c r="C9" s="509" t="n"/>
      <c r="D9" s="509" t="n"/>
      <c r="E9" s="509" t="n"/>
      <c r="F9" s="509" t="n"/>
      <c r="G9" s="509" t="n"/>
      <c r="H9" s="509" t="n"/>
      <c r="I9" s="509" t="n"/>
      <c r="J9" s="509" t="n"/>
      <c r="K9" s="509" t="n"/>
      <c r="L9" s="509" t="n"/>
      <c r="M9" s="509" t="n"/>
    </row>
    <row r="10" ht="18" customHeight="1">
      <c r="A10" s="179" t="inlineStr">
        <is>
          <t>Restricted cash ($m)</t>
        </is>
      </c>
      <c r="B10" s="509" t="n"/>
      <c r="C10" s="509" t="n"/>
      <c r="D10" s="509" t="n"/>
      <c r="E10" s="509" t="n"/>
      <c r="F10" s="509" t="n"/>
      <c r="G10" s="509" t="n"/>
      <c r="H10" s="509" t="n"/>
      <c r="I10" s="509" t="n"/>
      <c r="J10" s="509" t="n"/>
      <c r="K10" s="509" t="n"/>
      <c r="L10" s="509" t="n"/>
      <c r="M10" s="509" t="n"/>
    </row>
    <row r="11" ht="18" customHeight="1">
      <c r="A11" s="179" t="inlineStr">
        <is>
          <t>Total cash + restricted cash ($m)</t>
        </is>
      </c>
      <c r="B11" s="510">
        <f>IF(OR(B9="",B10=""),"",B9+B10)</f>
        <v/>
      </c>
      <c r="C11" s="510">
        <f>IF(OR(C9="",C10=""),"",C9+C10)</f>
        <v/>
      </c>
      <c r="D11" s="510">
        <f>IF(OR(D9="",D10=""),"",D9+D10)</f>
        <v/>
      </c>
      <c r="E11" s="510">
        <f>IF(OR(E9="",E10=""),"",E9+E10)</f>
        <v/>
      </c>
      <c r="F11" s="510">
        <f>IF(OR(F9="",F10=""),"",F9+F10)</f>
        <v/>
      </c>
      <c r="G11" s="510">
        <f>IF(OR(G9="",G10=""),"",G9+G10)</f>
        <v/>
      </c>
      <c r="H11" s="510">
        <f>IF(OR(H9="",H10=""),"",H9+H10)</f>
        <v/>
      </c>
      <c r="I11" s="510">
        <f>IF(OR(I9="",I10=""),"",I9+I10)</f>
        <v/>
      </c>
      <c r="J11" s="510">
        <f>IF(OR(J9="",J10=""),"",J9+J10)</f>
        <v/>
      </c>
      <c r="K11" s="510">
        <f>IF(OR(K9="",K10=""),"",K9+K10)</f>
        <v/>
      </c>
      <c r="L11" s="510">
        <f>IF(OR(L9="",L10=""),"",L9+L10)</f>
        <v/>
      </c>
      <c r="M11" s="510">
        <f>IF(OR(M9="",M10=""),"",M9+M10)</f>
        <v/>
      </c>
    </row>
    <row r="12" ht="18" customHeight="1">
      <c r="A12" s="179" t="inlineStr">
        <is>
          <t>Δ Cash QoQ ($m)</t>
        </is>
      </c>
      <c r="B12" s="510">
        <f>""</f>
        <v/>
      </c>
      <c r="C12" s="510">
        <f>IF(OR(C9="",B9=""),"",C9-B9)</f>
        <v/>
      </c>
      <c r="D12" s="510">
        <f>IF(OR(D9="",C9=""),"",D9-C9)</f>
        <v/>
      </c>
      <c r="E12" s="510">
        <f>IF(OR(E9="",D9=""),"",E9-D9)</f>
        <v/>
      </c>
      <c r="F12" s="510">
        <f>IF(OR(F9="",E9=""),"",F9-E9)</f>
        <v/>
      </c>
      <c r="G12" s="510">
        <f>IF(OR(G9="",F9=""),"",G9-F9)</f>
        <v/>
      </c>
      <c r="H12" s="510">
        <f>IF(OR(H9="",G9=""),"",H9-G9)</f>
        <v/>
      </c>
      <c r="I12" s="510">
        <f>IF(OR(I9="",H9=""),"",I9-H9)</f>
        <v/>
      </c>
      <c r="J12" s="510">
        <f>IF(OR(J9="",I9=""),"",J9-I9)</f>
        <v/>
      </c>
      <c r="K12" s="510">
        <f>IF(OR(K9="",J9=""),"",K9-J9)</f>
        <v/>
      </c>
      <c r="L12" s="510">
        <f>IF(OR(L9="",K9=""),"",L9-K9)</f>
        <v/>
      </c>
      <c r="M12" s="510">
        <f>IF(OR(M9="",L9=""),"",M9-L9)</f>
        <v/>
      </c>
    </row>
    <row r="13" ht="18" customHeight="1">
      <c r="A13" s="179" t="inlineStr">
        <is>
          <t>Short-term investments / marketable securities ($m)</t>
        </is>
      </c>
      <c r="B13" s="509" t="n"/>
      <c r="C13" s="509" t="n"/>
      <c r="D13" s="509" t="n"/>
      <c r="E13" s="509" t="n"/>
      <c r="F13" s="509" t="n"/>
      <c r="G13" s="509" t="n"/>
      <c r="H13" s="509" t="n"/>
      <c r="I13" s="509" t="n"/>
      <c r="J13" s="509" t="n"/>
      <c r="K13" s="509" t="n"/>
      <c r="L13" s="509" t="n"/>
      <c r="M13" s="509" t="n"/>
    </row>
    <row r="14" ht="18" customHeight="1">
      <c r="A14" s="179" t="inlineStr">
        <is>
          <t>Accounts receivable (net) ($m)</t>
        </is>
      </c>
      <c r="B14" s="509" t="n"/>
      <c r="C14" s="509" t="n"/>
      <c r="D14" s="509" t="n"/>
      <c r="E14" s="509" t="n"/>
      <c r="F14" s="509" t="n"/>
      <c r="G14" s="509" t="n"/>
      <c r="H14" s="509" t="n"/>
      <c r="I14" s="509" t="n"/>
      <c r="J14" s="509" t="n"/>
      <c r="K14" s="509" t="n"/>
      <c r="L14" s="509" t="n"/>
      <c r="M14" s="509" t="n"/>
    </row>
    <row r="15" ht="18" customHeight="1">
      <c r="A15" s="179" t="inlineStr">
        <is>
          <t>Inventory ($m)</t>
        </is>
      </c>
      <c r="B15" s="509" t="n"/>
      <c r="C15" s="509" t="n"/>
      <c r="D15" s="509" t="n"/>
      <c r="E15" s="509" t="n"/>
      <c r="F15" s="509" t="n"/>
      <c r="G15" s="509" t="n"/>
      <c r="H15" s="509" t="n"/>
      <c r="I15" s="509" t="n"/>
      <c r="J15" s="509" t="n"/>
      <c r="K15" s="509" t="n"/>
      <c r="L15" s="509" t="n"/>
      <c r="M15" s="509" t="n"/>
    </row>
    <row r="16" ht="18" customHeight="1">
      <c r="A16" s="179" t="inlineStr">
        <is>
          <t>Derivative financial instruments (asset, $m)</t>
        </is>
      </c>
      <c r="B16" s="509" t="n"/>
      <c r="C16" s="509" t="n"/>
      <c r="D16" s="509" t="n"/>
      <c r="E16" s="509" t="n"/>
      <c r="F16" s="509" t="n"/>
      <c r="G16" s="509" t="n"/>
      <c r="H16" s="509" t="n"/>
      <c r="I16" s="509" t="n"/>
      <c r="J16" s="509" t="n"/>
      <c r="K16" s="509" t="n"/>
      <c r="L16" s="509" t="n"/>
      <c r="M16" s="509" t="n"/>
    </row>
    <row r="17" ht="18" customHeight="1">
      <c r="A17" s="179" t="inlineStr">
        <is>
          <t>Prepaid &amp; other current assets ($m)</t>
        </is>
      </c>
      <c r="B17" s="509" t="n"/>
      <c r="C17" s="509" t="n"/>
      <c r="D17" s="509" t="n"/>
      <c r="E17" s="509" t="n"/>
      <c r="F17" s="509" t="n"/>
      <c r="G17" s="509" t="n"/>
      <c r="H17" s="509" t="n"/>
      <c r="I17" s="509" t="n"/>
      <c r="J17" s="509" t="n"/>
      <c r="K17" s="509" t="n"/>
      <c r="L17" s="509" t="n"/>
      <c r="M17" s="509" t="n"/>
    </row>
    <row r="18" ht="18" customHeight="1">
      <c r="A18" s="179" t="inlineStr">
        <is>
          <t>Total current assets ($m)</t>
        </is>
      </c>
      <c r="B18" s="509" t="n"/>
      <c r="C18" s="509" t="n"/>
      <c r="D18" s="509" t="n"/>
      <c r="E18" s="509" t="n"/>
      <c r="F18" s="509" t="n"/>
      <c r="G18" s="509" t="n"/>
      <c r="H18" s="509" t="n"/>
      <c r="I18" s="509" t="n"/>
      <c r="J18" s="509" t="n"/>
      <c r="K18" s="509" t="n"/>
      <c r="L18" s="509" t="n"/>
      <c r="M18" s="509" t="n"/>
    </row>
    <row r="19" ht="18" customHeight="1">
      <c r="A19" s="179" t="inlineStr">
        <is>
          <t>Property, plant &amp; equipment (net, $m)</t>
        </is>
      </c>
      <c r="B19" s="509" t="n"/>
      <c r="C19" s="509" t="n"/>
      <c r="D19" s="509" t="n"/>
      <c r="E19" s="509" t="n"/>
      <c r="F19" s="509" t="n"/>
      <c r="G19" s="509" t="n"/>
      <c r="H19" s="509" t="n"/>
      <c r="I19" s="509" t="n"/>
      <c r="J19" s="509" t="n"/>
      <c r="K19" s="509" t="n"/>
      <c r="L19" s="509" t="n"/>
      <c r="M19" s="509" t="n"/>
    </row>
    <row r="20" ht="18" customHeight="1">
      <c r="A20" s="179" t="inlineStr">
        <is>
          <t>Operating lease right-of-use assets ($m)</t>
        </is>
      </c>
      <c r="B20" s="509" t="n"/>
      <c r="C20" s="509" t="n"/>
      <c r="D20" s="509" t="n"/>
      <c r="E20" s="509" t="n"/>
      <c r="F20" s="509" t="n"/>
      <c r="G20" s="509" t="n"/>
      <c r="H20" s="509" t="n"/>
      <c r="I20" s="509" t="n"/>
      <c r="J20" s="509" t="n"/>
      <c r="K20" s="509" t="n"/>
      <c r="L20" s="509" t="n"/>
      <c r="M20" s="509" t="n"/>
    </row>
    <row r="21" ht="18" customHeight="1">
      <c r="A21" s="179" t="inlineStr">
        <is>
          <t>Deferred income taxes, net ($m)</t>
        </is>
      </c>
      <c r="B21" s="509" t="n"/>
      <c r="C21" s="509" t="n"/>
      <c r="D21" s="509" t="n"/>
      <c r="E21" s="509" t="n"/>
      <c r="F21" s="509" t="n"/>
      <c r="G21" s="509" t="n"/>
      <c r="H21" s="509" t="n"/>
      <c r="I21" s="509" t="n"/>
      <c r="J21" s="509" t="n"/>
      <c r="K21" s="509" t="n"/>
      <c r="L21" s="509" t="n"/>
      <c r="M21" s="509" t="n"/>
    </row>
    <row r="22" ht="18" customHeight="1">
      <c r="A22" s="179" t="inlineStr">
        <is>
          <t>Goodwill ($m)</t>
        </is>
      </c>
      <c r="B22" s="509" t="n"/>
      <c r="C22" s="509" t="n"/>
      <c r="D22" s="509" t="n"/>
      <c r="E22" s="509" t="n"/>
      <c r="F22" s="509" t="n"/>
      <c r="G22" s="509" t="n"/>
      <c r="H22" s="509" t="n"/>
      <c r="I22" s="509" t="n"/>
      <c r="J22" s="509" t="n"/>
      <c r="K22" s="509" t="n"/>
      <c r="L22" s="509" t="n"/>
      <c r="M22" s="509" t="n"/>
    </row>
    <row r="23" ht="18" customHeight="1">
      <c r="A23" s="179" t="inlineStr">
        <is>
          <t>Intangibles (net, $m)</t>
        </is>
      </c>
      <c r="B23" s="509" t="n"/>
      <c r="C23" s="509" t="n"/>
      <c r="D23" s="509" t="n"/>
      <c r="E23" s="509" t="n"/>
      <c r="F23" s="509" t="n"/>
      <c r="G23" s="509" t="n"/>
      <c r="H23" s="509" t="n"/>
      <c r="I23" s="509" t="n"/>
      <c r="J23" s="509" t="n"/>
      <c r="K23" s="509" t="n"/>
      <c r="L23" s="509" t="n"/>
      <c r="M23" s="509" t="n"/>
    </row>
    <row r="24" ht="18" customHeight="1">
      <c r="A24" s="179" t="inlineStr">
        <is>
          <t>Other long-term assets ($m)</t>
        </is>
      </c>
      <c r="B24" s="509" t="n"/>
      <c r="C24" s="509" t="n"/>
      <c r="D24" s="509" t="n"/>
      <c r="E24" s="509" t="n"/>
      <c r="F24" s="509" t="n"/>
      <c r="G24" s="509" t="n"/>
      <c r="H24" s="509" t="n"/>
      <c r="I24" s="509" t="n"/>
      <c r="J24" s="509" t="n"/>
      <c r="K24" s="509" t="n"/>
      <c r="L24" s="509" t="n"/>
      <c r="M24" s="509" t="n"/>
    </row>
    <row r="25" ht="18" customHeight="1">
      <c r="A25" s="179" t="inlineStr">
        <is>
          <t>Total assets ($m)</t>
        </is>
      </c>
      <c r="B25" s="509" t="n"/>
      <c r="C25" s="509" t="n"/>
      <c r="D25" s="509" t="n"/>
      <c r="E25" s="509" t="n"/>
      <c r="F25" s="509" t="n"/>
      <c r="G25" s="509" t="n"/>
      <c r="H25" s="509" t="n"/>
      <c r="I25" s="509" t="n"/>
      <c r="J25" s="509" t="n"/>
      <c r="K25" s="509" t="n"/>
      <c r="L25" s="509" t="n"/>
      <c r="M25" s="509" t="n"/>
    </row>
    <row r="26" ht="18" customHeight="1">
      <c r="A26" s="179" t="inlineStr">
        <is>
          <t>Goodwill as % of assets (%)</t>
        </is>
      </c>
      <c r="B26" s="511">
        <f>IF(OR(B22="",B25="",B25=0),"",B22/B25)</f>
        <v/>
      </c>
      <c r="C26" s="511">
        <f>IF(OR(C22="",C25="",C25=0),"",C22/C25)</f>
        <v/>
      </c>
      <c r="D26" s="511">
        <f>IF(OR(D22="",D25="",D25=0),"",D22/D25)</f>
        <v/>
      </c>
      <c r="E26" s="511">
        <f>IF(OR(E22="",E25="",E25=0),"",E22/E25)</f>
        <v/>
      </c>
      <c r="F26" s="511">
        <f>IF(OR(F22="",F25="",F25=0),"",F22/F25)</f>
        <v/>
      </c>
      <c r="G26" s="511">
        <f>IF(OR(G22="",G25="",G25=0),"",G22/G25)</f>
        <v/>
      </c>
      <c r="H26" s="511">
        <f>IF(OR(H22="",H25="",H25=0),"",H22/H25)</f>
        <v/>
      </c>
      <c r="I26" s="511">
        <f>IF(OR(I22="",I25="",I25=0),"",I22/I25)</f>
        <v/>
      </c>
      <c r="J26" s="511">
        <f>IF(OR(J22="",J25="",J25=0),"",J22/J25)</f>
        <v/>
      </c>
      <c r="K26" s="511">
        <f>IF(OR(K22="",K25="",K25=0),"",K22/K25)</f>
        <v/>
      </c>
      <c r="L26" s="511">
        <f>IF(OR(L22="",L25="",L25=0),"",L22/L25)</f>
        <v/>
      </c>
      <c r="M26" s="511">
        <f>IF(OR(M22="",M25="",M25=0),"",M22/M25)</f>
        <v/>
      </c>
    </row>
    <row r="27" ht="18" customHeight="1">
      <c r="A27" s="177" t="inlineStr">
        <is>
          <t>Liabilities</t>
        </is>
      </c>
      <c r="B27" s="178" t="n"/>
      <c r="C27" s="178" t="n"/>
      <c r="D27" s="178" t="n"/>
      <c r="E27" s="178" t="n"/>
      <c r="F27" s="178" t="n"/>
      <c r="G27" s="178" t="n"/>
      <c r="H27" s="178" t="n"/>
      <c r="I27" s="178" t="n"/>
      <c r="J27" s="178" t="n"/>
      <c r="K27" s="178" t="n"/>
      <c r="L27" s="178" t="n"/>
      <c r="M27" s="178" t="n"/>
    </row>
    <row r="28" ht="18" customHeight="1">
      <c r="A28" s="179" t="inlineStr">
        <is>
          <t>Accounts payable ($m)</t>
        </is>
      </c>
      <c r="B28" s="509" t="n"/>
      <c r="C28" s="509" t="n"/>
      <c r="D28" s="509" t="n"/>
      <c r="E28" s="509" t="n"/>
      <c r="F28" s="509" t="n"/>
      <c r="G28" s="509" t="n"/>
      <c r="H28" s="509" t="n"/>
      <c r="I28" s="509" t="n"/>
      <c r="J28" s="509" t="n"/>
      <c r="K28" s="509" t="n"/>
      <c r="L28" s="509" t="n"/>
      <c r="M28" s="509" t="n"/>
    </row>
    <row r="29" ht="18" customHeight="1">
      <c r="A29" s="179" t="inlineStr">
        <is>
          <t>Accrued liabilities ($m)</t>
        </is>
      </c>
      <c r="B29" s="509" t="n"/>
      <c r="C29" s="509" t="n"/>
      <c r="D29" s="509" t="n"/>
      <c r="E29" s="509" t="n"/>
      <c r="F29" s="509" t="n"/>
      <c r="G29" s="509" t="n"/>
      <c r="H29" s="509" t="n"/>
      <c r="I29" s="509" t="n"/>
      <c r="J29" s="509" t="n"/>
      <c r="K29" s="509" t="n"/>
      <c r="L29" s="509" t="n"/>
      <c r="M29" s="509" t="n"/>
    </row>
    <row r="30" ht="18" customHeight="1">
      <c r="A30" s="179" t="inlineStr">
        <is>
          <t>Deferred revenue / customer deposits ($m)</t>
        </is>
      </c>
      <c r="B30" s="509" t="n"/>
      <c r="C30" s="509" t="n"/>
      <c r="D30" s="509" t="n"/>
      <c r="E30" s="509" t="n"/>
      <c r="F30" s="509" t="n"/>
      <c r="G30" s="509" t="n"/>
      <c r="H30" s="509" t="n"/>
      <c r="I30" s="509" t="n"/>
      <c r="J30" s="509" t="n"/>
      <c r="K30" s="509" t="n"/>
      <c r="L30" s="509" t="n"/>
      <c r="M30" s="509" t="n"/>
    </row>
    <row r="31" ht="18" customHeight="1">
      <c r="A31" s="179" t="inlineStr">
        <is>
          <t>Derivative financial instruments (liability, $m)</t>
        </is>
      </c>
      <c r="B31" s="509" t="n"/>
      <c r="C31" s="509" t="n"/>
      <c r="D31" s="509" t="n"/>
      <c r="E31" s="509" t="n"/>
      <c r="F31" s="509" t="n"/>
      <c r="G31" s="509" t="n"/>
      <c r="H31" s="509" t="n"/>
      <c r="I31" s="509" t="n"/>
      <c r="J31" s="509" t="n"/>
      <c r="K31" s="509" t="n"/>
      <c r="L31" s="509" t="n"/>
      <c r="M31" s="509" t="n"/>
    </row>
    <row r="32" ht="18" customHeight="1">
      <c r="A32" s="179" t="inlineStr">
        <is>
          <t>Short-term borrowings ($m)</t>
        </is>
      </c>
      <c r="B32" s="509" t="n"/>
      <c r="C32" s="509" t="n"/>
      <c r="D32" s="509" t="n"/>
      <c r="E32" s="509" t="n"/>
      <c r="F32" s="509" t="n"/>
      <c r="G32" s="509" t="n"/>
      <c r="H32" s="509" t="n"/>
      <c r="I32" s="509" t="n"/>
      <c r="J32" s="509" t="n"/>
      <c r="K32" s="509" t="n"/>
      <c r="L32" s="509" t="n"/>
      <c r="M32" s="509" t="n"/>
    </row>
    <row r="33" ht="18" customHeight="1">
      <c r="A33" s="179" t="inlineStr">
        <is>
          <t>Current maturities of long-term debt ($m)</t>
        </is>
      </c>
      <c r="B33" s="509" t="n"/>
      <c r="C33" s="509" t="n"/>
      <c r="D33" s="509" t="n"/>
      <c r="E33" s="509" t="n"/>
      <c r="F33" s="509" t="n"/>
      <c r="G33" s="509" t="n"/>
      <c r="H33" s="509" t="n"/>
      <c r="I33" s="509" t="n"/>
      <c r="J33" s="509" t="n"/>
      <c r="K33" s="509" t="n"/>
      <c r="L33" s="509" t="n"/>
      <c r="M33" s="509" t="n"/>
    </row>
    <row r="34" ht="18" customHeight="1">
      <c r="A34" s="179" t="inlineStr">
        <is>
          <t>Operating lease current liabilities ($m)</t>
        </is>
      </c>
      <c r="B34" s="509" t="n"/>
      <c r="C34" s="509" t="n"/>
      <c r="D34" s="509" t="n"/>
      <c r="E34" s="509" t="n"/>
      <c r="F34" s="509" t="n"/>
      <c r="G34" s="509" t="n"/>
      <c r="H34" s="509" t="n"/>
      <c r="I34" s="509" t="n"/>
      <c r="J34" s="509" t="n"/>
      <c r="K34" s="509" t="n"/>
      <c r="L34" s="509" t="n"/>
      <c r="M34" s="509" t="n"/>
    </row>
    <row r="35" ht="18" customHeight="1">
      <c r="A35" s="179" t="inlineStr">
        <is>
          <t>Total current liabilities ($m)</t>
        </is>
      </c>
      <c r="B35" s="509" t="n"/>
      <c r="C35" s="509" t="n"/>
      <c r="D35" s="509" t="n"/>
      <c r="E35" s="509" t="n"/>
      <c r="F35" s="509" t="n"/>
      <c r="G35" s="509" t="n"/>
      <c r="H35" s="509" t="n"/>
      <c r="I35" s="509" t="n"/>
      <c r="J35" s="509" t="n"/>
      <c r="K35" s="509" t="n"/>
      <c r="L35" s="509" t="n"/>
      <c r="M35" s="509" t="n"/>
    </row>
    <row r="36" ht="18" customHeight="1">
      <c r="A36" s="179" t="inlineStr">
        <is>
          <t>Net working capital ($m)</t>
        </is>
      </c>
      <c r="B36" s="510">
        <f>IF(OR(B18="",B35=""),"",B18-B35)</f>
        <v/>
      </c>
      <c r="C36" s="510">
        <f>IF(OR(C18="",C35=""),"",C18-C35)</f>
        <v/>
      </c>
      <c r="D36" s="510">
        <f>IF(OR(D18="",D35=""),"",D18-D35)</f>
        <v/>
      </c>
      <c r="E36" s="510">
        <f>IF(OR(E18="",E35=""),"",E18-E35)</f>
        <v/>
      </c>
      <c r="F36" s="510">
        <f>IF(OR(F18="",F35=""),"",F18-F35)</f>
        <v/>
      </c>
      <c r="G36" s="510">
        <f>IF(OR(G18="",G35=""),"",G18-G35)</f>
        <v/>
      </c>
      <c r="H36" s="510">
        <f>IF(OR(H18="",H35=""),"",H18-H35)</f>
        <v/>
      </c>
      <c r="I36" s="510">
        <f>IF(OR(I18="",I35=""),"",I18-I35)</f>
        <v/>
      </c>
      <c r="J36" s="510">
        <f>IF(OR(J18="",J35=""),"",J18-J35)</f>
        <v/>
      </c>
      <c r="K36" s="510">
        <f>IF(OR(K18="",K35=""),"",K18-K35)</f>
        <v/>
      </c>
      <c r="L36" s="510">
        <f>IF(OR(L18="",L35=""),"",L18-L35)</f>
        <v/>
      </c>
      <c r="M36" s="510">
        <f>IF(OR(M18="",M35=""),"",M18-M35)</f>
        <v/>
      </c>
    </row>
    <row r="37" ht="18" customHeight="1">
      <c r="A37" s="179" t="inlineStr">
        <is>
          <t>Δ NWC QoQ ($m)</t>
        </is>
      </c>
      <c r="B37" s="510">
        <f>""</f>
        <v/>
      </c>
      <c r="C37" s="510">
        <f>IF(OR(C36="",B36=""),"",C36-B36)</f>
        <v/>
      </c>
      <c r="D37" s="510">
        <f>IF(OR(D36="",C36=""),"",D36-C36)</f>
        <v/>
      </c>
      <c r="E37" s="510">
        <f>IF(OR(E36="",D36=""),"",E36-D36)</f>
        <v/>
      </c>
      <c r="F37" s="510">
        <f>IF(OR(F36="",E36=""),"",F36-E36)</f>
        <v/>
      </c>
      <c r="G37" s="510">
        <f>IF(OR(G36="",F36=""),"",G36-F36)</f>
        <v/>
      </c>
      <c r="H37" s="510">
        <f>IF(OR(H36="",G36=""),"",H36-G36)</f>
        <v/>
      </c>
      <c r="I37" s="510">
        <f>IF(OR(I36="",H36=""),"",I36-H36)</f>
        <v/>
      </c>
      <c r="J37" s="510">
        <f>IF(OR(J36="",I36=""),"",J36-I36)</f>
        <v/>
      </c>
      <c r="K37" s="510">
        <f>IF(OR(K36="",J36=""),"",K36-J36)</f>
        <v/>
      </c>
      <c r="L37" s="510">
        <f>IF(OR(L36="",K36=""),"",L36-K36)</f>
        <v/>
      </c>
      <c r="M37" s="510">
        <f>IF(OR(M36="",L36=""),"",M36-L36)</f>
        <v/>
      </c>
    </row>
    <row r="38" ht="18" customHeight="1">
      <c r="A38" s="179" t="inlineStr">
        <is>
          <t>Current ratio (x)</t>
        </is>
      </c>
      <c r="B38" s="512">
        <f>IF(OR(B18="",B35="",B35=0),"",B18/B35)</f>
        <v/>
      </c>
      <c r="C38" s="512">
        <f>IF(OR(C18="",C35="",C35=0),"",C18/C35)</f>
        <v/>
      </c>
      <c r="D38" s="512">
        <f>IF(OR(D18="",D35="",D35=0),"",D18/D35)</f>
        <v/>
      </c>
      <c r="E38" s="512">
        <f>IF(OR(E18="",E35="",E35=0),"",E18/E35)</f>
        <v/>
      </c>
      <c r="F38" s="512">
        <f>IF(OR(F18="",F35="",F35=0),"",F18/F35)</f>
        <v/>
      </c>
      <c r="G38" s="512">
        <f>IF(OR(G18="",G35="",G35=0),"",G18/G35)</f>
        <v/>
      </c>
      <c r="H38" s="512">
        <f>IF(OR(H18="",H35="",H35=0),"",H18/H35)</f>
        <v/>
      </c>
      <c r="I38" s="512">
        <f>IF(OR(I18="",I35="",I35=0),"",I18/I35)</f>
        <v/>
      </c>
      <c r="J38" s="512">
        <f>IF(OR(J18="",J35="",J35=0),"",J18/J35)</f>
        <v/>
      </c>
      <c r="K38" s="512">
        <f>IF(OR(K18="",K35="",K35=0),"",K18/K35)</f>
        <v/>
      </c>
      <c r="L38" s="512">
        <f>IF(OR(L18="",L35="",L35=0),"",L18/L35)</f>
        <v/>
      </c>
      <c r="M38" s="512">
        <f>IF(OR(M18="",M35="",M35=0),"",M18/M35)</f>
        <v/>
      </c>
    </row>
    <row r="39" ht="18" customHeight="1">
      <c r="A39" s="179" t="inlineStr">
        <is>
          <t>Quick ratio (x)</t>
        </is>
      </c>
      <c r="B39" s="512">
        <f>IF(OR(B18="",B15="",B35="",B35=0),"",(B18-B15)/B35)</f>
        <v/>
      </c>
      <c r="C39" s="512">
        <f>IF(OR(C18="",C15="",C35="",C35=0),"",(C18-C15)/C35)</f>
        <v/>
      </c>
      <c r="D39" s="512">
        <f>IF(OR(D18="",D15="",D35="",D35=0),"",(D18-D15)/D35)</f>
        <v/>
      </c>
      <c r="E39" s="512">
        <f>IF(OR(E18="",E15="",E35="",E35=0),"",(E18-E15)/E35)</f>
        <v/>
      </c>
      <c r="F39" s="512">
        <f>IF(OR(F18="",F15="",F35="",F35=0),"",(F18-F15)/F35)</f>
        <v/>
      </c>
      <c r="G39" s="512">
        <f>IF(OR(G18="",G15="",G35="",G35=0),"",(G18-G15)/G35)</f>
        <v/>
      </c>
      <c r="H39" s="512">
        <f>IF(OR(H18="",H15="",H35="",H35=0),"",(H18-H15)/H35)</f>
        <v/>
      </c>
      <c r="I39" s="512">
        <f>IF(OR(I18="",I15="",I35="",I35=0),"",(I18-I15)/I35)</f>
        <v/>
      </c>
      <c r="J39" s="512">
        <f>IF(OR(J18="",J15="",J35="",J35=0),"",(J18-J15)/J35)</f>
        <v/>
      </c>
      <c r="K39" s="512">
        <f>IF(OR(K18="",K15="",K35="",K35=0),"",(K18-K15)/K35)</f>
        <v/>
      </c>
      <c r="L39" s="512">
        <f>IF(OR(L18="",L15="",L35="",L35=0),"",(L18-L15)/L35)</f>
        <v/>
      </c>
      <c r="M39" s="512">
        <f>IF(OR(M18="",M15="",M35="",M35=0),"",(M18-M15)/M35)</f>
        <v/>
      </c>
    </row>
    <row r="40" ht="18" customHeight="1">
      <c r="A40" s="179" t="inlineStr">
        <is>
          <t>Debt (core borrowings, $m)</t>
        </is>
      </c>
      <c r="B40" s="509" t="n"/>
      <c r="C40" s="509" t="n"/>
      <c r="D40" s="509" t="n"/>
      <c r="E40" s="509" t="n"/>
      <c r="F40" s="509" t="n"/>
      <c r="G40" s="509" t="n"/>
      <c r="H40" s="509" t="n"/>
      <c r="I40" s="509" t="n"/>
      <c r="J40" s="509" t="n"/>
      <c r="K40" s="509" t="n"/>
      <c r="L40" s="509" t="n"/>
      <c r="M40" s="509" t="n"/>
    </row>
    <row r="41" ht="18" customHeight="1">
      <c r="A41" s="179" t="inlineStr">
        <is>
          <t>Δ Total debt QoQ ($m)</t>
        </is>
      </c>
      <c r="B41" s="510">
        <f>""</f>
        <v/>
      </c>
      <c r="C41" s="510">
        <f>IF(OR(C40="",B40=""),"",C40-B40)</f>
        <v/>
      </c>
      <c r="D41" s="510">
        <f>IF(OR(D40="",C40=""),"",D40-C40)</f>
        <v/>
      </c>
      <c r="E41" s="510">
        <f>IF(OR(E40="",D40=""),"",E40-D40)</f>
        <v/>
      </c>
      <c r="F41" s="510">
        <f>IF(OR(F40="",E40=""),"",F40-E40)</f>
        <v/>
      </c>
      <c r="G41" s="510">
        <f>IF(OR(G40="",F40=""),"",G40-F40)</f>
        <v/>
      </c>
      <c r="H41" s="510">
        <f>IF(OR(H40="",G40=""),"",H40-G40)</f>
        <v/>
      </c>
      <c r="I41" s="510">
        <f>IF(OR(I40="",H40=""),"",I40-H40)</f>
        <v/>
      </c>
      <c r="J41" s="510">
        <f>IF(OR(J40="",I40=""),"",J40-I40)</f>
        <v/>
      </c>
      <c r="K41" s="510">
        <f>IF(OR(K40="",J40=""),"",K40-J40)</f>
        <v/>
      </c>
      <c r="L41" s="510">
        <f>IF(OR(L40="",K40=""),"",L40-K40)</f>
        <v/>
      </c>
      <c r="M41" s="510">
        <f>IF(OR(M40="",L40=""),"",M40-L40)</f>
        <v/>
      </c>
    </row>
    <row r="42" ht="18" customHeight="1">
      <c r="A42" s="179" t="inlineStr">
        <is>
          <t>Operating lease long-term liabilities ($m)</t>
        </is>
      </c>
      <c r="B42" s="509" t="n"/>
      <c r="C42" s="509" t="n"/>
      <c r="D42" s="509" t="n"/>
      <c r="E42" s="509" t="n"/>
      <c r="F42" s="509" t="n"/>
      <c r="G42" s="509" t="n"/>
      <c r="H42" s="509" t="n"/>
      <c r="I42" s="509" t="n"/>
      <c r="J42" s="509" t="n"/>
      <c r="K42" s="509" t="n"/>
      <c r="L42" s="509" t="n"/>
      <c r="M42" s="509" t="n"/>
    </row>
    <row r="43" ht="18" customHeight="1">
      <c r="A43" s="179" t="inlineStr">
        <is>
          <t>Pension / OPEB obligation (net, $m)</t>
        </is>
      </c>
      <c r="B43" s="509" t="n"/>
      <c r="C43" s="509" t="n"/>
      <c r="D43" s="509" t="n"/>
      <c r="E43" s="509" t="n"/>
      <c r="F43" s="509" t="n"/>
      <c r="G43" s="509" t="n"/>
      <c r="H43" s="509" t="n"/>
      <c r="I43" s="509" t="n"/>
      <c r="J43" s="509" t="n"/>
      <c r="K43" s="509" t="n"/>
      <c r="L43" s="509" t="n"/>
      <c r="M43" s="509" t="n"/>
    </row>
    <row r="44" ht="18" customHeight="1">
      <c r="A44" s="179" t="inlineStr">
        <is>
          <t>Other long-term liabilities ($m)</t>
        </is>
      </c>
      <c r="B44" s="509" t="n"/>
      <c r="C44" s="509" t="n"/>
      <c r="D44" s="509" t="n"/>
      <c r="E44" s="509" t="n"/>
      <c r="F44" s="509" t="n"/>
      <c r="G44" s="509" t="n"/>
      <c r="H44" s="509" t="n"/>
      <c r="I44" s="509" t="n"/>
      <c r="J44" s="509" t="n"/>
      <c r="K44" s="509" t="n"/>
      <c r="L44" s="509" t="n"/>
      <c r="M44" s="509" t="n"/>
    </row>
    <row r="45" ht="18" customHeight="1">
      <c r="A45" s="179" t="inlineStr">
        <is>
          <t>Total liabilities ($m)</t>
        </is>
      </c>
      <c r="B45" s="509" t="n"/>
      <c r="C45" s="509" t="n"/>
      <c r="D45" s="509" t="n"/>
      <c r="E45" s="509" t="n"/>
      <c r="F45" s="509" t="n"/>
      <c r="G45" s="509" t="n"/>
      <c r="H45" s="509" t="n"/>
      <c r="I45" s="509" t="n"/>
      <c r="J45" s="509" t="n"/>
      <c r="K45" s="509" t="n"/>
      <c r="L45" s="509" t="n"/>
      <c r="M45" s="509" t="n"/>
    </row>
    <row r="46" ht="18" customHeight="1">
      <c r="A46" s="177" t="inlineStr">
        <is>
          <t>Equity</t>
        </is>
      </c>
      <c r="B46" s="178" t="n"/>
      <c r="C46" s="178" t="n"/>
      <c r="D46" s="178" t="n"/>
      <c r="E46" s="178" t="n"/>
      <c r="F46" s="178" t="n"/>
      <c r="G46" s="178" t="n"/>
      <c r="H46" s="178" t="n"/>
      <c r="I46" s="178" t="n"/>
      <c r="J46" s="178" t="n"/>
      <c r="K46" s="178" t="n"/>
      <c r="L46" s="178" t="n"/>
      <c r="M46" s="178" t="n"/>
    </row>
    <row r="47" ht="18" customHeight="1">
      <c r="A47" s="179" t="inlineStr">
        <is>
          <t>Total equity ($m)</t>
        </is>
      </c>
      <c r="B47" s="509" t="n"/>
      <c r="C47" s="509" t="n"/>
      <c r="D47" s="509" t="n"/>
      <c r="E47" s="509" t="n"/>
      <c r="F47" s="509" t="n"/>
      <c r="G47" s="509" t="n"/>
      <c r="H47" s="509" t="n"/>
      <c r="I47" s="509" t="n"/>
      <c r="J47" s="509" t="n"/>
      <c r="K47" s="509" t="n"/>
      <c r="L47" s="509" t="n"/>
      <c r="M47" s="509" t="n"/>
    </row>
    <row r="48" ht="18" customHeight="1">
      <c r="A48" s="179" t="inlineStr">
        <is>
          <t>Shares outstanding (m shares)</t>
        </is>
      </c>
      <c r="B48" s="513" t="n"/>
      <c r="C48" s="513" t="n"/>
      <c r="D48" s="513" t="n"/>
      <c r="E48" s="513" t="n"/>
      <c r="F48" s="513" t="n"/>
      <c r="G48" s="513" t="n"/>
      <c r="H48" s="513" t="n"/>
      <c r="I48" s="513" t="n"/>
      <c r="J48" s="513" t="n"/>
      <c r="K48" s="513" t="n"/>
      <c r="L48" s="513" t="n"/>
      <c r="M48" s="513" t="n"/>
    </row>
    <row r="49" ht="18" customHeight="1">
      <c r="A49" s="179" t="inlineStr">
        <is>
          <t>Shares diluted (m shares)</t>
        </is>
      </c>
      <c r="B49" s="513" t="n"/>
      <c r="C49" s="513" t="n"/>
      <c r="D49" s="513" t="n"/>
      <c r="E49" s="513" t="n"/>
      <c r="F49" s="513" t="n"/>
      <c r="G49" s="513" t="n"/>
      <c r="H49" s="513" t="n"/>
      <c r="I49" s="513" t="n"/>
      <c r="J49" s="513" t="n"/>
      <c r="K49" s="513" t="n"/>
      <c r="L49" s="513" t="n"/>
      <c r="M49" s="513" t="n"/>
    </row>
    <row r="50" ht="18" customHeight="1">
      <c r="A50" s="177" t="inlineStr">
        <is>
          <t>Retail balance-sheet diagnostics</t>
        </is>
      </c>
      <c r="B50" s="178" t="n"/>
      <c r="C50" s="178" t="n"/>
      <c r="D50" s="178" t="n"/>
      <c r="E50" s="178" t="n"/>
      <c r="F50" s="178" t="n"/>
      <c r="G50" s="178" t="n"/>
      <c r="H50" s="178" t="n"/>
      <c r="I50" s="178" t="n"/>
      <c r="J50" s="178" t="n"/>
      <c r="K50" s="178" t="n"/>
      <c r="L50" s="178" t="n"/>
      <c r="M50" s="178" t="n"/>
    </row>
    <row r="51" ht="18" customHeight="1">
      <c r="A51" s="179" t="inlineStr">
        <is>
          <t>Inventory YoY (%)</t>
        </is>
      </c>
      <c r="B51" s="511">
        <f>""</f>
        <v/>
      </c>
      <c r="C51" s="511">
        <f>""</f>
        <v/>
      </c>
      <c r="D51" s="511">
        <f>""</f>
        <v/>
      </c>
      <c r="E51" s="511">
        <f>""</f>
        <v/>
      </c>
      <c r="F51" s="511">
        <f>IF(OR(B15="",F15="",B15=0),"",F15/B15-1)</f>
        <v/>
      </c>
      <c r="G51" s="511">
        <f>IF(OR(C15="",G15="",C15=0),"",G15/C15-1)</f>
        <v/>
      </c>
      <c r="H51" s="511">
        <f>IF(OR(D15="",H15="",D15=0),"",H15/D15-1)</f>
        <v/>
      </c>
      <c r="I51" s="511">
        <f>IF(OR(E15="",I15="",E15=0),"",I15/E15-1)</f>
        <v/>
      </c>
      <c r="J51" s="511">
        <f>IF(OR(F15="",J15="",F15=0),"",J15/F15-1)</f>
        <v/>
      </c>
      <c r="K51" s="511">
        <f>IF(OR(G15="",K15="",G15=0),"",K15/G15-1)</f>
        <v/>
      </c>
      <c r="L51" s="511">
        <f>IF(OR(H15="",L15="",H15=0),"",L15/H15-1)</f>
        <v/>
      </c>
      <c r="M51" s="511">
        <f>IF(OR(I15="",M15="",I15=0),"",M15/I15-1)</f>
        <v/>
      </c>
    </row>
    <row r="52" ht="18" customHeight="1">
      <c r="A52" s="179" t="inlineStr">
        <is>
          <t>Sales YoY (%)</t>
        </is>
      </c>
      <c r="B52" s="511">
        <f>IFERROR(IF(OR(INDEX('Valuation'!$B$9:$M$9,1,MATCH(B$7,'Valuation'!$B$6:$M$6,0))="",INDEX('Valuation'!$B$9:$M$9,1,MATCH(B$7,'Valuation'!$B$6:$M$6,0)-4)="",INDEX('Valuation'!$B$9:$M$9,1,MATCH(B$7,'Valuation'!$B$6:$M$6,0)-4)=0),"",INDEX('Valuation'!$B$9:$M$9,1,MATCH(B$7,'Valuation'!$B$6:$M$6,0))/INDEX('Valuation'!$B$9:$M$9,1,MATCH(B$7,'Valuation'!$B$6:$M$6,0)-4)-1),"")</f>
        <v/>
      </c>
      <c r="C52" s="511">
        <f>IFERROR(IF(OR(INDEX('Valuation'!$B$9:$M$9,1,MATCH(C$7,'Valuation'!$B$6:$M$6,0))="",INDEX('Valuation'!$B$9:$M$9,1,MATCH(C$7,'Valuation'!$B$6:$M$6,0)-4)="",INDEX('Valuation'!$B$9:$M$9,1,MATCH(C$7,'Valuation'!$B$6:$M$6,0)-4)=0),"",INDEX('Valuation'!$B$9:$M$9,1,MATCH(C$7,'Valuation'!$B$6:$M$6,0))/INDEX('Valuation'!$B$9:$M$9,1,MATCH(C$7,'Valuation'!$B$6:$M$6,0)-4)-1),"")</f>
        <v/>
      </c>
      <c r="D52" s="511">
        <f>IFERROR(IF(OR(INDEX('Valuation'!$B$9:$M$9,1,MATCH(D$7,'Valuation'!$B$6:$M$6,0))="",INDEX('Valuation'!$B$9:$M$9,1,MATCH(D$7,'Valuation'!$B$6:$M$6,0)-4)="",INDEX('Valuation'!$B$9:$M$9,1,MATCH(D$7,'Valuation'!$B$6:$M$6,0)-4)=0),"",INDEX('Valuation'!$B$9:$M$9,1,MATCH(D$7,'Valuation'!$B$6:$M$6,0))/INDEX('Valuation'!$B$9:$M$9,1,MATCH(D$7,'Valuation'!$B$6:$M$6,0)-4)-1),"")</f>
        <v/>
      </c>
      <c r="E52" s="511">
        <f>IFERROR(IF(OR(INDEX('Valuation'!$B$9:$M$9,1,MATCH(E$7,'Valuation'!$B$6:$M$6,0))="",INDEX('Valuation'!$B$9:$M$9,1,MATCH(E$7,'Valuation'!$B$6:$M$6,0)-4)="",INDEX('Valuation'!$B$9:$M$9,1,MATCH(E$7,'Valuation'!$B$6:$M$6,0)-4)=0),"",INDEX('Valuation'!$B$9:$M$9,1,MATCH(E$7,'Valuation'!$B$6:$M$6,0))/INDEX('Valuation'!$B$9:$M$9,1,MATCH(E$7,'Valuation'!$B$6:$M$6,0)-4)-1),"")</f>
        <v/>
      </c>
      <c r="F52" s="511">
        <f>IFERROR(IF(OR(INDEX('Valuation'!$B$9:$M$9,1,MATCH(F$7,'Valuation'!$B$6:$M$6,0))="",INDEX('Valuation'!$B$9:$M$9,1,MATCH(F$7,'Valuation'!$B$6:$M$6,0)-4)="",INDEX('Valuation'!$B$9:$M$9,1,MATCH(F$7,'Valuation'!$B$6:$M$6,0)-4)=0),"",INDEX('Valuation'!$B$9:$M$9,1,MATCH(F$7,'Valuation'!$B$6:$M$6,0))/INDEX('Valuation'!$B$9:$M$9,1,MATCH(F$7,'Valuation'!$B$6:$M$6,0)-4)-1),"")</f>
        <v/>
      </c>
      <c r="G52" s="511">
        <f>IFERROR(IF(OR(INDEX('Valuation'!$B$9:$M$9,1,MATCH(G$7,'Valuation'!$B$6:$M$6,0))="",INDEX('Valuation'!$B$9:$M$9,1,MATCH(G$7,'Valuation'!$B$6:$M$6,0)-4)="",INDEX('Valuation'!$B$9:$M$9,1,MATCH(G$7,'Valuation'!$B$6:$M$6,0)-4)=0),"",INDEX('Valuation'!$B$9:$M$9,1,MATCH(G$7,'Valuation'!$B$6:$M$6,0))/INDEX('Valuation'!$B$9:$M$9,1,MATCH(G$7,'Valuation'!$B$6:$M$6,0)-4)-1),"")</f>
        <v/>
      </c>
      <c r="H52" s="511">
        <f>IFERROR(IF(OR(INDEX('Valuation'!$B$9:$M$9,1,MATCH(H$7,'Valuation'!$B$6:$M$6,0))="",INDEX('Valuation'!$B$9:$M$9,1,MATCH(H$7,'Valuation'!$B$6:$M$6,0)-4)="",INDEX('Valuation'!$B$9:$M$9,1,MATCH(H$7,'Valuation'!$B$6:$M$6,0)-4)=0),"",INDEX('Valuation'!$B$9:$M$9,1,MATCH(H$7,'Valuation'!$B$6:$M$6,0))/INDEX('Valuation'!$B$9:$M$9,1,MATCH(H$7,'Valuation'!$B$6:$M$6,0)-4)-1),"")</f>
        <v/>
      </c>
      <c r="I52" s="511">
        <f>IFERROR(IF(OR(INDEX('Valuation'!$B$9:$M$9,1,MATCH(I$7,'Valuation'!$B$6:$M$6,0))="",INDEX('Valuation'!$B$9:$M$9,1,MATCH(I$7,'Valuation'!$B$6:$M$6,0)-4)="",INDEX('Valuation'!$B$9:$M$9,1,MATCH(I$7,'Valuation'!$B$6:$M$6,0)-4)=0),"",INDEX('Valuation'!$B$9:$M$9,1,MATCH(I$7,'Valuation'!$B$6:$M$6,0))/INDEX('Valuation'!$B$9:$M$9,1,MATCH(I$7,'Valuation'!$B$6:$M$6,0)-4)-1),"")</f>
        <v/>
      </c>
      <c r="J52" s="511">
        <f>IFERROR(IF(OR(INDEX('Valuation'!$B$9:$M$9,1,MATCH(J$7,'Valuation'!$B$6:$M$6,0))="",INDEX('Valuation'!$B$9:$M$9,1,MATCH(J$7,'Valuation'!$B$6:$M$6,0)-4)="",INDEX('Valuation'!$B$9:$M$9,1,MATCH(J$7,'Valuation'!$B$6:$M$6,0)-4)=0),"",INDEX('Valuation'!$B$9:$M$9,1,MATCH(J$7,'Valuation'!$B$6:$M$6,0))/INDEX('Valuation'!$B$9:$M$9,1,MATCH(J$7,'Valuation'!$B$6:$M$6,0)-4)-1),"")</f>
        <v/>
      </c>
      <c r="K52" s="511">
        <f>IFERROR(IF(OR(INDEX('Valuation'!$B$9:$M$9,1,MATCH(K$7,'Valuation'!$B$6:$M$6,0))="",INDEX('Valuation'!$B$9:$M$9,1,MATCH(K$7,'Valuation'!$B$6:$M$6,0)-4)="",INDEX('Valuation'!$B$9:$M$9,1,MATCH(K$7,'Valuation'!$B$6:$M$6,0)-4)=0),"",INDEX('Valuation'!$B$9:$M$9,1,MATCH(K$7,'Valuation'!$B$6:$M$6,0))/INDEX('Valuation'!$B$9:$M$9,1,MATCH(K$7,'Valuation'!$B$6:$M$6,0)-4)-1),"")</f>
        <v/>
      </c>
      <c r="L52" s="511">
        <f>IFERROR(IF(OR(INDEX('Valuation'!$B$9:$M$9,1,MATCH(L$7,'Valuation'!$B$6:$M$6,0))="",INDEX('Valuation'!$B$9:$M$9,1,MATCH(L$7,'Valuation'!$B$6:$M$6,0)-4)="",INDEX('Valuation'!$B$9:$M$9,1,MATCH(L$7,'Valuation'!$B$6:$M$6,0)-4)=0),"",INDEX('Valuation'!$B$9:$M$9,1,MATCH(L$7,'Valuation'!$B$6:$M$6,0))/INDEX('Valuation'!$B$9:$M$9,1,MATCH(L$7,'Valuation'!$B$6:$M$6,0)-4)-1),"")</f>
        <v/>
      </c>
      <c r="M52" s="511">
        <f>IFERROR(IF(OR(INDEX('Valuation'!$B$9:$M$9,1,MATCH(M$7,'Valuation'!$B$6:$M$6,0))="",INDEX('Valuation'!$B$9:$M$9,1,MATCH(M$7,'Valuation'!$B$6:$M$6,0)-4)="",INDEX('Valuation'!$B$9:$M$9,1,MATCH(M$7,'Valuation'!$B$6:$M$6,0)-4)=0),"",INDEX('Valuation'!$B$9:$M$9,1,MATCH(M$7,'Valuation'!$B$6:$M$6,0))/INDEX('Valuation'!$B$9:$M$9,1,MATCH(M$7,'Valuation'!$B$6:$M$6,0)-4)-1),"")</f>
        <v/>
      </c>
    </row>
    <row r="53" ht="18" customHeight="1">
      <c r="A53" s="179" t="inlineStr">
        <is>
          <t>Inventory growth less revenue growth (%)</t>
        </is>
      </c>
      <c r="B53" s="511">
        <f>IF(OR(B51="",B52=""),"",B51-B52)</f>
        <v/>
      </c>
      <c r="C53" s="511">
        <f>IF(OR(C51="",C52=""),"",C51-C52)</f>
        <v/>
      </c>
      <c r="D53" s="511">
        <f>IF(OR(D51="",D52=""),"",D51-D52)</f>
        <v/>
      </c>
      <c r="E53" s="511">
        <f>IF(OR(E51="",E52=""),"",E51-E52)</f>
        <v/>
      </c>
      <c r="F53" s="511">
        <f>IF(OR(F51="",F52=""),"",F51-F52)</f>
        <v/>
      </c>
      <c r="G53" s="511">
        <f>IF(OR(G51="",G52=""),"",G51-G52)</f>
        <v/>
      </c>
      <c r="H53" s="511">
        <f>IF(OR(H51="",H52=""),"",H51-H52)</f>
        <v/>
      </c>
      <c r="I53" s="511">
        <f>IF(OR(I51="",I52=""),"",I51-I52)</f>
        <v/>
      </c>
      <c r="J53" s="511">
        <f>IF(OR(J51="",J52=""),"",J51-J52)</f>
        <v/>
      </c>
      <c r="K53" s="511">
        <f>IF(OR(K51="",K52=""),"",K51-K52)</f>
        <v/>
      </c>
      <c r="L53" s="511">
        <f>IF(OR(L51="",L52=""),"",L51-L52)</f>
        <v/>
      </c>
      <c r="M53" s="511">
        <f>IF(OR(M51="",M52=""),"",M51-M52)</f>
        <v/>
      </c>
    </row>
    <row r="54" ht="18" customHeight="1">
      <c r="A54" s="179" t="inlineStr">
        <is>
          <t>Net cash ($m)</t>
        </is>
      </c>
      <c r="B54" s="510">
        <f>IF(OR(B9="",B13="",B40=""),"",B9+B13-B40)</f>
        <v/>
      </c>
      <c r="C54" s="510">
        <f>IF(OR(C9="",C13="",C40=""),"",C9+C13-C40)</f>
        <v/>
      </c>
      <c r="D54" s="510">
        <f>IF(OR(D9="",D13="",D40=""),"",D9+D13-D40)</f>
        <v/>
      </c>
      <c r="E54" s="510">
        <f>IF(OR(E9="",E13="",E40=""),"",E9+E13-E40)</f>
        <v/>
      </c>
      <c r="F54" s="510">
        <f>IF(OR(F9="",F13="",F40=""),"",F9+F13-F40)</f>
        <v/>
      </c>
      <c r="G54" s="510">
        <f>IF(OR(G9="",G13="",G40=""),"",G9+G13-G40)</f>
        <v/>
      </c>
      <c r="H54" s="510">
        <f>IF(OR(H9="",H13="",H40=""),"",H9+H13-H40)</f>
        <v/>
      </c>
      <c r="I54" s="510">
        <f>IF(OR(I9="",I13="",I40=""),"",I9+I13-I40)</f>
        <v/>
      </c>
      <c r="J54" s="510">
        <f>IF(OR(J9="",J13="",J40=""),"",J9+J13-J40)</f>
        <v/>
      </c>
      <c r="K54" s="510">
        <f>IF(OR(K9="",K13="",K40=""),"",K9+K13-K40)</f>
        <v/>
      </c>
      <c r="L54" s="510">
        <f>IF(OR(L9="",L13="",L40=""),"",L9+L13-L40)</f>
        <v/>
      </c>
      <c r="M54" s="510">
        <f>IF(OR(M9="",M13="",M40=""),"",M9+M13-M40)</f>
        <v/>
      </c>
    </row>
    <row r="55" ht="18" customHeight="1">
      <c r="A55" s="179" t="inlineStr">
        <is>
          <t>Total lease liabilities ($m)</t>
        </is>
      </c>
      <c r="B55" s="510">
        <f>IF(OR(B34="",B42=""),"",B34+B42)</f>
        <v/>
      </c>
      <c r="C55" s="510">
        <f>IF(OR(C34="",C42=""),"",C34+C42)</f>
        <v/>
      </c>
      <c r="D55" s="510">
        <f>IF(OR(D34="",D42=""),"",D34+D42)</f>
        <v/>
      </c>
      <c r="E55" s="510">
        <f>IF(OR(E34="",E42=""),"",E34+E42)</f>
        <v/>
      </c>
      <c r="F55" s="510">
        <f>IF(OR(F34="",F42=""),"",F34+F42)</f>
        <v/>
      </c>
      <c r="G55" s="510">
        <f>IF(OR(G34="",G42=""),"",G34+G42)</f>
        <v/>
      </c>
      <c r="H55" s="510">
        <f>IF(OR(H34="",H42=""),"",H34+H42)</f>
        <v/>
      </c>
      <c r="I55" s="510">
        <f>IF(OR(I34="",I42=""),"",I34+I42)</f>
        <v/>
      </c>
      <c r="J55" s="510">
        <f>IF(OR(J34="",J42=""),"",J34+J42)</f>
        <v/>
      </c>
      <c r="K55" s="510">
        <f>IF(OR(K34="",K42=""),"",K34+K42)</f>
        <v/>
      </c>
      <c r="L55" s="510">
        <f>IF(OR(L34="",L42=""),"",L34+L42)</f>
        <v/>
      </c>
      <c r="M55" s="510">
        <f>IF(OR(M34="",M42=""),"",M34+M42)</f>
        <v/>
      </c>
    </row>
    <row r="56" ht="18" customHeight="1">
      <c r="A56" s="179" t="inlineStr">
        <is>
          <t>Diluted shares YoY (%)</t>
        </is>
      </c>
      <c r="B56" s="511">
        <f>""</f>
        <v/>
      </c>
      <c r="C56" s="511">
        <f>""</f>
        <v/>
      </c>
      <c r="D56" s="511">
        <f>""</f>
        <v/>
      </c>
      <c r="E56" s="511">
        <f>""</f>
        <v/>
      </c>
      <c r="F56" s="511">
        <f>IF(OR(B49="",F49="",B49=0),"",F49/B49-1)</f>
        <v/>
      </c>
      <c r="G56" s="511">
        <f>IF(OR(C49="",G49="",C49=0),"",G49/C49-1)</f>
        <v/>
      </c>
      <c r="H56" s="511">
        <f>IF(OR(D49="",H49="",D49=0),"",H49/D49-1)</f>
        <v/>
      </c>
      <c r="I56" s="511">
        <f>IF(OR(E49="",I49="",E49=0),"",I49/E49-1)</f>
        <v/>
      </c>
      <c r="J56" s="511">
        <f>IF(OR(F49="",J49="",F49=0),"",J49/F49-1)</f>
        <v/>
      </c>
      <c r="K56" s="511">
        <f>IF(OR(G49="",K49="",G49=0),"",K49/G49-1)</f>
        <v/>
      </c>
      <c r="L56" s="511">
        <f>IF(OR(H49="",L49="",H49=0),"",L49/H49-1)</f>
        <v/>
      </c>
      <c r="M56" s="511">
        <f>IF(OR(I49="",M49="",I49=0),"",M49/I49-1)</f>
        <v/>
      </c>
    </row>
    <row r="57" ht="18" customHeight="1">
      <c r="A57" s="174" t="n"/>
      <c r="B57" s="174" t="n"/>
      <c r="C57" s="174" t="n"/>
      <c r="D57" s="174" t="n"/>
      <c r="E57" s="174" t="n"/>
      <c r="F57" s="174" t="n"/>
      <c r="G57" s="174" t="n"/>
      <c r="H57" s="174" t="n"/>
      <c r="I57" s="174" t="n"/>
      <c r="J57" s="174" t="n"/>
      <c r="K57" s="174" t="n"/>
      <c r="L57" s="174" t="n"/>
      <c r="M57" s="174" t="n"/>
    </row>
    <row r="58" ht="19.5" customHeight="1">
      <c r="A58" s="197" t="inlineStr">
        <is>
          <t>Quarterly segment revenue ($m)</t>
        </is>
      </c>
      <c r="B58" s="198" t="n"/>
      <c r="C58" s="198" t="n"/>
      <c r="D58" s="198" t="n"/>
      <c r="E58" s="198" t="n"/>
      <c r="F58" s="198" t="n"/>
      <c r="G58" s="198" t="n"/>
      <c r="H58" s="198" t="n"/>
      <c r="I58" s="198" t="n"/>
      <c r="J58" s="198" t="n"/>
      <c r="K58" s="198" t="n"/>
      <c r="L58" s="198" t="n"/>
      <c r="M58" s="198" t="n"/>
    </row>
    <row r="59" ht="18" customHeight="1">
      <c r="A59" s="199" t="inlineStr">
        <is>
          <t>Geography and brand are separate analytical views; Total Company must not be added across both dimensions.</t>
        </is>
      </c>
      <c r="B59" s="104" t="n"/>
      <c r="C59" s="104" t="n"/>
      <c r="D59" s="104" t="n"/>
      <c r="E59" s="104" t="n"/>
      <c r="F59" s="104" t="n"/>
      <c r="G59" s="104" t="n"/>
      <c r="H59" s="104" t="n"/>
      <c r="I59" s="104" t="n"/>
      <c r="J59" s="104" t="n"/>
      <c r="K59" s="104" t="n"/>
      <c r="L59" s="104" t="n"/>
      <c r="M59" s="104" t="n"/>
    </row>
    <row r="60" ht="18" customHeight="1">
      <c r="A60" s="177" t="inlineStr">
        <is>
          <t>Revenue</t>
        </is>
      </c>
      <c r="B60" s="178" t="n"/>
      <c r="C60" s="178" t="n"/>
      <c r="D60" s="178" t="n"/>
      <c r="E60" s="178" t="n"/>
      <c r="F60" s="178" t="n"/>
      <c r="G60" s="178" t="n"/>
      <c r="H60" s="178" t="n"/>
      <c r="I60" s="178" t="n"/>
      <c r="J60" s="178" t="n"/>
      <c r="K60" s="178" t="n"/>
      <c r="L60" s="178" t="n"/>
      <c r="M60" s="178" t="n"/>
    </row>
    <row r="61" ht="18" customHeight="1">
      <c r="A61" s="179" t="n"/>
      <c r="B61" s="395" t="n"/>
      <c r="C61" s="395" t="n"/>
      <c r="D61" s="395" t="n"/>
      <c r="E61" s="395" t="n"/>
      <c r="F61" s="395" t="n"/>
      <c r="G61" s="395" t="n"/>
      <c r="H61" s="395" t="n"/>
      <c r="I61" s="395" t="n"/>
      <c r="J61" s="395" t="n"/>
      <c r="K61" s="395" t="n"/>
      <c r="L61" s="395" t="n"/>
      <c r="M61" s="395" t="n"/>
    </row>
    <row r="62" ht="18" customHeight="1">
      <c r="A62" s="179" t="n"/>
      <c r="B62" s="395" t="n"/>
      <c r="C62" s="395" t="n"/>
      <c r="D62" s="395" t="n"/>
      <c r="E62" s="395" t="n"/>
      <c r="F62" s="395" t="n"/>
      <c r="G62" s="395" t="n"/>
      <c r="H62" s="395" t="n"/>
      <c r="I62" s="395" t="n"/>
      <c r="J62" s="395" t="n"/>
      <c r="K62" s="395" t="n"/>
      <c r="L62" s="395" t="n"/>
      <c r="M62" s="395" t="n"/>
    </row>
    <row r="63" ht="18" customHeight="1">
      <c r="A63" s="179" t="n"/>
      <c r="B63" s="395" t="n"/>
      <c r="C63" s="395" t="n"/>
      <c r="D63" s="395" t="n"/>
      <c r="E63" s="395" t="n"/>
      <c r="F63" s="395" t="n"/>
      <c r="G63" s="395" t="n"/>
      <c r="H63" s="395" t="n"/>
      <c r="I63" s="395" t="n"/>
      <c r="J63" s="395" t="n"/>
      <c r="K63" s="395" t="n"/>
      <c r="L63" s="395" t="n"/>
      <c r="M63" s="395" t="n"/>
    </row>
    <row r="64" ht="18" customHeight="1">
      <c r="A64" s="178" t="n"/>
      <c r="B64" s="178" t="n"/>
      <c r="C64" s="178" t="n"/>
      <c r="D64" s="178" t="n"/>
      <c r="E64" s="178" t="n"/>
      <c r="F64" s="178" t="n"/>
      <c r="G64" s="178" t="n"/>
      <c r="H64" s="178" t="n"/>
      <c r="I64" s="178" t="n"/>
      <c r="J64" s="178" t="n"/>
      <c r="K64" s="178" t="n"/>
      <c r="L64" s="178" t="n"/>
      <c r="M64" s="178" t="n"/>
    </row>
    <row r="65" ht="18" customHeight="1">
      <c r="A65" s="179" t="n"/>
      <c r="B65" s="395" t="n"/>
      <c r="C65" s="395" t="n"/>
      <c r="D65" s="395" t="n"/>
      <c r="E65" s="395" t="n"/>
      <c r="F65" s="395" t="n"/>
      <c r="G65" s="395" t="n"/>
      <c r="H65" s="395" t="n"/>
      <c r="I65" s="395" t="n"/>
      <c r="J65" s="395" t="n"/>
      <c r="K65" s="395" t="n"/>
      <c r="L65" s="395" t="n"/>
      <c r="M65" s="395" t="n"/>
    </row>
    <row r="66" ht="18" customHeight="1">
      <c r="A66" s="179" t="n"/>
      <c r="B66" s="395" t="n"/>
      <c r="C66" s="395" t="n"/>
      <c r="D66" s="395" t="n"/>
      <c r="E66" s="395" t="n"/>
      <c r="F66" s="395" t="n"/>
      <c r="G66" s="395" t="n"/>
      <c r="H66" s="395" t="n"/>
      <c r="I66" s="395" t="n"/>
      <c r="J66" s="395" t="n"/>
      <c r="K66" s="395" t="n"/>
      <c r="L66" s="395" t="n"/>
      <c r="M66" s="395" t="n"/>
    </row>
    <row r="67" ht="18" customHeight="1">
      <c r="A67" s="179" t="n"/>
      <c r="B67" s="395" t="n"/>
      <c r="C67" s="395" t="n"/>
      <c r="D67" s="395" t="n"/>
      <c r="E67" s="395" t="n"/>
      <c r="F67" s="395" t="n"/>
      <c r="G67" s="395" t="n"/>
      <c r="H67" s="395" t="n"/>
      <c r="I67" s="395" t="n"/>
      <c r="J67" s="395" t="n"/>
      <c r="K67" s="395" t="n"/>
      <c r="L67" s="395" t="n"/>
      <c r="M67" s="395" t="n"/>
    </row>
    <row r="68" ht="18" customHeight="1">
      <c r="A68" s="174" t="n"/>
      <c r="B68" s="174" t="n"/>
      <c r="C68" s="174" t="n"/>
      <c r="D68" s="174" t="n"/>
      <c r="E68" s="174" t="n"/>
      <c r="F68" s="174" t="n"/>
      <c r="G68" s="174" t="n"/>
      <c r="H68" s="174" t="n"/>
      <c r="I68" s="174" t="n"/>
      <c r="J68" s="174" t="n"/>
      <c r="K68" s="174" t="n"/>
      <c r="L68" s="174" t="n"/>
      <c r="M68" s="174" t="n"/>
    </row>
    <row r="69" ht="19.5" customHeight="1">
      <c r="A69" s="197" t="inlineStr">
        <is>
          <t>Annual segment revenue ($m)</t>
        </is>
      </c>
      <c r="B69" s="198" t="n"/>
      <c r="C69" s="198" t="n"/>
      <c r="D69" s="198" t="n"/>
      <c r="E69" s="198" t="n"/>
      <c r="F69" s="198" t="n"/>
      <c r="G69" s="198" t="n"/>
      <c r="H69" s="198" t="n"/>
      <c r="I69" s="198" t="n"/>
    </row>
    <row r="70" ht="19.5" customHeight="1">
      <c r="A70" s="200" t="inlineStr">
        <is>
          <t>Year</t>
        </is>
      </c>
      <c r="B70" s="234" t="n"/>
      <c r="C70" s="234" t="n"/>
      <c r="D70" s="234" t="n"/>
      <c r="E70" s="234" t="n"/>
      <c r="F70" s="234" t="n"/>
      <c r="G70" s="234" t="n"/>
      <c r="H70" s="234" t="n"/>
      <c r="I70" s="234" t="n"/>
    </row>
    <row r="71" ht="18" customHeight="1">
      <c r="A71" s="177" t="inlineStr">
        <is>
          <t>Revenues</t>
        </is>
      </c>
      <c r="B71" s="178" t="n"/>
      <c r="C71" s="178" t="n"/>
      <c r="D71" s="178" t="n"/>
      <c r="E71" s="178" t="n"/>
      <c r="F71" s="178" t="n"/>
      <c r="G71" s="178" t="n"/>
      <c r="H71" s="178" t="n"/>
      <c r="I71" s="178" t="n"/>
    </row>
    <row r="72" ht="18" customHeight="1">
      <c r="A72" s="179" t="n"/>
      <c r="B72" s="395" t="n"/>
      <c r="C72" s="395" t="n"/>
      <c r="D72" s="395" t="n"/>
      <c r="E72" s="174" t="n"/>
      <c r="F72" s="174" t="n"/>
      <c r="G72" s="174" t="n"/>
      <c r="H72" s="174" t="n"/>
      <c r="I72" s="174" t="n"/>
    </row>
    <row r="73" ht="18" customHeight="1">
      <c r="A73" s="179" t="n"/>
      <c r="B73" s="395" t="n"/>
      <c r="C73" s="395" t="n"/>
      <c r="D73" s="395" t="n"/>
      <c r="E73" s="174" t="n"/>
      <c r="F73" s="174" t="n"/>
      <c r="G73" s="174" t="n"/>
      <c r="H73" s="174" t="n"/>
      <c r="I73" s="174" t="n"/>
    </row>
    <row r="74" ht="18" customHeight="1">
      <c r="A74" s="179" t="n"/>
      <c r="B74" s="395" t="n"/>
      <c r="C74" s="395" t="n"/>
      <c r="D74" s="395" t="n"/>
      <c r="E74" s="174" t="n"/>
      <c r="F74" s="174" t="n"/>
      <c r="G74" s="174" t="n"/>
      <c r="H74" s="174" t="n"/>
      <c r="I74" s="174" t="n"/>
    </row>
    <row r="75"/>
    <row r="76" ht="18" customHeight="1"/>
    <row r="77" ht="18" customHeight="1"/>
    <row r="78" ht="18" customHeight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mergeCells count="4">
    <mergeCell ref="B6:M6"/>
    <mergeCell ref="A5:M5"/>
    <mergeCell ref="A4:M4"/>
    <mergeCell ref="A59:M5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25"/>
  <sheetViews>
    <sheetView zoomScale="110" workbookViewId="0">
      <pane ySplit="1" topLeftCell="A2" activePane="bottomLeft" state="frozen"/>
      <selection pane="bottomLeft" activeCell="A1" sqref="A1"/>
    </sheetView>
  </sheetViews>
  <sheetFormatPr baseColWidth="8" defaultRowHeight="18"/>
  <cols>
    <col width="4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 ht="24" customHeight="1">
      <c r="A1" s="172" t="inlineStr">
        <is>
          <t>Operating Drivers</t>
        </is>
      </c>
    </row>
    <row r="2" ht="24" customHeight="1">
      <c r="A2" s="514" t="n"/>
    </row>
    <row r="3" ht="24" customHeight="1">
      <c r="A3" s="201" t="n"/>
    </row>
    <row r="4" ht="22.5" customHeight="1">
      <c r="A4" s="202" t="inlineStr">
        <is>
          <t>Current watchlist</t>
        </is>
      </c>
      <c r="B4" s="104" t="n"/>
      <c r="C4" s="104" t="n"/>
      <c r="D4" s="104" t="n"/>
      <c r="E4" s="104" t="n"/>
      <c r="F4" s="104" t="n"/>
      <c r="G4" s="104" t="n"/>
      <c r="H4" s="104" t="n"/>
      <c r="I4" s="104" t="n"/>
      <c r="J4" s="104" t="n"/>
      <c r="K4" s="104" t="n"/>
      <c r="L4" s="104" t="n"/>
      <c r="M4" s="104" t="n"/>
      <c r="N4" s="105" t="n"/>
    </row>
    <row r="5" ht="21" customHeight="1">
      <c r="A5" s="203" t="inlineStr">
        <is>
          <t>Watch item</t>
        </is>
      </c>
      <c r="B5" s="203" t="inlineStr">
        <is>
          <t>Current read</t>
        </is>
      </c>
      <c r="C5" s="104" t="n"/>
      <c r="D5" s="104" t="n"/>
      <c r="E5" s="104" t="n"/>
      <c r="F5" s="104" t="n"/>
      <c r="G5" s="105" t="n"/>
      <c r="H5" s="203" t="inlineStr">
        <is>
          <t>Why it matters</t>
        </is>
      </c>
      <c r="I5" s="104" t="n"/>
      <c r="J5" s="104" t="n"/>
      <c r="K5" s="104" t="n"/>
      <c r="L5" s="104" t="n"/>
      <c r="M5" s="104" t="n"/>
      <c r="N5" s="105" t="n"/>
    </row>
    <row r="6" ht="42" customHeight="1">
      <c r="A6" s="204" t="n"/>
      <c r="B6" s="433" t="n"/>
      <c r="C6" s="399" t="n"/>
      <c r="D6" s="399" t="n"/>
      <c r="E6" s="399" t="n"/>
      <c r="F6" s="399" t="n"/>
      <c r="G6" s="399" t="n"/>
      <c r="H6" s="433" t="n"/>
      <c r="I6" s="399" t="n"/>
      <c r="J6" s="399" t="n"/>
      <c r="K6" s="399" t="n"/>
      <c r="L6" s="399" t="n"/>
      <c r="M6" s="399" t="n"/>
      <c r="N6" s="399" t="n"/>
    </row>
    <row r="7" ht="42" customHeight="1">
      <c r="A7" s="206" t="n"/>
      <c r="B7" s="435" t="n"/>
      <c r="C7" s="399" t="n"/>
      <c r="D7" s="399" t="n"/>
      <c r="E7" s="399" t="n"/>
      <c r="F7" s="399" t="n"/>
      <c r="G7" s="399" t="n"/>
      <c r="H7" s="435" t="n"/>
      <c r="I7" s="399" t="n"/>
      <c r="J7" s="399" t="n"/>
      <c r="K7" s="399" t="n"/>
      <c r="L7" s="399" t="n"/>
      <c r="M7" s="399" t="n"/>
      <c r="N7" s="399" t="n"/>
    </row>
    <row r="8" ht="42" customHeight="1">
      <c r="A8" s="204" t="n"/>
      <c r="B8" s="433" t="n"/>
      <c r="C8" s="399" t="n"/>
      <c r="D8" s="399" t="n"/>
      <c r="E8" s="399" t="n"/>
      <c r="F8" s="399" t="n"/>
      <c r="G8" s="399" t="n"/>
      <c r="H8" s="433" t="n"/>
      <c r="I8" s="399" t="n"/>
      <c r="J8" s="399" t="n"/>
      <c r="K8" s="399" t="n"/>
      <c r="L8" s="399" t="n"/>
      <c r="M8" s="399" t="n"/>
      <c r="N8" s="399" t="n"/>
    </row>
    <row r="9" ht="42" customHeight="1">
      <c r="A9" s="206" t="n"/>
      <c r="B9" s="435" t="n"/>
      <c r="C9" s="399" t="n"/>
      <c r="D9" s="399" t="n"/>
      <c r="E9" s="399" t="n"/>
      <c r="F9" s="399" t="n"/>
      <c r="G9" s="399" t="n"/>
      <c r="H9" s="435" t="n"/>
      <c r="I9" s="399" t="n"/>
      <c r="J9" s="399" t="n"/>
      <c r="K9" s="399" t="n"/>
      <c r="L9" s="399" t="n"/>
      <c r="M9" s="399" t="n"/>
      <c r="N9" s="399" t="n"/>
    </row>
    <row r="10" ht="19.5" customHeight="1"/>
    <row r="11" ht="22.5" customHeight="1">
      <c r="A11" s="202" t="inlineStr">
        <is>
          <t>Current/latest outlook</t>
        </is>
      </c>
      <c r="B11" s="104" t="n"/>
      <c r="C11" s="104" t="n"/>
      <c r="D11" s="104" t="n"/>
      <c r="E11" s="104" t="n"/>
      <c r="F11" s="104" t="n"/>
      <c r="G11" s="104" t="n"/>
      <c r="H11" s="104" t="n"/>
      <c r="I11" s="104" t="n"/>
      <c r="J11" s="104" t="n"/>
      <c r="K11" s="104" t="n"/>
      <c r="L11" s="104" t="n"/>
      <c r="M11" s="104" t="n"/>
      <c r="N11" s="105" t="n"/>
    </row>
    <row r="12" ht="21" customHeight="1">
      <c r="A12" s="203" t="inlineStr">
        <is>
          <t>Topic</t>
        </is>
      </c>
      <c r="B12" s="203" t="inlineStr">
        <is>
          <t>Current read</t>
        </is>
      </c>
      <c r="C12" s="104" t="n"/>
      <c r="D12" s="104" t="n"/>
      <c r="E12" s="104" t="n"/>
      <c r="F12" s="104" t="n"/>
      <c r="G12" s="105" t="n"/>
      <c r="H12" s="203" t="inlineStr">
        <is>
          <t>Source / use</t>
        </is>
      </c>
      <c r="I12" s="104" t="n"/>
      <c r="J12" s="104" t="n"/>
      <c r="K12" s="104" t="n"/>
      <c r="L12" s="104" t="n"/>
      <c r="M12" s="104" t="n"/>
      <c r="N12" s="105" t="n"/>
    </row>
    <row r="13" ht="22.5" customHeight="1">
      <c r="A13" s="204" t="inlineStr">
        <is>
          <t>Current actual period</t>
        </is>
      </c>
      <c r="B13" s="432" t="n"/>
      <c r="C13" s="399" t="n"/>
      <c r="D13" s="399" t="n"/>
      <c r="E13" s="399" t="n"/>
      <c r="F13" s="399" t="n"/>
      <c r="G13" s="399" t="n"/>
      <c r="H13" s="433" t="n"/>
      <c r="I13" s="399" t="n"/>
      <c r="J13" s="399" t="n"/>
      <c r="K13" s="399" t="n"/>
      <c r="L13" s="399" t="n"/>
      <c r="M13" s="399" t="n"/>
      <c r="N13" s="399" t="n"/>
    </row>
    <row r="14" ht="42" customHeight="1">
      <c r="A14" s="206" t="inlineStr">
        <is>
          <t>Current guidance period</t>
        </is>
      </c>
      <c r="B14" s="435" t="n"/>
      <c r="C14" s="399" t="n"/>
      <c r="D14" s="399" t="n"/>
      <c r="E14" s="399" t="n"/>
      <c r="F14" s="399" t="n"/>
      <c r="G14" s="399" t="n"/>
      <c r="H14" s="435" t="n"/>
      <c r="I14" s="399" t="n"/>
      <c r="J14" s="399" t="n"/>
      <c r="K14" s="399" t="n"/>
      <c r="L14" s="399" t="n"/>
      <c r="M14" s="399" t="n"/>
      <c r="N14" s="399" t="n"/>
    </row>
    <row r="15" ht="42" customHeight="1">
      <c r="A15" s="204" t="inlineStr">
        <is>
          <t>Margin bridge</t>
        </is>
      </c>
      <c r="B15" s="433" t="n"/>
      <c r="C15" s="399" t="n"/>
      <c r="D15" s="399" t="n"/>
      <c r="E15" s="399" t="n"/>
      <c r="F15" s="399" t="n"/>
      <c r="G15" s="399" t="n"/>
      <c r="H15" s="433" t="n"/>
      <c r="I15" s="399" t="n"/>
      <c r="J15" s="399" t="n"/>
      <c r="K15" s="399" t="n"/>
      <c r="L15" s="399" t="n"/>
      <c r="M15" s="399" t="n"/>
      <c r="N15" s="399" t="n"/>
    </row>
    <row r="16" ht="22.5" customHeight="1">
      <c r="A16" s="206" t="n"/>
      <c r="B16" s="434" t="n"/>
      <c r="C16" s="399" t="n"/>
      <c r="D16" s="399" t="n"/>
      <c r="E16" s="399" t="n"/>
      <c r="F16" s="399" t="n"/>
      <c r="G16" s="399" t="n"/>
      <c r="H16" s="435" t="n"/>
      <c r="I16" s="399" t="n"/>
      <c r="J16" s="399" t="n"/>
      <c r="K16" s="399" t="n"/>
      <c r="L16" s="399" t="n"/>
      <c r="M16" s="399" t="n"/>
      <c r="N16" s="399" t="n"/>
    </row>
    <row r="17" ht="19.5" customHeight="1"/>
    <row r="18" ht="22.5" customHeight="1">
      <c r="A18" s="202" t="inlineStr">
        <is>
          <t>Recent quarter commentary</t>
        </is>
      </c>
      <c r="B18" s="104" t="n"/>
      <c r="C18" s="104" t="n"/>
      <c r="D18" s="104" t="n"/>
      <c r="E18" s="104" t="n"/>
      <c r="F18" s="104" t="n"/>
      <c r="G18" s="104" t="n"/>
      <c r="H18" s="104" t="n"/>
      <c r="I18" s="104" t="n"/>
      <c r="J18" s="104" t="n"/>
      <c r="K18" s="104" t="n"/>
      <c r="L18" s="104" t="n"/>
      <c r="M18" s="104" t="n"/>
      <c r="N18" s="105" t="n"/>
    </row>
    <row r="19" ht="21" customHeight="1">
      <c r="A19" s="203" t="inlineStr">
        <is>
          <t>Horizon</t>
        </is>
      </c>
      <c r="B19" s="203" t="inlineStr">
        <is>
          <t>Stated in</t>
        </is>
      </c>
      <c r="C19" s="203" t="inlineStr">
        <is>
          <t>Commentary</t>
        </is>
      </c>
      <c r="D19" s="104" t="n"/>
      <c r="E19" s="104" t="n"/>
      <c r="F19" s="104" t="n"/>
      <c r="G19" s="104" t="n"/>
      <c r="H19" s="104" t="n"/>
      <c r="I19" s="104" t="n"/>
      <c r="J19" s="104" t="n"/>
      <c r="K19" s="104" t="n"/>
      <c r="L19" s="104" t="n"/>
      <c r="M19" s="104" t="n"/>
      <c r="N19" s="105" t="n"/>
    </row>
    <row r="20" ht="21" customHeight="1">
      <c r="A20" s="436" t="inlineStr">
        <is>
          <t>Recent operating commentary</t>
        </is>
      </c>
      <c r="B20" s="399" t="n"/>
      <c r="C20" s="399" t="n"/>
      <c r="D20" s="399" t="n"/>
      <c r="E20" s="399" t="n"/>
      <c r="F20" s="399" t="n"/>
      <c r="G20" s="399" t="n"/>
      <c r="H20" s="399" t="n"/>
      <c r="I20" s="399" t="n"/>
      <c r="J20" s="399" t="n"/>
      <c r="K20" s="399" t="n"/>
      <c r="L20" s="399" t="n"/>
      <c r="M20" s="399" t="n"/>
      <c r="N20" s="399" t="n"/>
    </row>
    <row r="21" ht="19.5" customHeight="1">
      <c r="A21" s="210" t="n"/>
      <c r="B21" s="210" t="n"/>
      <c r="C21" s="211" t="n"/>
    </row>
    <row r="22" ht="21" customHeight="1">
      <c r="A22" s="436" t="n"/>
      <c r="B22" s="399" t="n"/>
      <c r="C22" s="399" t="n"/>
      <c r="D22" s="399" t="n"/>
      <c r="E22" s="399" t="n"/>
      <c r="F22" s="399" t="n"/>
      <c r="G22" s="399" t="n"/>
      <c r="H22" s="399" t="n"/>
      <c r="I22" s="399" t="n"/>
      <c r="J22" s="399" t="n"/>
      <c r="K22" s="399" t="n"/>
      <c r="L22" s="399" t="n"/>
      <c r="M22" s="399" t="n"/>
      <c r="N22" s="399" t="n"/>
    </row>
    <row r="23" ht="19.5" customHeight="1">
      <c r="A23" s="210" t="n"/>
      <c r="B23" s="210" t="n"/>
      <c r="C23" s="211" t="n"/>
    </row>
    <row r="24" ht="21" customHeight="1">
      <c r="A24" s="436" t="inlineStr">
        <is>
          <t>Recent operating commentary</t>
        </is>
      </c>
      <c r="B24" s="399" t="n"/>
      <c r="C24" s="399" t="n"/>
      <c r="D24" s="399" t="n"/>
      <c r="E24" s="399" t="n"/>
      <c r="F24" s="399" t="n"/>
      <c r="G24" s="399" t="n"/>
      <c r="H24" s="399" t="n"/>
      <c r="I24" s="399" t="n"/>
      <c r="J24" s="399" t="n"/>
      <c r="K24" s="399" t="n"/>
      <c r="L24" s="399" t="n"/>
      <c r="M24" s="399" t="n"/>
      <c r="N24" s="399" t="n"/>
    </row>
    <row r="25" ht="19.5" customHeight="1">
      <c r="A25" s="210" t="n"/>
      <c r="B25" s="210" t="n"/>
      <c r="C25" s="211" t="n"/>
    </row>
    <row r="26" ht="19.5" customHeight="1">
      <c r="A26" s="210" t="n"/>
      <c r="B26" s="210" t="n"/>
      <c r="C26" s="211" t="n"/>
    </row>
    <row r="27" ht="19.5" customHeight="1">
      <c r="A27" s="213" t="n"/>
      <c r="B27" s="213" t="n"/>
      <c r="C27" s="437" t="n"/>
      <c r="D27" s="400" t="n"/>
      <c r="E27" s="400" t="n"/>
      <c r="F27" s="400" t="n"/>
      <c r="G27" s="400" t="n"/>
      <c r="H27" s="400" t="n"/>
      <c r="I27" s="400" t="n"/>
      <c r="J27" s="400" t="n"/>
      <c r="K27" s="400" t="n"/>
      <c r="L27" s="400" t="n"/>
      <c r="M27" s="400" t="n"/>
      <c r="N27" s="400" t="n"/>
    </row>
    <row r="28" ht="19.5" customHeight="1">
      <c r="A28" s="210" t="n"/>
      <c r="B28" s="210" t="n"/>
      <c r="C28" s="211" t="n"/>
    </row>
    <row r="29" ht="19.5" customHeight="1">
      <c r="A29" s="213" t="n"/>
      <c r="B29" s="213" t="n"/>
      <c r="C29" s="437" t="n"/>
      <c r="D29" s="400" t="n"/>
      <c r="E29" s="400" t="n"/>
      <c r="F29" s="400" t="n"/>
      <c r="G29" s="400" t="n"/>
      <c r="H29" s="400" t="n"/>
      <c r="I29" s="400" t="n"/>
      <c r="J29" s="400" t="n"/>
      <c r="K29" s="400" t="n"/>
      <c r="L29" s="400" t="n"/>
      <c r="M29" s="400" t="n"/>
      <c r="N29" s="400" t="n"/>
    </row>
    <row r="30" ht="19.5" customHeight="1">
      <c r="A30" s="210" t="n"/>
      <c r="B30" s="210" t="n"/>
      <c r="C30" s="211" t="n"/>
    </row>
    <row r="31" ht="19.5" customHeight="1">
      <c r="A31" s="213" t="n"/>
      <c r="B31" s="213" t="n"/>
      <c r="C31" s="437" t="n"/>
      <c r="D31" s="400" t="n"/>
      <c r="E31" s="400" t="n"/>
      <c r="F31" s="400" t="n"/>
      <c r="G31" s="400" t="n"/>
      <c r="H31" s="400" t="n"/>
      <c r="I31" s="400" t="n"/>
      <c r="J31" s="400" t="n"/>
      <c r="K31" s="400" t="n"/>
      <c r="L31" s="400" t="n"/>
      <c r="M31" s="400" t="n"/>
      <c r="N31" s="400" t="n"/>
    </row>
    <row r="32" ht="19.5" customHeight="1">
      <c r="A32" s="210" t="n"/>
      <c r="B32" s="210" t="n"/>
      <c r="C32" s="211" t="n"/>
    </row>
    <row r="33" ht="19.5" customHeight="1">
      <c r="A33" s="213" t="n"/>
      <c r="B33" s="213" t="n"/>
      <c r="C33" s="437" t="n"/>
      <c r="D33" s="400" t="n"/>
      <c r="E33" s="400" t="n"/>
      <c r="F33" s="400" t="n"/>
      <c r="G33" s="400" t="n"/>
      <c r="H33" s="400" t="n"/>
      <c r="I33" s="400" t="n"/>
      <c r="J33" s="400" t="n"/>
      <c r="K33" s="400" t="n"/>
      <c r="L33" s="400" t="n"/>
      <c r="M33" s="400" t="n"/>
      <c r="N33" s="400" t="n"/>
    </row>
    <row r="34" ht="19.5" customHeight="1">
      <c r="A34" s="210" t="n"/>
      <c r="B34" s="210" t="n"/>
      <c r="C34" s="211" t="n"/>
    </row>
    <row r="35" ht="19.5" customHeight="1">
      <c r="A35" s="213" t="n"/>
      <c r="B35" s="213" t="n"/>
      <c r="C35" s="437" t="n"/>
      <c r="D35" s="400" t="n"/>
      <c r="E35" s="400" t="n"/>
      <c r="F35" s="400" t="n"/>
      <c r="G35" s="400" t="n"/>
      <c r="H35" s="400" t="n"/>
      <c r="I35" s="400" t="n"/>
      <c r="J35" s="400" t="n"/>
      <c r="K35" s="400" t="n"/>
      <c r="L35" s="400" t="n"/>
      <c r="M35" s="400" t="n"/>
      <c r="N35" s="400" t="n"/>
    </row>
    <row r="36" ht="19.5" customHeight="1">
      <c r="A36" s="210" t="n"/>
      <c r="B36" s="210" t="n"/>
      <c r="C36" s="211" t="n"/>
    </row>
    <row r="37" ht="19.5" customHeight="1">
      <c r="A37" s="213" t="n"/>
      <c r="B37" s="213" t="n"/>
      <c r="C37" s="437" t="n"/>
      <c r="D37" s="400" t="n"/>
      <c r="E37" s="400" t="n"/>
      <c r="F37" s="400" t="n"/>
      <c r="G37" s="400" t="n"/>
      <c r="H37" s="400" t="n"/>
      <c r="I37" s="400" t="n"/>
      <c r="J37" s="400" t="n"/>
      <c r="K37" s="400" t="n"/>
      <c r="L37" s="400" t="n"/>
      <c r="M37" s="400" t="n"/>
      <c r="N37" s="400" t="n"/>
    </row>
    <row r="38" ht="19.5" customHeight="1">
      <c r="A38" s="210" t="n"/>
      <c r="B38" s="210" t="n"/>
      <c r="C38" s="211" t="n"/>
    </row>
    <row r="39" ht="22.5" customHeight="1">
      <c r="A39" s="202" t="inlineStr">
        <is>
          <t>Data tables</t>
        </is>
      </c>
      <c r="B39" s="104" t="n"/>
      <c r="C39" s="104" t="n"/>
      <c r="D39" s="104" t="n"/>
      <c r="E39" s="104" t="n"/>
      <c r="F39" s="104" t="n"/>
      <c r="G39" s="104" t="n"/>
      <c r="H39" s="104" t="n"/>
      <c r="I39" s="104" t="n"/>
      <c r="J39" s="104" t="n"/>
      <c r="K39" s="104" t="n"/>
      <c r="L39" s="104" t="n"/>
      <c r="M39" s="104" t="n"/>
      <c r="N39" s="105" t="n"/>
    </row>
    <row r="40" ht="19.5" customHeight="1">
      <c r="A40" s="216" t="n"/>
      <c r="B40" s="216" t="n"/>
      <c r="C40" s="216" t="n"/>
      <c r="D40" s="216" t="n"/>
      <c r="E40" s="216" t="n"/>
      <c r="F40" s="216" t="n"/>
      <c r="G40" s="216" t="n"/>
      <c r="H40" s="216" t="n"/>
      <c r="I40" s="515" t="n"/>
      <c r="J40" s="515" t="n"/>
      <c r="K40" s="515" t="n"/>
      <c r="L40" s="515" t="n"/>
      <c r="M40" s="515" t="n"/>
      <c r="N40" s="64" t="n"/>
    </row>
    <row r="41" ht="22.5" customHeight="1">
      <c r="A41" s="202" t="inlineStr">
        <is>
          <t>Segment support - latest 12 periods</t>
        </is>
      </c>
      <c r="B41" s="104" t="n"/>
      <c r="C41" s="104" t="n"/>
      <c r="D41" s="104" t="n"/>
      <c r="E41" s="104" t="n"/>
      <c r="F41" s="104" t="n"/>
      <c r="G41" s="104" t="n"/>
      <c r="H41" s="104" t="n"/>
      <c r="I41" s="104" t="n"/>
      <c r="J41" s="104" t="n"/>
      <c r="K41" s="104" t="n"/>
      <c r="L41" s="104" t="n"/>
      <c r="M41" s="104" t="n"/>
      <c r="N41" s="105" t="n"/>
    </row>
    <row r="42" ht="22.5" customHeight="1">
      <c r="A42" s="438" t="n"/>
      <c r="B42" s="399" t="n"/>
      <c r="C42" s="399" t="n"/>
      <c r="D42" s="399" t="n"/>
      <c r="E42" s="399" t="n"/>
      <c r="F42" s="399" t="n"/>
      <c r="G42" s="399" t="n"/>
      <c r="H42" s="399" t="n"/>
      <c r="I42" s="399" t="n"/>
      <c r="J42" s="399" t="n"/>
      <c r="K42" s="399" t="n"/>
      <c r="L42" s="399" t="n"/>
      <c r="M42" s="399" t="n"/>
      <c r="N42" s="399" t="n"/>
    </row>
    <row r="43" ht="21" customHeight="1">
      <c r="A43" s="203" t="inlineStr">
        <is>
          <t>Metric / segment</t>
        </is>
      </c>
      <c r="B43" s="224" t="n"/>
      <c r="C43" s="224" t="n"/>
      <c r="D43" s="224" t="n"/>
      <c r="E43" s="224" t="n"/>
      <c r="F43" s="224" t="n"/>
      <c r="G43" s="224" t="n"/>
      <c r="H43" s="224" t="n"/>
      <c r="I43" s="224" t="n"/>
      <c r="J43" s="224" t="n"/>
      <c r="K43" s="224" t="n"/>
      <c r="L43" s="224" t="n"/>
      <c r="M43" s="224" t="n"/>
      <c r="N43" s="224" t="n"/>
    </row>
    <row r="44" ht="19.5" customHeight="1">
      <c r="A44" s="225" t="inlineStr">
        <is>
          <t>Revenue ($m)</t>
        </is>
      </c>
      <c r="B44" s="104" t="n"/>
      <c r="C44" s="104" t="n"/>
      <c r="D44" s="104" t="n"/>
      <c r="E44" s="104" t="n"/>
      <c r="F44" s="104" t="n"/>
      <c r="G44" s="104" t="n"/>
      <c r="H44" s="104" t="n"/>
      <c r="I44" s="104" t="n"/>
      <c r="J44" s="104" t="n"/>
      <c r="K44" s="104" t="n"/>
      <c r="L44" s="104" t="n"/>
      <c r="M44" s="104" t="n"/>
      <c r="N44" s="105" t="n"/>
    </row>
    <row r="45" ht="19.5" customHeight="1">
      <c r="A45" s="226" t="n"/>
      <c r="B45" s="401" t="n"/>
      <c r="C45" s="401" t="n"/>
      <c r="D45" s="406" t="n"/>
      <c r="E45" s="406" t="n"/>
      <c r="F45" s="406" t="n"/>
      <c r="G45" s="406" t="n"/>
      <c r="H45" s="406" t="n"/>
      <c r="I45" s="406" t="n"/>
      <c r="J45" s="406" t="n"/>
      <c r="K45" s="406" t="n"/>
      <c r="L45" s="406" t="n"/>
      <c r="M45" s="231" t="n"/>
      <c r="N45" s="231" t="n"/>
    </row>
    <row r="46" ht="19.5" customHeight="1">
      <c r="A46" s="226" t="n"/>
      <c r="B46" s="401" t="n"/>
      <c r="C46" s="401" t="n"/>
      <c r="D46" s="406" t="n"/>
      <c r="E46" s="406" t="n"/>
      <c r="F46" s="406" t="n"/>
      <c r="G46" s="406" t="n"/>
      <c r="H46" s="406" t="n"/>
      <c r="I46" s="406" t="n"/>
      <c r="J46" s="406" t="n"/>
      <c r="K46" s="406" t="n"/>
      <c r="L46" s="406" t="n"/>
      <c r="M46" s="231" t="n"/>
      <c r="N46" s="231" t="n"/>
    </row>
    <row r="47" ht="19.5" customHeight="1">
      <c r="A47" s="226" t="n"/>
      <c r="B47" s="401" t="n"/>
      <c r="C47" s="401" t="n"/>
      <c r="D47" s="406" t="n"/>
      <c r="E47" s="406" t="n"/>
      <c r="F47" s="406" t="n"/>
      <c r="G47" s="406" t="n"/>
      <c r="H47" s="406" t="n"/>
      <c r="I47" s="406" t="n"/>
      <c r="J47" s="406" t="n"/>
      <c r="K47" s="406" t="n"/>
      <c r="L47" s="406" t="n"/>
      <c r="M47" s="231" t="n"/>
      <c r="N47" s="231" t="n"/>
    </row>
    <row r="48" ht="19.5" customHeight="1">
      <c r="A48" s="226" t="n"/>
      <c r="B48" s="406" t="n"/>
      <c r="C48" s="406" t="n"/>
      <c r="D48" s="406" t="n"/>
      <c r="E48" s="406" t="n"/>
      <c r="F48" s="406" t="n"/>
      <c r="G48" s="406" t="n"/>
      <c r="H48" s="406" t="n"/>
      <c r="I48" s="406" t="n"/>
      <c r="J48" s="406" t="n"/>
      <c r="K48" s="406" t="n"/>
      <c r="L48" s="406" t="n"/>
      <c r="M48" s="406" t="n"/>
      <c r="N48" s="231" t="n"/>
    </row>
    <row r="49" ht="19.5" customHeight="1">
      <c r="A49" s="226" t="n"/>
      <c r="B49" s="401" t="n"/>
      <c r="C49" s="401" t="n"/>
      <c r="D49" s="401" t="n"/>
      <c r="E49" s="406" t="n"/>
      <c r="F49" s="406" t="n"/>
      <c r="G49" s="406" t="n"/>
      <c r="H49" s="406" t="n"/>
      <c r="I49" s="406" t="n"/>
      <c r="J49" s="406" t="n"/>
      <c r="K49" s="406" t="n"/>
      <c r="L49" s="406" t="n"/>
      <c r="M49" s="231" t="n"/>
      <c r="N49" s="231" t="n"/>
    </row>
    <row r="50" ht="19.5" customHeight="1">
      <c r="A50" s="226" t="n"/>
      <c r="B50" s="401" t="n"/>
      <c r="C50" s="401" t="n"/>
      <c r="D50" s="401" t="n"/>
      <c r="E50" s="406" t="n"/>
      <c r="F50" s="406" t="n"/>
      <c r="G50" s="406" t="n"/>
      <c r="H50" s="406" t="n"/>
      <c r="I50" s="406" t="n"/>
      <c r="J50" s="406" t="n"/>
      <c r="K50" s="406" t="n"/>
      <c r="L50" s="406" t="n"/>
      <c r="M50" s="231" t="n"/>
      <c r="N50" s="231" t="n"/>
    </row>
    <row r="51" ht="19.5" customHeight="1"/>
    <row r="52" ht="22.5" customHeight="1">
      <c r="A52" s="202" t="inlineStr">
        <is>
          <t>Actuals - latest 12 periods</t>
        </is>
      </c>
      <c r="B52" s="104" t="n"/>
      <c r="C52" s="104" t="n"/>
      <c r="D52" s="104" t="n"/>
      <c r="E52" s="104" t="n"/>
      <c r="F52" s="104" t="n"/>
      <c r="G52" s="104" t="n"/>
      <c r="H52" s="104" t="n"/>
      <c r="I52" s="104" t="n"/>
      <c r="J52" s="104" t="n"/>
      <c r="K52" s="104" t="n"/>
      <c r="L52" s="104" t="n"/>
      <c r="M52" s="104" t="n"/>
      <c r="N52" s="105" t="n"/>
    </row>
    <row r="53" ht="21" customHeight="1">
      <c r="A53" s="233" t="inlineStr">
        <is>
          <t>Quarter</t>
        </is>
      </c>
      <c r="B53" s="234" t="n"/>
      <c r="C53" s="234" t="n"/>
      <c r="D53" s="234" t="n"/>
      <c r="E53" s="234" t="n"/>
      <c r="F53" s="234" t="n"/>
      <c r="G53" s="234" t="n"/>
      <c r="H53" s="234" t="n"/>
      <c r="I53" s="234" t="n"/>
      <c r="J53" s="234" t="n"/>
      <c r="K53" s="234" t="n"/>
      <c r="L53" s="234" t="n"/>
      <c r="M53" s="234" t="n"/>
    </row>
    <row r="54" ht="19.5" customHeight="1">
      <c r="A54" s="225" t="inlineStr">
        <is>
          <t>Watchlist</t>
        </is>
      </c>
      <c r="B54" s="104" t="n"/>
      <c r="C54" s="104" t="n"/>
      <c r="D54" s="104" t="n"/>
      <c r="E54" s="104" t="n"/>
      <c r="F54" s="104" t="n"/>
      <c r="G54" s="104" t="n"/>
      <c r="H54" s="104" t="n"/>
      <c r="I54" s="104" t="n"/>
      <c r="J54" s="104" t="n"/>
      <c r="K54" s="104" t="n"/>
      <c r="L54" s="104" t="n"/>
      <c r="M54" s="105" t="n"/>
    </row>
    <row r="55" ht="19.5" customHeight="1">
      <c r="A55" s="235" t="inlineStr">
        <is>
          <t>Capital returns</t>
        </is>
      </c>
      <c r="B55" s="236" t="n"/>
      <c r="C55" s="236" t="n"/>
      <c r="D55" s="236" t="n"/>
      <c r="E55" s="236" t="n"/>
      <c r="F55" s="236" t="n"/>
      <c r="G55" s="236" t="n"/>
      <c r="H55" s="236" t="n"/>
      <c r="I55" s="236" t="n"/>
      <c r="J55" s="236" t="n"/>
      <c r="K55" s="236" t="n"/>
      <c r="L55" s="236" t="n"/>
      <c r="M55" s="237" t="n"/>
    </row>
    <row r="56" ht="19.5" customHeight="1">
      <c r="A56" s="235" t="n"/>
      <c r="B56" s="236" t="n"/>
      <c r="C56" s="236" t="n"/>
      <c r="D56" s="236" t="n"/>
      <c r="E56" s="236" t="n"/>
      <c r="F56" s="236" t="n"/>
      <c r="G56" s="236" t="n"/>
      <c r="H56" s="236" t="n"/>
      <c r="I56" s="236" t="n"/>
      <c r="J56" s="236" t="n"/>
      <c r="K56" s="236" t="n"/>
      <c r="L56" s="236" t="n"/>
      <c r="M56" s="237" t="n"/>
    </row>
    <row r="57" ht="19.5" customHeight="1">
      <c r="A57" s="225" t="inlineStr">
        <is>
          <t>Geography</t>
        </is>
      </c>
      <c r="B57" s="104" t="n"/>
      <c r="C57" s="104" t="n"/>
      <c r="D57" s="104" t="n"/>
      <c r="E57" s="104" t="n"/>
      <c r="F57" s="104" t="n"/>
      <c r="G57" s="104" t="n"/>
      <c r="H57" s="104" t="n"/>
      <c r="I57" s="104" t="n"/>
      <c r="J57" s="104" t="n"/>
      <c r="K57" s="104" t="n"/>
      <c r="L57" s="104" t="n"/>
      <c r="M57" s="105" t="n"/>
    </row>
    <row r="58" ht="19.5" customHeight="1">
      <c r="A58" s="235" t="n"/>
      <c r="B58" s="406" t="n"/>
      <c r="C58" s="406" t="n"/>
      <c r="D58" s="406" t="n"/>
      <c r="E58" s="406" t="n"/>
      <c r="F58" s="406" t="n"/>
      <c r="G58" s="406" t="n"/>
      <c r="H58" s="406" t="n"/>
      <c r="I58" s="406" t="n"/>
      <c r="J58" s="406" t="n"/>
      <c r="K58" s="406" t="n"/>
      <c r="L58" s="406" t="n"/>
      <c r="M58" s="236" t="n"/>
    </row>
    <row r="59" ht="19.5" customHeight="1">
      <c r="A59" s="235" t="n"/>
      <c r="B59" s="247" t="n"/>
      <c r="C59" s="247" t="n"/>
      <c r="D59" s="247" t="n"/>
      <c r="E59" s="247" t="n"/>
      <c r="F59" s="247" t="n"/>
      <c r="G59" s="247" t="n"/>
      <c r="H59" s="247" t="n"/>
      <c r="I59" s="247" t="n"/>
      <c r="J59" s="247" t="n"/>
      <c r="K59" s="247" t="n"/>
      <c r="L59" s="247" t="n"/>
      <c r="M59" s="236" t="n"/>
    </row>
    <row r="60" ht="19.5" customHeight="1">
      <c r="A60" s="235" t="n"/>
      <c r="B60" s="406" t="n"/>
      <c r="C60" s="406" t="n"/>
      <c r="D60" s="406" t="n"/>
      <c r="E60" s="406" t="n"/>
      <c r="F60" s="406" t="n"/>
      <c r="G60" s="406" t="n"/>
      <c r="H60" s="406" t="n"/>
      <c r="I60" s="406" t="n"/>
      <c r="J60" s="406" t="n"/>
      <c r="K60" s="406" t="n"/>
      <c r="L60" s="406" t="n"/>
      <c r="M60" s="236" t="n"/>
    </row>
    <row r="61" ht="19.5" customHeight="1">
      <c r="A61" s="235" t="n"/>
      <c r="B61" s="247" t="n"/>
      <c r="C61" s="247" t="n"/>
      <c r="D61" s="247" t="n"/>
      <c r="E61" s="247" t="n"/>
      <c r="F61" s="247" t="n"/>
      <c r="G61" s="247" t="n"/>
      <c r="H61" s="247" t="n"/>
      <c r="I61" s="247" t="n"/>
      <c r="J61" s="247" t="n"/>
      <c r="K61" s="247" t="n"/>
      <c r="L61" s="247" t="n"/>
      <c r="M61" s="236" t="n"/>
    </row>
    <row r="62" ht="19.5" customHeight="1">
      <c r="A62" s="235" t="n"/>
      <c r="B62" s="406" t="n"/>
      <c r="C62" s="406" t="n"/>
      <c r="D62" s="406" t="n"/>
      <c r="E62" s="406" t="n"/>
      <c r="F62" s="406" t="n"/>
      <c r="G62" s="406" t="n"/>
      <c r="H62" s="406" t="n"/>
      <c r="I62" s="406" t="n"/>
      <c r="J62" s="406" t="n"/>
      <c r="K62" s="406" t="n"/>
      <c r="L62" s="406" t="n"/>
      <c r="M62" s="236" t="n"/>
    </row>
    <row r="63" ht="19.5" customHeight="1">
      <c r="A63" s="235" t="n"/>
      <c r="B63" s="247" t="n"/>
      <c r="C63" s="247" t="n"/>
      <c r="D63" s="247" t="n"/>
      <c r="E63" s="247" t="n"/>
      <c r="F63" s="247" t="n"/>
      <c r="G63" s="247" t="n"/>
      <c r="H63" s="247" t="n"/>
      <c r="I63" s="247" t="n"/>
      <c r="J63" s="247" t="n"/>
      <c r="K63" s="247" t="n"/>
      <c r="L63" s="247" t="n"/>
      <c r="M63" s="236" t="n"/>
    </row>
    <row r="64" ht="19.5" customHeight="1">
      <c r="A64" s="225" t="inlineStr">
        <is>
          <t>Dimension view</t>
        </is>
      </c>
      <c r="B64" s="104" t="n"/>
      <c r="C64" s="104" t="n"/>
      <c r="D64" s="104" t="n"/>
      <c r="E64" s="104" t="n"/>
      <c r="F64" s="104" t="n"/>
      <c r="G64" s="104" t="n"/>
      <c r="H64" s="104" t="n"/>
      <c r="I64" s="104" t="n"/>
      <c r="J64" s="104" t="n"/>
      <c r="K64" s="104" t="n"/>
      <c r="L64" s="104" t="n"/>
      <c r="M64" s="105" t="n"/>
    </row>
    <row r="65" ht="19.5" customHeight="1">
      <c r="A65" s="235" t="n"/>
      <c r="B65" s="406" t="n"/>
      <c r="C65" s="406" t="n"/>
      <c r="D65" s="406" t="n"/>
      <c r="E65" s="406" t="n"/>
      <c r="F65" s="406" t="n"/>
      <c r="G65" s="406" t="n"/>
      <c r="H65" s="406" t="n"/>
      <c r="I65" s="406" t="n"/>
      <c r="J65" s="406" t="n"/>
      <c r="K65" s="406" t="n"/>
      <c r="L65" s="406" t="n"/>
      <c r="M65" s="236" t="n"/>
    </row>
    <row r="66" ht="19.5" customHeight="1">
      <c r="A66" s="235" t="n"/>
      <c r="B66" s="247" t="n"/>
      <c r="C66" s="247" t="n"/>
      <c r="D66" s="247" t="n"/>
      <c r="E66" s="247" t="n"/>
      <c r="F66" s="247" t="n"/>
      <c r="G66" s="247" t="n"/>
      <c r="H66" s="247" t="n"/>
      <c r="I66" s="247" t="n"/>
      <c r="J66" s="247" t="n"/>
      <c r="K66" s="247" t="n"/>
      <c r="L66" s="247" t="n"/>
      <c r="M66" s="236" t="n"/>
    </row>
    <row r="67" ht="19.5" customHeight="1">
      <c r="A67" s="235" t="n"/>
      <c r="B67" s="406" t="n"/>
      <c r="C67" s="406" t="n"/>
      <c r="D67" s="406" t="n"/>
      <c r="E67" s="406" t="n"/>
      <c r="F67" s="406" t="n"/>
      <c r="G67" s="406" t="n"/>
      <c r="H67" s="406" t="n"/>
      <c r="I67" s="406" t="n"/>
      <c r="J67" s="406" t="n"/>
      <c r="K67" s="406" t="n"/>
      <c r="L67" s="406" t="n"/>
      <c r="M67" s="236" t="n"/>
    </row>
    <row r="68" ht="19.5" customHeight="1">
      <c r="A68" s="235" t="n"/>
      <c r="B68" s="247" t="n"/>
      <c r="C68" s="247" t="n"/>
      <c r="D68" s="247" t="n"/>
      <c r="E68" s="247" t="n"/>
      <c r="F68" s="247" t="n"/>
      <c r="G68" s="247" t="n"/>
      <c r="H68" s="247" t="n"/>
      <c r="I68" s="247" t="n"/>
      <c r="J68" s="247" t="n"/>
      <c r="K68" s="247" t="n"/>
      <c r="L68" s="247" t="n"/>
      <c r="M68" s="236" t="n"/>
    </row>
    <row r="69" ht="19.5" customHeight="1">
      <c r="A69" s="235" t="inlineStr">
        <is>
          <t>Net sales</t>
        </is>
      </c>
      <c r="B69" s="406" t="n"/>
      <c r="C69" s="406" t="n"/>
      <c r="D69" s="406" t="n"/>
      <c r="E69" s="406" t="n"/>
      <c r="F69" s="406" t="n"/>
      <c r="G69" s="406" t="n"/>
      <c r="H69" s="406" t="n"/>
      <c r="I69" s="406" t="n"/>
      <c r="J69" s="406" t="n"/>
      <c r="K69" s="406" t="n"/>
      <c r="L69" s="406" t="n"/>
      <c r="M69" s="406" t="n"/>
    </row>
    <row r="70" ht="19.5" customHeight="1">
      <c r="A70" s="225" t="n"/>
      <c r="B70" s="104" t="n"/>
      <c r="C70" s="104" t="n"/>
      <c r="D70" s="104" t="n"/>
      <c r="E70" s="104" t="n"/>
      <c r="F70" s="104" t="n"/>
      <c r="G70" s="104" t="n"/>
      <c r="H70" s="104" t="n"/>
      <c r="I70" s="104" t="n"/>
      <c r="J70" s="104" t="n"/>
      <c r="K70" s="104" t="n"/>
      <c r="L70" s="104" t="n"/>
      <c r="M70" s="105" t="n"/>
    </row>
    <row r="71" ht="19.5" customHeight="1">
      <c r="A71" s="235" t="n"/>
      <c r="B71" s="247" t="n"/>
      <c r="C71" s="247" t="n"/>
      <c r="D71" s="247" t="n"/>
      <c r="E71" s="247" t="n"/>
      <c r="F71" s="247" t="n"/>
      <c r="G71" s="247" t="n"/>
      <c r="H71" s="247" t="n"/>
      <c r="I71" s="247" t="n"/>
      <c r="J71" s="247" t="n"/>
      <c r="K71" s="247" t="n"/>
      <c r="L71" s="247" t="n"/>
      <c r="M71" s="236" t="n"/>
    </row>
    <row r="72" ht="19.5" customHeight="1">
      <c r="A72" s="235" t="n"/>
      <c r="B72" s="247" t="n"/>
      <c r="C72" s="247" t="n"/>
      <c r="D72" s="247" t="n"/>
      <c r="E72" s="247" t="n"/>
      <c r="F72" s="247" t="n"/>
      <c r="G72" s="247" t="n"/>
      <c r="H72" s="247" t="n"/>
      <c r="I72" s="247" t="n"/>
      <c r="J72" s="247" t="n"/>
      <c r="K72" s="247" t="n"/>
      <c r="L72" s="247" t="n"/>
      <c r="M72" s="236" t="n"/>
    </row>
    <row r="73" ht="19.5" customHeight="1">
      <c r="A73" s="235" t="n"/>
      <c r="B73" s="247" t="n"/>
      <c r="C73" s="247" t="n"/>
      <c r="D73" s="247" t="n"/>
      <c r="E73" s="247" t="n"/>
      <c r="F73" s="247" t="n"/>
      <c r="G73" s="247" t="n"/>
      <c r="H73" s="247" t="n"/>
      <c r="I73" s="247" t="n"/>
      <c r="J73" s="247" t="n"/>
      <c r="K73" s="247" t="n"/>
      <c r="L73" s="247" t="n"/>
      <c r="M73" s="236" t="n"/>
    </row>
    <row r="74" ht="19.5" customHeight="1">
      <c r="A74" s="235" t="n"/>
      <c r="B74" s="247" t="n"/>
      <c r="C74" s="247" t="n"/>
      <c r="D74" s="247" t="n"/>
      <c r="E74" s="247" t="n"/>
      <c r="F74" s="247" t="n"/>
      <c r="G74" s="247" t="n"/>
      <c r="H74" s="247" t="n"/>
      <c r="I74" s="247" t="n"/>
      <c r="J74" s="247" t="n"/>
      <c r="K74" s="247" t="n"/>
      <c r="L74" s="247" t="n"/>
      <c r="M74" s="236" t="n"/>
    </row>
    <row r="75" ht="19.5" customHeight="1">
      <c r="A75" s="235" t="n"/>
      <c r="B75" s="247" t="n"/>
      <c r="C75" s="247" t="n"/>
      <c r="D75" s="247" t="n"/>
      <c r="E75" s="247" t="n"/>
      <c r="F75" s="247" t="n"/>
      <c r="G75" s="247" t="n"/>
      <c r="H75" s="247" t="n"/>
      <c r="I75" s="247" t="n"/>
      <c r="J75" s="247" t="n"/>
      <c r="K75" s="247" t="n"/>
      <c r="L75" s="247" t="n"/>
      <c r="M75" s="236" t="n"/>
    </row>
    <row r="76" ht="19.5" customHeight="1">
      <c r="A76" s="235" t="n"/>
      <c r="B76" s="247" t="n"/>
      <c r="C76" s="247" t="n"/>
      <c r="D76" s="247" t="n"/>
      <c r="E76" s="247" t="n"/>
      <c r="F76" s="247" t="n"/>
      <c r="G76" s="247" t="n"/>
      <c r="H76" s="247" t="n"/>
      <c r="I76" s="247" t="n"/>
      <c r="J76" s="247" t="n"/>
      <c r="K76" s="247" t="n"/>
      <c r="L76" s="247" t="n"/>
      <c r="M76" s="236" t="n"/>
    </row>
    <row r="77" ht="19.5" customHeight="1">
      <c r="A77" s="225" t="inlineStr">
        <is>
          <t>Margin / costs</t>
        </is>
      </c>
      <c r="B77" s="104" t="n"/>
      <c r="C77" s="104" t="n"/>
      <c r="D77" s="104" t="n"/>
      <c r="E77" s="104" t="n"/>
      <c r="F77" s="104" t="n"/>
      <c r="G77" s="104" t="n"/>
      <c r="H77" s="104" t="n"/>
      <c r="I77" s="104" t="n"/>
      <c r="J77" s="104" t="n"/>
      <c r="K77" s="104" t="n"/>
      <c r="L77" s="104" t="n"/>
      <c r="M77" s="105" t="n"/>
    </row>
    <row r="78" ht="19.5" customHeight="1">
      <c r="A78" s="235" t="inlineStr">
        <is>
          <t>Gross margin</t>
        </is>
      </c>
      <c r="B78" s="247" t="n"/>
      <c r="C78" s="247" t="n"/>
      <c r="D78" s="247" t="n"/>
      <c r="E78" s="247" t="n"/>
      <c r="F78" s="247" t="n"/>
      <c r="G78" s="247" t="n"/>
      <c r="H78" s="247" t="n"/>
      <c r="I78" s="247" t="n"/>
      <c r="J78" s="247" t="n"/>
      <c r="K78" s="247" t="n"/>
      <c r="L78" s="247" t="n"/>
      <c r="M78" s="247" t="n"/>
    </row>
    <row r="79" ht="19.5" customHeight="1">
      <c r="A79" s="235" t="inlineStr">
        <is>
          <t>Inventory cost YoY</t>
        </is>
      </c>
      <c r="B79" s="236" t="n"/>
      <c r="C79" s="236" t="n"/>
      <c r="D79" s="236" t="n"/>
      <c r="E79" s="236" t="n"/>
      <c r="F79" s="236" t="n"/>
      <c r="G79" s="236" t="n"/>
      <c r="H79" s="247" t="n"/>
      <c r="I79" s="247" t="n"/>
      <c r="J79" s="247" t="n"/>
      <c r="K79" s="236" t="n"/>
      <c r="L79" s="247" t="n"/>
      <c r="M79" s="236" t="n"/>
    </row>
    <row r="80" ht="19.5" customHeight="1">
      <c r="A80" s="235" t="inlineStr">
        <is>
          <t>Margin durability</t>
        </is>
      </c>
      <c r="B80" s="236" t="n"/>
      <c r="C80" s="236" t="n"/>
      <c r="D80" s="236" t="n"/>
      <c r="E80" s="236" t="n"/>
      <c r="F80" s="236" t="n"/>
      <c r="G80" s="236" t="n"/>
      <c r="H80" s="236" t="n"/>
      <c r="I80" s="236" t="n"/>
      <c r="J80" s="236" t="n"/>
      <c r="K80" s="236" t="n"/>
      <c r="L80" s="236" t="n"/>
      <c r="M80" s="237" t="n"/>
    </row>
    <row r="81" ht="19.5" customHeight="1">
      <c r="A81" s="235" t="inlineStr">
        <is>
          <t>Operating margin</t>
        </is>
      </c>
      <c r="B81" s="247" t="n"/>
      <c r="C81" s="247" t="n"/>
      <c r="D81" s="247" t="n"/>
      <c r="E81" s="247" t="n"/>
      <c r="F81" s="247" t="n"/>
      <c r="G81" s="247" t="n"/>
      <c r="H81" s="247" t="n"/>
      <c r="I81" s="247" t="n"/>
      <c r="J81" s="247" t="n"/>
      <c r="K81" s="247" t="n"/>
      <c r="L81" s="247" t="n"/>
      <c r="M81" s="247" t="n"/>
    </row>
    <row r="82" ht="19.5" customHeight="1">
      <c r="A82" s="225" t="inlineStr">
        <is>
          <t>Inventory / working capital</t>
        </is>
      </c>
      <c r="B82" s="104" t="n"/>
      <c r="C82" s="104" t="n"/>
      <c r="D82" s="104" t="n"/>
      <c r="E82" s="104" t="n"/>
      <c r="F82" s="104" t="n"/>
      <c r="G82" s="104" t="n"/>
      <c r="H82" s="104" t="n"/>
      <c r="I82" s="104" t="n"/>
      <c r="J82" s="104" t="n"/>
      <c r="K82" s="104" t="n"/>
      <c r="L82" s="104" t="n"/>
      <c r="M82" s="105" t="n"/>
    </row>
    <row r="83" ht="19.5" customHeight="1">
      <c r="A83" s="235" t="inlineStr">
        <is>
          <t>Inventory</t>
        </is>
      </c>
      <c r="B83" s="406" t="n"/>
      <c r="C83" s="406" t="n"/>
      <c r="D83" s="406" t="n"/>
      <c r="E83" s="406" t="n"/>
      <c r="F83" s="406" t="n"/>
      <c r="G83" s="406" t="n"/>
      <c r="H83" s="406" t="n"/>
      <c r="I83" s="406" t="n"/>
      <c r="J83" s="406" t="n"/>
      <c r="K83" s="406" t="n"/>
      <c r="L83" s="406" t="n"/>
      <c r="M83" s="406" t="n"/>
    </row>
    <row r="84" ht="19.5" customHeight="1">
      <c r="A84" s="235" t="inlineStr">
        <is>
          <t>Inventory quality</t>
        </is>
      </c>
      <c r="B84" s="236" t="n"/>
      <c r="C84" s="236" t="n"/>
      <c r="D84" s="236" t="n"/>
      <c r="E84" s="236" t="n"/>
      <c r="F84" s="236" t="n"/>
      <c r="G84" s="236" t="n"/>
      <c r="H84" s="236" t="n"/>
      <c r="I84" s="236" t="n"/>
      <c r="J84" s="236" t="n"/>
      <c r="K84" s="236" t="n"/>
      <c r="L84" s="236" t="n"/>
      <c r="M84" s="237" t="n"/>
    </row>
    <row r="85" ht="19.5" customHeight="1">
      <c r="A85" s="235" t="inlineStr">
        <is>
          <t>Inventory units YoY</t>
        </is>
      </c>
      <c r="B85" s="236" t="n"/>
      <c r="C85" s="236" t="n"/>
      <c r="D85" s="236" t="n"/>
      <c r="E85" s="236" t="n"/>
      <c r="F85" s="236" t="n"/>
      <c r="G85" s="236" t="n"/>
      <c r="H85" s="236" t="n"/>
      <c r="I85" s="236" t="n"/>
      <c r="J85" s="247" t="n"/>
      <c r="K85" s="236" t="n"/>
      <c r="L85" s="236" t="n"/>
      <c r="M85" s="236" t="n"/>
    </row>
    <row r="86" ht="19.5" customHeight="1">
      <c r="A86" s="225" t="inlineStr">
        <is>
          <t>Capital allocation</t>
        </is>
      </c>
      <c r="B86" s="104" t="n"/>
      <c r="C86" s="104" t="n"/>
      <c r="D86" s="104" t="n"/>
      <c r="E86" s="104" t="n"/>
      <c r="F86" s="104" t="n"/>
      <c r="G86" s="104" t="n"/>
      <c r="H86" s="104" t="n"/>
      <c r="I86" s="104" t="n"/>
      <c r="J86" s="104" t="n"/>
      <c r="K86" s="104" t="n"/>
      <c r="L86" s="104" t="n"/>
      <c r="M86" s="105" t="n"/>
    </row>
    <row r="87" ht="19.5" customHeight="1">
      <c r="A87" s="235" t="n"/>
      <c r="B87" s="236" t="n"/>
      <c r="C87" s="236" t="n"/>
      <c r="D87" s="236" t="n"/>
      <c r="E87" s="236" t="n"/>
      <c r="F87" s="236" t="n"/>
      <c r="G87" s="236" t="n"/>
      <c r="H87" s="236" t="n"/>
      <c r="I87" s="236" t="n"/>
      <c r="J87" s="236" t="n"/>
      <c r="K87" s="236" t="n"/>
      <c r="L87" s="236" t="n"/>
      <c r="M87" s="406" t="n"/>
    </row>
    <row r="88" ht="19.5" customHeight="1">
      <c r="A88" s="235" t="n"/>
      <c r="B88" s="236" t="n"/>
      <c r="C88" s="236" t="n"/>
      <c r="D88" s="236" t="n"/>
      <c r="E88" s="236" t="n"/>
      <c r="F88" s="236" t="n"/>
      <c r="G88" s="236" t="n"/>
      <c r="H88" s="236" t="n"/>
      <c r="I88" s="236" t="n"/>
      <c r="J88" s="236" t="n"/>
      <c r="K88" s="236" t="n"/>
      <c r="L88" s="236" t="n"/>
      <c r="M88" s="408" t="n"/>
    </row>
    <row r="89" ht="19.5" customHeight="1">
      <c r="A89" s="235" t="n"/>
      <c r="B89" s="236" t="n"/>
      <c r="C89" s="236" t="n"/>
      <c r="D89" s="236" t="n"/>
      <c r="E89" s="236" t="n"/>
      <c r="F89" s="236" t="n"/>
      <c r="G89" s="236" t="n"/>
      <c r="H89" s="236" t="n"/>
      <c r="I89" s="236" t="n"/>
      <c r="J89" s="236" t="n"/>
      <c r="K89" s="236" t="n"/>
      <c r="L89" s="236" t="n"/>
      <c r="M89" s="406" t="n"/>
    </row>
    <row r="90" ht="19.5" customHeight="1">
      <c r="A90" s="235" t="inlineStr">
        <is>
          <t>Remaining authorization</t>
        </is>
      </c>
      <c r="B90" s="236" t="n"/>
      <c r="C90" s="236" t="n"/>
      <c r="D90" s="236" t="n"/>
      <c r="E90" s="236" t="n"/>
      <c r="F90" s="236" t="n"/>
      <c r="G90" s="236" t="n"/>
      <c r="H90" s="236" t="n"/>
      <c r="I90" s="236" t="n"/>
      <c r="J90" s="236" t="n"/>
      <c r="K90" s="236" t="n"/>
      <c r="L90" s="236" t="n"/>
      <c r="M90" s="406" t="n"/>
    </row>
    <row r="91" ht="19.5" customHeight="1">
      <c r="A91" s="235" t="inlineStr">
        <is>
          <t>Shares repurchased</t>
        </is>
      </c>
      <c r="B91" s="236" t="n"/>
      <c r="C91" s="236" t="n"/>
      <c r="D91" s="236" t="n"/>
      <c r="E91" s="236" t="n"/>
      <c r="F91" s="236" t="n"/>
      <c r="G91" s="236" t="n"/>
      <c r="H91" s="236" t="n"/>
      <c r="I91" s="236" t="n"/>
      <c r="J91" s="236" t="n"/>
      <c r="K91" s="236" t="n"/>
      <c r="L91" s="236" t="n"/>
      <c r="M91" s="406" t="n"/>
    </row>
    <row r="92" ht="19.5" customHeight="1">
      <c r="A92" s="225" t="inlineStr">
        <is>
          <t>Outlook bridge</t>
        </is>
      </c>
      <c r="B92" s="104" t="n"/>
      <c r="C92" s="104" t="n"/>
      <c r="D92" s="104" t="n"/>
      <c r="E92" s="104" t="n"/>
      <c r="F92" s="104" t="n"/>
      <c r="G92" s="104" t="n"/>
      <c r="H92" s="104" t="n"/>
      <c r="I92" s="104" t="n"/>
      <c r="J92" s="104" t="n"/>
      <c r="K92" s="104" t="n"/>
      <c r="L92" s="104" t="n"/>
      <c r="M92" s="105" t="n"/>
    </row>
    <row r="93" ht="19.5" customHeight="1">
      <c r="A93" s="235" t="n"/>
      <c r="B93" s="236" t="n"/>
      <c r="C93" s="236" t="n"/>
      <c r="D93" s="236" t="n"/>
      <c r="E93" s="236" t="n"/>
      <c r="F93" s="236" t="n"/>
      <c r="G93" s="236" t="n"/>
      <c r="H93" s="236" t="n"/>
      <c r="I93" s="236" t="n"/>
      <c r="J93" s="236" t="n"/>
      <c r="K93" s="236" t="n"/>
      <c r="L93" s="236" t="n"/>
      <c r="M93" s="250" t="n"/>
    </row>
    <row r="94" ht="19.5" customHeight="1">
      <c r="A94" s="235" t="n"/>
      <c r="B94" s="236" t="n"/>
      <c r="C94" s="236" t="n"/>
      <c r="D94" s="236" t="n"/>
      <c r="E94" s="236" t="n"/>
      <c r="F94" s="236" t="n"/>
      <c r="G94" s="236" t="n"/>
      <c r="H94" s="236" t="n"/>
      <c r="I94" s="236" t="n"/>
      <c r="J94" s="236" t="n"/>
      <c r="K94" s="236" t="n"/>
      <c r="L94" s="236" t="n"/>
      <c r="M94" s="250" t="n"/>
    </row>
    <row r="95" ht="19.5" customHeight="1">
      <c r="A95" s="235" t="n"/>
      <c r="B95" s="236" t="n"/>
      <c r="C95" s="236" t="n"/>
      <c r="D95" s="236" t="n"/>
      <c r="E95" s="236" t="n"/>
      <c r="F95" s="236" t="n"/>
      <c r="G95" s="236" t="n"/>
      <c r="H95" s="236" t="n"/>
      <c r="I95" s="236" t="n"/>
      <c r="J95" s="236" t="n"/>
      <c r="K95" s="236" t="n"/>
      <c r="L95" s="236" t="n"/>
      <c r="M95" s="250" t="n"/>
    </row>
    <row r="96" ht="19.5" customHeight="1">
      <c r="A96" s="235" t="n"/>
      <c r="B96" s="236" t="n"/>
      <c r="C96" s="236" t="n"/>
      <c r="D96" s="236" t="n"/>
      <c r="E96" s="236" t="n"/>
      <c r="F96" s="236" t="n"/>
      <c r="G96" s="236" t="n"/>
      <c r="H96" s="236" t="n"/>
      <c r="I96" s="236" t="n"/>
      <c r="J96" s="236" t="n"/>
      <c r="K96" s="236" t="n"/>
      <c r="L96" s="236" t="n"/>
      <c r="M96" s="406" t="n"/>
    </row>
    <row r="97" ht="19.5" customHeight="1">
      <c r="A97" s="235" t="n"/>
      <c r="B97" s="236" t="n"/>
      <c r="C97" s="236" t="n"/>
      <c r="D97" s="236" t="n"/>
      <c r="E97" s="236" t="n"/>
      <c r="F97" s="236" t="n"/>
      <c r="G97" s="236" t="n"/>
      <c r="H97" s="236" t="n"/>
      <c r="I97" s="236" t="n"/>
      <c r="J97" s="236" t="n"/>
      <c r="K97" s="236" t="n"/>
      <c r="L97" s="236" t="n"/>
      <c r="M97" s="250" t="n"/>
    </row>
    <row r="98" ht="19.5" customHeight="1">
      <c r="A98" s="235" t="n"/>
      <c r="B98" s="236" t="n"/>
      <c r="C98" s="236" t="n"/>
      <c r="D98" s="236" t="n"/>
      <c r="E98" s="236" t="n"/>
      <c r="F98" s="236" t="n"/>
      <c r="G98" s="236" t="n"/>
      <c r="H98" s="236" t="n"/>
      <c r="I98" s="236" t="n"/>
      <c r="J98" s="236" t="n"/>
      <c r="K98" s="236" t="n"/>
      <c r="L98" s="236" t="n"/>
      <c r="M98" s="406" t="n"/>
    </row>
    <row r="99" ht="19.5" customHeight="1">
      <c r="A99" s="235" t="n"/>
      <c r="B99" s="236" t="n"/>
      <c r="C99" s="236" t="n"/>
      <c r="D99" s="236" t="n"/>
      <c r="E99" s="236" t="n"/>
      <c r="F99" s="236" t="n"/>
      <c r="G99" s="236" t="n"/>
      <c r="H99" s="236" t="n"/>
      <c r="I99" s="236" t="n"/>
      <c r="J99" s="236" t="n"/>
      <c r="K99" s="236" t="n"/>
      <c r="L99" s="236" t="n"/>
      <c r="M99" s="250" t="n"/>
    </row>
    <row r="100" ht="19.5" customHeight="1">
      <c r="A100" s="235" t="n"/>
      <c r="B100" s="236" t="n"/>
      <c r="C100" s="236" t="n"/>
      <c r="D100" s="236" t="n"/>
      <c r="E100" s="236" t="n"/>
      <c r="F100" s="236" t="n"/>
      <c r="G100" s="236" t="n"/>
      <c r="H100" s="236" t="n"/>
      <c r="I100" s="236" t="n"/>
      <c r="J100" s="236" t="n"/>
      <c r="K100" s="236" t="n"/>
      <c r="L100" s="236" t="n"/>
      <c r="M100" s="250" t="n"/>
    </row>
    <row r="101" ht="19.5" customHeight="1">
      <c r="A101" s="235" t="n"/>
      <c r="B101" s="236" t="n"/>
      <c r="C101" s="236" t="n"/>
      <c r="D101" s="236" t="n"/>
      <c r="E101" s="236" t="n"/>
      <c r="F101" s="236" t="n"/>
      <c r="G101" s="236" t="n"/>
      <c r="H101" s="236" t="n"/>
      <c r="I101" s="236" t="n"/>
      <c r="J101" s="236" t="n"/>
      <c r="K101" s="236" t="n"/>
      <c r="L101" s="236" t="n"/>
      <c r="M101" s="250" t="n"/>
    </row>
    <row r="102" ht="19.5" customHeight="1">
      <c r="A102" s="235" t="n"/>
      <c r="B102" s="236" t="n"/>
      <c r="C102" s="236" t="n"/>
      <c r="D102" s="236" t="n"/>
      <c r="E102" s="236" t="n"/>
      <c r="F102" s="236" t="n"/>
      <c r="G102" s="236" t="n"/>
      <c r="H102" s="236" t="n"/>
      <c r="I102" s="236" t="n"/>
      <c r="J102" s="236" t="n"/>
      <c r="K102" s="236" t="n"/>
      <c r="L102" s="236" t="n"/>
      <c r="M102" s="406" t="n"/>
    </row>
    <row r="103" ht="19.5" customHeight="1">
      <c r="A103" s="235" t="n"/>
      <c r="B103" s="236" t="n"/>
      <c r="C103" s="236" t="n"/>
      <c r="D103" s="236" t="n"/>
      <c r="E103" s="236" t="n"/>
      <c r="F103" s="236" t="n"/>
      <c r="G103" s="236" t="n"/>
      <c r="H103" s="236" t="n"/>
      <c r="I103" s="236" t="n"/>
      <c r="J103" s="236" t="n"/>
      <c r="K103" s="236" t="n"/>
      <c r="L103" s="236" t="n"/>
      <c r="M103" s="250" t="n"/>
    </row>
    <row r="104" ht="19.5" customHeight="1">
      <c r="A104" s="225" t="n"/>
      <c r="B104" s="104" t="n"/>
      <c r="C104" s="104" t="n"/>
      <c r="D104" s="104" t="n"/>
      <c r="E104" s="104" t="n"/>
      <c r="F104" s="104" t="n"/>
      <c r="G104" s="104" t="n"/>
      <c r="H104" s="104" t="n"/>
      <c r="I104" s="104" t="n"/>
      <c r="J104" s="104" t="n"/>
      <c r="K104" s="104" t="n"/>
      <c r="L104" s="104" t="n"/>
      <c r="M104" s="105" t="n"/>
    </row>
    <row r="105" ht="19.5" customHeight="1">
      <c r="A105" s="235" t="n"/>
      <c r="B105" s="236" t="n"/>
      <c r="C105" s="236" t="n"/>
      <c r="D105" s="236" t="n"/>
      <c r="E105" s="236" t="n"/>
      <c r="F105" s="236" t="n"/>
      <c r="G105" s="236" t="n"/>
      <c r="H105" s="236" t="n"/>
      <c r="I105" s="236" t="n"/>
      <c r="J105" s="236" t="n"/>
      <c r="K105" s="236" t="n"/>
      <c r="L105" s="236" t="n"/>
      <c r="M105" s="250" t="n"/>
    </row>
    <row r="106" ht="19.5" customHeight="1">
      <c r="A106" s="235" t="n"/>
      <c r="B106" s="236" t="n"/>
      <c r="C106" s="236" t="n"/>
      <c r="D106" s="236" t="n"/>
      <c r="E106" s="236" t="n"/>
      <c r="F106" s="236" t="n"/>
      <c r="G106" s="236" t="n"/>
      <c r="H106" s="236" t="n"/>
      <c r="I106" s="236" t="n"/>
      <c r="J106" s="236" t="n"/>
      <c r="K106" s="236" t="n"/>
      <c r="L106" s="236" t="n"/>
      <c r="M106" s="250" t="n"/>
    </row>
    <row r="107" ht="19.5" customHeight="1">
      <c r="A107" s="235" t="n"/>
      <c r="B107" s="236" t="n"/>
      <c r="C107" s="236" t="n"/>
      <c r="D107" s="236" t="n"/>
      <c r="E107" s="236" t="n"/>
      <c r="F107" s="236" t="n"/>
      <c r="G107" s="236" t="n"/>
      <c r="H107" s="236" t="n"/>
      <c r="I107" s="236" t="n"/>
      <c r="J107" s="236" t="n"/>
      <c r="K107" s="236" t="n"/>
      <c r="L107" s="236" t="n"/>
      <c r="M107" s="250" t="n"/>
    </row>
    <row r="108" ht="19.5" customHeight="1">
      <c r="A108" s="235" t="n"/>
      <c r="B108" s="236" t="n"/>
      <c r="C108" s="236" t="n"/>
      <c r="D108" s="236" t="n"/>
      <c r="E108" s="236" t="n"/>
      <c r="F108" s="236" t="n"/>
      <c r="G108" s="236" t="n"/>
      <c r="H108" s="236" t="n"/>
      <c r="I108" s="236" t="n"/>
      <c r="J108" s="236" t="n"/>
      <c r="K108" s="236" t="n"/>
      <c r="L108" s="236" t="n"/>
      <c r="M108" s="250" t="n"/>
    </row>
    <row r="109" ht="19.5" customHeight="1">
      <c r="A109" s="235" t="n"/>
      <c r="B109" s="236" t="n"/>
      <c r="C109" s="236" t="n"/>
      <c r="D109" s="236" t="n"/>
      <c r="E109" s="236" t="n"/>
      <c r="F109" s="236" t="n"/>
      <c r="G109" s="236" t="n"/>
      <c r="H109" s="236" t="n"/>
      <c r="I109" s="236" t="n"/>
      <c r="J109" s="236" t="n"/>
      <c r="K109" s="236" t="n"/>
      <c r="L109" s="236" t="n"/>
      <c r="M109" s="250" t="n"/>
    </row>
    <row r="110" ht="19.5" customHeight="1">
      <c r="A110" s="235" t="n"/>
      <c r="B110" s="236" t="n"/>
      <c r="C110" s="236" t="n"/>
      <c r="D110" s="236" t="n"/>
      <c r="E110" s="236" t="n"/>
      <c r="F110" s="236" t="n"/>
      <c r="G110" s="236" t="n"/>
      <c r="H110" s="236" t="n"/>
      <c r="I110" s="236" t="n"/>
      <c r="J110" s="236" t="n"/>
      <c r="K110" s="236" t="n"/>
      <c r="L110" s="236" t="n"/>
      <c r="M110" s="250" t="n"/>
    </row>
    <row r="111" ht="19.5" customHeight="1">
      <c r="A111" s="225" t="n"/>
      <c r="B111" s="104" t="n"/>
      <c r="C111" s="104" t="n"/>
      <c r="D111" s="104" t="n"/>
      <c r="E111" s="104" t="n"/>
      <c r="F111" s="104" t="n"/>
      <c r="G111" s="104" t="n"/>
      <c r="H111" s="104" t="n"/>
      <c r="I111" s="104" t="n"/>
      <c r="J111" s="104" t="n"/>
      <c r="K111" s="104" t="n"/>
      <c r="L111" s="104" t="n"/>
      <c r="M111" s="105" t="n"/>
    </row>
    <row r="112" ht="19.5" customHeight="1">
      <c r="A112" s="235" t="n"/>
      <c r="B112" s="236" t="n"/>
      <c r="C112" s="236" t="n"/>
      <c r="D112" s="236" t="n"/>
      <c r="E112" s="236" t="n"/>
      <c r="F112" s="236" t="n"/>
      <c r="G112" s="236" t="n"/>
      <c r="H112" s="236" t="n"/>
      <c r="I112" s="236" t="n"/>
      <c r="J112" s="236" t="n"/>
      <c r="K112" s="236" t="n"/>
      <c r="L112" s="247" t="n"/>
      <c r="M112" s="236" t="n"/>
    </row>
    <row r="113" ht="19.5" customHeight="1">
      <c r="A113" s="225" t="inlineStr">
        <is>
          <t>Cash conversion / capex</t>
        </is>
      </c>
      <c r="B113" s="104" t="n"/>
      <c r="C113" s="104" t="n"/>
      <c r="D113" s="104" t="n"/>
      <c r="E113" s="104" t="n"/>
      <c r="F113" s="104" t="n"/>
      <c r="G113" s="104" t="n"/>
      <c r="H113" s="104" t="n"/>
      <c r="I113" s="104" t="n"/>
      <c r="J113" s="104" t="n"/>
      <c r="K113" s="104" t="n"/>
      <c r="L113" s="104" t="n"/>
      <c r="M113" s="105" t="n"/>
    </row>
    <row r="114" ht="19.5" customHeight="1">
      <c r="A114" s="235" t="inlineStr">
        <is>
          <t>Capital expenditures</t>
        </is>
      </c>
      <c r="B114" s="406" t="n"/>
      <c r="C114" s="406" t="n"/>
      <c r="D114" s="406" t="n"/>
      <c r="E114" s="406" t="n"/>
      <c r="F114" s="406" t="n"/>
      <c r="G114" s="406" t="n"/>
      <c r="H114" s="406" t="n"/>
      <c r="I114" s="406" t="n"/>
      <c r="J114" s="406" t="n"/>
      <c r="K114" s="406" t="n"/>
      <c r="L114" s="406" t="n"/>
      <c r="M114" s="406" t="n"/>
    </row>
    <row r="115" ht="19.5" customHeight="1">
      <c r="A115" s="235" t="inlineStr">
        <is>
          <t>Operating cash flow</t>
        </is>
      </c>
      <c r="B115" s="406" t="n"/>
      <c r="C115" s="406" t="n"/>
      <c r="D115" s="406" t="n"/>
      <c r="E115" s="406" t="n"/>
      <c r="F115" s="406" t="n"/>
      <c r="G115" s="406" t="n"/>
      <c r="H115" s="406" t="n"/>
      <c r="I115" s="406" t="n"/>
      <c r="J115" s="406" t="n"/>
      <c r="K115" s="406" t="n"/>
      <c r="L115" s="406" t="n"/>
      <c r="M115" s="406" t="n"/>
    </row>
    <row r="116"/>
    <row r="117"/>
    <row r="118"/>
    <row r="119"/>
    <row r="120"/>
    <row r="121"/>
    <row r="122"/>
    <row r="123"/>
    <row r="124"/>
    <row r="125"/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mergeCells count="61">
    <mergeCell ref="A39:N39"/>
    <mergeCell ref="C25:N25"/>
    <mergeCell ref="H13:N13"/>
    <mergeCell ref="B14:G14"/>
    <mergeCell ref="A24:N24"/>
    <mergeCell ref="B8:G8"/>
    <mergeCell ref="C31:N31"/>
    <mergeCell ref="H12:N12"/>
    <mergeCell ref="A11:N11"/>
    <mergeCell ref="B13:G13"/>
    <mergeCell ref="H15:N15"/>
    <mergeCell ref="C21:N21"/>
    <mergeCell ref="A1:N1"/>
    <mergeCell ref="H5:N5"/>
    <mergeCell ref="H8:N8"/>
    <mergeCell ref="H14:N14"/>
    <mergeCell ref="A111:M111"/>
    <mergeCell ref="C27:N27"/>
    <mergeCell ref="B9:G9"/>
    <mergeCell ref="C36:N36"/>
    <mergeCell ref="C23:N23"/>
    <mergeCell ref="A92:M92"/>
    <mergeCell ref="A41:N41"/>
    <mergeCell ref="A77:M77"/>
    <mergeCell ref="A64:M64"/>
    <mergeCell ref="B15:G15"/>
    <mergeCell ref="A82:M82"/>
    <mergeCell ref="B6:G6"/>
    <mergeCell ref="A18:N18"/>
    <mergeCell ref="C32:N32"/>
    <mergeCell ref="A3:N3"/>
    <mergeCell ref="C38:N38"/>
    <mergeCell ref="B5:G5"/>
    <mergeCell ref="H9:N9"/>
    <mergeCell ref="C19:N19"/>
    <mergeCell ref="C37:N37"/>
    <mergeCell ref="A70:M70"/>
    <mergeCell ref="C28:N28"/>
    <mergeCell ref="C35:N35"/>
    <mergeCell ref="H6:N6"/>
    <mergeCell ref="A42:N42"/>
    <mergeCell ref="A54:M54"/>
    <mergeCell ref="B7:G7"/>
    <mergeCell ref="C30:N30"/>
    <mergeCell ref="C34:N34"/>
    <mergeCell ref="B16:G16"/>
    <mergeCell ref="A22:N22"/>
    <mergeCell ref="C33:N33"/>
    <mergeCell ref="A4:N4"/>
    <mergeCell ref="A20:N20"/>
    <mergeCell ref="A52:N52"/>
    <mergeCell ref="H7:N7"/>
    <mergeCell ref="B12:G12"/>
    <mergeCell ref="A86:M86"/>
    <mergeCell ref="H16:N16"/>
    <mergeCell ref="C26:N26"/>
    <mergeCell ref="A57:M57"/>
    <mergeCell ref="A113:M113"/>
    <mergeCell ref="A104:M104"/>
    <mergeCell ref="C29:N29"/>
    <mergeCell ref="A44:N4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33"/>
  <sheetViews>
    <sheetView zoomScale="112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32" customWidth="1" min="2" max="2"/>
    <col width="30" customWidth="1" min="3" max="3"/>
    <col width="28" customWidth="1" min="4" max="4"/>
    <col width="32" customWidth="1" min="5" max="5"/>
    <col width="24" customWidth="1" min="6" max="6"/>
    <col width="24" customWidth="1" min="7" max="7"/>
    <col width="24" customWidth="1" min="8" max="8"/>
    <col width="22" customWidth="1" min="9" max="9"/>
    <col width="22" customWidth="1" min="10" max="10"/>
    <col width="24" customWidth="1" min="11" max="11"/>
  </cols>
  <sheetData>
    <row r="1" ht="26" customHeight="1">
      <c r="A1" s="251" t="inlineStr"/>
    </row>
    <row r="2" ht="21" customHeight="1">
      <c r="A2" s="253" t="n"/>
    </row>
    <row r="3" ht="21" customHeight="1"/>
    <row r="4" ht="21" customHeight="1">
      <c r="A4" s="254" t="inlineStr">
        <is>
          <t>Investment Snapshot</t>
        </is>
      </c>
      <c r="B4" s="47" t="n"/>
      <c r="C4" s="47" t="n"/>
      <c r="D4" s="47" t="n"/>
      <c r="E4" s="47" t="n"/>
      <c r="F4" s="47" t="n"/>
      <c r="G4" s="47" t="n"/>
      <c r="H4" s="47" t="n"/>
      <c r="I4" s="47" t="n"/>
      <c r="J4" s="46" t="n"/>
    </row>
    <row r="5" ht="24" customHeight="1">
      <c r="A5" s="256" t="inlineStr">
        <is>
          <t>Model read</t>
        </is>
      </c>
      <c r="B5" s="257" t="n"/>
      <c r="C5" s="47" t="n"/>
      <c r="D5" s="47" t="n"/>
      <c r="E5" s="47" t="n"/>
      <c r="F5" s="47" t="n"/>
      <c r="G5" s="47" t="n"/>
      <c r="H5" s="47" t="n"/>
      <c r="I5" s="47" t="n"/>
      <c r="J5" s="46" t="n"/>
    </row>
    <row r="6" ht="24" customHeight="1">
      <c r="A6" s="52" t="inlineStr">
        <is>
          <t>Why it can work</t>
        </is>
      </c>
      <c r="B6" s="67" t="n"/>
      <c r="C6" s="47" t="n"/>
      <c r="D6" s="47" t="n"/>
      <c r="E6" s="47" t="n"/>
      <c r="F6" s="47" t="n"/>
      <c r="G6" s="47" t="n"/>
      <c r="H6" s="47" t="n"/>
      <c r="I6" s="47" t="n"/>
      <c r="J6" s="46" t="n"/>
    </row>
    <row r="7" ht="24" customHeight="1">
      <c r="A7" s="53" t="inlineStr">
        <is>
          <t>Key debate</t>
        </is>
      </c>
      <c r="B7" s="68" t="n"/>
      <c r="C7" s="47" t="n"/>
      <c r="D7" s="47" t="n"/>
      <c r="E7" s="47" t="n"/>
      <c r="F7" s="47" t="n"/>
      <c r="G7" s="47" t="n"/>
      <c r="H7" s="47" t="n"/>
      <c r="I7" s="47" t="n"/>
      <c r="J7" s="46" t="n"/>
    </row>
    <row r="8" ht="24" customHeight="1">
      <c r="A8" s="52" t="inlineStr">
        <is>
          <t>Upside path</t>
        </is>
      </c>
      <c r="B8" s="67" t="n"/>
      <c r="C8" s="47" t="n"/>
      <c r="D8" s="47" t="n"/>
      <c r="E8" s="47" t="n"/>
      <c r="F8" s="47" t="n"/>
      <c r="G8" s="47" t="n"/>
      <c r="H8" s="47" t="n"/>
      <c r="I8" s="47" t="n"/>
      <c r="J8" s="46" t="n"/>
    </row>
    <row r="9" ht="24" customHeight="1">
      <c r="A9" s="53" t="inlineStr">
        <is>
          <t>Downside path</t>
        </is>
      </c>
      <c r="B9" s="68" t="n"/>
      <c r="C9" s="47" t="n"/>
      <c r="D9" s="47" t="n"/>
      <c r="E9" s="47" t="n"/>
      <c r="F9" s="47" t="n"/>
      <c r="G9" s="47" t="n"/>
      <c r="H9" s="47" t="n"/>
      <c r="I9" s="47" t="n"/>
      <c r="J9" s="46" t="n"/>
    </row>
    <row r="10" ht="24" customHeight="1">
      <c r="A10" s="52" t="inlineStr">
        <is>
          <t>Watch next</t>
        </is>
      </c>
      <c r="B10" s="67" t="n"/>
      <c r="C10" s="47" t="n"/>
      <c r="D10" s="47" t="n"/>
      <c r="E10" s="47" t="n"/>
      <c r="F10" s="47" t="n"/>
      <c r="G10" s="47" t="n"/>
      <c r="H10" s="47" t="n"/>
      <c r="I10" s="47" t="n"/>
      <c r="J10" s="46" t="n"/>
    </row>
    <row r="11" ht="24" customHeight="1">
      <c r="A11" s="53" t="inlineStr">
        <is>
          <t>Current stance</t>
        </is>
      </c>
      <c r="B11" s="68" t="n"/>
      <c r="C11" s="47" t="n"/>
      <c r="D11" s="47" t="n"/>
      <c r="E11" s="47" t="n"/>
      <c r="F11" s="47" t="n"/>
      <c r="G11" s="47" t="n"/>
      <c r="H11" s="47" t="n"/>
      <c r="I11" s="47" t="n"/>
      <c r="J11" s="46" t="n"/>
    </row>
    <row r="12" ht="21" customHeight="1"/>
    <row r="13" ht="21" customHeight="1">
      <c r="A13" s="254" t="inlineStr">
        <is>
          <t>Typed Scenario Inputs</t>
        </is>
      </c>
      <c r="B13" s="47" t="n"/>
      <c r="C13" s="47" t="n"/>
      <c r="D13" s="47" t="n"/>
      <c r="E13" s="47" t="n"/>
      <c r="F13" s="47" t="n"/>
      <c r="G13" s="47" t="n"/>
      <c r="H13" s="47" t="n"/>
      <c r="I13" s="47" t="n"/>
      <c r="J13" s="46" t="n"/>
    </row>
    <row r="14" ht="21" customHeight="1">
      <c r="A14" s="296" t="inlineStr">
        <is>
          <t>Input / assumption</t>
        </is>
      </c>
      <c r="B14" s="296" t="inlineStr">
        <is>
          <t>Bear</t>
        </is>
      </c>
      <c r="C14" s="296" t="inlineStr">
        <is>
          <t>Base</t>
        </is>
      </c>
      <c r="D14" s="296" t="inlineStr">
        <is>
          <t>Bull</t>
        </is>
      </c>
      <c r="E14" s="296" t="n"/>
      <c r="F14" s="296" t="n"/>
      <c r="G14" s="296" t="n"/>
      <c r="H14" s="259" t="n"/>
      <c r="I14" s="47" t="n"/>
      <c r="J14" s="46" t="n"/>
    </row>
    <row r="15" ht="21" customHeight="1">
      <c r="A15" s="67" t="inlineStr">
        <is>
          <t>Current share price ($/share)</t>
        </is>
      </c>
      <c r="B15" s="459">
        <f>IF(Price="","",Price)</f>
        <v/>
      </c>
      <c r="C15" s="459">
        <f>IF(Price="","",Price)</f>
        <v/>
      </c>
      <c r="D15" s="459">
        <f>IF(Price="","",Price)</f>
        <v/>
      </c>
      <c r="E15" s="353" t="n"/>
      <c r="F15" s="409" t="n"/>
      <c r="G15" s="353" t="n"/>
      <c r="H15" s="67" t="n"/>
      <c r="I15" s="47" t="n"/>
      <c r="J15" s="46" t="n"/>
    </row>
    <row r="16" ht="21" customHeight="1">
      <c r="A16" s="68" t="inlineStr">
        <is>
          <t>Base shares (m shares; selected denominator)</t>
        </is>
      </c>
      <c r="B16" s="516">
        <f>IF(IF(PerShareMode="Outstanding",Shares,IF(PerShareMode="Diluted",SharesDiluted,""))="","",IF(PerShareMode="Outstanding",Shares,IF(PerShareMode="Diluted",SharesDiluted,"")))</f>
        <v/>
      </c>
      <c r="C16" s="516">
        <f>IF(IF(PerShareMode="Outstanding",Shares,IF(PerShareMode="Diluted",SharesDiluted,""))="","",IF(PerShareMode="Outstanding",Shares,IF(PerShareMode="Diluted",SharesDiluted,"")))</f>
        <v/>
      </c>
      <c r="D16" s="516">
        <f>IF(IF(PerShareMode="Outstanding",Shares,IF(PerShareMode="Diluted",SharesDiluted,""))="","",IF(PerShareMode="Outstanding",Shares,IF(PerShareMode="Diluted",SharesDiluted,"")))</f>
        <v/>
      </c>
      <c r="E16" s="352" t="n"/>
      <c r="F16" s="410" t="n"/>
      <c r="G16" s="352" t="n"/>
      <c r="H16" s="68" t="n"/>
      <c r="I16" s="47" t="n"/>
      <c r="J16" s="46" t="n"/>
    </row>
    <row r="17" ht="21" customHeight="1">
      <c r="A17" s="67" t="inlineStr">
        <is>
          <t>Net debt ($m)</t>
        </is>
      </c>
      <c r="B17" s="456">
        <f>IF(NetDebt="","",NetDebt)</f>
        <v/>
      </c>
      <c r="C17" s="456">
        <f>IF(NetDebt="","",NetDebt)</f>
        <v/>
      </c>
      <c r="D17" s="456">
        <f>IF(NetDebt="","",NetDebt)</f>
        <v/>
      </c>
      <c r="E17" s="351" t="n"/>
      <c r="F17" s="410" t="n"/>
      <c r="G17" s="351" t="n"/>
      <c r="H17" s="67" t="n"/>
      <c r="I17" s="47" t="n"/>
      <c r="J17" s="46" t="n"/>
    </row>
    <row r="18" ht="21" customHeight="1">
      <c r="A18" s="68" t="inlineStr">
        <is>
          <t>Revenue TTM ($m)</t>
        </is>
      </c>
      <c r="B18" s="457">
        <f>IF(Revenue_TTM="","",Revenue_TTM)</f>
        <v/>
      </c>
      <c r="C18" s="457">
        <f>IF(Revenue_TTM="","",Revenue_TTM)</f>
        <v/>
      </c>
      <c r="D18" s="457">
        <f>IF(Revenue_TTM="","",Revenue_TTM)</f>
        <v/>
      </c>
      <c r="E18" s="352" t="n"/>
      <c r="F18" s="410" t="n"/>
      <c r="G18" s="352" t="n"/>
      <c r="H18" s="68" t="n"/>
      <c r="I18" s="47" t="n"/>
      <c r="J18" s="46" t="n"/>
    </row>
    <row r="19" ht="21" customHeight="1">
      <c r="A19" s="67" t="inlineStr">
        <is>
          <t>Net income TTM ($m)</t>
        </is>
      </c>
      <c r="B19" s="456">
        <f>IF(NetIncome_TTM="","",NetIncome_TTM)</f>
        <v/>
      </c>
      <c r="C19" s="456">
        <f>IF(NetIncome_TTM="","",NetIncome_TTM)</f>
        <v/>
      </c>
      <c r="D19" s="456">
        <f>IF(NetIncome_TTM="","",NetIncome_TTM)</f>
        <v/>
      </c>
      <c r="E19" s="353" t="n"/>
      <c r="F19" s="409" t="n"/>
      <c r="G19" s="353" t="n"/>
      <c r="H19" s="67" t="n"/>
      <c r="I19" s="47" t="n"/>
      <c r="J19" s="46" t="n"/>
    </row>
    <row r="20" ht="21" customHeight="1">
      <c r="A20" s="68" t="inlineStr">
        <is>
          <t>Base EBITDA TTM ($m)</t>
        </is>
      </c>
      <c r="B20" s="457">
        <f>IF(Base_EBITDA="","",Base_EBITDA)</f>
        <v/>
      </c>
      <c r="C20" s="457">
        <f>IF(Base_EBITDA="","",Base_EBITDA)</f>
        <v/>
      </c>
      <c r="D20" s="457">
        <f>IF(Base_EBITDA="","",Base_EBITDA)</f>
        <v/>
      </c>
      <c r="E20" s="352" t="n"/>
      <c r="F20" s="410" t="n"/>
      <c r="G20" s="352" t="n"/>
      <c r="H20" s="68" t="n"/>
      <c r="I20" s="47" t="n"/>
      <c r="J20" s="46" t="n"/>
    </row>
    <row r="21" ht="21" customHeight="1">
      <c r="A21" s="67" t="inlineStr">
        <is>
          <t>Adjusted EBITDA TTM ($m)</t>
        </is>
      </c>
      <c r="B21" s="456">
        <f>IF(Adj_EBITDA="","",Adj_EBITDA)</f>
        <v/>
      </c>
      <c r="C21" s="456">
        <f>IF(Adj_EBITDA="","",Adj_EBITDA)</f>
        <v/>
      </c>
      <c r="D21" s="456">
        <f>IF(Adj_EBITDA="","",Adj_EBITDA)</f>
        <v/>
      </c>
      <c r="E21" s="351" t="n"/>
      <c r="F21" s="410" t="n"/>
      <c r="G21" s="351" t="n"/>
      <c r="H21" s="67" t="n"/>
      <c r="I21" s="47" t="n"/>
      <c r="J21" s="46" t="n"/>
    </row>
    <row r="22" ht="21" customHeight="1">
      <c r="A22" s="68" t="inlineStr">
        <is>
          <t>FCF TTM ($m)</t>
        </is>
      </c>
      <c r="B22" s="457">
        <f>IF(FCF_TTM="","",FCF_TTM)</f>
        <v/>
      </c>
      <c r="C22" s="457">
        <f>IF(FCF_TTM="","",FCF_TTM)</f>
        <v/>
      </c>
      <c r="D22" s="457">
        <f>IF(FCF_TTM="","",FCF_TTM)</f>
        <v/>
      </c>
      <c r="E22" s="352" t="n"/>
      <c r="F22" s="410" t="n"/>
      <c r="G22" s="352" t="n"/>
      <c r="H22" s="68" t="n"/>
      <c r="I22" s="47" t="n"/>
      <c r="J22" s="46" t="n"/>
    </row>
    <row r="23" ht="21" customHeight="1">
      <c r="A23" s="67" t="inlineStr">
        <is>
          <t>Fiscal horizon</t>
        </is>
      </c>
      <c r="B23" s="517" t="n"/>
      <c r="C23" s="517" t="n"/>
      <c r="D23" s="517" t="n"/>
      <c r="E23" s="411" t="n"/>
      <c r="F23" s="412" t="n"/>
      <c r="G23" s="411" t="n"/>
      <c r="H23" s="67" t="n"/>
      <c r="I23" s="47" t="n"/>
      <c r="J23" s="46" t="n"/>
    </row>
    <row r="24" ht="21" customHeight="1">
      <c r="A24" s="68" t="inlineStr">
        <is>
          <t>Revenue growth (%)</t>
        </is>
      </c>
      <c r="B24" s="518" t="n"/>
      <c r="C24" s="518" t="n"/>
      <c r="D24" s="518" t="n"/>
      <c r="E24" s="413" t="n"/>
      <c r="F24" s="412" t="n"/>
      <c r="G24" s="413" t="n"/>
      <c r="H24" s="68" t="n"/>
      <c r="I24" s="47" t="n"/>
      <c r="J24" s="46" t="n"/>
    </row>
    <row r="25" ht="21" customHeight="1">
      <c r="A25" s="67" t="inlineStr">
        <is>
          <t>Base EBITDA margin (%)</t>
        </is>
      </c>
      <c r="B25" s="519" t="n"/>
      <c r="C25" s="519" t="n"/>
      <c r="D25" s="519" t="n"/>
      <c r="E25" s="268" t="n"/>
      <c r="F25" s="276" t="n"/>
      <c r="G25" s="268" t="n"/>
      <c r="H25" s="67" t="n"/>
      <c r="I25" s="47" t="n"/>
      <c r="J25" s="46" t="n"/>
    </row>
    <row r="26" ht="21" customHeight="1">
      <c r="A26" s="68" t="inlineStr">
        <is>
          <t>Adjusted EBITDA margin (%)</t>
        </is>
      </c>
      <c r="B26" s="520" t="n"/>
      <c r="C26" s="520" t="n"/>
      <c r="D26" s="520" t="n"/>
      <c r="E26" s="270" t="n"/>
      <c r="F26" s="276" t="n"/>
      <c r="G26" s="270" t="n"/>
      <c r="H26" s="68" t="n"/>
      <c r="I26" s="47" t="n"/>
      <c r="J26" s="46" t="n"/>
    </row>
    <row r="27" ht="21" customHeight="1">
      <c r="A27" s="67" t="inlineStr">
        <is>
          <t>Pre-tax earnings bridge ($m)</t>
        </is>
      </c>
      <c r="B27" s="519" t="n"/>
      <c r="C27" s="519" t="n"/>
      <c r="D27" s="519" t="n"/>
      <c r="E27" s="268" t="n"/>
      <c r="F27" s="276" t="n"/>
      <c r="G27" s="268" t="n"/>
      <c r="H27" s="67" t="n"/>
      <c r="I27" s="47" t="n"/>
      <c r="J27" s="46" t="n"/>
    </row>
    <row r="28" ht="21" customHeight="1">
      <c r="A28" s="68" t="inlineStr">
        <is>
          <t>Tax rate (%)</t>
        </is>
      </c>
      <c r="B28" s="521" t="n"/>
      <c r="C28" s="521" t="n"/>
      <c r="D28" s="521" t="n"/>
      <c r="E28" s="352" t="n"/>
      <c r="F28" s="410" t="n"/>
      <c r="G28" s="352" t="n"/>
      <c r="H28" s="68" t="n"/>
      <c r="I28" s="47" t="n"/>
      <c r="J28" s="46" t="n"/>
    </row>
    <row r="29" ht="21" customHeight="1">
      <c r="A29" s="67" t="inlineStr">
        <is>
          <t>Earnings-bridge tax treatment</t>
        </is>
      </c>
      <c r="B29" s="522" t="n"/>
      <c r="C29" s="522" t="n"/>
      <c r="D29" s="522" t="n"/>
      <c r="E29" s="351" t="n"/>
      <c r="F29" s="410" t="n"/>
      <c r="G29" s="351" t="n"/>
      <c r="H29" s="67" t="n"/>
      <c r="I29" s="47" t="n"/>
      <c r="J29" s="46" t="n"/>
    </row>
    <row r="30" ht="21" customHeight="1">
      <c r="A30" s="68" t="inlineStr">
        <is>
          <t>Cash-interest change ($m)</t>
        </is>
      </c>
      <c r="B30" s="523" t="n"/>
      <c r="C30" s="523" t="n"/>
      <c r="D30" s="523" t="n"/>
      <c r="E30" s="271" t="n"/>
      <c r="F30" s="272" t="n"/>
      <c r="G30" s="271" t="n"/>
      <c r="H30" s="68" t="n"/>
      <c r="I30" s="47" t="n"/>
      <c r="J30" s="46" t="n"/>
    </row>
    <row r="31" ht="21" customHeight="1">
      <c r="A31" s="67" t="inlineStr">
        <is>
          <t>Cash-interest tax treatment</t>
        </is>
      </c>
      <c r="B31" s="524" t="n"/>
      <c r="C31" s="524" t="n"/>
      <c r="D31" s="524" t="n"/>
      <c r="E31" s="273" t="n"/>
      <c r="F31" s="272" t="n"/>
      <c r="G31" s="273" t="n"/>
      <c r="H31" s="67" t="n"/>
      <c r="I31" s="47" t="n"/>
      <c r="J31" s="46" t="n"/>
    </row>
    <row r="32" ht="21" customHeight="1">
      <c r="A32" s="68" t="inlineStr">
        <is>
          <t>Capex change ($m, positive outflow)</t>
        </is>
      </c>
      <c r="B32" s="523" t="n"/>
      <c r="C32" s="523" t="n"/>
      <c r="D32" s="523" t="n"/>
      <c r="E32" s="271" t="n"/>
      <c r="F32" s="272" t="n"/>
      <c r="G32" s="271" t="n"/>
      <c r="H32" s="68" t="n"/>
      <c r="I32" s="47" t="n"/>
      <c r="J32" s="46" t="n"/>
    </row>
    <row r="33" ht="21" customHeight="1">
      <c r="A33" s="67" t="inlineStr">
        <is>
          <t>Working-capital adjustment ($m, positive source)</t>
        </is>
      </c>
      <c r="B33" s="524" t="n"/>
      <c r="C33" s="524" t="n"/>
      <c r="D33" s="524" t="n"/>
      <c r="E33" s="273" t="n"/>
      <c r="F33" s="272" t="n"/>
      <c r="G33" s="273" t="n"/>
      <c r="H33" s="67" t="n"/>
      <c r="I33" s="47" t="n"/>
      <c r="J33" s="46" t="n"/>
    </row>
    <row r="34" ht="21" customHeight="1">
      <c r="A34" s="68" t="inlineStr">
        <is>
          <t>Buyback cash ($m)</t>
        </is>
      </c>
      <c r="B34" s="520" t="n"/>
      <c r="C34" s="520" t="n"/>
      <c r="D34" s="520" t="n"/>
      <c r="E34" s="270" t="n"/>
      <c r="F34" s="276" t="n"/>
      <c r="G34" s="270" t="n"/>
      <c r="H34" s="68" t="n"/>
      <c r="I34" s="47" t="n"/>
      <c r="J34" s="46" t="n"/>
    </row>
    <row r="35" ht="21" customHeight="1">
      <c r="A35" t="inlineStr">
        <is>
          <t>Buyback execution price ($/share)</t>
        </is>
      </c>
      <c r="B35" s="498" t="n"/>
      <c r="C35" s="498" t="n"/>
      <c r="D35" s="498" t="n"/>
    </row>
    <row r="36" ht="21" customHeight="1">
      <c r="A36" s="254" t="inlineStr">
        <is>
          <t>Share issuance (m shares)</t>
        </is>
      </c>
      <c r="B36" s="498" t="n"/>
      <c r="C36" s="498" t="n"/>
      <c r="D36" s="498" t="n"/>
    </row>
    <row r="37" ht="21" customHeight="1">
      <c r="A37" s="296" t="inlineStr">
        <is>
          <t>Debt paydown ($m)</t>
        </is>
      </c>
      <c r="B37" s="525" t="n"/>
      <c r="C37" s="525" t="n"/>
      <c r="D37" s="525" t="n"/>
      <c r="E37" s="296" t="n"/>
      <c r="F37" s="296" t="n"/>
      <c r="G37" s="296" t="n"/>
      <c r="H37" s="296" t="n"/>
      <c r="I37" s="259" t="n"/>
      <c r="J37" s="46" t="n"/>
    </row>
    <row r="38" ht="21" customHeight="1">
      <c r="A38" s="68" t="inlineStr">
        <is>
          <t>Target EV/Adjusted EBITDA (x)</t>
        </is>
      </c>
      <c r="B38" s="526" t="n"/>
      <c r="C38" s="527" t="n"/>
      <c r="D38" s="527" t="n"/>
      <c r="E38" s="53" t="n"/>
      <c r="F38" s="53" t="n"/>
      <c r="G38" s="53" t="n"/>
      <c r="H38" s="53" t="n"/>
      <c r="I38" s="68" t="n"/>
      <c r="J38" s="46" t="n"/>
    </row>
    <row r="39" ht="21" customHeight="1">
      <c r="A39" s="275" t="inlineStr">
        <is>
          <t>Target EV/EBITDA (base, x)</t>
        </is>
      </c>
      <c r="B39" s="498" t="n"/>
      <c r="C39" s="498" t="n"/>
      <c r="D39" s="498" t="n"/>
    </row>
    <row r="40" ht="21" customHeight="1">
      <c r="A40" s="67" t="inlineStr">
        <is>
          <t>Target EV/Revenue (x)</t>
        </is>
      </c>
      <c r="B40" s="528" t="n"/>
      <c r="C40" s="522" t="n"/>
      <c r="D40" s="529" t="n"/>
      <c r="E40" s="351" t="n"/>
      <c r="F40" s="268" t="n"/>
      <c r="G40" s="351" t="n"/>
      <c r="H40" s="52" t="n"/>
      <c r="I40" s="67" t="n"/>
      <c r="J40" s="46" t="n"/>
    </row>
    <row r="41" ht="21" customHeight="1">
      <c r="A41" s="68" t="inlineStr">
        <is>
          <t>Target P/E (x)</t>
        </is>
      </c>
      <c r="B41" s="530" t="n"/>
      <c r="C41" s="521" t="n"/>
      <c r="D41" s="529" t="n"/>
      <c r="E41" s="352" t="n"/>
      <c r="F41" s="270" t="n"/>
      <c r="G41" s="352" t="n"/>
      <c r="H41" s="53" t="n"/>
      <c r="I41" s="68" t="n"/>
      <c r="J41" s="46" t="n"/>
    </row>
    <row r="42" ht="21" customHeight="1">
      <c r="A42" s="275" t="inlineStr">
        <is>
          <t>Target FCF yield (%)</t>
        </is>
      </c>
      <c r="B42" s="498" t="n"/>
      <c r="C42" s="498" t="n"/>
      <c r="D42" s="498" t="n"/>
    </row>
    <row r="43" ht="21" customHeight="1">
      <c r="A43" s="67" t="n"/>
      <c r="B43" s="67" t="n"/>
      <c r="C43" s="351" t="n"/>
      <c r="D43" s="276" t="n"/>
      <c r="E43" s="351" t="n"/>
      <c r="F43" s="268" t="n"/>
      <c r="G43" s="351" t="n"/>
      <c r="H43" s="52" t="n"/>
      <c r="I43" s="67" t="n"/>
      <c r="J43" s="46" t="n"/>
    </row>
    <row r="44" ht="21" customHeight="1">
      <c r="A44" s="68" t="n"/>
      <c r="B44" s="68" t="n"/>
      <c r="C44" s="352" t="n"/>
      <c r="D44" s="276" t="n"/>
      <c r="E44" s="352" t="n"/>
      <c r="F44" s="270" t="n"/>
      <c r="G44" s="352" t="n"/>
      <c r="H44" s="53" t="n"/>
      <c r="I44" s="68" t="n"/>
      <c r="J44" s="46" t="n"/>
    </row>
    <row r="45" ht="21" customHeight="1">
      <c r="A45" s="67" t="n"/>
      <c r="B45" s="67" t="n"/>
      <c r="C45" s="351" t="n"/>
      <c r="D45" s="276" t="n"/>
      <c r="E45" s="351" t="n"/>
      <c r="F45" s="268" t="n"/>
      <c r="G45" s="351" t="n"/>
      <c r="H45" s="52" t="n"/>
      <c r="I45" s="67" t="n"/>
      <c r="J45" s="46" t="n"/>
    </row>
    <row r="46" ht="21" customHeight="1"/>
    <row r="47" ht="21" customHeight="1">
      <c r="A47" s="254" t="inlineStr">
        <is>
          <t>Typed Scenario Driver Bridge</t>
        </is>
      </c>
      <c r="B47" s="47" t="n"/>
      <c r="C47" s="47" t="n"/>
      <c r="D47" s="47" t="n"/>
      <c r="E47" s="47" t="n"/>
      <c r="F47" s="47" t="n"/>
      <c r="G47" s="47" t="n"/>
      <c r="H47" s="47" t="n"/>
      <c r="I47" s="47" t="n"/>
      <c r="J47" s="46" t="n"/>
    </row>
    <row r="48" ht="21" customHeight="1">
      <c r="A48" s="68" t="inlineStr">
        <is>
          <t>Only explicit typed assumptions affect scenario economics; source guidance remains separate until selected.</t>
        </is>
      </c>
      <c r="B48" s="47" t="n"/>
      <c r="C48" s="47" t="n"/>
      <c r="D48" s="47" t="n"/>
      <c r="E48" s="47" t="n"/>
      <c r="F48" s="47" t="n"/>
      <c r="G48" s="47" t="n"/>
      <c r="H48" s="47" t="n"/>
      <c r="I48" s="47" t="n"/>
      <c r="J48" s="46" t="n"/>
    </row>
    <row r="49" ht="21" customHeight="1">
      <c r="A49" s="296" t="inlineStr">
        <is>
          <t>Bridge output</t>
        </is>
      </c>
      <c r="B49" s="296" t="inlineStr">
        <is>
          <t>Bear</t>
        </is>
      </c>
      <c r="C49" s="296" t="inlineStr">
        <is>
          <t>Base</t>
        </is>
      </c>
      <c r="D49" s="296" t="inlineStr">
        <is>
          <t>Bull</t>
        </is>
      </c>
      <c r="E49" s="296" t="n"/>
      <c r="F49" s="296" t="n"/>
      <c r="G49" s="296" t="n"/>
      <c r="H49" s="259" t="n"/>
      <c r="I49" s="47" t="n"/>
      <c r="J49" s="46" t="n"/>
    </row>
    <row r="50" ht="21" customHeight="1">
      <c r="A50" s="52" t="inlineStr">
        <is>
          <t>After-tax earnings bridge ($m)</t>
        </is>
      </c>
      <c r="B50" s="456">
        <f>IF(OR(B27="",B28="",B29=""),"",IF(B29="taxable",B27*(1-B28),IF(OR(B29="non_taxable",B29="non_taxable_credit"),B27,IF(OR(B29="cash_only",B29="no_eps_impact"),0,""))))</f>
        <v/>
      </c>
      <c r="C50" s="456">
        <f>IF(OR(C27="",C28="",C29=""),"",IF(C29="taxable",C27*(1-C28),IF(OR(C29="non_taxable",C29="non_taxable_credit"),C27,IF(OR(C29="cash_only",C29="no_eps_impact"),0,""))))</f>
        <v/>
      </c>
      <c r="D50" s="456">
        <f>IF(OR(D27="",D28="",D29=""),"",IF(D29="taxable",D27*(1-D28),IF(OR(D29="non_taxable",D29="non_taxable_credit"),D27,IF(OR(D29="cash_only",D29="no_eps_impact"),0,""))))</f>
        <v/>
      </c>
      <c r="E50" s="353" t="n"/>
      <c r="F50" s="351" t="n"/>
      <c r="G50" s="351" t="n"/>
      <c r="H50" s="67" t="n"/>
      <c r="I50" s="47" t="n"/>
      <c r="J50" s="46" t="n"/>
    </row>
    <row r="51" ht="21" customHeight="1">
      <c r="A51" s="53" t="inlineStr">
        <is>
          <t>After-tax cash-interest change ($m)</t>
        </is>
      </c>
      <c r="B51" s="457">
        <f>IF(OR(B28="",B30="",B31=""),"",IF(B31="taxable",B30*(1-B28),IF(B31="non_taxable",B30,"")))</f>
        <v/>
      </c>
      <c r="C51" s="457">
        <f>IF(OR(C28="",C30="",C31=""),"",IF(C31="taxable",C30*(1-C28),IF(C31="non_taxable",C30,"")))</f>
        <v/>
      </c>
      <c r="D51" s="457">
        <f>IF(OR(D28="",D30="",D31=""),"",IF(D31="taxable",D30*(1-D28),IF(D31="non_taxable",D30,"")))</f>
        <v/>
      </c>
      <c r="E51" s="358" t="n"/>
      <c r="F51" s="352" t="n"/>
      <c r="G51" s="352" t="n"/>
      <c r="H51" s="68" t="n"/>
      <c r="I51" s="47" t="n"/>
      <c r="J51" s="46" t="n"/>
    </row>
    <row r="52" ht="21" customHeight="1">
      <c r="A52" s="52" t="inlineStr">
        <is>
          <t>Net FCF bridge ($m)</t>
        </is>
      </c>
      <c r="B52" s="456">
        <f>IF(OR(B27="",B28="",B29="",B30="",B31="",B32="",B33=""),"",IF(B29="taxable",B27*(1-B28),IF(OR(B29="non_taxable",B29="non_taxable_credit",B29="cash_only",B29="no_eps_impact"),B27,IF(OR(B29="cash_only",B29="no_eps_impact"),B27,"")))-IF(B31="taxable",B30*(1-B28),IF(B31="non_taxable",B30,""))-B32+B33)</f>
        <v/>
      </c>
      <c r="C52" s="456">
        <f>IF(OR(C27="",C28="",C29="",C30="",C31="",C32="",C33=""),"",IF(C29="taxable",C27*(1-C28),IF(OR(C29="non_taxable",C29="non_taxable_credit",C29="cash_only",C29="no_eps_impact"),C27,IF(OR(C29="cash_only",C29="no_eps_impact"),C27,"")))-IF(C31="taxable",C30*(1-C28),IF(C31="non_taxable",C30,""))-C32+C33)</f>
        <v/>
      </c>
      <c r="D52" s="456">
        <f>IF(OR(D27="",D28="",D29="",D30="",D31="",D32="",D33=""),"",IF(D29="taxable",D27*(1-D28),IF(OR(D29="non_taxable",D29="non_taxable_credit",D29="cash_only",D29="no_eps_impact"),D27,IF(OR(D29="cash_only",D29="no_eps_impact"),D27,"")))-IF(D31="taxable",D30*(1-D28),IF(D31="non_taxable",D30,""))-D32+D33)</f>
        <v/>
      </c>
      <c r="E52" s="353" t="n"/>
      <c r="F52" s="351" t="n"/>
      <c r="G52" s="351" t="n"/>
      <c r="H52" s="67" t="n"/>
      <c r="I52" s="47" t="n"/>
      <c r="J52" s="46" t="n"/>
    </row>
    <row r="53" ht="21" customHeight="1">
      <c r="A53" s="53" t="inlineStr">
        <is>
          <t>Net share-count change (m)</t>
        </is>
      </c>
      <c r="B53" s="516">
        <f>IF(OR(B34="",B36="",AND(B34&lt;&gt;0,OR(B35="",B35&lt;=0))),"",-IF(B34=0,0,B34/B35)+B36)</f>
        <v/>
      </c>
      <c r="C53" s="516">
        <f>IF(OR(C34="",C36="",AND(C34&lt;&gt;0,OR(C35="",C35&lt;=0))),"",-IF(C34=0,0,C34/C35)+C36)</f>
        <v/>
      </c>
      <c r="D53" s="516">
        <f>IF(OR(D34="",D36="",AND(D34&lt;&gt;0,OR(D35="",D35&lt;=0))),"",-IF(D34=0,0,D34/D35)+D36)</f>
        <v/>
      </c>
      <c r="E53" s="358" t="n"/>
      <c r="F53" s="352" t="n"/>
      <c r="G53" s="352" t="n"/>
      <c r="H53" s="68" t="n"/>
      <c r="I53" s="47" t="n"/>
      <c r="J53" s="46" t="n"/>
    </row>
    <row r="54" ht="21" customHeight="1"/>
    <row r="55" ht="21" customHeight="1">
      <c r="A55" s="296" t="inlineStr">
        <is>
          <t>Scenario output</t>
        </is>
      </c>
      <c r="B55" s="259" t="inlineStr">
        <is>
          <t>Bear</t>
        </is>
      </c>
      <c r="C55" t="inlineStr">
        <is>
          <t>Base</t>
        </is>
      </c>
      <c r="D55" s="259" t="inlineStr">
        <is>
          <t>Bull</t>
        </is>
      </c>
      <c r="F55" s="259" t="n"/>
      <c r="G55" s="46" t="n"/>
      <c r="H55" s="259" t="n"/>
      <c r="I55" s="47" t="n"/>
      <c r="J55" s="46" t="n"/>
    </row>
    <row r="56" ht="21" customHeight="1">
      <c r="A56" s="52" t="inlineStr">
        <is>
          <t>Scenario EPS ($/share)</t>
        </is>
      </c>
      <c r="B56" s="531">
        <f>IF(F85="","",F85)</f>
        <v/>
      </c>
      <c r="C56" s="532">
        <f>IF(F86="","",F86)</f>
        <v/>
      </c>
      <c r="D56" s="531">
        <f>IF(F87="","",F87)</f>
        <v/>
      </c>
      <c r="F56" s="353" t="n"/>
      <c r="G56" s="46" t="n"/>
      <c r="H56" s="67" t="n"/>
      <c r="I56" s="47" t="n"/>
      <c r="J56" s="46" t="n"/>
    </row>
    <row r="57" ht="21" customHeight="1">
      <c r="A57" s="53" t="inlineStr">
        <is>
          <t>Scenario adjusted EBITDA ($m)</t>
        </is>
      </c>
      <c r="B57" s="457">
        <f>IF(D85="","",D85)</f>
        <v/>
      </c>
      <c r="C57" s="505">
        <f>IF(D86="","",D86)</f>
        <v/>
      </c>
      <c r="D57" s="457">
        <f>IF(D87="","",D87)</f>
        <v/>
      </c>
      <c r="F57" s="352" t="n"/>
      <c r="G57" s="46" t="n"/>
      <c r="H57" s="68" t="n"/>
      <c r="I57" s="47" t="n"/>
      <c r="J57" s="46" t="n"/>
    </row>
    <row r="58" ht="21" customHeight="1">
      <c r="A58" s="52" t="inlineStr">
        <is>
          <t>Scenario FCF ($m)</t>
        </is>
      </c>
      <c r="B58" s="456">
        <f>IF(E85="","",E85)</f>
        <v/>
      </c>
      <c r="C58" s="505">
        <f>IF(E86="","",E86)</f>
        <v/>
      </c>
      <c r="D58" s="456">
        <f>IF(E87="","",E87)</f>
        <v/>
      </c>
      <c r="F58" s="351" t="n"/>
      <c r="G58" s="46" t="n"/>
      <c r="H58" s="67" t="n"/>
      <c r="I58" s="47" t="n"/>
      <c r="J58" s="46" t="n"/>
    </row>
    <row r="59" ht="21" customHeight="1"/>
    <row r="60" ht="21" customHeight="1">
      <c r="A60" s="254" t="inlineStr">
        <is>
          <t>What Market Is Pricing</t>
        </is>
      </c>
      <c r="B60" s="47" t="n"/>
      <c r="C60" s="47" t="n"/>
      <c r="D60" s="47" t="n"/>
      <c r="E60" s="47" t="n"/>
      <c r="F60" s="47" t="n"/>
      <c r="G60" s="47" t="n"/>
      <c r="H60" s="47" t="n"/>
      <c r="I60" s="47" t="n"/>
      <c r="J60" s="46" t="n"/>
    </row>
    <row r="61" ht="21" customHeight="1">
      <c r="A61" s="296" t="inlineStr">
        <is>
          <t>Metric</t>
        </is>
      </c>
      <c r="B61" s="259" t="n"/>
      <c r="C61" s="47" t="n"/>
      <c r="D61" s="46" t="n"/>
      <c r="E61" s="259" t="n"/>
      <c r="F61" s="47" t="n"/>
      <c r="G61" s="47" t="n"/>
      <c r="H61" s="47" t="n"/>
      <c r="I61" s="47" t="n"/>
      <c r="J61" s="46" t="n"/>
    </row>
    <row r="62" ht="21" customHeight="1">
      <c r="A62" s="52" t="inlineStr">
        <is>
          <t>Market price</t>
        </is>
      </c>
      <c r="B62" s="533">
        <f>IF(Price="","",Price)</f>
        <v/>
      </c>
      <c r="E62" s="67" t="n"/>
      <c r="F62" s="47" t="n"/>
      <c r="G62" s="47" t="n"/>
      <c r="H62" s="47" t="n"/>
      <c r="I62" s="47" t="n"/>
      <c r="J62" s="46" t="n"/>
    </row>
    <row r="63" ht="21" customHeight="1">
      <c r="A63" s="53" t="inlineStr">
        <is>
          <t>Market capitalization ($m)</t>
        </is>
      </c>
      <c r="B63" s="534">
        <f>IF('Valuation'!N236="","",'Valuation'!N236)</f>
        <v/>
      </c>
      <c r="E63" s="68" t="n"/>
      <c r="F63" s="47" t="n"/>
      <c r="G63" s="47" t="n"/>
      <c r="H63" s="47" t="n"/>
      <c r="I63" s="47" t="n"/>
      <c r="J63" s="46" t="n"/>
    </row>
    <row r="64" ht="21" customHeight="1">
      <c r="A64" s="52" t="inlineStr">
        <is>
          <t>Enterprise value ($m)</t>
        </is>
      </c>
      <c r="B64" s="535">
        <f>IF('Valuation'!N237="","",'Valuation'!N237)</f>
        <v/>
      </c>
      <c r="E64" s="67" t="n"/>
      <c r="F64" s="47" t="n"/>
      <c r="G64" s="47" t="n"/>
      <c r="H64" s="47" t="n"/>
      <c r="I64" s="47" t="n"/>
      <c r="J64" s="46" t="n"/>
    </row>
    <row r="65" ht="21" customHeight="1">
      <c r="A65" s="53" t="inlineStr">
        <is>
          <t>Required revenue @ target EV/Revenue ($m)</t>
        </is>
      </c>
      <c r="B65" s="534">
        <f>IF('Valuation'!N238="","",'Valuation'!N238)</f>
        <v/>
      </c>
      <c r="E65" s="68" t="n"/>
      <c r="F65" s="47" t="n"/>
      <c r="G65" s="47" t="n"/>
      <c r="H65" s="47" t="n"/>
      <c r="I65" s="47" t="n"/>
      <c r="J65" s="46" t="n"/>
    </row>
    <row r="66" ht="21" customHeight="1">
      <c r="A66" s="52" t="inlineStr">
        <is>
          <t>Required adjusted EBITDA @ target multiple ($m)</t>
        </is>
      </c>
      <c r="B66" s="535">
        <f>IF('Valuation'!N239="","",'Valuation'!N239)</f>
        <v/>
      </c>
      <c r="E66" s="67" t="n"/>
      <c r="F66" s="47" t="n"/>
      <c r="G66" s="47" t="n"/>
      <c r="H66" s="47" t="n"/>
      <c r="I66" s="47" t="n"/>
      <c r="J66" s="46" t="n"/>
    </row>
    <row r="67" ht="21" customHeight="1">
      <c r="A67" s="53" t="inlineStr">
        <is>
          <t>Required FCFF @ target yield ($m)</t>
        </is>
      </c>
      <c r="B67" s="534">
        <f>IF('Valuation'!N242="","",'Valuation'!N242)</f>
        <v/>
      </c>
      <c r="E67" s="68" t="n"/>
      <c r="F67" s="47" t="n"/>
      <c r="G67" s="47" t="n"/>
      <c r="H67" s="47" t="n"/>
      <c r="I67" s="47" t="n"/>
      <c r="J67" s="46" t="n"/>
    </row>
    <row r="68" ht="21" customHeight="1">
      <c r="A68" t="inlineStr">
        <is>
          <t>Implied terminal growth (perpetuity)</t>
        </is>
      </c>
      <c r="B68" s="536">
        <f>IF(ISNUMBER('Valuation'!N244),'Valuation'!N244,"")</f>
        <v/>
      </c>
    </row>
    <row r="69" ht="21" customHeight="1">
      <c r="A69" s="254" t="n"/>
      <c r="B69" s="47" t="n"/>
      <c r="C69" s="47" t="n"/>
      <c r="D69" s="47" t="n"/>
      <c r="E69" s="47" t="n"/>
      <c r="F69" s="47" t="n"/>
      <c r="G69" s="47" t="n"/>
      <c r="H69" s="47" t="n"/>
      <c r="I69" s="47" t="n"/>
      <c r="J69" s="46" t="n"/>
    </row>
    <row r="70" ht="21" customHeight="1">
      <c r="A70" s="256" t="n"/>
      <c r="B70" s="285" t="n"/>
      <c r="C70" s="47" t="n"/>
      <c r="D70" s="47" t="n"/>
      <c r="E70" s="47" t="n"/>
      <c r="F70" s="47" t="n"/>
      <c r="G70" s="47" t="n"/>
      <c r="H70" s="47" t="n"/>
      <c r="I70" s="47" t="n"/>
      <c r="J70" s="46" t="n"/>
    </row>
    <row r="71" ht="21" customHeight="1"/>
    <row r="72" ht="21" customHeight="1">
      <c r="A72" s="254" t="n"/>
      <c r="B72" s="47" t="n"/>
      <c r="C72" s="47" t="n"/>
      <c r="D72" s="47" t="n"/>
      <c r="E72" s="47" t="n"/>
      <c r="F72" s="47" t="n"/>
      <c r="G72" s="47" t="n"/>
      <c r="H72" s="47" t="n"/>
      <c r="I72" s="47" t="n"/>
      <c r="J72" s="46" t="n"/>
    </row>
    <row r="73" ht="24" customHeight="1">
      <c r="A73" s="286" t="n"/>
      <c r="B73" s="47" t="n"/>
      <c r="C73" s="47" t="n"/>
      <c r="D73" s="47" t="n"/>
      <c r="E73" s="47" t="n"/>
      <c r="F73" s="47" t="n"/>
      <c r="G73" s="47" t="n"/>
      <c r="H73" s="47" t="n"/>
      <c r="I73" s="47" t="n"/>
      <c r="J73" s="46" t="n"/>
    </row>
    <row r="74" ht="38" customHeight="1">
      <c r="A74" s="289" t="n"/>
      <c r="B74" s="290" t="n"/>
      <c r="C74" s="47" t="n"/>
      <c r="D74" s="47" t="n"/>
      <c r="E74" s="46" t="n"/>
      <c r="F74" s="289" t="n"/>
      <c r="G74" s="290" t="n"/>
      <c r="H74" s="47" t="n"/>
      <c r="I74" s="47" t="n"/>
      <c r="J74" s="46" t="n"/>
    </row>
    <row r="75" ht="26" customHeight="1">
      <c r="A75" s="289" t="n"/>
      <c r="B75" s="290" t="n"/>
      <c r="C75" s="47" t="n"/>
      <c r="D75" s="47" t="n"/>
      <c r="E75" s="47" t="n"/>
      <c r="F75" s="47" t="n"/>
      <c r="G75" s="47" t="n"/>
      <c r="H75" s="47" t="n"/>
      <c r="I75" s="47" t="n"/>
      <c r="J75" s="46" t="n"/>
    </row>
    <row r="76" ht="24" customHeight="1">
      <c r="A76" s="286" t="n"/>
      <c r="B76" s="47" t="n"/>
      <c r="C76" s="47" t="n"/>
      <c r="D76" s="47" t="n"/>
      <c r="E76" s="47" t="n"/>
      <c r="F76" s="47" t="n"/>
      <c r="G76" s="47" t="n"/>
      <c r="H76" s="47" t="n"/>
      <c r="I76" s="47" t="n"/>
      <c r="J76" s="46" t="n"/>
    </row>
    <row r="77" ht="38" customHeight="1">
      <c r="A77" s="293" t="n"/>
      <c r="B77" s="294" t="n"/>
      <c r="C77" s="47" t="n"/>
      <c r="D77" s="47" t="n"/>
      <c r="E77" s="46" t="n"/>
      <c r="F77" s="293" t="n"/>
      <c r="G77" s="294" t="n"/>
      <c r="H77" s="47" t="n"/>
      <c r="I77" s="47" t="n"/>
      <c r="J77" s="46" t="n"/>
    </row>
    <row r="78" ht="26" customHeight="1">
      <c r="A78" s="293" t="n"/>
      <c r="B78" s="294" t="n"/>
      <c r="C78" s="47" t="n"/>
      <c r="D78" s="47" t="n"/>
      <c r="E78" s="47" t="n"/>
      <c r="F78" s="47" t="n"/>
      <c r="G78" s="47" t="n"/>
      <c r="H78" s="47" t="n"/>
      <c r="I78" s="47" t="n"/>
      <c r="J78" s="46" t="n"/>
    </row>
    <row r="79" ht="24" customHeight="1">
      <c r="A79" s="286" t="n"/>
      <c r="B79" s="47" t="n"/>
      <c r="C79" s="47" t="n"/>
      <c r="D79" s="47" t="n"/>
      <c r="E79" s="47" t="n"/>
      <c r="F79" s="47" t="n"/>
      <c r="G79" s="47" t="n"/>
      <c r="H79" s="47" t="n"/>
      <c r="I79" s="47" t="n"/>
      <c r="J79" s="46" t="n"/>
    </row>
    <row r="80" ht="38" customHeight="1">
      <c r="A80" s="289" t="n"/>
      <c r="B80" s="290" t="n"/>
      <c r="C80" s="47" t="n"/>
      <c r="D80" s="47" t="n"/>
      <c r="E80" s="46" t="n"/>
      <c r="F80" s="289" t="n"/>
      <c r="G80" s="290" t="n"/>
      <c r="H80" s="47" t="n"/>
      <c r="I80" s="47" t="n"/>
      <c r="J80" s="46" t="n"/>
    </row>
    <row r="81" ht="26" customHeight="1">
      <c r="A81" s="289" t="n"/>
      <c r="B81" s="290" t="n"/>
      <c r="C81" s="47" t="n"/>
      <c r="D81" s="47" t="n"/>
      <c r="E81" s="47" t="n"/>
      <c r="F81" s="47" t="n"/>
      <c r="G81" s="47" t="n"/>
      <c r="H81" s="47" t="n"/>
      <c r="I81" s="47" t="n"/>
      <c r="J81" s="46" t="n"/>
    </row>
    <row r="82" ht="21" customHeight="1"/>
    <row r="83" ht="21" customHeight="1">
      <c r="A83" s="254" t="inlineStr">
        <is>
          <t>Bear / Base / Bull Scenario</t>
        </is>
      </c>
      <c r="B83" s="47" t="n"/>
      <c r="C83" s="47" t="n"/>
      <c r="D83" s="47" t="n"/>
      <c r="E83" s="47" t="n"/>
      <c r="F83" s="47" t="n"/>
      <c r="G83" s="47" t="n"/>
      <c r="H83" s="47" t="n"/>
      <c r="I83" s="47" t="n"/>
      <c r="J83" s="46" t="n"/>
    </row>
    <row r="84" ht="21" customHeight="1">
      <c r="A84" s="296" t="inlineStr">
        <is>
          <t>Scenario</t>
        </is>
      </c>
      <c r="B84" s="259" t="inlineStr">
        <is>
          <t>Revenue</t>
        </is>
      </c>
      <c r="C84" t="inlineStr">
        <is>
          <t>Base EBITDA</t>
        </is>
      </c>
      <c r="D84" s="296" t="inlineStr">
        <is>
          <t>Adjusted EBITDA</t>
        </is>
      </c>
      <c r="E84" s="296" t="inlineStr">
        <is>
          <t>FCF</t>
        </is>
      </c>
      <c r="F84" s="296" t="inlineStr">
        <is>
          <t>EPS</t>
        </is>
      </c>
      <c r="G84" s="296" t="inlineStr">
        <is>
          <t>Shares</t>
        </is>
      </c>
      <c r="H84" s="296" t="inlineStr">
        <is>
          <t>Net debt</t>
        </is>
      </c>
      <c r="I84" s="296" t="inlineStr">
        <is>
          <t>Implied price</t>
        </is>
      </c>
      <c r="J84" s="296" t="inlineStr">
        <is>
          <t>Upside / downside</t>
        </is>
      </c>
    </row>
    <row r="85" ht="30" customHeight="1">
      <c r="A85" s="52" t="inlineStr">
        <is>
          <t>Bear</t>
        </is>
      </c>
      <c r="B85" s="535">
        <f>IF(OR(B18="",ResolvedRevenueGrowth_Bear=""),"",B18*(1+ResolvedRevenueGrowth_Bear))</f>
        <v/>
      </c>
      <c r="C85" s="505">
        <f>IF(OR(B85="",B25=""),"",B85*B25)</f>
        <v/>
      </c>
      <c r="D85" s="456">
        <f>IF(OR(B85="",B26=""),"",B85*B26)</f>
        <v/>
      </c>
      <c r="E85" s="456">
        <f>IF(OR(B22="",B52=""),"",B22+B52)</f>
        <v/>
      </c>
      <c r="F85" s="531">
        <f>IF(OR(B19="",B50="",B51="",G85="",G85&lt;=0),"",(B19+B50-B51)/G85)</f>
        <v/>
      </c>
      <c r="G85" s="537">
        <f>IF(OR(B16="",B53=""),"",IF(B16+B53&lt;=0,"",B16+B53))</f>
        <v/>
      </c>
      <c r="H85" s="456">
        <f>IF(OR(B17="",B34="",B37=""),"",B17+B34-B37)</f>
        <v/>
      </c>
      <c r="I85" s="459">
        <f>IF(OR(D85="",B38="",H85="",G85="",G85&lt;=0),"",(D85*B38-H85)/G85)</f>
        <v/>
      </c>
      <c r="J85" s="538">
        <f>IF(OR(I85="",B15="",B15&lt;=0),"",I85/B15-1)</f>
        <v/>
      </c>
    </row>
    <row r="86" ht="30" customHeight="1">
      <c r="A86" s="53" t="inlineStr">
        <is>
          <t>Base</t>
        </is>
      </c>
      <c r="B86" s="534">
        <f>IF(OR(C18="",ResolvedRevenueGrowth_Base=""),"",C18*(1+ResolvedRevenueGrowth_Base))</f>
        <v/>
      </c>
      <c r="C86" s="505">
        <f>IF(OR(B86="",C25=""),"",B86*C25)</f>
        <v/>
      </c>
      <c r="D86" s="457">
        <f>IF(OR(B86="",C26=""),"",B86*C26)</f>
        <v/>
      </c>
      <c r="E86" s="457">
        <f>IF(OR(C22="",C52=""),"",C22+C52)</f>
        <v/>
      </c>
      <c r="F86" s="539">
        <f>IF(OR(C19="",C50="",C51="",G86="",G86&lt;=0),"",(C19+C50-C51)/G86)</f>
        <v/>
      </c>
      <c r="G86" s="516">
        <f>IF(OR(C16="",C53=""),"",IF(C16+C53&lt;=0,"",C16+C53))</f>
        <v/>
      </c>
      <c r="H86" s="457">
        <f>IF(OR(C17="",C34="",C37=""),"",C17+C34-C37)</f>
        <v/>
      </c>
      <c r="I86" s="458">
        <f>IF(OR(D86="",C38="",H86="",G86="",G86&lt;=0),"",(D86*C38-H86)/G86)</f>
        <v/>
      </c>
      <c r="J86" s="540">
        <f>IF(OR(I86="",C15="",C15&lt;=0),"",I86/C15-1)</f>
        <v/>
      </c>
    </row>
    <row r="87" ht="30" customHeight="1">
      <c r="A87" s="52" t="inlineStr">
        <is>
          <t>Bull</t>
        </is>
      </c>
      <c r="B87" s="535">
        <f>IF(OR(D18="",ResolvedRevenueGrowth_Bull=""),"",D18*(1+ResolvedRevenueGrowth_Bull))</f>
        <v/>
      </c>
      <c r="C87" s="505">
        <f>IF(OR(B87="",D25=""),"",B87*D25)</f>
        <v/>
      </c>
      <c r="D87" s="456">
        <f>IF(OR(B87="",D26=""),"",B87*D26)</f>
        <v/>
      </c>
      <c r="E87" s="456">
        <f>IF(OR(D22="",D52=""),"",D22+D52)</f>
        <v/>
      </c>
      <c r="F87" s="531">
        <f>IF(OR(D19="",D50="",D51="",G87="",G87&lt;=0),"",(D19+D50-D51)/G87)</f>
        <v/>
      </c>
      <c r="G87" s="537">
        <f>IF(OR(D16="",D53=""),"",IF(D16+D53&lt;=0,"",D16+D53))</f>
        <v/>
      </c>
      <c r="H87" s="456">
        <f>IF(OR(D17="",D34="",D37=""),"",D17+D34-D37)</f>
        <v/>
      </c>
      <c r="I87" s="459">
        <f>IF(OR(D87="",D38="",H87="",G87="",G87&lt;=0),"",(D87*D38-H87)/G87)</f>
        <v/>
      </c>
      <c r="J87" s="538">
        <f>IF(OR(I87="",D15="",D15&lt;=0),"",I87/D15-1)</f>
        <v/>
      </c>
    </row>
    <row r="88" ht="13.5" customHeight="1">
      <c r="A88" s="256" t="n"/>
      <c r="B88" s="47" t="n"/>
      <c r="C88" s="47" t="n"/>
      <c r="D88" s="47" t="n"/>
      <c r="E88" s="47" t="n"/>
      <c r="F88" s="47" t="n"/>
      <c r="G88" s="47" t="n"/>
      <c r="H88" s="47" t="n"/>
      <c r="I88" s="47" t="n"/>
      <c r="J88" s="46" t="n"/>
    </row>
    <row r="89" ht="21" customHeight="1"/>
    <row r="90" ht="21" customHeight="1">
      <c r="A90" s="254" t="n"/>
      <c r="B90" s="47" t="n"/>
      <c r="C90" s="47" t="n"/>
      <c r="D90" s="47" t="n"/>
      <c r="E90" s="47" t="n"/>
      <c r="F90" s="47" t="n"/>
      <c r="G90" s="47" t="n"/>
      <c r="H90" s="47" t="n"/>
      <c r="I90" s="47" t="n"/>
      <c r="J90" s="46" t="n"/>
    </row>
    <row r="91" ht="21" customHeight="1">
      <c r="A91" s="296" t="n"/>
      <c r="B91" s="259" t="n"/>
      <c r="C91" s="46" t="n"/>
      <c r="D91" s="296" t="n"/>
      <c r="E91" s="296" t="n"/>
      <c r="F91" s="259" t="n"/>
      <c r="G91" s="47" t="n"/>
      <c r="H91" s="47" t="n"/>
      <c r="I91" s="47" t="n"/>
      <c r="J91" s="46" t="n"/>
    </row>
    <row r="92" ht="24" customHeight="1">
      <c r="A92" s="52" t="n"/>
      <c r="B92" s="67" t="n"/>
      <c r="C92" s="46" t="n"/>
      <c r="D92" s="52" t="n"/>
      <c r="E92" s="52" t="n"/>
      <c r="F92" s="67" t="n"/>
      <c r="G92" s="47" t="n"/>
      <c r="H92" s="47" t="n"/>
      <c r="I92" s="47" t="n"/>
      <c r="J92" s="46" t="n"/>
    </row>
    <row r="93" ht="24" customHeight="1">
      <c r="A93" s="53" t="n"/>
      <c r="B93" s="68" t="n"/>
      <c r="C93" s="46" t="n"/>
      <c r="D93" s="53" t="n"/>
      <c r="E93" s="53" t="n"/>
      <c r="F93" s="68" t="n"/>
      <c r="G93" s="47" t="n"/>
      <c r="H93" s="47" t="n"/>
      <c r="I93" s="47" t="n"/>
      <c r="J93" s="46" t="n"/>
    </row>
    <row r="94" ht="24" customHeight="1">
      <c r="A94" s="52" t="n"/>
      <c r="B94" s="67" t="n"/>
      <c r="C94" s="46" t="n"/>
      <c r="D94" s="52" t="n"/>
      <c r="E94" s="52" t="n"/>
      <c r="F94" s="67" t="n"/>
      <c r="G94" s="47" t="n"/>
      <c r="H94" s="47" t="n"/>
      <c r="I94" s="47" t="n"/>
      <c r="J94" s="46" t="n"/>
    </row>
    <row r="95" ht="24" customHeight="1">
      <c r="A95" s="53" t="n"/>
      <c r="B95" s="68" t="n"/>
      <c r="C95" s="46" t="n"/>
      <c r="D95" s="53" t="n"/>
      <c r="E95" s="53" t="n"/>
      <c r="F95" s="68" t="n"/>
      <c r="G95" s="47" t="n"/>
      <c r="H95" s="47" t="n"/>
      <c r="I95" s="47" t="n"/>
      <c r="J95" s="46" t="n"/>
    </row>
    <row r="96" ht="24" customHeight="1">
      <c r="A96" s="52" t="n"/>
      <c r="B96" s="67" t="n"/>
      <c r="C96" s="46" t="n"/>
      <c r="D96" s="52" t="n"/>
      <c r="E96" s="52" t="n"/>
      <c r="F96" s="67" t="n"/>
      <c r="G96" s="47" t="n"/>
      <c r="H96" s="47" t="n"/>
      <c r="I96" s="47" t="n"/>
      <c r="J96" s="46" t="n"/>
    </row>
    <row r="97" ht="21" customHeight="1"/>
    <row r="98" ht="21" customHeight="1">
      <c r="A98" s="254" t="n"/>
      <c r="B98" s="47" t="n"/>
      <c r="C98" s="47" t="n"/>
      <c r="D98" s="47" t="n"/>
      <c r="E98" s="47" t="n"/>
      <c r="F98" s="47" t="n"/>
      <c r="G98" s="47" t="n"/>
      <c r="H98" s="47" t="n"/>
      <c r="I98" s="47" t="n"/>
      <c r="J98" s="46" t="n"/>
    </row>
    <row r="99" ht="21" customHeight="1">
      <c r="A99" s="296" t="n"/>
      <c r="B99" s="259" t="n"/>
      <c r="C99" s="47" t="n"/>
      <c r="D99" s="47" t="n"/>
      <c r="E99" s="47" t="n"/>
      <c r="F99" s="47" t="n"/>
      <c r="G99" s="47" t="n"/>
      <c r="H99" s="47" t="n"/>
      <c r="I99" s="47" t="n"/>
      <c r="J99" s="46" t="n"/>
    </row>
    <row r="100" ht="21" customHeight="1">
      <c r="A100" s="52" t="n"/>
      <c r="B100" s="67" t="n"/>
      <c r="C100" s="47" t="n"/>
      <c r="D100" s="47" t="n"/>
      <c r="E100" s="47" t="n"/>
      <c r="F100" s="47" t="n"/>
      <c r="G100" s="47" t="n"/>
      <c r="H100" s="47" t="n"/>
      <c r="I100" s="47" t="n"/>
      <c r="J100" s="46" t="n"/>
    </row>
    <row r="101" ht="21" customHeight="1">
      <c r="A101" s="53" t="n"/>
      <c r="B101" s="68" t="n"/>
      <c r="C101" s="47" t="n"/>
      <c r="D101" s="47" t="n"/>
      <c r="E101" s="47" t="n"/>
      <c r="F101" s="47" t="n"/>
      <c r="G101" s="47" t="n"/>
      <c r="H101" s="47" t="n"/>
      <c r="I101" s="47" t="n"/>
      <c r="J101" s="46" t="n"/>
    </row>
    <row r="102" ht="21" customHeight="1">
      <c r="A102" s="52" t="n"/>
      <c r="B102" s="67" t="n"/>
      <c r="C102" s="47" t="n"/>
      <c r="D102" s="47" t="n"/>
      <c r="E102" s="47" t="n"/>
      <c r="F102" s="47" t="n"/>
      <c r="G102" s="47" t="n"/>
      <c r="H102" s="47" t="n"/>
      <c r="I102" s="47" t="n"/>
      <c r="J102" s="46" t="n"/>
    </row>
    <row r="103" ht="21" customHeight="1">
      <c r="A103" s="53" t="n"/>
      <c r="B103" s="68" t="n"/>
      <c r="C103" s="47" t="n"/>
      <c r="D103" s="47" t="n"/>
      <c r="E103" s="47" t="n"/>
      <c r="F103" s="47" t="n"/>
      <c r="G103" s="47" t="n"/>
      <c r="H103" s="47" t="n"/>
      <c r="I103" s="47" t="n"/>
      <c r="J103" s="46" t="n"/>
    </row>
    <row r="104" ht="21" customHeight="1">
      <c r="A104" s="52" t="n"/>
      <c r="B104" s="67" t="n"/>
      <c r="C104" s="47" t="n"/>
      <c r="D104" s="47" t="n"/>
      <c r="E104" s="47" t="n"/>
      <c r="F104" s="47" t="n"/>
      <c r="G104" s="47" t="n"/>
      <c r="H104" s="47" t="n"/>
      <c r="I104" s="47" t="n"/>
      <c r="J104" s="46" t="n"/>
    </row>
    <row r="105" ht="21" customHeight="1"/>
    <row r="106" ht="21" customHeight="1">
      <c r="A106" s="254" t="n"/>
      <c r="B106" s="47" t="n"/>
      <c r="C106" s="47" t="n"/>
      <c r="D106" s="47" t="n"/>
      <c r="E106" s="47" t="n"/>
      <c r="F106" s="47" t="n"/>
      <c r="G106" s="47" t="n"/>
      <c r="H106" s="47" t="n"/>
      <c r="I106" s="47" t="n"/>
      <c r="J106" s="47" t="n"/>
      <c r="K106" s="46" t="n"/>
    </row>
    <row r="107" ht="21" customHeight="1">
      <c r="A107" s="296" t="n"/>
      <c r="B107" s="259" t="n"/>
      <c r="C107" s="46" t="n"/>
      <c r="D107" s="259" t="n"/>
      <c r="E107" s="46" t="n"/>
      <c r="F107" s="259" t="n"/>
      <c r="G107" s="47" t="n"/>
      <c r="H107" s="47" t="n"/>
      <c r="I107" s="47" t="n"/>
      <c r="J107" s="47" t="n"/>
      <c r="K107" s="46" t="n"/>
    </row>
    <row r="108" ht="21" customHeight="1">
      <c r="A108" s="256" t="n"/>
      <c r="B108" s="257" t="n"/>
      <c r="C108" s="46" t="n"/>
      <c r="D108" s="257" t="n"/>
      <c r="E108" s="46" t="n"/>
      <c r="F108" s="257" t="n"/>
      <c r="G108" s="47" t="n"/>
      <c r="H108" s="47" t="n"/>
      <c r="I108" s="47" t="n"/>
      <c r="J108" s="47" t="n"/>
      <c r="K108" s="46" t="n"/>
    </row>
    <row r="109" ht="21" customHeight="1">
      <c r="A109" s="53" t="n"/>
      <c r="B109" s="68" t="n"/>
      <c r="C109" s="46" t="n"/>
      <c r="D109" s="68" t="n"/>
      <c r="E109" s="46" t="n"/>
      <c r="F109" s="68" t="n"/>
      <c r="G109" s="47" t="n"/>
      <c r="H109" s="47" t="n"/>
      <c r="I109" s="47" t="n"/>
      <c r="J109" s="47" t="n"/>
      <c r="K109" s="46" t="n"/>
    </row>
    <row r="110" ht="21" customHeight="1">
      <c r="A110" s="52" t="n"/>
      <c r="B110" s="67" t="n"/>
      <c r="C110" s="46" t="n"/>
      <c r="D110" s="67" t="n"/>
      <c r="E110" s="46" t="n"/>
      <c r="F110" s="67" t="n"/>
      <c r="G110" s="47" t="n"/>
      <c r="H110" s="47" t="n"/>
      <c r="I110" s="47" t="n"/>
      <c r="J110" s="47" t="n"/>
      <c r="K110" s="46" t="n"/>
    </row>
    <row r="111" ht="21" customHeight="1">
      <c r="A111" s="52" t="n"/>
      <c r="B111" s="67" t="n"/>
      <c r="C111" s="46" t="n"/>
      <c r="D111" s="67" t="n"/>
      <c r="E111" s="46" t="n"/>
      <c r="F111" s="67" t="n"/>
      <c r="G111" s="47" t="n"/>
      <c r="H111" s="47" t="n"/>
      <c r="I111" s="47" t="n"/>
      <c r="J111" s="47" t="n"/>
      <c r="K111" s="46" t="n"/>
    </row>
    <row r="112" ht="21" customHeight="1">
      <c r="A112" s="53" t="n"/>
      <c r="B112" s="68" t="n"/>
      <c r="C112" s="46" t="n"/>
      <c r="D112" s="68" t="n"/>
      <c r="E112" s="46" t="n"/>
      <c r="F112" s="68" t="n"/>
      <c r="G112" s="47" t="n"/>
      <c r="H112" s="47" t="n"/>
      <c r="I112" s="47" t="n"/>
      <c r="J112" s="47" t="n"/>
      <c r="K112" s="46" t="n"/>
    </row>
    <row r="113" ht="21" customHeight="1">
      <c r="A113" s="52" t="n"/>
      <c r="B113" s="67" t="n"/>
      <c r="C113" s="46" t="n"/>
      <c r="D113" s="67" t="n"/>
      <c r="E113" s="46" t="n"/>
      <c r="F113" s="67" t="n"/>
      <c r="G113" s="47" t="n"/>
      <c r="H113" s="47" t="n"/>
      <c r="I113" s="47" t="n"/>
      <c r="J113" s="47" t="n"/>
      <c r="K113" s="46" t="n"/>
    </row>
    <row r="114" ht="21" customHeight="1">
      <c r="A114" s="53" t="n"/>
      <c r="B114" s="68" t="n"/>
      <c r="C114" s="46" t="n"/>
      <c r="D114" s="68" t="n"/>
      <c r="E114" s="46" t="n"/>
      <c r="F114" s="68" t="n"/>
      <c r="G114" s="47" t="n"/>
      <c r="H114" s="47" t="n"/>
      <c r="I114" s="47" t="n"/>
      <c r="J114" s="47" t="n"/>
      <c r="K114" s="46" t="n"/>
    </row>
    <row r="115" ht="21" customHeight="1">
      <c r="A115" s="52" t="n"/>
      <c r="B115" s="67" t="n"/>
      <c r="C115" s="46" t="n"/>
      <c r="D115" s="67" t="n"/>
      <c r="E115" s="46" t="n"/>
      <c r="F115" s="67" t="n"/>
      <c r="G115" s="47" t="n"/>
      <c r="H115" s="47" t="n"/>
      <c r="I115" s="47" t="n"/>
      <c r="J115" s="47" t="n"/>
      <c r="K115" s="46" t="n"/>
    </row>
    <row r="116" ht="21" customHeight="1">
      <c r="A116" s="53" t="n"/>
      <c r="B116" s="68" t="n"/>
      <c r="C116" s="46" t="n"/>
      <c r="D116" s="68" t="n"/>
      <c r="E116" s="46" t="n"/>
      <c r="F116" s="68" t="n"/>
      <c r="G116" s="47" t="n"/>
      <c r="H116" s="47" t="n"/>
      <c r="I116" s="47" t="n"/>
      <c r="J116" s="47" t="n"/>
      <c r="K116" s="46" t="n"/>
    </row>
    <row r="117" ht="21" customHeight="1">
      <c r="A117" s="256" t="n"/>
      <c r="B117" s="257" t="n"/>
      <c r="C117" s="46" t="n"/>
      <c r="D117" s="257" t="n"/>
      <c r="E117" s="46" t="n"/>
      <c r="F117" s="257" t="n"/>
      <c r="G117" s="47" t="n"/>
      <c r="H117" s="47" t="n"/>
      <c r="I117" s="47" t="n"/>
      <c r="J117" s="47" t="n"/>
      <c r="K117" s="46" t="n"/>
    </row>
    <row r="118" ht="21" customHeight="1"/>
    <row r="119" ht="21" customHeight="1">
      <c r="A119" s="254" t="n"/>
      <c r="B119" s="47" t="n"/>
      <c r="C119" s="47" t="n"/>
      <c r="D119" s="47" t="n"/>
      <c r="E119" s="47" t="n"/>
      <c r="F119" s="47" t="n"/>
      <c r="G119" s="47" t="n"/>
      <c r="H119" s="47" t="n"/>
      <c r="I119" s="47" t="n"/>
      <c r="J119" s="46" t="n"/>
    </row>
    <row r="120" ht="21" customHeight="1">
      <c r="A120" s="296" t="n"/>
      <c r="B120" s="259" t="n"/>
      <c r="C120" s="47" t="n"/>
      <c r="D120" s="47" t="n"/>
      <c r="E120" s="46" t="n"/>
      <c r="F120" s="259" t="n"/>
      <c r="G120" s="47" t="n"/>
      <c r="H120" s="47" t="n"/>
      <c r="I120" s="47" t="n"/>
      <c r="J120" s="46" t="n"/>
    </row>
    <row r="121" ht="21" customHeight="1">
      <c r="A121" s="52" t="n"/>
      <c r="B121" s="67" t="n"/>
      <c r="C121" s="47" t="n"/>
      <c r="D121" s="47" t="n"/>
      <c r="E121" s="46" t="n"/>
      <c r="F121" s="67" t="n"/>
      <c r="G121" s="47" t="n"/>
      <c r="H121" s="47" t="n"/>
      <c r="I121" s="47" t="n"/>
      <c r="J121" s="46" t="n"/>
    </row>
    <row r="122" ht="21" customHeight="1">
      <c r="A122" s="53" t="n"/>
      <c r="B122" s="68" t="n"/>
      <c r="C122" s="47" t="n"/>
      <c r="D122" s="47" t="n"/>
      <c r="E122" s="46" t="n"/>
      <c r="F122" s="68" t="n"/>
      <c r="G122" s="47" t="n"/>
      <c r="H122" s="47" t="n"/>
      <c r="I122" s="47" t="n"/>
      <c r="J122" s="46" t="n"/>
    </row>
    <row r="123" ht="21" customHeight="1">
      <c r="A123" s="52" t="n"/>
      <c r="B123" s="67" t="n"/>
      <c r="C123" s="47" t="n"/>
      <c r="D123" s="47" t="n"/>
      <c r="E123" s="46" t="n"/>
      <c r="F123" s="67" t="n"/>
      <c r="G123" s="47" t="n"/>
      <c r="H123" s="47" t="n"/>
      <c r="I123" s="47" t="n"/>
      <c r="J123" s="46" t="n"/>
    </row>
    <row r="124" ht="21" customHeight="1">
      <c r="A124" s="53" t="n"/>
      <c r="B124" s="68" t="n"/>
      <c r="C124" s="47" t="n"/>
      <c r="D124" s="47" t="n"/>
      <c r="E124" s="46" t="n"/>
      <c r="F124" s="68" t="n"/>
      <c r="G124" s="47" t="n"/>
      <c r="H124" s="47" t="n"/>
      <c r="I124" s="47" t="n"/>
      <c r="J124" s="46" t="n"/>
    </row>
    <row r="125" ht="21" customHeight="1">
      <c r="A125" s="52" t="n"/>
      <c r="B125" s="67" t="n"/>
      <c r="C125" s="47" t="n"/>
      <c r="D125" s="47" t="n"/>
      <c r="E125" s="46" t="n"/>
      <c r="F125" s="67" t="n"/>
      <c r="G125" s="47" t="n"/>
      <c r="H125" s="47" t="n"/>
      <c r="I125" s="47" t="n"/>
      <c r="J125" s="46" t="n"/>
    </row>
    <row r="126" ht="21" customHeight="1">
      <c r="A126" s="53" t="inlineStr">
        <is>
          <t>Guided EPS</t>
        </is>
      </c>
      <c r="B126" s="68" t="n"/>
      <c r="C126" s="47" t="n"/>
      <c r="D126" s="47" t="n"/>
      <c r="E126" s="46" t="n"/>
      <c r="F126" s="68" t="n"/>
      <c r="G126" s="47" t="n"/>
      <c r="H126" s="47" t="n"/>
      <c r="I126" s="47" t="n"/>
      <c r="J126" s="46" t="n"/>
    </row>
    <row r="127" ht="21" customHeight="1"/>
    <row r="128" ht="21" customHeight="1">
      <c r="A128" s="254" t="n"/>
      <c r="B128" s="47" t="n"/>
      <c r="C128" s="47" t="n"/>
      <c r="D128" s="47" t="n"/>
      <c r="E128" s="47" t="n"/>
      <c r="F128" s="47" t="n"/>
      <c r="G128" s="47" t="n"/>
      <c r="H128" s="47" t="n"/>
      <c r="I128" s="47" t="n"/>
      <c r="J128" s="46" t="n"/>
    </row>
    <row r="129" ht="21" customHeight="1">
      <c r="A129" s="296" t="n"/>
      <c r="B129" s="296" t="n"/>
      <c r="C129" s="259" t="n"/>
      <c r="D129" s="47" t="n"/>
      <c r="E129" s="47" t="n"/>
      <c r="F129" s="47" t="n"/>
      <c r="G129" s="47" t="n"/>
      <c r="H129" s="47" t="n"/>
      <c r="I129" s="47" t="n"/>
      <c r="J129" s="46" t="n"/>
    </row>
    <row r="130" ht="21" customHeight="1">
      <c r="A130" s="52" t="n"/>
      <c r="B130" s="52" t="n"/>
      <c r="C130" s="67" t="n"/>
      <c r="D130" s="47" t="n"/>
      <c r="E130" s="47" t="n"/>
      <c r="F130" s="47" t="n"/>
      <c r="G130" s="47" t="n"/>
      <c r="H130" s="47" t="n"/>
      <c r="I130" s="47" t="n"/>
      <c r="J130" s="46" t="n"/>
    </row>
    <row r="131" ht="21" customHeight="1">
      <c r="A131" s="53" t="n"/>
      <c r="B131" s="53" t="n"/>
      <c r="C131" s="68" t="n"/>
      <c r="D131" s="47" t="n"/>
      <c r="E131" s="47" t="n"/>
      <c r="F131" s="47" t="n"/>
      <c r="G131" s="47" t="n"/>
      <c r="H131" s="47" t="n"/>
      <c r="I131" s="47" t="n"/>
      <c r="J131" s="46" t="n"/>
    </row>
    <row r="132" ht="21" customHeight="1">
      <c r="A132" s="52" t="inlineStr">
        <is>
          <t>Buybacks</t>
        </is>
      </c>
      <c r="B132" s="52" t="n"/>
      <c r="C132" s="67" t="n"/>
      <c r="D132" s="47" t="n"/>
      <c r="E132" s="47" t="n"/>
      <c r="F132" s="47" t="n"/>
      <c r="G132" s="47" t="n"/>
      <c r="H132" s="47" t="n"/>
      <c r="I132" s="47" t="n"/>
      <c r="J132" s="46" t="n"/>
    </row>
    <row r="133" ht="21" customHeight="1">
      <c r="A133" s="53" t="n"/>
      <c r="B133" s="53" t="n"/>
      <c r="C133" s="68" t="n"/>
      <c r="D133" s="47" t="n"/>
      <c r="E133" s="47" t="n"/>
      <c r="F133" s="47" t="n"/>
      <c r="G133" s="47" t="n"/>
      <c r="H133" s="47" t="n"/>
      <c r="I133" s="47" t="n"/>
      <c r="J133" s="46" t="n"/>
    </row>
    <row r="134" ht="21" customHeight="1">
      <c r="A134" s="52" t="n"/>
      <c r="B134" s="52" t="n"/>
      <c r="C134" s="67" t="n"/>
      <c r="D134" s="47" t="n"/>
      <c r="E134" s="47" t="n"/>
      <c r="F134" s="47" t="n"/>
      <c r="G134" s="47" t="n"/>
      <c r="H134" s="47" t="n"/>
      <c r="I134" s="47" t="n"/>
      <c r="J134" s="46" t="n"/>
    </row>
    <row r="135" ht="21" customHeight="1">
      <c r="A135" s="53" t="n"/>
      <c r="B135" s="53" t="n"/>
      <c r="C135" s="68" t="n"/>
      <c r="D135" s="47" t="n"/>
      <c r="E135" s="47" t="n"/>
      <c r="F135" s="47" t="n"/>
      <c r="G135" s="47" t="n"/>
      <c r="H135" s="47" t="n"/>
      <c r="I135" s="47" t="n"/>
      <c r="J135" s="46" t="n"/>
    </row>
    <row r="136" ht="21" customHeight="1">
      <c r="A136" s="256" t="n"/>
      <c r="B136" s="256" t="n"/>
      <c r="C136" s="257" t="n"/>
      <c r="D136" s="47" t="n"/>
      <c r="E136" s="47" t="n"/>
      <c r="F136" s="47" t="n"/>
      <c r="G136" s="47" t="n"/>
      <c r="H136" s="47" t="n"/>
      <c r="I136" s="47" t="n"/>
      <c r="J136" s="46" t="n"/>
    </row>
    <row r="137" ht="21" customHeight="1"/>
    <row r="138" ht="21" customHeight="1">
      <c r="A138" s="254" t="inlineStr">
        <is>
          <t>Guidance to implied earnings</t>
        </is>
      </c>
      <c r="B138" s="47" t="n"/>
      <c r="C138" s="47" t="n"/>
      <c r="D138" s="47" t="n"/>
      <c r="E138" s="47" t="n"/>
      <c r="F138" s="47" t="n"/>
      <c r="G138" s="47" t="n"/>
      <c r="H138" s="47" t="n"/>
      <c r="I138" s="47" t="n"/>
      <c r="J138" s="46" t="n"/>
    </row>
    <row r="139" ht="21" customHeight="1">
      <c r="A139" s="296" t="n"/>
      <c r="B139" s="259" t="n"/>
      <c r="C139" s="46" t="n"/>
      <c r="D139" s="259" t="n"/>
      <c r="E139" s="47" t="n"/>
      <c r="F139" s="47" t="n"/>
      <c r="G139" s="47" t="n"/>
      <c r="H139" s="47" t="n"/>
      <c r="I139" s="47" t="n"/>
      <c r="J139" s="46" t="n"/>
    </row>
    <row r="140" ht="21" customHeight="1">
      <c r="A140" s="52" t="inlineStr">
        <is>
          <t>Revenue baseline</t>
        </is>
      </c>
      <c r="B140" s="67" t="n"/>
      <c r="C140" s="46" t="n"/>
      <c r="D140" s="67" t="n"/>
      <c r="E140" s="47" t="n"/>
      <c r="F140" s="47" t="n"/>
      <c r="G140" s="47" t="n"/>
      <c r="H140" s="47" t="n"/>
      <c r="I140" s="47" t="n"/>
      <c r="J140" s="46" t="n"/>
    </row>
    <row r="141" ht="21" customHeight="1">
      <c r="A141" s="53" t="inlineStr">
        <is>
          <t>Revenue growth guide</t>
        </is>
      </c>
      <c r="B141" s="68" t="n"/>
      <c r="C141" s="46" t="n"/>
      <c r="D141" s="68" t="n"/>
      <c r="E141" s="47" t="n"/>
      <c r="F141" s="47" t="n"/>
      <c r="G141" s="47" t="n"/>
      <c r="H141" s="47" t="n"/>
      <c r="I141" s="47" t="n"/>
      <c r="J141" s="46" t="n"/>
    </row>
    <row r="142" ht="21" customHeight="1">
      <c r="A142" s="52" t="inlineStr">
        <is>
          <t>Implied revenue</t>
        </is>
      </c>
      <c r="B142" s="67" t="n"/>
      <c r="C142" s="46" t="n"/>
      <c r="D142" s="67" t="n"/>
      <c r="E142" s="47" t="n"/>
      <c r="F142" s="47" t="n"/>
      <c r="G142" s="47" t="n"/>
      <c r="H142" s="47" t="n"/>
      <c r="I142" s="47" t="n"/>
      <c r="J142" s="46" t="n"/>
    </row>
    <row r="143" ht="21" customHeight="1">
      <c r="A143" s="53" t="n"/>
      <c r="B143" s="68" t="n"/>
      <c r="C143" s="46" t="n"/>
      <c r="D143" s="68" t="n"/>
      <c r="E143" s="47" t="n"/>
      <c r="F143" s="47" t="n"/>
      <c r="G143" s="47" t="n"/>
      <c r="H143" s="47" t="n"/>
      <c r="I143" s="47" t="n"/>
      <c r="J143" s="46" t="n"/>
    </row>
    <row r="144" ht="21" customHeight="1">
      <c r="A144" s="52" t="n"/>
      <c r="B144" s="67" t="n"/>
      <c r="C144" s="46" t="n"/>
      <c r="D144" s="67" t="n"/>
      <c r="E144" s="47" t="n"/>
      <c r="F144" s="47" t="n"/>
      <c r="G144" s="47" t="n"/>
      <c r="H144" s="47" t="n"/>
      <c r="I144" s="47" t="n"/>
      <c r="J144" s="46" t="n"/>
    </row>
    <row r="145" ht="21" customHeight="1">
      <c r="A145" s="53" t="n"/>
      <c r="B145" s="68" t="n"/>
      <c r="C145" s="46" t="n"/>
      <c r="D145" s="68" t="n"/>
      <c r="E145" s="47" t="n"/>
      <c r="F145" s="47" t="n"/>
      <c r="G145" s="47" t="n"/>
      <c r="H145" s="47" t="n"/>
      <c r="I145" s="47" t="n"/>
      <c r="J145" s="46" t="n"/>
    </row>
    <row r="146" ht="21" customHeight="1">
      <c r="A146" s="52" t="n"/>
      <c r="B146" s="67" t="n"/>
      <c r="C146" s="46" t="n"/>
      <c r="D146" s="67" t="n"/>
      <c r="E146" s="47" t="n"/>
      <c r="F146" s="47" t="n"/>
      <c r="G146" s="47" t="n"/>
      <c r="H146" s="47" t="n"/>
      <c r="I146" s="47" t="n"/>
      <c r="J146" s="46" t="n"/>
    </row>
    <row r="147" ht="21" customHeight="1">
      <c r="A147" s="53" t="n"/>
      <c r="B147" s="68" t="n"/>
      <c r="C147" s="46" t="n"/>
      <c r="D147" s="68" t="n"/>
      <c r="E147" s="47" t="n"/>
      <c r="F147" s="47" t="n"/>
      <c r="G147" s="47" t="n"/>
      <c r="H147" s="47" t="n"/>
      <c r="I147" s="47" t="n"/>
      <c r="J147" s="46" t="n"/>
    </row>
    <row r="148" ht="21" customHeight="1">
      <c r="A148" s="52" t="n"/>
      <c r="B148" s="67" t="n"/>
      <c r="C148" s="46" t="n"/>
      <c r="D148" s="67" t="n"/>
      <c r="E148" s="47" t="n"/>
      <c r="F148" s="47" t="n"/>
      <c r="G148" s="47" t="n"/>
      <c r="H148" s="47" t="n"/>
      <c r="I148" s="47" t="n"/>
      <c r="J148" s="46" t="n"/>
    </row>
    <row r="149" ht="21" customHeight="1">
      <c r="A149" s="53" t="n"/>
      <c r="B149" s="68" t="n"/>
      <c r="C149" s="46" t="n"/>
      <c r="D149" s="68" t="n"/>
      <c r="E149" s="47" t="n"/>
      <c r="F149" s="47" t="n"/>
      <c r="G149" s="47" t="n"/>
      <c r="H149" s="47" t="n"/>
      <c r="I149" s="47" t="n"/>
      <c r="J149" s="46" t="n"/>
    </row>
    <row r="150" ht="21" customHeight="1"/>
    <row r="151" ht="21" customHeight="1">
      <c r="A151" s="254" t="n"/>
      <c r="B151" s="47" t="n"/>
      <c r="C151" s="47" t="n"/>
      <c r="D151" s="47" t="n"/>
      <c r="E151" s="47" t="n"/>
      <c r="F151" s="47" t="n"/>
      <c r="G151" s="47" t="n"/>
      <c r="H151" s="47" t="n"/>
      <c r="I151" s="47" t="n"/>
      <c r="J151" s="47" t="n"/>
      <c r="K151" s="46" t="n"/>
    </row>
    <row r="152" ht="21" customHeight="1">
      <c r="A152" s="296" t="n"/>
      <c r="B152" s="259" t="n"/>
      <c r="C152" s="47" t="n"/>
      <c r="D152" s="47" t="n"/>
      <c r="E152" s="46" t="n"/>
      <c r="F152" s="259" t="n"/>
      <c r="G152" s="47" t="n"/>
      <c r="H152" s="47" t="n"/>
      <c r="I152" s="47" t="n"/>
      <c r="J152" s="47" t="n"/>
      <c r="K152" s="46" t="n"/>
    </row>
    <row r="153" ht="21" customHeight="1">
      <c r="A153" s="52" t="n"/>
      <c r="B153" s="67" t="n"/>
      <c r="C153" s="47" t="n"/>
      <c r="D153" s="47" t="n"/>
      <c r="E153" s="46" t="n"/>
      <c r="F153" s="67" t="n"/>
      <c r="G153" s="47" t="n"/>
      <c r="H153" s="47" t="n"/>
      <c r="I153" s="47" t="n"/>
      <c r="J153" s="47" t="n"/>
      <c r="K153" s="46" t="n"/>
    </row>
    <row r="154" ht="21" customHeight="1">
      <c r="A154" s="53" t="n"/>
      <c r="B154" s="68" t="n"/>
      <c r="C154" s="47" t="n"/>
      <c r="D154" s="47" t="n"/>
      <c r="E154" s="46" t="n"/>
      <c r="F154" s="68" t="n"/>
      <c r="G154" s="47" t="n"/>
      <c r="H154" s="47" t="n"/>
      <c r="I154" s="47" t="n"/>
      <c r="J154" s="47" t="n"/>
      <c r="K154" s="46" t="n"/>
    </row>
    <row r="155" ht="21" customHeight="1">
      <c r="A155" s="52" t="n"/>
      <c r="B155" s="67" t="n"/>
      <c r="C155" s="47" t="n"/>
      <c r="D155" s="47" t="n"/>
      <c r="E155" s="46" t="n"/>
      <c r="F155" s="67" t="n"/>
      <c r="G155" s="47" t="n"/>
      <c r="H155" s="47" t="n"/>
      <c r="I155" s="47" t="n"/>
      <c r="J155" s="47" t="n"/>
      <c r="K155" s="46" t="n"/>
    </row>
    <row r="156" ht="21" customHeight="1">
      <c r="A156" s="53" t="n"/>
      <c r="B156" s="68" t="n"/>
      <c r="C156" s="47" t="n"/>
      <c r="D156" s="47" t="n"/>
      <c r="E156" s="46" t="n"/>
      <c r="F156" s="68" t="n"/>
      <c r="G156" s="47" t="n"/>
      <c r="H156" s="47" t="n"/>
      <c r="I156" s="47" t="n"/>
      <c r="J156" s="47" t="n"/>
      <c r="K156" s="46" t="n"/>
    </row>
    <row r="157" ht="21" customHeight="1">
      <c r="A157" s="52" t="n"/>
      <c r="B157" s="67" t="n"/>
      <c r="C157" s="47" t="n"/>
      <c r="D157" s="47" t="n"/>
      <c r="E157" s="46" t="n"/>
      <c r="F157" s="67" t="n"/>
      <c r="G157" s="47" t="n"/>
      <c r="H157" s="47" t="n"/>
      <c r="I157" s="47" t="n"/>
      <c r="J157" s="47" t="n"/>
      <c r="K157" s="46" t="n"/>
    </row>
    <row r="158" ht="21" customHeight="1"/>
    <row r="159" ht="21" customHeight="1">
      <c r="A159" s="254" t="inlineStr">
        <is>
          <t>P/E Sensitivity ($/share)</t>
        </is>
      </c>
      <c r="B159" s="47" t="n"/>
      <c r="C159" s="47" t="n"/>
      <c r="D159" s="47" t="n"/>
      <c r="E159" s="47" t="n"/>
      <c r="F159" s="47" t="n"/>
      <c r="G159" s="47" t="n"/>
      <c r="H159" s="47" t="n"/>
      <c r="I159" s="47" t="n"/>
      <c r="J159" s="46" t="n"/>
    </row>
    <row r="160" ht="21" customHeight="1">
      <c r="A160" s="296" t="inlineStr">
        <is>
          <t>EPS / P-E multiple</t>
        </is>
      </c>
      <c r="B160" s="525" t="n"/>
      <c r="C160" s="525" t="n"/>
      <c r="D160" s="525" t="n"/>
      <c r="E160" s="296" t="n"/>
      <c r="F160" s="296" t="n"/>
      <c r="G160" s="296" t="n"/>
      <c r="H160" s="296" t="n"/>
      <c r="I160" s="296" t="n"/>
      <c r="J160" s="296" t="n"/>
    </row>
    <row r="161" ht="21" customHeight="1">
      <c r="A161" s="541" t="n"/>
      <c r="B161" s="459">
        <f>IF(OR($A161="",B$160=""),"",$A161*B$160)</f>
        <v/>
      </c>
      <c r="C161" s="459">
        <f>IF(OR($A161="",C$160=""),"",$A161*C$160)</f>
        <v/>
      </c>
      <c r="D161" s="459">
        <f>IF(OR($A161="",D$160=""),"",$A161*D$160)</f>
        <v/>
      </c>
      <c r="E161" s="353" t="n"/>
      <c r="F161" s="52" t="n"/>
      <c r="G161" s="52" t="n"/>
      <c r="H161" s="52" t="n"/>
      <c r="I161" s="52" t="n"/>
      <c r="J161" s="52" t="n"/>
    </row>
    <row r="162" ht="21" customHeight="1">
      <c r="A162" s="542" t="n"/>
      <c r="B162" s="458">
        <f>IF(OR($A162="",B$160=""),"",$A162*B$160)</f>
        <v/>
      </c>
      <c r="C162" s="458">
        <f>IF(OR($A162="",C$160=""),"",$A162*C$160)</f>
        <v/>
      </c>
      <c r="D162" s="458">
        <f>IF(OR($A162="",D$160=""),"",$A162*D$160)</f>
        <v/>
      </c>
      <c r="E162" s="358" t="n"/>
      <c r="F162" s="53" t="n"/>
      <c r="G162" s="53" t="n"/>
      <c r="H162" s="53" t="n"/>
      <c r="I162" s="53" t="n"/>
      <c r="J162" s="53" t="n"/>
    </row>
    <row r="163" ht="21" customHeight="1">
      <c r="A163" s="541" t="n"/>
      <c r="B163" s="459">
        <f>IF(OR($A163="",B$160=""),"",$A163*B$160)</f>
        <v/>
      </c>
      <c r="C163" s="459">
        <f>IF(OR($A163="",C$160=""),"",$A163*C$160)</f>
        <v/>
      </c>
      <c r="D163" s="459">
        <f>IF(OR($A163="",D$160=""),"",$A163*D$160)</f>
        <v/>
      </c>
      <c r="E163" s="353" t="n"/>
      <c r="F163" s="52" t="n"/>
      <c r="G163" s="52" t="n"/>
      <c r="H163" s="52" t="n"/>
      <c r="I163" s="52" t="n"/>
      <c r="J163" s="52" t="n"/>
    </row>
    <row r="164" ht="21" customHeight="1"/>
    <row r="165" ht="21" customHeight="1">
      <c r="A165" s="296" t="n"/>
      <c r="B165" s="296" t="n"/>
      <c r="C165" s="296" t="n"/>
      <c r="D165" s="296" t="n"/>
      <c r="E165" s="296" t="n"/>
      <c r="F165" s="296" t="n"/>
      <c r="G165" s="296" t="n"/>
      <c r="H165" s="296" t="n"/>
      <c r="I165" s="296" t="n"/>
      <c r="J165" s="296" t="n"/>
    </row>
    <row r="166" ht="21" customHeight="1">
      <c r="A166" s="52" t="n"/>
      <c r="B166" s="353" t="n"/>
      <c r="C166" s="411" t="n"/>
      <c r="D166" s="353" t="n"/>
      <c r="E166" s="52" t="n"/>
      <c r="F166" s="52" t="n"/>
      <c r="G166" s="52" t="n"/>
      <c r="H166" s="52" t="n"/>
      <c r="I166" s="52" t="n"/>
      <c r="J166" s="52" t="n"/>
    </row>
    <row r="167" ht="21" customHeight="1">
      <c r="A167" s="53" t="n"/>
      <c r="B167" s="358" t="n"/>
      <c r="C167" s="413" t="n"/>
      <c r="D167" s="358" t="n"/>
      <c r="E167" s="53" t="n"/>
      <c r="F167" s="53" t="n"/>
      <c r="G167" s="53" t="n"/>
      <c r="H167" s="53" t="n"/>
      <c r="I167" s="53" t="n"/>
      <c r="J167" s="53" t="n"/>
    </row>
    <row r="168" ht="21" customHeight="1">
      <c r="A168" s="52" t="n"/>
      <c r="B168" s="353" t="n"/>
      <c r="C168" s="411" t="n"/>
      <c r="D168" s="353" t="n"/>
      <c r="E168" s="52" t="n"/>
      <c r="F168" s="52" t="n"/>
      <c r="G168" s="52" t="n"/>
      <c r="H168" s="52" t="n"/>
      <c r="I168" s="52" t="n"/>
      <c r="J168" s="52" t="n"/>
    </row>
    <row r="169" ht="21" customHeight="1"/>
    <row r="170" ht="21" customHeight="1">
      <c r="A170" s="254" t="inlineStr">
        <is>
          <t>EV/Adjusted EBITDA Sensitivity ($/share)</t>
        </is>
      </c>
      <c r="B170" s="47" t="n"/>
      <c r="C170" s="47" t="n"/>
      <c r="D170" s="47" t="n"/>
      <c r="E170" s="47" t="n"/>
      <c r="F170" s="47" t="n"/>
      <c r="G170" s="47" t="n"/>
      <c r="H170" s="47" t="n"/>
      <c r="I170" s="47" t="n"/>
      <c r="J170" s="46" t="n"/>
    </row>
    <row r="171" ht="21" customHeight="1">
      <c r="A171" s="296" t="inlineStr">
        <is>
          <t>Adjusted EBITDA / multiple</t>
        </is>
      </c>
      <c r="B171" s="525" t="n"/>
      <c r="C171" s="525" t="n"/>
      <c r="D171" s="525" t="n"/>
      <c r="E171" s="259" t="n"/>
      <c r="F171" s="47" t="n"/>
      <c r="G171" s="47" t="n"/>
      <c r="H171" s="47" t="n"/>
      <c r="I171" s="47" t="n"/>
      <c r="J171" s="46" t="n"/>
    </row>
    <row r="172" ht="21" customHeight="1">
      <c r="A172" s="517" t="n"/>
      <c r="B172" s="459">
        <f>IF(OR($A172="",B$171="",NetDebt="",IF(PerShareMode="Outstanding",Shares,IF(PerShareMode="Diluted",SharesDiluted,""))="",IF(PerShareMode="Outstanding",Shares,IF(PerShareMode="Diluted",SharesDiluted,""))&lt;=0),"",($A172*B$171-NetDebt)/IF(PerShareMode="Outstanding",Shares,IF(PerShareMode="Diluted",SharesDiluted,"")))</f>
        <v/>
      </c>
      <c r="C172" s="459">
        <f>IF(OR($A172="",C$171="",NetDebt="",IF(PerShareMode="Outstanding",Shares,IF(PerShareMode="Diluted",SharesDiluted,""))="",IF(PerShareMode="Outstanding",Shares,IF(PerShareMode="Diluted",SharesDiluted,""))&lt;=0),"",($A172*C$171-NetDebt)/IF(PerShareMode="Outstanding",Shares,IF(PerShareMode="Diluted",SharesDiluted,"")))</f>
        <v/>
      </c>
      <c r="D172" s="459">
        <f>IF(OR($A172="",D$171="",NetDebt="",IF(PerShareMode="Outstanding",Shares,IF(PerShareMode="Diluted",SharesDiluted,""))="",IF(PerShareMode="Outstanding",Shares,IF(PerShareMode="Diluted",SharesDiluted,""))&lt;=0),"",($A172*D$171-NetDebt)/IF(PerShareMode="Outstanding",Shares,IF(PerShareMode="Diluted",SharesDiluted,"")))</f>
        <v/>
      </c>
      <c r="E172" s="67" t="n"/>
      <c r="F172" s="47" t="n"/>
      <c r="G172" s="47" t="n"/>
      <c r="H172" s="47" t="n"/>
      <c r="I172" s="47" t="n"/>
      <c r="J172" s="46" t="n"/>
    </row>
    <row r="173" ht="21" customHeight="1">
      <c r="A173" s="518" t="n"/>
      <c r="B173" s="458">
        <f>IF(OR($A173="",B$171="",NetDebt="",IF(PerShareMode="Outstanding",Shares,IF(PerShareMode="Diluted",SharesDiluted,""))="",IF(PerShareMode="Outstanding",Shares,IF(PerShareMode="Diluted",SharesDiluted,""))&lt;=0),"",($A173*B$171-NetDebt)/IF(PerShareMode="Outstanding",Shares,IF(PerShareMode="Diluted",SharesDiluted,"")))</f>
        <v/>
      </c>
      <c r="C173" s="458">
        <f>IF(OR($A173="",C$171="",NetDebt="",IF(PerShareMode="Outstanding",Shares,IF(PerShareMode="Diluted",SharesDiluted,""))="",IF(PerShareMode="Outstanding",Shares,IF(PerShareMode="Diluted",SharesDiluted,""))&lt;=0),"",($A173*C$171-NetDebt)/IF(PerShareMode="Outstanding",Shares,IF(PerShareMode="Diluted",SharesDiluted,"")))</f>
        <v/>
      </c>
      <c r="D173" s="458">
        <f>IF(OR($A173="",D$171="",NetDebt="",IF(PerShareMode="Outstanding",Shares,IF(PerShareMode="Diluted",SharesDiluted,""))="",IF(PerShareMode="Outstanding",Shares,IF(PerShareMode="Diluted",SharesDiluted,""))&lt;=0),"",($A173*D$171-NetDebt)/IF(PerShareMode="Outstanding",Shares,IF(PerShareMode="Diluted",SharesDiluted,"")))</f>
        <v/>
      </c>
      <c r="E173" s="68" t="n"/>
      <c r="F173" s="47" t="n"/>
      <c r="G173" s="47" t="n"/>
      <c r="H173" s="47" t="n"/>
      <c r="I173" s="47" t="n"/>
      <c r="J173" s="46" t="n"/>
    </row>
    <row r="174" ht="21" customHeight="1">
      <c r="A174" s="517" t="n"/>
      <c r="B174" s="459">
        <f>IF(OR($A174="",B$171="",NetDebt="",IF(PerShareMode="Outstanding",Shares,IF(PerShareMode="Diluted",SharesDiluted,""))="",IF(PerShareMode="Outstanding",Shares,IF(PerShareMode="Diluted",SharesDiluted,""))&lt;=0),"",($A174*B$171-NetDebt)/IF(PerShareMode="Outstanding",Shares,IF(PerShareMode="Diluted",SharesDiluted,"")))</f>
        <v/>
      </c>
      <c r="C174" s="459">
        <f>IF(OR($A174="",C$171="",NetDebt="",IF(PerShareMode="Outstanding",Shares,IF(PerShareMode="Diluted",SharesDiluted,""))="",IF(PerShareMode="Outstanding",Shares,IF(PerShareMode="Diluted",SharesDiluted,""))&lt;=0),"",($A174*C$171-NetDebt)/IF(PerShareMode="Outstanding",Shares,IF(PerShareMode="Diluted",SharesDiluted,"")))</f>
        <v/>
      </c>
      <c r="D174" s="459">
        <f>IF(OR($A174="",D$171="",NetDebt="",IF(PerShareMode="Outstanding",Shares,IF(PerShareMode="Diluted",SharesDiluted,""))="",IF(PerShareMode="Outstanding",Shares,IF(PerShareMode="Diluted",SharesDiluted,""))&lt;=0),"",($A174*D$171-NetDebt)/IF(PerShareMode="Outstanding",Shares,IF(PerShareMode="Diluted",SharesDiluted,"")))</f>
        <v/>
      </c>
      <c r="E174" s="67" t="n"/>
      <c r="F174" s="47" t="n"/>
      <c r="G174" s="47" t="n"/>
      <c r="H174" s="47" t="n"/>
      <c r="I174" s="47" t="n"/>
      <c r="J174" s="46" t="n"/>
    </row>
    <row r="175" ht="21" customHeight="1"/>
    <row r="176" ht="21" customHeight="1">
      <c r="A176" s="254" t="inlineStr">
        <is>
          <t>FCF Yield Sensitivity ($/share)</t>
        </is>
      </c>
      <c r="B176" s="47" t="n"/>
      <c r="C176" s="47" t="n"/>
      <c r="D176" s="47" t="n"/>
      <c r="E176" s="47" t="n"/>
      <c r="F176" s="47" t="n"/>
      <c r="G176" s="47" t="n"/>
      <c r="H176" s="47" t="n"/>
      <c r="I176" s="47" t="n"/>
      <c r="J176" s="46" t="n"/>
    </row>
    <row r="177" ht="21" customHeight="1">
      <c r="A177" s="296" t="inlineStr">
        <is>
          <t>FCF / yield</t>
        </is>
      </c>
      <c r="B177" s="525" t="n"/>
      <c r="C177" s="525" t="n"/>
      <c r="D177" s="543" t="n"/>
    </row>
    <row r="178" ht="21" customHeight="1">
      <c r="A178" s="519" t="n"/>
      <c r="B178" s="459">
        <f>IF(OR($A178="",B$177="",B$177&lt;=0,IF(PerShareMode="Outstanding",Shares,IF(PerShareMode="Diluted",SharesDiluted,""))="",IF(PerShareMode="Outstanding",Shares,IF(PerShareMode="Diluted",SharesDiluted,""))&lt;=0),"",$A178/B$177/IF(PerShareMode="Outstanding",Shares,IF(PerShareMode="Diluted",SharesDiluted,"")))</f>
        <v/>
      </c>
      <c r="C178" s="459">
        <f>IF(OR($A178="",C$177="",C$177&lt;=0,IF(PerShareMode="Outstanding",Shares,IF(PerShareMode="Diluted",SharesDiluted,""))="",IF(PerShareMode="Outstanding",Shares,IF(PerShareMode="Diluted",SharesDiluted,""))&lt;=0),"",$A178/C$177/IF(PerShareMode="Outstanding",Shares,IF(PerShareMode="Diluted",SharesDiluted,"")))</f>
        <v/>
      </c>
      <c r="D178" s="533">
        <f>IF(OR($A178="",D$177="",D$177&lt;=0,IF(PerShareMode="Outstanding",Shares,IF(PerShareMode="Diluted",SharesDiluted,""))="",IF(PerShareMode="Outstanding",Shares,IF(PerShareMode="Diluted",SharesDiluted,""))&lt;=0),"",$A178/D$177/IF(PerShareMode="Outstanding",Shares,IF(PerShareMode="Diluted",SharesDiluted,"")))</f>
        <v/>
      </c>
    </row>
    <row r="179" ht="21" customHeight="1">
      <c r="A179" s="520" t="n"/>
      <c r="B179" s="458">
        <f>IF(OR($A179="",B$177="",B$177&lt;=0,IF(PerShareMode="Outstanding",Shares,IF(PerShareMode="Diluted",SharesDiluted,""))="",IF(PerShareMode="Outstanding",Shares,IF(PerShareMode="Diluted",SharesDiluted,""))&lt;=0),"",$A179/B$177/IF(PerShareMode="Outstanding",Shares,IF(PerShareMode="Diluted",SharesDiluted,"")))</f>
        <v/>
      </c>
      <c r="C179" s="458">
        <f>IF(OR($A179="",C$177="",C$177&lt;=0,IF(PerShareMode="Outstanding",Shares,IF(PerShareMode="Diluted",SharesDiluted,""))="",IF(PerShareMode="Outstanding",Shares,IF(PerShareMode="Diluted",SharesDiluted,""))&lt;=0),"",$A179/C$177/IF(PerShareMode="Outstanding",Shares,IF(PerShareMode="Diluted",SharesDiluted,"")))</f>
        <v/>
      </c>
      <c r="D179" s="544">
        <f>IF(OR($A179="",D$177="",D$177&lt;=0,IF(PerShareMode="Outstanding",Shares,IF(PerShareMode="Diluted",SharesDiluted,""))="",IF(PerShareMode="Outstanding",Shares,IF(PerShareMode="Diluted",SharesDiluted,""))&lt;=0),"",$A179/D$177/IF(PerShareMode="Outstanding",Shares,IF(PerShareMode="Diluted",SharesDiluted,"")))</f>
        <v/>
      </c>
    </row>
    <row r="180" ht="21" customHeight="1">
      <c r="A180" s="519" t="n"/>
      <c r="B180" s="459">
        <f>IF(OR($A180="",B$177="",B$177&lt;=0,IF(PerShareMode="Outstanding",Shares,IF(PerShareMode="Diluted",SharesDiluted,""))="",IF(PerShareMode="Outstanding",Shares,IF(PerShareMode="Diluted",SharesDiluted,""))&lt;=0),"",$A180/B$177/IF(PerShareMode="Outstanding",Shares,IF(PerShareMode="Diluted",SharesDiluted,"")))</f>
        <v/>
      </c>
      <c r="C180" s="459">
        <f>IF(OR($A180="",C$177="",C$177&lt;=0,IF(PerShareMode="Outstanding",Shares,IF(PerShareMode="Diluted",SharesDiluted,""))="",IF(PerShareMode="Outstanding",Shares,IF(PerShareMode="Diluted",SharesDiluted,""))&lt;=0),"",$A180/C$177/IF(PerShareMode="Outstanding",Shares,IF(PerShareMode="Diluted",SharesDiluted,"")))</f>
        <v/>
      </c>
      <c r="D180" s="533">
        <f>IF(OR($A180="",D$177="",D$177&lt;=0,IF(PerShareMode="Outstanding",Shares,IF(PerShareMode="Diluted",SharesDiluted,""))="",IF(PerShareMode="Outstanding",Shares,IF(PerShareMode="Diluted",SharesDiluted,""))&lt;=0),"",$A180/D$177/IF(PerShareMode="Outstanding",Shares,IF(PerShareMode="Diluted",SharesDiluted,"")))</f>
        <v/>
      </c>
    </row>
    <row r="181" ht="21" customHeight="1"/>
    <row r="182" ht="21" customHeight="1">
      <c r="A182" s="254" t="inlineStr">
        <is>
          <t>Comp Stack / Lapping Risk</t>
        </is>
      </c>
      <c r="B182" s="47" t="n"/>
      <c r="C182" s="47" t="n"/>
      <c r="D182" s="47" t="n"/>
      <c r="E182" s="47" t="n"/>
      <c r="F182" s="47" t="n"/>
      <c r="G182" s="47" t="n"/>
      <c r="H182" s="47" t="n"/>
      <c r="I182" s="47" t="n"/>
      <c r="J182" s="47" t="n"/>
      <c r="K182" s="46" t="n"/>
    </row>
    <row r="183" ht="21" customHeight="1">
      <c r="A183" s="296" t="inlineStr">
        <is>
          <t>Quarter</t>
        </is>
      </c>
      <c r="B183" s="296" t="inlineStr">
        <is>
          <t>Total comp</t>
        </is>
      </c>
      <c r="C183" s="296" t="inlineStr">
        <is>
          <t>2Y stack</t>
        </is>
      </c>
      <c r="D183" s="296" t="n"/>
      <c r="E183" s="296" t="n"/>
      <c r="F183" s="296" t="n"/>
      <c r="G183" s="296" t="n"/>
      <c r="H183" s="296" t="n"/>
      <c r="I183" s="259" t="inlineStr">
        <is>
          <t>Read</t>
        </is>
      </c>
      <c r="J183" s="47" t="n"/>
      <c r="K183" s="46" t="n"/>
    </row>
    <row r="184" ht="21" customHeight="1">
      <c r="A184" s="52" t="n"/>
      <c r="B184" s="52" t="inlineStr">
        <is>
          <t>+22%</t>
        </is>
      </c>
      <c r="C184" s="52" t="inlineStr">
        <is>
          <t>+25%</t>
        </is>
      </c>
      <c r="D184" s="52" t="inlineStr">
        <is>
          <t>+29%</t>
        </is>
      </c>
      <c r="E184" s="52" t="inlineStr">
        <is>
          <t>+13%</t>
        </is>
      </c>
      <c r="F184" s="52" t="inlineStr">
        <is>
          <t>+23%</t>
        </is>
      </c>
      <c r="G184" s="52" t="inlineStr">
        <is>
          <t>+19%</t>
        </is>
      </c>
      <c r="H184" s="52" t="inlineStr">
        <is>
          <t>+10%</t>
        </is>
      </c>
      <c r="I184" s="67" t="inlineStr">
        <is>
          <t>Strong two-year stack; watch lapping risk.</t>
        </is>
      </c>
      <c r="J184" s="47" t="n"/>
      <c r="K184" s="46" t="n"/>
    </row>
    <row r="185" ht="21" customHeight="1">
      <c r="A185" s="53" t="n"/>
      <c r="B185" s="53" t="n"/>
      <c r="C185" s="53" t="n"/>
      <c r="D185" s="53" t="n"/>
      <c r="E185" s="53" t="n"/>
      <c r="F185" s="53" t="n"/>
      <c r="G185" s="53" t="n"/>
      <c r="H185" s="53" t="n"/>
      <c r="I185" s="68" t="n"/>
      <c r="J185" s="47" t="n"/>
      <c r="K185" s="46" t="n"/>
    </row>
    <row r="186" ht="21" customHeight="1">
      <c r="A186" s="52" t="n"/>
      <c r="B186" s="52" t="n"/>
      <c r="C186" s="52" t="n"/>
      <c r="D186" s="52" t="n"/>
      <c r="E186" s="52" t="n"/>
      <c r="F186" s="52" t="n"/>
      <c r="G186" s="52" t="n"/>
      <c r="H186" s="52" t="n"/>
      <c r="I186" s="67" t="n"/>
      <c r="J186" s="47" t="n"/>
      <c r="K186" s="46" t="n"/>
    </row>
    <row r="187" ht="21" customHeight="1">
      <c r="A187" s="53" t="n"/>
      <c r="B187" s="53" t="n"/>
      <c r="C187" s="53" t="n"/>
      <c r="D187" s="53" t="n"/>
      <c r="E187" s="53" t="n"/>
      <c r="F187" s="53" t="n"/>
      <c r="G187" s="53" t="n"/>
      <c r="H187" s="53" t="n"/>
      <c r="I187" s="68" t="n"/>
      <c r="J187" s="47" t="n"/>
      <c r="K187" s="46" t="n"/>
    </row>
    <row r="188" ht="21" customHeight="1">
      <c r="A188" s="52" t="n"/>
      <c r="B188" s="52" t="n"/>
      <c r="C188" s="52" t="n"/>
      <c r="D188" s="52" t="n"/>
      <c r="E188" s="52" t="n"/>
      <c r="F188" s="52" t="n"/>
      <c r="G188" s="52" t="n"/>
      <c r="H188" s="52" t="n"/>
      <c r="I188" s="67" t="n"/>
      <c r="J188" s="47" t="n"/>
      <c r="K188" s="46" t="n"/>
    </row>
    <row r="189" ht="21" customHeight="1">
      <c r="A189" s="53" t="n"/>
      <c r="B189" s="53" t="n"/>
      <c r="C189" s="53" t="n"/>
      <c r="D189" s="53" t="n"/>
      <c r="E189" s="53" t="n"/>
      <c r="F189" s="53" t="n"/>
      <c r="G189" s="53" t="n"/>
      <c r="H189" s="53" t="n"/>
      <c r="I189" s="68" t="n"/>
      <c r="J189" s="47" t="n"/>
      <c r="K189" s="46" t="n"/>
    </row>
    <row r="190" ht="21" customHeight="1">
      <c r="A190" s="52" t="n"/>
      <c r="B190" s="52" t="n"/>
      <c r="C190" s="52" t="n"/>
      <c r="D190" s="52" t="n"/>
      <c r="E190" s="52" t="n"/>
      <c r="F190" s="52" t="n"/>
      <c r="G190" s="52" t="n"/>
      <c r="H190" s="52" t="n"/>
      <c r="I190" s="67" t="n"/>
      <c r="J190" s="47" t="n"/>
      <c r="K190" s="46" t="n"/>
    </row>
    <row r="191" ht="21" customHeight="1">
      <c r="A191" s="53" t="n"/>
      <c r="B191" s="53" t="n"/>
      <c r="C191" s="53" t="n"/>
      <c r="D191" s="53" t="n"/>
      <c r="E191" s="53" t="n"/>
      <c r="F191" s="53" t="n"/>
      <c r="G191" s="53" t="n"/>
      <c r="H191" s="53" t="n"/>
      <c r="I191" s="68" t="n"/>
      <c r="J191" s="47" t="n"/>
      <c r="K191" s="46" t="n"/>
    </row>
    <row r="192" ht="21" customHeight="1"/>
    <row r="193" ht="21" customHeight="1">
      <c r="A193" s="254" t="inlineStr">
        <is>
          <t>Business Health</t>
        </is>
      </c>
      <c r="B193" s="47" t="n"/>
      <c r="C193" s="47" t="n"/>
      <c r="D193" s="47" t="n"/>
      <c r="E193" s="47" t="n"/>
      <c r="F193" s="47" t="n"/>
      <c r="G193" s="47" t="n"/>
      <c r="H193" s="47" t="n"/>
      <c r="I193" s="47" t="n"/>
      <c r="J193" s="46" t="n"/>
    </row>
    <row r="194" ht="21" customHeight="1">
      <c r="A194" s="296" t="inlineStr">
        <is>
          <t>Metric</t>
        </is>
      </c>
      <c r="B194" s="296" t="n"/>
      <c r="C194" s="296" t="n"/>
      <c r="D194" s="296" t="n"/>
      <c r="E194" s="296" t="n"/>
      <c r="F194" s="296" t="n"/>
      <c r="G194" s="296" t="n"/>
      <c r="H194" s="296" t="n"/>
      <c r="I194" s="296" t="n"/>
      <c r="J194" s="296" t="n"/>
    </row>
    <row r="195" ht="21" customHeight="1">
      <c r="A195" s="52" t="inlineStr">
        <is>
          <t>Sales</t>
        </is>
      </c>
      <c r="B195" s="52" t="n"/>
      <c r="C195" s="52" t="n"/>
      <c r="D195" s="52" t="n"/>
      <c r="E195" s="52" t="n"/>
      <c r="F195" s="52" t="n"/>
      <c r="G195" s="52" t="n"/>
      <c r="H195" s="52" t="n"/>
      <c r="I195" s="52" t="n"/>
      <c r="J195" s="52" t="n"/>
    </row>
    <row r="196" ht="21" customHeight="1">
      <c r="A196" s="53" t="inlineStr">
        <is>
          <t>Sales growth</t>
        </is>
      </c>
      <c r="B196" s="53" t="n"/>
      <c r="C196" s="53" t="n"/>
      <c r="D196" s="53" t="n"/>
      <c r="E196" s="53" t="n"/>
      <c r="F196" s="53" t="n"/>
      <c r="G196" s="53" t="n"/>
      <c r="H196" s="53" t="n"/>
      <c r="I196" s="53" t="n"/>
      <c r="J196" s="53" t="n"/>
    </row>
    <row r="197" ht="21" customHeight="1">
      <c r="A197" s="52" t="inlineStr">
        <is>
          <t>Current-period sales growth</t>
        </is>
      </c>
      <c r="B197" s="52" t="n"/>
      <c r="C197" s="52" t="n"/>
      <c r="D197" s="52" t="n"/>
      <c r="E197" s="52" t="n"/>
      <c r="F197" s="52" t="n"/>
      <c r="G197" s="52" t="n"/>
      <c r="H197" s="52" t="n"/>
      <c r="I197" s="52" t="n"/>
      <c r="J197" s="52" t="n"/>
    </row>
    <row r="198" ht="21" customHeight="1">
      <c r="A198" s="53" t="n"/>
      <c r="B198" s="53" t="n"/>
      <c r="C198" s="53" t="n"/>
      <c r="D198" s="53" t="n"/>
      <c r="E198" s="53" t="n"/>
      <c r="F198" s="53" t="n"/>
      <c r="G198" s="53" t="n"/>
      <c r="H198" s="53" t="n"/>
      <c r="I198" s="53" t="n"/>
      <c r="J198" s="53" t="n"/>
    </row>
    <row r="199" ht="21" customHeight="1">
      <c r="A199" s="256" t="inlineStr">
        <is>
          <t>Interpretation</t>
        </is>
      </c>
      <c r="B199" s="257" t="n"/>
      <c r="C199" s="47" t="n"/>
      <c r="D199" s="47" t="n"/>
      <c r="E199" s="47" t="n"/>
      <c r="F199" s="47" t="n"/>
      <c r="G199" s="47" t="n"/>
      <c r="H199" s="47" t="n"/>
      <c r="I199" s="47" t="n"/>
      <c r="J199" s="46" t="n"/>
    </row>
    <row r="200" ht="21" customHeight="1"/>
    <row r="201" ht="21" customHeight="1">
      <c r="A201" s="254" t="inlineStr">
        <is>
          <t>Inventory / Working-Capital Risk</t>
        </is>
      </c>
      <c r="B201" s="47" t="n"/>
      <c r="C201" s="47" t="n"/>
      <c r="D201" s="47" t="n"/>
      <c r="E201" s="47" t="n"/>
      <c r="F201" s="47" t="n"/>
      <c r="G201" s="47" t="n"/>
      <c r="H201" s="47" t="n"/>
      <c r="I201" s="47" t="n"/>
      <c r="J201" s="46" t="n"/>
    </row>
    <row r="202" ht="21" customHeight="1">
      <c r="A202" s="296" t="inlineStr">
        <is>
          <t>Metric</t>
        </is>
      </c>
      <c r="B202" s="296" t="n"/>
      <c r="C202" s="259" t="n"/>
      <c r="D202" s="47" t="n"/>
      <c r="E202" s="47" t="n"/>
      <c r="F202" s="47" t="n"/>
      <c r="G202" s="47" t="n"/>
      <c r="H202" s="47" t="n"/>
      <c r="I202" s="47" t="n"/>
      <c r="J202" s="46" t="n"/>
    </row>
    <row r="203" ht="21" customHeight="1">
      <c r="A203" s="52" t="inlineStr">
        <is>
          <t>Inventory growth</t>
        </is>
      </c>
      <c r="B203" s="52" t="n"/>
      <c r="C203" s="67" t="n"/>
      <c r="D203" s="47" t="n"/>
      <c r="E203" s="47" t="n"/>
      <c r="F203" s="47" t="n"/>
      <c r="G203" s="47" t="n"/>
      <c r="H203" s="47" t="n"/>
      <c r="I203" s="47" t="n"/>
      <c r="J203" s="46" t="n"/>
    </row>
    <row r="204" ht="21" customHeight="1">
      <c r="A204" s="53" t="inlineStr">
        <is>
          <t>Sales growth</t>
        </is>
      </c>
      <c r="B204" s="53" t="n"/>
      <c r="C204" s="68" t="n"/>
      <c r="D204" s="47" t="n"/>
      <c r="E204" s="47" t="n"/>
      <c r="F204" s="47" t="n"/>
      <c r="G204" s="47" t="n"/>
      <c r="H204" s="47" t="n"/>
      <c r="I204" s="47" t="n"/>
      <c r="J204" s="46" t="n"/>
    </row>
    <row r="205" ht="21" customHeight="1">
      <c r="A205" s="52" t="n"/>
      <c r="B205" s="52" t="n"/>
      <c r="C205" s="67" t="n"/>
      <c r="D205" s="47" t="n"/>
      <c r="E205" s="47" t="n"/>
      <c r="F205" s="47" t="n"/>
      <c r="G205" s="47" t="n"/>
      <c r="H205" s="47" t="n"/>
      <c r="I205" s="47" t="n"/>
      <c r="J205" s="46" t="n"/>
    </row>
    <row r="206" ht="21" customHeight="1">
      <c r="A206" s="53" t="inlineStr">
        <is>
          <t>Inventory unit growth</t>
        </is>
      </c>
      <c r="B206" s="53" t="n"/>
      <c r="C206" s="68" t="n"/>
      <c r="D206" s="47" t="n"/>
      <c r="E206" s="47" t="n"/>
      <c r="F206" s="47" t="n"/>
      <c r="G206" s="47" t="n"/>
      <c r="H206" s="47" t="n"/>
      <c r="I206" s="47" t="n"/>
      <c r="J206" s="46" t="n"/>
    </row>
    <row r="207" ht="21" customHeight="1">
      <c r="A207" s="52" t="n"/>
      <c r="B207" s="52" t="n"/>
      <c r="C207" s="67" t="n"/>
      <c r="D207" s="47" t="n"/>
      <c r="E207" s="47" t="n"/>
      <c r="F207" s="47" t="n"/>
      <c r="G207" s="47" t="n"/>
      <c r="H207" s="47" t="n"/>
      <c r="I207" s="47" t="n"/>
      <c r="J207" s="46" t="n"/>
    </row>
    <row r="208" ht="21" customHeight="1">
      <c r="A208" s="53" t="n"/>
      <c r="B208" s="53" t="n"/>
      <c r="C208" s="68" t="n"/>
      <c r="D208" s="47" t="n"/>
      <c r="E208" s="47" t="n"/>
      <c r="F208" s="47" t="n"/>
      <c r="G208" s="47" t="n"/>
      <c r="H208" s="47" t="n"/>
      <c r="I208" s="47" t="n"/>
      <c r="J208" s="46" t="n"/>
    </row>
    <row r="209" ht="21" customHeight="1">
      <c r="A209" s="256" t="inlineStr">
        <is>
          <t>Conclusion</t>
        </is>
      </c>
      <c r="B209" s="257" t="n"/>
      <c r="C209" s="47" t="n"/>
      <c r="D209" s="47" t="n"/>
      <c r="E209" s="47" t="n"/>
      <c r="F209" s="47" t="n"/>
      <c r="G209" s="47" t="n"/>
      <c r="H209" s="47" t="n"/>
      <c r="I209" s="47" t="n"/>
      <c r="J209" s="46" t="n"/>
    </row>
    <row r="210" ht="21" customHeight="1"/>
    <row r="211" ht="21" customHeight="1">
      <c r="A211" s="254" t="inlineStr">
        <is>
          <t>Asset Productivity / Capacity Returns</t>
        </is>
      </c>
      <c r="B211" s="47" t="n"/>
      <c r="C211" s="47" t="n"/>
      <c r="D211" s="47" t="n"/>
      <c r="E211" s="47" t="n"/>
      <c r="F211" s="47" t="n"/>
      <c r="G211" s="47" t="n"/>
      <c r="H211" s="47" t="n"/>
      <c r="I211" s="47" t="n"/>
      <c r="J211" s="46" t="n"/>
    </row>
    <row r="212" ht="21" customHeight="1">
      <c r="A212" s="296" t="inlineStr">
        <is>
          <t>Metric</t>
        </is>
      </c>
      <c r="B212" s="259" t="n"/>
      <c r="C212" s="47" t="n"/>
      <c r="D212" s="47" t="n"/>
      <c r="E212" s="46" t="n"/>
      <c r="F212" s="259" t="n"/>
      <c r="G212" s="47" t="n"/>
      <c r="H212" s="47" t="n"/>
      <c r="I212" s="47" t="n"/>
      <c r="J212" s="46" t="n"/>
    </row>
    <row r="213" ht="21" customHeight="1">
      <c r="A213" s="52" t="n"/>
      <c r="B213" s="67" t="n"/>
      <c r="C213" s="47" t="n"/>
      <c r="D213" s="47" t="n"/>
      <c r="E213" s="46" t="n"/>
      <c r="F213" s="67" t="n"/>
      <c r="G213" s="47" t="n"/>
      <c r="H213" s="47" t="n"/>
      <c r="I213" s="47" t="n"/>
      <c r="J213" s="46" t="n"/>
    </row>
    <row r="214" ht="21" customHeight="1">
      <c r="A214" s="53" t="n"/>
      <c r="B214" s="68" t="n"/>
      <c r="C214" s="47" t="n"/>
      <c r="D214" s="47" t="n"/>
      <c r="E214" s="46" t="n"/>
      <c r="F214" s="68" t="n"/>
      <c r="G214" s="47" t="n"/>
      <c r="H214" s="47" t="n"/>
      <c r="I214" s="47" t="n"/>
      <c r="J214" s="46" t="n"/>
    </row>
    <row r="215" ht="21" customHeight="1">
      <c r="A215" s="52" t="n"/>
      <c r="B215" s="67" t="n"/>
      <c r="C215" s="47" t="n"/>
      <c r="D215" s="47" t="n"/>
      <c r="E215" s="46" t="n"/>
      <c r="F215" s="67" t="n"/>
      <c r="G215" s="47" t="n"/>
      <c r="H215" s="47" t="n"/>
      <c r="I215" s="47" t="n"/>
      <c r="J215" s="46" t="n"/>
    </row>
    <row r="216" ht="21" customHeight="1">
      <c r="A216" s="53" t="n"/>
      <c r="B216" s="68" t="n"/>
      <c r="C216" s="47" t="n"/>
      <c r="D216" s="47" t="n"/>
      <c r="E216" s="46" t="n"/>
      <c r="F216" s="68" t="n"/>
      <c r="G216" s="47" t="n"/>
      <c r="H216" s="47" t="n"/>
      <c r="I216" s="47" t="n"/>
      <c r="J216" s="46" t="n"/>
    </row>
    <row r="217" ht="21" customHeight="1">
      <c r="A217" s="52" t="n"/>
      <c r="B217" s="67" t="n"/>
      <c r="C217" s="47" t="n"/>
      <c r="D217" s="47" t="n"/>
      <c r="E217" s="46" t="n"/>
      <c r="F217" s="67" t="n"/>
      <c r="G217" s="47" t="n"/>
      <c r="H217" s="47" t="n"/>
      <c r="I217" s="47" t="n"/>
      <c r="J217" s="46" t="n"/>
    </row>
    <row r="218" ht="21" customHeight="1">
      <c r="A218" s="53" t="n"/>
      <c r="B218" s="68" t="n"/>
      <c r="C218" s="47" t="n"/>
      <c r="D218" s="47" t="n"/>
      <c r="E218" s="46" t="n"/>
      <c r="F218" s="68" t="n"/>
      <c r="G218" s="47" t="n"/>
      <c r="H218" s="47" t="n"/>
      <c r="I218" s="47" t="n"/>
      <c r="J218" s="46" t="n"/>
    </row>
    <row r="219" ht="21" customHeight="1">
      <c r="A219" s="52" t="n"/>
      <c r="B219" s="67" t="n"/>
      <c r="C219" s="47" t="n"/>
      <c r="D219" s="47" t="n"/>
      <c r="E219" s="46" t="n"/>
      <c r="F219" s="67" t="n"/>
      <c r="G219" s="47" t="n"/>
      <c r="H219" s="47" t="n"/>
      <c r="I219" s="47" t="n"/>
      <c r="J219" s="46" t="n"/>
    </row>
    <row r="220" ht="21" customHeight="1">
      <c r="A220" s="53" t="n"/>
      <c r="B220" s="68" t="n"/>
      <c r="C220" s="47" t="n"/>
      <c r="D220" s="47" t="n"/>
      <c r="E220" s="46" t="n"/>
      <c r="F220" s="68" t="n"/>
      <c r="G220" s="47" t="n"/>
      <c r="H220" s="47" t="n"/>
      <c r="I220" s="47" t="n"/>
      <c r="J220" s="46" t="n"/>
    </row>
    <row r="221" ht="21" customHeight="1">
      <c r="A221" s="52" t="n"/>
      <c r="B221" s="67" t="n"/>
      <c r="C221" s="47" t="n"/>
      <c r="D221" s="47" t="n"/>
      <c r="E221" s="46" t="n"/>
      <c r="F221" s="67" t="n"/>
      <c r="G221" s="47" t="n"/>
      <c r="H221" s="47" t="n"/>
      <c r="I221" s="47" t="n"/>
      <c r="J221" s="46" t="n"/>
    </row>
    <row r="222" ht="21" customHeight="1">
      <c r="A222" s="53" t="inlineStr">
        <is>
          <t>Method note</t>
        </is>
      </c>
      <c r="B222" s="68" t="n"/>
      <c r="C222" s="47" t="n"/>
      <c r="D222" s="47" t="n"/>
      <c r="E222" s="46" t="n"/>
      <c r="F222" s="68" t="n"/>
      <c r="G222" s="47" t="n"/>
      <c r="H222" s="47" t="n"/>
      <c r="I222" s="47" t="n"/>
      <c r="J222" s="46" t="n"/>
    </row>
    <row r="223" ht="21" customHeight="1">
      <c r="A223" s="52" t="n"/>
      <c r="B223" s="67" t="n"/>
      <c r="C223" s="47" t="n"/>
      <c r="D223" s="47" t="n"/>
      <c r="E223" s="46" t="n"/>
      <c r="F223" s="67" t="n"/>
      <c r="G223" s="47" t="n"/>
      <c r="H223" s="47" t="n"/>
      <c r="I223" s="47" t="n"/>
      <c r="J223" s="46" t="n"/>
    </row>
    <row r="224" ht="21" customHeight="1">
      <c r="A224" s="53" t="inlineStr">
        <is>
          <t>Revenue growth vs asset growth</t>
        </is>
      </c>
      <c r="B224" s="68" t="n"/>
      <c r="C224" s="47" t="n"/>
      <c r="D224" s="47" t="n"/>
      <c r="E224" s="46" t="n"/>
      <c r="F224" s="68" t="n"/>
      <c r="G224" s="47" t="n"/>
      <c r="H224" s="47" t="n"/>
      <c r="I224" s="47" t="n"/>
      <c r="J224" s="46" t="n"/>
    </row>
    <row r="225" ht="21" customHeight="1">
      <c r="A225" s="52" t="n"/>
      <c r="B225" s="67" t="n"/>
      <c r="C225" s="47" t="n"/>
      <c r="D225" s="47" t="n"/>
      <c r="E225" s="46" t="n"/>
      <c r="F225" s="67" t="n"/>
      <c r="G225" s="47" t="n"/>
      <c r="H225" s="47" t="n"/>
      <c r="I225" s="47" t="n"/>
      <c r="J225" s="46" t="n"/>
    </row>
    <row r="226" ht="21" customHeight="1"/>
    <row r="227" ht="21" customHeight="1">
      <c r="A227" s="254" t="inlineStr">
        <is>
          <t>Guidance Beat/Miss Setup</t>
        </is>
      </c>
      <c r="B227" s="47" t="n"/>
      <c r="C227" s="47" t="n"/>
      <c r="D227" s="47" t="n"/>
      <c r="E227" s="47" t="n"/>
      <c r="F227" s="47" t="n"/>
      <c r="G227" s="47" t="n"/>
      <c r="H227" s="47" t="n"/>
      <c r="I227" s="47" t="n"/>
      <c r="J227" s="46" t="n"/>
    </row>
    <row r="228" ht="21" customHeight="1">
      <c r="A228" s="296" t="inlineStr">
        <is>
          <t>Metric</t>
        </is>
      </c>
      <c r="B228" s="259" t="n"/>
      <c r="C228" s="46" t="n"/>
      <c r="D228" s="259" t="n"/>
      <c r="E228" s="47" t="n"/>
      <c r="F228" s="47" t="n"/>
      <c r="G228" s="46" t="n"/>
      <c r="H228" s="259" t="n"/>
      <c r="I228" s="47" t="n"/>
      <c r="J228" s="46" t="n"/>
    </row>
    <row r="229" ht="21" customHeight="1">
      <c r="A229" s="52" t="inlineStr">
        <is>
          <t>Sales growth</t>
        </is>
      </c>
      <c r="B229" s="67" t="n"/>
      <c r="C229" s="46" t="n"/>
      <c r="D229" s="67" t="n"/>
      <c r="E229" s="47" t="n"/>
      <c r="F229" s="47" t="n"/>
      <c r="G229" s="46" t="n"/>
      <c r="H229" s="67" t="n"/>
      <c r="I229" s="47" t="n"/>
      <c r="J229" s="46" t="n"/>
    </row>
    <row r="230" ht="21" customHeight="1">
      <c r="A230" s="53" t="inlineStr">
        <is>
          <t>Op margin</t>
        </is>
      </c>
      <c r="B230" s="68" t="n"/>
      <c r="C230" s="46" t="n"/>
      <c r="D230" s="68" t="n"/>
      <c r="E230" s="47" t="n"/>
      <c r="F230" s="47" t="n"/>
      <c r="G230" s="46" t="n"/>
      <c r="H230" s="68" t="n"/>
      <c r="I230" s="47" t="n"/>
      <c r="J230" s="46" t="n"/>
    </row>
    <row r="231" ht="21" customHeight="1">
      <c r="A231" s="52" t="inlineStr">
        <is>
          <t>EPS</t>
        </is>
      </c>
      <c r="B231" s="67" t="n"/>
      <c r="C231" s="46" t="n"/>
      <c r="D231" s="67" t="n"/>
      <c r="E231" s="47" t="n"/>
      <c r="F231" s="47" t="n"/>
      <c r="G231" s="46" t="n"/>
      <c r="H231" s="67" t="n"/>
      <c r="I231" s="47" t="n"/>
      <c r="J231" s="46" t="n"/>
    </row>
    <row r="232" ht="21" customHeight="1">
      <c r="A232" s="53" t="inlineStr">
        <is>
          <t>Buybacks</t>
        </is>
      </c>
      <c r="B232" s="68" t="n"/>
      <c r="C232" s="46" t="n"/>
      <c r="D232" s="68" t="n"/>
      <c r="E232" s="47" t="n"/>
      <c r="F232" s="47" t="n"/>
      <c r="G232" s="46" t="n"/>
      <c r="H232" s="68" t="n"/>
      <c r="I232" s="47" t="n"/>
      <c r="J232" s="46" t="n"/>
    </row>
    <row r="233" ht="21" customHeight="1">
      <c r="A233" s="52" t="inlineStr">
        <is>
          <t>Capex</t>
        </is>
      </c>
      <c r="B233" s="67" t="n"/>
      <c r="C233" s="46" t="n"/>
      <c r="D233" s="67" t="n"/>
      <c r="E233" s="47" t="n"/>
      <c r="F233" s="47" t="n"/>
      <c r="G233" s="46" t="n"/>
      <c r="H233" s="67" t="n"/>
      <c r="I233" s="47" t="n"/>
      <c r="J233" s="46" t="n"/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mergeCells count="270">
    <mergeCell ref="B91:C91"/>
    <mergeCell ref="B217:E217"/>
    <mergeCell ref="F113:K113"/>
    <mergeCell ref="B74:E74"/>
    <mergeCell ref="B101:J101"/>
    <mergeCell ref="F114:K114"/>
    <mergeCell ref="C204:J204"/>
    <mergeCell ref="B141:C141"/>
    <mergeCell ref="F154:K154"/>
    <mergeCell ref="B232:C232"/>
    <mergeCell ref="B115:C115"/>
    <mergeCell ref="B93:C93"/>
    <mergeCell ref="B149:C149"/>
    <mergeCell ref="F124:J124"/>
    <mergeCell ref="H17:J17"/>
    <mergeCell ref="F217:J217"/>
    <mergeCell ref="D231:G231"/>
    <mergeCell ref="B123:E123"/>
    <mergeCell ref="B78:J78"/>
    <mergeCell ref="C206:J206"/>
    <mergeCell ref="B221:E221"/>
    <mergeCell ref="D108:E108"/>
    <mergeCell ref="F156:K156"/>
    <mergeCell ref="H22:J22"/>
    <mergeCell ref="D148:J148"/>
    <mergeCell ref="H19:J19"/>
    <mergeCell ref="C205:J205"/>
    <mergeCell ref="A83:J83"/>
    <mergeCell ref="E61:J61"/>
    <mergeCell ref="C133:J133"/>
    <mergeCell ref="B155:E155"/>
    <mergeCell ref="A138:J138"/>
    <mergeCell ref="F126:J126"/>
    <mergeCell ref="B104:J104"/>
    <mergeCell ref="F117:K117"/>
    <mergeCell ref="B215:E215"/>
    <mergeCell ref="B112:C112"/>
    <mergeCell ref="A119:J119"/>
    <mergeCell ref="C130:J130"/>
    <mergeCell ref="D112:E112"/>
    <mergeCell ref="D140:J140"/>
    <mergeCell ref="D229:G229"/>
    <mergeCell ref="H30:J30"/>
    <mergeCell ref="A69:J69"/>
    <mergeCell ref="A151:K151"/>
    <mergeCell ref="I187:K187"/>
    <mergeCell ref="F56:G56"/>
    <mergeCell ref="H29:J29"/>
    <mergeCell ref="F116:K116"/>
    <mergeCell ref="D114:E114"/>
    <mergeCell ref="I44:J44"/>
    <mergeCell ref="B209:J209"/>
    <mergeCell ref="F92:J92"/>
    <mergeCell ref="I189:K189"/>
    <mergeCell ref="H31:J31"/>
    <mergeCell ref="G74:J74"/>
    <mergeCell ref="H58:J58"/>
    <mergeCell ref="D113:E113"/>
    <mergeCell ref="C208:J208"/>
    <mergeCell ref="F216:J216"/>
    <mergeCell ref="F57:G57"/>
    <mergeCell ref="E171:J171"/>
    <mergeCell ref="C131:J131"/>
    <mergeCell ref="H21:J21"/>
    <mergeCell ref="B11:J11"/>
    <mergeCell ref="H51:J51"/>
    <mergeCell ref="E63:J63"/>
    <mergeCell ref="D115:E115"/>
    <mergeCell ref="A159:J159"/>
    <mergeCell ref="D143:J143"/>
    <mergeCell ref="F218:J218"/>
    <mergeCell ref="E173:J173"/>
    <mergeCell ref="A182:K182"/>
    <mergeCell ref="A4:J4"/>
    <mergeCell ref="E65:J65"/>
    <mergeCell ref="H228:J228"/>
    <mergeCell ref="B140:C140"/>
    <mergeCell ref="F153:K153"/>
    <mergeCell ref="B222:E222"/>
    <mergeCell ref="D142:J142"/>
    <mergeCell ref="A13:J13"/>
    <mergeCell ref="A170:J170"/>
    <mergeCell ref="H16:J16"/>
    <mergeCell ref="B154:E154"/>
    <mergeCell ref="B212:E212"/>
    <mergeCell ref="B103:J103"/>
    <mergeCell ref="A211:J211"/>
    <mergeCell ref="B117:C117"/>
    <mergeCell ref="H57:J57"/>
    <mergeCell ref="D228:G228"/>
    <mergeCell ref="I41:J41"/>
    <mergeCell ref="H27:J27"/>
    <mergeCell ref="G77:J77"/>
    <mergeCell ref="D144:J144"/>
    <mergeCell ref="B231:C231"/>
    <mergeCell ref="A73:J73"/>
    <mergeCell ref="B156:E156"/>
    <mergeCell ref="A201:J201"/>
    <mergeCell ref="H229:J229"/>
    <mergeCell ref="I191:K191"/>
    <mergeCell ref="B6:J6"/>
    <mergeCell ref="A60:J60"/>
    <mergeCell ref="H33:J33"/>
    <mergeCell ref="I43:J43"/>
    <mergeCell ref="B116:C116"/>
    <mergeCell ref="F91:J91"/>
    <mergeCell ref="B223:E223"/>
    <mergeCell ref="F107:K107"/>
    <mergeCell ref="B220:E220"/>
    <mergeCell ref="B230:C230"/>
    <mergeCell ref="B77:E77"/>
    <mergeCell ref="D139:J139"/>
    <mergeCell ref="C207:J207"/>
    <mergeCell ref="F157:K157"/>
    <mergeCell ref="F93:J93"/>
    <mergeCell ref="F220:J220"/>
    <mergeCell ref="H20:J20"/>
    <mergeCell ref="B7:J7"/>
    <mergeCell ref="C135:J135"/>
    <mergeCell ref="H230:J230"/>
    <mergeCell ref="E62:J62"/>
    <mergeCell ref="B81:J81"/>
    <mergeCell ref="B142:C142"/>
    <mergeCell ref="B95:C95"/>
    <mergeCell ref="F108:K108"/>
    <mergeCell ref="F222:J222"/>
    <mergeCell ref="A2:J2"/>
    <mergeCell ref="H232:J232"/>
    <mergeCell ref="E64:J64"/>
    <mergeCell ref="D230:G230"/>
    <mergeCell ref="B144:C144"/>
    <mergeCell ref="D146:J146"/>
    <mergeCell ref="A47:J47"/>
    <mergeCell ref="C136:J136"/>
    <mergeCell ref="H25:J25"/>
    <mergeCell ref="H52:J52"/>
    <mergeCell ref="D232:G232"/>
    <mergeCell ref="I45:J45"/>
    <mergeCell ref="B80:E80"/>
    <mergeCell ref="A72:J72"/>
    <mergeCell ref="B96:C96"/>
    <mergeCell ref="I190:K190"/>
    <mergeCell ref="B228:C228"/>
    <mergeCell ref="H32:J32"/>
    <mergeCell ref="F95:J95"/>
    <mergeCell ref="B99:J99"/>
    <mergeCell ref="B153:E153"/>
    <mergeCell ref="A176:J176"/>
    <mergeCell ref="B224:E224"/>
    <mergeCell ref="B107:C107"/>
    <mergeCell ref="B9:J9"/>
    <mergeCell ref="D107:E107"/>
    <mergeCell ref="I37:J37"/>
    <mergeCell ref="C134:J134"/>
    <mergeCell ref="D116:E116"/>
    <mergeCell ref="F152:K152"/>
    <mergeCell ref="B121:E121"/>
    <mergeCell ref="A98:J98"/>
    <mergeCell ref="B148:C148"/>
    <mergeCell ref="F219:J219"/>
    <mergeCell ref="H15:J15"/>
    <mergeCell ref="B122:E122"/>
    <mergeCell ref="E174:J174"/>
    <mergeCell ref="H24:J24"/>
    <mergeCell ref="B5:J5"/>
    <mergeCell ref="A79:J79"/>
    <mergeCell ref="H18:J18"/>
    <mergeCell ref="A88:J88"/>
    <mergeCell ref="B214:E214"/>
    <mergeCell ref="E66:J66"/>
    <mergeCell ref="B146:C146"/>
    <mergeCell ref="F121:J121"/>
    <mergeCell ref="A227:J227"/>
    <mergeCell ref="B108:C108"/>
    <mergeCell ref="B120:E120"/>
    <mergeCell ref="C132:J132"/>
    <mergeCell ref="H26:J26"/>
    <mergeCell ref="B75:J75"/>
    <mergeCell ref="H53:J53"/>
    <mergeCell ref="C203:J203"/>
    <mergeCell ref="H231:J231"/>
    <mergeCell ref="A90:J90"/>
    <mergeCell ref="A106:K106"/>
    <mergeCell ref="B143:C143"/>
    <mergeCell ref="B92:C92"/>
    <mergeCell ref="D145:J145"/>
    <mergeCell ref="D117:E117"/>
    <mergeCell ref="H50:J50"/>
    <mergeCell ref="B157:E157"/>
    <mergeCell ref="I183:K183"/>
    <mergeCell ref="E67:J67"/>
    <mergeCell ref="B199:J199"/>
    <mergeCell ref="H55:J55"/>
    <mergeCell ref="H34:J34"/>
    <mergeCell ref="B94:C94"/>
    <mergeCell ref="D147:J147"/>
    <mergeCell ref="G80:J80"/>
    <mergeCell ref="B70:J70"/>
    <mergeCell ref="A76:J76"/>
    <mergeCell ref="F123:J123"/>
    <mergeCell ref="I185:K185"/>
    <mergeCell ref="B109:C109"/>
    <mergeCell ref="H49:J49"/>
    <mergeCell ref="D109:E109"/>
    <mergeCell ref="B233:C233"/>
    <mergeCell ref="B61:D61"/>
    <mergeCell ref="F212:J212"/>
    <mergeCell ref="F110:K110"/>
    <mergeCell ref="I184:K184"/>
    <mergeCell ref="F221:J221"/>
    <mergeCell ref="B124:E124"/>
    <mergeCell ref="B8:J8"/>
    <mergeCell ref="D111:E111"/>
    <mergeCell ref="B216:E216"/>
    <mergeCell ref="B213:E213"/>
    <mergeCell ref="I186:K186"/>
    <mergeCell ref="F109:K109"/>
    <mergeCell ref="F214:J214"/>
    <mergeCell ref="F55:G55"/>
    <mergeCell ref="F223:J223"/>
    <mergeCell ref="B126:E126"/>
    <mergeCell ref="B10:J10"/>
    <mergeCell ref="H28:J28"/>
    <mergeCell ref="F115:K115"/>
    <mergeCell ref="H233:J233"/>
    <mergeCell ref="F155:K155"/>
    <mergeCell ref="B111:C111"/>
    <mergeCell ref="B218:E218"/>
    <mergeCell ref="B229:C229"/>
    <mergeCell ref="B145:C145"/>
    <mergeCell ref="F213:J213"/>
    <mergeCell ref="A48:J48"/>
    <mergeCell ref="F94:J94"/>
    <mergeCell ref="F111:K111"/>
    <mergeCell ref="B125:E125"/>
    <mergeCell ref="C202:J202"/>
    <mergeCell ref="C129:J129"/>
    <mergeCell ref="A1:J1"/>
    <mergeCell ref="D233:G233"/>
    <mergeCell ref="B147:C147"/>
    <mergeCell ref="F122:J122"/>
    <mergeCell ref="E172:J172"/>
    <mergeCell ref="D149:J149"/>
    <mergeCell ref="F215:J215"/>
    <mergeCell ref="H14:J14"/>
    <mergeCell ref="F224:J224"/>
    <mergeCell ref="B152:E152"/>
    <mergeCell ref="F125:J125"/>
    <mergeCell ref="H23:J23"/>
    <mergeCell ref="B219:E219"/>
    <mergeCell ref="F58:G58"/>
    <mergeCell ref="A128:J128"/>
    <mergeCell ref="F96:J96"/>
    <mergeCell ref="B100:J100"/>
    <mergeCell ref="F112:K112"/>
    <mergeCell ref="A193:J193"/>
    <mergeCell ref="B225:E225"/>
    <mergeCell ref="D141:J141"/>
    <mergeCell ref="B139:C139"/>
    <mergeCell ref="I38:J38"/>
    <mergeCell ref="B114:C114"/>
    <mergeCell ref="F120:J120"/>
    <mergeCell ref="I188:K188"/>
    <mergeCell ref="B102:J102"/>
    <mergeCell ref="F225:J225"/>
    <mergeCell ref="B110:C110"/>
    <mergeCell ref="H56:J56"/>
    <mergeCell ref="D110:E110"/>
    <mergeCell ref="I40:J40"/>
    <mergeCell ref="B113:C113"/>
  </mergeCells>
  <dataValidations count="19">
    <dataValidation sqref="B23:D23" showDropDown="0" showInputMessage="0" showErrorMessage="1" allowBlank="1" errorTitle="Invalid scenario input" error="Enter a value compatible with the declared scenario contract." type="custom" errorStyle="stop">
      <formula1>=OR(B23="",AND(LEFT(B23,2)="FY",LEN(B23)=6,ISNUMBER(VALUE(RIGHT(B23,4)))))</formula1>
    </dataValidation>
    <dataValidation sqref="B24:D26" showDropDown="0" showInputMessage="0" showErrorMessage="1" allowBlank="1" errorTitle="Invalid scenario input" error="Enter a value compatible with the declared scenario contract." type="decimal" errorStyle="stop" operator="between">
      <formula1>-1</formula1>
      <formula2>1</formula2>
    </dataValidation>
    <dataValidation sqref="B27:D27" showDropDown="0" showInputMessage="0" showErrorMessage="1" allowBlank="1" errorTitle="Invalid scenario input" error="Enter a value compatible with the declared scenario contract." type="custom" errorStyle="stop">
      <formula1>=OR(B27="",ISNUMBER(B27))</formula1>
    </dataValidation>
    <dataValidation sqref="B28:D28" showDropDown="0" showInputMessage="0" showErrorMessage="1" allowBlank="1" errorTitle="Invalid scenario input" error="Enter a value compatible with the declared scenario contract." type="decimal" errorStyle="stop" operator="between">
      <formula1>0</formula1>
      <formula2>1</formula2>
    </dataValidation>
    <dataValidation sqref="B29:D29" showDropDown="0" showInputMessage="0" showErrorMessage="1" allowBlank="1" errorTitle="Invalid scenario input" error="Enter a value compatible with the declared scenario contract." type="list" errorStyle="stop">
      <formula1>"taxable,non_taxable,non_taxable_credit,cash_only,no_eps_impact"</formula1>
    </dataValidation>
    <dataValidation sqref="B30:D30" showDropDown="0" showInputMessage="0" showErrorMessage="1" allowBlank="1" errorTitle="Invalid scenario input" error="Enter a value compatible with the declared scenario contract." type="custom" errorStyle="stop">
      <formula1>=OR(B30="",ISNUMBER(B30))</formula1>
    </dataValidation>
    <dataValidation sqref="B31:D31" showDropDown="0" showInputMessage="0" showErrorMessage="1" allowBlank="1" errorTitle="Invalid scenario input" error="Enter a value compatible with the declared scenario contract." type="list" errorStyle="stop">
      <formula1>"taxable,non_taxable"</formula1>
    </dataValidation>
    <dataValidation sqref="B32:D33" showDropDown="0" showInputMessage="0" showErrorMessage="1" allowBlank="1" errorTitle="Invalid scenario input" error="Enter a value compatible with the declared scenario contract." type="custom" errorStyle="stop">
      <formula1>=OR(B32="",ISNUMBER(B32))</formula1>
    </dataValidation>
    <dataValidation sqref="B34:D34" showDropDown="0" showInputMessage="0" showErrorMessage="1" allowBlank="1" errorTitle="Invalid scenario input" error="Enter a value compatible with the declared scenario contract." type="decimal" errorStyle="stop" operator="greaterThanOrEqual">
      <formula1>0</formula1>
    </dataValidation>
    <dataValidation sqref="B35:D35" showDropDown="0" showInputMessage="0" showErrorMessage="1" allowBlank="1" errorTitle="Invalid scenario input" error="Enter a value compatible with the declared scenario contract." type="decimal" errorStyle="stop" operator="greaterThan">
      <formula1>0</formula1>
    </dataValidation>
    <dataValidation sqref="B36:D37" showDropDown="0" showInputMessage="0" showErrorMessage="1" allowBlank="1" errorTitle="Invalid scenario input" error="Enter a value compatible with the declared scenario contract." type="decimal" errorStyle="stop" operator="greaterThanOrEqual">
      <formula1>0</formula1>
    </dataValidation>
    <dataValidation sqref="B38:D41" showDropDown="0" showInputMessage="0" showErrorMessage="1" allowBlank="1" errorTitle="Invalid scenario input" error="Enter a value compatible with the declared scenario contract." type="decimal" errorStyle="stop" operator="greaterThan">
      <formula1>0</formula1>
    </dataValidation>
    <dataValidation sqref="B42:D42" showDropDown="0" showInputMessage="0" showErrorMessage="1" allowBlank="1" errorTitle="Invalid scenario input" error="Enter a value compatible with the declared scenario contract." type="decimal" errorStyle="stop" operator="between">
      <formula1>0.000001</formula1>
      <formula2>1</formula2>
    </dataValidation>
    <dataValidation sqref="B160:D160" showDropDown="0" showInputMessage="0" showErrorMessage="1" allowBlank="1" errorTitle="Invalid scenario input" error="Enter a value compatible with the declared scenario contract." type="decimal" errorStyle="stop" operator="greaterThan">
      <formula1>0</formula1>
    </dataValidation>
    <dataValidation sqref="A161:A163" showDropDown="0" showInputMessage="0" showErrorMessage="1" allowBlank="1" errorTitle="Invalid scenario input" error="Enter a value compatible with the declared scenario contract." type="decimal" errorStyle="stop" operator="greaterThan">
      <formula1>0</formula1>
    </dataValidation>
    <dataValidation sqref="B171:D171" showDropDown="0" showInputMessage="0" showErrorMessage="1" allowBlank="1" errorTitle="Invalid scenario input" error="Enter a value compatible with the declared scenario contract." type="decimal" errorStyle="stop" operator="greaterThan">
      <formula1>0</formula1>
    </dataValidation>
    <dataValidation sqref="A172:A174" showDropDown="0" showInputMessage="0" showErrorMessage="1" allowBlank="1" errorTitle="Invalid scenario input" error="Enter a value compatible with the declared scenario contract." type="decimal" errorStyle="stop" operator="greaterThan">
      <formula1>0</formula1>
    </dataValidation>
    <dataValidation sqref="B177:D177" showDropDown="0" showInputMessage="0" showErrorMessage="1" allowBlank="1" errorTitle="Invalid scenario input" error="Enter a value compatible with the declared scenario contract." type="decimal" errorStyle="stop" operator="between">
      <formula1>0.000001</formula1>
      <formula2>1</formula2>
    </dataValidation>
    <dataValidation sqref="A178:A180" showDropDown="0" showInputMessage="0" showErrorMessage="1" allowBlank="1" errorTitle="Invalid scenario input" error="Enter a value compatible with the declared scenario contract." type="decimal" errorStyle="stop" operator="greaterThan">
      <formula1>0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3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  <col width="24" customWidth="1" min="10" max="10"/>
    <col width="24" customWidth="1" min="11" max="11"/>
    <col width="24" customWidth="1" min="12" max="12"/>
    <col width="22" customWidth="1" min="13" max="13"/>
    <col width="22" customWidth="1" min="14" max="14"/>
    <col width="46" customWidth="1" min="15" max="15"/>
  </cols>
  <sheetData>
    <row r="1" ht="24" customHeight="1">
      <c r="A1" s="297" t="inlineStr">
        <is>
          <t>Quarter Notes</t>
        </is>
      </c>
      <c r="B1" s="298" t="n"/>
      <c r="C1" s="298" t="n"/>
      <c r="D1" s="298" t="n"/>
      <c r="E1" s="298" t="n"/>
      <c r="F1" s="298" t="n"/>
      <c r="G1" s="298" t="n"/>
      <c r="H1" s="298" t="n"/>
      <c r="I1" s="298" t="n"/>
      <c r="J1" s="298" t="n"/>
      <c r="K1" s="298" t="n"/>
      <c r="L1" s="298" t="n"/>
      <c r="M1" s="298" t="n"/>
      <c r="N1" s="298" t="n"/>
      <c r="O1" s="299" t="n"/>
    </row>
    <row r="2" ht="25" customHeight="1">
      <c r="A2" s="300" t="inlineStr">
        <is>
          <t>Quarter read</t>
        </is>
      </c>
      <c r="B2" s="298" t="n"/>
      <c r="C2" s="298" t="n"/>
      <c r="D2" s="298" t="n"/>
      <c r="E2" s="298" t="n"/>
      <c r="F2" s="298" t="n"/>
      <c r="G2" s="298" t="n"/>
      <c r="H2" s="298" t="n"/>
      <c r="I2" s="298" t="n"/>
      <c r="J2" s="298" t="n"/>
      <c r="K2" s="298" t="n"/>
      <c r="L2" s="298" t="n"/>
      <c r="M2" s="298" t="n"/>
      <c r="N2" s="298" t="n"/>
      <c r="O2" s="299" t="n"/>
    </row>
    <row r="3" ht="44" customHeight="1">
      <c r="A3" s="301" t="inlineStr">
        <is>
          <t>Model read</t>
        </is>
      </c>
      <c r="B3" s="302" t="n"/>
      <c r="C3" s="298" t="n"/>
      <c r="D3" s="298" t="n"/>
      <c r="E3" s="298" t="n"/>
      <c r="F3" s="298" t="n"/>
      <c r="G3" s="298" t="n"/>
      <c r="H3" s="298" t="n"/>
      <c r="I3" s="298" t="n"/>
      <c r="J3" s="298" t="n"/>
      <c r="K3" s="298" t="n"/>
      <c r="L3" s="298" t="n"/>
      <c r="M3" s="298" t="n"/>
      <c r="N3" s="298" t="n"/>
      <c r="O3" s="299" t="n"/>
    </row>
    <row r="4" ht="44" customHeight="1">
      <c r="A4" s="303" t="inlineStr">
        <is>
          <t>What changed</t>
        </is>
      </c>
      <c r="B4" s="304" t="n"/>
      <c r="C4" s="298" t="n"/>
      <c r="D4" s="298" t="n"/>
      <c r="E4" s="298" t="n"/>
      <c r="F4" s="298" t="n"/>
      <c r="G4" s="298" t="n"/>
      <c r="H4" s="298" t="n"/>
      <c r="I4" s="298" t="n"/>
      <c r="J4" s="298" t="n"/>
      <c r="K4" s="298" t="n"/>
      <c r="L4" s="298" t="n"/>
      <c r="M4" s="298" t="n"/>
      <c r="N4" s="298" t="n"/>
      <c r="O4" s="299" t="n"/>
    </row>
    <row r="5" ht="30" customHeight="1">
      <c r="A5" s="301" t="inlineStr">
        <is>
          <t>Watch next</t>
        </is>
      </c>
      <c r="B5" s="302" t="n"/>
      <c r="C5" s="298" t="n"/>
      <c r="D5" s="298" t="n"/>
      <c r="E5" s="298" t="n"/>
      <c r="F5" s="298" t="n"/>
      <c r="G5" s="298" t="n"/>
      <c r="H5" s="298" t="n"/>
      <c r="I5" s="298" t="n"/>
      <c r="J5" s="298" t="n"/>
      <c r="K5" s="298" t="n"/>
      <c r="L5" s="298" t="n"/>
      <c r="M5" s="298" t="n"/>
      <c r="N5" s="298" t="n"/>
      <c r="O5" s="299" t="n"/>
    </row>
    <row r="6" ht="30" customHeight="1">
      <c r="A6" s="303" t="inlineStr">
        <is>
          <t>Key caveat</t>
        </is>
      </c>
      <c r="B6" s="304" t="n"/>
      <c r="C6" s="298" t="n"/>
      <c r="D6" s="298" t="n"/>
      <c r="E6" s="298" t="n"/>
      <c r="F6" s="298" t="n"/>
      <c r="G6" s="298" t="n"/>
      <c r="H6" s="298" t="n"/>
      <c r="I6" s="298" t="n"/>
      <c r="J6" s="298" t="n"/>
      <c r="K6" s="298" t="n"/>
      <c r="L6" s="298" t="n"/>
      <c r="M6" s="298" t="n"/>
      <c r="N6" s="298" t="n"/>
      <c r="O6" s="299" t="n"/>
    </row>
    <row r="7" ht="10" customHeight="1">
      <c r="A7" s="305" t="n"/>
      <c r="B7" s="305" t="n"/>
      <c r="C7" s="305" t="n"/>
      <c r="D7" s="305" t="n"/>
      <c r="E7" s="305" t="n"/>
      <c r="F7" s="305" t="n"/>
      <c r="G7" s="305" t="n"/>
      <c r="H7" s="305" t="n"/>
      <c r="I7" s="305" t="n"/>
      <c r="J7" s="305" t="n"/>
      <c r="K7" s="305" t="n"/>
      <c r="L7" s="305" t="n"/>
      <c r="M7" s="305" t="n"/>
      <c r="N7" s="305" t="n"/>
      <c r="O7" s="305" t="n"/>
    </row>
    <row r="8" ht="25" customHeight="1">
      <c r="A8" s="300" t="inlineStr">
        <is>
          <t>Key developments</t>
        </is>
      </c>
      <c r="B8" s="298" t="n"/>
      <c r="C8" s="298" t="n"/>
      <c r="D8" s="298" t="n"/>
      <c r="E8" s="298" t="n"/>
      <c r="F8" s="298" t="n"/>
      <c r="G8" s="298" t="n"/>
      <c r="H8" s="298" t="n"/>
      <c r="I8" s="298" t="n"/>
      <c r="J8" s="298" t="n"/>
      <c r="K8" s="298" t="n"/>
      <c r="L8" s="298" t="n"/>
      <c r="M8" s="298" t="n"/>
      <c r="N8" s="298" t="n"/>
      <c r="O8" s="299" t="n"/>
    </row>
    <row r="9" ht="26" customHeight="1">
      <c r="A9" s="306" t="inlineStr">
        <is>
          <t>Theme</t>
        </is>
      </c>
      <c r="B9" s="299" t="n"/>
      <c r="C9" s="306" t="inlineStr">
        <is>
          <t>What happened</t>
        </is>
      </c>
      <c r="D9" s="298" t="n"/>
      <c r="E9" s="299" t="n"/>
      <c r="F9" s="306" t="inlineStr">
        <is>
          <t>Why it matters</t>
        </is>
      </c>
      <c r="G9" s="299" t="n"/>
      <c r="H9" s="306" t="inlineStr">
        <is>
          <t>Model / valuation implication</t>
        </is>
      </c>
      <c r="I9" s="298" t="n"/>
      <c r="J9" s="298" t="n"/>
      <c r="K9" s="298" t="n"/>
      <c r="L9" s="299" t="n"/>
      <c r="M9" s="306" t="inlineStr">
        <is>
          <t>Source / confidence</t>
        </is>
      </c>
      <c r="N9" s="298" t="n"/>
      <c r="O9" s="299" t="n"/>
    </row>
    <row r="10" ht="48" customHeight="1">
      <c r="A10" s="302" t="n"/>
      <c r="B10" s="299" t="n"/>
      <c r="C10" s="302" t="n"/>
      <c r="D10" s="298" t="n"/>
      <c r="E10" s="299" t="n"/>
      <c r="F10" s="302" t="n"/>
      <c r="G10" s="299" t="n"/>
      <c r="H10" s="302" t="n"/>
      <c r="I10" s="298" t="n"/>
      <c r="J10" s="298" t="n"/>
      <c r="K10" s="298" t="n"/>
      <c r="L10" s="299" t="n"/>
      <c r="M10" s="302" t="n"/>
      <c r="N10" s="298" t="n"/>
      <c r="O10" s="299" t="n"/>
    </row>
    <row r="11" ht="48" customHeight="1">
      <c r="A11" s="304" t="n"/>
      <c r="B11" s="299" t="n"/>
      <c r="C11" s="304" t="n"/>
      <c r="D11" s="298" t="n"/>
      <c r="E11" s="299" t="n"/>
      <c r="F11" s="304" t="n"/>
      <c r="G11" s="299" t="n"/>
      <c r="H11" s="304" t="n"/>
      <c r="I11" s="298" t="n"/>
      <c r="J11" s="298" t="n"/>
      <c r="K11" s="298" t="n"/>
      <c r="L11" s="299" t="n"/>
      <c r="M11" s="304" t="n"/>
      <c r="N11" s="298" t="n"/>
      <c r="O11" s="299" t="n"/>
    </row>
    <row r="12" ht="48" customHeight="1">
      <c r="A12" s="302" t="n"/>
      <c r="B12" s="299" t="n"/>
      <c r="C12" s="302" t="n"/>
      <c r="D12" s="298" t="n"/>
      <c r="E12" s="299" t="n"/>
      <c r="F12" s="302" t="n"/>
      <c r="G12" s="299" t="n"/>
      <c r="H12" s="302" t="n"/>
      <c r="I12" s="298" t="n"/>
      <c r="J12" s="298" t="n"/>
      <c r="K12" s="298" t="n"/>
      <c r="L12" s="299" t="n"/>
      <c r="M12" s="302" t="n"/>
      <c r="N12" s="298" t="n"/>
      <c r="O12" s="299" t="n"/>
    </row>
    <row r="13" ht="48" customHeight="1">
      <c r="A13" s="304" t="n"/>
      <c r="B13" s="299" t="n"/>
      <c r="C13" s="304" t="n"/>
      <c r="D13" s="298" t="n"/>
      <c r="E13" s="299" t="n"/>
      <c r="F13" s="304" t="n"/>
      <c r="G13" s="299" t="n"/>
      <c r="H13" s="304" t="n"/>
      <c r="I13" s="298" t="n"/>
      <c r="J13" s="298" t="n"/>
      <c r="K13" s="298" t="n"/>
      <c r="L13" s="299" t="n"/>
      <c r="M13" s="304" t="n"/>
      <c r="N13" s="298" t="n"/>
      <c r="O13" s="299" t="n"/>
    </row>
    <row r="14" ht="48" customHeight="1">
      <c r="A14" s="302" t="n"/>
      <c r="B14" s="299" t="n"/>
      <c r="C14" s="302" t="n"/>
      <c r="D14" s="298" t="n"/>
      <c r="E14" s="299" t="n"/>
      <c r="F14" s="302" t="n"/>
      <c r="G14" s="299" t="n"/>
      <c r="H14" s="302" t="n"/>
      <c r="I14" s="298" t="n"/>
      <c r="J14" s="298" t="n"/>
      <c r="K14" s="298" t="n"/>
      <c r="L14" s="299" t="n"/>
      <c r="M14" s="302" t="n"/>
      <c r="N14" s="298" t="n"/>
      <c r="O14" s="299" t="n"/>
    </row>
    <row r="15" ht="48" customHeight="1">
      <c r="A15" s="304" t="n"/>
      <c r="B15" s="299" t="n"/>
      <c r="C15" s="304" t="n"/>
      <c r="D15" s="298" t="n"/>
      <c r="E15" s="299" t="n"/>
      <c r="F15" s="304" t="n"/>
      <c r="G15" s="299" t="n"/>
      <c r="H15" s="304" t="n"/>
      <c r="I15" s="298" t="n"/>
      <c r="J15" s="298" t="n"/>
      <c r="K15" s="298" t="n"/>
      <c r="L15" s="299" t="n"/>
      <c r="M15" s="304" t="n"/>
      <c r="N15" s="298" t="n"/>
      <c r="O15" s="299" t="n"/>
    </row>
    <row r="16" ht="10" customHeight="1">
      <c r="A16" s="305" t="n"/>
      <c r="B16" s="305" t="n"/>
      <c r="C16" s="305" t="n"/>
      <c r="D16" s="305" t="n"/>
      <c r="E16" s="305" t="n"/>
      <c r="F16" s="305" t="n"/>
      <c r="G16" s="305" t="n"/>
      <c r="H16" s="305" t="n"/>
      <c r="I16" s="305" t="n"/>
      <c r="J16" s="305" t="n"/>
      <c r="K16" s="305" t="n"/>
      <c r="L16" s="305" t="n"/>
      <c r="M16" s="305" t="n"/>
      <c r="N16" s="305" t="n"/>
      <c r="O16" s="305" t="n"/>
    </row>
    <row r="17" ht="25" customHeight="1">
      <c r="A17" s="300" t="inlineStr">
        <is>
          <t>Guidance / Promise interpretation</t>
        </is>
      </c>
      <c r="B17" s="298" t="n"/>
      <c r="C17" s="298" t="n"/>
      <c r="D17" s="298" t="n"/>
      <c r="E17" s="298" t="n"/>
      <c r="F17" s="298" t="n"/>
      <c r="G17" s="298" t="n"/>
      <c r="H17" s="298" t="n"/>
      <c r="I17" s="298" t="n"/>
      <c r="J17" s="298" t="n"/>
      <c r="K17" s="298" t="n"/>
      <c r="L17" s="298" t="n"/>
      <c r="M17" s="298" t="n"/>
      <c r="N17" s="298" t="n"/>
      <c r="O17" s="299" t="n"/>
    </row>
    <row r="18" ht="26" customHeight="1">
      <c r="A18" s="306" t="inlineStr">
        <is>
          <t>Promise / guidance item</t>
        </is>
      </c>
      <c r="B18" s="299" t="n"/>
      <c r="C18" s="306" t="inlineStr">
        <is>
          <t>Read</t>
        </is>
      </c>
      <c r="D18" s="298" t="n"/>
      <c r="E18" s="299" t="n"/>
      <c r="F18" s="306" t="inlineStr">
        <is>
          <t>Actual / progress interpretation</t>
        </is>
      </c>
      <c r="G18" s="298" t="n"/>
      <c r="H18" s="299" t="n"/>
      <c r="I18" s="306" t="inlineStr">
        <is>
          <t>Status / caveat</t>
        </is>
      </c>
      <c r="J18" s="298" t="n"/>
      <c r="K18" s="298" t="n"/>
      <c r="L18" s="299" t="n"/>
      <c r="M18" s="306" t="inlineStr">
        <is>
          <t>Source</t>
        </is>
      </c>
      <c r="N18" s="298" t="n"/>
      <c r="O18" s="299" t="n"/>
    </row>
    <row r="19" ht="48" customHeight="1">
      <c r="A19" s="302" t="n"/>
      <c r="B19" s="299" t="n"/>
      <c r="C19" s="302" t="n"/>
      <c r="D19" s="298" t="n"/>
      <c r="E19" s="299" t="n"/>
      <c r="F19" s="302" t="n"/>
      <c r="G19" s="298" t="n"/>
      <c r="H19" s="299" t="n"/>
      <c r="I19" s="302" t="n"/>
      <c r="J19" s="298" t="n"/>
      <c r="K19" s="298" t="n"/>
      <c r="L19" s="299" t="n"/>
      <c r="M19" s="302" t="n"/>
      <c r="N19" s="298" t="n"/>
      <c r="O19" s="299" t="n"/>
    </row>
    <row r="20" ht="34" customHeight="1">
      <c r="A20" s="304" t="n"/>
      <c r="B20" s="299" t="n"/>
      <c r="C20" s="304" t="n"/>
      <c r="D20" s="298" t="n"/>
      <c r="E20" s="299" t="n"/>
      <c r="F20" s="304" t="n"/>
      <c r="G20" s="298" t="n"/>
      <c r="H20" s="299" t="n"/>
      <c r="I20" s="304" t="n"/>
      <c r="J20" s="298" t="n"/>
      <c r="K20" s="298" t="n"/>
      <c r="L20" s="299" t="n"/>
      <c r="M20" s="304" t="n"/>
      <c r="N20" s="298" t="n"/>
      <c r="O20" s="299" t="n"/>
    </row>
    <row r="21" ht="34" customHeight="1">
      <c r="A21" s="302" t="n"/>
      <c r="B21" s="299" t="n"/>
      <c r="C21" s="302" t="n"/>
      <c r="D21" s="298" t="n"/>
      <c r="E21" s="299" t="n"/>
      <c r="F21" s="302" t="n"/>
      <c r="G21" s="298" t="n"/>
      <c r="H21" s="299" t="n"/>
      <c r="I21" s="302" t="n"/>
      <c r="J21" s="298" t="n"/>
      <c r="K21" s="298" t="n"/>
      <c r="L21" s="299" t="n"/>
      <c r="M21" s="302" t="n"/>
      <c r="N21" s="298" t="n"/>
      <c r="O21" s="299" t="n"/>
    </row>
    <row r="22" ht="10" customHeight="1">
      <c r="A22" s="305" t="n"/>
      <c r="B22" s="305" t="n"/>
      <c r="C22" s="305" t="n"/>
      <c r="D22" s="305" t="n"/>
      <c r="E22" s="305" t="n"/>
      <c r="F22" s="305" t="n"/>
      <c r="G22" s="305" t="n"/>
      <c r="H22" s="305" t="n"/>
      <c r="I22" s="305" t="n"/>
      <c r="J22" s="305" t="n"/>
      <c r="K22" s="305" t="n"/>
      <c r="L22" s="305" t="n"/>
      <c r="M22" s="305" t="n"/>
      <c r="N22" s="305" t="n"/>
      <c r="O22" s="305" t="n"/>
    </row>
    <row r="23" ht="25" customHeight="1">
      <c r="A23" s="300" t="inlineStr">
        <is>
          <t>Model mapping / double-count guardrails</t>
        </is>
      </c>
      <c r="B23" s="298" t="n"/>
      <c r="C23" s="298" t="n"/>
      <c r="D23" s="298" t="n"/>
      <c r="E23" s="298" t="n"/>
      <c r="F23" s="298" t="n"/>
      <c r="G23" s="298" t="n"/>
      <c r="H23" s="298" t="n"/>
      <c r="I23" s="298" t="n"/>
      <c r="J23" s="298" t="n"/>
      <c r="K23" s="298" t="n"/>
      <c r="L23" s="298" t="n"/>
      <c r="M23" s="298" t="n"/>
      <c r="N23" s="298" t="n"/>
      <c r="O23" s="299" t="n"/>
    </row>
    <row r="24" ht="26" customHeight="1">
      <c r="A24" s="306" t="inlineStr">
        <is>
          <t>Driver</t>
        </is>
      </c>
      <c r="B24" s="299" t="n"/>
      <c r="C24" s="306" t="inlineStr">
        <is>
          <t>Model treatment</t>
        </is>
      </c>
      <c r="D24" s="298" t="n"/>
      <c r="E24" s="298" t="n"/>
      <c r="F24" s="299" t="n"/>
      <c r="G24" s="306" t="inlineStr">
        <is>
          <t>Double-count guardrail</t>
        </is>
      </c>
      <c r="H24" s="298" t="n"/>
      <c r="I24" s="298" t="n"/>
      <c r="J24" s="298" t="n"/>
      <c r="K24" s="298" t="n"/>
      <c r="L24" s="299" t="n"/>
      <c r="M24" s="306" t="inlineStr">
        <is>
          <t>Linked sheet / metric</t>
        </is>
      </c>
      <c r="N24" s="298" t="n"/>
      <c r="O24" s="299" t="n"/>
    </row>
    <row r="25" ht="34" customHeight="1">
      <c r="A25" s="302" t="n"/>
      <c r="B25" s="299" t="n"/>
      <c r="C25" s="302" t="n"/>
      <c r="D25" s="298" t="n"/>
      <c r="E25" s="298" t="n"/>
      <c r="F25" s="299" t="n"/>
      <c r="G25" s="302" t="n"/>
      <c r="H25" s="298" t="n"/>
      <c r="I25" s="298" t="n"/>
      <c r="J25" s="298" t="n"/>
      <c r="K25" s="298" t="n"/>
      <c r="L25" s="299" t="n"/>
      <c r="M25" s="302" t="n"/>
      <c r="N25" s="298" t="n"/>
      <c r="O25" s="299" t="n"/>
    </row>
    <row r="26" ht="34" customHeight="1">
      <c r="A26" s="304" t="n"/>
      <c r="B26" s="299" t="n"/>
      <c r="C26" s="304" t="n"/>
      <c r="D26" s="298" t="n"/>
      <c r="E26" s="298" t="n"/>
      <c r="F26" s="299" t="n"/>
      <c r="G26" s="304" t="n"/>
      <c r="H26" s="298" t="n"/>
      <c r="I26" s="298" t="n"/>
      <c r="J26" s="298" t="n"/>
      <c r="K26" s="298" t="n"/>
      <c r="L26" s="299" t="n"/>
      <c r="M26" s="304" t="n"/>
      <c r="N26" s="298" t="n"/>
      <c r="O26" s="299" t="n"/>
    </row>
    <row r="27" ht="34" customHeight="1">
      <c r="A27" s="302" t="n"/>
      <c r="B27" s="299" t="n"/>
      <c r="C27" s="302" t="n"/>
      <c r="D27" s="298" t="n"/>
      <c r="E27" s="298" t="n"/>
      <c r="F27" s="299" t="n"/>
      <c r="G27" s="302" t="n"/>
      <c r="H27" s="298" t="n"/>
      <c r="I27" s="298" t="n"/>
      <c r="J27" s="298" t="n"/>
      <c r="K27" s="298" t="n"/>
      <c r="L27" s="299" t="n"/>
      <c r="M27" s="302" t="n"/>
      <c r="N27" s="298" t="n"/>
      <c r="O27" s="299" t="n"/>
    </row>
    <row r="28" ht="48" customHeight="1">
      <c r="A28" s="304" t="n"/>
      <c r="B28" s="299" t="n"/>
      <c r="C28" s="304" t="n"/>
      <c r="D28" s="298" t="n"/>
      <c r="E28" s="298" t="n"/>
      <c r="F28" s="299" t="n"/>
      <c r="G28" s="304" t="n"/>
      <c r="H28" s="298" t="n"/>
      <c r="I28" s="298" t="n"/>
      <c r="J28" s="298" t="n"/>
      <c r="K28" s="298" t="n"/>
      <c r="L28" s="299" t="n"/>
      <c r="M28" s="304" t="n"/>
      <c r="N28" s="298" t="n"/>
      <c r="O28" s="299" t="n"/>
    </row>
    <row r="29" ht="48" customHeight="1">
      <c r="A29" s="302" t="n"/>
      <c r="B29" s="299" t="n"/>
      <c r="C29" s="302" t="n"/>
      <c r="D29" s="298" t="n"/>
      <c r="E29" s="298" t="n"/>
      <c r="F29" s="299" t="n"/>
      <c r="G29" s="302" t="n"/>
      <c r="H29" s="298" t="n"/>
      <c r="I29" s="298" t="n"/>
      <c r="J29" s="298" t="n"/>
      <c r="K29" s="298" t="n"/>
      <c r="L29" s="299" t="n"/>
      <c r="M29" s="302" t="n"/>
      <c r="N29" s="298" t="n"/>
      <c r="O29" s="299" t="n"/>
    </row>
    <row r="30" ht="34" customHeight="1">
      <c r="A30" s="304" t="n"/>
      <c r="B30" s="299" t="n"/>
      <c r="C30" s="304" t="n"/>
      <c r="D30" s="298" t="n"/>
      <c r="E30" s="298" t="n"/>
      <c r="F30" s="299" t="n"/>
      <c r="G30" s="304" t="n"/>
      <c r="H30" s="298" t="n"/>
      <c r="I30" s="298" t="n"/>
      <c r="J30" s="298" t="n"/>
      <c r="K30" s="298" t="n"/>
      <c r="L30" s="299" t="n"/>
      <c r="M30" s="304" t="n"/>
      <c r="N30" s="298" t="n"/>
      <c r="O30" s="299" t="n"/>
    </row>
    <row r="31" ht="24" customHeight="1">
      <c r="A31" s="305" t="n"/>
      <c r="B31" s="305" t="n"/>
      <c r="C31" s="305" t="n"/>
      <c r="D31" s="305" t="n"/>
      <c r="E31" s="305" t="n"/>
      <c r="F31" s="305" t="n"/>
      <c r="G31" s="305" t="n"/>
      <c r="H31" s="305" t="n"/>
      <c r="I31" s="305" t="n"/>
      <c r="J31" s="305" t="n"/>
      <c r="K31" s="305" t="n"/>
      <c r="L31" s="305" t="n"/>
      <c r="M31" s="305" t="n"/>
      <c r="N31" s="305" t="n"/>
      <c r="O31" s="305" t="n"/>
    </row>
    <row r="32" ht="24" customHeight="1">
      <c r="A32" s="297" t="inlineStr">
        <is>
          <t>Historical quarter notes 1</t>
        </is>
      </c>
      <c r="B32" s="298" t="n"/>
      <c r="C32" s="298" t="n"/>
      <c r="D32" s="298" t="n"/>
      <c r="E32" s="298" t="n"/>
      <c r="F32" s="298" t="n"/>
      <c r="G32" s="298" t="n"/>
      <c r="H32" s="298" t="n"/>
      <c r="I32" s="298" t="n"/>
      <c r="J32" s="298" t="n"/>
      <c r="K32" s="298" t="n"/>
      <c r="L32" s="298" t="n"/>
      <c r="M32" s="298" t="n"/>
      <c r="N32" s="298" t="n"/>
      <c r="O32" s="299" t="n"/>
    </row>
    <row r="33" ht="25" customHeight="1">
      <c r="A33" s="300" t="inlineStr">
        <is>
          <t>Quarter read</t>
        </is>
      </c>
      <c r="B33" s="298" t="n"/>
      <c r="C33" s="298" t="n"/>
      <c r="D33" s="298" t="n"/>
      <c r="E33" s="298" t="n"/>
      <c r="F33" s="298" t="n"/>
      <c r="G33" s="298" t="n"/>
      <c r="H33" s="298" t="n"/>
      <c r="I33" s="298" t="n"/>
      <c r="J33" s="298" t="n"/>
      <c r="K33" s="298" t="n"/>
      <c r="L33" s="298" t="n"/>
      <c r="M33" s="298" t="n"/>
      <c r="N33" s="298" t="n"/>
      <c r="O33" s="299" t="n"/>
    </row>
    <row r="34" ht="58" customHeight="1">
      <c r="A34" s="301" t="inlineStr">
        <is>
          <t>Model read</t>
        </is>
      </c>
      <c r="B34" s="302" t="n"/>
      <c r="C34" s="298" t="n"/>
      <c r="D34" s="298" t="n"/>
      <c r="E34" s="298" t="n"/>
      <c r="F34" s="298" t="n"/>
      <c r="G34" s="298" t="n"/>
      <c r="H34" s="298" t="n"/>
      <c r="I34" s="298" t="n"/>
      <c r="J34" s="298" t="n"/>
      <c r="K34" s="298" t="n"/>
      <c r="L34" s="298" t="n"/>
      <c r="M34" s="298" t="n"/>
      <c r="N34" s="298" t="n"/>
      <c r="O34" s="299" t="n"/>
    </row>
    <row r="35" ht="44" customHeight="1">
      <c r="A35" s="303" t="inlineStr">
        <is>
          <t>What changed</t>
        </is>
      </c>
      <c r="B35" s="304" t="n"/>
      <c r="C35" s="298" t="n"/>
      <c r="D35" s="298" t="n"/>
      <c r="E35" s="298" t="n"/>
      <c r="F35" s="298" t="n"/>
      <c r="G35" s="298" t="n"/>
      <c r="H35" s="298" t="n"/>
      <c r="I35" s="298" t="n"/>
      <c r="J35" s="298" t="n"/>
      <c r="K35" s="298" t="n"/>
      <c r="L35" s="298" t="n"/>
      <c r="M35" s="298" t="n"/>
      <c r="N35" s="298" t="n"/>
      <c r="O35" s="299" t="n"/>
    </row>
    <row r="36" ht="44" customHeight="1">
      <c r="A36" s="301" t="inlineStr">
        <is>
          <t>Watch next</t>
        </is>
      </c>
      <c r="B36" s="302" t="n"/>
      <c r="C36" s="298" t="n"/>
      <c r="D36" s="298" t="n"/>
      <c r="E36" s="298" t="n"/>
      <c r="F36" s="298" t="n"/>
      <c r="G36" s="298" t="n"/>
      <c r="H36" s="298" t="n"/>
      <c r="I36" s="298" t="n"/>
      <c r="J36" s="298" t="n"/>
      <c r="K36" s="298" t="n"/>
      <c r="L36" s="298" t="n"/>
      <c r="M36" s="298" t="n"/>
      <c r="N36" s="298" t="n"/>
      <c r="O36" s="299" t="n"/>
    </row>
    <row r="37" ht="30" customHeight="1">
      <c r="A37" s="303" t="inlineStr">
        <is>
          <t>Key caveat</t>
        </is>
      </c>
      <c r="B37" s="304" t="n"/>
      <c r="C37" s="298" t="n"/>
      <c r="D37" s="298" t="n"/>
      <c r="E37" s="298" t="n"/>
      <c r="F37" s="298" t="n"/>
      <c r="G37" s="298" t="n"/>
      <c r="H37" s="298" t="n"/>
      <c r="I37" s="298" t="n"/>
      <c r="J37" s="298" t="n"/>
      <c r="K37" s="298" t="n"/>
      <c r="L37" s="298" t="n"/>
      <c r="M37" s="298" t="n"/>
      <c r="N37" s="298" t="n"/>
      <c r="O37" s="299" t="n"/>
    </row>
    <row r="38" ht="10" customHeight="1">
      <c r="A38" s="305" t="n"/>
      <c r="B38" s="305" t="n"/>
      <c r="C38" s="305" t="n"/>
      <c r="D38" s="305" t="n"/>
      <c r="E38" s="305" t="n"/>
      <c r="F38" s="305" t="n"/>
      <c r="G38" s="305" t="n"/>
      <c r="H38" s="305" t="n"/>
      <c r="I38" s="305" t="n"/>
      <c r="J38" s="305" t="n"/>
      <c r="K38" s="305" t="n"/>
      <c r="L38" s="305" t="n"/>
      <c r="M38" s="305" t="n"/>
      <c r="N38" s="305" t="n"/>
      <c r="O38" s="305" t="n"/>
    </row>
    <row r="39" ht="25" customHeight="1">
      <c r="A39" s="300" t="inlineStr">
        <is>
          <t>Key developments</t>
        </is>
      </c>
      <c r="B39" s="298" t="n"/>
      <c r="C39" s="298" t="n"/>
      <c r="D39" s="298" t="n"/>
      <c r="E39" s="298" t="n"/>
      <c r="F39" s="298" t="n"/>
      <c r="G39" s="298" t="n"/>
      <c r="H39" s="298" t="n"/>
      <c r="I39" s="298" t="n"/>
      <c r="J39" s="298" t="n"/>
      <c r="K39" s="298" t="n"/>
      <c r="L39" s="298" t="n"/>
      <c r="M39" s="298" t="n"/>
      <c r="N39" s="298" t="n"/>
      <c r="O39" s="299" t="n"/>
    </row>
    <row r="40" ht="26" customHeight="1">
      <c r="A40" s="306" t="inlineStr">
        <is>
          <t>Theme</t>
        </is>
      </c>
      <c r="B40" s="299" t="n"/>
      <c r="C40" s="306" t="inlineStr">
        <is>
          <t>What happened</t>
        </is>
      </c>
      <c r="D40" s="298" t="n"/>
      <c r="E40" s="299" t="n"/>
      <c r="F40" s="306" t="inlineStr">
        <is>
          <t>Why it matters</t>
        </is>
      </c>
      <c r="G40" s="299" t="n"/>
      <c r="H40" s="306" t="inlineStr">
        <is>
          <t>Model / valuation implication</t>
        </is>
      </c>
      <c r="I40" s="298" t="n"/>
      <c r="J40" s="298" t="n"/>
      <c r="K40" s="298" t="n"/>
      <c r="L40" s="299" t="n"/>
      <c r="M40" s="306" t="inlineStr">
        <is>
          <t>Source / confidence</t>
        </is>
      </c>
      <c r="N40" s="298" t="n"/>
      <c r="O40" s="299" t="n"/>
    </row>
    <row r="41" ht="48" customHeight="1">
      <c r="A41" s="302" t="n"/>
      <c r="B41" s="299" t="n"/>
      <c r="C41" s="302" t="n"/>
      <c r="D41" s="298" t="n"/>
      <c r="E41" s="299" t="n"/>
      <c r="F41" s="302" t="n"/>
      <c r="G41" s="299" t="n"/>
      <c r="H41" s="302" t="n"/>
      <c r="I41" s="298" t="n"/>
      <c r="J41" s="298" t="n"/>
      <c r="K41" s="298" t="n"/>
      <c r="L41" s="299" t="n"/>
      <c r="M41" s="302" t="n"/>
      <c r="N41" s="298" t="n"/>
      <c r="O41" s="299" t="n"/>
    </row>
    <row r="42" ht="48" customHeight="1">
      <c r="A42" s="304" t="n"/>
      <c r="B42" s="299" t="n"/>
      <c r="C42" s="304" t="n"/>
      <c r="D42" s="298" t="n"/>
      <c r="E42" s="299" t="n"/>
      <c r="F42" s="304" t="n"/>
      <c r="G42" s="299" t="n"/>
      <c r="H42" s="304" t="n"/>
      <c r="I42" s="298" t="n"/>
      <c r="J42" s="298" t="n"/>
      <c r="K42" s="298" t="n"/>
      <c r="L42" s="299" t="n"/>
      <c r="M42" s="304" t="n"/>
      <c r="N42" s="298" t="n"/>
      <c r="O42" s="299" t="n"/>
    </row>
    <row r="43" ht="62" customHeight="1">
      <c r="A43" s="302" t="n"/>
      <c r="B43" s="299" t="n"/>
      <c r="C43" s="302" t="n"/>
      <c r="D43" s="298" t="n"/>
      <c r="E43" s="299" t="n"/>
      <c r="F43" s="302" t="n"/>
      <c r="G43" s="299" t="n"/>
      <c r="H43" s="302" t="n"/>
      <c r="I43" s="298" t="n"/>
      <c r="J43" s="298" t="n"/>
      <c r="K43" s="298" t="n"/>
      <c r="L43" s="299" t="n"/>
      <c r="M43" s="302" t="n"/>
      <c r="N43" s="298" t="n"/>
      <c r="O43" s="299" t="n"/>
    </row>
    <row r="44" ht="62" customHeight="1">
      <c r="A44" s="304" t="n"/>
      <c r="B44" s="299" t="n"/>
      <c r="C44" s="304" t="n"/>
      <c r="D44" s="298" t="n"/>
      <c r="E44" s="299" t="n"/>
      <c r="F44" s="304" t="n"/>
      <c r="G44" s="299" t="n"/>
      <c r="H44" s="304" t="n"/>
      <c r="I44" s="298" t="n"/>
      <c r="J44" s="298" t="n"/>
      <c r="K44" s="298" t="n"/>
      <c r="L44" s="299" t="n"/>
      <c r="M44" s="304" t="n"/>
      <c r="N44" s="298" t="n"/>
      <c r="O44" s="299" t="n"/>
    </row>
    <row r="45" ht="62" customHeight="1">
      <c r="A45" s="302" t="n"/>
      <c r="B45" s="299" t="n"/>
      <c r="C45" s="302" t="n"/>
      <c r="D45" s="298" t="n"/>
      <c r="E45" s="299" t="n"/>
      <c r="F45" s="302" t="n"/>
      <c r="G45" s="299" t="n"/>
      <c r="H45" s="302" t="n"/>
      <c r="I45" s="298" t="n"/>
      <c r="J45" s="298" t="n"/>
      <c r="K45" s="298" t="n"/>
      <c r="L45" s="299" t="n"/>
      <c r="M45" s="302" t="n"/>
      <c r="N45" s="298" t="n"/>
      <c r="O45" s="299" t="n"/>
    </row>
    <row r="46" ht="48" customHeight="1">
      <c r="A46" s="304" t="n"/>
      <c r="B46" s="299" t="n"/>
      <c r="C46" s="304" t="n"/>
      <c r="D46" s="298" t="n"/>
      <c r="E46" s="299" t="n"/>
      <c r="F46" s="304" t="n"/>
      <c r="G46" s="299" t="n"/>
      <c r="H46" s="304" t="n"/>
      <c r="I46" s="298" t="n"/>
      <c r="J46" s="298" t="n"/>
      <c r="K46" s="298" t="n"/>
      <c r="L46" s="299" t="n"/>
      <c r="M46" s="304" t="n"/>
      <c r="N46" s="298" t="n"/>
      <c r="O46" s="299" t="n"/>
    </row>
    <row r="47" ht="10" customHeight="1">
      <c r="A47" s="305" t="n"/>
      <c r="B47" s="305" t="n"/>
      <c r="C47" s="305" t="n"/>
      <c r="D47" s="305" t="n"/>
      <c r="E47" s="305" t="n"/>
      <c r="F47" s="305" t="n"/>
      <c r="G47" s="305" t="n"/>
      <c r="H47" s="305" t="n"/>
      <c r="I47" s="305" t="n"/>
      <c r="J47" s="305" t="n"/>
      <c r="K47" s="305" t="n"/>
      <c r="L47" s="305" t="n"/>
      <c r="M47" s="305" t="n"/>
      <c r="N47" s="305" t="n"/>
      <c r="O47" s="305" t="n"/>
    </row>
    <row r="48" ht="25" customHeight="1">
      <c r="A48" s="300" t="inlineStr">
        <is>
          <t>Guidance / Promise interpretation</t>
        </is>
      </c>
      <c r="B48" s="298" t="n"/>
      <c r="C48" s="298" t="n"/>
      <c r="D48" s="298" t="n"/>
      <c r="E48" s="298" t="n"/>
      <c r="F48" s="298" t="n"/>
      <c r="G48" s="298" t="n"/>
      <c r="H48" s="298" t="n"/>
      <c r="I48" s="298" t="n"/>
      <c r="J48" s="298" t="n"/>
      <c r="K48" s="298" t="n"/>
      <c r="L48" s="298" t="n"/>
      <c r="M48" s="298" t="n"/>
      <c r="N48" s="298" t="n"/>
      <c r="O48" s="299" t="n"/>
    </row>
    <row r="49" ht="26" customHeight="1">
      <c r="A49" s="306" t="inlineStr">
        <is>
          <t>Promise / guidance item</t>
        </is>
      </c>
      <c r="B49" s="299" t="n"/>
      <c r="C49" s="306" t="inlineStr">
        <is>
          <t>Read</t>
        </is>
      </c>
      <c r="D49" s="298" t="n"/>
      <c r="E49" s="299" t="n"/>
      <c r="F49" s="306" t="inlineStr">
        <is>
          <t>Actual / progress interpretation</t>
        </is>
      </c>
      <c r="G49" s="298" t="n"/>
      <c r="H49" s="299" t="n"/>
      <c r="I49" s="306" t="inlineStr">
        <is>
          <t>Status / caveat</t>
        </is>
      </c>
      <c r="J49" s="298" t="n"/>
      <c r="K49" s="298" t="n"/>
      <c r="L49" s="299" t="n"/>
      <c r="M49" s="306" t="inlineStr">
        <is>
          <t>Source</t>
        </is>
      </c>
      <c r="N49" s="298" t="n"/>
      <c r="O49" s="299" t="n"/>
    </row>
    <row r="50" ht="48" customHeight="1">
      <c r="A50" s="302" t="n"/>
      <c r="B50" s="299" t="n"/>
      <c r="C50" s="302" t="n"/>
      <c r="D50" s="298" t="n"/>
      <c r="E50" s="299" t="n"/>
      <c r="F50" s="302" t="n"/>
      <c r="G50" s="298" t="n"/>
      <c r="H50" s="299" t="n"/>
      <c r="I50" s="302" t="n"/>
      <c r="J50" s="298" t="n"/>
      <c r="K50" s="298" t="n"/>
      <c r="L50" s="299" t="n"/>
      <c r="M50" s="302" t="n"/>
      <c r="N50" s="298" t="n"/>
      <c r="O50" s="299" t="n"/>
    </row>
    <row r="51" ht="34" customHeight="1">
      <c r="A51" s="304" t="n"/>
      <c r="B51" s="299" t="n"/>
      <c r="C51" s="304" t="n"/>
      <c r="D51" s="298" t="n"/>
      <c r="E51" s="299" t="n"/>
      <c r="F51" s="304" t="n"/>
      <c r="G51" s="298" t="n"/>
      <c r="H51" s="299" t="n"/>
      <c r="I51" s="304" t="n"/>
      <c r="J51" s="298" t="n"/>
      <c r="K51" s="298" t="n"/>
      <c r="L51" s="299" t="n"/>
      <c r="M51" s="304" t="n"/>
      <c r="N51" s="298" t="n"/>
      <c r="O51" s="299" t="n"/>
    </row>
    <row r="52" ht="48" customHeight="1">
      <c r="A52" s="302" t="n"/>
      <c r="B52" s="299" t="n"/>
      <c r="C52" s="302" t="n"/>
      <c r="D52" s="298" t="n"/>
      <c r="E52" s="299" t="n"/>
      <c r="F52" s="302" t="n"/>
      <c r="G52" s="298" t="n"/>
      <c r="H52" s="299" t="n"/>
      <c r="I52" s="302" t="n"/>
      <c r="J52" s="298" t="n"/>
      <c r="K52" s="298" t="n"/>
      <c r="L52" s="299" t="n"/>
      <c r="M52" s="302" t="n"/>
      <c r="N52" s="298" t="n"/>
      <c r="O52" s="299" t="n"/>
    </row>
    <row r="53" ht="48" customHeight="1">
      <c r="A53" s="304" t="n"/>
      <c r="B53" s="299" t="n"/>
      <c r="C53" s="304" t="n"/>
      <c r="D53" s="298" t="n"/>
      <c r="E53" s="299" t="n"/>
      <c r="F53" s="304" t="n"/>
      <c r="G53" s="298" t="n"/>
      <c r="H53" s="299" t="n"/>
      <c r="I53" s="304" t="n"/>
      <c r="J53" s="298" t="n"/>
      <c r="K53" s="298" t="n"/>
      <c r="L53" s="299" t="n"/>
      <c r="M53" s="304" t="n"/>
      <c r="N53" s="298" t="n"/>
      <c r="O53" s="299" t="n"/>
    </row>
    <row r="54" ht="34" customHeight="1">
      <c r="A54" s="302" t="n"/>
      <c r="B54" s="299" t="n"/>
      <c r="C54" s="302" t="n"/>
      <c r="D54" s="298" t="n"/>
      <c r="E54" s="299" t="n"/>
      <c r="F54" s="302" t="n"/>
      <c r="G54" s="298" t="n"/>
      <c r="H54" s="299" t="n"/>
      <c r="I54" s="302" t="n"/>
      <c r="J54" s="298" t="n"/>
      <c r="K54" s="298" t="n"/>
      <c r="L54" s="299" t="n"/>
      <c r="M54" s="302" t="n"/>
      <c r="N54" s="298" t="n"/>
      <c r="O54" s="299" t="n"/>
    </row>
    <row r="55" ht="10" customHeight="1">
      <c r="A55" s="305" t="n"/>
      <c r="B55" s="305" t="n"/>
      <c r="C55" s="305" t="n"/>
      <c r="D55" s="305" t="n"/>
      <c r="E55" s="305" t="n"/>
      <c r="F55" s="305" t="n"/>
      <c r="G55" s="305" t="n"/>
      <c r="H55" s="305" t="n"/>
      <c r="I55" s="305" t="n"/>
      <c r="J55" s="305" t="n"/>
      <c r="K55" s="305" t="n"/>
      <c r="L55" s="305" t="n"/>
      <c r="M55" s="305" t="n"/>
      <c r="N55" s="305" t="n"/>
      <c r="O55" s="305" t="n"/>
    </row>
    <row r="56" ht="25" customHeight="1">
      <c r="A56" s="300" t="inlineStr">
        <is>
          <t>Model mapping / double-count guardrails</t>
        </is>
      </c>
      <c r="B56" s="298" t="n"/>
      <c r="C56" s="298" t="n"/>
      <c r="D56" s="298" t="n"/>
      <c r="E56" s="298" t="n"/>
      <c r="F56" s="298" t="n"/>
      <c r="G56" s="298" t="n"/>
      <c r="H56" s="298" t="n"/>
      <c r="I56" s="298" t="n"/>
      <c r="J56" s="298" t="n"/>
      <c r="K56" s="298" t="n"/>
      <c r="L56" s="298" t="n"/>
      <c r="M56" s="298" t="n"/>
      <c r="N56" s="298" t="n"/>
      <c r="O56" s="299" t="n"/>
    </row>
    <row r="57" ht="26" customHeight="1">
      <c r="A57" s="306" t="inlineStr">
        <is>
          <t>Driver</t>
        </is>
      </c>
      <c r="B57" s="299" t="n"/>
      <c r="C57" s="306" t="inlineStr">
        <is>
          <t>Model treatment</t>
        </is>
      </c>
      <c r="D57" s="298" t="n"/>
      <c r="E57" s="298" t="n"/>
      <c r="F57" s="299" t="n"/>
      <c r="G57" s="306" t="inlineStr">
        <is>
          <t>Double-count guardrail</t>
        </is>
      </c>
      <c r="H57" s="298" t="n"/>
      <c r="I57" s="298" t="n"/>
      <c r="J57" s="298" t="n"/>
      <c r="K57" s="298" t="n"/>
      <c r="L57" s="299" t="n"/>
      <c r="M57" s="306" t="inlineStr">
        <is>
          <t>Linked sheet / metric</t>
        </is>
      </c>
      <c r="N57" s="298" t="n"/>
      <c r="O57" s="299" t="n"/>
    </row>
    <row r="58" ht="48" customHeight="1">
      <c r="A58" s="302" t="n"/>
      <c r="B58" s="299" t="n"/>
      <c r="C58" s="302" t="n"/>
      <c r="D58" s="298" t="n"/>
      <c r="E58" s="298" t="n"/>
      <c r="F58" s="299" t="n"/>
      <c r="G58" s="302" t="n"/>
      <c r="H58" s="298" t="n"/>
      <c r="I58" s="298" t="n"/>
      <c r="J58" s="298" t="n"/>
      <c r="K58" s="298" t="n"/>
      <c r="L58" s="299" t="n"/>
      <c r="M58" s="302" t="n"/>
      <c r="N58" s="298" t="n"/>
      <c r="O58" s="299" t="n"/>
    </row>
    <row r="59" ht="48" customHeight="1">
      <c r="A59" s="304" t="n"/>
      <c r="B59" s="299" t="n"/>
      <c r="C59" s="304" t="n"/>
      <c r="D59" s="298" t="n"/>
      <c r="E59" s="298" t="n"/>
      <c r="F59" s="299" t="n"/>
      <c r="G59" s="304" t="n"/>
      <c r="H59" s="298" t="n"/>
      <c r="I59" s="298" t="n"/>
      <c r="J59" s="298" t="n"/>
      <c r="K59" s="298" t="n"/>
      <c r="L59" s="299" t="n"/>
      <c r="M59" s="304" t="n"/>
      <c r="N59" s="298" t="n"/>
      <c r="O59" s="299" t="n"/>
    </row>
    <row r="60" ht="34" customHeight="1">
      <c r="A60" s="302" t="n"/>
      <c r="B60" s="299" t="n"/>
      <c r="C60" s="302" t="n"/>
      <c r="D60" s="298" t="n"/>
      <c r="E60" s="298" t="n"/>
      <c r="F60" s="299" t="n"/>
      <c r="G60" s="302" t="n"/>
      <c r="H60" s="298" t="n"/>
      <c r="I60" s="298" t="n"/>
      <c r="J60" s="298" t="n"/>
      <c r="K60" s="298" t="n"/>
      <c r="L60" s="299" t="n"/>
      <c r="M60" s="302" t="n"/>
      <c r="N60" s="298" t="n"/>
      <c r="O60" s="299" t="n"/>
    </row>
    <row r="61" ht="48" customHeight="1">
      <c r="A61" s="304" t="n"/>
      <c r="B61" s="299" t="n"/>
      <c r="C61" s="304" t="n"/>
      <c r="D61" s="298" t="n"/>
      <c r="E61" s="298" t="n"/>
      <c r="F61" s="299" t="n"/>
      <c r="G61" s="304" t="n"/>
      <c r="H61" s="298" t="n"/>
      <c r="I61" s="298" t="n"/>
      <c r="J61" s="298" t="n"/>
      <c r="K61" s="298" t="n"/>
      <c r="L61" s="299" t="n"/>
      <c r="M61" s="304" t="n"/>
      <c r="N61" s="298" t="n"/>
      <c r="O61" s="299" t="n"/>
    </row>
    <row r="62" ht="48" customHeight="1">
      <c r="A62" s="302" t="n"/>
      <c r="B62" s="299" t="n"/>
      <c r="C62" s="302" t="n"/>
      <c r="D62" s="298" t="n"/>
      <c r="E62" s="298" t="n"/>
      <c r="F62" s="299" t="n"/>
      <c r="G62" s="302" t="n"/>
      <c r="H62" s="298" t="n"/>
      <c r="I62" s="298" t="n"/>
      <c r="J62" s="298" t="n"/>
      <c r="K62" s="298" t="n"/>
      <c r="L62" s="299" t="n"/>
      <c r="M62" s="302" t="n"/>
      <c r="N62" s="298" t="n"/>
      <c r="O62" s="299" t="n"/>
    </row>
    <row r="63" ht="48" customHeight="1">
      <c r="A63" s="304" t="n"/>
      <c r="B63" s="299" t="n"/>
      <c r="C63" s="304" t="n"/>
      <c r="D63" s="298" t="n"/>
      <c r="E63" s="298" t="n"/>
      <c r="F63" s="299" t="n"/>
      <c r="G63" s="304" t="n"/>
      <c r="H63" s="298" t="n"/>
      <c r="I63" s="298" t="n"/>
      <c r="J63" s="298" t="n"/>
      <c r="K63" s="298" t="n"/>
      <c r="L63" s="299" t="n"/>
      <c r="M63" s="304" t="n"/>
      <c r="N63" s="298" t="n"/>
      <c r="O63" s="299" t="n"/>
    </row>
    <row r="64" ht="24" customHeight="1">
      <c r="A64" s="305" t="n"/>
      <c r="B64" s="305" t="n"/>
      <c r="C64" s="305" t="n"/>
      <c r="D64" s="305" t="n"/>
      <c r="E64" s="305" t="n"/>
      <c r="F64" s="305" t="n"/>
      <c r="G64" s="305" t="n"/>
      <c r="H64" s="305" t="n"/>
      <c r="I64" s="305" t="n"/>
      <c r="J64" s="305" t="n"/>
      <c r="K64" s="305" t="n"/>
      <c r="L64" s="305" t="n"/>
      <c r="M64" s="305" t="n"/>
      <c r="N64" s="305" t="n"/>
      <c r="O64" s="305" t="n"/>
    </row>
    <row r="65" ht="24" customHeight="1">
      <c r="A65" s="297" t="inlineStr">
        <is>
          <t>Historical quarter notes 2</t>
        </is>
      </c>
      <c r="B65" s="298" t="n"/>
      <c r="C65" s="298" t="n"/>
      <c r="D65" s="298" t="n"/>
      <c r="E65" s="298" t="n"/>
      <c r="F65" s="298" t="n"/>
      <c r="G65" s="298" t="n"/>
      <c r="H65" s="298" t="n"/>
      <c r="I65" s="298" t="n"/>
      <c r="J65" s="298" t="n"/>
      <c r="K65" s="298" t="n"/>
      <c r="L65" s="298" t="n"/>
      <c r="M65" s="298" t="n"/>
      <c r="N65" s="298" t="n"/>
      <c r="O65" s="299" t="n"/>
    </row>
    <row r="66" ht="25" customHeight="1">
      <c r="A66" s="300" t="inlineStr">
        <is>
          <t>Quarter read</t>
        </is>
      </c>
      <c r="B66" s="298" t="n"/>
      <c r="C66" s="298" t="n"/>
      <c r="D66" s="298" t="n"/>
      <c r="E66" s="298" t="n"/>
      <c r="F66" s="298" t="n"/>
      <c r="G66" s="298" t="n"/>
      <c r="H66" s="298" t="n"/>
      <c r="I66" s="298" t="n"/>
      <c r="J66" s="298" t="n"/>
      <c r="K66" s="298" t="n"/>
      <c r="L66" s="298" t="n"/>
      <c r="M66" s="298" t="n"/>
      <c r="N66" s="298" t="n"/>
      <c r="O66" s="299" t="n"/>
    </row>
    <row r="67" ht="44" customHeight="1">
      <c r="A67" s="301" t="inlineStr">
        <is>
          <t>Model read</t>
        </is>
      </c>
      <c r="B67" s="302" t="n"/>
      <c r="C67" s="298" t="n"/>
      <c r="D67" s="298" t="n"/>
      <c r="E67" s="298" t="n"/>
      <c r="F67" s="298" t="n"/>
      <c r="G67" s="298" t="n"/>
      <c r="H67" s="298" t="n"/>
      <c r="I67" s="298" t="n"/>
      <c r="J67" s="298" t="n"/>
      <c r="K67" s="298" t="n"/>
      <c r="L67" s="298" t="n"/>
      <c r="M67" s="298" t="n"/>
      <c r="N67" s="298" t="n"/>
      <c r="O67" s="299" t="n"/>
    </row>
    <row r="68" ht="58" customHeight="1">
      <c r="A68" s="303" t="inlineStr">
        <is>
          <t>What changed</t>
        </is>
      </c>
      <c r="B68" s="304" t="n"/>
      <c r="C68" s="298" t="n"/>
      <c r="D68" s="298" t="n"/>
      <c r="E68" s="298" t="n"/>
      <c r="F68" s="298" t="n"/>
      <c r="G68" s="298" t="n"/>
      <c r="H68" s="298" t="n"/>
      <c r="I68" s="298" t="n"/>
      <c r="J68" s="298" t="n"/>
      <c r="K68" s="298" t="n"/>
      <c r="L68" s="298" t="n"/>
      <c r="M68" s="298" t="n"/>
      <c r="N68" s="298" t="n"/>
      <c r="O68" s="299" t="n"/>
    </row>
    <row r="69" ht="30" customHeight="1">
      <c r="A69" s="301" t="inlineStr">
        <is>
          <t>Watch next</t>
        </is>
      </c>
      <c r="B69" s="302" t="n"/>
      <c r="C69" s="298" t="n"/>
      <c r="D69" s="298" t="n"/>
      <c r="E69" s="298" t="n"/>
      <c r="F69" s="298" t="n"/>
      <c r="G69" s="298" t="n"/>
      <c r="H69" s="298" t="n"/>
      <c r="I69" s="298" t="n"/>
      <c r="J69" s="298" t="n"/>
      <c r="K69" s="298" t="n"/>
      <c r="L69" s="298" t="n"/>
      <c r="M69" s="298" t="n"/>
      <c r="N69" s="298" t="n"/>
      <c r="O69" s="299" t="n"/>
    </row>
    <row r="70" ht="30" customHeight="1">
      <c r="A70" s="303" t="inlineStr">
        <is>
          <t>Key caveat</t>
        </is>
      </c>
      <c r="B70" s="304" t="n"/>
      <c r="C70" s="298" t="n"/>
      <c r="D70" s="298" t="n"/>
      <c r="E70" s="298" t="n"/>
      <c r="F70" s="298" t="n"/>
      <c r="G70" s="298" t="n"/>
      <c r="H70" s="298" t="n"/>
      <c r="I70" s="298" t="n"/>
      <c r="J70" s="298" t="n"/>
      <c r="K70" s="298" t="n"/>
      <c r="L70" s="298" t="n"/>
      <c r="M70" s="298" t="n"/>
      <c r="N70" s="298" t="n"/>
      <c r="O70" s="299" t="n"/>
    </row>
    <row r="71" ht="10" customHeight="1">
      <c r="A71" s="305" t="n"/>
      <c r="B71" s="305" t="n"/>
      <c r="C71" s="305" t="n"/>
      <c r="D71" s="305" t="n"/>
      <c r="E71" s="305" t="n"/>
      <c r="F71" s="305" t="n"/>
      <c r="G71" s="305" t="n"/>
      <c r="H71" s="305" t="n"/>
      <c r="I71" s="305" t="n"/>
      <c r="J71" s="305" t="n"/>
      <c r="K71" s="305" t="n"/>
      <c r="L71" s="305" t="n"/>
      <c r="M71" s="305" t="n"/>
      <c r="N71" s="305" t="n"/>
      <c r="O71" s="305" t="n"/>
    </row>
    <row r="72" ht="25" customHeight="1">
      <c r="A72" s="300" t="inlineStr">
        <is>
          <t>Key developments</t>
        </is>
      </c>
      <c r="B72" s="298" t="n"/>
      <c r="C72" s="298" t="n"/>
      <c r="D72" s="298" t="n"/>
      <c r="E72" s="298" t="n"/>
      <c r="F72" s="298" t="n"/>
      <c r="G72" s="298" t="n"/>
      <c r="H72" s="298" t="n"/>
      <c r="I72" s="298" t="n"/>
      <c r="J72" s="298" t="n"/>
      <c r="K72" s="298" t="n"/>
      <c r="L72" s="298" t="n"/>
      <c r="M72" s="298" t="n"/>
      <c r="N72" s="298" t="n"/>
      <c r="O72" s="299" t="n"/>
    </row>
    <row r="73" ht="26" customHeight="1">
      <c r="A73" s="306" t="inlineStr">
        <is>
          <t>Theme</t>
        </is>
      </c>
      <c r="B73" s="299" t="n"/>
      <c r="C73" s="306" t="inlineStr">
        <is>
          <t>What happened</t>
        </is>
      </c>
      <c r="D73" s="298" t="n"/>
      <c r="E73" s="299" t="n"/>
      <c r="F73" s="306" t="inlineStr">
        <is>
          <t>Why it matters</t>
        </is>
      </c>
      <c r="G73" s="299" t="n"/>
      <c r="H73" s="306" t="inlineStr">
        <is>
          <t>Model / valuation implication</t>
        </is>
      </c>
      <c r="I73" s="298" t="n"/>
      <c r="J73" s="298" t="n"/>
      <c r="K73" s="298" t="n"/>
      <c r="L73" s="299" t="n"/>
      <c r="M73" s="306" t="inlineStr">
        <is>
          <t>Source / confidence</t>
        </is>
      </c>
      <c r="N73" s="298" t="n"/>
      <c r="O73" s="299" t="n"/>
    </row>
    <row r="74" ht="48" customHeight="1">
      <c r="A74" s="302" t="n"/>
      <c r="B74" s="299" t="n"/>
      <c r="C74" s="302" t="n"/>
      <c r="D74" s="298" t="n"/>
      <c r="E74" s="299" t="n"/>
      <c r="F74" s="302" t="n"/>
      <c r="G74" s="299" t="n"/>
      <c r="H74" s="302" t="n"/>
      <c r="I74" s="298" t="n"/>
      <c r="J74" s="298" t="n"/>
      <c r="K74" s="298" t="n"/>
      <c r="L74" s="299" t="n"/>
      <c r="M74" s="302" t="n"/>
      <c r="N74" s="298" t="n"/>
      <c r="O74" s="299" t="n"/>
    </row>
    <row r="75" ht="48" customHeight="1">
      <c r="A75" s="304" t="n"/>
      <c r="B75" s="299" t="n"/>
      <c r="C75" s="304" t="n"/>
      <c r="D75" s="298" t="n"/>
      <c r="E75" s="299" t="n"/>
      <c r="F75" s="304" t="n"/>
      <c r="G75" s="299" t="n"/>
      <c r="H75" s="304" t="n"/>
      <c r="I75" s="298" t="n"/>
      <c r="J75" s="298" t="n"/>
      <c r="K75" s="298" t="n"/>
      <c r="L75" s="299" t="n"/>
      <c r="M75" s="304" t="n"/>
      <c r="N75" s="298" t="n"/>
      <c r="O75" s="299" t="n"/>
    </row>
    <row r="76" ht="48" customHeight="1">
      <c r="A76" s="302" t="n"/>
      <c r="B76" s="299" t="n"/>
      <c r="C76" s="302" t="n"/>
      <c r="D76" s="298" t="n"/>
      <c r="E76" s="299" t="n"/>
      <c r="F76" s="302" t="n"/>
      <c r="G76" s="299" t="n"/>
      <c r="H76" s="302" t="n"/>
      <c r="I76" s="298" t="n"/>
      <c r="J76" s="298" t="n"/>
      <c r="K76" s="298" t="n"/>
      <c r="L76" s="299" t="n"/>
      <c r="M76" s="302" t="n"/>
      <c r="N76" s="298" t="n"/>
      <c r="O76" s="299" t="n"/>
    </row>
    <row r="77" ht="62" customHeight="1">
      <c r="A77" s="304" t="n"/>
      <c r="B77" s="299" t="n"/>
      <c r="C77" s="304" t="n"/>
      <c r="D77" s="298" t="n"/>
      <c r="E77" s="299" t="n"/>
      <c r="F77" s="304" t="n"/>
      <c r="G77" s="299" t="n"/>
      <c r="H77" s="304" t="n"/>
      <c r="I77" s="298" t="n"/>
      <c r="J77" s="298" t="n"/>
      <c r="K77" s="298" t="n"/>
      <c r="L77" s="299" t="n"/>
      <c r="M77" s="304" t="n"/>
      <c r="N77" s="298" t="n"/>
      <c r="O77" s="299" t="n"/>
    </row>
    <row r="78" ht="48" customHeight="1">
      <c r="A78" s="302" t="n"/>
      <c r="B78" s="299" t="n"/>
      <c r="C78" s="302" t="n"/>
      <c r="D78" s="298" t="n"/>
      <c r="E78" s="299" t="n"/>
      <c r="F78" s="302" t="n"/>
      <c r="G78" s="299" t="n"/>
      <c r="H78" s="302" t="n"/>
      <c r="I78" s="298" t="n"/>
      <c r="J78" s="298" t="n"/>
      <c r="K78" s="298" t="n"/>
      <c r="L78" s="299" t="n"/>
      <c r="M78" s="302" t="n"/>
      <c r="N78" s="298" t="n"/>
      <c r="O78" s="299" t="n"/>
    </row>
    <row r="79" ht="48" customHeight="1">
      <c r="A79" s="304" t="n"/>
      <c r="B79" s="299" t="n"/>
      <c r="C79" s="304" t="n"/>
      <c r="D79" s="298" t="n"/>
      <c r="E79" s="299" t="n"/>
      <c r="F79" s="304" t="n"/>
      <c r="G79" s="299" t="n"/>
      <c r="H79" s="304" t="n"/>
      <c r="I79" s="298" t="n"/>
      <c r="J79" s="298" t="n"/>
      <c r="K79" s="298" t="n"/>
      <c r="L79" s="299" t="n"/>
      <c r="M79" s="304" t="n"/>
      <c r="N79" s="298" t="n"/>
      <c r="O79" s="299" t="n"/>
    </row>
    <row r="80" ht="10" customHeight="1">
      <c r="A80" s="305" t="n"/>
      <c r="B80" s="305" t="n"/>
      <c r="C80" s="305" t="n"/>
      <c r="D80" s="305" t="n"/>
      <c r="E80" s="305" t="n"/>
      <c r="F80" s="305" t="n"/>
      <c r="G80" s="305" t="n"/>
      <c r="H80" s="305" t="n"/>
      <c r="I80" s="305" t="n"/>
      <c r="J80" s="305" t="n"/>
      <c r="K80" s="305" t="n"/>
      <c r="L80" s="305" t="n"/>
      <c r="M80" s="305" t="n"/>
      <c r="N80" s="305" t="n"/>
      <c r="O80" s="305" t="n"/>
    </row>
    <row r="81" ht="25" customHeight="1">
      <c r="A81" s="300" t="inlineStr">
        <is>
          <t>Guidance / Promise interpretation</t>
        </is>
      </c>
      <c r="B81" s="298" t="n"/>
      <c r="C81" s="298" t="n"/>
      <c r="D81" s="298" t="n"/>
      <c r="E81" s="298" t="n"/>
      <c r="F81" s="298" t="n"/>
      <c r="G81" s="298" t="n"/>
      <c r="H81" s="298" t="n"/>
      <c r="I81" s="298" t="n"/>
      <c r="J81" s="298" t="n"/>
      <c r="K81" s="298" t="n"/>
      <c r="L81" s="298" t="n"/>
      <c r="M81" s="298" t="n"/>
      <c r="N81" s="298" t="n"/>
      <c r="O81" s="299" t="n"/>
    </row>
    <row r="82" ht="26" customHeight="1">
      <c r="A82" s="306" t="inlineStr">
        <is>
          <t>Promise / guidance item</t>
        </is>
      </c>
      <c r="B82" s="299" t="n"/>
      <c r="C82" s="306" t="inlineStr">
        <is>
          <t>Read</t>
        </is>
      </c>
      <c r="D82" s="298" t="n"/>
      <c r="E82" s="299" t="n"/>
      <c r="F82" s="306" t="inlineStr">
        <is>
          <t>Actual / progress interpretation</t>
        </is>
      </c>
      <c r="G82" s="298" t="n"/>
      <c r="H82" s="299" t="n"/>
      <c r="I82" s="306" t="inlineStr">
        <is>
          <t>Status / caveat</t>
        </is>
      </c>
      <c r="J82" s="298" t="n"/>
      <c r="K82" s="298" t="n"/>
      <c r="L82" s="299" t="n"/>
      <c r="M82" s="306" t="inlineStr">
        <is>
          <t>Source</t>
        </is>
      </c>
      <c r="N82" s="298" t="n"/>
      <c r="O82" s="299" t="n"/>
    </row>
    <row r="83" ht="48" customHeight="1">
      <c r="A83" s="302" t="n"/>
      <c r="B83" s="299" t="n"/>
      <c r="C83" s="302" t="n"/>
      <c r="D83" s="298" t="n"/>
      <c r="E83" s="299" t="n"/>
      <c r="F83" s="302" t="n"/>
      <c r="G83" s="298" t="n"/>
      <c r="H83" s="299" t="n"/>
      <c r="I83" s="302" t="n"/>
      <c r="J83" s="298" t="n"/>
      <c r="K83" s="298" t="n"/>
      <c r="L83" s="299" t="n"/>
      <c r="M83" s="302" t="n"/>
      <c r="N83" s="298" t="n"/>
      <c r="O83" s="299" t="n"/>
    </row>
    <row r="84" ht="34" customHeight="1">
      <c r="A84" s="304" t="n"/>
      <c r="B84" s="299" t="n"/>
      <c r="C84" s="304" t="n"/>
      <c r="D84" s="298" t="n"/>
      <c r="E84" s="299" t="n"/>
      <c r="F84" s="304" t="n"/>
      <c r="G84" s="298" t="n"/>
      <c r="H84" s="299" t="n"/>
      <c r="I84" s="304" t="n"/>
      <c r="J84" s="298" t="n"/>
      <c r="K84" s="298" t="n"/>
      <c r="L84" s="299" t="n"/>
      <c r="M84" s="304" t="n"/>
      <c r="N84" s="298" t="n"/>
      <c r="O84" s="299" t="n"/>
    </row>
    <row r="85" ht="34" customHeight="1">
      <c r="A85" s="302" t="n"/>
      <c r="B85" s="299" t="n"/>
      <c r="C85" s="302" t="n"/>
      <c r="D85" s="298" t="n"/>
      <c r="E85" s="299" t="n"/>
      <c r="F85" s="302" t="n"/>
      <c r="G85" s="298" t="n"/>
      <c r="H85" s="299" t="n"/>
      <c r="I85" s="302" t="n"/>
      <c r="J85" s="298" t="n"/>
      <c r="K85" s="298" t="n"/>
      <c r="L85" s="299" t="n"/>
      <c r="M85" s="302" t="n"/>
      <c r="N85" s="298" t="n"/>
      <c r="O85" s="299" t="n"/>
    </row>
    <row r="86" ht="10" customHeight="1">
      <c r="A86" s="305" t="n"/>
      <c r="B86" s="305" t="n"/>
      <c r="C86" s="305" t="n"/>
      <c r="D86" s="305" t="n"/>
      <c r="E86" s="305" t="n"/>
      <c r="F86" s="305" t="n"/>
      <c r="G86" s="305" t="n"/>
      <c r="H86" s="305" t="n"/>
      <c r="I86" s="305" t="n"/>
      <c r="J86" s="305" t="n"/>
      <c r="K86" s="305" t="n"/>
      <c r="L86" s="305" t="n"/>
      <c r="M86" s="305" t="n"/>
      <c r="N86" s="305" t="n"/>
      <c r="O86" s="305" t="n"/>
    </row>
    <row r="87" ht="25" customHeight="1">
      <c r="A87" s="300" t="inlineStr">
        <is>
          <t>Model mapping / double-count guardrails</t>
        </is>
      </c>
      <c r="B87" s="298" t="n"/>
      <c r="C87" s="298" t="n"/>
      <c r="D87" s="298" t="n"/>
      <c r="E87" s="298" t="n"/>
      <c r="F87" s="298" t="n"/>
      <c r="G87" s="298" t="n"/>
      <c r="H87" s="298" t="n"/>
      <c r="I87" s="298" t="n"/>
      <c r="J87" s="298" t="n"/>
      <c r="K87" s="298" t="n"/>
      <c r="L87" s="298" t="n"/>
      <c r="M87" s="298" t="n"/>
      <c r="N87" s="298" t="n"/>
      <c r="O87" s="299" t="n"/>
    </row>
    <row r="88" ht="26" customHeight="1">
      <c r="A88" s="306" t="inlineStr">
        <is>
          <t>Driver</t>
        </is>
      </c>
      <c r="B88" s="299" t="n"/>
      <c r="C88" s="306" t="inlineStr">
        <is>
          <t>Model treatment</t>
        </is>
      </c>
      <c r="D88" s="298" t="n"/>
      <c r="E88" s="298" t="n"/>
      <c r="F88" s="299" t="n"/>
      <c r="G88" s="306" t="inlineStr">
        <is>
          <t>Double-count guardrail</t>
        </is>
      </c>
      <c r="H88" s="298" t="n"/>
      <c r="I88" s="298" t="n"/>
      <c r="J88" s="298" t="n"/>
      <c r="K88" s="298" t="n"/>
      <c r="L88" s="299" t="n"/>
      <c r="M88" s="306" t="inlineStr">
        <is>
          <t>Linked sheet / metric</t>
        </is>
      </c>
      <c r="N88" s="298" t="n"/>
      <c r="O88" s="299" t="n"/>
    </row>
    <row r="89" ht="34" customHeight="1">
      <c r="A89" s="302" t="n"/>
      <c r="B89" s="299" t="n"/>
      <c r="C89" s="302" t="n"/>
      <c r="D89" s="298" t="n"/>
      <c r="E89" s="298" t="n"/>
      <c r="F89" s="299" t="n"/>
      <c r="G89" s="302" t="n"/>
      <c r="H89" s="298" t="n"/>
      <c r="I89" s="298" t="n"/>
      <c r="J89" s="298" t="n"/>
      <c r="K89" s="298" t="n"/>
      <c r="L89" s="299" t="n"/>
      <c r="M89" s="302" t="n"/>
      <c r="N89" s="298" t="n"/>
      <c r="O89" s="299" t="n"/>
    </row>
    <row r="90" ht="48" customHeight="1">
      <c r="A90" s="304" t="n"/>
      <c r="B90" s="299" t="n"/>
      <c r="C90" s="304" t="n"/>
      <c r="D90" s="298" t="n"/>
      <c r="E90" s="298" t="n"/>
      <c r="F90" s="299" t="n"/>
      <c r="G90" s="304" t="n"/>
      <c r="H90" s="298" t="n"/>
      <c r="I90" s="298" t="n"/>
      <c r="J90" s="298" t="n"/>
      <c r="K90" s="298" t="n"/>
      <c r="L90" s="299" t="n"/>
      <c r="M90" s="304" t="n"/>
      <c r="N90" s="298" t="n"/>
      <c r="O90" s="299" t="n"/>
    </row>
    <row r="91" ht="34" customHeight="1">
      <c r="A91" s="302" t="n"/>
      <c r="B91" s="299" t="n"/>
      <c r="C91" s="302" t="n"/>
      <c r="D91" s="298" t="n"/>
      <c r="E91" s="298" t="n"/>
      <c r="F91" s="299" t="n"/>
      <c r="G91" s="302" t="n"/>
      <c r="H91" s="298" t="n"/>
      <c r="I91" s="298" t="n"/>
      <c r="J91" s="298" t="n"/>
      <c r="K91" s="298" t="n"/>
      <c r="L91" s="299" t="n"/>
      <c r="M91" s="302" t="n"/>
      <c r="N91" s="298" t="n"/>
      <c r="O91" s="299" t="n"/>
    </row>
    <row r="92" ht="48" customHeight="1">
      <c r="A92" s="304" t="n"/>
      <c r="B92" s="299" t="n"/>
      <c r="C92" s="304" t="n"/>
      <c r="D92" s="298" t="n"/>
      <c r="E92" s="298" t="n"/>
      <c r="F92" s="299" t="n"/>
      <c r="G92" s="304" t="n"/>
      <c r="H92" s="298" t="n"/>
      <c r="I92" s="298" t="n"/>
      <c r="J92" s="298" t="n"/>
      <c r="K92" s="298" t="n"/>
      <c r="L92" s="299" t="n"/>
      <c r="M92" s="304" t="n"/>
      <c r="N92" s="298" t="n"/>
      <c r="O92" s="299" t="n"/>
    </row>
    <row r="93" ht="34" customHeight="1">
      <c r="A93" s="302" t="n"/>
      <c r="B93" s="299" t="n"/>
      <c r="C93" s="302" t="n"/>
      <c r="D93" s="298" t="n"/>
      <c r="E93" s="298" t="n"/>
      <c r="F93" s="299" t="n"/>
      <c r="G93" s="302" t="n"/>
      <c r="H93" s="298" t="n"/>
      <c r="I93" s="298" t="n"/>
      <c r="J93" s="298" t="n"/>
      <c r="K93" s="298" t="n"/>
      <c r="L93" s="299" t="n"/>
      <c r="M93" s="302" t="n"/>
      <c r="N93" s="298" t="n"/>
      <c r="O93" s="299" t="n"/>
    </row>
    <row r="94" ht="34" customHeight="1">
      <c r="A94" s="304" t="n"/>
      <c r="B94" s="299" t="n"/>
      <c r="C94" s="304" t="n"/>
      <c r="D94" s="298" t="n"/>
      <c r="E94" s="298" t="n"/>
      <c r="F94" s="299" t="n"/>
      <c r="G94" s="304" t="n"/>
      <c r="H94" s="298" t="n"/>
      <c r="I94" s="298" t="n"/>
      <c r="J94" s="298" t="n"/>
      <c r="K94" s="298" t="n"/>
      <c r="L94" s="299" t="n"/>
      <c r="M94" s="304" t="n"/>
      <c r="N94" s="298" t="n"/>
      <c r="O94" s="299" t="n"/>
    </row>
    <row r="95" ht="24" customHeight="1">
      <c r="A95" s="305" t="n"/>
      <c r="B95" s="305" t="n"/>
      <c r="C95" s="305" t="n"/>
      <c r="D95" s="305" t="n"/>
      <c r="E95" s="305" t="n"/>
      <c r="F95" s="305" t="n"/>
      <c r="G95" s="305" t="n"/>
      <c r="H95" s="305" t="n"/>
      <c r="I95" s="305" t="n"/>
      <c r="J95" s="305" t="n"/>
      <c r="K95" s="305" t="n"/>
      <c r="L95" s="305" t="n"/>
      <c r="M95" s="305" t="n"/>
      <c r="N95" s="305" t="n"/>
      <c r="O95" s="305" t="n"/>
    </row>
    <row r="96" ht="24" customHeight="1">
      <c r="A96" s="297" t="inlineStr">
        <is>
          <t>Historical quarter notes 3</t>
        </is>
      </c>
      <c r="B96" s="298" t="n"/>
      <c r="C96" s="298" t="n"/>
      <c r="D96" s="298" t="n"/>
      <c r="E96" s="298" t="n"/>
      <c r="F96" s="298" t="n"/>
      <c r="G96" s="298" t="n"/>
      <c r="H96" s="298" t="n"/>
      <c r="I96" s="298" t="n"/>
      <c r="J96" s="298" t="n"/>
      <c r="K96" s="298" t="n"/>
      <c r="L96" s="298" t="n"/>
      <c r="M96" s="298" t="n"/>
      <c r="N96" s="298" t="n"/>
      <c r="O96" s="299" t="n"/>
    </row>
    <row r="97" ht="25" customHeight="1">
      <c r="A97" s="300" t="inlineStr">
        <is>
          <t>Quarter read</t>
        </is>
      </c>
      <c r="B97" s="298" t="n"/>
      <c r="C97" s="298" t="n"/>
      <c r="D97" s="298" t="n"/>
      <c r="E97" s="298" t="n"/>
      <c r="F97" s="298" t="n"/>
      <c r="G97" s="298" t="n"/>
      <c r="H97" s="298" t="n"/>
      <c r="I97" s="298" t="n"/>
      <c r="J97" s="298" t="n"/>
      <c r="K97" s="298" t="n"/>
      <c r="L97" s="298" t="n"/>
      <c r="M97" s="298" t="n"/>
      <c r="N97" s="298" t="n"/>
      <c r="O97" s="299" t="n"/>
    </row>
    <row r="98" ht="44" customHeight="1">
      <c r="A98" s="301" t="inlineStr">
        <is>
          <t>Model read</t>
        </is>
      </c>
      <c r="B98" s="302" t="n"/>
      <c r="C98" s="298" t="n"/>
      <c r="D98" s="298" t="n"/>
      <c r="E98" s="298" t="n"/>
      <c r="F98" s="298" t="n"/>
      <c r="G98" s="298" t="n"/>
      <c r="H98" s="298" t="n"/>
      <c r="I98" s="298" t="n"/>
      <c r="J98" s="298" t="n"/>
      <c r="K98" s="298" t="n"/>
      <c r="L98" s="298" t="n"/>
      <c r="M98" s="298" t="n"/>
      <c r="N98" s="298" t="n"/>
      <c r="O98" s="299" t="n"/>
    </row>
    <row r="99" ht="58" customHeight="1">
      <c r="A99" s="303" t="inlineStr">
        <is>
          <t>What changed</t>
        </is>
      </c>
      <c r="B99" s="304" t="n"/>
      <c r="C99" s="298" t="n"/>
      <c r="D99" s="298" t="n"/>
      <c r="E99" s="298" t="n"/>
      <c r="F99" s="298" t="n"/>
      <c r="G99" s="298" t="n"/>
      <c r="H99" s="298" t="n"/>
      <c r="I99" s="298" t="n"/>
      <c r="J99" s="298" t="n"/>
      <c r="K99" s="298" t="n"/>
      <c r="L99" s="298" t="n"/>
      <c r="M99" s="298" t="n"/>
      <c r="N99" s="298" t="n"/>
      <c r="O99" s="299" t="n"/>
    </row>
    <row r="100" ht="30" customHeight="1">
      <c r="A100" s="301" t="inlineStr">
        <is>
          <t>Watch next</t>
        </is>
      </c>
      <c r="B100" s="302" t="n"/>
      <c r="C100" s="298" t="n"/>
      <c r="D100" s="298" t="n"/>
      <c r="E100" s="298" t="n"/>
      <c r="F100" s="298" t="n"/>
      <c r="G100" s="298" t="n"/>
      <c r="H100" s="298" t="n"/>
      <c r="I100" s="298" t="n"/>
      <c r="J100" s="298" t="n"/>
      <c r="K100" s="298" t="n"/>
      <c r="L100" s="298" t="n"/>
      <c r="M100" s="298" t="n"/>
      <c r="N100" s="298" t="n"/>
      <c r="O100" s="299" t="n"/>
    </row>
    <row r="101" ht="30" customHeight="1">
      <c r="A101" s="303" t="inlineStr">
        <is>
          <t>Key caveat</t>
        </is>
      </c>
      <c r="B101" s="304" t="n"/>
      <c r="C101" s="298" t="n"/>
      <c r="D101" s="298" t="n"/>
      <c r="E101" s="298" t="n"/>
      <c r="F101" s="298" t="n"/>
      <c r="G101" s="298" t="n"/>
      <c r="H101" s="298" t="n"/>
      <c r="I101" s="298" t="n"/>
      <c r="J101" s="298" t="n"/>
      <c r="K101" s="298" t="n"/>
      <c r="L101" s="298" t="n"/>
      <c r="M101" s="298" t="n"/>
      <c r="N101" s="298" t="n"/>
      <c r="O101" s="299" t="n"/>
    </row>
    <row r="102" ht="10" customHeight="1">
      <c r="A102" s="305" t="n"/>
      <c r="B102" s="305" t="n"/>
      <c r="C102" s="305" t="n"/>
      <c r="D102" s="305" t="n"/>
      <c r="E102" s="305" t="n"/>
      <c r="F102" s="305" t="n"/>
      <c r="G102" s="305" t="n"/>
      <c r="H102" s="305" t="n"/>
      <c r="I102" s="305" t="n"/>
      <c r="J102" s="305" t="n"/>
      <c r="K102" s="305" t="n"/>
      <c r="L102" s="305" t="n"/>
      <c r="M102" s="305" t="n"/>
      <c r="N102" s="305" t="n"/>
      <c r="O102" s="305" t="n"/>
    </row>
    <row r="103" ht="25" customHeight="1">
      <c r="A103" s="300" t="inlineStr">
        <is>
          <t>Key developments</t>
        </is>
      </c>
      <c r="B103" s="298" t="n"/>
      <c r="C103" s="298" t="n"/>
      <c r="D103" s="298" t="n"/>
      <c r="E103" s="298" t="n"/>
      <c r="F103" s="298" t="n"/>
      <c r="G103" s="298" t="n"/>
      <c r="H103" s="298" t="n"/>
      <c r="I103" s="298" t="n"/>
      <c r="J103" s="298" t="n"/>
      <c r="K103" s="298" t="n"/>
      <c r="L103" s="298" t="n"/>
      <c r="M103" s="298" t="n"/>
      <c r="N103" s="298" t="n"/>
      <c r="O103" s="299" t="n"/>
    </row>
    <row r="104" ht="26" customHeight="1">
      <c r="A104" s="306" t="inlineStr">
        <is>
          <t>Theme</t>
        </is>
      </c>
      <c r="B104" s="299" t="n"/>
      <c r="C104" s="306" t="inlineStr">
        <is>
          <t>What happened</t>
        </is>
      </c>
      <c r="D104" s="298" t="n"/>
      <c r="E104" s="299" t="n"/>
      <c r="F104" s="306" t="inlineStr">
        <is>
          <t>Why it matters</t>
        </is>
      </c>
      <c r="G104" s="299" t="n"/>
      <c r="H104" s="306" t="inlineStr">
        <is>
          <t>Model / valuation implication</t>
        </is>
      </c>
      <c r="I104" s="298" t="n"/>
      <c r="J104" s="298" t="n"/>
      <c r="K104" s="298" t="n"/>
      <c r="L104" s="299" t="n"/>
      <c r="M104" s="306" t="inlineStr">
        <is>
          <t>Source / confidence</t>
        </is>
      </c>
      <c r="N104" s="298" t="n"/>
      <c r="O104" s="299" t="n"/>
    </row>
    <row r="105" ht="62" customHeight="1">
      <c r="A105" s="302" t="n"/>
      <c r="B105" s="299" t="n"/>
      <c r="C105" s="302" t="n"/>
      <c r="D105" s="298" t="n"/>
      <c r="E105" s="299" t="n"/>
      <c r="F105" s="302" t="n"/>
      <c r="G105" s="299" t="n"/>
      <c r="H105" s="302" t="n"/>
      <c r="I105" s="298" t="n"/>
      <c r="J105" s="298" t="n"/>
      <c r="K105" s="298" t="n"/>
      <c r="L105" s="299" t="n"/>
      <c r="M105" s="302" t="n"/>
      <c r="N105" s="298" t="n"/>
      <c r="O105" s="299" t="n"/>
    </row>
    <row r="106" ht="48" customHeight="1">
      <c r="A106" s="304" t="n"/>
      <c r="B106" s="299" t="n"/>
      <c r="C106" s="304" t="n"/>
      <c r="D106" s="298" t="n"/>
      <c r="E106" s="299" t="n"/>
      <c r="F106" s="304" t="n"/>
      <c r="G106" s="299" t="n"/>
      <c r="H106" s="304" t="n"/>
      <c r="I106" s="298" t="n"/>
      <c r="J106" s="298" t="n"/>
      <c r="K106" s="298" t="n"/>
      <c r="L106" s="299" t="n"/>
      <c r="M106" s="304" t="n"/>
      <c r="N106" s="298" t="n"/>
      <c r="O106" s="299" t="n"/>
    </row>
    <row r="107" ht="48" customHeight="1">
      <c r="A107" s="302" t="n"/>
      <c r="B107" s="299" t="n"/>
      <c r="C107" s="302" t="n"/>
      <c r="D107" s="298" t="n"/>
      <c r="E107" s="299" t="n"/>
      <c r="F107" s="302" t="n"/>
      <c r="G107" s="299" t="n"/>
      <c r="H107" s="302" t="n"/>
      <c r="I107" s="298" t="n"/>
      <c r="J107" s="298" t="n"/>
      <c r="K107" s="298" t="n"/>
      <c r="L107" s="299" t="n"/>
      <c r="M107" s="302" t="n"/>
      <c r="N107" s="298" t="n"/>
      <c r="O107" s="299" t="n"/>
    </row>
    <row r="108" ht="62" customHeight="1">
      <c r="A108" s="304" t="n"/>
      <c r="B108" s="299" t="n"/>
      <c r="C108" s="304" t="n"/>
      <c r="D108" s="298" t="n"/>
      <c r="E108" s="299" t="n"/>
      <c r="F108" s="304" t="n"/>
      <c r="G108" s="299" t="n"/>
      <c r="H108" s="304" t="n"/>
      <c r="I108" s="298" t="n"/>
      <c r="J108" s="298" t="n"/>
      <c r="K108" s="298" t="n"/>
      <c r="L108" s="299" t="n"/>
      <c r="M108" s="304" t="n"/>
      <c r="N108" s="298" t="n"/>
      <c r="O108" s="299" t="n"/>
    </row>
    <row r="109" ht="48" customHeight="1">
      <c r="A109" s="302" t="n"/>
      <c r="B109" s="299" t="n"/>
      <c r="C109" s="302" t="n"/>
      <c r="D109" s="298" t="n"/>
      <c r="E109" s="299" t="n"/>
      <c r="F109" s="302" t="n"/>
      <c r="G109" s="299" t="n"/>
      <c r="H109" s="302" t="n"/>
      <c r="I109" s="298" t="n"/>
      <c r="J109" s="298" t="n"/>
      <c r="K109" s="298" t="n"/>
      <c r="L109" s="299" t="n"/>
      <c r="M109" s="302" t="n"/>
      <c r="N109" s="298" t="n"/>
      <c r="O109" s="299" t="n"/>
    </row>
    <row r="110" ht="48" customHeight="1">
      <c r="A110" s="304" t="n"/>
      <c r="B110" s="299" t="n"/>
      <c r="C110" s="304" t="n"/>
      <c r="D110" s="298" t="n"/>
      <c r="E110" s="299" t="n"/>
      <c r="F110" s="304" t="n"/>
      <c r="G110" s="299" t="n"/>
      <c r="H110" s="304" t="n"/>
      <c r="I110" s="298" t="n"/>
      <c r="J110" s="298" t="n"/>
      <c r="K110" s="298" t="n"/>
      <c r="L110" s="299" t="n"/>
      <c r="M110" s="304" t="n"/>
      <c r="N110" s="298" t="n"/>
      <c r="O110" s="299" t="n"/>
    </row>
    <row r="111" ht="10" customHeight="1">
      <c r="A111" s="305" t="n"/>
      <c r="B111" s="305" t="n"/>
      <c r="C111" s="305" t="n"/>
      <c r="D111" s="305" t="n"/>
      <c r="E111" s="305" t="n"/>
      <c r="F111" s="305" t="n"/>
      <c r="G111" s="305" t="n"/>
      <c r="H111" s="305" t="n"/>
      <c r="I111" s="305" t="n"/>
      <c r="J111" s="305" t="n"/>
      <c r="K111" s="305" t="n"/>
      <c r="L111" s="305" t="n"/>
      <c r="M111" s="305" t="n"/>
      <c r="N111" s="305" t="n"/>
      <c r="O111" s="305" t="n"/>
    </row>
    <row r="112" ht="25" customHeight="1">
      <c r="A112" s="300" t="inlineStr">
        <is>
          <t>Guidance / Promise interpretation</t>
        </is>
      </c>
      <c r="B112" s="298" t="n"/>
      <c r="C112" s="298" t="n"/>
      <c r="D112" s="298" t="n"/>
      <c r="E112" s="298" t="n"/>
      <c r="F112" s="298" t="n"/>
      <c r="G112" s="298" t="n"/>
      <c r="H112" s="298" t="n"/>
      <c r="I112" s="298" t="n"/>
      <c r="J112" s="298" t="n"/>
      <c r="K112" s="298" t="n"/>
      <c r="L112" s="298" t="n"/>
      <c r="M112" s="298" t="n"/>
      <c r="N112" s="298" t="n"/>
      <c r="O112" s="299" t="n"/>
    </row>
    <row r="113" ht="26" customHeight="1">
      <c r="A113" s="306" t="inlineStr">
        <is>
          <t>Promise / guidance item</t>
        </is>
      </c>
      <c r="B113" s="299" t="n"/>
      <c r="C113" s="306" t="inlineStr">
        <is>
          <t>Read</t>
        </is>
      </c>
      <c r="D113" s="298" t="n"/>
      <c r="E113" s="299" t="n"/>
      <c r="F113" s="306" t="inlineStr">
        <is>
          <t>Actual / progress interpretation</t>
        </is>
      </c>
      <c r="G113" s="298" t="n"/>
      <c r="H113" s="299" t="n"/>
      <c r="I113" s="306" t="inlineStr">
        <is>
          <t>Status / caveat</t>
        </is>
      </c>
      <c r="J113" s="298" t="n"/>
      <c r="K113" s="298" t="n"/>
      <c r="L113" s="299" t="n"/>
      <c r="M113" s="306" t="inlineStr">
        <is>
          <t>Source</t>
        </is>
      </c>
      <c r="N113" s="298" t="n"/>
      <c r="O113" s="299" t="n"/>
    </row>
    <row r="114" ht="48" customHeight="1">
      <c r="A114" s="302" t="n"/>
      <c r="B114" s="299" t="n"/>
      <c r="C114" s="302" t="n"/>
      <c r="D114" s="298" t="n"/>
      <c r="E114" s="299" t="n"/>
      <c r="F114" s="302" t="n"/>
      <c r="G114" s="298" t="n"/>
      <c r="H114" s="299" t="n"/>
      <c r="I114" s="302" t="n"/>
      <c r="J114" s="298" t="n"/>
      <c r="K114" s="298" t="n"/>
      <c r="L114" s="299" t="n"/>
      <c r="M114" s="302" t="n"/>
      <c r="N114" s="298" t="n"/>
      <c r="O114" s="299" t="n"/>
    </row>
    <row r="115" ht="34" customHeight="1">
      <c r="A115" s="304" t="n"/>
      <c r="B115" s="299" t="n"/>
      <c r="C115" s="304" t="n"/>
      <c r="D115" s="298" t="n"/>
      <c r="E115" s="299" t="n"/>
      <c r="F115" s="304" t="n"/>
      <c r="G115" s="298" t="n"/>
      <c r="H115" s="299" t="n"/>
      <c r="I115" s="304" t="n"/>
      <c r="J115" s="298" t="n"/>
      <c r="K115" s="298" t="n"/>
      <c r="L115" s="299" t="n"/>
      <c r="M115" s="304" t="n"/>
      <c r="N115" s="298" t="n"/>
      <c r="O115" s="299" t="n"/>
    </row>
    <row r="116" ht="34" customHeight="1">
      <c r="A116" s="302" t="n"/>
      <c r="B116" s="299" t="n"/>
      <c r="C116" s="302" t="n"/>
      <c r="D116" s="298" t="n"/>
      <c r="E116" s="299" t="n"/>
      <c r="F116" s="302" t="n"/>
      <c r="G116" s="298" t="n"/>
      <c r="H116" s="299" t="n"/>
      <c r="I116" s="302" t="n"/>
      <c r="J116" s="298" t="n"/>
      <c r="K116" s="298" t="n"/>
      <c r="L116" s="299" t="n"/>
      <c r="M116" s="302" t="n"/>
      <c r="N116" s="298" t="n"/>
      <c r="O116" s="299" t="n"/>
    </row>
    <row r="117" ht="10" customHeight="1">
      <c r="A117" s="305" t="n"/>
      <c r="B117" s="305" t="n"/>
      <c r="C117" s="305" t="n"/>
      <c r="D117" s="305" t="n"/>
      <c r="E117" s="305" t="n"/>
      <c r="F117" s="305" t="n"/>
      <c r="G117" s="305" t="n"/>
      <c r="H117" s="305" t="n"/>
      <c r="I117" s="305" t="n"/>
      <c r="J117" s="305" t="n"/>
      <c r="K117" s="305" t="n"/>
      <c r="L117" s="305" t="n"/>
      <c r="M117" s="305" t="n"/>
      <c r="N117" s="305" t="n"/>
      <c r="O117" s="305" t="n"/>
    </row>
    <row r="118" ht="25" customHeight="1">
      <c r="A118" s="300" t="inlineStr">
        <is>
          <t>Model mapping / double-count guardrails</t>
        </is>
      </c>
      <c r="B118" s="298" t="n"/>
      <c r="C118" s="298" t="n"/>
      <c r="D118" s="298" t="n"/>
      <c r="E118" s="298" t="n"/>
      <c r="F118" s="298" t="n"/>
      <c r="G118" s="298" t="n"/>
      <c r="H118" s="298" t="n"/>
      <c r="I118" s="298" t="n"/>
      <c r="J118" s="298" t="n"/>
      <c r="K118" s="298" t="n"/>
      <c r="L118" s="298" t="n"/>
      <c r="M118" s="298" t="n"/>
      <c r="N118" s="298" t="n"/>
      <c r="O118" s="299" t="n"/>
    </row>
    <row r="119" ht="26" customHeight="1">
      <c r="A119" s="306" t="inlineStr">
        <is>
          <t>Driver</t>
        </is>
      </c>
      <c r="B119" s="299" t="n"/>
      <c r="C119" s="306" t="inlineStr">
        <is>
          <t>Model treatment</t>
        </is>
      </c>
      <c r="D119" s="298" t="n"/>
      <c r="E119" s="298" t="n"/>
      <c r="F119" s="299" t="n"/>
      <c r="G119" s="306" t="inlineStr">
        <is>
          <t>Double-count guardrail</t>
        </is>
      </c>
      <c r="H119" s="298" t="n"/>
      <c r="I119" s="298" t="n"/>
      <c r="J119" s="298" t="n"/>
      <c r="K119" s="298" t="n"/>
      <c r="L119" s="299" t="n"/>
      <c r="M119" s="306" t="inlineStr">
        <is>
          <t>Linked sheet / metric</t>
        </is>
      </c>
      <c r="N119" s="298" t="n"/>
      <c r="O119" s="299" t="n"/>
    </row>
    <row r="120" ht="34" customHeight="1">
      <c r="A120" s="302" t="n"/>
      <c r="B120" s="299" t="n"/>
      <c r="C120" s="302" t="n"/>
      <c r="D120" s="298" t="n"/>
      <c r="E120" s="298" t="n"/>
      <c r="F120" s="299" t="n"/>
      <c r="G120" s="302" t="n"/>
      <c r="H120" s="298" t="n"/>
      <c r="I120" s="298" t="n"/>
      <c r="J120" s="298" t="n"/>
      <c r="K120" s="298" t="n"/>
      <c r="L120" s="299" t="n"/>
      <c r="M120" s="302" t="n"/>
      <c r="N120" s="298" t="n"/>
      <c r="O120" s="299" t="n"/>
    </row>
    <row r="121" ht="48" customHeight="1">
      <c r="A121" s="304" t="n"/>
      <c r="B121" s="299" t="n"/>
      <c r="C121" s="304" t="n"/>
      <c r="D121" s="298" t="n"/>
      <c r="E121" s="298" t="n"/>
      <c r="F121" s="299" t="n"/>
      <c r="G121" s="304" t="n"/>
      <c r="H121" s="298" t="n"/>
      <c r="I121" s="298" t="n"/>
      <c r="J121" s="298" t="n"/>
      <c r="K121" s="298" t="n"/>
      <c r="L121" s="299" t="n"/>
      <c r="M121" s="304" t="n"/>
      <c r="N121" s="298" t="n"/>
      <c r="O121" s="299" t="n"/>
    </row>
    <row r="122" ht="34" customHeight="1">
      <c r="A122" s="302" t="n"/>
      <c r="B122" s="299" t="n"/>
      <c r="C122" s="302" t="n"/>
      <c r="D122" s="298" t="n"/>
      <c r="E122" s="298" t="n"/>
      <c r="F122" s="299" t="n"/>
      <c r="G122" s="302" t="n"/>
      <c r="H122" s="298" t="n"/>
      <c r="I122" s="298" t="n"/>
      <c r="J122" s="298" t="n"/>
      <c r="K122" s="298" t="n"/>
      <c r="L122" s="299" t="n"/>
      <c r="M122" s="302" t="n"/>
      <c r="N122" s="298" t="n"/>
      <c r="O122" s="299" t="n"/>
    </row>
    <row r="123" ht="48" customHeight="1">
      <c r="A123" s="304" t="n"/>
      <c r="B123" s="299" t="n"/>
      <c r="C123" s="304" t="n"/>
      <c r="D123" s="298" t="n"/>
      <c r="E123" s="298" t="n"/>
      <c r="F123" s="299" t="n"/>
      <c r="G123" s="304" t="n"/>
      <c r="H123" s="298" t="n"/>
      <c r="I123" s="298" t="n"/>
      <c r="J123" s="298" t="n"/>
      <c r="K123" s="298" t="n"/>
      <c r="L123" s="299" t="n"/>
      <c r="M123" s="304" t="n"/>
      <c r="N123" s="298" t="n"/>
      <c r="O123" s="299" t="n"/>
    </row>
    <row r="124" ht="48" customHeight="1">
      <c r="A124" s="302" t="n"/>
      <c r="B124" s="299" t="n"/>
      <c r="C124" s="302" t="n"/>
      <c r="D124" s="298" t="n"/>
      <c r="E124" s="298" t="n"/>
      <c r="F124" s="299" t="n"/>
      <c r="G124" s="302" t="n"/>
      <c r="H124" s="298" t="n"/>
      <c r="I124" s="298" t="n"/>
      <c r="J124" s="298" t="n"/>
      <c r="K124" s="298" t="n"/>
      <c r="L124" s="299" t="n"/>
      <c r="M124" s="302" t="n"/>
      <c r="N124" s="298" t="n"/>
      <c r="O124" s="299" t="n"/>
    </row>
    <row r="125" ht="34" customHeight="1">
      <c r="A125" s="304" t="n"/>
      <c r="B125" s="299" t="n"/>
      <c r="C125" s="304" t="n"/>
      <c r="D125" s="298" t="n"/>
      <c r="E125" s="298" t="n"/>
      <c r="F125" s="299" t="n"/>
      <c r="G125" s="304" t="n"/>
      <c r="H125" s="298" t="n"/>
      <c r="I125" s="298" t="n"/>
      <c r="J125" s="298" t="n"/>
      <c r="K125" s="298" t="n"/>
      <c r="L125" s="299" t="n"/>
      <c r="M125" s="304" t="n"/>
      <c r="N125" s="298" t="n"/>
      <c r="O125" s="299" t="n"/>
    </row>
    <row r="126" ht="24" customHeight="1">
      <c r="A126" s="305" t="n"/>
      <c r="B126" s="305" t="n"/>
      <c r="C126" s="305" t="n"/>
      <c r="D126" s="305" t="n"/>
      <c r="E126" s="305" t="n"/>
      <c r="F126" s="305" t="n"/>
      <c r="G126" s="305" t="n"/>
      <c r="H126" s="305" t="n"/>
      <c r="I126" s="305" t="n"/>
      <c r="J126" s="305" t="n"/>
      <c r="K126" s="305" t="n"/>
      <c r="L126" s="305" t="n"/>
      <c r="M126" s="305" t="n"/>
      <c r="N126" s="305" t="n"/>
      <c r="O126" s="305" t="n"/>
    </row>
    <row r="127" ht="24" customHeight="1">
      <c r="A127" s="297" t="inlineStr">
        <is>
          <t>Historical quarter notes 4</t>
        </is>
      </c>
      <c r="B127" s="298" t="n"/>
      <c r="C127" s="298" t="n"/>
      <c r="D127" s="298" t="n"/>
      <c r="E127" s="298" t="n"/>
      <c r="F127" s="298" t="n"/>
      <c r="G127" s="298" t="n"/>
      <c r="H127" s="298" t="n"/>
      <c r="I127" s="298" t="n"/>
      <c r="J127" s="298" t="n"/>
      <c r="K127" s="298" t="n"/>
      <c r="L127" s="298" t="n"/>
      <c r="M127" s="298" t="n"/>
      <c r="N127" s="298" t="n"/>
      <c r="O127" s="299" t="n"/>
    </row>
    <row r="128" ht="25" customHeight="1">
      <c r="A128" s="300" t="inlineStr">
        <is>
          <t>Quarter read</t>
        </is>
      </c>
      <c r="B128" s="298" t="n"/>
      <c r="C128" s="298" t="n"/>
      <c r="D128" s="298" t="n"/>
      <c r="E128" s="298" t="n"/>
      <c r="F128" s="298" t="n"/>
      <c r="G128" s="298" t="n"/>
      <c r="H128" s="298" t="n"/>
      <c r="I128" s="298" t="n"/>
      <c r="J128" s="298" t="n"/>
      <c r="K128" s="298" t="n"/>
      <c r="L128" s="298" t="n"/>
      <c r="M128" s="298" t="n"/>
      <c r="N128" s="298" t="n"/>
      <c r="O128" s="299" t="n"/>
    </row>
    <row r="129" ht="44" customHeight="1">
      <c r="A129" s="301" t="inlineStr">
        <is>
          <t>Model read</t>
        </is>
      </c>
      <c r="B129" s="302" t="n"/>
      <c r="C129" s="298" t="n"/>
      <c r="D129" s="298" t="n"/>
      <c r="E129" s="298" t="n"/>
      <c r="F129" s="298" t="n"/>
      <c r="G129" s="298" t="n"/>
      <c r="H129" s="298" t="n"/>
      <c r="I129" s="298" t="n"/>
      <c r="J129" s="298" t="n"/>
      <c r="K129" s="298" t="n"/>
      <c r="L129" s="298" t="n"/>
      <c r="M129" s="298" t="n"/>
      <c r="N129" s="298" t="n"/>
      <c r="O129" s="299" t="n"/>
    </row>
    <row r="130" ht="58" customHeight="1">
      <c r="A130" s="303" t="inlineStr">
        <is>
          <t>What changed</t>
        </is>
      </c>
      <c r="B130" s="304" t="n"/>
      <c r="C130" s="298" t="n"/>
      <c r="D130" s="298" t="n"/>
      <c r="E130" s="298" t="n"/>
      <c r="F130" s="298" t="n"/>
      <c r="G130" s="298" t="n"/>
      <c r="H130" s="298" t="n"/>
      <c r="I130" s="298" t="n"/>
      <c r="J130" s="298" t="n"/>
      <c r="K130" s="298" t="n"/>
      <c r="L130" s="298" t="n"/>
      <c r="M130" s="298" t="n"/>
      <c r="N130" s="298" t="n"/>
      <c r="O130" s="299" t="n"/>
    </row>
    <row r="131" ht="30" customHeight="1">
      <c r="A131" s="301" t="inlineStr">
        <is>
          <t>Watch next</t>
        </is>
      </c>
      <c r="B131" s="302" t="n"/>
      <c r="C131" s="298" t="n"/>
      <c r="D131" s="298" t="n"/>
      <c r="E131" s="298" t="n"/>
      <c r="F131" s="298" t="n"/>
      <c r="G131" s="298" t="n"/>
      <c r="H131" s="298" t="n"/>
      <c r="I131" s="298" t="n"/>
      <c r="J131" s="298" t="n"/>
      <c r="K131" s="298" t="n"/>
      <c r="L131" s="298" t="n"/>
      <c r="M131" s="298" t="n"/>
      <c r="N131" s="298" t="n"/>
      <c r="O131" s="299" t="n"/>
    </row>
    <row r="132" ht="30" customHeight="1">
      <c r="A132" s="303" t="inlineStr">
        <is>
          <t>Key caveat</t>
        </is>
      </c>
      <c r="B132" s="304" t="n"/>
      <c r="C132" s="298" t="n"/>
      <c r="D132" s="298" t="n"/>
      <c r="E132" s="298" t="n"/>
      <c r="F132" s="298" t="n"/>
      <c r="G132" s="298" t="n"/>
      <c r="H132" s="298" t="n"/>
      <c r="I132" s="298" t="n"/>
      <c r="J132" s="298" t="n"/>
      <c r="K132" s="298" t="n"/>
      <c r="L132" s="298" t="n"/>
      <c r="M132" s="298" t="n"/>
      <c r="N132" s="298" t="n"/>
      <c r="O132" s="299" t="n"/>
    </row>
    <row r="133" ht="10" customHeight="1">
      <c r="A133" s="305" t="n"/>
      <c r="B133" s="305" t="n"/>
      <c r="C133" s="305" t="n"/>
      <c r="D133" s="305" t="n"/>
      <c r="E133" s="305" t="n"/>
      <c r="F133" s="305" t="n"/>
      <c r="G133" s="305" t="n"/>
      <c r="H133" s="305" t="n"/>
      <c r="I133" s="305" t="n"/>
      <c r="J133" s="305" t="n"/>
      <c r="K133" s="305" t="n"/>
      <c r="L133" s="305" t="n"/>
      <c r="M133" s="305" t="n"/>
      <c r="N133" s="305" t="n"/>
      <c r="O133" s="305" t="n"/>
    </row>
    <row r="134" ht="25" customHeight="1">
      <c r="A134" s="300" t="inlineStr">
        <is>
          <t>Key developments</t>
        </is>
      </c>
      <c r="B134" s="298" t="n"/>
      <c r="C134" s="298" t="n"/>
      <c r="D134" s="298" t="n"/>
      <c r="E134" s="298" t="n"/>
      <c r="F134" s="298" t="n"/>
      <c r="G134" s="298" t="n"/>
      <c r="H134" s="298" t="n"/>
      <c r="I134" s="298" t="n"/>
      <c r="J134" s="298" t="n"/>
      <c r="K134" s="298" t="n"/>
      <c r="L134" s="298" t="n"/>
      <c r="M134" s="298" t="n"/>
      <c r="N134" s="298" t="n"/>
      <c r="O134" s="299" t="n"/>
    </row>
    <row r="135" ht="26" customHeight="1">
      <c r="A135" s="306" t="inlineStr">
        <is>
          <t>Theme</t>
        </is>
      </c>
      <c r="B135" s="299" t="n"/>
      <c r="C135" s="306" t="inlineStr">
        <is>
          <t>What happened</t>
        </is>
      </c>
      <c r="D135" s="298" t="n"/>
      <c r="E135" s="299" t="n"/>
      <c r="F135" s="306" t="inlineStr">
        <is>
          <t>Why it matters</t>
        </is>
      </c>
      <c r="G135" s="299" t="n"/>
      <c r="H135" s="306" t="inlineStr">
        <is>
          <t>Model / valuation implication</t>
        </is>
      </c>
      <c r="I135" s="298" t="n"/>
      <c r="J135" s="298" t="n"/>
      <c r="K135" s="298" t="n"/>
      <c r="L135" s="299" t="n"/>
      <c r="M135" s="306" t="inlineStr">
        <is>
          <t>Source / confidence</t>
        </is>
      </c>
      <c r="N135" s="298" t="n"/>
      <c r="O135" s="299" t="n"/>
    </row>
    <row r="136" ht="62" customHeight="1">
      <c r="A136" s="302" t="n"/>
      <c r="B136" s="299" t="n"/>
      <c r="C136" s="302" t="n"/>
      <c r="D136" s="298" t="n"/>
      <c r="E136" s="299" t="n"/>
      <c r="F136" s="302" t="n"/>
      <c r="G136" s="299" t="n"/>
      <c r="H136" s="302" t="n"/>
      <c r="I136" s="298" t="n"/>
      <c r="J136" s="298" t="n"/>
      <c r="K136" s="298" t="n"/>
      <c r="L136" s="299" t="n"/>
      <c r="M136" s="302" t="n"/>
      <c r="N136" s="298" t="n"/>
      <c r="O136" s="299" t="n"/>
    </row>
    <row r="137" ht="48" customHeight="1">
      <c r="A137" s="304" t="n"/>
      <c r="B137" s="299" t="n"/>
      <c r="C137" s="304" t="n"/>
      <c r="D137" s="298" t="n"/>
      <c r="E137" s="299" t="n"/>
      <c r="F137" s="304" t="n"/>
      <c r="G137" s="299" t="n"/>
      <c r="H137" s="304" t="n"/>
      <c r="I137" s="298" t="n"/>
      <c r="J137" s="298" t="n"/>
      <c r="K137" s="298" t="n"/>
      <c r="L137" s="299" t="n"/>
      <c r="M137" s="304" t="n"/>
      <c r="N137" s="298" t="n"/>
      <c r="O137" s="299" t="n"/>
    </row>
    <row r="138" ht="48" customHeight="1">
      <c r="A138" s="302" t="n"/>
      <c r="B138" s="299" t="n"/>
      <c r="C138" s="302" t="n"/>
      <c r="D138" s="298" t="n"/>
      <c r="E138" s="299" t="n"/>
      <c r="F138" s="302" t="n"/>
      <c r="G138" s="299" t="n"/>
      <c r="H138" s="302" t="n"/>
      <c r="I138" s="298" t="n"/>
      <c r="J138" s="298" t="n"/>
      <c r="K138" s="298" t="n"/>
      <c r="L138" s="299" t="n"/>
      <c r="M138" s="302" t="n"/>
      <c r="N138" s="298" t="n"/>
      <c r="O138" s="299" t="n"/>
    </row>
    <row r="139" ht="62" customHeight="1">
      <c r="A139" s="304" t="n"/>
      <c r="B139" s="299" t="n"/>
      <c r="C139" s="304" t="n"/>
      <c r="D139" s="298" t="n"/>
      <c r="E139" s="299" t="n"/>
      <c r="F139" s="304" t="n"/>
      <c r="G139" s="299" t="n"/>
      <c r="H139" s="304" t="n"/>
      <c r="I139" s="298" t="n"/>
      <c r="J139" s="298" t="n"/>
      <c r="K139" s="298" t="n"/>
      <c r="L139" s="299" t="n"/>
      <c r="M139" s="304" t="n"/>
      <c r="N139" s="298" t="n"/>
      <c r="O139" s="299" t="n"/>
    </row>
    <row r="140" ht="48" customHeight="1">
      <c r="A140" s="302" t="n"/>
      <c r="B140" s="299" t="n"/>
      <c r="C140" s="302" t="n"/>
      <c r="D140" s="298" t="n"/>
      <c r="E140" s="299" t="n"/>
      <c r="F140" s="302" t="n"/>
      <c r="G140" s="299" t="n"/>
      <c r="H140" s="302" t="n"/>
      <c r="I140" s="298" t="n"/>
      <c r="J140" s="298" t="n"/>
      <c r="K140" s="298" t="n"/>
      <c r="L140" s="299" t="n"/>
      <c r="M140" s="302" t="n"/>
      <c r="N140" s="298" t="n"/>
      <c r="O140" s="299" t="n"/>
    </row>
    <row r="141" ht="48" customHeight="1">
      <c r="A141" s="304" t="n"/>
      <c r="B141" s="299" t="n"/>
      <c r="C141" s="304" t="n"/>
      <c r="D141" s="298" t="n"/>
      <c r="E141" s="299" t="n"/>
      <c r="F141" s="304" t="n"/>
      <c r="G141" s="299" t="n"/>
      <c r="H141" s="304" t="n"/>
      <c r="I141" s="298" t="n"/>
      <c r="J141" s="298" t="n"/>
      <c r="K141" s="298" t="n"/>
      <c r="L141" s="299" t="n"/>
      <c r="M141" s="304" t="n"/>
      <c r="N141" s="298" t="n"/>
      <c r="O141" s="299" t="n"/>
    </row>
    <row r="142" ht="10" customHeight="1">
      <c r="A142" s="305" t="n"/>
      <c r="B142" s="305" t="n"/>
      <c r="C142" s="305" t="n"/>
      <c r="D142" s="305" t="n"/>
      <c r="E142" s="305" t="n"/>
      <c r="F142" s="305" t="n"/>
      <c r="G142" s="305" t="n"/>
      <c r="H142" s="305" t="n"/>
      <c r="I142" s="305" t="n"/>
      <c r="J142" s="305" t="n"/>
      <c r="K142" s="305" t="n"/>
      <c r="L142" s="305" t="n"/>
      <c r="M142" s="305" t="n"/>
      <c r="N142" s="305" t="n"/>
      <c r="O142" s="305" t="n"/>
    </row>
    <row r="143" ht="25" customHeight="1">
      <c r="A143" s="300" t="inlineStr">
        <is>
          <t>Guidance / Promise interpretation</t>
        </is>
      </c>
      <c r="B143" s="298" t="n"/>
      <c r="C143" s="298" t="n"/>
      <c r="D143" s="298" t="n"/>
      <c r="E143" s="298" t="n"/>
      <c r="F143" s="298" t="n"/>
      <c r="G143" s="298" t="n"/>
      <c r="H143" s="298" t="n"/>
      <c r="I143" s="298" t="n"/>
      <c r="J143" s="298" t="n"/>
      <c r="K143" s="298" t="n"/>
      <c r="L143" s="298" t="n"/>
      <c r="M143" s="298" t="n"/>
      <c r="N143" s="298" t="n"/>
      <c r="O143" s="299" t="n"/>
    </row>
    <row r="144" ht="26" customHeight="1">
      <c r="A144" s="306" t="inlineStr">
        <is>
          <t>Promise / guidance item</t>
        </is>
      </c>
      <c r="B144" s="299" t="n"/>
      <c r="C144" s="306" t="inlineStr">
        <is>
          <t>Read</t>
        </is>
      </c>
      <c r="D144" s="298" t="n"/>
      <c r="E144" s="299" t="n"/>
      <c r="F144" s="306" t="inlineStr">
        <is>
          <t>Actual / progress interpretation</t>
        </is>
      </c>
      <c r="G144" s="298" t="n"/>
      <c r="H144" s="299" t="n"/>
      <c r="I144" s="306" t="inlineStr">
        <is>
          <t>Status / caveat</t>
        </is>
      </c>
      <c r="J144" s="298" t="n"/>
      <c r="K144" s="298" t="n"/>
      <c r="L144" s="299" t="n"/>
      <c r="M144" s="306" t="inlineStr">
        <is>
          <t>Source</t>
        </is>
      </c>
      <c r="N144" s="298" t="n"/>
      <c r="O144" s="299" t="n"/>
    </row>
    <row r="145" ht="48" customHeight="1">
      <c r="A145" s="302" t="n"/>
      <c r="B145" s="299" t="n"/>
      <c r="C145" s="302" t="n"/>
      <c r="D145" s="298" t="n"/>
      <c r="E145" s="299" t="n"/>
      <c r="F145" s="302" t="n"/>
      <c r="G145" s="298" t="n"/>
      <c r="H145" s="299" t="n"/>
      <c r="I145" s="302" t="n"/>
      <c r="J145" s="298" t="n"/>
      <c r="K145" s="298" t="n"/>
      <c r="L145" s="299" t="n"/>
      <c r="M145" s="302" t="n"/>
      <c r="N145" s="298" t="n"/>
      <c r="O145" s="299" t="n"/>
    </row>
    <row r="146" ht="34" customHeight="1">
      <c r="A146" s="304" t="n"/>
      <c r="B146" s="299" t="n"/>
      <c r="C146" s="304" t="n"/>
      <c r="D146" s="298" t="n"/>
      <c r="E146" s="299" t="n"/>
      <c r="F146" s="304" t="n"/>
      <c r="G146" s="298" t="n"/>
      <c r="H146" s="299" t="n"/>
      <c r="I146" s="304" t="n"/>
      <c r="J146" s="298" t="n"/>
      <c r="K146" s="298" t="n"/>
      <c r="L146" s="299" t="n"/>
      <c r="M146" s="304" t="n"/>
      <c r="N146" s="298" t="n"/>
      <c r="O146" s="299" t="n"/>
    </row>
    <row r="147" ht="34" customHeight="1">
      <c r="A147" s="302" t="n"/>
      <c r="B147" s="299" t="n"/>
      <c r="C147" s="302" t="n"/>
      <c r="D147" s="298" t="n"/>
      <c r="E147" s="299" t="n"/>
      <c r="F147" s="302" t="n"/>
      <c r="G147" s="298" t="n"/>
      <c r="H147" s="299" t="n"/>
      <c r="I147" s="302" t="n"/>
      <c r="J147" s="298" t="n"/>
      <c r="K147" s="298" t="n"/>
      <c r="L147" s="299" t="n"/>
      <c r="M147" s="302" t="n"/>
      <c r="N147" s="298" t="n"/>
      <c r="O147" s="299" t="n"/>
    </row>
    <row r="148" ht="10" customHeight="1">
      <c r="A148" s="305" t="n"/>
      <c r="B148" s="305" t="n"/>
      <c r="C148" s="305" t="n"/>
      <c r="D148" s="305" t="n"/>
      <c r="E148" s="305" t="n"/>
      <c r="F148" s="305" t="n"/>
      <c r="G148" s="305" t="n"/>
      <c r="H148" s="305" t="n"/>
      <c r="I148" s="305" t="n"/>
      <c r="J148" s="305" t="n"/>
      <c r="K148" s="305" t="n"/>
      <c r="L148" s="305" t="n"/>
      <c r="M148" s="305" t="n"/>
      <c r="N148" s="305" t="n"/>
      <c r="O148" s="305" t="n"/>
    </row>
    <row r="149" ht="25" customHeight="1">
      <c r="A149" s="300" t="inlineStr">
        <is>
          <t>Model mapping / double-count guardrails</t>
        </is>
      </c>
      <c r="B149" s="298" t="n"/>
      <c r="C149" s="298" t="n"/>
      <c r="D149" s="298" t="n"/>
      <c r="E149" s="298" t="n"/>
      <c r="F149" s="298" t="n"/>
      <c r="G149" s="298" t="n"/>
      <c r="H149" s="298" t="n"/>
      <c r="I149" s="298" t="n"/>
      <c r="J149" s="298" t="n"/>
      <c r="K149" s="298" t="n"/>
      <c r="L149" s="298" t="n"/>
      <c r="M149" s="298" t="n"/>
      <c r="N149" s="298" t="n"/>
      <c r="O149" s="299" t="n"/>
    </row>
    <row r="150" ht="26" customHeight="1">
      <c r="A150" s="306" t="inlineStr">
        <is>
          <t>Driver</t>
        </is>
      </c>
      <c r="B150" s="299" t="n"/>
      <c r="C150" s="306" t="inlineStr">
        <is>
          <t>Model treatment</t>
        </is>
      </c>
      <c r="D150" s="298" t="n"/>
      <c r="E150" s="298" t="n"/>
      <c r="F150" s="299" t="n"/>
      <c r="G150" s="306" t="inlineStr">
        <is>
          <t>Double-count guardrail</t>
        </is>
      </c>
      <c r="H150" s="298" t="n"/>
      <c r="I150" s="298" t="n"/>
      <c r="J150" s="298" t="n"/>
      <c r="K150" s="298" t="n"/>
      <c r="L150" s="299" t="n"/>
      <c r="M150" s="306" t="inlineStr">
        <is>
          <t>Linked sheet / metric</t>
        </is>
      </c>
      <c r="N150" s="298" t="n"/>
      <c r="O150" s="299" t="n"/>
    </row>
    <row r="151" ht="34" customHeight="1">
      <c r="A151" s="302" t="n"/>
      <c r="B151" s="299" t="n"/>
      <c r="C151" s="302" t="n"/>
      <c r="D151" s="298" t="n"/>
      <c r="E151" s="298" t="n"/>
      <c r="F151" s="299" t="n"/>
      <c r="G151" s="302" t="n"/>
      <c r="H151" s="298" t="n"/>
      <c r="I151" s="298" t="n"/>
      <c r="J151" s="298" t="n"/>
      <c r="K151" s="298" t="n"/>
      <c r="L151" s="299" t="n"/>
      <c r="M151" s="302" t="n"/>
      <c r="N151" s="298" t="n"/>
      <c r="O151" s="299" t="n"/>
    </row>
    <row r="152" ht="48" customHeight="1">
      <c r="A152" s="304" t="n"/>
      <c r="B152" s="299" t="n"/>
      <c r="C152" s="304" t="n"/>
      <c r="D152" s="298" t="n"/>
      <c r="E152" s="298" t="n"/>
      <c r="F152" s="299" t="n"/>
      <c r="G152" s="304" t="n"/>
      <c r="H152" s="298" t="n"/>
      <c r="I152" s="298" t="n"/>
      <c r="J152" s="298" t="n"/>
      <c r="K152" s="298" t="n"/>
      <c r="L152" s="299" t="n"/>
      <c r="M152" s="304" t="n"/>
      <c r="N152" s="298" t="n"/>
      <c r="O152" s="299" t="n"/>
    </row>
    <row r="153" ht="34" customHeight="1">
      <c r="A153" s="302" t="n"/>
      <c r="B153" s="299" t="n"/>
      <c r="C153" s="302" t="n"/>
      <c r="D153" s="298" t="n"/>
      <c r="E153" s="298" t="n"/>
      <c r="F153" s="299" t="n"/>
      <c r="G153" s="302" t="n"/>
      <c r="H153" s="298" t="n"/>
      <c r="I153" s="298" t="n"/>
      <c r="J153" s="298" t="n"/>
      <c r="K153" s="298" t="n"/>
      <c r="L153" s="299" t="n"/>
      <c r="M153" s="302" t="n"/>
      <c r="N153" s="298" t="n"/>
      <c r="O153" s="299" t="n"/>
    </row>
    <row r="154" ht="48" customHeight="1">
      <c r="A154" s="304" t="n"/>
      <c r="B154" s="299" t="n"/>
      <c r="C154" s="304" t="n"/>
      <c r="D154" s="298" t="n"/>
      <c r="E154" s="298" t="n"/>
      <c r="F154" s="299" t="n"/>
      <c r="G154" s="304" t="n"/>
      <c r="H154" s="298" t="n"/>
      <c r="I154" s="298" t="n"/>
      <c r="J154" s="298" t="n"/>
      <c r="K154" s="298" t="n"/>
      <c r="L154" s="299" t="n"/>
      <c r="M154" s="304" t="n"/>
      <c r="N154" s="298" t="n"/>
      <c r="O154" s="299" t="n"/>
    </row>
    <row r="155" ht="48" customHeight="1">
      <c r="A155" s="302" t="n"/>
      <c r="B155" s="299" t="n"/>
      <c r="C155" s="302" t="n"/>
      <c r="D155" s="298" t="n"/>
      <c r="E155" s="298" t="n"/>
      <c r="F155" s="299" t="n"/>
      <c r="G155" s="302" t="n"/>
      <c r="H155" s="298" t="n"/>
      <c r="I155" s="298" t="n"/>
      <c r="J155" s="298" t="n"/>
      <c r="K155" s="298" t="n"/>
      <c r="L155" s="299" t="n"/>
      <c r="M155" s="302" t="n"/>
      <c r="N155" s="298" t="n"/>
      <c r="O155" s="299" t="n"/>
    </row>
    <row r="156" ht="34" customHeight="1">
      <c r="A156" s="304" t="n"/>
      <c r="B156" s="299" t="n"/>
      <c r="C156" s="304" t="n"/>
      <c r="D156" s="298" t="n"/>
      <c r="E156" s="298" t="n"/>
      <c r="F156" s="299" t="n"/>
      <c r="G156" s="304" t="n"/>
      <c r="H156" s="298" t="n"/>
      <c r="I156" s="298" t="n"/>
      <c r="J156" s="298" t="n"/>
      <c r="K156" s="298" t="n"/>
      <c r="L156" s="299" t="n"/>
      <c r="M156" s="304" t="n"/>
      <c r="N156" s="298" t="n"/>
      <c r="O156" s="299" t="n"/>
    </row>
    <row r="157" ht="24" customHeight="1">
      <c r="A157" s="305" t="n"/>
      <c r="B157" s="305" t="n"/>
      <c r="C157" s="305" t="n"/>
      <c r="D157" s="305" t="n"/>
      <c r="E157" s="305" t="n"/>
      <c r="F157" s="305" t="n"/>
      <c r="G157" s="305" t="n"/>
      <c r="H157" s="305" t="n"/>
      <c r="I157" s="305" t="n"/>
      <c r="J157" s="305" t="n"/>
      <c r="K157" s="305" t="n"/>
      <c r="L157" s="305" t="n"/>
      <c r="M157" s="305" t="n"/>
      <c r="N157" s="305" t="n"/>
      <c r="O157" s="305" t="n"/>
    </row>
    <row r="158" ht="24" customHeight="1">
      <c r="A158" s="297" t="inlineStr">
        <is>
          <t>Historical quarter notes 5</t>
        </is>
      </c>
      <c r="B158" s="298" t="n"/>
      <c r="C158" s="298" t="n"/>
      <c r="D158" s="298" t="n"/>
      <c r="E158" s="298" t="n"/>
      <c r="F158" s="298" t="n"/>
      <c r="G158" s="298" t="n"/>
      <c r="H158" s="298" t="n"/>
      <c r="I158" s="298" t="n"/>
      <c r="J158" s="298" t="n"/>
      <c r="K158" s="298" t="n"/>
      <c r="L158" s="298" t="n"/>
      <c r="M158" s="298" t="n"/>
      <c r="N158" s="298" t="n"/>
      <c r="O158" s="299" t="n"/>
    </row>
    <row r="159" ht="25" customHeight="1">
      <c r="A159" s="300" t="inlineStr">
        <is>
          <t>Quarter read</t>
        </is>
      </c>
      <c r="B159" s="298" t="n"/>
      <c r="C159" s="298" t="n"/>
      <c r="D159" s="298" t="n"/>
      <c r="E159" s="298" t="n"/>
      <c r="F159" s="298" t="n"/>
      <c r="G159" s="298" t="n"/>
      <c r="H159" s="298" t="n"/>
      <c r="I159" s="298" t="n"/>
      <c r="J159" s="298" t="n"/>
      <c r="K159" s="298" t="n"/>
      <c r="L159" s="298" t="n"/>
      <c r="M159" s="298" t="n"/>
      <c r="N159" s="298" t="n"/>
      <c r="O159" s="299" t="n"/>
    </row>
    <row r="160" ht="58" customHeight="1">
      <c r="A160" s="301" t="inlineStr">
        <is>
          <t>Model read</t>
        </is>
      </c>
      <c r="B160" s="302" t="n"/>
      <c r="C160" s="298" t="n"/>
      <c r="D160" s="298" t="n"/>
      <c r="E160" s="298" t="n"/>
      <c r="F160" s="298" t="n"/>
      <c r="G160" s="298" t="n"/>
      <c r="H160" s="298" t="n"/>
      <c r="I160" s="298" t="n"/>
      <c r="J160" s="298" t="n"/>
      <c r="K160" s="298" t="n"/>
      <c r="L160" s="298" t="n"/>
      <c r="M160" s="298" t="n"/>
      <c r="N160" s="298" t="n"/>
      <c r="O160" s="299" t="n"/>
    </row>
    <row r="161" ht="44" customHeight="1">
      <c r="A161" s="303" t="inlineStr">
        <is>
          <t>What changed</t>
        </is>
      </c>
      <c r="B161" s="304" t="n"/>
      <c r="C161" s="298" t="n"/>
      <c r="D161" s="298" t="n"/>
      <c r="E161" s="298" t="n"/>
      <c r="F161" s="298" t="n"/>
      <c r="G161" s="298" t="n"/>
      <c r="H161" s="298" t="n"/>
      <c r="I161" s="298" t="n"/>
      <c r="J161" s="298" t="n"/>
      <c r="K161" s="298" t="n"/>
      <c r="L161" s="298" t="n"/>
      <c r="M161" s="298" t="n"/>
      <c r="N161" s="298" t="n"/>
      <c r="O161" s="299" t="n"/>
    </row>
    <row r="162" ht="30" customHeight="1">
      <c r="A162" s="301" t="inlineStr">
        <is>
          <t>Watch next</t>
        </is>
      </c>
      <c r="B162" s="302" t="n"/>
      <c r="C162" s="298" t="n"/>
      <c r="D162" s="298" t="n"/>
      <c r="E162" s="298" t="n"/>
      <c r="F162" s="298" t="n"/>
      <c r="G162" s="298" t="n"/>
      <c r="H162" s="298" t="n"/>
      <c r="I162" s="298" t="n"/>
      <c r="J162" s="298" t="n"/>
      <c r="K162" s="298" t="n"/>
      <c r="L162" s="298" t="n"/>
      <c r="M162" s="298" t="n"/>
      <c r="N162" s="298" t="n"/>
      <c r="O162" s="299" t="n"/>
    </row>
    <row r="163" ht="44" customHeight="1">
      <c r="A163" s="303" t="inlineStr">
        <is>
          <t>Key caveat</t>
        </is>
      </c>
      <c r="B163" s="304" t="n"/>
      <c r="C163" s="298" t="n"/>
      <c r="D163" s="298" t="n"/>
      <c r="E163" s="298" t="n"/>
      <c r="F163" s="298" t="n"/>
      <c r="G163" s="298" t="n"/>
      <c r="H163" s="298" t="n"/>
      <c r="I163" s="298" t="n"/>
      <c r="J163" s="298" t="n"/>
      <c r="K163" s="298" t="n"/>
      <c r="L163" s="298" t="n"/>
      <c r="M163" s="298" t="n"/>
      <c r="N163" s="298" t="n"/>
      <c r="O163" s="299" t="n"/>
    </row>
    <row r="164" ht="10" customHeight="1">
      <c r="A164" s="305" t="n"/>
      <c r="B164" s="305" t="n"/>
      <c r="C164" s="305" t="n"/>
      <c r="D164" s="305" t="n"/>
      <c r="E164" s="305" t="n"/>
      <c r="F164" s="305" t="n"/>
      <c r="G164" s="305" t="n"/>
      <c r="H164" s="305" t="n"/>
      <c r="I164" s="305" t="n"/>
      <c r="J164" s="305" t="n"/>
      <c r="K164" s="305" t="n"/>
      <c r="L164" s="305" t="n"/>
      <c r="M164" s="305" t="n"/>
      <c r="N164" s="305" t="n"/>
      <c r="O164" s="305" t="n"/>
    </row>
    <row r="165" ht="25" customHeight="1">
      <c r="A165" s="300" t="inlineStr">
        <is>
          <t>Key developments</t>
        </is>
      </c>
      <c r="B165" s="298" t="n"/>
      <c r="C165" s="298" t="n"/>
      <c r="D165" s="298" t="n"/>
      <c r="E165" s="298" t="n"/>
      <c r="F165" s="298" t="n"/>
      <c r="G165" s="298" t="n"/>
      <c r="H165" s="298" t="n"/>
      <c r="I165" s="298" t="n"/>
      <c r="J165" s="298" t="n"/>
      <c r="K165" s="298" t="n"/>
      <c r="L165" s="298" t="n"/>
      <c r="M165" s="298" t="n"/>
      <c r="N165" s="298" t="n"/>
      <c r="O165" s="299" t="n"/>
    </row>
    <row r="166" ht="26" customHeight="1">
      <c r="A166" s="306" t="inlineStr">
        <is>
          <t>Theme</t>
        </is>
      </c>
      <c r="B166" s="299" t="n"/>
      <c r="C166" s="306" t="inlineStr">
        <is>
          <t>What happened</t>
        </is>
      </c>
      <c r="D166" s="298" t="n"/>
      <c r="E166" s="299" t="n"/>
      <c r="F166" s="306" t="inlineStr">
        <is>
          <t>Why it matters</t>
        </is>
      </c>
      <c r="G166" s="299" t="n"/>
      <c r="H166" s="306" t="inlineStr">
        <is>
          <t>Model / valuation implication</t>
        </is>
      </c>
      <c r="I166" s="298" t="n"/>
      <c r="J166" s="298" t="n"/>
      <c r="K166" s="298" t="n"/>
      <c r="L166" s="299" t="n"/>
      <c r="M166" s="306" t="inlineStr">
        <is>
          <t>Source / confidence</t>
        </is>
      </c>
      <c r="N166" s="298" t="n"/>
      <c r="O166" s="299" t="n"/>
    </row>
    <row r="167" ht="48" customHeight="1">
      <c r="A167" s="302" t="n"/>
      <c r="B167" s="299" t="n"/>
      <c r="C167" s="302" t="n"/>
      <c r="D167" s="298" t="n"/>
      <c r="E167" s="299" t="n"/>
      <c r="F167" s="302" t="n"/>
      <c r="G167" s="299" t="n"/>
      <c r="H167" s="302" t="n"/>
      <c r="I167" s="298" t="n"/>
      <c r="J167" s="298" t="n"/>
      <c r="K167" s="298" t="n"/>
      <c r="L167" s="299" t="n"/>
      <c r="M167" s="302" t="n"/>
      <c r="N167" s="298" t="n"/>
      <c r="O167" s="299" t="n"/>
    </row>
    <row r="168" ht="48" customHeight="1">
      <c r="A168" s="304" t="n"/>
      <c r="B168" s="299" t="n"/>
      <c r="C168" s="304" t="n"/>
      <c r="D168" s="298" t="n"/>
      <c r="E168" s="299" t="n"/>
      <c r="F168" s="304" t="n"/>
      <c r="G168" s="299" t="n"/>
      <c r="H168" s="304" t="n"/>
      <c r="I168" s="298" t="n"/>
      <c r="J168" s="298" t="n"/>
      <c r="K168" s="298" t="n"/>
      <c r="L168" s="299" t="n"/>
      <c r="M168" s="304" t="n"/>
      <c r="N168" s="298" t="n"/>
      <c r="O168" s="299" t="n"/>
    </row>
    <row r="169" ht="48" customHeight="1">
      <c r="A169" s="302" t="n"/>
      <c r="B169" s="299" t="n"/>
      <c r="C169" s="302" t="n"/>
      <c r="D169" s="298" t="n"/>
      <c r="E169" s="299" t="n"/>
      <c r="F169" s="302" t="n"/>
      <c r="G169" s="299" t="n"/>
      <c r="H169" s="302" t="n"/>
      <c r="I169" s="298" t="n"/>
      <c r="J169" s="298" t="n"/>
      <c r="K169" s="298" t="n"/>
      <c r="L169" s="299" t="n"/>
      <c r="M169" s="302" t="n"/>
      <c r="N169" s="298" t="n"/>
      <c r="O169" s="299" t="n"/>
    </row>
    <row r="170" ht="48" customHeight="1">
      <c r="A170" s="304" t="n"/>
      <c r="B170" s="299" t="n"/>
      <c r="C170" s="304" t="n"/>
      <c r="D170" s="298" t="n"/>
      <c r="E170" s="299" t="n"/>
      <c r="F170" s="304" t="n"/>
      <c r="G170" s="299" t="n"/>
      <c r="H170" s="304" t="n"/>
      <c r="I170" s="298" t="n"/>
      <c r="J170" s="298" t="n"/>
      <c r="K170" s="298" t="n"/>
      <c r="L170" s="299" t="n"/>
      <c r="M170" s="304" t="n"/>
      <c r="N170" s="298" t="n"/>
      <c r="O170" s="299" t="n"/>
    </row>
    <row r="171" ht="48" customHeight="1">
      <c r="A171" s="302" t="n"/>
      <c r="B171" s="299" t="n"/>
      <c r="C171" s="302" t="n"/>
      <c r="D171" s="298" t="n"/>
      <c r="E171" s="299" t="n"/>
      <c r="F171" s="302" t="n"/>
      <c r="G171" s="299" t="n"/>
      <c r="H171" s="302" t="n"/>
      <c r="I171" s="298" t="n"/>
      <c r="J171" s="298" t="n"/>
      <c r="K171" s="298" t="n"/>
      <c r="L171" s="299" t="n"/>
      <c r="M171" s="302" t="n"/>
      <c r="N171" s="298" t="n"/>
      <c r="O171" s="299" t="n"/>
    </row>
    <row r="172" ht="48" customHeight="1">
      <c r="A172" s="304" t="n"/>
      <c r="B172" s="299" t="n"/>
      <c r="C172" s="304" t="n"/>
      <c r="D172" s="298" t="n"/>
      <c r="E172" s="299" t="n"/>
      <c r="F172" s="304" t="n"/>
      <c r="G172" s="299" t="n"/>
      <c r="H172" s="304" t="n"/>
      <c r="I172" s="298" t="n"/>
      <c r="J172" s="298" t="n"/>
      <c r="K172" s="298" t="n"/>
      <c r="L172" s="299" t="n"/>
      <c r="M172" s="304" t="n"/>
      <c r="N172" s="298" t="n"/>
      <c r="O172" s="299" t="n"/>
    </row>
    <row r="173" ht="10" customHeight="1">
      <c r="A173" s="305" t="n"/>
      <c r="B173" s="305" t="n"/>
      <c r="C173" s="305" t="n"/>
      <c r="D173" s="305" t="n"/>
      <c r="E173" s="305" t="n"/>
      <c r="F173" s="305" t="n"/>
      <c r="G173" s="305" t="n"/>
      <c r="H173" s="305" t="n"/>
      <c r="I173" s="305" t="n"/>
      <c r="J173" s="305" t="n"/>
      <c r="K173" s="305" t="n"/>
      <c r="L173" s="305" t="n"/>
      <c r="M173" s="305" t="n"/>
      <c r="N173" s="305" t="n"/>
      <c r="O173" s="305" t="n"/>
    </row>
    <row r="174" ht="25" customHeight="1">
      <c r="A174" s="300" t="inlineStr">
        <is>
          <t>Guidance / Promise interpretation</t>
        </is>
      </c>
      <c r="B174" s="298" t="n"/>
      <c r="C174" s="298" t="n"/>
      <c r="D174" s="298" t="n"/>
      <c r="E174" s="298" t="n"/>
      <c r="F174" s="298" t="n"/>
      <c r="G174" s="298" t="n"/>
      <c r="H174" s="298" t="n"/>
      <c r="I174" s="298" t="n"/>
      <c r="J174" s="298" t="n"/>
      <c r="K174" s="298" t="n"/>
      <c r="L174" s="298" t="n"/>
      <c r="M174" s="298" t="n"/>
      <c r="N174" s="298" t="n"/>
      <c r="O174" s="299" t="n"/>
    </row>
    <row r="175" ht="26" customHeight="1">
      <c r="A175" s="306" t="inlineStr">
        <is>
          <t>Promise / guidance item</t>
        </is>
      </c>
      <c r="B175" s="299" t="n"/>
      <c r="C175" s="306" t="inlineStr">
        <is>
          <t>Read</t>
        </is>
      </c>
      <c r="D175" s="298" t="n"/>
      <c r="E175" s="299" t="n"/>
      <c r="F175" s="306" t="inlineStr">
        <is>
          <t>Actual / progress interpretation</t>
        </is>
      </c>
      <c r="G175" s="298" t="n"/>
      <c r="H175" s="299" t="n"/>
      <c r="I175" s="306" t="inlineStr">
        <is>
          <t>Status / caveat</t>
        </is>
      </c>
      <c r="J175" s="298" t="n"/>
      <c r="K175" s="298" t="n"/>
      <c r="L175" s="299" t="n"/>
      <c r="M175" s="306" t="inlineStr">
        <is>
          <t>Source</t>
        </is>
      </c>
      <c r="N175" s="298" t="n"/>
      <c r="O175" s="299" t="n"/>
    </row>
    <row r="176" ht="48" customHeight="1">
      <c r="A176" s="302" t="n"/>
      <c r="B176" s="299" t="n"/>
      <c r="C176" s="302" t="n"/>
      <c r="D176" s="298" t="n"/>
      <c r="E176" s="299" t="n"/>
      <c r="F176" s="302" t="n"/>
      <c r="G176" s="298" t="n"/>
      <c r="H176" s="299" t="n"/>
      <c r="I176" s="302" t="n"/>
      <c r="J176" s="298" t="n"/>
      <c r="K176" s="298" t="n"/>
      <c r="L176" s="299" t="n"/>
      <c r="M176" s="302" t="n"/>
      <c r="N176" s="298" t="n"/>
      <c r="O176" s="299" t="n"/>
    </row>
    <row r="177" ht="34" customHeight="1">
      <c r="A177" s="304" t="n"/>
      <c r="B177" s="299" t="n"/>
      <c r="C177" s="304" t="n"/>
      <c r="D177" s="298" t="n"/>
      <c r="E177" s="299" t="n"/>
      <c r="F177" s="304" t="n"/>
      <c r="G177" s="298" t="n"/>
      <c r="H177" s="299" t="n"/>
      <c r="I177" s="304" t="n"/>
      <c r="J177" s="298" t="n"/>
      <c r="K177" s="298" t="n"/>
      <c r="L177" s="299" t="n"/>
      <c r="M177" s="304" t="n"/>
      <c r="N177" s="298" t="n"/>
      <c r="O177" s="299" t="n"/>
    </row>
    <row r="178" ht="34" customHeight="1">
      <c r="A178" s="302" t="n"/>
      <c r="B178" s="299" t="n"/>
      <c r="C178" s="302" t="n"/>
      <c r="D178" s="298" t="n"/>
      <c r="E178" s="299" t="n"/>
      <c r="F178" s="302" t="n"/>
      <c r="G178" s="298" t="n"/>
      <c r="H178" s="299" t="n"/>
      <c r="I178" s="302" t="n"/>
      <c r="J178" s="298" t="n"/>
      <c r="K178" s="298" t="n"/>
      <c r="L178" s="299" t="n"/>
      <c r="M178" s="302" t="n"/>
      <c r="N178" s="298" t="n"/>
      <c r="O178" s="299" t="n"/>
    </row>
    <row r="179" ht="10" customHeight="1">
      <c r="A179" s="305" t="n"/>
      <c r="B179" s="305" t="n"/>
      <c r="C179" s="305" t="n"/>
      <c r="D179" s="305" t="n"/>
      <c r="E179" s="305" t="n"/>
      <c r="F179" s="305" t="n"/>
      <c r="G179" s="305" t="n"/>
      <c r="H179" s="305" t="n"/>
      <c r="I179" s="305" t="n"/>
      <c r="J179" s="305" t="n"/>
      <c r="K179" s="305" t="n"/>
      <c r="L179" s="305" t="n"/>
      <c r="M179" s="305" t="n"/>
      <c r="N179" s="305" t="n"/>
      <c r="O179" s="305" t="n"/>
    </row>
    <row r="180" ht="25" customHeight="1">
      <c r="A180" s="300" t="inlineStr">
        <is>
          <t>Model mapping / double-count guardrails</t>
        </is>
      </c>
      <c r="B180" s="298" t="n"/>
      <c r="C180" s="298" t="n"/>
      <c r="D180" s="298" t="n"/>
      <c r="E180" s="298" t="n"/>
      <c r="F180" s="298" t="n"/>
      <c r="G180" s="298" t="n"/>
      <c r="H180" s="298" t="n"/>
      <c r="I180" s="298" t="n"/>
      <c r="J180" s="298" t="n"/>
      <c r="K180" s="298" t="n"/>
      <c r="L180" s="298" t="n"/>
      <c r="M180" s="298" t="n"/>
      <c r="N180" s="298" t="n"/>
      <c r="O180" s="299" t="n"/>
    </row>
    <row r="181" ht="26" customHeight="1">
      <c r="A181" s="306" t="inlineStr">
        <is>
          <t>Driver</t>
        </is>
      </c>
      <c r="B181" s="299" t="n"/>
      <c r="C181" s="306" t="inlineStr">
        <is>
          <t>Model treatment</t>
        </is>
      </c>
      <c r="D181" s="298" t="n"/>
      <c r="E181" s="298" t="n"/>
      <c r="F181" s="299" t="n"/>
      <c r="G181" s="306" t="inlineStr">
        <is>
          <t>Double-count guardrail</t>
        </is>
      </c>
      <c r="H181" s="298" t="n"/>
      <c r="I181" s="298" t="n"/>
      <c r="J181" s="298" t="n"/>
      <c r="K181" s="298" t="n"/>
      <c r="L181" s="299" t="n"/>
      <c r="M181" s="306" t="inlineStr">
        <is>
          <t>Linked sheet / metric</t>
        </is>
      </c>
      <c r="N181" s="298" t="n"/>
      <c r="O181" s="299" t="n"/>
    </row>
    <row r="182" ht="48" customHeight="1">
      <c r="A182" s="302" t="n"/>
      <c r="B182" s="299" t="n"/>
      <c r="C182" s="302" t="n"/>
      <c r="D182" s="298" t="n"/>
      <c r="E182" s="298" t="n"/>
      <c r="F182" s="299" t="n"/>
      <c r="G182" s="302" t="n"/>
      <c r="H182" s="298" t="n"/>
      <c r="I182" s="298" t="n"/>
      <c r="J182" s="298" t="n"/>
      <c r="K182" s="298" t="n"/>
      <c r="L182" s="299" t="n"/>
      <c r="M182" s="302" t="n"/>
      <c r="N182" s="298" t="n"/>
      <c r="O182" s="299" t="n"/>
    </row>
    <row r="183" ht="48" customHeight="1">
      <c r="A183" s="304" t="n"/>
      <c r="B183" s="299" t="n"/>
      <c r="C183" s="304" t="n"/>
      <c r="D183" s="298" t="n"/>
      <c r="E183" s="298" t="n"/>
      <c r="F183" s="299" t="n"/>
      <c r="G183" s="304" t="n"/>
      <c r="H183" s="298" t="n"/>
      <c r="I183" s="298" t="n"/>
      <c r="J183" s="298" t="n"/>
      <c r="K183" s="298" t="n"/>
      <c r="L183" s="299" t="n"/>
      <c r="M183" s="304" t="n"/>
      <c r="N183" s="298" t="n"/>
      <c r="O183" s="299" t="n"/>
    </row>
    <row r="184" ht="34" customHeight="1">
      <c r="A184" s="302" t="n"/>
      <c r="B184" s="299" t="n"/>
      <c r="C184" s="302" t="n"/>
      <c r="D184" s="298" t="n"/>
      <c r="E184" s="298" t="n"/>
      <c r="F184" s="299" t="n"/>
      <c r="G184" s="302" t="n"/>
      <c r="H184" s="298" t="n"/>
      <c r="I184" s="298" t="n"/>
      <c r="J184" s="298" t="n"/>
      <c r="K184" s="298" t="n"/>
      <c r="L184" s="299" t="n"/>
      <c r="M184" s="302" t="n"/>
      <c r="N184" s="298" t="n"/>
      <c r="O184" s="299" t="n"/>
    </row>
    <row r="185" ht="34" customHeight="1">
      <c r="A185" s="304" t="n"/>
      <c r="B185" s="299" t="n"/>
      <c r="C185" s="304" t="n"/>
      <c r="D185" s="298" t="n"/>
      <c r="E185" s="298" t="n"/>
      <c r="F185" s="299" t="n"/>
      <c r="G185" s="304" t="n"/>
      <c r="H185" s="298" t="n"/>
      <c r="I185" s="298" t="n"/>
      <c r="J185" s="298" t="n"/>
      <c r="K185" s="298" t="n"/>
      <c r="L185" s="299" t="n"/>
      <c r="M185" s="304" t="n"/>
      <c r="N185" s="298" t="n"/>
      <c r="O185" s="299" t="n"/>
    </row>
    <row r="186" ht="34" customHeight="1">
      <c r="A186" s="302" t="n"/>
      <c r="B186" s="299" t="n"/>
      <c r="C186" s="302" t="n"/>
      <c r="D186" s="298" t="n"/>
      <c r="E186" s="298" t="n"/>
      <c r="F186" s="299" t="n"/>
      <c r="G186" s="302" t="n"/>
      <c r="H186" s="298" t="n"/>
      <c r="I186" s="298" t="n"/>
      <c r="J186" s="298" t="n"/>
      <c r="K186" s="298" t="n"/>
      <c r="L186" s="299" t="n"/>
      <c r="M186" s="302" t="n"/>
      <c r="N186" s="298" t="n"/>
      <c r="O186" s="299" t="n"/>
    </row>
    <row r="187" ht="34" customHeight="1">
      <c r="A187" s="304" t="n"/>
      <c r="B187" s="299" t="n"/>
      <c r="C187" s="304" t="n"/>
      <c r="D187" s="298" t="n"/>
      <c r="E187" s="298" t="n"/>
      <c r="F187" s="299" t="n"/>
      <c r="G187" s="304" t="n"/>
      <c r="H187" s="298" t="n"/>
      <c r="I187" s="298" t="n"/>
      <c r="J187" s="298" t="n"/>
      <c r="K187" s="298" t="n"/>
      <c r="L187" s="299" t="n"/>
      <c r="M187" s="304" t="n"/>
      <c r="N187" s="298" t="n"/>
      <c r="O187" s="299" t="n"/>
    </row>
    <row r="188" ht="24" customHeight="1">
      <c r="A188" s="305" t="n"/>
      <c r="B188" s="305" t="n"/>
      <c r="C188" s="305" t="n"/>
      <c r="D188" s="305" t="n"/>
      <c r="E188" s="305" t="n"/>
      <c r="F188" s="305" t="n"/>
      <c r="G188" s="305" t="n"/>
      <c r="H188" s="305" t="n"/>
      <c r="I188" s="305" t="n"/>
      <c r="J188" s="305" t="n"/>
      <c r="K188" s="305" t="n"/>
      <c r="L188" s="305" t="n"/>
      <c r="M188" s="305" t="n"/>
      <c r="N188" s="305" t="n"/>
      <c r="O188" s="305" t="n"/>
    </row>
    <row r="189" ht="24" customHeight="1">
      <c r="A189" s="297" t="inlineStr">
        <is>
          <t>Historical quarter notes 6</t>
        </is>
      </c>
      <c r="B189" s="298" t="n"/>
      <c r="C189" s="298" t="n"/>
      <c r="D189" s="298" t="n"/>
      <c r="E189" s="298" t="n"/>
      <c r="F189" s="298" t="n"/>
      <c r="G189" s="298" t="n"/>
      <c r="H189" s="298" t="n"/>
      <c r="I189" s="298" t="n"/>
      <c r="J189" s="298" t="n"/>
      <c r="K189" s="298" t="n"/>
      <c r="L189" s="298" t="n"/>
      <c r="M189" s="298" t="n"/>
      <c r="N189" s="298" t="n"/>
      <c r="O189" s="299" t="n"/>
    </row>
    <row r="190" ht="25" customHeight="1">
      <c r="A190" s="300" t="inlineStr">
        <is>
          <t>Quarter read</t>
        </is>
      </c>
      <c r="B190" s="298" t="n"/>
      <c r="C190" s="298" t="n"/>
      <c r="D190" s="298" t="n"/>
      <c r="E190" s="298" t="n"/>
      <c r="F190" s="298" t="n"/>
      <c r="G190" s="298" t="n"/>
      <c r="H190" s="298" t="n"/>
      <c r="I190" s="298" t="n"/>
      <c r="J190" s="298" t="n"/>
      <c r="K190" s="298" t="n"/>
      <c r="L190" s="298" t="n"/>
      <c r="M190" s="298" t="n"/>
      <c r="N190" s="298" t="n"/>
      <c r="O190" s="299" t="n"/>
    </row>
    <row r="191" ht="44" customHeight="1">
      <c r="A191" s="301" t="inlineStr">
        <is>
          <t>Model read</t>
        </is>
      </c>
      <c r="B191" s="302" t="n"/>
      <c r="C191" s="298" t="n"/>
      <c r="D191" s="298" t="n"/>
      <c r="E191" s="298" t="n"/>
      <c r="F191" s="298" t="n"/>
      <c r="G191" s="298" t="n"/>
      <c r="H191" s="298" t="n"/>
      <c r="I191" s="298" t="n"/>
      <c r="J191" s="298" t="n"/>
      <c r="K191" s="298" t="n"/>
      <c r="L191" s="298" t="n"/>
      <c r="M191" s="298" t="n"/>
      <c r="N191" s="298" t="n"/>
      <c r="O191" s="299" t="n"/>
    </row>
    <row r="192" ht="44" customHeight="1">
      <c r="A192" s="303" t="inlineStr">
        <is>
          <t>What changed</t>
        </is>
      </c>
      <c r="B192" s="304" t="n"/>
      <c r="C192" s="298" t="n"/>
      <c r="D192" s="298" t="n"/>
      <c r="E192" s="298" t="n"/>
      <c r="F192" s="298" t="n"/>
      <c r="G192" s="298" t="n"/>
      <c r="H192" s="298" t="n"/>
      <c r="I192" s="298" t="n"/>
      <c r="J192" s="298" t="n"/>
      <c r="K192" s="298" t="n"/>
      <c r="L192" s="298" t="n"/>
      <c r="M192" s="298" t="n"/>
      <c r="N192" s="298" t="n"/>
      <c r="O192" s="299" t="n"/>
    </row>
    <row r="193" ht="30" customHeight="1">
      <c r="A193" s="301" t="inlineStr">
        <is>
          <t>Watch next</t>
        </is>
      </c>
      <c r="B193" s="302" t="n"/>
      <c r="C193" s="298" t="n"/>
      <c r="D193" s="298" t="n"/>
      <c r="E193" s="298" t="n"/>
      <c r="F193" s="298" t="n"/>
      <c r="G193" s="298" t="n"/>
      <c r="H193" s="298" t="n"/>
      <c r="I193" s="298" t="n"/>
      <c r="J193" s="298" t="n"/>
      <c r="K193" s="298" t="n"/>
      <c r="L193" s="298" t="n"/>
      <c r="M193" s="298" t="n"/>
      <c r="N193" s="298" t="n"/>
      <c r="O193" s="299" t="n"/>
    </row>
    <row r="194" ht="44" customHeight="1">
      <c r="A194" s="303" t="inlineStr">
        <is>
          <t>Key caveat</t>
        </is>
      </c>
      <c r="B194" s="304" t="n"/>
      <c r="C194" s="298" t="n"/>
      <c r="D194" s="298" t="n"/>
      <c r="E194" s="298" t="n"/>
      <c r="F194" s="298" t="n"/>
      <c r="G194" s="298" t="n"/>
      <c r="H194" s="298" t="n"/>
      <c r="I194" s="298" t="n"/>
      <c r="J194" s="298" t="n"/>
      <c r="K194" s="298" t="n"/>
      <c r="L194" s="298" t="n"/>
      <c r="M194" s="298" t="n"/>
      <c r="N194" s="298" t="n"/>
      <c r="O194" s="299" t="n"/>
    </row>
    <row r="195" ht="10" customHeight="1">
      <c r="A195" s="305" t="n"/>
      <c r="B195" s="305" t="n"/>
      <c r="C195" s="305" t="n"/>
      <c r="D195" s="305" t="n"/>
      <c r="E195" s="305" t="n"/>
      <c r="F195" s="305" t="n"/>
      <c r="G195" s="305" t="n"/>
      <c r="H195" s="305" t="n"/>
      <c r="I195" s="305" t="n"/>
      <c r="J195" s="305" t="n"/>
      <c r="K195" s="305" t="n"/>
      <c r="L195" s="305" t="n"/>
      <c r="M195" s="305" t="n"/>
      <c r="N195" s="305" t="n"/>
      <c r="O195" s="305" t="n"/>
    </row>
    <row r="196" ht="25" customHeight="1">
      <c r="A196" s="300" t="inlineStr">
        <is>
          <t>Key developments</t>
        </is>
      </c>
      <c r="B196" s="298" t="n"/>
      <c r="C196" s="298" t="n"/>
      <c r="D196" s="298" t="n"/>
      <c r="E196" s="298" t="n"/>
      <c r="F196" s="298" t="n"/>
      <c r="G196" s="298" t="n"/>
      <c r="H196" s="298" t="n"/>
      <c r="I196" s="298" t="n"/>
      <c r="J196" s="298" t="n"/>
      <c r="K196" s="298" t="n"/>
      <c r="L196" s="298" t="n"/>
      <c r="M196" s="298" t="n"/>
      <c r="N196" s="298" t="n"/>
      <c r="O196" s="299" t="n"/>
    </row>
    <row r="197" ht="26" customHeight="1">
      <c r="A197" s="306" t="inlineStr">
        <is>
          <t>Theme</t>
        </is>
      </c>
      <c r="B197" s="299" t="n"/>
      <c r="C197" s="306" t="inlineStr">
        <is>
          <t>What happened</t>
        </is>
      </c>
      <c r="D197" s="298" t="n"/>
      <c r="E197" s="299" t="n"/>
      <c r="F197" s="306" t="inlineStr">
        <is>
          <t>Why it matters</t>
        </is>
      </c>
      <c r="G197" s="299" t="n"/>
      <c r="H197" s="306" t="inlineStr">
        <is>
          <t>Model / valuation implication</t>
        </is>
      </c>
      <c r="I197" s="298" t="n"/>
      <c r="J197" s="298" t="n"/>
      <c r="K197" s="298" t="n"/>
      <c r="L197" s="299" t="n"/>
      <c r="M197" s="306" t="inlineStr">
        <is>
          <t>Source / confidence</t>
        </is>
      </c>
      <c r="N197" s="298" t="n"/>
      <c r="O197" s="299" t="n"/>
    </row>
    <row r="198" ht="48" customHeight="1">
      <c r="A198" s="302" t="n"/>
      <c r="B198" s="299" t="n"/>
      <c r="C198" s="302" t="n"/>
      <c r="D198" s="298" t="n"/>
      <c r="E198" s="299" t="n"/>
      <c r="F198" s="302" t="n"/>
      <c r="G198" s="299" t="n"/>
      <c r="H198" s="302" t="n"/>
      <c r="I198" s="298" t="n"/>
      <c r="J198" s="298" t="n"/>
      <c r="K198" s="298" t="n"/>
      <c r="L198" s="299" t="n"/>
      <c r="M198" s="302" t="n"/>
      <c r="N198" s="298" t="n"/>
      <c r="O198" s="299" t="n"/>
    </row>
    <row r="199" ht="48" customHeight="1">
      <c r="A199" s="304" t="n"/>
      <c r="B199" s="299" t="n"/>
      <c r="C199" s="304" t="n"/>
      <c r="D199" s="298" t="n"/>
      <c r="E199" s="299" t="n"/>
      <c r="F199" s="304" t="n"/>
      <c r="G199" s="299" t="n"/>
      <c r="H199" s="304" t="n"/>
      <c r="I199" s="298" t="n"/>
      <c r="J199" s="298" t="n"/>
      <c r="K199" s="298" t="n"/>
      <c r="L199" s="299" t="n"/>
      <c r="M199" s="304" t="n"/>
      <c r="N199" s="298" t="n"/>
      <c r="O199" s="299" t="n"/>
    </row>
    <row r="200" ht="48" customHeight="1">
      <c r="A200" s="302" t="n"/>
      <c r="B200" s="299" t="n"/>
      <c r="C200" s="302" t="n"/>
      <c r="D200" s="298" t="n"/>
      <c r="E200" s="299" t="n"/>
      <c r="F200" s="302" t="n"/>
      <c r="G200" s="299" t="n"/>
      <c r="H200" s="302" t="n"/>
      <c r="I200" s="298" t="n"/>
      <c r="J200" s="298" t="n"/>
      <c r="K200" s="298" t="n"/>
      <c r="L200" s="299" t="n"/>
      <c r="M200" s="302" t="n"/>
      <c r="N200" s="298" t="n"/>
      <c r="O200" s="299" t="n"/>
    </row>
    <row r="201" ht="48" customHeight="1">
      <c r="A201" s="304" t="n"/>
      <c r="B201" s="299" t="n"/>
      <c r="C201" s="304" t="n"/>
      <c r="D201" s="298" t="n"/>
      <c r="E201" s="299" t="n"/>
      <c r="F201" s="304" t="n"/>
      <c r="G201" s="299" t="n"/>
      <c r="H201" s="304" t="n"/>
      <c r="I201" s="298" t="n"/>
      <c r="J201" s="298" t="n"/>
      <c r="K201" s="298" t="n"/>
      <c r="L201" s="299" t="n"/>
      <c r="M201" s="304" t="n"/>
      <c r="N201" s="298" t="n"/>
      <c r="O201" s="299" t="n"/>
    </row>
    <row r="202" ht="48" customHeight="1">
      <c r="A202" s="302" t="n"/>
      <c r="B202" s="299" t="n"/>
      <c r="C202" s="302" t="n"/>
      <c r="D202" s="298" t="n"/>
      <c r="E202" s="299" t="n"/>
      <c r="F202" s="302" t="n"/>
      <c r="G202" s="299" t="n"/>
      <c r="H202" s="302" t="n"/>
      <c r="I202" s="298" t="n"/>
      <c r="J202" s="298" t="n"/>
      <c r="K202" s="298" t="n"/>
      <c r="L202" s="299" t="n"/>
      <c r="M202" s="302" t="n"/>
      <c r="N202" s="298" t="n"/>
      <c r="O202" s="299" t="n"/>
    </row>
    <row r="203" ht="48" customHeight="1">
      <c r="A203" s="304" t="n"/>
      <c r="B203" s="299" t="n"/>
      <c r="C203" s="304" t="n"/>
      <c r="D203" s="298" t="n"/>
      <c r="E203" s="299" t="n"/>
      <c r="F203" s="304" t="n"/>
      <c r="G203" s="299" t="n"/>
      <c r="H203" s="304" t="n"/>
      <c r="I203" s="298" t="n"/>
      <c r="J203" s="298" t="n"/>
      <c r="K203" s="298" t="n"/>
      <c r="L203" s="299" t="n"/>
      <c r="M203" s="304" t="n"/>
      <c r="N203" s="298" t="n"/>
      <c r="O203" s="299" t="n"/>
    </row>
    <row r="204" ht="10" customHeight="1">
      <c r="A204" s="305" t="n"/>
      <c r="B204" s="305" t="n"/>
      <c r="C204" s="305" t="n"/>
      <c r="D204" s="305" t="n"/>
      <c r="E204" s="305" t="n"/>
      <c r="F204" s="305" t="n"/>
      <c r="G204" s="305" t="n"/>
      <c r="H204" s="305" t="n"/>
      <c r="I204" s="305" t="n"/>
      <c r="J204" s="305" t="n"/>
      <c r="K204" s="305" t="n"/>
      <c r="L204" s="305" t="n"/>
      <c r="M204" s="305" t="n"/>
      <c r="N204" s="305" t="n"/>
      <c r="O204" s="305" t="n"/>
    </row>
    <row r="205" ht="25" customHeight="1">
      <c r="A205" s="300" t="inlineStr">
        <is>
          <t>Guidance / Promise interpretation</t>
        </is>
      </c>
      <c r="B205" s="298" t="n"/>
      <c r="C205" s="298" t="n"/>
      <c r="D205" s="298" t="n"/>
      <c r="E205" s="298" t="n"/>
      <c r="F205" s="298" t="n"/>
      <c r="G205" s="298" t="n"/>
      <c r="H205" s="298" t="n"/>
      <c r="I205" s="298" t="n"/>
      <c r="J205" s="298" t="n"/>
      <c r="K205" s="298" t="n"/>
      <c r="L205" s="298" t="n"/>
      <c r="M205" s="298" t="n"/>
      <c r="N205" s="298" t="n"/>
      <c r="O205" s="299" t="n"/>
    </row>
    <row r="206" ht="26" customHeight="1">
      <c r="A206" s="306" t="inlineStr">
        <is>
          <t>Promise / guidance item</t>
        </is>
      </c>
      <c r="B206" s="299" t="n"/>
      <c r="C206" s="306" t="inlineStr">
        <is>
          <t>Read</t>
        </is>
      </c>
      <c r="D206" s="298" t="n"/>
      <c r="E206" s="299" t="n"/>
      <c r="F206" s="306" t="inlineStr">
        <is>
          <t>Actual / progress interpretation</t>
        </is>
      </c>
      <c r="G206" s="298" t="n"/>
      <c r="H206" s="299" t="n"/>
      <c r="I206" s="306" t="inlineStr">
        <is>
          <t>Status / caveat</t>
        </is>
      </c>
      <c r="J206" s="298" t="n"/>
      <c r="K206" s="298" t="n"/>
      <c r="L206" s="299" t="n"/>
      <c r="M206" s="306" t="inlineStr">
        <is>
          <t>Source</t>
        </is>
      </c>
      <c r="N206" s="298" t="n"/>
      <c r="O206" s="299" t="n"/>
    </row>
    <row r="207" ht="30" customHeight="1">
      <c r="A207" s="302" t="n"/>
      <c r="B207" s="299" t="n"/>
      <c r="C207" s="302" t="n"/>
      <c r="D207" s="298" t="n"/>
      <c r="E207" s="298" t="n"/>
      <c r="F207" s="298" t="n"/>
      <c r="G207" s="298" t="n"/>
      <c r="H207" s="298" t="n"/>
      <c r="I207" s="298" t="n"/>
      <c r="J207" s="298" t="n"/>
      <c r="K207" s="298" t="n"/>
      <c r="L207" s="299" t="n"/>
      <c r="M207" s="302" t="n"/>
      <c r="N207" s="298" t="n"/>
      <c r="O207" s="299" t="n"/>
    </row>
    <row r="208" ht="10" customHeight="1">
      <c r="A208" s="305" t="n"/>
      <c r="B208" s="305" t="n"/>
      <c r="C208" s="305" t="n"/>
      <c r="D208" s="305" t="n"/>
      <c r="E208" s="305" t="n"/>
      <c r="F208" s="305" t="n"/>
      <c r="G208" s="305" t="n"/>
      <c r="H208" s="305" t="n"/>
      <c r="I208" s="305" t="n"/>
      <c r="J208" s="305" t="n"/>
      <c r="K208" s="305" t="n"/>
      <c r="L208" s="305" t="n"/>
      <c r="M208" s="305" t="n"/>
      <c r="N208" s="305" t="n"/>
      <c r="O208" s="305" t="n"/>
    </row>
    <row r="209" ht="25" customHeight="1">
      <c r="A209" s="300" t="inlineStr">
        <is>
          <t>Model mapping / double-count guardrails</t>
        </is>
      </c>
      <c r="B209" s="298" t="n"/>
      <c r="C209" s="298" t="n"/>
      <c r="D209" s="298" t="n"/>
      <c r="E209" s="298" t="n"/>
      <c r="F209" s="298" t="n"/>
      <c r="G209" s="298" t="n"/>
      <c r="H209" s="298" t="n"/>
      <c r="I209" s="298" t="n"/>
      <c r="J209" s="298" t="n"/>
      <c r="K209" s="298" t="n"/>
      <c r="L209" s="298" t="n"/>
      <c r="M209" s="298" t="n"/>
      <c r="N209" s="298" t="n"/>
      <c r="O209" s="299" t="n"/>
    </row>
    <row r="210" ht="26" customHeight="1">
      <c r="A210" s="306" t="inlineStr">
        <is>
          <t>Driver</t>
        </is>
      </c>
      <c r="B210" s="299" t="n"/>
      <c r="C210" s="306" t="inlineStr">
        <is>
          <t>Model treatment</t>
        </is>
      </c>
      <c r="D210" s="298" t="n"/>
      <c r="E210" s="298" t="n"/>
      <c r="F210" s="299" t="n"/>
      <c r="G210" s="306" t="inlineStr">
        <is>
          <t>Double-count guardrail</t>
        </is>
      </c>
      <c r="H210" s="298" t="n"/>
      <c r="I210" s="298" t="n"/>
      <c r="J210" s="298" t="n"/>
      <c r="K210" s="298" t="n"/>
      <c r="L210" s="299" t="n"/>
      <c r="M210" s="306" t="inlineStr">
        <is>
          <t>Linked sheet / metric</t>
        </is>
      </c>
      <c r="N210" s="298" t="n"/>
      <c r="O210" s="299" t="n"/>
    </row>
    <row r="211" ht="48" customHeight="1">
      <c r="A211" s="302" t="n"/>
      <c r="B211" s="299" t="n"/>
      <c r="C211" s="302" t="n"/>
      <c r="D211" s="298" t="n"/>
      <c r="E211" s="298" t="n"/>
      <c r="F211" s="299" t="n"/>
      <c r="G211" s="302" t="n"/>
      <c r="H211" s="298" t="n"/>
      <c r="I211" s="298" t="n"/>
      <c r="J211" s="298" t="n"/>
      <c r="K211" s="298" t="n"/>
      <c r="L211" s="299" t="n"/>
      <c r="M211" s="302" t="n"/>
      <c r="N211" s="298" t="n"/>
      <c r="O211" s="299" t="n"/>
    </row>
    <row r="212" ht="48" customHeight="1">
      <c r="A212" s="304" t="n"/>
      <c r="B212" s="299" t="n"/>
      <c r="C212" s="304" t="n"/>
      <c r="D212" s="298" t="n"/>
      <c r="E212" s="298" t="n"/>
      <c r="F212" s="299" t="n"/>
      <c r="G212" s="304" t="n"/>
      <c r="H212" s="298" t="n"/>
      <c r="I212" s="298" t="n"/>
      <c r="J212" s="298" t="n"/>
      <c r="K212" s="298" t="n"/>
      <c r="L212" s="299" t="n"/>
      <c r="M212" s="304" t="n"/>
      <c r="N212" s="298" t="n"/>
      <c r="O212" s="299" t="n"/>
    </row>
    <row r="213" ht="34" customHeight="1">
      <c r="A213" s="302" t="n"/>
      <c r="B213" s="299" t="n"/>
      <c r="C213" s="302" t="n"/>
      <c r="D213" s="298" t="n"/>
      <c r="E213" s="298" t="n"/>
      <c r="F213" s="299" t="n"/>
      <c r="G213" s="302" t="n"/>
      <c r="H213" s="298" t="n"/>
      <c r="I213" s="298" t="n"/>
      <c r="J213" s="298" t="n"/>
      <c r="K213" s="298" t="n"/>
      <c r="L213" s="299" t="n"/>
      <c r="M213" s="302" t="n"/>
      <c r="N213" s="298" t="n"/>
      <c r="O213" s="299" t="n"/>
    </row>
    <row r="214" ht="48" customHeight="1">
      <c r="A214" s="304" t="n"/>
      <c r="B214" s="299" t="n"/>
      <c r="C214" s="304" t="n"/>
      <c r="D214" s="298" t="n"/>
      <c r="E214" s="298" t="n"/>
      <c r="F214" s="299" t="n"/>
      <c r="G214" s="304" t="n"/>
      <c r="H214" s="298" t="n"/>
      <c r="I214" s="298" t="n"/>
      <c r="J214" s="298" t="n"/>
      <c r="K214" s="298" t="n"/>
      <c r="L214" s="299" t="n"/>
      <c r="M214" s="304" t="n"/>
      <c r="N214" s="298" t="n"/>
      <c r="O214" s="299" t="n"/>
    </row>
    <row r="215" ht="34" customHeight="1">
      <c r="A215" s="302" t="n"/>
      <c r="B215" s="299" t="n"/>
      <c r="C215" s="302" t="n"/>
      <c r="D215" s="298" t="n"/>
      <c r="E215" s="298" t="n"/>
      <c r="F215" s="299" t="n"/>
      <c r="G215" s="302" t="n"/>
      <c r="H215" s="298" t="n"/>
      <c r="I215" s="298" t="n"/>
      <c r="J215" s="298" t="n"/>
      <c r="K215" s="298" t="n"/>
      <c r="L215" s="299" t="n"/>
      <c r="M215" s="302" t="n"/>
      <c r="N215" s="298" t="n"/>
      <c r="O215" s="299" t="n"/>
    </row>
    <row r="216" ht="34" customHeight="1">
      <c r="A216" s="304" t="n"/>
      <c r="B216" s="299" t="n"/>
      <c r="C216" s="304" t="n"/>
      <c r="D216" s="298" t="n"/>
      <c r="E216" s="298" t="n"/>
      <c r="F216" s="299" t="n"/>
      <c r="G216" s="304" t="n"/>
      <c r="H216" s="298" t="n"/>
      <c r="I216" s="298" t="n"/>
      <c r="J216" s="298" t="n"/>
      <c r="K216" s="298" t="n"/>
      <c r="L216" s="299" t="n"/>
      <c r="M216" s="304" t="n"/>
      <c r="N216" s="298" t="n"/>
      <c r="O216" s="299" t="n"/>
    </row>
    <row r="217" ht="24" customHeight="1">
      <c r="A217" s="305" t="n"/>
      <c r="B217" s="305" t="n"/>
      <c r="C217" s="305" t="n"/>
      <c r="D217" s="305" t="n"/>
      <c r="E217" s="305" t="n"/>
      <c r="F217" s="305" t="n"/>
      <c r="G217" s="305" t="n"/>
      <c r="H217" s="305" t="n"/>
      <c r="I217" s="305" t="n"/>
      <c r="J217" s="305" t="n"/>
      <c r="K217" s="305" t="n"/>
      <c r="L217" s="305" t="n"/>
      <c r="M217" s="305" t="n"/>
      <c r="N217" s="305" t="n"/>
      <c r="O217" s="305" t="n"/>
    </row>
    <row r="218" ht="24" customHeight="1">
      <c r="A218" s="297" t="inlineStr">
        <is>
          <t>Historical quarter notes 7</t>
        </is>
      </c>
      <c r="B218" s="298" t="n"/>
      <c r="C218" s="298" t="n"/>
      <c r="D218" s="298" t="n"/>
      <c r="E218" s="298" t="n"/>
      <c r="F218" s="298" t="n"/>
      <c r="G218" s="298" t="n"/>
      <c r="H218" s="298" t="n"/>
      <c r="I218" s="298" t="n"/>
      <c r="J218" s="298" t="n"/>
      <c r="K218" s="298" t="n"/>
      <c r="L218" s="298" t="n"/>
      <c r="M218" s="298" t="n"/>
      <c r="N218" s="298" t="n"/>
      <c r="O218" s="299" t="n"/>
    </row>
    <row r="219" ht="25" customHeight="1">
      <c r="A219" s="300" t="inlineStr">
        <is>
          <t>Quarter read</t>
        </is>
      </c>
      <c r="B219" s="298" t="n"/>
      <c r="C219" s="298" t="n"/>
      <c r="D219" s="298" t="n"/>
      <c r="E219" s="298" t="n"/>
      <c r="F219" s="298" t="n"/>
      <c r="G219" s="298" t="n"/>
      <c r="H219" s="298" t="n"/>
      <c r="I219" s="298" t="n"/>
      <c r="J219" s="298" t="n"/>
      <c r="K219" s="298" t="n"/>
      <c r="L219" s="298" t="n"/>
      <c r="M219" s="298" t="n"/>
      <c r="N219" s="298" t="n"/>
      <c r="O219" s="299" t="n"/>
    </row>
    <row r="220" ht="58" customHeight="1">
      <c r="A220" s="301" t="inlineStr">
        <is>
          <t>Model read</t>
        </is>
      </c>
      <c r="B220" s="302" t="n"/>
      <c r="C220" s="298" t="n"/>
      <c r="D220" s="298" t="n"/>
      <c r="E220" s="298" t="n"/>
      <c r="F220" s="298" t="n"/>
      <c r="G220" s="298" t="n"/>
      <c r="H220" s="298" t="n"/>
      <c r="I220" s="298" t="n"/>
      <c r="J220" s="298" t="n"/>
      <c r="K220" s="298" t="n"/>
      <c r="L220" s="298" t="n"/>
      <c r="M220" s="298" t="n"/>
      <c r="N220" s="298" t="n"/>
      <c r="O220" s="299" t="n"/>
    </row>
    <row r="221" ht="58" customHeight="1">
      <c r="A221" s="303" t="inlineStr">
        <is>
          <t>What changed</t>
        </is>
      </c>
      <c r="B221" s="304" t="n"/>
      <c r="C221" s="298" t="n"/>
      <c r="D221" s="298" t="n"/>
      <c r="E221" s="298" t="n"/>
      <c r="F221" s="298" t="n"/>
      <c r="G221" s="298" t="n"/>
      <c r="H221" s="298" t="n"/>
      <c r="I221" s="298" t="n"/>
      <c r="J221" s="298" t="n"/>
      <c r="K221" s="298" t="n"/>
      <c r="L221" s="298" t="n"/>
      <c r="M221" s="298" t="n"/>
      <c r="N221" s="298" t="n"/>
      <c r="O221" s="299" t="n"/>
    </row>
    <row r="222" ht="30" customHeight="1">
      <c r="A222" s="301" t="inlineStr">
        <is>
          <t>Watch next</t>
        </is>
      </c>
      <c r="B222" s="302" t="n"/>
      <c r="C222" s="298" t="n"/>
      <c r="D222" s="298" t="n"/>
      <c r="E222" s="298" t="n"/>
      <c r="F222" s="298" t="n"/>
      <c r="G222" s="298" t="n"/>
      <c r="H222" s="298" t="n"/>
      <c r="I222" s="298" t="n"/>
      <c r="J222" s="298" t="n"/>
      <c r="K222" s="298" t="n"/>
      <c r="L222" s="298" t="n"/>
      <c r="M222" s="298" t="n"/>
      <c r="N222" s="298" t="n"/>
      <c r="O222" s="299" t="n"/>
    </row>
    <row r="223" ht="44" customHeight="1">
      <c r="A223" s="303" t="inlineStr">
        <is>
          <t>Key caveat</t>
        </is>
      </c>
      <c r="B223" s="304" t="n"/>
      <c r="C223" s="298" t="n"/>
      <c r="D223" s="298" t="n"/>
      <c r="E223" s="298" t="n"/>
      <c r="F223" s="298" t="n"/>
      <c r="G223" s="298" t="n"/>
      <c r="H223" s="298" t="n"/>
      <c r="I223" s="298" t="n"/>
      <c r="J223" s="298" t="n"/>
      <c r="K223" s="298" t="n"/>
      <c r="L223" s="298" t="n"/>
      <c r="M223" s="298" t="n"/>
      <c r="N223" s="298" t="n"/>
      <c r="O223" s="299" t="n"/>
    </row>
    <row r="224" ht="10" customHeight="1">
      <c r="A224" s="305" t="n"/>
      <c r="B224" s="305" t="n"/>
      <c r="C224" s="305" t="n"/>
      <c r="D224" s="305" t="n"/>
      <c r="E224" s="305" t="n"/>
      <c r="F224" s="305" t="n"/>
      <c r="G224" s="305" t="n"/>
      <c r="H224" s="305" t="n"/>
      <c r="I224" s="305" t="n"/>
      <c r="J224" s="305" t="n"/>
      <c r="K224" s="305" t="n"/>
      <c r="L224" s="305" t="n"/>
      <c r="M224" s="305" t="n"/>
      <c r="N224" s="305" t="n"/>
      <c r="O224" s="305" t="n"/>
    </row>
    <row r="225" ht="25" customHeight="1">
      <c r="A225" s="300" t="inlineStr">
        <is>
          <t>Key developments</t>
        </is>
      </c>
      <c r="B225" s="298" t="n"/>
      <c r="C225" s="298" t="n"/>
      <c r="D225" s="298" t="n"/>
      <c r="E225" s="298" t="n"/>
      <c r="F225" s="298" t="n"/>
      <c r="G225" s="298" t="n"/>
      <c r="H225" s="298" t="n"/>
      <c r="I225" s="298" t="n"/>
      <c r="J225" s="298" t="n"/>
      <c r="K225" s="298" t="n"/>
      <c r="L225" s="298" t="n"/>
      <c r="M225" s="298" t="n"/>
      <c r="N225" s="298" t="n"/>
      <c r="O225" s="299" t="n"/>
    </row>
    <row r="226" ht="26" customHeight="1">
      <c r="A226" s="306" t="inlineStr">
        <is>
          <t>Theme</t>
        </is>
      </c>
      <c r="B226" s="299" t="n"/>
      <c r="C226" s="306" t="inlineStr">
        <is>
          <t>What happened</t>
        </is>
      </c>
      <c r="D226" s="298" t="n"/>
      <c r="E226" s="299" t="n"/>
      <c r="F226" s="306" t="inlineStr">
        <is>
          <t>Why it matters</t>
        </is>
      </c>
      <c r="G226" s="299" t="n"/>
      <c r="H226" s="306" t="inlineStr">
        <is>
          <t>Model / valuation implication</t>
        </is>
      </c>
      <c r="I226" s="298" t="n"/>
      <c r="J226" s="298" t="n"/>
      <c r="K226" s="298" t="n"/>
      <c r="L226" s="299" t="n"/>
      <c r="M226" s="306" t="inlineStr">
        <is>
          <t>Source / confidence</t>
        </is>
      </c>
      <c r="N226" s="298" t="n"/>
      <c r="O226" s="299" t="n"/>
    </row>
    <row r="227" ht="48" customHeight="1">
      <c r="A227" s="302" t="n"/>
      <c r="B227" s="299" t="n"/>
      <c r="C227" s="302" t="n"/>
      <c r="D227" s="298" t="n"/>
      <c r="E227" s="299" t="n"/>
      <c r="F227" s="302" t="n"/>
      <c r="G227" s="299" t="n"/>
      <c r="H227" s="302" t="n"/>
      <c r="I227" s="298" t="n"/>
      <c r="J227" s="298" t="n"/>
      <c r="K227" s="298" t="n"/>
      <c r="L227" s="299" t="n"/>
      <c r="M227" s="302" t="n"/>
      <c r="N227" s="298" t="n"/>
      <c r="O227" s="299" t="n"/>
    </row>
    <row r="228" ht="48" customHeight="1">
      <c r="A228" s="304" t="n"/>
      <c r="B228" s="299" t="n"/>
      <c r="C228" s="304" t="n"/>
      <c r="D228" s="298" t="n"/>
      <c r="E228" s="299" t="n"/>
      <c r="F228" s="304" t="n"/>
      <c r="G228" s="299" t="n"/>
      <c r="H228" s="304" t="n"/>
      <c r="I228" s="298" t="n"/>
      <c r="J228" s="298" t="n"/>
      <c r="K228" s="298" t="n"/>
      <c r="L228" s="299" t="n"/>
      <c r="M228" s="304" t="n"/>
      <c r="N228" s="298" t="n"/>
      <c r="O228" s="299" t="n"/>
    </row>
    <row r="229" ht="48" customHeight="1">
      <c r="A229" s="302" t="n"/>
      <c r="B229" s="299" t="n"/>
      <c r="C229" s="302" t="n"/>
      <c r="D229" s="298" t="n"/>
      <c r="E229" s="299" t="n"/>
      <c r="F229" s="302" t="n"/>
      <c r="G229" s="299" t="n"/>
      <c r="H229" s="302" t="n"/>
      <c r="I229" s="298" t="n"/>
      <c r="J229" s="298" t="n"/>
      <c r="K229" s="298" t="n"/>
      <c r="L229" s="299" t="n"/>
      <c r="M229" s="302" t="n"/>
      <c r="N229" s="298" t="n"/>
      <c r="O229" s="299" t="n"/>
    </row>
    <row r="230" ht="48" customHeight="1">
      <c r="A230" s="304" t="n"/>
      <c r="B230" s="299" t="n"/>
      <c r="C230" s="304" t="n"/>
      <c r="D230" s="298" t="n"/>
      <c r="E230" s="299" t="n"/>
      <c r="F230" s="304" t="n"/>
      <c r="G230" s="299" t="n"/>
      <c r="H230" s="304" t="n"/>
      <c r="I230" s="298" t="n"/>
      <c r="J230" s="298" t="n"/>
      <c r="K230" s="298" t="n"/>
      <c r="L230" s="299" t="n"/>
      <c r="M230" s="304" t="n"/>
      <c r="N230" s="298" t="n"/>
      <c r="O230" s="299" t="n"/>
    </row>
    <row r="231" ht="48" customHeight="1">
      <c r="A231" s="302" t="n"/>
      <c r="B231" s="299" t="n"/>
      <c r="C231" s="302" t="n"/>
      <c r="D231" s="298" t="n"/>
      <c r="E231" s="299" t="n"/>
      <c r="F231" s="302" t="n"/>
      <c r="G231" s="299" t="n"/>
      <c r="H231" s="302" t="n"/>
      <c r="I231" s="298" t="n"/>
      <c r="J231" s="298" t="n"/>
      <c r="K231" s="298" t="n"/>
      <c r="L231" s="299" t="n"/>
      <c r="M231" s="302" t="n"/>
      <c r="N231" s="298" t="n"/>
      <c r="O231" s="299" t="n"/>
    </row>
    <row r="232" ht="48" customHeight="1">
      <c r="A232" s="304" t="n"/>
      <c r="B232" s="299" t="n"/>
      <c r="C232" s="304" t="n"/>
      <c r="D232" s="298" t="n"/>
      <c r="E232" s="299" t="n"/>
      <c r="F232" s="304" t="n"/>
      <c r="G232" s="299" t="n"/>
      <c r="H232" s="304" t="n"/>
      <c r="I232" s="298" t="n"/>
      <c r="J232" s="298" t="n"/>
      <c r="K232" s="298" t="n"/>
      <c r="L232" s="299" t="n"/>
      <c r="M232" s="304" t="n"/>
      <c r="N232" s="298" t="n"/>
      <c r="O232" s="299" t="n"/>
    </row>
    <row r="233" ht="10" customHeight="1">
      <c r="A233" s="305" t="n"/>
      <c r="B233" s="305" t="n"/>
      <c r="C233" s="305" t="n"/>
      <c r="D233" s="305" t="n"/>
      <c r="E233" s="305" t="n"/>
      <c r="F233" s="305" t="n"/>
      <c r="G233" s="305" t="n"/>
      <c r="H233" s="305" t="n"/>
      <c r="I233" s="305" t="n"/>
      <c r="J233" s="305" t="n"/>
      <c r="K233" s="305" t="n"/>
      <c r="L233" s="305" t="n"/>
      <c r="M233" s="305" t="n"/>
      <c r="N233" s="305" t="n"/>
      <c r="O233" s="305" t="n"/>
    </row>
    <row r="234" ht="25" customHeight="1">
      <c r="A234" s="300" t="inlineStr">
        <is>
          <t>Guidance / Promise interpretation</t>
        </is>
      </c>
      <c r="B234" s="298" t="n"/>
      <c r="C234" s="298" t="n"/>
      <c r="D234" s="298" t="n"/>
      <c r="E234" s="298" t="n"/>
      <c r="F234" s="298" t="n"/>
      <c r="G234" s="298" t="n"/>
      <c r="H234" s="298" t="n"/>
      <c r="I234" s="298" t="n"/>
      <c r="J234" s="298" t="n"/>
      <c r="K234" s="298" t="n"/>
      <c r="L234" s="298" t="n"/>
      <c r="M234" s="298" t="n"/>
      <c r="N234" s="298" t="n"/>
      <c r="O234" s="299" t="n"/>
    </row>
    <row r="235" ht="26" customHeight="1">
      <c r="A235" s="306" t="inlineStr">
        <is>
          <t>Promise / guidance item</t>
        </is>
      </c>
      <c r="B235" s="299" t="n"/>
      <c r="C235" s="306" t="inlineStr">
        <is>
          <t>Read</t>
        </is>
      </c>
      <c r="D235" s="298" t="n"/>
      <c r="E235" s="299" t="n"/>
      <c r="F235" s="306" t="inlineStr">
        <is>
          <t>Actual / progress interpretation</t>
        </is>
      </c>
      <c r="G235" s="298" t="n"/>
      <c r="H235" s="299" t="n"/>
      <c r="I235" s="306" t="inlineStr">
        <is>
          <t>Status / caveat</t>
        </is>
      </c>
      <c r="J235" s="298" t="n"/>
      <c r="K235" s="298" t="n"/>
      <c r="L235" s="299" t="n"/>
      <c r="M235" s="306" t="inlineStr">
        <is>
          <t>Source</t>
        </is>
      </c>
      <c r="N235" s="298" t="n"/>
      <c r="O235" s="299" t="n"/>
    </row>
    <row r="236" ht="30" customHeight="1">
      <c r="A236" s="302" t="n"/>
      <c r="B236" s="299" t="n"/>
      <c r="C236" s="302" t="n"/>
      <c r="D236" s="298" t="n"/>
      <c r="E236" s="298" t="n"/>
      <c r="F236" s="298" t="n"/>
      <c r="G236" s="298" t="n"/>
      <c r="H236" s="298" t="n"/>
      <c r="I236" s="298" t="n"/>
      <c r="J236" s="298" t="n"/>
      <c r="K236" s="298" t="n"/>
      <c r="L236" s="299" t="n"/>
      <c r="M236" s="302" t="n"/>
      <c r="N236" s="298" t="n"/>
      <c r="O236" s="299" t="n"/>
    </row>
    <row r="237" ht="10" customHeight="1">
      <c r="A237" s="305" t="n"/>
      <c r="B237" s="305" t="n"/>
      <c r="C237" s="305" t="n"/>
      <c r="D237" s="305" t="n"/>
      <c r="E237" s="305" t="n"/>
      <c r="F237" s="305" t="n"/>
      <c r="G237" s="305" t="n"/>
      <c r="H237" s="305" t="n"/>
      <c r="I237" s="305" t="n"/>
      <c r="J237" s="305" t="n"/>
      <c r="K237" s="305" t="n"/>
      <c r="L237" s="305" t="n"/>
      <c r="M237" s="305" t="n"/>
      <c r="N237" s="305" t="n"/>
      <c r="O237" s="305" t="n"/>
    </row>
    <row r="238" ht="25" customHeight="1">
      <c r="A238" s="300" t="inlineStr">
        <is>
          <t>Model mapping / double-count guardrails</t>
        </is>
      </c>
      <c r="B238" s="298" t="n"/>
      <c r="C238" s="298" t="n"/>
      <c r="D238" s="298" t="n"/>
      <c r="E238" s="298" t="n"/>
      <c r="F238" s="298" t="n"/>
      <c r="G238" s="298" t="n"/>
      <c r="H238" s="298" t="n"/>
      <c r="I238" s="298" t="n"/>
      <c r="J238" s="298" t="n"/>
      <c r="K238" s="298" t="n"/>
      <c r="L238" s="298" t="n"/>
      <c r="M238" s="298" t="n"/>
      <c r="N238" s="298" t="n"/>
      <c r="O238" s="299" t="n"/>
    </row>
    <row r="239" ht="26" customHeight="1">
      <c r="A239" s="306" t="inlineStr">
        <is>
          <t>Driver</t>
        </is>
      </c>
      <c r="B239" s="299" t="n"/>
      <c r="C239" s="306" t="inlineStr">
        <is>
          <t>Model treatment</t>
        </is>
      </c>
      <c r="D239" s="298" t="n"/>
      <c r="E239" s="298" t="n"/>
      <c r="F239" s="299" t="n"/>
      <c r="G239" s="306" t="inlineStr">
        <is>
          <t>Double-count guardrail</t>
        </is>
      </c>
      <c r="H239" s="298" t="n"/>
      <c r="I239" s="298" t="n"/>
      <c r="J239" s="298" t="n"/>
      <c r="K239" s="298" t="n"/>
      <c r="L239" s="299" t="n"/>
      <c r="M239" s="306" t="inlineStr">
        <is>
          <t>Linked sheet / metric</t>
        </is>
      </c>
      <c r="N239" s="298" t="n"/>
      <c r="O239" s="299" t="n"/>
    </row>
    <row r="240" ht="48" customHeight="1">
      <c r="A240" s="302" t="n"/>
      <c r="B240" s="299" t="n"/>
      <c r="C240" s="302" t="n"/>
      <c r="D240" s="298" t="n"/>
      <c r="E240" s="298" t="n"/>
      <c r="F240" s="299" t="n"/>
      <c r="G240" s="302" t="n"/>
      <c r="H240" s="298" t="n"/>
      <c r="I240" s="298" t="n"/>
      <c r="J240" s="298" t="n"/>
      <c r="K240" s="298" t="n"/>
      <c r="L240" s="299" t="n"/>
      <c r="M240" s="302" t="n"/>
      <c r="N240" s="298" t="n"/>
      <c r="O240" s="299" t="n"/>
    </row>
    <row r="241" ht="48" customHeight="1">
      <c r="A241" s="304" t="n"/>
      <c r="B241" s="299" t="n"/>
      <c r="C241" s="304" t="n"/>
      <c r="D241" s="298" t="n"/>
      <c r="E241" s="298" t="n"/>
      <c r="F241" s="299" t="n"/>
      <c r="G241" s="304" t="n"/>
      <c r="H241" s="298" t="n"/>
      <c r="I241" s="298" t="n"/>
      <c r="J241" s="298" t="n"/>
      <c r="K241" s="298" t="n"/>
      <c r="L241" s="299" t="n"/>
      <c r="M241" s="304" t="n"/>
      <c r="N241" s="298" t="n"/>
      <c r="O241" s="299" t="n"/>
    </row>
    <row r="242" ht="48" customHeight="1">
      <c r="A242" s="302" t="n"/>
      <c r="B242" s="299" t="n"/>
      <c r="C242" s="302" t="n"/>
      <c r="D242" s="298" t="n"/>
      <c r="E242" s="298" t="n"/>
      <c r="F242" s="299" t="n"/>
      <c r="G242" s="302" t="n"/>
      <c r="H242" s="298" t="n"/>
      <c r="I242" s="298" t="n"/>
      <c r="J242" s="298" t="n"/>
      <c r="K242" s="298" t="n"/>
      <c r="L242" s="299" t="n"/>
      <c r="M242" s="302" t="n"/>
      <c r="N242" s="298" t="n"/>
      <c r="O242" s="299" t="n"/>
    </row>
    <row r="243" ht="48" customHeight="1">
      <c r="A243" s="304" t="n"/>
      <c r="B243" s="299" t="n"/>
      <c r="C243" s="304" t="n"/>
      <c r="D243" s="298" t="n"/>
      <c r="E243" s="298" t="n"/>
      <c r="F243" s="299" t="n"/>
      <c r="G243" s="304" t="n"/>
      <c r="H243" s="298" t="n"/>
      <c r="I243" s="298" t="n"/>
      <c r="J243" s="298" t="n"/>
      <c r="K243" s="298" t="n"/>
      <c r="L243" s="299" t="n"/>
      <c r="M243" s="304" t="n"/>
      <c r="N243" s="298" t="n"/>
      <c r="O243" s="299" t="n"/>
    </row>
    <row r="244" ht="34" customHeight="1">
      <c r="A244" s="302" t="n"/>
      <c r="B244" s="299" t="n"/>
      <c r="C244" s="302" t="n"/>
      <c r="D244" s="298" t="n"/>
      <c r="E244" s="298" t="n"/>
      <c r="F244" s="299" t="n"/>
      <c r="G244" s="302" t="n"/>
      <c r="H244" s="298" t="n"/>
      <c r="I244" s="298" t="n"/>
      <c r="J244" s="298" t="n"/>
      <c r="K244" s="298" t="n"/>
      <c r="L244" s="299" t="n"/>
      <c r="M244" s="302" t="n"/>
      <c r="N244" s="298" t="n"/>
      <c r="O244" s="299" t="n"/>
    </row>
    <row r="245" ht="34" customHeight="1">
      <c r="A245" s="304" t="n"/>
      <c r="B245" s="299" t="n"/>
      <c r="C245" s="304" t="n"/>
      <c r="D245" s="298" t="n"/>
      <c r="E245" s="298" t="n"/>
      <c r="F245" s="299" t="n"/>
      <c r="G245" s="304" t="n"/>
      <c r="H245" s="298" t="n"/>
      <c r="I245" s="298" t="n"/>
      <c r="J245" s="298" t="n"/>
      <c r="K245" s="298" t="n"/>
      <c r="L245" s="299" t="n"/>
      <c r="M245" s="304" t="n"/>
      <c r="N245" s="298" t="n"/>
      <c r="O245" s="299" t="n"/>
    </row>
    <row r="246" ht="24" customHeight="1">
      <c r="A246" s="305" t="n"/>
      <c r="B246" s="305" t="n"/>
      <c r="C246" s="305" t="n"/>
      <c r="D246" s="305" t="n"/>
      <c r="E246" s="305" t="n"/>
      <c r="F246" s="305" t="n"/>
      <c r="G246" s="305" t="n"/>
      <c r="H246" s="305" t="n"/>
      <c r="I246" s="305" t="n"/>
      <c r="J246" s="305" t="n"/>
      <c r="K246" s="305" t="n"/>
      <c r="L246" s="305" t="n"/>
      <c r="M246" s="305" t="n"/>
      <c r="N246" s="305" t="n"/>
      <c r="O246" s="305" t="n"/>
    </row>
    <row r="247" ht="24" customHeight="1">
      <c r="A247" s="297" t="inlineStr">
        <is>
          <t>Historical quarter notes 8</t>
        </is>
      </c>
      <c r="B247" s="298" t="n"/>
      <c r="C247" s="298" t="n"/>
      <c r="D247" s="298" t="n"/>
      <c r="E247" s="298" t="n"/>
      <c r="F247" s="298" t="n"/>
      <c r="G247" s="298" t="n"/>
      <c r="H247" s="298" t="n"/>
      <c r="I247" s="298" t="n"/>
      <c r="J247" s="298" t="n"/>
      <c r="K247" s="298" t="n"/>
      <c r="L247" s="298" t="n"/>
      <c r="M247" s="298" t="n"/>
      <c r="N247" s="298" t="n"/>
      <c r="O247" s="299" t="n"/>
    </row>
    <row r="248" ht="25" customHeight="1">
      <c r="A248" s="300" t="inlineStr">
        <is>
          <t>Quarter read</t>
        </is>
      </c>
      <c r="B248" s="298" t="n"/>
      <c r="C248" s="298" t="n"/>
      <c r="D248" s="298" t="n"/>
      <c r="E248" s="298" t="n"/>
      <c r="F248" s="298" t="n"/>
      <c r="G248" s="298" t="n"/>
      <c r="H248" s="298" t="n"/>
      <c r="I248" s="298" t="n"/>
      <c r="J248" s="298" t="n"/>
      <c r="K248" s="298" t="n"/>
      <c r="L248" s="298" t="n"/>
      <c r="M248" s="298" t="n"/>
      <c r="N248" s="298" t="n"/>
      <c r="O248" s="299" t="n"/>
    </row>
    <row r="249" ht="44" customHeight="1">
      <c r="A249" s="301" t="inlineStr">
        <is>
          <t>Model read</t>
        </is>
      </c>
      <c r="B249" s="302" t="n"/>
      <c r="C249" s="298" t="n"/>
      <c r="D249" s="298" t="n"/>
      <c r="E249" s="298" t="n"/>
      <c r="F249" s="298" t="n"/>
      <c r="G249" s="298" t="n"/>
      <c r="H249" s="298" t="n"/>
      <c r="I249" s="298" t="n"/>
      <c r="J249" s="298" t="n"/>
      <c r="K249" s="298" t="n"/>
      <c r="L249" s="298" t="n"/>
      <c r="M249" s="298" t="n"/>
      <c r="N249" s="298" t="n"/>
      <c r="O249" s="299" t="n"/>
    </row>
    <row r="250" ht="44" customHeight="1">
      <c r="A250" s="303" t="inlineStr">
        <is>
          <t>What changed</t>
        </is>
      </c>
      <c r="B250" s="304" t="n"/>
      <c r="C250" s="298" t="n"/>
      <c r="D250" s="298" t="n"/>
      <c r="E250" s="298" t="n"/>
      <c r="F250" s="298" t="n"/>
      <c r="G250" s="298" t="n"/>
      <c r="H250" s="298" t="n"/>
      <c r="I250" s="298" t="n"/>
      <c r="J250" s="298" t="n"/>
      <c r="K250" s="298" t="n"/>
      <c r="L250" s="298" t="n"/>
      <c r="M250" s="298" t="n"/>
      <c r="N250" s="298" t="n"/>
      <c r="O250" s="299" t="n"/>
    </row>
    <row r="251" ht="30" customHeight="1">
      <c r="A251" s="301" t="inlineStr">
        <is>
          <t>Watch next</t>
        </is>
      </c>
      <c r="B251" s="302" t="n"/>
      <c r="C251" s="298" t="n"/>
      <c r="D251" s="298" t="n"/>
      <c r="E251" s="298" t="n"/>
      <c r="F251" s="298" t="n"/>
      <c r="G251" s="298" t="n"/>
      <c r="H251" s="298" t="n"/>
      <c r="I251" s="298" t="n"/>
      <c r="J251" s="298" t="n"/>
      <c r="K251" s="298" t="n"/>
      <c r="L251" s="298" t="n"/>
      <c r="M251" s="298" t="n"/>
      <c r="N251" s="298" t="n"/>
      <c r="O251" s="299" t="n"/>
    </row>
    <row r="252" ht="44" customHeight="1">
      <c r="A252" s="303" t="inlineStr">
        <is>
          <t>Key caveat</t>
        </is>
      </c>
      <c r="B252" s="304" t="n"/>
      <c r="C252" s="298" t="n"/>
      <c r="D252" s="298" t="n"/>
      <c r="E252" s="298" t="n"/>
      <c r="F252" s="298" t="n"/>
      <c r="G252" s="298" t="n"/>
      <c r="H252" s="298" t="n"/>
      <c r="I252" s="298" t="n"/>
      <c r="J252" s="298" t="n"/>
      <c r="K252" s="298" t="n"/>
      <c r="L252" s="298" t="n"/>
      <c r="M252" s="298" t="n"/>
      <c r="N252" s="298" t="n"/>
      <c r="O252" s="299" t="n"/>
    </row>
    <row r="253" ht="10" customHeight="1">
      <c r="A253" s="305" t="n"/>
      <c r="B253" s="305" t="n"/>
      <c r="C253" s="305" t="n"/>
      <c r="D253" s="305" t="n"/>
      <c r="E253" s="305" t="n"/>
      <c r="F253" s="305" t="n"/>
      <c r="G253" s="305" t="n"/>
      <c r="H253" s="305" t="n"/>
      <c r="I253" s="305" t="n"/>
      <c r="J253" s="305" t="n"/>
      <c r="K253" s="305" t="n"/>
      <c r="L253" s="305" t="n"/>
      <c r="M253" s="305" t="n"/>
      <c r="N253" s="305" t="n"/>
      <c r="O253" s="305" t="n"/>
    </row>
    <row r="254" ht="25" customHeight="1">
      <c r="A254" s="300" t="inlineStr">
        <is>
          <t>Key developments</t>
        </is>
      </c>
      <c r="B254" s="298" t="n"/>
      <c r="C254" s="298" t="n"/>
      <c r="D254" s="298" t="n"/>
      <c r="E254" s="298" t="n"/>
      <c r="F254" s="298" t="n"/>
      <c r="G254" s="298" t="n"/>
      <c r="H254" s="298" t="n"/>
      <c r="I254" s="298" t="n"/>
      <c r="J254" s="298" t="n"/>
      <c r="K254" s="298" t="n"/>
      <c r="L254" s="298" t="n"/>
      <c r="M254" s="298" t="n"/>
      <c r="N254" s="298" t="n"/>
      <c r="O254" s="299" t="n"/>
    </row>
    <row r="255" ht="26" customHeight="1">
      <c r="A255" s="306" t="inlineStr">
        <is>
          <t>Theme</t>
        </is>
      </c>
      <c r="B255" s="299" t="n"/>
      <c r="C255" s="306" t="inlineStr">
        <is>
          <t>What happened</t>
        </is>
      </c>
      <c r="D255" s="298" t="n"/>
      <c r="E255" s="299" t="n"/>
      <c r="F255" s="306" t="inlineStr">
        <is>
          <t>Why it matters</t>
        </is>
      </c>
      <c r="G255" s="299" t="n"/>
      <c r="H255" s="306" t="inlineStr">
        <is>
          <t>Model / valuation implication</t>
        </is>
      </c>
      <c r="I255" s="298" t="n"/>
      <c r="J255" s="298" t="n"/>
      <c r="K255" s="298" t="n"/>
      <c r="L255" s="299" t="n"/>
      <c r="M255" s="306" t="inlineStr">
        <is>
          <t>Source / confidence</t>
        </is>
      </c>
      <c r="N255" s="298" t="n"/>
      <c r="O255" s="299" t="n"/>
    </row>
    <row r="256" ht="48" customHeight="1">
      <c r="A256" s="302" t="n"/>
      <c r="B256" s="299" t="n"/>
      <c r="C256" s="302" t="n"/>
      <c r="D256" s="298" t="n"/>
      <c r="E256" s="299" t="n"/>
      <c r="F256" s="302" t="n"/>
      <c r="G256" s="299" t="n"/>
      <c r="H256" s="302" t="n"/>
      <c r="I256" s="298" t="n"/>
      <c r="J256" s="298" t="n"/>
      <c r="K256" s="298" t="n"/>
      <c r="L256" s="299" t="n"/>
      <c r="M256" s="302" t="n"/>
      <c r="N256" s="298" t="n"/>
      <c r="O256" s="299" t="n"/>
    </row>
    <row r="257" ht="48" customHeight="1">
      <c r="A257" s="304" t="n"/>
      <c r="B257" s="299" t="n"/>
      <c r="C257" s="304" t="n"/>
      <c r="D257" s="298" t="n"/>
      <c r="E257" s="299" t="n"/>
      <c r="F257" s="304" t="n"/>
      <c r="G257" s="299" t="n"/>
      <c r="H257" s="304" t="n"/>
      <c r="I257" s="298" t="n"/>
      <c r="J257" s="298" t="n"/>
      <c r="K257" s="298" t="n"/>
      <c r="L257" s="299" t="n"/>
      <c r="M257" s="304" t="n"/>
      <c r="N257" s="298" t="n"/>
      <c r="O257" s="299" t="n"/>
    </row>
    <row r="258" ht="48" customHeight="1">
      <c r="A258" s="302" t="n"/>
      <c r="B258" s="299" t="n"/>
      <c r="C258" s="302" t="n"/>
      <c r="D258" s="298" t="n"/>
      <c r="E258" s="299" t="n"/>
      <c r="F258" s="302" t="n"/>
      <c r="G258" s="299" t="n"/>
      <c r="H258" s="302" t="n"/>
      <c r="I258" s="298" t="n"/>
      <c r="J258" s="298" t="n"/>
      <c r="K258" s="298" t="n"/>
      <c r="L258" s="299" t="n"/>
      <c r="M258" s="302" t="n"/>
      <c r="N258" s="298" t="n"/>
      <c r="O258" s="299" t="n"/>
    </row>
    <row r="259" ht="48" customHeight="1">
      <c r="A259" s="304" t="n"/>
      <c r="B259" s="299" t="n"/>
      <c r="C259" s="304" t="n"/>
      <c r="D259" s="298" t="n"/>
      <c r="E259" s="299" t="n"/>
      <c r="F259" s="304" t="n"/>
      <c r="G259" s="299" t="n"/>
      <c r="H259" s="304" t="n"/>
      <c r="I259" s="298" t="n"/>
      <c r="J259" s="298" t="n"/>
      <c r="K259" s="298" t="n"/>
      <c r="L259" s="299" t="n"/>
      <c r="M259" s="304" t="n"/>
      <c r="N259" s="298" t="n"/>
      <c r="O259" s="299" t="n"/>
    </row>
    <row r="260" ht="48" customHeight="1">
      <c r="A260" s="302" t="n"/>
      <c r="B260" s="299" t="n"/>
      <c r="C260" s="302" t="n"/>
      <c r="D260" s="298" t="n"/>
      <c r="E260" s="299" t="n"/>
      <c r="F260" s="302" t="n"/>
      <c r="G260" s="299" t="n"/>
      <c r="H260" s="302" t="n"/>
      <c r="I260" s="298" t="n"/>
      <c r="J260" s="298" t="n"/>
      <c r="K260" s="298" t="n"/>
      <c r="L260" s="299" t="n"/>
      <c r="M260" s="302" t="n"/>
      <c r="N260" s="298" t="n"/>
      <c r="O260" s="299" t="n"/>
    </row>
    <row r="261" ht="10" customHeight="1">
      <c r="A261" s="305" t="n"/>
      <c r="B261" s="305" t="n"/>
      <c r="C261" s="305" t="n"/>
      <c r="D261" s="305" t="n"/>
      <c r="E261" s="305" t="n"/>
      <c r="F261" s="305" t="n"/>
      <c r="G261" s="305" t="n"/>
      <c r="H261" s="305" t="n"/>
      <c r="I261" s="305" t="n"/>
      <c r="J261" s="305" t="n"/>
      <c r="K261" s="305" t="n"/>
      <c r="L261" s="305" t="n"/>
      <c r="M261" s="305" t="n"/>
      <c r="N261" s="305" t="n"/>
      <c r="O261" s="305" t="n"/>
    </row>
    <row r="262" ht="25" customHeight="1">
      <c r="A262" s="300" t="inlineStr">
        <is>
          <t>Guidance / Promise interpretation</t>
        </is>
      </c>
      <c r="B262" s="298" t="n"/>
      <c r="C262" s="298" t="n"/>
      <c r="D262" s="298" t="n"/>
      <c r="E262" s="298" t="n"/>
      <c r="F262" s="298" t="n"/>
      <c r="G262" s="298" t="n"/>
      <c r="H262" s="298" t="n"/>
      <c r="I262" s="298" t="n"/>
      <c r="J262" s="298" t="n"/>
      <c r="K262" s="298" t="n"/>
      <c r="L262" s="298" t="n"/>
      <c r="M262" s="298" t="n"/>
      <c r="N262" s="298" t="n"/>
      <c r="O262" s="299" t="n"/>
    </row>
    <row r="263" ht="26" customHeight="1">
      <c r="A263" s="306" t="inlineStr">
        <is>
          <t>Promise / guidance item</t>
        </is>
      </c>
      <c r="B263" s="299" t="n"/>
      <c r="C263" s="306" t="inlineStr">
        <is>
          <t>Read</t>
        </is>
      </c>
      <c r="D263" s="298" t="n"/>
      <c r="E263" s="299" t="n"/>
      <c r="F263" s="306" t="inlineStr">
        <is>
          <t>Actual / progress interpretation</t>
        </is>
      </c>
      <c r="G263" s="298" t="n"/>
      <c r="H263" s="299" t="n"/>
      <c r="I263" s="306" t="inlineStr">
        <is>
          <t>Status / caveat</t>
        </is>
      </c>
      <c r="J263" s="298" t="n"/>
      <c r="K263" s="298" t="n"/>
      <c r="L263" s="299" t="n"/>
      <c r="M263" s="306" t="inlineStr">
        <is>
          <t>Source</t>
        </is>
      </c>
      <c r="N263" s="298" t="n"/>
      <c r="O263" s="299" t="n"/>
    </row>
    <row r="264" ht="30" customHeight="1">
      <c r="A264" s="302" t="n"/>
      <c r="B264" s="299" t="n"/>
      <c r="C264" s="302" t="n"/>
      <c r="D264" s="298" t="n"/>
      <c r="E264" s="298" t="n"/>
      <c r="F264" s="298" t="n"/>
      <c r="G264" s="298" t="n"/>
      <c r="H264" s="298" t="n"/>
      <c r="I264" s="298" t="n"/>
      <c r="J264" s="298" t="n"/>
      <c r="K264" s="298" t="n"/>
      <c r="L264" s="299" t="n"/>
      <c r="M264" s="302" t="n"/>
      <c r="N264" s="298" t="n"/>
      <c r="O264" s="299" t="n"/>
    </row>
    <row r="265" ht="10" customHeight="1">
      <c r="A265" s="305" t="n"/>
      <c r="B265" s="305" t="n"/>
      <c r="C265" s="305" t="n"/>
      <c r="D265" s="305" t="n"/>
      <c r="E265" s="305" t="n"/>
      <c r="F265" s="305" t="n"/>
      <c r="G265" s="305" t="n"/>
      <c r="H265" s="305" t="n"/>
      <c r="I265" s="305" t="n"/>
      <c r="J265" s="305" t="n"/>
      <c r="K265" s="305" t="n"/>
      <c r="L265" s="305" t="n"/>
      <c r="M265" s="305" t="n"/>
      <c r="N265" s="305" t="n"/>
      <c r="O265" s="305" t="n"/>
    </row>
    <row r="266" ht="25" customHeight="1">
      <c r="A266" s="300" t="inlineStr">
        <is>
          <t>Model mapping / double-count guardrails</t>
        </is>
      </c>
      <c r="B266" s="298" t="n"/>
      <c r="C266" s="298" t="n"/>
      <c r="D266" s="298" t="n"/>
      <c r="E266" s="298" t="n"/>
      <c r="F266" s="298" t="n"/>
      <c r="G266" s="298" t="n"/>
      <c r="H266" s="298" t="n"/>
      <c r="I266" s="298" t="n"/>
      <c r="J266" s="298" t="n"/>
      <c r="K266" s="298" t="n"/>
      <c r="L266" s="298" t="n"/>
      <c r="M266" s="298" t="n"/>
      <c r="N266" s="298" t="n"/>
      <c r="O266" s="299" t="n"/>
    </row>
    <row r="267" ht="26" customHeight="1">
      <c r="A267" s="306" t="inlineStr">
        <is>
          <t>Driver</t>
        </is>
      </c>
      <c r="B267" s="299" t="n"/>
      <c r="C267" s="306" t="inlineStr">
        <is>
          <t>Model treatment</t>
        </is>
      </c>
      <c r="D267" s="298" t="n"/>
      <c r="E267" s="298" t="n"/>
      <c r="F267" s="299" t="n"/>
      <c r="G267" s="306" t="inlineStr">
        <is>
          <t>Double-count guardrail</t>
        </is>
      </c>
      <c r="H267" s="298" t="n"/>
      <c r="I267" s="298" t="n"/>
      <c r="J267" s="298" t="n"/>
      <c r="K267" s="298" t="n"/>
      <c r="L267" s="299" t="n"/>
      <c r="M267" s="306" t="inlineStr">
        <is>
          <t>Linked sheet / metric</t>
        </is>
      </c>
      <c r="N267" s="298" t="n"/>
      <c r="O267" s="299" t="n"/>
    </row>
    <row r="268" ht="48" customHeight="1">
      <c r="A268" s="302" t="n"/>
      <c r="B268" s="299" t="n"/>
      <c r="C268" s="302" t="n"/>
      <c r="D268" s="298" t="n"/>
      <c r="E268" s="298" t="n"/>
      <c r="F268" s="299" t="n"/>
      <c r="G268" s="302" t="n"/>
      <c r="H268" s="298" t="n"/>
      <c r="I268" s="298" t="n"/>
      <c r="J268" s="298" t="n"/>
      <c r="K268" s="298" t="n"/>
      <c r="L268" s="299" t="n"/>
      <c r="M268" s="302" t="n"/>
      <c r="N268" s="298" t="n"/>
      <c r="O268" s="299" t="n"/>
    </row>
    <row r="269" ht="48" customHeight="1">
      <c r="A269" s="304" t="n"/>
      <c r="B269" s="299" t="n"/>
      <c r="C269" s="304" t="n"/>
      <c r="D269" s="298" t="n"/>
      <c r="E269" s="298" t="n"/>
      <c r="F269" s="299" t="n"/>
      <c r="G269" s="304" t="n"/>
      <c r="H269" s="298" t="n"/>
      <c r="I269" s="298" t="n"/>
      <c r="J269" s="298" t="n"/>
      <c r="K269" s="298" t="n"/>
      <c r="L269" s="299" t="n"/>
      <c r="M269" s="304" t="n"/>
      <c r="N269" s="298" t="n"/>
      <c r="O269" s="299" t="n"/>
    </row>
    <row r="270" ht="34" customHeight="1">
      <c r="A270" s="302" t="n"/>
      <c r="B270" s="299" t="n"/>
      <c r="C270" s="302" t="n"/>
      <c r="D270" s="298" t="n"/>
      <c r="E270" s="298" t="n"/>
      <c r="F270" s="299" t="n"/>
      <c r="G270" s="302" t="n"/>
      <c r="H270" s="298" t="n"/>
      <c r="I270" s="298" t="n"/>
      <c r="J270" s="298" t="n"/>
      <c r="K270" s="298" t="n"/>
      <c r="L270" s="299" t="n"/>
      <c r="M270" s="302" t="n"/>
      <c r="N270" s="298" t="n"/>
      <c r="O270" s="299" t="n"/>
    </row>
    <row r="271" ht="34" customHeight="1">
      <c r="A271" s="304" t="n"/>
      <c r="B271" s="299" t="n"/>
      <c r="C271" s="304" t="n"/>
      <c r="D271" s="298" t="n"/>
      <c r="E271" s="298" t="n"/>
      <c r="F271" s="299" t="n"/>
      <c r="G271" s="304" t="n"/>
      <c r="H271" s="298" t="n"/>
      <c r="I271" s="298" t="n"/>
      <c r="J271" s="298" t="n"/>
      <c r="K271" s="298" t="n"/>
      <c r="L271" s="299" t="n"/>
      <c r="M271" s="304" t="n"/>
      <c r="N271" s="298" t="n"/>
      <c r="O271" s="299" t="n"/>
    </row>
    <row r="272" ht="34" customHeight="1">
      <c r="A272" s="302" t="n"/>
      <c r="B272" s="299" t="n"/>
      <c r="C272" s="302" t="n"/>
      <c r="D272" s="298" t="n"/>
      <c r="E272" s="298" t="n"/>
      <c r="F272" s="299" t="n"/>
      <c r="G272" s="302" t="n"/>
      <c r="H272" s="298" t="n"/>
      <c r="I272" s="298" t="n"/>
      <c r="J272" s="298" t="n"/>
      <c r="K272" s="298" t="n"/>
      <c r="L272" s="299" t="n"/>
      <c r="M272" s="302" t="n"/>
      <c r="N272" s="298" t="n"/>
      <c r="O272" s="299" t="n"/>
    </row>
    <row r="273" ht="24" customHeight="1">
      <c r="A273" s="305" t="n"/>
      <c r="B273" s="305" t="n"/>
      <c r="C273" s="305" t="n"/>
      <c r="D273" s="305" t="n"/>
      <c r="E273" s="305" t="n"/>
      <c r="F273" s="305" t="n"/>
      <c r="G273" s="305" t="n"/>
      <c r="H273" s="305" t="n"/>
      <c r="I273" s="305" t="n"/>
      <c r="J273" s="305" t="n"/>
      <c r="K273" s="305" t="n"/>
      <c r="L273" s="305" t="n"/>
      <c r="M273" s="305" t="n"/>
      <c r="N273" s="305" t="n"/>
      <c r="O273" s="305" t="n"/>
    </row>
    <row r="274" ht="24" customHeight="1">
      <c r="A274" s="297" t="inlineStr">
        <is>
          <t>Historical quarter notes 9</t>
        </is>
      </c>
      <c r="B274" s="298" t="n"/>
      <c r="C274" s="298" t="n"/>
      <c r="D274" s="298" t="n"/>
      <c r="E274" s="298" t="n"/>
      <c r="F274" s="298" t="n"/>
      <c r="G274" s="298" t="n"/>
      <c r="H274" s="298" t="n"/>
      <c r="I274" s="298" t="n"/>
      <c r="J274" s="298" t="n"/>
      <c r="K274" s="298" t="n"/>
      <c r="L274" s="298" t="n"/>
      <c r="M274" s="298" t="n"/>
      <c r="N274" s="298" t="n"/>
      <c r="O274" s="299" t="n"/>
    </row>
    <row r="275" ht="25" customHeight="1">
      <c r="A275" s="300" t="inlineStr">
        <is>
          <t>Quarter read</t>
        </is>
      </c>
      <c r="B275" s="298" t="n"/>
      <c r="C275" s="298" t="n"/>
      <c r="D275" s="298" t="n"/>
      <c r="E275" s="298" t="n"/>
      <c r="F275" s="298" t="n"/>
      <c r="G275" s="298" t="n"/>
      <c r="H275" s="298" t="n"/>
      <c r="I275" s="298" t="n"/>
      <c r="J275" s="298" t="n"/>
      <c r="K275" s="298" t="n"/>
      <c r="L275" s="298" t="n"/>
      <c r="M275" s="298" t="n"/>
      <c r="N275" s="298" t="n"/>
      <c r="O275" s="299" t="n"/>
    </row>
    <row r="276" ht="58" customHeight="1">
      <c r="A276" s="301" t="inlineStr">
        <is>
          <t>Model read</t>
        </is>
      </c>
      <c r="B276" s="302" t="n"/>
      <c r="C276" s="298" t="n"/>
      <c r="D276" s="298" t="n"/>
      <c r="E276" s="298" t="n"/>
      <c r="F276" s="298" t="n"/>
      <c r="G276" s="298" t="n"/>
      <c r="H276" s="298" t="n"/>
      <c r="I276" s="298" t="n"/>
      <c r="J276" s="298" t="n"/>
      <c r="K276" s="298" t="n"/>
      <c r="L276" s="298" t="n"/>
      <c r="M276" s="298" t="n"/>
      <c r="N276" s="298" t="n"/>
      <c r="O276" s="299" t="n"/>
    </row>
    <row r="277" ht="44" customHeight="1">
      <c r="A277" s="303" t="inlineStr">
        <is>
          <t>What changed</t>
        </is>
      </c>
      <c r="B277" s="304" t="n"/>
      <c r="C277" s="298" t="n"/>
      <c r="D277" s="298" t="n"/>
      <c r="E277" s="298" t="n"/>
      <c r="F277" s="298" t="n"/>
      <c r="G277" s="298" t="n"/>
      <c r="H277" s="298" t="n"/>
      <c r="I277" s="298" t="n"/>
      <c r="J277" s="298" t="n"/>
      <c r="K277" s="298" t="n"/>
      <c r="L277" s="298" t="n"/>
      <c r="M277" s="298" t="n"/>
      <c r="N277" s="298" t="n"/>
      <c r="O277" s="299" t="n"/>
    </row>
    <row r="278" ht="30" customHeight="1">
      <c r="A278" s="301" t="inlineStr">
        <is>
          <t>Watch next</t>
        </is>
      </c>
      <c r="B278" s="302" t="n"/>
      <c r="C278" s="298" t="n"/>
      <c r="D278" s="298" t="n"/>
      <c r="E278" s="298" t="n"/>
      <c r="F278" s="298" t="n"/>
      <c r="G278" s="298" t="n"/>
      <c r="H278" s="298" t="n"/>
      <c r="I278" s="298" t="n"/>
      <c r="J278" s="298" t="n"/>
      <c r="K278" s="298" t="n"/>
      <c r="L278" s="298" t="n"/>
      <c r="M278" s="298" t="n"/>
      <c r="N278" s="298" t="n"/>
      <c r="O278" s="299" t="n"/>
    </row>
    <row r="279" ht="44" customHeight="1">
      <c r="A279" s="303" t="inlineStr">
        <is>
          <t>Key caveat</t>
        </is>
      </c>
      <c r="B279" s="304" t="n"/>
      <c r="C279" s="298" t="n"/>
      <c r="D279" s="298" t="n"/>
      <c r="E279" s="298" t="n"/>
      <c r="F279" s="298" t="n"/>
      <c r="G279" s="298" t="n"/>
      <c r="H279" s="298" t="n"/>
      <c r="I279" s="298" t="n"/>
      <c r="J279" s="298" t="n"/>
      <c r="K279" s="298" t="n"/>
      <c r="L279" s="298" t="n"/>
      <c r="M279" s="298" t="n"/>
      <c r="N279" s="298" t="n"/>
      <c r="O279" s="299" t="n"/>
    </row>
    <row r="280" ht="10" customHeight="1">
      <c r="A280" s="305" t="n"/>
      <c r="B280" s="305" t="n"/>
      <c r="C280" s="305" t="n"/>
      <c r="D280" s="305" t="n"/>
      <c r="E280" s="305" t="n"/>
      <c r="F280" s="305" t="n"/>
      <c r="G280" s="305" t="n"/>
      <c r="H280" s="305" t="n"/>
      <c r="I280" s="305" t="n"/>
      <c r="J280" s="305" t="n"/>
      <c r="K280" s="305" t="n"/>
      <c r="L280" s="305" t="n"/>
      <c r="M280" s="305" t="n"/>
      <c r="N280" s="305" t="n"/>
      <c r="O280" s="305" t="n"/>
    </row>
    <row r="281" ht="25" customHeight="1">
      <c r="A281" s="300" t="inlineStr">
        <is>
          <t>Key developments</t>
        </is>
      </c>
      <c r="B281" s="298" t="n"/>
      <c r="C281" s="298" t="n"/>
      <c r="D281" s="298" t="n"/>
      <c r="E281" s="298" t="n"/>
      <c r="F281" s="298" t="n"/>
      <c r="G281" s="298" t="n"/>
      <c r="H281" s="298" t="n"/>
      <c r="I281" s="298" t="n"/>
      <c r="J281" s="298" t="n"/>
      <c r="K281" s="298" t="n"/>
      <c r="L281" s="298" t="n"/>
      <c r="M281" s="298" t="n"/>
      <c r="N281" s="298" t="n"/>
      <c r="O281" s="299" t="n"/>
    </row>
    <row r="282" ht="26" customHeight="1">
      <c r="A282" s="306" t="inlineStr">
        <is>
          <t>Theme</t>
        </is>
      </c>
      <c r="B282" s="299" t="n"/>
      <c r="C282" s="306" t="inlineStr">
        <is>
          <t>What happened</t>
        </is>
      </c>
      <c r="D282" s="298" t="n"/>
      <c r="E282" s="299" t="n"/>
      <c r="F282" s="306" t="inlineStr">
        <is>
          <t>Why it matters</t>
        </is>
      </c>
      <c r="G282" s="299" t="n"/>
      <c r="H282" s="306" t="inlineStr">
        <is>
          <t>Model / valuation implication</t>
        </is>
      </c>
      <c r="I282" s="298" t="n"/>
      <c r="J282" s="298" t="n"/>
      <c r="K282" s="298" t="n"/>
      <c r="L282" s="299" t="n"/>
      <c r="M282" s="306" t="inlineStr">
        <is>
          <t>Source / confidence</t>
        </is>
      </c>
      <c r="N282" s="298" t="n"/>
      <c r="O282" s="299" t="n"/>
    </row>
    <row r="283" ht="48" customHeight="1">
      <c r="A283" s="302" t="n"/>
      <c r="B283" s="299" t="n"/>
      <c r="C283" s="302" t="n"/>
      <c r="D283" s="298" t="n"/>
      <c r="E283" s="299" t="n"/>
      <c r="F283" s="302" t="n"/>
      <c r="G283" s="299" t="n"/>
      <c r="H283" s="302" t="n"/>
      <c r="I283" s="298" t="n"/>
      <c r="J283" s="298" t="n"/>
      <c r="K283" s="298" t="n"/>
      <c r="L283" s="299" t="n"/>
      <c r="M283" s="302" t="n"/>
      <c r="N283" s="298" t="n"/>
      <c r="O283" s="299" t="n"/>
    </row>
    <row r="284" ht="48" customHeight="1">
      <c r="A284" s="304" t="n"/>
      <c r="B284" s="299" t="n"/>
      <c r="C284" s="304" t="n"/>
      <c r="D284" s="298" t="n"/>
      <c r="E284" s="299" t="n"/>
      <c r="F284" s="304" t="n"/>
      <c r="G284" s="299" t="n"/>
      <c r="H284" s="304" t="n"/>
      <c r="I284" s="298" t="n"/>
      <c r="J284" s="298" t="n"/>
      <c r="K284" s="298" t="n"/>
      <c r="L284" s="299" t="n"/>
      <c r="M284" s="304" t="n"/>
      <c r="N284" s="298" t="n"/>
      <c r="O284" s="299" t="n"/>
    </row>
    <row r="285" ht="48" customHeight="1">
      <c r="A285" s="302" t="n"/>
      <c r="B285" s="299" t="n"/>
      <c r="C285" s="302" t="n"/>
      <c r="D285" s="298" t="n"/>
      <c r="E285" s="299" t="n"/>
      <c r="F285" s="302" t="n"/>
      <c r="G285" s="299" t="n"/>
      <c r="H285" s="302" t="n"/>
      <c r="I285" s="298" t="n"/>
      <c r="J285" s="298" t="n"/>
      <c r="K285" s="298" t="n"/>
      <c r="L285" s="299" t="n"/>
      <c r="M285" s="302" t="n"/>
      <c r="N285" s="298" t="n"/>
      <c r="O285" s="299" t="n"/>
    </row>
    <row r="286" ht="48" customHeight="1">
      <c r="A286" s="304" t="n"/>
      <c r="B286" s="299" t="n"/>
      <c r="C286" s="304" t="n"/>
      <c r="D286" s="298" t="n"/>
      <c r="E286" s="299" t="n"/>
      <c r="F286" s="304" t="n"/>
      <c r="G286" s="299" t="n"/>
      <c r="H286" s="304" t="n"/>
      <c r="I286" s="298" t="n"/>
      <c r="J286" s="298" t="n"/>
      <c r="K286" s="298" t="n"/>
      <c r="L286" s="299" t="n"/>
      <c r="M286" s="304" t="n"/>
      <c r="N286" s="298" t="n"/>
      <c r="O286" s="299" t="n"/>
    </row>
    <row r="287" ht="48" customHeight="1">
      <c r="A287" s="302" t="n"/>
      <c r="B287" s="299" t="n"/>
      <c r="C287" s="302" t="n"/>
      <c r="D287" s="298" t="n"/>
      <c r="E287" s="299" t="n"/>
      <c r="F287" s="302" t="n"/>
      <c r="G287" s="299" t="n"/>
      <c r="H287" s="302" t="n"/>
      <c r="I287" s="298" t="n"/>
      <c r="J287" s="298" t="n"/>
      <c r="K287" s="298" t="n"/>
      <c r="L287" s="299" t="n"/>
      <c r="M287" s="302" t="n"/>
      <c r="N287" s="298" t="n"/>
      <c r="O287" s="299" t="n"/>
    </row>
    <row r="288" ht="10" customHeight="1">
      <c r="A288" s="305" t="n"/>
      <c r="B288" s="305" t="n"/>
      <c r="C288" s="305" t="n"/>
      <c r="D288" s="305" t="n"/>
      <c r="E288" s="305" t="n"/>
      <c r="F288" s="305" t="n"/>
      <c r="G288" s="305" t="n"/>
      <c r="H288" s="305" t="n"/>
      <c r="I288" s="305" t="n"/>
      <c r="J288" s="305" t="n"/>
      <c r="K288" s="305" t="n"/>
      <c r="L288" s="305" t="n"/>
      <c r="M288" s="305" t="n"/>
      <c r="N288" s="305" t="n"/>
      <c r="O288" s="305" t="n"/>
    </row>
    <row r="289" ht="25" customHeight="1">
      <c r="A289" s="300" t="inlineStr">
        <is>
          <t>Guidance / Promise interpretation</t>
        </is>
      </c>
      <c r="B289" s="298" t="n"/>
      <c r="C289" s="298" t="n"/>
      <c r="D289" s="298" t="n"/>
      <c r="E289" s="298" t="n"/>
      <c r="F289" s="298" t="n"/>
      <c r="G289" s="298" t="n"/>
      <c r="H289" s="298" t="n"/>
      <c r="I289" s="298" t="n"/>
      <c r="J289" s="298" t="n"/>
      <c r="K289" s="298" t="n"/>
      <c r="L289" s="298" t="n"/>
      <c r="M289" s="298" t="n"/>
      <c r="N289" s="298" t="n"/>
      <c r="O289" s="299" t="n"/>
    </row>
    <row r="290" ht="26" customHeight="1">
      <c r="A290" s="306" t="inlineStr">
        <is>
          <t>Promise / guidance item</t>
        </is>
      </c>
      <c r="B290" s="299" t="n"/>
      <c r="C290" s="306" t="inlineStr">
        <is>
          <t>Read</t>
        </is>
      </c>
      <c r="D290" s="298" t="n"/>
      <c r="E290" s="299" t="n"/>
      <c r="F290" s="306" t="inlineStr">
        <is>
          <t>Actual / progress interpretation</t>
        </is>
      </c>
      <c r="G290" s="298" t="n"/>
      <c r="H290" s="299" t="n"/>
      <c r="I290" s="306" t="inlineStr">
        <is>
          <t>Status / caveat</t>
        </is>
      </c>
      <c r="J290" s="298" t="n"/>
      <c r="K290" s="298" t="n"/>
      <c r="L290" s="299" t="n"/>
      <c r="M290" s="306" t="inlineStr">
        <is>
          <t>Source</t>
        </is>
      </c>
      <c r="N290" s="298" t="n"/>
      <c r="O290" s="299" t="n"/>
    </row>
    <row r="291" ht="30" customHeight="1">
      <c r="A291" s="302" t="n"/>
      <c r="B291" s="299" t="n"/>
      <c r="C291" s="302" t="n"/>
      <c r="D291" s="298" t="n"/>
      <c r="E291" s="298" t="n"/>
      <c r="F291" s="298" t="n"/>
      <c r="G291" s="298" t="n"/>
      <c r="H291" s="298" t="n"/>
      <c r="I291" s="298" t="n"/>
      <c r="J291" s="298" t="n"/>
      <c r="K291" s="298" t="n"/>
      <c r="L291" s="299" t="n"/>
      <c r="M291" s="302" t="n"/>
      <c r="N291" s="298" t="n"/>
      <c r="O291" s="299" t="n"/>
    </row>
    <row r="292" ht="10" customHeight="1">
      <c r="A292" s="305" t="n"/>
      <c r="B292" s="305" t="n"/>
      <c r="C292" s="305" t="n"/>
      <c r="D292" s="305" t="n"/>
      <c r="E292" s="305" t="n"/>
      <c r="F292" s="305" t="n"/>
      <c r="G292" s="305" t="n"/>
      <c r="H292" s="305" t="n"/>
      <c r="I292" s="305" t="n"/>
      <c r="J292" s="305" t="n"/>
      <c r="K292" s="305" t="n"/>
      <c r="L292" s="305" t="n"/>
      <c r="M292" s="305" t="n"/>
      <c r="N292" s="305" t="n"/>
      <c r="O292" s="305" t="n"/>
    </row>
    <row r="293" ht="25" customHeight="1">
      <c r="A293" s="300" t="inlineStr">
        <is>
          <t>Model mapping / double-count guardrails</t>
        </is>
      </c>
      <c r="B293" s="298" t="n"/>
      <c r="C293" s="298" t="n"/>
      <c r="D293" s="298" t="n"/>
      <c r="E293" s="298" t="n"/>
      <c r="F293" s="298" t="n"/>
      <c r="G293" s="298" t="n"/>
      <c r="H293" s="298" t="n"/>
      <c r="I293" s="298" t="n"/>
      <c r="J293" s="298" t="n"/>
      <c r="K293" s="298" t="n"/>
      <c r="L293" s="298" t="n"/>
      <c r="M293" s="298" t="n"/>
      <c r="N293" s="298" t="n"/>
      <c r="O293" s="299" t="n"/>
    </row>
    <row r="294" ht="26" customHeight="1">
      <c r="A294" s="306" t="inlineStr">
        <is>
          <t>Driver</t>
        </is>
      </c>
      <c r="B294" s="299" t="n"/>
      <c r="C294" s="306" t="inlineStr">
        <is>
          <t>Model treatment</t>
        </is>
      </c>
      <c r="D294" s="298" t="n"/>
      <c r="E294" s="298" t="n"/>
      <c r="F294" s="299" t="n"/>
      <c r="G294" s="306" t="inlineStr">
        <is>
          <t>Double-count guardrail</t>
        </is>
      </c>
      <c r="H294" s="298" t="n"/>
      <c r="I294" s="298" t="n"/>
      <c r="J294" s="298" t="n"/>
      <c r="K294" s="298" t="n"/>
      <c r="L294" s="299" t="n"/>
      <c r="M294" s="306" t="inlineStr">
        <is>
          <t>Linked sheet / metric</t>
        </is>
      </c>
      <c r="N294" s="298" t="n"/>
      <c r="O294" s="299" t="n"/>
    </row>
    <row r="295" ht="48" customHeight="1">
      <c r="A295" s="302" t="n"/>
      <c r="B295" s="299" t="n"/>
      <c r="C295" s="302" t="n"/>
      <c r="D295" s="298" t="n"/>
      <c r="E295" s="298" t="n"/>
      <c r="F295" s="299" t="n"/>
      <c r="G295" s="302" t="n"/>
      <c r="H295" s="298" t="n"/>
      <c r="I295" s="298" t="n"/>
      <c r="J295" s="298" t="n"/>
      <c r="K295" s="298" t="n"/>
      <c r="L295" s="299" t="n"/>
      <c r="M295" s="302" t="n"/>
      <c r="N295" s="298" t="n"/>
      <c r="O295" s="299" t="n"/>
    </row>
    <row r="296" ht="34" customHeight="1">
      <c r="A296" s="304" t="n"/>
      <c r="B296" s="299" t="n"/>
      <c r="C296" s="304" t="n"/>
      <c r="D296" s="298" t="n"/>
      <c r="E296" s="298" t="n"/>
      <c r="F296" s="299" t="n"/>
      <c r="G296" s="304" t="n"/>
      <c r="H296" s="298" t="n"/>
      <c r="I296" s="298" t="n"/>
      <c r="J296" s="298" t="n"/>
      <c r="K296" s="298" t="n"/>
      <c r="L296" s="299" t="n"/>
      <c r="M296" s="304" t="n"/>
      <c r="N296" s="298" t="n"/>
      <c r="O296" s="299" t="n"/>
    </row>
    <row r="297" ht="48" customHeight="1">
      <c r="A297" s="302" t="n"/>
      <c r="B297" s="299" t="n"/>
      <c r="C297" s="302" t="n"/>
      <c r="D297" s="298" t="n"/>
      <c r="E297" s="298" t="n"/>
      <c r="F297" s="299" t="n"/>
      <c r="G297" s="302" t="n"/>
      <c r="H297" s="298" t="n"/>
      <c r="I297" s="298" t="n"/>
      <c r="J297" s="298" t="n"/>
      <c r="K297" s="298" t="n"/>
      <c r="L297" s="299" t="n"/>
      <c r="M297" s="302" t="n"/>
      <c r="N297" s="298" t="n"/>
      <c r="O297" s="299" t="n"/>
    </row>
    <row r="298" ht="34" customHeight="1">
      <c r="A298" s="304" t="n"/>
      <c r="B298" s="299" t="n"/>
      <c r="C298" s="304" t="n"/>
      <c r="D298" s="298" t="n"/>
      <c r="E298" s="298" t="n"/>
      <c r="F298" s="299" t="n"/>
      <c r="G298" s="304" t="n"/>
      <c r="H298" s="298" t="n"/>
      <c r="I298" s="298" t="n"/>
      <c r="J298" s="298" t="n"/>
      <c r="K298" s="298" t="n"/>
      <c r="L298" s="299" t="n"/>
      <c r="M298" s="304" t="n"/>
      <c r="N298" s="298" t="n"/>
      <c r="O298" s="299" t="n"/>
    </row>
    <row r="299" ht="34" customHeight="1">
      <c r="A299" s="302" t="n"/>
      <c r="B299" s="299" t="n"/>
      <c r="C299" s="302" t="n"/>
      <c r="D299" s="298" t="n"/>
      <c r="E299" s="298" t="n"/>
      <c r="F299" s="299" t="n"/>
      <c r="G299" s="302" t="n"/>
      <c r="H299" s="298" t="n"/>
      <c r="I299" s="298" t="n"/>
      <c r="J299" s="298" t="n"/>
      <c r="K299" s="298" t="n"/>
      <c r="L299" s="299" t="n"/>
      <c r="M299" s="302" t="n"/>
      <c r="N299" s="298" t="n"/>
      <c r="O299" s="299" t="n"/>
    </row>
    <row r="300" ht="24" customHeight="1">
      <c r="A300" s="305" t="n"/>
      <c r="B300" s="305" t="n"/>
      <c r="C300" s="305" t="n"/>
      <c r="D300" s="305" t="n"/>
      <c r="E300" s="305" t="n"/>
      <c r="F300" s="305" t="n"/>
      <c r="G300" s="305" t="n"/>
      <c r="H300" s="305" t="n"/>
      <c r="I300" s="305" t="n"/>
      <c r="J300" s="305" t="n"/>
      <c r="K300" s="305" t="n"/>
      <c r="L300" s="305" t="n"/>
      <c r="M300" s="305" t="n"/>
      <c r="N300" s="305" t="n"/>
      <c r="O300" s="305" t="n"/>
    </row>
    <row r="301" ht="24" customHeight="1">
      <c r="A301" s="297" t="inlineStr">
        <is>
          <t>Historical quarter notes 10</t>
        </is>
      </c>
      <c r="B301" s="298" t="n"/>
      <c r="C301" s="298" t="n"/>
      <c r="D301" s="298" t="n"/>
      <c r="E301" s="298" t="n"/>
      <c r="F301" s="298" t="n"/>
      <c r="G301" s="298" t="n"/>
      <c r="H301" s="298" t="n"/>
      <c r="I301" s="298" t="n"/>
      <c r="J301" s="298" t="n"/>
      <c r="K301" s="298" t="n"/>
      <c r="L301" s="298" t="n"/>
      <c r="M301" s="298" t="n"/>
      <c r="N301" s="298" t="n"/>
      <c r="O301" s="299" t="n"/>
    </row>
    <row r="302" ht="25" customHeight="1">
      <c r="A302" s="300" t="inlineStr">
        <is>
          <t>Quarter read</t>
        </is>
      </c>
      <c r="B302" s="298" t="n"/>
      <c r="C302" s="298" t="n"/>
      <c r="D302" s="298" t="n"/>
      <c r="E302" s="298" t="n"/>
      <c r="F302" s="298" t="n"/>
      <c r="G302" s="298" t="n"/>
      <c r="H302" s="298" t="n"/>
      <c r="I302" s="298" t="n"/>
      <c r="J302" s="298" t="n"/>
      <c r="K302" s="298" t="n"/>
      <c r="L302" s="298" t="n"/>
      <c r="M302" s="298" t="n"/>
      <c r="N302" s="298" t="n"/>
      <c r="O302" s="299" t="n"/>
    </row>
    <row r="303" ht="58" customHeight="1">
      <c r="A303" s="301" t="inlineStr">
        <is>
          <t>Model read</t>
        </is>
      </c>
      <c r="B303" s="302" t="n"/>
      <c r="C303" s="298" t="n"/>
      <c r="D303" s="298" t="n"/>
      <c r="E303" s="298" t="n"/>
      <c r="F303" s="298" t="n"/>
      <c r="G303" s="298" t="n"/>
      <c r="H303" s="298" t="n"/>
      <c r="I303" s="298" t="n"/>
      <c r="J303" s="298" t="n"/>
      <c r="K303" s="298" t="n"/>
      <c r="L303" s="298" t="n"/>
      <c r="M303" s="298" t="n"/>
      <c r="N303" s="298" t="n"/>
      <c r="O303" s="299" t="n"/>
    </row>
    <row r="304" ht="44" customHeight="1">
      <c r="A304" s="303" t="inlineStr">
        <is>
          <t>What changed</t>
        </is>
      </c>
      <c r="B304" s="304" t="n"/>
      <c r="C304" s="298" t="n"/>
      <c r="D304" s="298" t="n"/>
      <c r="E304" s="298" t="n"/>
      <c r="F304" s="298" t="n"/>
      <c r="G304" s="298" t="n"/>
      <c r="H304" s="298" t="n"/>
      <c r="I304" s="298" t="n"/>
      <c r="J304" s="298" t="n"/>
      <c r="K304" s="298" t="n"/>
      <c r="L304" s="298" t="n"/>
      <c r="M304" s="298" t="n"/>
      <c r="N304" s="298" t="n"/>
      <c r="O304" s="299" t="n"/>
    </row>
    <row r="305" ht="30" customHeight="1">
      <c r="A305" s="301" t="inlineStr">
        <is>
          <t>Watch next</t>
        </is>
      </c>
      <c r="B305" s="302" t="n"/>
      <c r="C305" s="298" t="n"/>
      <c r="D305" s="298" t="n"/>
      <c r="E305" s="298" t="n"/>
      <c r="F305" s="298" t="n"/>
      <c r="G305" s="298" t="n"/>
      <c r="H305" s="298" t="n"/>
      <c r="I305" s="298" t="n"/>
      <c r="J305" s="298" t="n"/>
      <c r="K305" s="298" t="n"/>
      <c r="L305" s="298" t="n"/>
      <c r="M305" s="298" t="n"/>
      <c r="N305" s="298" t="n"/>
      <c r="O305" s="299" t="n"/>
    </row>
    <row r="306" ht="44" customHeight="1">
      <c r="A306" s="303" t="inlineStr">
        <is>
          <t>Key caveat</t>
        </is>
      </c>
      <c r="B306" s="304" t="n"/>
      <c r="C306" s="298" t="n"/>
      <c r="D306" s="298" t="n"/>
      <c r="E306" s="298" t="n"/>
      <c r="F306" s="298" t="n"/>
      <c r="G306" s="298" t="n"/>
      <c r="H306" s="298" t="n"/>
      <c r="I306" s="298" t="n"/>
      <c r="J306" s="298" t="n"/>
      <c r="K306" s="298" t="n"/>
      <c r="L306" s="298" t="n"/>
      <c r="M306" s="298" t="n"/>
      <c r="N306" s="298" t="n"/>
      <c r="O306" s="299" t="n"/>
    </row>
    <row r="307" ht="10" customHeight="1">
      <c r="A307" s="305" t="n"/>
      <c r="B307" s="305" t="n"/>
      <c r="C307" s="305" t="n"/>
      <c r="D307" s="305" t="n"/>
      <c r="E307" s="305" t="n"/>
      <c r="F307" s="305" t="n"/>
      <c r="G307" s="305" t="n"/>
      <c r="H307" s="305" t="n"/>
      <c r="I307" s="305" t="n"/>
      <c r="J307" s="305" t="n"/>
      <c r="K307" s="305" t="n"/>
      <c r="L307" s="305" t="n"/>
      <c r="M307" s="305" t="n"/>
      <c r="N307" s="305" t="n"/>
      <c r="O307" s="305" t="n"/>
    </row>
    <row r="308" ht="25" customHeight="1">
      <c r="A308" s="300" t="inlineStr">
        <is>
          <t>Key developments</t>
        </is>
      </c>
      <c r="B308" s="298" t="n"/>
      <c r="C308" s="298" t="n"/>
      <c r="D308" s="298" t="n"/>
      <c r="E308" s="298" t="n"/>
      <c r="F308" s="298" t="n"/>
      <c r="G308" s="298" t="n"/>
      <c r="H308" s="298" t="n"/>
      <c r="I308" s="298" t="n"/>
      <c r="J308" s="298" t="n"/>
      <c r="K308" s="298" t="n"/>
      <c r="L308" s="298" t="n"/>
      <c r="M308" s="298" t="n"/>
      <c r="N308" s="298" t="n"/>
      <c r="O308" s="299" t="n"/>
    </row>
    <row r="309" ht="26" customHeight="1">
      <c r="A309" s="306" t="inlineStr">
        <is>
          <t>Theme</t>
        </is>
      </c>
      <c r="B309" s="299" t="n"/>
      <c r="C309" s="306" t="inlineStr">
        <is>
          <t>What happened</t>
        </is>
      </c>
      <c r="D309" s="298" t="n"/>
      <c r="E309" s="299" t="n"/>
      <c r="F309" s="306" t="inlineStr">
        <is>
          <t>Why it matters</t>
        </is>
      </c>
      <c r="G309" s="299" t="n"/>
      <c r="H309" s="306" t="inlineStr">
        <is>
          <t>Model / valuation implication</t>
        </is>
      </c>
      <c r="I309" s="298" t="n"/>
      <c r="J309" s="298" t="n"/>
      <c r="K309" s="298" t="n"/>
      <c r="L309" s="299" t="n"/>
      <c r="M309" s="306" t="inlineStr">
        <is>
          <t>Source / confidence</t>
        </is>
      </c>
      <c r="N309" s="298" t="n"/>
      <c r="O309" s="299" t="n"/>
    </row>
    <row r="310" ht="48" customHeight="1">
      <c r="A310" s="302" t="n"/>
      <c r="B310" s="299" t="n"/>
      <c r="C310" s="302" t="n"/>
      <c r="D310" s="298" t="n"/>
      <c r="E310" s="299" t="n"/>
      <c r="F310" s="302" t="n"/>
      <c r="G310" s="299" t="n"/>
      <c r="H310" s="302" t="n"/>
      <c r="I310" s="298" t="n"/>
      <c r="J310" s="298" t="n"/>
      <c r="K310" s="298" t="n"/>
      <c r="L310" s="299" t="n"/>
      <c r="M310" s="302" t="n"/>
      <c r="N310" s="298" t="n"/>
      <c r="O310" s="299" t="n"/>
    </row>
    <row r="311" ht="48" customHeight="1">
      <c r="A311" s="304" t="n"/>
      <c r="B311" s="299" t="n"/>
      <c r="C311" s="304" t="n"/>
      <c r="D311" s="298" t="n"/>
      <c r="E311" s="299" t="n"/>
      <c r="F311" s="304" t="n"/>
      <c r="G311" s="299" t="n"/>
      <c r="H311" s="304" t="n"/>
      <c r="I311" s="298" t="n"/>
      <c r="J311" s="298" t="n"/>
      <c r="K311" s="298" t="n"/>
      <c r="L311" s="299" t="n"/>
      <c r="M311" s="304" t="n"/>
      <c r="N311" s="298" t="n"/>
      <c r="O311" s="299" t="n"/>
    </row>
    <row r="312" ht="48" customHeight="1">
      <c r="A312" s="302" t="n"/>
      <c r="B312" s="299" t="n"/>
      <c r="C312" s="302" t="n"/>
      <c r="D312" s="298" t="n"/>
      <c r="E312" s="299" t="n"/>
      <c r="F312" s="302" t="n"/>
      <c r="G312" s="299" t="n"/>
      <c r="H312" s="302" t="n"/>
      <c r="I312" s="298" t="n"/>
      <c r="J312" s="298" t="n"/>
      <c r="K312" s="298" t="n"/>
      <c r="L312" s="299" t="n"/>
      <c r="M312" s="302" t="n"/>
      <c r="N312" s="298" t="n"/>
      <c r="O312" s="299" t="n"/>
    </row>
    <row r="313" ht="48" customHeight="1">
      <c r="A313" s="304" t="n"/>
      <c r="B313" s="299" t="n"/>
      <c r="C313" s="304" t="n"/>
      <c r="D313" s="298" t="n"/>
      <c r="E313" s="299" t="n"/>
      <c r="F313" s="304" t="n"/>
      <c r="G313" s="299" t="n"/>
      <c r="H313" s="304" t="n"/>
      <c r="I313" s="298" t="n"/>
      <c r="J313" s="298" t="n"/>
      <c r="K313" s="298" t="n"/>
      <c r="L313" s="299" t="n"/>
      <c r="M313" s="304" t="n"/>
      <c r="N313" s="298" t="n"/>
      <c r="O313" s="299" t="n"/>
    </row>
    <row r="314" ht="48" customHeight="1">
      <c r="A314" s="302" t="n"/>
      <c r="B314" s="299" t="n"/>
      <c r="C314" s="302" t="n"/>
      <c r="D314" s="298" t="n"/>
      <c r="E314" s="299" t="n"/>
      <c r="F314" s="302" t="n"/>
      <c r="G314" s="299" t="n"/>
      <c r="H314" s="302" t="n"/>
      <c r="I314" s="298" t="n"/>
      <c r="J314" s="298" t="n"/>
      <c r="K314" s="298" t="n"/>
      <c r="L314" s="299" t="n"/>
      <c r="M314" s="302" t="n"/>
      <c r="N314" s="298" t="n"/>
      <c r="O314" s="299" t="n"/>
    </row>
    <row r="315" ht="10" customHeight="1">
      <c r="A315" s="305" t="n"/>
      <c r="B315" s="305" t="n"/>
      <c r="C315" s="305" t="n"/>
      <c r="D315" s="305" t="n"/>
      <c r="E315" s="305" t="n"/>
      <c r="F315" s="305" t="n"/>
      <c r="G315" s="305" t="n"/>
      <c r="H315" s="305" t="n"/>
      <c r="I315" s="305" t="n"/>
      <c r="J315" s="305" t="n"/>
      <c r="K315" s="305" t="n"/>
      <c r="L315" s="305" t="n"/>
      <c r="M315" s="305" t="n"/>
      <c r="N315" s="305" t="n"/>
      <c r="O315" s="305" t="n"/>
    </row>
    <row r="316" ht="25" customHeight="1">
      <c r="A316" s="300" t="inlineStr">
        <is>
          <t>Guidance / Promise interpretation</t>
        </is>
      </c>
      <c r="B316" s="298" t="n"/>
      <c r="C316" s="298" t="n"/>
      <c r="D316" s="298" t="n"/>
      <c r="E316" s="298" t="n"/>
      <c r="F316" s="298" t="n"/>
      <c r="G316" s="298" t="n"/>
      <c r="H316" s="298" t="n"/>
      <c r="I316" s="298" t="n"/>
      <c r="J316" s="298" t="n"/>
      <c r="K316" s="298" t="n"/>
      <c r="L316" s="298" t="n"/>
      <c r="M316" s="298" t="n"/>
      <c r="N316" s="298" t="n"/>
      <c r="O316" s="299" t="n"/>
    </row>
    <row r="317" ht="26" customHeight="1">
      <c r="A317" s="306" t="inlineStr">
        <is>
          <t>Promise / guidance item</t>
        </is>
      </c>
      <c r="B317" s="299" t="n"/>
      <c r="C317" s="306" t="inlineStr">
        <is>
          <t>Read</t>
        </is>
      </c>
      <c r="D317" s="298" t="n"/>
      <c r="E317" s="299" t="n"/>
      <c r="F317" s="306" t="inlineStr">
        <is>
          <t>Actual / progress interpretation</t>
        </is>
      </c>
      <c r="G317" s="298" t="n"/>
      <c r="H317" s="299" t="n"/>
      <c r="I317" s="306" t="inlineStr">
        <is>
          <t>Status / caveat</t>
        </is>
      </c>
      <c r="J317" s="298" t="n"/>
      <c r="K317" s="298" t="n"/>
      <c r="L317" s="299" t="n"/>
      <c r="M317" s="306" t="inlineStr">
        <is>
          <t>Source</t>
        </is>
      </c>
      <c r="N317" s="298" t="n"/>
      <c r="O317" s="299" t="n"/>
    </row>
    <row r="318" ht="30" customHeight="1">
      <c r="A318" s="302" t="n"/>
      <c r="B318" s="299" t="n"/>
      <c r="C318" s="302" t="n"/>
      <c r="D318" s="298" t="n"/>
      <c r="E318" s="298" t="n"/>
      <c r="F318" s="298" t="n"/>
      <c r="G318" s="298" t="n"/>
      <c r="H318" s="298" t="n"/>
      <c r="I318" s="298" t="n"/>
      <c r="J318" s="298" t="n"/>
      <c r="K318" s="298" t="n"/>
      <c r="L318" s="299" t="n"/>
      <c r="M318" s="302" t="n"/>
      <c r="N318" s="298" t="n"/>
      <c r="O318" s="299" t="n"/>
    </row>
    <row r="319" ht="10" customHeight="1">
      <c r="A319" s="305" t="n"/>
      <c r="B319" s="305" t="n"/>
      <c r="C319" s="305" t="n"/>
      <c r="D319" s="305" t="n"/>
      <c r="E319" s="305" t="n"/>
      <c r="F319" s="305" t="n"/>
      <c r="G319" s="305" t="n"/>
      <c r="H319" s="305" t="n"/>
      <c r="I319" s="305" t="n"/>
      <c r="J319" s="305" t="n"/>
      <c r="K319" s="305" t="n"/>
      <c r="L319" s="305" t="n"/>
      <c r="M319" s="305" t="n"/>
      <c r="N319" s="305" t="n"/>
      <c r="O319" s="305" t="n"/>
    </row>
    <row r="320" ht="25" customHeight="1">
      <c r="A320" s="300" t="inlineStr">
        <is>
          <t>Model mapping / double-count guardrails</t>
        </is>
      </c>
      <c r="B320" s="298" t="n"/>
      <c r="C320" s="298" t="n"/>
      <c r="D320" s="298" t="n"/>
      <c r="E320" s="298" t="n"/>
      <c r="F320" s="298" t="n"/>
      <c r="G320" s="298" t="n"/>
      <c r="H320" s="298" t="n"/>
      <c r="I320" s="298" t="n"/>
      <c r="J320" s="298" t="n"/>
      <c r="K320" s="298" t="n"/>
      <c r="L320" s="298" t="n"/>
      <c r="M320" s="298" t="n"/>
      <c r="N320" s="298" t="n"/>
      <c r="O320" s="299" t="n"/>
    </row>
    <row r="321" ht="26" customHeight="1">
      <c r="A321" s="306" t="inlineStr">
        <is>
          <t>Driver</t>
        </is>
      </c>
      <c r="B321" s="299" t="n"/>
      <c r="C321" s="306" t="inlineStr">
        <is>
          <t>Model treatment</t>
        </is>
      </c>
      <c r="D321" s="298" t="n"/>
      <c r="E321" s="298" t="n"/>
      <c r="F321" s="299" t="n"/>
      <c r="G321" s="306" t="inlineStr">
        <is>
          <t>Double-count guardrail</t>
        </is>
      </c>
      <c r="H321" s="298" t="n"/>
      <c r="I321" s="298" t="n"/>
      <c r="J321" s="298" t="n"/>
      <c r="K321" s="298" t="n"/>
      <c r="L321" s="299" t="n"/>
      <c r="M321" s="306" t="inlineStr">
        <is>
          <t>Linked sheet / metric</t>
        </is>
      </c>
      <c r="N321" s="298" t="n"/>
      <c r="O321" s="299" t="n"/>
    </row>
    <row r="322" ht="48" customHeight="1">
      <c r="A322" s="302" t="n"/>
      <c r="B322" s="299" t="n"/>
      <c r="C322" s="302" t="n"/>
      <c r="D322" s="298" t="n"/>
      <c r="E322" s="298" t="n"/>
      <c r="F322" s="299" t="n"/>
      <c r="G322" s="302" t="n"/>
      <c r="H322" s="298" t="n"/>
      <c r="I322" s="298" t="n"/>
      <c r="J322" s="298" t="n"/>
      <c r="K322" s="298" t="n"/>
      <c r="L322" s="299" t="n"/>
      <c r="M322" s="302" t="n"/>
      <c r="N322" s="298" t="n"/>
      <c r="O322" s="299" t="n"/>
    </row>
    <row r="323" ht="34" customHeight="1">
      <c r="A323" s="304" t="n"/>
      <c r="B323" s="299" t="n"/>
      <c r="C323" s="304" t="n"/>
      <c r="D323" s="298" t="n"/>
      <c r="E323" s="298" t="n"/>
      <c r="F323" s="299" t="n"/>
      <c r="G323" s="304" t="n"/>
      <c r="H323" s="298" t="n"/>
      <c r="I323" s="298" t="n"/>
      <c r="J323" s="298" t="n"/>
      <c r="K323" s="298" t="n"/>
      <c r="L323" s="299" t="n"/>
      <c r="M323" s="304" t="n"/>
      <c r="N323" s="298" t="n"/>
      <c r="O323" s="299" t="n"/>
    </row>
    <row r="324" ht="48" customHeight="1">
      <c r="A324" s="302" t="n"/>
      <c r="B324" s="299" t="n"/>
      <c r="C324" s="302" t="n"/>
      <c r="D324" s="298" t="n"/>
      <c r="E324" s="298" t="n"/>
      <c r="F324" s="299" t="n"/>
      <c r="G324" s="302" t="n"/>
      <c r="H324" s="298" t="n"/>
      <c r="I324" s="298" t="n"/>
      <c r="J324" s="298" t="n"/>
      <c r="K324" s="298" t="n"/>
      <c r="L324" s="299" t="n"/>
      <c r="M324" s="302" t="n"/>
      <c r="N324" s="298" t="n"/>
      <c r="O324" s="299" t="n"/>
    </row>
    <row r="325" ht="34" customHeight="1">
      <c r="A325" s="304" t="n"/>
      <c r="B325" s="299" t="n"/>
      <c r="C325" s="304" t="n"/>
      <c r="D325" s="298" t="n"/>
      <c r="E325" s="298" t="n"/>
      <c r="F325" s="299" t="n"/>
      <c r="G325" s="304" t="n"/>
      <c r="H325" s="298" t="n"/>
      <c r="I325" s="298" t="n"/>
      <c r="J325" s="298" t="n"/>
      <c r="K325" s="298" t="n"/>
      <c r="L325" s="299" t="n"/>
      <c r="M325" s="304" t="n"/>
      <c r="N325" s="298" t="n"/>
      <c r="O325" s="299" t="n"/>
    </row>
    <row r="326" ht="34" customHeight="1">
      <c r="A326" s="302" t="n"/>
      <c r="B326" s="299" t="n"/>
      <c r="C326" s="302" t="n"/>
      <c r="D326" s="298" t="n"/>
      <c r="E326" s="298" t="n"/>
      <c r="F326" s="299" t="n"/>
      <c r="G326" s="302" t="n"/>
      <c r="H326" s="298" t="n"/>
      <c r="I326" s="298" t="n"/>
      <c r="J326" s="298" t="n"/>
      <c r="K326" s="298" t="n"/>
      <c r="L326" s="299" t="n"/>
      <c r="M326" s="302" t="n"/>
      <c r="N326" s="298" t="n"/>
      <c r="O326" s="299" t="n"/>
    </row>
    <row r="327" ht="24" customHeight="1">
      <c r="A327" s="305" t="n"/>
      <c r="B327" s="305" t="n"/>
      <c r="C327" s="305" t="n"/>
      <c r="D327" s="305" t="n"/>
      <c r="E327" s="305" t="n"/>
      <c r="F327" s="305" t="n"/>
      <c r="G327" s="305" t="n"/>
      <c r="H327" s="305" t="n"/>
      <c r="I327" s="305" t="n"/>
      <c r="J327" s="305" t="n"/>
      <c r="K327" s="305" t="n"/>
      <c r="L327" s="305" t="n"/>
      <c r="M327" s="305" t="n"/>
      <c r="N327" s="305" t="n"/>
      <c r="O327" s="305" t="n"/>
    </row>
    <row r="328" ht="24" customHeight="1">
      <c r="A328" s="297" t="inlineStr">
        <is>
          <t>Historical quarter notes 11</t>
        </is>
      </c>
      <c r="B328" s="298" t="n"/>
      <c r="C328" s="298" t="n"/>
      <c r="D328" s="298" t="n"/>
      <c r="E328" s="298" t="n"/>
      <c r="F328" s="298" t="n"/>
      <c r="G328" s="298" t="n"/>
      <c r="H328" s="298" t="n"/>
      <c r="I328" s="298" t="n"/>
      <c r="J328" s="298" t="n"/>
      <c r="K328" s="298" t="n"/>
      <c r="L328" s="298" t="n"/>
      <c r="M328" s="298" t="n"/>
      <c r="N328" s="298" t="n"/>
      <c r="O328" s="299" t="n"/>
    </row>
    <row r="329" ht="25" customHeight="1">
      <c r="A329" s="300" t="inlineStr">
        <is>
          <t>Quarter read</t>
        </is>
      </c>
      <c r="B329" s="298" t="n"/>
      <c r="C329" s="298" t="n"/>
      <c r="D329" s="298" t="n"/>
      <c r="E329" s="298" t="n"/>
      <c r="F329" s="298" t="n"/>
      <c r="G329" s="298" t="n"/>
      <c r="H329" s="298" t="n"/>
      <c r="I329" s="298" t="n"/>
      <c r="J329" s="298" t="n"/>
      <c r="K329" s="298" t="n"/>
      <c r="L329" s="298" t="n"/>
      <c r="M329" s="298" t="n"/>
      <c r="N329" s="298" t="n"/>
      <c r="O329" s="299" t="n"/>
    </row>
    <row r="330" ht="58" customHeight="1">
      <c r="A330" s="301" t="inlineStr">
        <is>
          <t>Model read</t>
        </is>
      </c>
      <c r="B330" s="302" t="n"/>
      <c r="C330" s="298" t="n"/>
      <c r="D330" s="298" t="n"/>
      <c r="E330" s="298" t="n"/>
      <c r="F330" s="298" t="n"/>
      <c r="G330" s="298" t="n"/>
      <c r="H330" s="298" t="n"/>
      <c r="I330" s="298" t="n"/>
      <c r="J330" s="298" t="n"/>
      <c r="K330" s="298" t="n"/>
      <c r="L330" s="298" t="n"/>
      <c r="M330" s="298" t="n"/>
      <c r="N330" s="298" t="n"/>
      <c r="O330" s="299" t="n"/>
    </row>
    <row r="331" ht="44" customHeight="1">
      <c r="A331" s="303" t="inlineStr">
        <is>
          <t>What changed</t>
        </is>
      </c>
      <c r="B331" s="304" t="n"/>
      <c r="C331" s="298" t="n"/>
      <c r="D331" s="298" t="n"/>
      <c r="E331" s="298" t="n"/>
      <c r="F331" s="298" t="n"/>
      <c r="G331" s="298" t="n"/>
      <c r="H331" s="298" t="n"/>
      <c r="I331" s="298" t="n"/>
      <c r="J331" s="298" t="n"/>
      <c r="K331" s="298" t="n"/>
      <c r="L331" s="298" t="n"/>
      <c r="M331" s="298" t="n"/>
      <c r="N331" s="298" t="n"/>
      <c r="O331" s="299" t="n"/>
    </row>
    <row r="332" ht="30" customHeight="1">
      <c r="A332" s="301" t="inlineStr">
        <is>
          <t>Watch next</t>
        </is>
      </c>
      <c r="B332" s="302" t="n"/>
      <c r="C332" s="298" t="n"/>
      <c r="D332" s="298" t="n"/>
      <c r="E332" s="298" t="n"/>
      <c r="F332" s="298" t="n"/>
      <c r="G332" s="298" t="n"/>
      <c r="H332" s="298" t="n"/>
      <c r="I332" s="298" t="n"/>
      <c r="J332" s="298" t="n"/>
      <c r="K332" s="298" t="n"/>
      <c r="L332" s="298" t="n"/>
      <c r="M332" s="298" t="n"/>
      <c r="N332" s="298" t="n"/>
      <c r="O332" s="299" t="n"/>
    </row>
    <row r="333" ht="44" customHeight="1">
      <c r="A333" s="303" t="inlineStr">
        <is>
          <t>Key caveat</t>
        </is>
      </c>
      <c r="B333" s="304" t="n"/>
      <c r="C333" s="298" t="n"/>
      <c r="D333" s="298" t="n"/>
      <c r="E333" s="298" t="n"/>
      <c r="F333" s="298" t="n"/>
      <c r="G333" s="298" t="n"/>
      <c r="H333" s="298" t="n"/>
      <c r="I333" s="298" t="n"/>
      <c r="J333" s="298" t="n"/>
      <c r="K333" s="298" t="n"/>
      <c r="L333" s="298" t="n"/>
      <c r="M333" s="298" t="n"/>
      <c r="N333" s="298" t="n"/>
      <c r="O333" s="299" t="n"/>
    </row>
    <row r="334" ht="10" customHeight="1">
      <c r="A334" s="305" t="n"/>
      <c r="B334" s="305" t="n"/>
      <c r="C334" s="305" t="n"/>
      <c r="D334" s="305" t="n"/>
      <c r="E334" s="305" t="n"/>
      <c r="F334" s="305" t="n"/>
      <c r="G334" s="305" t="n"/>
      <c r="H334" s="305" t="n"/>
      <c r="I334" s="305" t="n"/>
      <c r="J334" s="305" t="n"/>
      <c r="K334" s="305" t="n"/>
      <c r="L334" s="305" t="n"/>
      <c r="M334" s="305" t="n"/>
      <c r="N334" s="305" t="n"/>
      <c r="O334" s="305" t="n"/>
    </row>
    <row r="335" ht="25" customHeight="1">
      <c r="A335" s="300" t="inlineStr">
        <is>
          <t>Key developments</t>
        </is>
      </c>
      <c r="B335" s="298" t="n"/>
      <c r="C335" s="298" t="n"/>
      <c r="D335" s="298" t="n"/>
      <c r="E335" s="298" t="n"/>
      <c r="F335" s="298" t="n"/>
      <c r="G335" s="298" t="n"/>
      <c r="H335" s="298" t="n"/>
      <c r="I335" s="298" t="n"/>
      <c r="J335" s="298" t="n"/>
      <c r="K335" s="298" t="n"/>
      <c r="L335" s="298" t="n"/>
      <c r="M335" s="298" t="n"/>
      <c r="N335" s="298" t="n"/>
      <c r="O335" s="299" t="n"/>
    </row>
    <row r="336" ht="26" customHeight="1">
      <c r="A336" s="306" t="inlineStr">
        <is>
          <t>Theme</t>
        </is>
      </c>
      <c r="B336" s="299" t="n"/>
      <c r="C336" s="306" t="inlineStr">
        <is>
          <t>What happened</t>
        </is>
      </c>
      <c r="D336" s="298" t="n"/>
      <c r="E336" s="299" t="n"/>
      <c r="F336" s="306" t="inlineStr">
        <is>
          <t>Why it matters</t>
        </is>
      </c>
      <c r="G336" s="299" t="n"/>
      <c r="H336" s="306" t="inlineStr">
        <is>
          <t>Model / valuation implication</t>
        </is>
      </c>
      <c r="I336" s="298" t="n"/>
      <c r="J336" s="298" t="n"/>
      <c r="K336" s="298" t="n"/>
      <c r="L336" s="299" t="n"/>
      <c r="M336" s="306" t="inlineStr">
        <is>
          <t>Source / confidence</t>
        </is>
      </c>
      <c r="N336" s="298" t="n"/>
      <c r="O336" s="299" t="n"/>
    </row>
    <row r="337" ht="48" customHeight="1">
      <c r="A337" s="302" t="n"/>
      <c r="B337" s="299" t="n"/>
      <c r="C337" s="302" t="n"/>
      <c r="D337" s="298" t="n"/>
      <c r="E337" s="299" t="n"/>
      <c r="F337" s="302" t="n"/>
      <c r="G337" s="299" t="n"/>
      <c r="H337" s="302" t="n"/>
      <c r="I337" s="298" t="n"/>
      <c r="J337" s="298" t="n"/>
      <c r="K337" s="298" t="n"/>
      <c r="L337" s="299" t="n"/>
      <c r="M337" s="302" t="n"/>
      <c r="N337" s="298" t="n"/>
      <c r="O337" s="299" t="n"/>
    </row>
    <row r="338" ht="48" customHeight="1">
      <c r="A338" s="304" t="n"/>
      <c r="B338" s="299" t="n"/>
      <c r="C338" s="304" t="n"/>
      <c r="D338" s="298" t="n"/>
      <c r="E338" s="299" t="n"/>
      <c r="F338" s="304" t="n"/>
      <c r="G338" s="299" t="n"/>
      <c r="H338" s="304" t="n"/>
      <c r="I338" s="298" t="n"/>
      <c r="J338" s="298" t="n"/>
      <c r="K338" s="298" t="n"/>
      <c r="L338" s="299" t="n"/>
      <c r="M338" s="304" t="n"/>
      <c r="N338" s="298" t="n"/>
      <c r="O338" s="299" t="n"/>
    </row>
    <row r="339" ht="48" customHeight="1">
      <c r="A339" s="302" t="n"/>
      <c r="B339" s="299" t="n"/>
      <c r="C339" s="302" t="n"/>
      <c r="D339" s="298" t="n"/>
      <c r="E339" s="299" t="n"/>
      <c r="F339" s="302" t="n"/>
      <c r="G339" s="299" t="n"/>
      <c r="H339" s="302" t="n"/>
      <c r="I339" s="298" t="n"/>
      <c r="J339" s="298" t="n"/>
      <c r="K339" s="298" t="n"/>
      <c r="L339" s="299" t="n"/>
      <c r="M339" s="302" t="n"/>
      <c r="N339" s="298" t="n"/>
      <c r="O339" s="299" t="n"/>
    </row>
    <row r="340" ht="48" customHeight="1">
      <c r="A340" s="304" t="n"/>
      <c r="B340" s="299" t="n"/>
      <c r="C340" s="304" t="n"/>
      <c r="D340" s="298" t="n"/>
      <c r="E340" s="299" t="n"/>
      <c r="F340" s="304" t="n"/>
      <c r="G340" s="299" t="n"/>
      <c r="H340" s="304" t="n"/>
      <c r="I340" s="298" t="n"/>
      <c r="J340" s="298" t="n"/>
      <c r="K340" s="298" t="n"/>
      <c r="L340" s="299" t="n"/>
      <c r="M340" s="304" t="n"/>
      <c r="N340" s="298" t="n"/>
      <c r="O340" s="299" t="n"/>
    </row>
    <row r="341" ht="48" customHeight="1">
      <c r="A341" s="302" t="n"/>
      <c r="B341" s="299" t="n"/>
      <c r="C341" s="302" t="n"/>
      <c r="D341" s="298" t="n"/>
      <c r="E341" s="299" t="n"/>
      <c r="F341" s="302" t="n"/>
      <c r="G341" s="299" t="n"/>
      <c r="H341" s="302" t="n"/>
      <c r="I341" s="298" t="n"/>
      <c r="J341" s="298" t="n"/>
      <c r="K341" s="298" t="n"/>
      <c r="L341" s="299" t="n"/>
      <c r="M341" s="302" t="n"/>
      <c r="N341" s="298" t="n"/>
      <c r="O341" s="299" t="n"/>
    </row>
    <row r="342" ht="10" customHeight="1">
      <c r="A342" s="305" t="n"/>
      <c r="B342" s="305" t="n"/>
      <c r="C342" s="305" t="n"/>
      <c r="D342" s="305" t="n"/>
      <c r="E342" s="305" t="n"/>
      <c r="F342" s="305" t="n"/>
      <c r="G342" s="305" t="n"/>
      <c r="H342" s="305" t="n"/>
      <c r="I342" s="305" t="n"/>
      <c r="J342" s="305" t="n"/>
      <c r="K342" s="305" t="n"/>
      <c r="L342" s="305" t="n"/>
      <c r="M342" s="305" t="n"/>
      <c r="N342" s="305" t="n"/>
      <c r="O342" s="305" t="n"/>
    </row>
    <row r="343" ht="25" customHeight="1">
      <c r="A343" s="300" t="inlineStr">
        <is>
          <t>Guidance / Promise interpretation</t>
        </is>
      </c>
      <c r="B343" s="298" t="n"/>
      <c r="C343" s="298" t="n"/>
      <c r="D343" s="298" t="n"/>
      <c r="E343" s="298" t="n"/>
      <c r="F343" s="298" t="n"/>
      <c r="G343" s="298" t="n"/>
      <c r="H343" s="298" t="n"/>
      <c r="I343" s="298" t="n"/>
      <c r="J343" s="298" t="n"/>
      <c r="K343" s="298" t="n"/>
      <c r="L343" s="298" t="n"/>
      <c r="M343" s="298" t="n"/>
      <c r="N343" s="298" t="n"/>
      <c r="O343" s="299" t="n"/>
    </row>
    <row r="344" ht="26" customHeight="1">
      <c r="A344" s="306" t="inlineStr">
        <is>
          <t>Promise / guidance item</t>
        </is>
      </c>
      <c r="B344" s="299" t="n"/>
      <c r="C344" s="306" t="inlineStr">
        <is>
          <t>Read</t>
        </is>
      </c>
      <c r="D344" s="298" t="n"/>
      <c r="E344" s="299" t="n"/>
      <c r="F344" s="306" t="inlineStr">
        <is>
          <t>Actual / progress interpretation</t>
        </is>
      </c>
      <c r="G344" s="298" t="n"/>
      <c r="H344" s="299" t="n"/>
      <c r="I344" s="306" t="inlineStr">
        <is>
          <t>Status / caveat</t>
        </is>
      </c>
      <c r="J344" s="298" t="n"/>
      <c r="K344" s="298" t="n"/>
      <c r="L344" s="299" t="n"/>
      <c r="M344" s="306" t="inlineStr">
        <is>
          <t>Source</t>
        </is>
      </c>
      <c r="N344" s="298" t="n"/>
      <c r="O344" s="299" t="n"/>
    </row>
    <row r="345" ht="30" customHeight="1">
      <c r="A345" s="302" t="n"/>
      <c r="B345" s="299" t="n"/>
      <c r="C345" s="302" t="n"/>
      <c r="D345" s="298" t="n"/>
      <c r="E345" s="298" t="n"/>
      <c r="F345" s="298" t="n"/>
      <c r="G345" s="298" t="n"/>
      <c r="H345" s="298" t="n"/>
      <c r="I345" s="298" t="n"/>
      <c r="J345" s="298" t="n"/>
      <c r="K345" s="298" t="n"/>
      <c r="L345" s="299" t="n"/>
      <c r="M345" s="302" t="n"/>
      <c r="N345" s="298" t="n"/>
      <c r="O345" s="299" t="n"/>
    </row>
    <row r="346" ht="10" customHeight="1">
      <c r="A346" s="305" t="n"/>
      <c r="B346" s="305" t="n"/>
      <c r="C346" s="305" t="n"/>
      <c r="D346" s="305" t="n"/>
      <c r="E346" s="305" t="n"/>
      <c r="F346" s="305" t="n"/>
      <c r="G346" s="305" t="n"/>
      <c r="H346" s="305" t="n"/>
      <c r="I346" s="305" t="n"/>
      <c r="J346" s="305" t="n"/>
      <c r="K346" s="305" t="n"/>
      <c r="L346" s="305" t="n"/>
      <c r="M346" s="305" t="n"/>
      <c r="N346" s="305" t="n"/>
      <c r="O346" s="305" t="n"/>
    </row>
    <row r="347" ht="25" customHeight="1">
      <c r="A347" s="300" t="inlineStr">
        <is>
          <t>Model mapping / double-count guardrails</t>
        </is>
      </c>
      <c r="B347" s="298" t="n"/>
      <c r="C347" s="298" t="n"/>
      <c r="D347" s="298" t="n"/>
      <c r="E347" s="298" t="n"/>
      <c r="F347" s="298" t="n"/>
      <c r="G347" s="298" t="n"/>
      <c r="H347" s="298" t="n"/>
      <c r="I347" s="298" t="n"/>
      <c r="J347" s="298" t="n"/>
      <c r="K347" s="298" t="n"/>
      <c r="L347" s="298" t="n"/>
      <c r="M347" s="298" t="n"/>
      <c r="N347" s="298" t="n"/>
      <c r="O347" s="299" t="n"/>
    </row>
    <row r="348" ht="26" customHeight="1">
      <c r="A348" s="306" t="inlineStr">
        <is>
          <t>Driver</t>
        </is>
      </c>
      <c r="B348" s="299" t="n"/>
      <c r="C348" s="306" t="inlineStr">
        <is>
          <t>Model treatment</t>
        </is>
      </c>
      <c r="D348" s="298" t="n"/>
      <c r="E348" s="298" t="n"/>
      <c r="F348" s="299" t="n"/>
      <c r="G348" s="306" t="inlineStr">
        <is>
          <t>Double-count guardrail</t>
        </is>
      </c>
      <c r="H348" s="298" t="n"/>
      <c r="I348" s="298" t="n"/>
      <c r="J348" s="298" t="n"/>
      <c r="K348" s="298" t="n"/>
      <c r="L348" s="299" t="n"/>
      <c r="M348" s="306" t="inlineStr">
        <is>
          <t>Linked sheet / metric</t>
        </is>
      </c>
      <c r="N348" s="298" t="n"/>
      <c r="O348" s="299" t="n"/>
    </row>
    <row r="349" ht="48" customHeight="1">
      <c r="A349" s="302" t="n"/>
      <c r="B349" s="299" t="n"/>
      <c r="C349" s="302" t="n"/>
      <c r="D349" s="298" t="n"/>
      <c r="E349" s="298" t="n"/>
      <c r="F349" s="299" t="n"/>
      <c r="G349" s="302" t="n"/>
      <c r="H349" s="298" t="n"/>
      <c r="I349" s="298" t="n"/>
      <c r="J349" s="298" t="n"/>
      <c r="K349" s="298" t="n"/>
      <c r="L349" s="299" t="n"/>
      <c r="M349" s="302" t="n"/>
      <c r="N349" s="298" t="n"/>
      <c r="O349" s="299" t="n"/>
    </row>
    <row r="350" ht="34" customHeight="1">
      <c r="A350" s="304" t="n"/>
      <c r="B350" s="299" t="n"/>
      <c r="C350" s="304" t="n"/>
      <c r="D350" s="298" t="n"/>
      <c r="E350" s="298" t="n"/>
      <c r="F350" s="299" t="n"/>
      <c r="G350" s="304" t="n"/>
      <c r="H350" s="298" t="n"/>
      <c r="I350" s="298" t="n"/>
      <c r="J350" s="298" t="n"/>
      <c r="K350" s="298" t="n"/>
      <c r="L350" s="299" t="n"/>
      <c r="M350" s="304" t="n"/>
      <c r="N350" s="298" t="n"/>
      <c r="O350" s="299" t="n"/>
    </row>
    <row r="351" ht="48" customHeight="1">
      <c r="A351" s="302" t="n"/>
      <c r="B351" s="299" t="n"/>
      <c r="C351" s="302" t="n"/>
      <c r="D351" s="298" t="n"/>
      <c r="E351" s="298" t="n"/>
      <c r="F351" s="299" t="n"/>
      <c r="G351" s="302" t="n"/>
      <c r="H351" s="298" t="n"/>
      <c r="I351" s="298" t="n"/>
      <c r="J351" s="298" t="n"/>
      <c r="K351" s="298" t="n"/>
      <c r="L351" s="299" t="n"/>
      <c r="M351" s="302" t="n"/>
      <c r="N351" s="298" t="n"/>
      <c r="O351" s="299" t="n"/>
    </row>
    <row r="352" ht="34" customHeight="1">
      <c r="A352" s="304" t="n"/>
      <c r="B352" s="299" t="n"/>
      <c r="C352" s="304" t="n"/>
      <c r="D352" s="298" t="n"/>
      <c r="E352" s="298" t="n"/>
      <c r="F352" s="299" t="n"/>
      <c r="G352" s="304" t="n"/>
      <c r="H352" s="298" t="n"/>
      <c r="I352" s="298" t="n"/>
      <c r="J352" s="298" t="n"/>
      <c r="K352" s="298" t="n"/>
      <c r="L352" s="299" t="n"/>
      <c r="M352" s="304" t="n"/>
      <c r="N352" s="298" t="n"/>
      <c r="O352" s="299" t="n"/>
    </row>
    <row r="353" ht="34" customHeight="1">
      <c r="A353" s="302" t="n"/>
      <c r="B353" s="299" t="n"/>
      <c r="C353" s="302" t="n"/>
      <c r="D353" s="298" t="n"/>
      <c r="E353" s="298" t="n"/>
      <c r="F353" s="299" t="n"/>
      <c r="G353" s="302" t="n"/>
      <c r="H353" s="298" t="n"/>
      <c r="I353" s="298" t="n"/>
      <c r="J353" s="298" t="n"/>
      <c r="K353" s="298" t="n"/>
      <c r="L353" s="299" t="n"/>
      <c r="M353" s="302" t="n"/>
      <c r="N353" s="298" t="n"/>
      <c r="O353" s="299" t="n"/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mergeCells count="1006">
    <mergeCell ref="A196:O196"/>
    <mergeCell ref="A15:B15"/>
    <mergeCell ref="A186:B186"/>
    <mergeCell ref="F18:H18"/>
    <mergeCell ref="C255:E255"/>
    <mergeCell ref="A257:B257"/>
    <mergeCell ref="G93:L93"/>
    <mergeCell ref="A51:B51"/>
    <mergeCell ref="A107:B107"/>
    <mergeCell ref="H171:L171"/>
    <mergeCell ref="A178:B178"/>
    <mergeCell ref="F108:G108"/>
    <mergeCell ref="A349:B349"/>
    <mergeCell ref="F168:G168"/>
    <mergeCell ref="B3:O3"/>
    <mergeCell ref="F339:G339"/>
    <mergeCell ref="C21:E21"/>
    <mergeCell ref="G124:L124"/>
    <mergeCell ref="G216:L216"/>
    <mergeCell ref="B303:O303"/>
    <mergeCell ref="M145:O145"/>
    <mergeCell ref="F317:H317"/>
    <mergeCell ref="C62:F62"/>
    <mergeCell ref="C24:F24"/>
    <mergeCell ref="G182:L182"/>
    <mergeCell ref="C322:F322"/>
    <mergeCell ref="A267:B267"/>
    <mergeCell ref="C89:F89"/>
    <mergeCell ref="M76:O76"/>
    <mergeCell ref="M147:O147"/>
    <mergeCell ref="C187:F187"/>
    <mergeCell ref="G119:L119"/>
    <mergeCell ref="C88:F88"/>
    <mergeCell ref="A274:O274"/>
    <mergeCell ref="C26:F26"/>
    <mergeCell ref="H287:L287"/>
    <mergeCell ref="G211:L211"/>
    <mergeCell ref="G295:L295"/>
    <mergeCell ref="C18:E18"/>
    <mergeCell ref="A269:B269"/>
    <mergeCell ref="M211:O211"/>
    <mergeCell ref="C285:E285"/>
    <mergeCell ref="C324:F324"/>
    <mergeCell ref="C349:F349"/>
    <mergeCell ref="A347:O347"/>
    <mergeCell ref="C318:L318"/>
    <mergeCell ref="C93:F93"/>
    <mergeCell ref="A231:B231"/>
    <mergeCell ref="A206:B206"/>
    <mergeCell ref="A62:B62"/>
    <mergeCell ref="C74:E74"/>
    <mergeCell ref="I146:L146"/>
    <mergeCell ref="B6:O6"/>
    <mergeCell ref="M236:O236"/>
    <mergeCell ref="A28:B28"/>
    <mergeCell ref="F177:H177"/>
    <mergeCell ref="A245:B245"/>
    <mergeCell ref="C113:E113"/>
    <mergeCell ref="B331:O331"/>
    <mergeCell ref="C309:E309"/>
    <mergeCell ref="B160:O160"/>
    <mergeCell ref="I344:L344"/>
    <mergeCell ref="A337:B337"/>
    <mergeCell ref="F235:H235"/>
    <mergeCell ref="I52:L52"/>
    <mergeCell ref="A30:B30"/>
    <mergeCell ref="M94:O94"/>
    <mergeCell ref="C168:E168"/>
    <mergeCell ref="B306:O306"/>
    <mergeCell ref="M287:O287"/>
    <mergeCell ref="F114:H114"/>
    <mergeCell ref="A59:B59"/>
    <mergeCell ref="C311:E311"/>
    <mergeCell ref="C167:E167"/>
    <mergeCell ref="C240:F240"/>
    <mergeCell ref="C232:E232"/>
    <mergeCell ref="A339:B339"/>
    <mergeCell ref="H255:L255"/>
    <mergeCell ref="A61:B61"/>
    <mergeCell ref="A153:B153"/>
    <mergeCell ref="C169:E169"/>
    <mergeCell ref="M239:O239"/>
    <mergeCell ref="M89:O89"/>
    <mergeCell ref="G353:L353"/>
    <mergeCell ref="M282:O282"/>
    <mergeCell ref="F45:G45"/>
    <mergeCell ref="F42:G42"/>
    <mergeCell ref="M26:O26"/>
    <mergeCell ref="A136:B136"/>
    <mergeCell ref="A262:O262"/>
    <mergeCell ref="C185:F185"/>
    <mergeCell ref="G213:L213"/>
    <mergeCell ref="F109:G109"/>
    <mergeCell ref="A72:O72"/>
    <mergeCell ref="C258:E258"/>
    <mergeCell ref="M184:O184"/>
    <mergeCell ref="F46:G46"/>
    <mergeCell ref="F290:H290"/>
    <mergeCell ref="G242:L242"/>
    <mergeCell ref="A181:B181"/>
    <mergeCell ref="M171:O171"/>
    <mergeCell ref="B304:O304"/>
    <mergeCell ref="C124:F124"/>
    <mergeCell ref="C260:E260"/>
    <mergeCell ref="A52:B52"/>
    <mergeCell ref="C116:E116"/>
    <mergeCell ref="M113:O113"/>
    <mergeCell ref="G244:L244"/>
    <mergeCell ref="C90:F90"/>
    <mergeCell ref="C259:E259"/>
    <mergeCell ref="C197:E197"/>
    <mergeCell ref="M311:O311"/>
    <mergeCell ref="A352:B352"/>
    <mergeCell ref="A83:B83"/>
    <mergeCell ref="H337:L337"/>
    <mergeCell ref="F73:G73"/>
    <mergeCell ref="A270:B270"/>
    <mergeCell ref="M212:O212"/>
    <mergeCell ref="C119:F119"/>
    <mergeCell ref="G348:L348"/>
    <mergeCell ref="H309:L309"/>
    <mergeCell ref="A49:B49"/>
    <mergeCell ref="G62:L62"/>
    <mergeCell ref="M108:O108"/>
    <mergeCell ref="G298:L298"/>
    <mergeCell ref="A207:B207"/>
    <mergeCell ref="F137:G137"/>
    <mergeCell ref="M227:O227"/>
    <mergeCell ref="H339:L339"/>
    <mergeCell ref="M214:O214"/>
    <mergeCell ref="A56:O56"/>
    <mergeCell ref="H311:L311"/>
    <mergeCell ref="H167:L167"/>
    <mergeCell ref="C115:E115"/>
    <mergeCell ref="A78:B78"/>
    <mergeCell ref="A271:B271"/>
    <mergeCell ref="F201:G201"/>
    <mergeCell ref="F139:G139"/>
    <mergeCell ref="M85:O85"/>
    <mergeCell ref="B161:O161"/>
    <mergeCell ref="H169:L169"/>
    <mergeCell ref="C144:E144"/>
    <mergeCell ref="M166:O166"/>
    <mergeCell ref="F203:G203"/>
    <mergeCell ref="F228:G228"/>
    <mergeCell ref="M337:O337"/>
    <mergeCell ref="C325:F325"/>
    <mergeCell ref="M309:O309"/>
    <mergeCell ref="F82:H82"/>
    <mergeCell ref="M230:O230"/>
    <mergeCell ref="F259:G259"/>
    <mergeCell ref="M240:O240"/>
    <mergeCell ref="M167:O167"/>
    <mergeCell ref="A143:O143"/>
    <mergeCell ref="C235:E235"/>
    <mergeCell ref="M232:O232"/>
    <mergeCell ref="A200:B200"/>
    <mergeCell ref="H258:L258"/>
    <mergeCell ref="C14:E14"/>
    <mergeCell ref="A156:B156"/>
    <mergeCell ref="F344:H344"/>
    <mergeCell ref="G296:L296"/>
    <mergeCell ref="A1:O1"/>
    <mergeCell ref="A202:B202"/>
    <mergeCell ref="A258:B258"/>
    <mergeCell ref="H260:L260"/>
    <mergeCell ref="C272:F272"/>
    <mergeCell ref="A24:B24"/>
    <mergeCell ref="A65:O65"/>
    <mergeCell ref="C137:E137"/>
    <mergeCell ref="H197:L197"/>
    <mergeCell ref="F256:G256"/>
    <mergeCell ref="A60:B60"/>
    <mergeCell ref="A260:B260"/>
    <mergeCell ref="C201:E201"/>
    <mergeCell ref="C139:E139"/>
    <mergeCell ref="M187:O187"/>
    <mergeCell ref="A197:B197"/>
    <mergeCell ref="M258:O258"/>
    <mergeCell ref="A124:B124"/>
    <mergeCell ref="B193:O193"/>
    <mergeCell ref="F285:G285"/>
    <mergeCell ref="B220:O220"/>
    <mergeCell ref="M350:O350"/>
    <mergeCell ref="C138:E138"/>
    <mergeCell ref="G24:L24"/>
    <mergeCell ref="M27:O27"/>
    <mergeCell ref="C76:E76"/>
    <mergeCell ref="C267:F267"/>
    <mergeCell ref="C203:E203"/>
    <mergeCell ref="G89:L89"/>
    <mergeCell ref="A302:O302"/>
    <mergeCell ref="M18:O18"/>
    <mergeCell ref="G322:L322"/>
    <mergeCell ref="M45:O45"/>
    <mergeCell ref="M116:O116"/>
    <mergeCell ref="A84:B84"/>
    <mergeCell ref="M352:O352"/>
    <mergeCell ref="G88:L88"/>
    <mergeCell ref="M91:O91"/>
    <mergeCell ref="G26:L26"/>
    <mergeCell ref="C269:F269"/>
    <mergeCell ref="B101:O101"/>
    <mergeCell ref="G153:L153"/>
    <mergeCell ref="G324:L324"/>
    <mergeCell ref="G349:L349"/>
    <mergeCell ref="A50:B50"/>
    <mergeCell ref="H108:L108"/>
    <mergeCell ref="M345:O345"/>
    <mergeCell ref="A213:B213"/>
    <mergeCell ref="A151:B151"/>
    <mergeCell ref="G90:L90"/>
    <mergeCell ref="M93:O93"/>
    <mergeCell ref="M155:O155"/>
    <mergeCell ref="M264:O264"/>
    <mergeCell ref="A293:O293"/>
    <mergeCell ref="A150:B150"/>
    <mergeCell ref="A321:B321"/>
    <mergeCell ref="F140:G140"/>
    <mergeCell ref="A144:B144"/>
    <mergeCell ref="C108:E108"/>
    <mergeCell ref="A215:B215"/>
    <mergeCell ref="C270:F270"/>
    <mergeCell ref="F338:G338"/>
    <mergeCell ref="F54:H54"/>
    <mergeCell ref="F19:H19"/>
    <mergeCell ref="F146:H146"/>
    <mergeCell ref="C45:E45"/>
    <mergeCell ref="A152:B152"/>
    <mergeCell ref="A323:B323"/>
    <mergeCell ref="C59:F59"/>
    <mergeCell ref="H14:L14"/>
    <mergeCell ref="C295:F295"/>
    <mergeCell ref="F83:H83"/>
    <mergeCell ref="M182:O182"/>
    <mergeCell ref="C109:E109"/>
    <mergeCell ref="G240:L240"/>
    <mergeCell ref="M169:O169"/>
    <mergeCell ref="B35:O35"/>
    <mergeCell ref="C61:F61"/>
    <mergeCell ref="B277:O277"/>
    <mergeCell ref="I290:L290"/>
    <mergeCell ref="A226:B226"/>
    <mergeCell ref="H43:L43"/>
    <mergeCell ref="F85:H85"/>
    <mergeCell ref="C153:F153"/>
    <mergeCell ref="C122:F122"/>
    <mergeCell ref="C40:E40"/>
    <mergeCell ref="M40:O40"/>
    <mergeCell ref="C282:E282"/>
    <mergeCell ref="A291:B291"/>
    <mergeCell ref="H137:L137"/>
    <mergeCell ref="H259:L259"/>
    <mergeCell ref="B252:O252"/>
    <mergeCell ref="C125:F125"/>
    <mergeCell ref="A241:B241"/>
    <mergeCell ref="C257:E257"/>
    <mergeCell ref="M12:O12"/>
    <mergeCell ref="M183:O183"/>
    <mergeCell ref="C186:F186"/>
    <mergeCell ref="C51:E51"/>
    <mergeCell ref="A228:B228"/>
    <mergeCell ref="M104:O104"/>
    <mergeCell ref="H74:L74"/>
    <mergeCell ref="M297:O297"/>
    <mergeCell ref="H201:L201"/>
    <mergeCell ref="M235:O235"/>
    <mergeCell ref="A248:O248"/>
    <mergeCell ref="M340:O340"/>
    <mergeCell ref="A172:B172"/>
    <mergeCell ref="C323:F323"/>
    <mergeCell ref="A243:B243"/>
    <mergeCell ref="B130:O130"/>
    <mergeCell ref="M41:O41"/>
    <mergeCell ref="A286:B286"/>
    <mergeCell ref="M106:O106"/>
    <mergeCell ref="A74:B74"/>
    <mergeCell ref="M24:O24"/>
    <mergeCell ref="F135:G135"/>
    <mergeCell ref="A236:B236"/>
    <mergeCell ref="M322:O322"/>
    <mergeCell ref="B132:O132"/>
    <mergeCell ref="I145:L145"/>
    <mergeCell ref="A81:O81"/>
    <mergeCell ref="A294:B294"/>
    <mergeCell ref="C140:E140"/>
    <mergeCell ref="A76:B76"/>
    <mergeCell ref="M259:O259"/>
    <mergeCell ref="F199:G199"/>
    <mergeCell ref="M197:O197"/>
    <mergeCell ref="M53:O53"/>
    <mergeCell ref="M324:O324"/>
    <mergeCell ref="C229:E229"/>
    <mergeCell ref="A289:O289"/>
    <mergeCell ref="M351:O351"/>
    <mergeCell ref="I147:L147"/>
    <mergeCell ref="C212:F212"/>
    <mergeCell ref="C77:E77"/>
    <mergeCell ref="A140:B140"/>
    <mergeCell ref="H198:L198"/>
    <mergeCell ref="A311:B311"/>
    <mergeCell ref="I18:L18"/>
    <mergeCell ref="M353:O353"/>
    <mergeCell ref="C141:E141"/>
    <mergeCell ref="C214:F214"/>
    <mergeCell ref="C206:E206"/>
    <mergeCell ref="M119:O119"/>
    <mergeCell ref="C120:F120"/>
    <mergeCell ref="G267:L267"/>
    <mergeCell ref="G156:L156"/>
    <mergeCell ref="A45:B45"/>
    <mergeCell ref="A216:B216"/>
    <mergeCell ref="A287:B287"/>
    <mergeCell ref="G187:L187"/>
    <mergeCell ref="C46:E46"/>
    <mergeCell ref="H40:L40"/>
    <mergeCell ref="B276:O276"/>
    <mergeCell ref="A2:O2"/>
    <mergeCell ref="A345:B345"/>
    <mergeCell ref="A46:B46"/>
    <mergeCell ref="A89:B89"/>
    <mergeCell ref="A254:O254"/>
    <mergeCell ref="M272:O272"/>
    <mergeCell ref="A282:B282"/>
    <mergeCell ref="M210:O210"/>
    <mergeCell ref="B278:O278"/>
    <mergeCell ref="H340:L340"/>
    <mergeCell ref="G91:L91"/>
    <mergeCell ref="A105:B105"/>
    <mergeCell ref="M14:O14"/>
    <mergeCell ref="M185:O185"/>
    <mergeCell ref="A26:B26"/>
    <mergeCell ref="M256:O256"/>
    <mergeCell ref="C283:E283"/>
    <mergeCell ref="M318:O318"/>
    <mergeCell ref="H138:L138"/>
    <mergeCell ref="A112:O112"/>
    <mergeCell ref="A242:B242"/>
    <mergeCell ref="A313:B313"/>
    <mergeCell ref="M122:O122"/>
    <mergeCell ref="F230:G230"/>
    <mergeCell ref="M43:O43"/>
    <mergeCell ref="M314:O314"/>
    <mergeCell ref="M285:O285"/>
    <mergeCell ref="A127:O127"/>
    <mergeCell ref="H140:L140"/>
    <mergeCell ref="A320:O320"/>
    <mergeCell ref="M338:O338"/>
    <mergeCell ref="F9:G9"/>
    <mergeCell ref="A184:B184"/>
    <mergeCell ref="A244:B244"/>
    <mergeCell ref="M186:O186"/>
    <mergeCell ref="F167:G167"/>
    <mergeCell ref="G151:L151"/>
    <mergeCell ref="A171:B171"/>
    <mergeCell ref="H229:L229"/>
    <mergeCell ref="A336:B336"/>
    <mergeCell ref="M107:O107"/>
    <mergeCell ref="H77:L77"/>
    <mergeCell ref="C236:L236"/>
    <mergeCell ref="A10:B10"/>
    <mergeCell ref="A115:B115"/>
    <mergeCell ref="F136:G136"/>
    <mergeCell ref="M201:O201"/>
    <mergeCell ref="G272:L272"/>
    <mergeCell ref="A344:B344"/>
    <mergeCell ref="A229:B229"/>
    <mergeCell ref="H141:L141"/>
    <mergeCell ref="A77:B77"/>
    <mergeCell ref="H135:L135"/>
    <mergeCell ref="M138:O138"/>
    <mergeCell ref="C268:F268"/>
    <mergeCell ref="B4:O4"/>
    <mergeCell ref="M203:O203"/>
    <mergeCell ref="A166:B166"/>
    <mergeCell ref="C230:E230"/>
    <mergeCell ref="A310:B310"/>
    <mergeCell ref="I82:L82"/>
    <mergeCell ref="C91:F91"/>
    <mergeCell ref="F227:G227"/>
    <mergeCell ref="C9:E9"/>
    <mergeCell ref="M140:O140"/>
    <mergeCell ref="M25:O25"/>
    <mergeCell ref="F202:G202"/>
    <mergeCell ref="M267:O267"/>
    <mergeCell ref="C57:F57"/>
    <mergeCell ref="I19:L19"/>
    <mergeCell ref="A168:B168"/>
    <mergeCell ref="C155:F155"/>
    <mergeCell ref="C264:L264"/>
    <mergeCell ref="M77:O77"/>
    <mergeCell ref="C11:E11"/>
    <mergeCell ref="F283:G283"/>
    <mergeCell ref="G269:L269"/>
    <mergeCell ref="M198:O198"/>
    <mergeCell ref="B70:O70"/>
    <mergeCell ref="M269:O269"/>
    <mergeCell ref="A33:O33"/>
    <mergeCell ref="H46:L46"/>
    <mergeCell ref="H282:L282"/>
    <mergeCell ref="C151:F151"/>
    <mergeCell ref="A8:O8"/>
    <mergeCell ref="A255:B255"/>
    <mergeCell ref="A326:B326"/>
    <mergeCell ref="M135:O135"/>
    <mergeCell ref="C58:F58"/>
    <mergeCell ref="A120:B120"/>
    <mergeCell ref="M62:O62"/>
    <mergeCell ref="C294:F294"/>
    <mergeCell ref="A239:B239"/>
    <mergeCell ref="A21:B21"/>
    <mergeCell ref="C215:F215"/>
    <mergeCell ref="G270:L270"/>
    <mergeCell ref="A57:B57"/>
    <mergeCell ref="A113:B113"/>
    <mergeCell ref="A308:O308"/>
    <mergeCell ref="H283:L283"/>
    <mergeCell ref="C152:F152"/>
    <mergeCell ref="G351:L351"/>
    <mergeCell ref="A290:B290"/>
    <mergeCell ref="G59:L59"/>
    <mergeCell ref="A39:O39"/>
    <mergeCell ref="M59:O59"/>
    <mergeCell ref="M295:O295"/>
    <mergeCell ref="B192:O192"/>
    <mergeCell ref="A103:O103"/>
    <mergeCell ref="G61:L61"/>
    <mergeCell ref="B222:O222"/>
    <mergeCell ref="M257:O257"/>
    <mergeCell ref="C297:F297"/>
    <mergeCell ref="G122:L122"/>
    <mergeCell ref="M88:O88"/>
    <mergeCell ref="M51:O51"/>
    <mergeCell ref="M82:O82"/>
    <mergeCell ref="C227:E227"/>
    <mergeCell ref="M153:O153"/>
    <mergeCell ref="B221:O221"/>
    <mergeCell ref="M349:O349"/>
    <mergeCell ref="C241:F241"/>
    <mergeCell ref="F11:G11"/>
    <mergeCell ref="G125:L125"/>
    <mergeCell ref="H166:L166"/>
    <mergeCell ref="M54:O54"/>
    <mergeCell ref="C177:E177"/>
    <mergeCell ref="G186:L186"/>
    <mergeCell ref="C226:E226"/>
    <mergeCell ref="C299:F299"/>
    <mergeCell ref="M90:O90"/>
    <mergeCell ref="A128:O128"/>
    <mergeCell ref="A123:B123"/>
    <mergeCell ref="C243:F243"/>
    <mergeCell ref="G152:L152"/>
    <mergeCell ref="A110:B110"/>
    <mergeCell ref="F40:G40"/>
    <mergeCell ref="H168:L168"/>
    <mergeCell ref="H230:L230"/>
    <mergeCell ref="G323:L323"/>
    <mergeCell ref="H9:L9"/>
    <mergeCell ref="I50:L50"/>
    <mergeCell ref="F12:G12"/>
    <mergeCell ref="A187:B187"/>
    <mergeCell ref="F104:G104"/>
    <mergeCell ref="A108:B108"/>
    <mergeCell ref="H232:L232"/>
    <mergeCell ref="F340:G340"/>
    <mergeCell ref="A23:O23"/>
    <mergeCell ref="H172:L172"/>
    <mergeCell ref="A18:B18"/>
    <mergeCell ref="C82:E82"/>
    <mergeCell ref="F41:G41"/>
    <mergeCell ref="F176:H176"/>
    <mergeCell ref="F106:G106"/>
    <mergeCell ref="G212:L212"/>
    <mergeCell ref="C19:E19"/>
    <mergeCell ref="I116:L116"/>
    <mergeCell ref="M141:O141"/>
    <mergeCell ref="C317:E317"/>
    <mergeCell ref="H336:L336"/>
    <mergeCell ref="M206:O206"/>
    <mergeCell ref="B249:O249"/>
    <mergeCell ref="I85:L85"/>
    <mergeCell ref="C25:F25"/>
    <mergeCell ref="A263:B263"/>
    <mergeCell ref="F147:H147"/>
    <mergeCell ref="C83:E83"/>
    <mergeCell ref="M83:O83"/>
    <mergeCell ref="G214:L214"/>
    <mergeCell ref="C183:F183"/>
    <mergeCell ref="M270:O270"/>
    <mergeCell ref="C175:E175"/>
    <mergeCell ref="G120:L120"/>
    <mergeCell ref="A29:B29"/>
    <mergeCell ref="M49:O49"/>
    <mergeCell ref="A121:B121"/>
    <mergeCell ref="M207:O207"/>
    <mergeCell ref="A44:B44"/>
    <mergeCell ref="H285:L285"/>
    <mergeCell ref="A58:B58"/>
    <mergeCell ref="M78:O78"/>
    <mergeCell ref="A174:O174"/>
    <mergeCell ref="A205:O205"/>
    <mergeCell ref="F172:G172"/>
    <mergeCell ref="B129:O129"/>
    <mergeCell ref="A73:B73"/>
    <mergeCell ref="H227:L227"/>
    <mergeCell ref="B194:O194"/>
    <mergeCell ref="A118:O118"/>
    <mergeCell ref="A238:O238"/>
    <mergeCell ref="M296:O296"/>
    <mergeCell ref="B131:O131"/>
    <mergeCell ref="M283:O283"/>
    <mergeCell ref="B223:O223"/>
    <mergeCell ref="F115:H115"/>
    <mergeCell ref="M298:O298"/>
    <mergeCell ref="C228:E228"/>
    <mergeCell ref="M154:O154"/>
    <mergeCell ref="M325:O325"/>
    <mergeCell ref="F287:G287"/>
    <mergeCell ref="M156:O156"/>
    <mergeCell ref="H11:L11"/>
    <mergeCell ref="C184:F184"/>
    <mergeCell ref="H109:L109"/>
    <mergeCell ref="F312:G312"/>
    <mergeCell ref="A42:B42"/>
    <mergeCell ref="A309:B309"/>
    <mergeCell ref="C121:F121"/>
    <mergeCell ref="F13:G13"/>
    <mergeCell ref="H75:L75"/>
    <mergeCell ref="A259:B259"/>
    <mergeCell ref="A329:O329"/>
    <mergeCell ref="A53:B53"/>
    <mergeCell ref="F105:G105"/>
    <mergeCell ref="A109:B109"/>
    <mergeCell ref="F43:G43"/>
    <mergeCell ref="F178:H178"/>
    <mergeCell ref="A240:B240"/>
    <mergeCell ref="F170:G170"/>
    <mergeCell ref="A324:B324"/>
    <mergeCell ref="F341:G341"/>
    <mergeCell ref="H12:L12"/>
    <mergeCell ref="I53:L53"/>
    <mergeCell ref="A266:O266"/>
    <mergeCell ref="A19:B19"/>
    <mergeCell ref="M9:O9"/>
    <mergeCell ref="H104:L104"/>
    <mergeCell ref="F313:G313"/>
    <mergeCell ref="G268:L268"/>
    <mergeCell ref="F107:G107"/>
    <mergeCell ref="A353:B353"/>
    <mergeCell ref="F21:H21"/>
    <mergeCell ref="M20:O20"/>
    <mergeCell ref="C20:E20"/>
    <mergeCell ref="B305:O305"/>
    <mergeCell ref="C85:E85"/>
    <mergeCell ref="M11:O11"/>
    <mergeCell ref="F113:H113"/>
    <mergeCell ref="H106:L106"/>
    <mergeCell ref="C256:E256"/>
    <mergeCell ref="M109:O109"/>
    <mergeCell ref="F171:G171"/>
    <mergeCell ref="G57:L57"/>
    <mergeCell ref="C84:E84"/>
    <mergeCell ref="M84:O84"/>
    <mergeCell ref="F50:H50"/>
    <mergeCell ref="C198:E198"/>
    <mergeCell ref="M75:O75"/>
    <mergeCell ref="C176:E176"/>
    <mergeCell ref="M271:O271"/>
    <mergeCell ref="C114:E114"/>
    <mergeCell ref="G121:L121"/>
    <mergeCell ref="A79:B79"/>
    <mergeCell ref="A149:O149"/>
    <mergeCell ref="C28:F28"/>
    <mergeCell ref="M15:O15"/>
    <mergeCell ref="M286:O286"/>
    <mergeCell ref="C326:F326"/>
    <mergeCell ref="G58:L58"/>
    <mergeCell ref="C178:E178"/>
    <mergeCell ref="C239:F239"/>
    <mergeCell ref="H226:L226"/>
    <mergeCell ref="G123:L123"/>
    <mergeCell ref="A137:B137"/>
    <mergeCell ref="C92:F92"/>
    <mergeCell ref="C30:F30"/>
    <mergeCell ref="A268:B268"/>
    <mergeCell ref="F198:G198"/>
    <mergeCell ref="G215:L215"/>
    <mergeCell ref="A145:B145"/>
    <mergeCell ref="F75:G75"/>
    <mergeCell ref="H228:L228"/>
    <mergeCell ref="A139:B139"/>
    <mergeCell ref="F231:G231"/>
    <mergeCell ref="A210:B210"/>
    <mergeCell ref="A272:B272"/>
    <mergeCell ref="A190:O190"/>
    <mergeCell ref="C13:E13"/>
    <mergeCell ref="F49:H49"/>
    <mergeCell ref="B333:O333"/>
    <mergeCell ref="I54:L54"/>
    <mergeCell ref="A203:B203"/>
    <mergeCell ref="B34:O34"/>
    <mergeCell ref="C338:E338"/>
    <mergeCell ref="F116:H116"/>
    <mergeCell ref="B99:O99"/>
    <mergeCell ref="C15:E15"/>
    <mergeCell ref="A48:O48"/>
    <mergeCell ref="C321:F321"/>
    <mergeCell ref="C313:E313"/>
    <mergeCell ref="M177:O177"/>
    <mergeCell ref="M299:O299"/>
    <mergeCell ref="G297:L297"/>
    <mergeCell ref="C104:E104"/>
    <mergeCell ref="M226:O226"/>
    <mergeCell ref="F337:G337"/>
    <mergeCell ref="M291:O291"/>
    <mergeCell ref="C340:E340"/>
    <mergeCell ref="A63:B63"/>
    <mergeCell ref="C79:E79"/>
    <mergeCell ref="I176:L176"/>
    <mergeCell ref="I114:L114"/>
    <mergeCell ref="C73:E73"/>
    <mergeCell ref="M170:O170"/>
    <mergeCell ref="G241:L241"/>
    <mergeCell ref="M241:O241"/>
    <mergeCell ref="B5:O5"/>
    <mergeCell ref="C231:E231"/>
    <mergeCell ref="G299:L299"/>
    <mergeCell ref="M228:O228"/>
    <mergeCell ref="C123:F123"/>
    <mergeCell ref="C10:E10"/>
    <mergeCell ref="F257:G257"/>
    <mergeCell ref="A92:B92"/>
    <mergeCell ref="G243:L243"/>
    <mergeCell ref="C181:F181"/>
    <mergeCell ref="M172:O172"/>
    <mergeCell ref="A350:B350"/>
    <mergeCell ref="F263:H263"/>
    <mergeCell ref="H256:L256"/>
    <mergeCell ref="A325:B325"/>
    <mergeCell ref="A119:B119"/>
    <mergeCell ref="A94:B94"/>
    <mergeCell ref="M30:O30"/>
    <mergeCell ref="G294:L294"/>
    <mergeCell ref="A256:B256"/>
    <mergeCell ref="H314:L314"/>
    <mergeCell ref="M46:O46"/>
    <mergeCell ref="M317:O317"/>
    <mergeCell ref="A183:B183"/>
    <mergeCell ref="C135:E135"/>
    <mergeCell ref="M61:O61"/>
    <mergeCell ref="G154:L154"/>
    <mergeCell ref="A264:B264"/>
    <mergeCell ref="F52:H52"/>
    <mergeCell ref="G325:L325"/>
    <mergeCell ref="F110:G110"/>
    <mergeCell ref="M175:O175"/>
    <mergeCell ref="G25:L25"/>
    <mergeCell ref="M150:O150"/>
    <mergeCell ref="M125:O125"/>
    <mergeCell ref="C199:E199"/>
    <mergeCell ref="M321:O321"/>
    <mergeCell ref="G183:L183"/>
    <mergeCell ref="M312:O312"/>
    <mergeCell ref="G60:L60"/>
    <mergeCell ref="M348:O348"/>
    <mergeCell ref="C29:F29"/>
    <mergeCell ref="F141:G141"/>
    <mergeCell ref="H203:L203"/>
    <mergeCell ref="C136:E136"/>
    <mergeCell ref="C271:F271"/>
    <mergeCell ref="C94:F94"/>
    <mergeCell ref="C263:E263"/>
    <mergeCell ref="H13:L13"/>
    <mergeCell ref="F53:H53"/>
    <mergeCell ref="M152:O152"/>
    <mergeCell ref="M323:O323"/>
    <mergeCell ref="M176:O176"/>
    <mergeCell ref="G185:L185"/>
    <mergeCell ref="M114:O114"/>
    <mergeCell ref="A147:B147"/>
    <mergeCell ref="H338:L338"/>
    <mergeCell ref="M216:O216"/>
    <mergeCell ref="H15:L15"/>
    <mergeCell ref="H313:L313"/>
    <mergeCell ref="F84:H84"/>
    <mergeCell ref="A343:O343"/>
    <mergeCell ref="F14:G14"/>
    <mergeCell ref="A281:O281"/>
    <mergeCell ref="A40:B40"/>
    <mergeCell ref="A211:B211"/>
    <mergeCell ref="C60:F60"/>
    <mergeCell ref="B36:O36"/>
    <mergeCell ref="A338:B338"/>
    <mergeCell ref="B163:O163"/>
    <mergeCell ref="C54:E54"/>
    <mergeCell ref="A87:O87"/>
    <mergeCell ref="A218:O218"/>
    <mergeCell ref="C41:E41"/>
    <mergeCell ref="F78:G78"/>
    <mergeCell ref="A82:B82"/>
    <mergeCell ref="C146:E146"/>
    <mergeCell ref="H231:L231"/>
    <mergeCell ref="A316:O316"/>
    <mergeCell ref="F314:G314"/>
    <mergeCell ref="B100:O100"/>
    <mergeCell ref="A340:B340"/>
    <mergeCell ref="H10:L10"/>
    <mergeCell ref="I51:L51"/>
    <mergeCell ref="M13:O13"/>
    <mergeCell ref="C105:E105"/>
    <mergeCell ref="M105:O105"/>
    <mergeCell ref="C43:E43"/>
    <mergeCell ref="F144:H144"/>
    <mergeCell ref="A146:B146"/>
    <mergeCell ref="M243:O243"/>
    <mergeCell ref="C341:E341"/>
    <mergeCell ref="M341:O341"/>
    <mergeCell ref="M120:O120"/>
    <mergeCell ref="M242:O242"/>
    <mergeCell ref="C245:F245"/>
    <mergeCell ref="C110:E110"/>
    <mergeCell ref="F169:G169"/>
    <mergeCell ref="A234:O234"/>
    <mergeCell ref="M244:O244"/>
    <mergeCell ref="A351:B351"/>
    <mergeCell ref="A209:O209"/>
    <mergeCell ref="M231:O231"/>
    <mergeCell ref="M336:O336"/>
    <mergeCell ref="H257:L257"/>
    <mergeCell ref="F200:G200"/>
    <mergeCell ref="A165:O165"/>
    <mergeCell ref="M115:O115"/>
    <mergeCell ref="B191:O191"/>
    <mergeCell ref="A141:B141"/>
    <mergeCell ref="H199:L199"/>
    <mergeCell ref="A135:B135"/>
    <mergeCell ref="F258:G258"/>
    <mergeCell ref="A122:B122"/>
    <mergeCell ref="C345:L345"/>
    <mergeCell ref="I317:L317"/>
    <mergeCell ref="I206:L206"/>
    <mergeCell ref="A275:O275"/>
    <mergeCell ref="G155:L155"/>
    <mergeCell ref="A199:B199"/>
    <mergeCell ref="F260:G260"/>
    <mergeCell ref="C213:F213"/>
    <mergeCell ref="C200:E200"/>
    <mergeCell ref="I235:L235"/>
    <mergeCell ref="F197:G197"/>
    <mergeCell ref="C336:E336"/>
    <mergeCell ref="B330:O330"/>
    <mergeCell ref="M178:O178"/>
    <mergeCell ref="C44:E44"/>
    <mergeCell ref="C150:F150"/>
    <mergeCell ref="G28:L28"/>
    <mergeCell ref="C202:E202"/>
    <mergeCell ref="G326:L326"/>
    <mergeCell ref="A66:O66"/>
    <mergeCell ref="M255:O255"/>
    <mergeCell ref="A158:O158"/>
    <mergeCell ref="H41:L41"/>
    <mergeCell ref="A88:B88"/>
    <mergeCell ref="G239:L239"/>
    <mergeCell ref="M168:O168"/>
    <mergeCell ref="C352:F352"/>
    <mergeCell ref="G92:L92"/>
    <mergeCell ref="M21:O21"/>
    <mergeCell ref="G30:L30"/>
    <mergeCell ref="A301:O301"/>
    <mergeCell ref="A54:B54"/>
    <mergeCell ref="F15:G15"/>
    <mergeCell ref="A41:B41"/>
    <mergeCell ref="A90:B90"/>
    <mergeCell ref="A212:B212"/>
    <mergeCell ref="A283:B283"/>
    <mergeCell ref="C210:F210"/>
    <mergeCell ref="H341:L341"/>
    <mergeCell ref="A32:O32"/>
    <mergeCell ref="A159:O159"/>
    <mergeCell ref="A97:O97"/>
    <mergeCell ref="A27:B27"/>
    <mergeCell ref="F79:G79"/>
    <mergeCell ref="H110:L110"/>
    <mergeCell ref="A154:B154"/>
    <mergeCell ref="A219:O219"/>
    <mergeCell ref="A214:B214"/>
    <mergeCell ref="H310:L310"/>
    <mergeCell ref="A285:B285"/>
    <mergeCell ref="B250:O250"/>
    <mergeCell ref="M313:O313"/>
    <mergeCell ref="A341:B341"/>
    <mergeCell ref="A96:O96"/>
    <mergeCell ref="G150:L150"/>
    <mergeCell ref="G321:L321"/>
    <mergeCell ref="A85:B85"/>
    <mergeCell ref="C49:E49"/>
    <mergeCell ref="M146:O146"/>
    <mergeCell ref="B37:O37"/>
    <mergeCell ref="C63:F63"/>
    <mergeCell ref="B279:O279"/>
    <mergeCell ref="M181:O181"/>
    <mergeCell ref="C42:E42"/>
    <mergeCell ref="C284:E284"/>
    <mergeCell ref="C344:E344"/>
    <mergeCell ref="M344:O344"/>
    <mergeCell ref="M52:O52"/>
    <mergeCell ref="M123:O123"/>
    <mergeCell ref="M245:O245"/>
    <mergeCell ref="F226:G226"/>
    <mergeCell ref="A230:B230"/>
    <mergeCell ref="G181:L181"/>
    <mergeCell ref="M110:O110"/>
    <mergeCell ref="A295:B295"/>
    <mergeCell ref="H136:L136"/>
    <mergeCell ref="C350:F350"/>
    <mergeCell ref="A9:B9"/>
    <mergeCell ref="C27:F27"/>
    <mergeCell ref="A167:B167"/>
    <mergeCell ref="F51:H51"/>
    <mergeCell ref="I83:L83"/>
    <mergeCell ref="A232:B232"/>
    <mergeCell ref="G245:L245"/>
    <mergeCell ref="F284:G284"/>
    <mergeCell ref="H78:L78"/>
    <mergeCell ref="F145:H145"/>
    <mergeCell ref="F10:G10"/>
    <mergeCell ref="H200:L200"/>
    <mergeCell ref="M339:O339"/>
    <mergeCell ref="A11:B11"/>
    <mergeCell ref="C75:E75"/>
    <mergeCell ref="A182:B182"/>
    <mergeCell ref="I20:L20"/>
    <mergeCell ref="A169:B169"/>
    <mergeCell ref="H44:L44"/>
    <mergeCell ref="A296:B296"/>
    <mergeCell ref="F286:G286"/>
    <mergeCell ref="A189:O189"/>
    <mergeCell ref="C12:E12"/>
    <mergeCell ref="F74:G74"/>
    <mergeCell ref="H202:L202"/>
    <mergeCell ref="M28:O28"/>
    <mergeCell ref="M199:O199"/>
    <mergeCell ref="F310:G310"/>
    <mergeCell ref="I84:L84"/>
    <mergeCell ref="M326:O326"/>
    <mergeCell ref="B332:O332"/>
    <mergeCell ref="A227:B227"/>
    <mergeCell ref="C52:E52"/>
    <mergeCell ref="H73:L73"/>
    <mergeCell ref="F138:G138"/>
    <mergeCell ref="F76:G76"/>
    <mergeCell ref="M136:O136"/>
    <mergeCell ref="A177:B177"/>
    <mergeCell ref="M263:O263"/>
    <mergeCell ref="C312:E312"/>
    <mergeCell ref="C337:E337"/>
    <mergeCell ref="B98:O98"/>
    <mergeCell ref="M57:O57"/>
    <mergeCell ref="C106:E106"/>
    <mergeCell ref="G29:L29"/>
    <mergeCell ref="C216:F216"/>
    <mergeCell ref="G271:L271"/>
    <mergeCell ref="M29:O29"/>
    <mergeCell ref="G94:L94"/>
    <mergeCell ref="M200:O200"/>
    <mergeCell ref="C339:E339"/>
    <mergeCell ref="B162:O162"/>
    <mergeCell ref="M121:O121"/>
    <mergeCell ref="A134:O134"/>
    <mergeCell ref="C170:E170"/>
    <mergeCell ref="C353:F353"/>
    <mergeCell ref="I144:L144"/>
    <mergeCell ref="A298:B298"/>
    <mergeCell ref="C145:E145"/>
    <mergeCell ref="A322:B322"/>
    <mergeCell ref="F206:H206"/>
    <mergeCell ref="A116:B116"/>
    <mergeCell ref="M202:O202"/>
    <mergeCell ref="M58:O58"/>
    <mergeCell ref="M294:O294"/>
    <mergeCell ref="A91:B91"/>
    <mergeCell ref="C211:F211"/>
    <mergeCell ref="M260:O260"/>
    <mergeCell ref="A299:B299"/>
    <mergeCell ref="A225:O225"/>
    <mergeCell ref="A155:B155"/>
    <mergeCell ref="H42:L42"/>
    <mergeCell ref="A93:B93"/>
    <mergeCell ref="B251:O251"/>
    <mergeCell ref="I177:L177"/>
    <mergeCell ref="C207:L207"/>
    <mergeCell ref="C50:E50"/>
    <mergeCell ref="A284:B284"/>
    <mergeCell ref="C286:E286"/>
    <mergeCell ref="G184:L184"/>
    <mergeCell ref="A335:O335"/>
    <mergeCell ref="F309:G309"/>
    <mergeCell ref="M124:O124"/>
    <mergeCell ref="C351:F351"/>
    <mergeCell ref="C287:E287"/>
    <mergeCell ref="M42:O42"/>
    <mergeCell ref="M213:O213"/>
    <mergeCell ref="M151:O151"/>
    <mergeCell ref="A75:B75"/>
    <mergeCell ref="A317:B317"/>
    <mergeCell ref="A17:O17"/>
    <mergeCell ref="H79:L79"/>
    <mergeCell ref="A12:B12"/>
    <mergeCell ref="A180:O180"/>
    <mergeCell ref="M19:O19"/>
    <mergeCell ref="A104:B104"/>
    <mergeCell ref="H45:L45"/>
    <mergeCell ref="A175:B175"/>
    <mergeCell ref="A235:B235"/>
    <mergeCell ref="A297:B297"/>
    <mergeCell ref="F336:G336"/>
    <mergeCell ref="A14:B14"/>
    <mergeCell ref="C78:E78"/>
    <mergeCell ref="I175:L175"/>
    <mergeCell ref="A185:B185"/>
    <mergeCell ref="F311:G311"/>
    <mergeCell ref="A312:B312"/>
    <mergeCell ref="C314:E314"/>
    <mergeCell ref="A106:B106"/>
    <mergeCell ref="F229:G229"/>
    <mergeCell ref="A328:O328"/>
    <mergeCell ref="M44:O44"/>
    <mergeCell ref="F77:G77"/>
    <mergeCell ref="H139:L139"/>
    <mergeCell ref="C242:F242"/>
    <mergeCell ref="A43:B43"/>
    <mergeCell ref="C107:E107"/>
    <mergeCell ref="I21:L21"/>
    <mergeCell ref="B68:O68"/>
    <mergeCell ref="F166:G166"/>
    <mergeCell ref="A170:B170"/>
    <mergeCell ref="C172:E172"/>
    <mergeCell ref="I263:L263"/>
    <mergeCell ref="C291:L291"/>
    <mergeCell ref="H76:L76"/>
    <mergeCell ref="M79:O79"/>
    <mergeCell ref="C147:E147"/>
    <mergeCell ref="M73:O73"/>
    <mergeCell ref="M144:O144"/>
    <mergeCell ref="C171:E171"/>
    <mergeCell ref="C244:F244"/>
    <mergeCell ref="M60:O60"/>
    <mergeCell ref="F20:H20"/>
    <mergeCell ref="A201:B201"/>
    <mergeCell ref="H284:L284"/>
    <mergeCell ref="M10:O10"/>
    <mergeCell ref="G352:L352"/>
    <mergeCell ref="M137:O137"/>
    <mergeCell ref="M268:O268"/>
    <mergeCell ref="C296:F296"/>
    <mergeCell ref="A138:B138"/>
    <mergeCell ref="M74:O74"/>
    <mergeCell ref="F255:G255"/>
    <mergeCell ref="H286:L286"/>
    <mergeCell ref="G210:L210"/>
    <mergeCell ref="C348:F348"/>
    <mergeCell ref="M139:O139"/>
    <mergeCell ref="M310:O310"/>
    <mergeCell ref="C298:F298"/>
    <mergeCell ref="C154:F154"/>
    <mergeCell ref="A25:B25"/>
    <mergeCell ref="I178:L178"/>
    <mergeCell ref="A247:O247"/>
    <mergeCell ref="F282:G282"/>
    <mergeCell ref="F232:G232"/>
    <mergeCell ref="B67:O67"/>
    <mergeCell ref="C156:F156"/>
    <mergeCell ref="I49:L49"/>
    <mergeCell ref="A198:B198"/>
    <mergeCell ref="M284:O284"/>
    <mergeCell ref="G63:L63"/>
    <mergeCell ref="M63:O63"/>
    <mergeCell ref="C53:E53"/>
    <mergeCell ref="B69:O69"/>
    <mergeCell ref="M50:O50"/>
    <mergeCell ref="I113:L113"/>
    <mergeCell ref="M215:O215"/>
    <mergeCell ref="F175:H175"/>
    <mergeCell ref="H312:L312"/>
    <mergeCell ref="C310:E310"/>
    <mergeCell ref="C166:E166"/>
    <mergeCell ref="M92:O92"/>
    <mergeCell ref="G350:L350"/>
    <mergeCell ref="I115:L115"/>
    <mergeCell ref="A20:B20"/>
    <mergeCell ref="A125:B125"/>
    <mergeCell ref="G27:L27"/>
    <mergeCell ref="H105:L105"/>
    <mergeCell ref="A318:B318"/>
    <mergeCell ref="H170:L170"/>
    <mergeCell ref="M229:O229"/>
    <mergeCell ref="A348:B348"/>
    <mergeCell ref="C290:E290"/>
    <mergeCell ref="M290:O290"/>
    <mergeCell ref="A13:B13"/>
    <mergeCell ref="C182:F182"/>
    <mergeCell ref="H107:L107"/>
    <mergeCell ref="A176:B176"/>
    <mergeCell ref="A314:B314"/>
    <mergeCell ref="A114:B114"/>
    <mergeCell ref="F44:G4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15"/>
  <sheetViews>
    <sheetView zoomScale="112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32" customWidth="1" min="3" max="3"/>
    <col width="15" customWidth="1" min="4" max="4"/>
    <col width="22" customWidth="1" min="5" max="5"/>
    <col width="28" customWidth="1" min="6" max="6"/>
    <col width="15" customWidth="1" min="7" max="7"/>
    <col width="14" customWidth="1" min="8" max="8"/>
    <col width="16" customWidth="1" min="9" max="9"/>
    <col width="14" customWidth="1" min="10" max="10"/>
    <col width="42" customWidth="1" min="11" max="11"/>
    <col width="42" customWidth="1" min="12" max="12"/>
    <col hidden="1" width="4" customWidth="1" min="13" max="13"/>
    <col hidden="1" width="4" customWidth="1" min="14" max="14"/>
    <col hidden="1" width="13" customWidth="1" min="15" max="15"/>
  </cols>
  <sheetData>
    <row r="1" ht="24" customHeight="1">
      <c r="A1" s="439" t="inlineStr">
        <is>
          <t>Promise Progress</t>
        </is>
      </c>
      <c r="B1" s="308" t="n"/>
      <c r="C1" s="308" t="n"/>
      <c r="D1" s="308" t="n"/>
      <c r="E1" s="308" t="n"/>
      <c r="F1" s="308" t="n"/>
      <c r="G1" s="308" t="n"/>
      <c r="H1" s="308" t="n"/>
      <c r="I1" s="308" t="n"/>
      <c r="J1" s="308" t="n"/>
      <c r="K1" s="308" t="n"/>
      <c r="L1" s="308" t="n"/>
    </row>
    <row r="2" ht="24" customHeight="1">
      <c r="A2" s="419" t="n"/>
      <c r="B2" s="419" t="n"/>
      <c r="C2" s="419" t="n"/>
      <c r="D2" s="419" t="n"/>
      <c r="E2" s="419" t="n"/>
      <c r="F2" s="419" t="n"/>
      <c r="G2" s="419" t="n"/>
      <c r="H2" s="419" t="n"/>
      <c r="I2" s="419" t="n"/>
      <c r="J2" s="419" t="n"/>
      <c r="K2" s="310" t="n"/>
      <c r="L2" s="310" t="n"/>
    </row>
    <row r="3" ht="22" customHeight="1">
      <c r="A3" s="439" t="inlineStr">
        <is>
          <t>Management Credibility Scorecard</t>
        </is>
      </c>
      <c r="B3" s="308" t="n"/>
      <c r="C3" s="308" t="n"/>
      <c r="D3" s="308" t="n"/>
      <c r="E3" s="308" t="n"/>
      <c r="F3" s="308" t="n"/>
      <c r="G3" s="308" t="n"/>
      <c r="H3" s="308" t="n"/>
      <c r="I3" s="308" t="n"/>
      <c r="J3" s="308" t="n"/>
      <c r="K3" s="308" t="n"/>
      <c r="L3" s="308" t="n"/>
    </row>
    <row r="4" ht="22" customHeight="1">
      <c r="A4" s="420" t="inlineStr">
        <is>
          <t>Category</t>
        </is>
      </c>
      <c r="B4" s="420" t="inlineStr">
        <is>
          <t>Score</t>
        </is>
      </c>
      <c r="C4" s="420" t="inlineStr">
        <is>
          <t>Evidence</t>
        </is>
      </c>
      <c r="D4" s="420" t="n"/>
      <c r="E4" s="420" t="n"/>
      <c r="F4" s="420" t="n"/>
      <c r="G4" s="420" t="inlineStr">
        <is>
          <t>Read</t>
        </is>
      </c>
      <c r="H4" s="420" t="n"/>
      <c r="I4" s="420" t="n"/>
      <c r="J4" s="420" t="n"/>
      <c r="K4" s="420" t="n"/>
      <c r="L4" s="420" t="n"/>
    </row>
    <row r="5" ht="24" customHeight="1">
      <c r="A5" s="419" t="n"/>
      <c r="B5" s="419" t="n"/>
      <c r="C5" s="545" t="n"/>
      <c r="D5" s="308" t="n"/>
      <c r="E5" s="308" t="n"/>
      <c r="F5" s="308" t="n"/>
      <c r="G5" s="545" t="n"/>
      <c r="H5" s="308" t="n"/>
      <c r="I5" s="308" t="n"/>
      <c r="J5" s="308" t="n"/>
      <c r="K5" s="308" t="n"/>
      <c r="L5" s="308" t="n"/>
    </row>
    <row r="6" ht="24" customHeight="1">
      <c r="A6" s="421" t="n"/>
      <c r="B6" s="421" t="n"/>
      <c r="C6" s="546" t="n"/>
      <c r="D6" s="308" t="n"/>
      <c r="E6" s="308" t="n"/>
      <c r="F6" s="308" t="n"/>
      <c r="G6" s="546" t="n"/>
      <c r="H6" s="308" t="n"/>
      <c r="I6" s="308" t="n"/>
      <c r="J6" s="308" t="n"/>
      <c r="K6" s="308" t="n"/>
      <c r="L6" s="308" t="n"/>
    </row>
    <row r="7" ht="24" customHeight="1">
      <c r="A7" s="419" t="n"/>
      <c r="B7" s="419" t="n"/>
      <c r="C7" s="545" t="n"/>
      <c r="D7" s="308" t="n"/>
      <c r="E7" s="308" t="n"/>
      <c r="F7" s="308" t="n"/>
      <c r="G7" s="545" t="n"/>
      <c r="H7" s="308" t="n"/>
      <c r="I7" s="308" t="n"/>
      <c r="J7" s="308" t="n"/>
      <c r="K7" s="308" t="n"/>
      <c r="L7" s="308" t="n"/>
    </row>
    <row r="8" ht="24" customHeight="1">
      <c r="A8" s="421" t="n"/>
      <c r="B8" s="421" t="n"/>
      <c r="C8" s="546" t="n"/>
      <c r="D8" s="308" t="n"/>
      <c r="E8" s="308" t="n"/>
      <c r="F8" s="308" t="n"/>
      <c r="G8" s="546" t="n"/>
      <c r="H8" s="308" t="n"/>
      <c r="I8" s="308" t="n"/>
      <c r="J8" s="308" t="n"/>
      <c r="K8" s="308" t="n"/>
      <c r="L8" s="308" t="n"/>
    </row>
    <row r="9" ht="24" customHeight="1">
      <c r="A9" s="419" t="n"/>
      <c r="B9" s="419" t="n"/>
      <c r="C9" s="545" t="n"/>
      <c r="D9" s="308" t="n"/>
      <c r="E9" s="308" t="n"/>
      <c r="F9" s="308" t="n"/>
      <c r="G9" s="545" t="n"/>
      <c r="H9" s="308" t="n"/>
      <c r="I9" s="308" t="n"/>
      <c r="J9" s="308" t="n"/>
      <c r="K9" s="308" t="n"/>
      <c r="L9" s="308" t="n"/>
    </row>
    <row r="10" ht="18" customHeight="1">
      <c r="A10" s="314" t="n"/>
      <c r="B10" s="314" t="n"/>
      <c r="C10" s="314" t="n"/>
      <c r="D10" s="314" t="n"/>
      <c r="E10" s="314" t="n"/>
      <c r="F10" s="314" t="n"/>
      <c r="G10" s="314" t="n"/>
      <c r="H10" s="314" t="n"/>
      <c r="I10" s="314" t="n"/>
      <c r="J10" s="314" t="n"/>
      <c r="K10" s="314" t="n"/>
      <c r="L10" s="314" t="n"/>
    </row>
    <row r="11" ht="22" customHeight="1">
      <c r="A11" s="439" t="inlineStr">
        <is>
          <t>Guidance progression - period block 1</t>
        </is>
      </c>
      <c r="B11" s="308" t="n"/>
      <c r="C11" s="308" t="n"/>
      <c r="D11" s="308" t="n"/>
      <c r="E11" s="308" t="n"/>
      <c r="F11" s="308" t="n"/>
      <c r="G11" s="308" t="n"/>
      <c r="H11" s="308" t="n"/>
      <c r="I11" s="308" t="n"/>
      <c r="J11" s="308" t="n"/>
      <c r="K11" s="308" t="n"/>
      <c r="L11" s="308" t="n"/>
    </row>
    <row r="12" ht="22" customHeight="1">
      <c r="A12" s="420" t="inlineStr">
        <is>
          <t>Metric</t>
        </is>
      </c>
      <c r="B12" s="420" t="inlineStr">
        <is>
          <t>Initial guide</t>
        </is>
      </c>
      <c r="C12" s="420" t="inlineStr">
        <is>
          <t>Q1 update</t>
        </is>
      </c>
      <c r="D12" s="420" t="inlineStr">
        <is>
          <t>Q2 update</t>
        </is>
      </c>
      <c r="E12" s="420" t="inlineStr">
        <is>
          <t>Q3 update</t>
        </is>
      </c>
      <c r="F12" s="420" t="inlineStr">
        <is>
          <t>Q4 update</t>
        </is>
      </c>
      <c r="G12" s="420" t="inlineStr">
        <is>
          <t>Actual</t>
        </is>
      </c>
      <c r="H12" s="420" t="inlineStr">
        <is>
          <t>Status</t>
        </is>
      </c>
      <c r="I12" s="440" t="inlineStr">
        <is>
          <t>Notes/source</t>
        </is>
      </c>
      <c r="J12" s="308" t="n"/>
      <c r="K12" s="308" t="n"/>
      <c r="L12" s="308" t="n"/>
    </row>
    <row r="13" ht="24" customHeight="1">
      <c r="A13" s="419" t="n"/>
      <c r="B13" s="419" t="n"/>
      <c r="C13" s="419" t="n"/>
      <c r="D13" s="419" t="n"/>
      <c r="E13" s="419" t="n"/>
      <c r="F13" s="419" t="n"/>
      <c r="G13" s="419" t="n"/>
      <c r="H13" s="419" t="n"/>
      <c r="I13" s="545" t="n"/>
      <c r="J13" s="308" t="n"/>
      <c r="K13" s="308" t="n"/>
      <c r="L13" s="308" t="n"/>
    </row>
    <row r="14" ht="24" customHeight="1">
      <c r="A14" s="421" t="n"/>
      <c r="B14" s="421" t="n"/>
      <c r="C14" s="421" t="n"/>
      <c r="D14" s="421" t="n"/>
      <c r="E14" s="421" t="n"/>
      <c r="F14" s="421" t="n"/>
      <c r="G14" s="421" t="n"/>
      <c r="H14" s="421" t="n"/>
      <c r="I14" s="546" t="n"/>
      <c r="J14" s="308" t="n"/>
      <c r="K14" s="308" t="n"/>
      <c r="L14" s="308" t="n"/>
    </row>
    <row r="15" ht="24" customHeight="1">
      <c r="A15" s="419" t="n"/>
      <c r="B15" s="419" t="n"/>
      <c r="C15" s="419" t="n"/>
      <c r="D15" s="419" t="n"/>
      <c r="E15" s="419" t="n"/>
      <c r="F15" s="419" t="n"/>
      <c r="G15" s="419" t="n"/>
      <c r="H15" s="419" t="n"/>
      <c r="I15" s="545" t="n"/>
      <c r="J15" s="308" t="n"/>
      <c r="K15" s="308" t="n"/>
      <c r="L15" s="308" t="n"/>
    </row>
    <row r="16" ht="24" customHeight="1">
      <c r="A16" s="421" t="n"/>
      <c r="B16" s="421" t="n"/>
      <c r="C16" s="421" t="n"/>
      <c r="D16" s="421" t="n"/>
      <c r="E16" s="421" t="n"/>
      <c r="F16" s="421" t="n"/>
      <c r="G16" s="421" t="n"/>
      <c r="H16" s="421" t="n"/>
      <c r="I16" s="546" t="n"/>
      <c r="J16" s="308" t="n"/>
      <c r="K16" s="308" t="n"/>
      <c r="L16" s="308" t="n"/>
    </row>
    <row r="17" ht="24" customHeight="1">
      <c r="A17" s="419" t="n"/>
      <c r="B17" s="419" t="n"/>
      <c r="C17" s="419" t="n"/>
      <c r="D17" s="419" t="n"/>
      <c r="E17" s="419" t="n"/>
      <c r="F17" s="419" t="n"/>
      <c r="G17" s="419" t="n"/>
      <c r="H17" s="419" t="n"/>
      <c r="I17" s="545" t="n"/>
      <c r="J17" s="308" t="n"/>
      <c r="K17" s="308" t="n"/>
      <c r="L17" s="308" t="n"/>
    </row>
    <row r="18" ht="24" customHeight="1">
      <c r="A18" s="421" t="n"/>
      <c r="B18" s="421" t="n"/>
      <c r="C18" s="421" t="n"/>
      <c r="D18" s="421" t="n"/>
      <c r="E18" s="421" t="n"/>
      <c r="F18" s="421" t="n"/>
      <c r="G18" s="421" t="n"/>
      <c r="H18" s="421" t="n"/>
      <c r="I18" s="546" t="n"/>
      <c r="J18" s="308" t="n"/>
      <c r="K18" s="308" t="n"/>
      <c r="L18" s="308" t="n"/>
    </row>
    <row r="19" ht="60" customHeight="1">
      <c r="A19" s="419" t="n"/>
      <c r="B19" s="310" t="n"/>
      <c r="C19" s="310" t="n"/>
      <c r="D19" s="310" t="n"/>
      <c r="E19" s="310" t="n"/>
      <c r="F19" s="419" t="n"/>
      <c r="G19" s="419" t="n"/>
      <c r="H19" s="419" t="n"/>
      <c r="I19" s="545" t="n"/>
      <c r="J19" s="308" t="n"/>
      <c r="K19" s="308" t="n"/>
      <c r="L19" s="308" t="n"/>
    </row>
    <row r="20" ht="24" customHeight="1">
      <c r="A20" s="421" t="n"/>
      <c r="B20" s="421" t="n"/>
      <c r="C20" s="421" t="n"/>
      <c r="D20" s="421" t="n"/>
      <c r="E20" s="421" t="n"/>
      <c r="F20" s="421" t="n"/>
      <c r="G20" s="421" t="n"/>
      <c r="H20" s="421" t="n"/>
      <c r="I20" s="546" t="n"/>
      <c r="J20" s="308" t="n"/>
      <c r="K20" s="308" t="n"/>
      <c r="L20" s="308" t="n"/>
    </row>
    <row r="21" ht="18" customHeight="1">
      <c r="A21" s="314" t="n"/>
      <c r="B21" s="314" t="n"/>
      <c r="C21" s="314" t="n"/>
      <c r="D21" s="314" t="n"/>
      <c r="E21" s="314" t="n"/>
      <c r="F21" s="314" t="n"/>
      <c r="G21" s="314" t="n"/>
      <c r="H21" s="314" t="n"/>
      <c r="I21" s="314" t="n"/>
      <c r="J21" s="314" t="n"/>
      <c r="K21" s="314" t="n"/>
      <c r="L21" s="314" t="n"/>
    </row>
    <row r="22" ht="22" customHeight="1">
      <c r="A22" s="439" t="inlineStr">
        <is>
          <t>Guidance progression - period block 2</t>
        </is>
      </c>
      <c r="B22" s="308" t="n"/>
      <c r="C22" s="308" t="n"/>
      <c r="D22" s="308" t="n"/>
      <c r="E22" s="308" t="n"/>
      <c r="F22" s="308" t="n"/>
      <c r="G22" s="308" t="n"/>
      <c r="H22" s="308" t="n"/>
      <c r="I22" s="308" t="n"/>
      <c r="J22" s="308" t="n"/>
      <c r="K22" s="308" t="n"/>
      <c r="L22" s="308" t="n"/>
    </row>
    <row r="23" ht="22" customHeight="1">
      <c r="A23" s="420" t="inlineStr">
        <is>
          <t>Metric</t>
        </is>
      </c>
      <c r="B23" s="420" t="inlineStr">
        <is>
          <t>Initial guide</t>
        </is>
      </c>
      <c r="C23" s="420" t="inlineStr">
        <is>
          <t>Q1 update</t>
        </is>
      </c>
      <c r="D23" s="420" t="inlineStr">
        <is>
          <t>Q2 update</t>
        </is>
      </c>
      <c r="E23" s="420" t="inlineStr">
        <is>
          <t>Q3 update</t>
        </is>
      </c>
      <c r="F23" s="420" t="inlineStr">
        <is>
          <t>Q4 update</t>
        </is>
      </c>
      <c r="G23" s="420" t="inlineStr">
        <is>
          <t>Actual</t>
        </is>
      </c>
      <c r="H23" s="420" t="inlineStr">
        <is>
          <t>Status</t>
        </is>
      </c>
      <c r="I23" s="440" t="inlineStr">
        <is>
          <t>Notes/source</t>
        </is>
      </c>
      <c r="J23" s="308" t="n"/>
      <c r="K23" s="308" t="n"/>
      <c r="L23" s="308" t="n"/>
    </row>
    <row r="24" ht="24" customHeight="1">
      <c r="A24" s="419" t="n"/>
      <c r="B24" s="419" t="n"/>
      <c r="C24" s="419" t="n"/>
      <c r="D24" s="419" t="n"/>
      <c r="E24" s="419" t="n"/>
      <c r="F24" s="419" t="n"/>
      <c r="G24" s="419" t="n"/>
      <c r="H24" s="419" t="n"/>
      <c r="I24" s="545" t="n"/>
      <c r="J24" s="308" t="n"/>
      <c r="K24" s="308" t="n"/>
      <c r="L24" s="308" t="n"/>
    </row>
    <row r="25" ht="24" customHeight="1">
      <c r="A25" s="421" t="n"/>
      <c r="B25" s="421" t="n"/>
      <c r="C25" s="421" t="n"/>
      <c r="D25" s="421" t="n"/>
      <c r="E25" s="421" t="n"/>
      <c r="F25" s="421" t="n"/>
      <c r="G25" s="421" t="n"/>
      <c r="H25" s="421" t="n"/>
      <c r="I25" s="546" t="n"/>
      <c r="J25" s="308" t="n"/>
      <c r="K25" s="308" t="n"/>
      <c r="L25" s="308" t="n"/>
    </row>
    <row r="26" ht="24" customHeight="1">
      <c r="A26" s="419" t="n"/>
      <c r="B26" s="419" t="n"/>
      <c r="C26" s="419" t="n"/>
      <c r="D26" s="419" t="n"/>
      <c r="E26" s="419" t="n"/>
      <c r="F26" s="419" t="n"/>
      <c r="G26" s="419" t="n"/>
      <c r="H26" s="419" t="n"/>
      <c r="I26" s="545" t="n"/>
      <c r="J26" s="308" t="n"/>
      <c r="K26" s="308" t="n"/>
      <c r="L26" s="308" t="n"/>
    </row>
    <row r="27" ht="18" customHeight="1">
      <c r="A27" s="314" t="n"/>
      <c r="B27" s="314" t="n"/>
      <c r="C27" s="314" t="n"/>
      <c r="D27" s="314" t="n"/>
      <c r="E27" s="314" t="n"/>
      <c r="F27" s="314" t="n"/>
      <c r="G27" s="314" t="n"/>
      <c r="H27" s="314" t="n"/>
      <c r="I27" s="314" t="n"/>
      <c r="J27" s="314" t="n"/>
      <c r="K27" s="314" t="n"/>
      <c r="L27" s="314" t="n"/>
    </row>
    <row r="28" ht="22" customHeight="1">
      <c r="A28" s="439" t="inlineStr">
        <is>
          <t>Guidance progression - period block 3</t>
        </is>
      </c>
      <c r="B28" s="308" t="n"/>
      <c r="C28" s="308" t="n"/>
      <c r="D28" s="308" t="n"/>
      <c r="E28" s="308" t="n"/>
      <c r="F28" s="308" t="n"/>
      <c r="G28" s="308" t="n"/>
      <c r="H28" s="308" t="n"/>
      <c r="I28" s="308" t="n"/>
      <c r="J28" s="308" t="n"/>
      <c r="K28" s="308" t="n"/>
      <c r="L28" s="308" t="n"/>
    </row>
    <row r="29" ht="22" customHeight="1">
      <c r="A29" s="420" t="inlineStr">
        <is>
          <t>Metric</t>
        </is>
      </c>
      <c r="B29" s="420" t="inlineStr">
        <is>
          <t>Initial guide</t>
        </is>
      </c>
      <c r="C29" s="420" t="inlineStr">
        <is>
          <t>Q1 update</t>
        </is>
      </c>
      <c r="D29" s="420" t="inlineStr">
        <is>
          <t>Q2 update</t>
        </is>
      </c>
      <c r="E29" s="420" t="inlineStr">
        <is>
          <t>Q3 update</t>
        </is>
      </c>
      <c r="F29" s="420" t="inlineStr">
        <is>
          <t>Q4 update</t>
        </is>
      </c>
      <c r="G29" s="420" t="inlineStr">
        <is>
          <t>Actual</t>
        </is>
      </c>
      <c r="H29" s="420" t="inlineStr">
        <is>
          <t>Status</t>
        </is>
      </c>
      <c r="I29" s="440" t="inlineStr">
        <is>
          <t>Notes/source</t>
        </is>
      </c>
      <c r="J29" s="308" t="n"/>
      <c r="K29" s="308" t="n"/>
      <c r="L29" s="308" t="n"/>
    </row>
    <row r="30" ht="24" customHeight="1">
      <c r="A30" s="419" t="n"/>
      <c r="B30" s="419" t="n"/>
      <c r="C30" s="419" t="n"/>
      <c r="D30" s="419" t="n"/>
      <c r="E30" s="419" t="n"/>
      <c r="F30" s="419" t="n"/>
      <c r="G30" s="419" t="n"/>
      <c r="H30" s="419" t="n"/>
      <c r="I30" s="545" t="n"/>
      <c r="J30" s="308" t="n"/>
      <c r="K30" s="308" t="n"/>
      <c r="L30" s="308" t="n"/>
    </row>
    <row r="31" ht="24" customHeight="1">
      <c r="A31" s="421" t="n"/>
      <c r="B31" s="421" t="n"/>
      <c r="C31" s="421" t="n"/>
      <c r="D31" s="421" t="n"/>
      <c r="E31" s="421" t="n"/>
      <c r="F31" s="421" t="n"/>
      <c r="G31" s="421" t="n"/>
      <c r="H31" s="421" t="n"/>
      <c r="I31" s="546" t="n"/>
      <c r="J31" s="308" t="n"/>
      <c r="K31" s="308" t="n"/>
      <c r="L31" s="308" t="n"/>
    </row>
    <row r="32" ht="18" customHeight="1">
      <c r="A32" s="314" t="n"/>
      <c r="B32" s="314" t="n"/>
      <c r="C32" s="314" t="n"/>
      <c r="D32" s="314" t="n"/>
      <c r="E32" s="314" t="n"/>
      <c r="F32" s="314" t="n"/>
      <c r="G32" s="314" t="n"/>
      <c r="H32" s="314" t="n"/>
      <c r="I32" s="314" t="n"/>
      <c r="J32" s="314" t="n"/>
      <c r="K32" s="314" t="n"/>
      <c r="L32" s="314" t="n"/>
    </row>
    <row r="33" ht="22" customHeight="1">
      <c r="A33" s="439" t="inlineStr">
        <is>
          <t>Guidance progression - period block 4</t>
        </is>
      </c>
      <c r="B33" s="308" t="n"/>
      <c r="C33" s="308" t="n"/>
      <c r="D33" s="308" t="n"/>
      <c r="E33" s="308" t="n"/>
      <c r="F33" s="308" t="n"/>
      <c r="G33" s="308" t="n"/>
      <c r="H33" s="308" t="n"/>
      <c r="I33" s="308" t="n"/>
      <c r="J33" s="308" t="n"/>
      <c r="K33" s="308" t="n"/>
      <c r="L33" s="308" t="n"/>
    </row>
    <row r="34" ht="22" customHeight="1">
      <c r="A34" s="420" t="inlineStr">
        <is>
          <t>Metric</t>
        </is>
      </c>
      <c r="B34" s="420" t="inlineStr">
        <is>
          <t>Initial guide</t>
        </is>
      </c>
      <c r="C34" s="420" t="inlineStr">
        <is>
          <t>Q1 update</t>
        </is>
      </c>
      <c r="D34" s="420" t="inlineStr">
        <is>
          <t>Q2 update</t>
        </is>
      </c>
      <c r="E34" s="420" t="inlineStr">
        <is>
          <t>Q3 update</t>
        </is>
      </c>
      <c r="F34" s="420" t="inlineStr">
        <is>
          <t>Q4 update</t>
        </is>
      </c>
      <c r="G34" s="420" t="inlineStr">
        <is>
          <t>Actual</t>
        </is>
      </c>
      <c r="H34" s="420" t="inlineStr">
        <is>
          <t>Status</t>
        </is>
      </c>
      <c r="I34" s="440" t="inlineStr">
        <is>
          <t>Notes/source</t>
        </is>
      </c>
      <c r="J34" s="308" t="n"/>
      <c r="K34" s="308" t="n"/>
      <c r="L34" s="308" t="n"/>
    </row>
    <row r="35" ht="24" customHeight="1">
      <c r="A35" s="419" t="n"/>
      <c r="B35" s="419" t="n"/>
      <c r="C35" s="419" t="n"/>
      <c r="D35" s="419" t="n"/>
      <c r="E35" s="419" t="n"/>
      <c r="F35" s="419" t="n"/>
      <c r="G35" s="419" t="n"/>
      <c r="H35" s="419" t="n"/>
      <c r="I35" s="545" t="n"/>
      <c r="J35" s="308" t="n"/>
      <c r="K35" s="308" t="n"/>
      <c r="L35" s="308" t="n"/>
    </row>
    <row r="36" ht="18" customHeight="1">
      <c r="A36" s="314" t="n"/>
      <c r="B36" s="314" t="n"/>
      <c r="C36" s="314" t="n"/>
      <c r="D36" s="314" t="n"/>
      <c r="E36" s="314" t="n"/>
      <c r="F36" s="314" t="n"/>
      <c r="G36" s="314" t="n"/>
      <c r="H36" s="314" t="n"/>
      <c r="I36" s="314" t="n"/>
      <c r="J36" s="314" t="n"/>
      <c r="K36" s="314" t="n"/>
      <c r="L36" s="314" t="n"/>
    </row>
    <row r="37" ht="22" customHeight="1">
      <c r="A37" s="439" t="inlineStr">
        <is>
          <t>Current open guidance</t>
        </is>
      </c>
      <c r="B37" s="308" t="n"/>
      <c r="C37" s="308" t="n"/>
      <c r="D37" s="308" t="n"/>
      <c r="E37" s="308" t="n"/>
      <c r="F37" s="308" t="n"/>
      <c r="G37" s="308" t="n"/>
      <c r="H37" s="308" t="n"/>
      <c r="I37" s="308" t="n"/>
      <c r="J37" s="308" t="n"/>
      <c r="K37" s="308" t="n"/>
      <c r="L37" s="308" t="n"/>
    </row>
    <row r="38" ht="22" customHeight="1">
      <c r="A38" s="420" t="inlineStr">
        <is>
          <t>Metric</t>
        </is>
      </c>
      <c r="B38" s="420" t="inlineStr">
        <is>
          <t>Current guide</t>
        </is>
      </c>
      <c r="C38" s="420" t="inlineStr">
        <is>
          <t>Horizon</t>
        </is>
      </c>
      <c r="D38" s="420" t="inlineStr">
        <is>
          <t>Status</t>
        </is>
      </c>
      <c r="E38" s="440" t="inlineStr">
        <is>
          <t>Notes/source</t>
        </is>
      </c>
      <c r="F38" s="308" t="n"/>
      <c r="G38" s="308" t="n"/>
      <c r="H38" s="308" t="n"/>
      <c r="I38" s="308" t="n"/>
      <c r="J38" s="308" t="n"/>
      <c r="K38" s="308" t="n"/>
      <c r="L38" s="308" t="n"/>
    </row>
    <row r="39" ht="24" customHeight="1">
      <c r="A39" s="419" t="n"/>
      <c r="B39" s="419" t="n"/>
      <c r="C39" s="419" t="n"/>
      <c r="D39" s="427" t="n"/>
      <c r="E39" s="545" t="n"/>
      <c r="F39" s="308" t="n"/>
      <c r="G39" s="308" t="n"/>
      <c r="H39" s="308" t="n"/>
      <c r="I39" s="308" t="n"/>
      <c r="J39" s="308" t="n"/>
      <c r="K39" s="308" t="n"/>
      <c r="L39" s="308" t="n"/>
    </row>
    <row r="40" ht="24" customHeight="1">
      <c r="A40" s="421" t="n"/>
      <c r="B40" s="421" t="n"/>
      <c r="C40" s="421" t="n"/>
      <c r="D40" s="427" t="n"/>
      <c r="E40" s="546" t="n"/>
      <c r="F40" s="308" t="n"/>
      <c r="G40" s="308" t="n"/>
      <c r="H40" s="308" t="n"/>
      <c r="I40" s="308" t="n"/>
      <c r="J40" s="308" t="n"/>
      <c r="K40" s="308" t="n"/>
      <c r="L40" s="308" t="n"/>
    </row>
    <row r="41" ht="24" customHeight="1">
      <c r="A41" s="419" t="n"/>
      <c r="B41" s="419" t="n"/>
      <c r="C41" s="419" t="n"/>
      <c r="D41" s="427" t="n"/>
      <c r="E41" s="545" t="n"/>
      <c r="F41" s="308" t="n"/>
      <c r="G41" s="308" t="n"/>
      <c r="H41" s="308" t="n"/>
      <c r="I41" s="308" t="n"/>
      <c r="J41" s="308" t="n"/>
      <c r="K41" s="308" t="n"/>
      <c r="L41" s="308" t="n"/>
    </row>
    <row r="42" ht="24" customHeight="1">
      <c r="A42" s="421" t="n"/>
      <c r="B42" s="421" t="n"/>
      <c r="C42" s="421" t="n"/>
      <c r="D42" s="427" t="n"/>
      <c r="E42" s="546" t="n"/>
      <c r="F42" s="308" t="n"/>
      <c r="G42" s="308" t="n"/>
      <c r="H42" s="308" t="n"/>
      <c r="I42" s="308" t="n"/>
      <c r="J42" s="308" t="n"/>
      <c r="K42" s="308" t="n"/>
      <c r="L42" s="308" t="n"/>
    </row>
    <row r="43" ht="24" customHeight="1">
      <c r="A43" s="419" t="n"/>
      <c r="B43" s="419" t="n"/>
      <c r="C43" s="419" t="n"/>
      <c r="D43" s="427" t="n"/>
      <c r="E43" s="545" t="n"/>
      <c r="F43" s="308" t="n"/>
      <c r="G43" s="308" t="n"/>
      <c r="H43" s="308" t="n"/>
      <c r="I43" s="308" t="n"/>
      <c r="J43" s="308" t="n"/>
      <c r="K43" s="308" t="n"/>
      <c r="L43" s="308" t="n"/>
    </row>
    <row r="44" ht="24" customHeight="1">
      <c r="A44" s="421" t="n"/>
      <c r="B44" s="421" t="n"/>
      <c r="C44" s="421" t="n"/>
      <c r="D44" s="427" t="n"/>
      <c r="E44" s="546" t="n"/>
      <c r="F44" s="308" t="n"/>
      <c r="G44" s="308" t="n"/>
      <c r="H44" s="308" t="n"/>
      <c r="I44" s="308" t="n"/>
      <c r="J44" s="308" t="n"/>
      <c r="K44" s="308" t="n"/>
      <c r="L44" s="308" t="n"/>
    </row>
    <row r="45" ht="24" customHeight="1">
      <c r="A45" s="419" t="n"/>
      <c r="B45" s="419" t="n"/>
      <c r="C45" s="419" t="n"/>
      <c r="D45" s="427" t="n"/>
      <c r="E45" s="545" t="n"/>
      <c r="F45" s="308" t="n"/>
      <c r="G45" s="308" t="n"/>
      <c r="H45" s="308" t="n"/>
      <c r="I45" s="308" t="n"/>
      <c r="J45" s="308" t="n"/>
      <c r="K45" s="308" t="n"/>
      <c r="L45" s="308" t="n"/>
    </row>
    <row r="46" ht="24" customHeight="1">
      <c r="A46" s="421" t="n"/>
      <c r="B46" s="421" t="n"/>
      <c r="C46" s="421" t="n"/>
      <c r="D46" s="427" t="n"/>
      <c r="E46" s="546" t="n"/>
      <c r="F46" s="308" t="n"/>
      <c r="G46" s="308" t="n"/>
      <c r="H46" s="308" t="n"/>
      <c r="I46" s="308" t="n"/>
      <c r="J46" s="308" t="n"/>
      <c r="K46" s="308" t="n"/>
      <c r="L46" s="308" t="n"/>
    </row>
    <row r="47" ht="18" customHeight="1">
      <c r="A47" s="314" t="n"/>
      <c r="B47" s="314" t="n"/>
      <c r="C47" s="314" t="n"/>
      <c r="D47" s="314" t="n"/>
      <c r="E47" s="314" t="n"/>
      <c r="F47" s="314" t="n"/>
      <c r="G47" s="314" t="n"/>
      <c r="H47" s="314" t="n"/>
      <c r="I47" s="314" t="n"/>
      <c r="J47" s="314" t="n"/>
      <c r="K47" s="314" t="n"/>
      <c r="L47" s="314" t="n"/>
    </row>
    <row r="48" ht="24" customHeight="1">
      <c r="A48" s="419" t="n"/>
      <c r="B48" s="419" t="n"/>
      <c r="C48" s="419" t="n"/>
      <c r="D48" s="427" t="n"/>
      <c r="E48" s="545" t="n"/>
      <c r="F48" s="308" t="n"/>
      <c r="G48" s="308" t="n"/>
      <c r="H48" s="308" t="n"/>
      <c r="I48" s="308" t="n"/>
      <c r="J48" s="308" t="n"/>
      <c r="K48" s="308" t="n"/>
      <c r="L48" s="308" t="n"/>
    </row>
    <row r="49" ht="24" customHeight="1">
      <c r="A49" s="421" t="n"/>
      <c r="B49" s="421" t="n"/>
      <c r="C49" s="421" t="n"/>
      <c r="D49" s="427" t="n"/>
      <c r="E49" s="546" t="n"/>
      <c r="F49" s="308" t="n"/>
      <c r="G49" s="308" t="n"/>
      <c r="H49" s="308" t="n"/>
      <c r="I49" s="308" t="n"/>
      <c r="J49" s="308" t="n"/>
      <c r="K49" s="308" t="n"/>
      <c r="L49" s="308" t="n"/>
    </row>
    <row r="50" ht="24" customHeight="1">
      <c r="A50" s="419" t="n"/>
      <c r="B50" s="419" t="n"/>
      <c r="C50" s="419" t="n"/>
      <c r="D50" s="427" t="n"/>
      <c r="E50" s="545" t="n"/>
      <c r="F50" s="308" t="n"/>
      <c r="G50" s="308" t="n"/>
      <c r="H50" s="308" t="n"/>
      <c r="I50" s="308" t="n"/>
      <c r="J50" s="308" t="n"/>
      <c r="K50" s="308" t="n"/>
      <c r="L50" s="308" t="n"/>
    </row>
    <row r="51" ht="24" customHeight="1">
      <c r="A51" s="421" t="n"/>
      <c r="B51" s="421" t="n"/>
      <c r="C51" s="421" t="n"/>
      <c r="D51" s="427" t="n"/>
      <c r="E51" s="546" t="n"/>
      <c r="F51" s="308" t="n"/>
      <c r="G51" s="308" t="n"/>
      <c r="H51" s="308" t="n"/>
      <c r="I51" s="308" t="n"/>
      <c r="J51" s="308" t="n"/>
      <c r="K51" s="308" t="n"/>
      <c r="L51" s="308" t="n"/>
    </row>
    <row r="52" ht="24" customHeight="1">
      <c r="A52" s="419" t="n"/>
      <c r="B52" s="419" t="n"/>
      <c r="C52" s="419" t="n"/>
      <c r="D52" s="427" t="n"/>
      <c r="E52" s="545" t="n"/>
      <c r="F52" s="308" t="n"/>
      <c r="G52" s="308" t="n"/>
      <c r="H52" s="308" t="n"/>
      <c r="I52" s="308" t="n"/>
      <c r="J52" s="308" t="n"/>
      <c r="K52" s="308" t="n"/>
      <c r="L52" s="308" t="n"/>
    </row>
    <row r="53" ht="24" customHeight="1">
      <c r="A53" s="421" t="n"/>
      <c r="B53" s="421" t="n"/>
      <c r="C53" s="421" t="n"/>
      <c r="D53" s="427" t="n"/>
      <c r="E53" s="546" t="n"/>
      <c r="F53" s="308" t="n"/>
      <c r="G53" s="308" t="n"/>
      <c r="H53" s="308" t="n"/>
      <c r="I53" s="308" t="n"/>
      <c r="J53" s="308" t="n"/>
      <c r="K53" s="308" t="n"/>
      <c r="L53" s="308" t="n"/>
    </row>
    <row r="54" ht="24" customHeight="1">
      <c r="A54" s="419" t="n"/>
      <c r="B54" s="419" t="n"/>
      <c r="C54" s="419" t="n"/>
      <c r="D54" s="427" t="n"/>
      <c r="E54" s="545" t="n"/>
      <c r="F54" s="308" t="n"/>
      <c r="G54" s="308" t="n"/>
      <c r="H54" s="308" t="n"/>
      <c r="I54" s="308" t="n"/>
      <c r="J54" s="308" t="n"/>
      <c r="K54" s="308" t="n"/>
      <c r="L54" s="308" t="n"/>
    </row>
    <row r="55" ht="24" customHeight="1">
      <c r="A55" s="421" t="n"/>
      <c r="B55" s="421" t="n"/>
      <c r="C55" s="421" t="n"/>
      <c r="D55" s="427" t="n"/>
      <c r="E55" s="546" t="n"/>
      <c r="F55" s="308" t="n"/>
      <c r="G55" s="308" t="n"/>
      <c r="H55" s="308" t="n"/>
      <c r="I55" s="308" t="n"/>
      <c r="J55" s="308" t="n"/>
      <c r="K55" s="308" t="n"/>
      <c r="L55" s="308" t="n"/>
    </row>
    <row r="56" ht="24" customHeight="1">
      <c r="A56" s="419" t="n"/>
      <c r="B56" s="419" t="n"/>
      <c r="C56" s="419" t="n"/>
      <c r="D56" s="427" t="n"/>
      <c r="E56" s="545" t="n"/>
      <c r="F56" s="308" t="n"/>
      <c r="G56" s="308" t="n"/>
      <c r="H56" s="308" t="n"/>
      <c r="I56" s="308" t="n"/>
      <c r="J56" s="308" t="n"/>
      <c r="K56" s="308" t="n"/>
      <c r="L56" s="308" t="n"/>
    </row>
    <row r="57" ht="18" customHeight="1">
      <c r="A57" s="314" t="n"/>
      <c r="B57" s="314" t="n"/>
      <c r="C57" s="314" t="n"/>
      <c r="D57" s="314" t="n"/>
      <c r="E57" s="314" t="n"/>
      <c r="F57" s="314" t="n"/>
      <c r="G57" s="314" t="n"/>
      <c r="H57" s="314" t="n"/>
      <c r="I57" s="314" t="n"/>
      <c r="J57" s="314" t="n"/>
      <c r="K57" s="314" t="n"/>
      <c r="L57" s="314" t="n"/>
    </row>
    <row r="58" ht="22" customHeight="1">
      <c r="A58" s="439" t="n"/>
      <c r="B58" s="308" t="n"/>
      <c r="C58" s="308" t="n"/>
      <c r="D58" s="308" t="n"/>
      <c r="E58" s="308" t="n"/>
      <c r="F58" s="308" t="n"/>
      <c r="G58" s="308" t="n"/>
      <c r="H58" s="308" t="n"/>
      <c r="I58" s="308" t="n"/>
      <c r="J58" s="308" t="n"/>
      <c r="K58" s="308" t="n"/>
      <c r="L58" s="308" t="n"/>
    </row>
    <row r="59" ht="22" customHeight="1">
      <c r="A59" s="439" t="inlineStr">
        <is>
          <t>Guidance timeline block 1</t>
        </is>
      </c>
      <c r="B59" s="308" t="n"/>
      <c r="C59" s="308" t="n"/>
      <c r="D59" s="308" t="n"/>
      <c r="E59" s="308" t="n"/>
      <c r="F59" s="308" t="n"/>
      <c r="G59" s="308" t="n"/>
      <c r="H59" s="308" t="n"/>
      <c r="I59" s="308" t="n"/>
      <c r="J59" s="308" t="n"/>
      <c r="K59" s="308" t="n"/>
      <c r="L59" s="308" t="n"/>
    </row>
    <row r="60" ht="22" customHeight="1">
      <c r="A60" s="420" t="inlineStr">
        <is>
          <t>Metric</t>
        </is>
      </c>
      <c r="B60" s="420" t="inlineStr">
        <is>
          <t>Previous guide</t>
        </is>
      </c>
      <c r="C60" s="420" t="inlineStr">
        <is>
          <t>New/current guide</t>
        </is>
      </c>
      <c r="D60" s="420" t="inlineStr">
        <is>
          <t>Change type</t>
        </is>
      </c>
      <c r="E60" s="420" t="inlineStr">
        <is>
          <t>Actual</t>
        </is>
      </c>
      <c r="F60" s="420" t="inlineStr">
        <is>
          <t>Progress / run-rate</t>
        </is>
      </c>
      <c r="G60" s="420" t="inlineStr">
        <is>
          <t>Status</t>
        </is>
      </c>
      <c r="H60" s="420" t="inlineStr">
        <is>
          <t>Horizon</t>
        </is>
      </c>
      <c r="I60" s="420" t="inlineStr">
        <is>
          <t>Stated in</t>
        </is>
      </c>
      <c r="J60" s="420" t="inlineStr">
        <is>
          <t>Source date</t>
        </is>
      </c>
      <c r="K60" s="440" t="inlineStr">
        <is>
          <t>Source / note</t>
        </is>
      </c>
      <c r="L60" s="308" t="n"/>
    </row>
    <row r="61" ht="24" customHeight="1">
      <c r="A61" s="419" t="n"/>
      <c r="B61" s="419" t="n"/>
      <c r="C61" s="419" t="n"/>
      <c r="D61" s="419" t="n"/>
      <c r="E61" s="419" t="n"/>
      <c r="F61" s="419" t="n"/>
      <c r="G61" s="427" t="n"/>
      <c r="H61" s="419" t="n"/>
      <c r="I61" s="419" t="n"/>
      <c r="J61" s="419" t="n"/>
      <c r="K61" s="310" t="n"/>
      <c r="L61" s="310" t="n"/>
    </row>
    <row r="62" ht="24" customHeight="1">
      <c r="A62" s="421" t="n"/>
      <c r="B62" s="421" t="n"/>
      <c r="C62" s="421" t="n"/>
      <c r="D62" s="421" t="n"/>
      <c r="E62" s="421" t="n"/>
      <c r="F62" s="421" t="n"/>
      <c r="G62" s="427" t="n"/>
      <c r="H62" s="421" t="n"/>
      <c r="I62" s="421" t="n"/>
      <c r="J62" s="421" t="n"/>
      <c r="K62" s="313" t="n"/>
      <c r="L62" s="313" t="n"/>
    </row>
    <row r="63" ht="24" customHeight="1">
      <c r="A63" s="419" t="n"/>
      <c r="B63" s="419" t="n"/>
      <c r="C63" s="419" t="n"/>
      <c r="D63" s="419" t="n"/>
      <c r="E63" s="419" t="n"/>
      <c r="F63" s="419" t="n"/>
      <c r="G63" s="427" t="n"/>
      <c r="H63" s="419" t="n"/>
      <c r="I63" s="419" t="n"/>
      <c r="J63" s="419" t="n"/>
      <c r="K63" s="310" t="n"/>
      <c r="L63" s="310" t="n"/>
    </row>
    <row r="64" ht="24" customHeight="1">
      <c r="A64" s="421" t="n"/>
      <c r="B64" s="421" t="n"/>
      <c r="C64" s="421" t="n"/>
      <c r="D64" s="421" t="n"/>
      <c r="E64" s="421" t="n"/>
      <c r="F64" s="421" t="n"/>
      <c r="G64" s="427" t="n"/>
      <c r="H64" s="421" t="n"/>
      <c r="I64" s="421" t="n"/>
      <c r="J64" s="421" t="n"/>
      <c r="K64" s="313" t="n"/>
      <c r="L64" s="313" t="n"/>
    </row>
    <row r="65" ht="24" customHeight="1">
      <c r="A65" s="419" t="n"/>
      <c r="B65" s="419" t="n"/>
      <c r="C65" s="419" t="n"/>
      <c r="D65" s="419" t="n"/>
      <c r="E65" s="419" t="n"/>
      <c r="F65" s="419" t="n"/>
      <c r="G65" s="427" t="n"/>
      <c r="H65" s="419" t="n"/>
      <c r="I65" s="419" t="n"/>
      <c r="J65" s="419" t="n"/>
      <c r="K65" s="310" t="n"/>
      <c r="L65" s="310" t="n"/>
    </row>
    <row r="66" ht="24" customHeight="1">
      <c r="A66" s="421" t="n"/>
      <c r="B66" s="421" t="n"/>
      <c r="C66" s="421" t="n"/>
      <c r="D66" s="421" t="n"/>
      <c r="E66" s="421" t="n"/>
      <c r="F66" s="421" t="n"/>
      <c r="G66" s="427" t="n"/>
      <c r="H66" s="421" t="n"/>
      <c r="I66" s="421" t="n"/>
      <c r="J66" s="421" t="n"/>
      <c r="K66" s="313" t="n"/>
      <c r="L66" s="313" t="n"/>
    </row>
    <row r="67" ht="42" customHeight="1">
      <c r="A67" s="419" t="n"/>
      <c r="B67" s="310" t="n"/>
      <c r="C67" s="310" t="n"/>
      <c r="D67" s="419" t="n"/>
      <c r="E67" s="419" t="n"/>
      <c r="F67" s="419" t="n"/>
      <c r="G67" s="427" t="n"/>
      <c r="H67" s="419" t="n"/>
      <c r="I67" s="419" t="n"/>
      <c r="J67" s="419" t="n"/>
      <c r="K67" s="310" t="n"/>
      <c r="L67" s="310" t="n"/>
    </row>
    <row r="68" ht="18" customHeight="1">
      <c r="A68" s="314" t="n"/>
      <c r="B68" s="314" t="n"/>
      <c r="C68" s="314" t="n"/>
      <c r="D68" s="314" t="n"/>
      <c r="E68" s="314" t="n"/>
      <c r="F68" s="314" t="n"/>
      <c r="G68" s="314" t="n"/>
      <c r="H68" s="314" t="n"/>
      <c r="I68" s="314" t="n"/>
      <c r="J68" s="314" t="n"/>
      <c r="K68" s="314" t="n"/>
      <c r="L68" s="314" t="n"/>
    </row>
    <row r="69" ht="22" customHeight="1">
      <c r="A69" s="439" t="inlineStr">
        <is>
          <t>Guidance timeline block 2</t>
        </is>
      </c>
      <c r="B69" s="308" t="n"/>
      <c r="C69" s="308" t="n"/>
      <c r="D69" s="308" t="n"/>
      <c r="E69" s="308" t="n"/>
      <c r="F69" s="308" t="n"/>
      <c r="G69" s="308" t="n"/>
      <c r="H69" s="308" t="n"/>
      <c r="I69" s="308" t="n"/>
      <c r="J69" s="308" t="n"/>
      <c r="K69" s="308" t="n"/>
      <c r="L69" s="308" t="n"/>
    </row>
    <row r="70" ht="22" customHeight="1">
      <c r="A70" s="420" t="inlineStr">
        <is>
          <t>Metric</t>
        </is>
      </c>
      <c r="B70" s="420" t="inlineStr">
        <is>
          <t>Previous guide</t>
        </is>
      </c>
      <c r="C70" s="420" t="inlineStr">
        <is>
          <t>New/current guide</t>
        </is>
      </c>
      <c r="D70" s="420" t="inlineStr">
        <is>
          <t>Change type</t>
        </is>
      </c>
      <c r="E70" s="420" t="inlineStr">
        <is>
          <t>Actual</t>
        </is>
      </c>
      <c r="F70" s="420" t="inlineStr">
        <is>
          <t>Progress / run-rate</t>
        </is>
      </c>
      <c r="G70" s="420" t="inlineStr">
        <is>
          <t>Status</t>
        </is>
      </c>
      <c r="H70" s="420" t="inlineStr">
        <is>
          <t>Horizon</t>
        </is>
      </c>
      <c r="I70" s="420" t="inlineStr">
        <is>
          <t>Stated in</t>
        </is>
      </c>
      <c r="J70" s="420" t="inlineStr">
        <is>
          <t>Source date</t>
        </is>
      </c>
      <c r="K70" s="440" t="inlineStr">
        <is>
          <t>Source / note</t>
        </is>
      </c>
      <c r="L70" s="308" t="n"/>
    </row>
    <row r="71" ht="24" customHeight="1">
      <c r="A71" s="419" t="n"/>
      <c r="B71" s="419" t="n"/>
      <c r="C71" s="419" t="n"/>
      <c r="D71" s="419" t="n"/>
      <c r="E71" s="419" t="n"/>
      <c r="F71" s="419" t="n"/>
      <c r="G71" s="547" t="n"/>
      <c r="H71" s="419" t="n"/>
      <c r="I71" s="419" t="n"/>
      <c r="J71" s="419" t="n"/>
      <c r="K71" s="310" t="n"/>
      <c r="L71" s="310" t="n"/>
    </row>
    <row r="72" ht="24" customHeight="1">
      <c r="A72" s="421" t="n"/>
      <c r="B72" s="421" t="n"/>
      <c r="C72" s="421" t="n"/>
      <c r="D72" s="421" t="n"/>
      <c r="E72" s="421" t="n"/>
      <c r="F72" s="421" t="n"/>
      <c r="G72" s="547" t="n"/>
      <c r="H72" s="421" t="n"/>
      <c r="I72" s="421" t="n"/>
      <c r="J72" s="421" t="n"/>
      <c r="K72" s="313" t="n"/>
      <c r="L72" s="313" t="n"/>
    </row>
    <row r="73" ht="24" customHeight="1">
      <c r="A73" s="419" t="n"/>
      <c r="B73" s="419" t="n"/>
      <c r="C73" s="419" t="n"/>
      <c r="D73" s="419" t="n"/>
      <c r="E73" s="419" t="n"/>
      <c r="F73" s="419" t="n"/>
      <c r="G73" s="547" t="n"/>
      <c r="H73" s="419" t="n"/>
      <c r="I73" s="419" t="n"/>
      <c r="J73" s="419" t="n"/>
      <c r="K73" s="310" t="n"/>
      <c r="L73" s="310" t="n"/>
    </row>
    <row r="74" ht="24" customHeight="1">
      <c r="A74" s="421" t="n"/>
      <c r="B74" s="421" t="n"/>
      <c r="C74" s="421" t="n"/>
      <c r="D74" s="421" t="n"/>
      <c r="E74" s="421" t="n"/>
      <c r="F74" s="421" t="n"/>
      <c r="G74" s="547" t="n"/>
      <c r="H74" s="421" t="n"/>
      <c r="I74" s="421" t="n"/>
      <c r="J74" s="421" t="n"/>
      <c r="K74" s="313" t="n"/>
      <c r="L74" s="313" t="n"/>
    </row>
    <row r="75" ht="18" customHeight="1">
      <c r="A75" s="314" t="n"/>
      <c r="B75" s="314" t="n"/>
      <c r="C75" s="314" t="n"/>
      <c r="D75" s="314" t="n"/>
      <c r="E75" s="314" t="n"/>
      <c r="F75" s="314" t="n"/>
      <c r="G75" s="314" t="n"/>
      <c r="H75" s="314" t="n"/>
      <c r="I75" s="314" t="n"/>
      <c r="J75" s="314" t="n"/>
      <c r="K75" s="314" t="n"/>
      <c r="L75" s="314" t="n"/>
    </row>
    <row r="76" ht="22" customHeight="1">
      <c r="A76" s="439" t="inlineStr">
        <is>
          <t>Guidance timeline block 3</t>
        </is>
      </c>
      <c r="B76" s="308" t="n"/>
      <c r="C76" s="308" t="n"/>
      <c r="D76" s="308" t="n"/>
      <c r="E76" s="308" t="n"/>
      <c r="F76" s="308" t="n"/>
      <c r="G76" s="308" t="n"/>
      <c r="H76" s="308" t="n"/>
      <c r="I76" s="308" t="n"/>
      <c r="J76" s="308" t="n"/>
      <c r="K76" s="308" t="n"/>
      <c r="L76" s="308" t="n"/>
    </row>
    <row r="77" ht="22" customHeight="1">
      <c r="A77" s="420" t="inlineStr">
        <is>
          <t>Metric</t>
        </is>
      </c>
      <c r="B77" s="420" t="inlineStr">
        <is>
          <t>Previous guide</t>
        </is>
      </c>
      <c r="C77" s="420" t="inlineStr">
        <is>
          <t>New/current guide</t>
        </is>
      </c>
      <c r="D77" s="420" t="inlineStr">
        <is>
          <t>Change type</t>
        </is>
      </c>
      <c r="E77" s="420" t="inlineStr">
        <is>
          <t>Actual</t>
        </is>
      </c>
      <c r="F77" s="420" t="inlineStr">
        <is>
          <t>Progress / run-rate</t>
        </is>
      </c>
      <c r="G77" s="420" t="inlineStr">
        <is>
          <t>Status</t>
        </is>
      </c>
      <c r="H77" s="420" t="inlineStr">
        <is>
          <t>Horizon</t>
        </is>
      </c>
      <c r="I77" s="420" t="inlineStr">
        <is>
          <t>Stated in</t>
        </is>
      </c>
      <c r="J77" s="420" t="inlineStr">
        <is>
          <t>Source date</t>
        </is>
      </c>
      <c r="K77" s="440" t="inlineStr">
        <is>
          <t>Source / note</t>
        </is>
      </c>
      <c r="L77" s="308" t="n"/>
    </row>
    <row r="78" ht="24" customHeight="1">
      <c r="A78" s="419" t="n"/>
      <c r="B78" s="419" t="n"/>
      <c r="C78" s="419" t="n"/>
      <c r="D78" s="419" t="n"/>
      <c r="E78" s="419" t="n"/>
      <c r="F78" s="419" t="n"/>
      <c r="G78" s="547" t="n"/>
      <c r="H78" s="419" t="n"/>
      <c r="I78" s="419" t="n"/>
      <c r="J78" s="419" t="n"/>
      <c r="K78" s="310" t="n"/>
      <c r="L78" s="310" t="n"/>
    </row>
    <row r="79" ht="24" customHeight="1">
      <c r="A79" s="421" t="n"/>
      <c r="B79" s="421" t="n"/>
      <c r="C79" s="421" t="n"/>
      <c r="D79" s="421" t="n"/>
      <c r="E79" s="421" t="n"/>
      <c r="F79" s="421" t="n"/>
      <c r="G79" s="547" t="n"/>
      <c r="H79" s="421" t="n"/>
      <c r="I79" s="421" t="n"/>
      <c r="J79" s="421" t="n"/>
      <c r="K79" s="313" t="n"/>
      <c r="L79" s="313" t="n"/>
    </row>
    <row r="80" ht="24" customHeight="1">
      <c r="A80" s="419" t="n"/>
      <c r="B80" s="419" t="n"/>
      <c r="C80" s="419" t="n"/>
      <c r="D80" s="419" t="n"/>
      <c r="E80" s="419" t="n"/>
      <c r="F80" s="419" t="n"/>
      <c r="G80" s="547" t="n"/>
      <c r="H80" s="419" t="n"/>
      <c r="I80" s="419" t="n"/>
      <c r="J80" s="419" t="n"/>
      <c r="K80" s="310" t="n"/>
      <c r="L80" s="310" t="n"/>
    </row>
    <row r="81" ht="24" customHeight="1">
      <c r="A81" s="421" t="n"/>
      <c r="B81" s="421" t="n"/>
      <c r="C81" s="421" t="n"/>
      <c r="D81" s="421" t="n"/>
      <c r="E81" s="421" t="n"/>
      <c r="F81" s="421" t="n"/>
      <c r="G81" s="547" t="n"/>
      <c r="H81" s="421" t="n"/>
      <c r="I81" s="421" t="n"/>
      <c r="J81" s="421" t="n"/>
      <c r="K81" s="313" t="n"/>
      <c r="L81" s="313" t="n"/>
    </row>
    <row r="82" ht="24" customHeight="1">
      <c r="A82" s="419" t="n"/>
      <c r="B82" s="419" t="n"/>
      <c r="C82" s="419" t="n"/>
      <c r="D82" s="419" t="n"/>
      <c r="E82" s="419" t="n"/>
      <c r="F82" s="419" t="n"/>
      <c r="G82" s="547" t="n"/>
      <c r="H82" s="419" t="n"/>
      <c r="I82" s="419" t="n"/>
      <c r="J82" s="419" t="n"/>
      <c r="K82" s="310" t="n"/>
      <c r="L82" s="310" t="n"/>
    </row>
    <row r="83" ht="24" customHeight="1">
      <c r="A83" s="421" t="n"/>
      <c r="B83" s="421" t="n"/>
      <c r="C83" s="421" t="n"/>
      <c r="D83" s="421" t="n"/>
      <c r="E83" s="421" t="n"/>
      <c r="F83" s="421" t="n"/>
      <c r="G83" s="547" t="n"/>
      <c r="H83" s="421" t="n"/>
      <c r="I83" s="421" t="n"/>
      <c r="J83" s="421" t="n"/>
      <c r="K83" s="313" t="n"/>
      <c r="L83" s="313" t="n"/>
    </row>
    <row r="84" ht="22" customHeight="1">
      <c r="A84" s="439" t="inlineStr">
        <is>
          <t>Guidance timeline block 4</t>
        </is>
      </c>
      <c r="B84" s="308" t="n"/>
      <c r="C84" s="308" t="n"/>
      <c r="D84" s="308" t="n"/>
      <c r="E84" s="308" t="n"/>
      <c r="F84" s="308" t="n"/>
      <c r="G84" s="308" t="n"/>
      <c r="H84" s="308" t="n"/>
      <c r="I84" s="308" t="n"/>
      <c r="J84" s="308" t="n"/>
      <c r="K84" s="308" t="n"/>
      <c r="L84" s="308" t="n"/>
    </row>
    <row r="85" ht="22" customHeight="1">
      <c r="A85" s="420" t="inlineStr">
        <is>
          <t>Metric</t>
        </is>
      </c>
      <c r="B85" s="420" t="inlineStr">
        <is>
          <t>Previous guide</t>
        </is>
      </c>
      <c r="C85" s="420" t="inlineStr">
        <is>
          <t>New/current guide</t>
        </is>
      </c>
      <c r="D85" s="420" t="inlineStr">
        <is>
          <t>Change type</t>
        </is>
      </c>
      <c r="E85" s="420" t="inlineStr">
        <is>
          <t>Actual</t>
        </is>
      </c>
      <c r="F85" s="420" t="inlineStr">
        <is>
          <t>Progress / run-rate</t>
        </is>
      </c>
      <c r="G85" s="420" t="inlineStr">
        <is>
          <t>Status</t>
        </is>
      </c>
      <c r="H85" s="420" t="inlineStr">
        <is>
          <t>Horizon</t>
        </is>
      </c>
      <c r="I85" s="420" t="inlineStr">
        <is>
          <t>Stated in</t>
        </is>
      </c>
      <c r="J85" s="420" t="inlineStr">
        <is>
          <t>Source date</t>
        </is>
      </c>
      <c r="K85" s="440" t="inlineStr">
        <is>
          <t>Source / note</t>
        </is>
      </c>
      <c r="L85" s="308" t="n"/>
    </row>
    <row r="86" ht="24" customHeight="1">
      <c r="A86" s="419" t="n"/>
      <c r="B86" s="419" t="n"/>
      <c r="C86" s="419" t="n"/>
      <c r="D86" s="419" t="n"/>
      <c r="E86" s="419" t="n"/>
      <c r="F86" s="419" t="n"/>
      <c r="G86" s="547" t="n"/>
      <c r="H86" s="419" t="n"/>
      <c r="I86" s="419" t="n"/>
      <c r="J86" s="419" t="n"/>
      <c r="K86" s="310" t="n"/>
      <c r="L86" s="310" t="n"/>
    </row>
    <row r="87" ht="24" customHeight="1">
      <c r="A87" s="421" t="n"/>
      <c r="B87" s="421" t="n"/>
      <c r="C87" s="421" t="n"/>
      <c r="D87" s="421" t="n"/>
      <c r="E87" s="421" t="n"/>
      <c r="F87" s="421" t="n"/>
      <c r="G87" s="547" t="n"/>
      <c r="H87" s="421" t="n"/>
      <c r="I87" s="421" t="n"/>
      <c r="J87" s="421" t="n"/>
      <c r="K87" s="313" t="n"/>
      <c r="L87" s="313" t="n"/>
    </row>
    <row r="88" ht="24" customHeight="1">
      <c r="A88" s="419" t="n"/>
      <c r="B88" s="419" t="n"/>
      <c r="C88" s="419" t="n"/>
      <c r="D88" s="419" t="n"/>
      <c r="E88" s="419" t="n"/>
      <c r="F88" s="419" t="n"/>
      <c r="G88" s="547" t="n"/>
      <c r="H88" s="419" t="n"/>
      <c r="I88" s="419" t="n"/>
      <c r="J88" s="419" t="n"/>
      <c r="K88" s="310" t="n"/>
      <c r="L88" s="310" t="n"/>
    </row>
    <row r="89" ht="18" customHeight="1">
      <c r="A89" s="314" t="n"/>
      <c r="B89" s="314" t="n"/>
      <c r="C89" s="314" t="n"/>
      <c r="D89" s="314" t="n"/>
      <c r="E89" s="314" t="n"/>
      <c r="F89" s="314" t="n"/>
      <c r="G89" s="314" t="n"/>
      <c r="H89" s="314" t="n"/>
      <c r="I89" s="314" t="n"/>
      <c r="J89" s="314" t="n"/>
      <c r="K89" s="314" t="n"/>
      <c r="L89" s="314" t="n"/>
    </row>
    <row r="90" ht="22" customHeight="1">
      <c r="A90" s="439" t="inlineStr">
        <is>
          <t>Guidance timeline block 5</t>
        </is>
      </c>
      <c r="B90" s="308" t="n"/>
      <c r="C90" s="308" t="n"/>
      <c r="D90" s="308" t="n"/>
      <c r="E90" s="308" t="n"/>
      <c r="F90" s="308" t="n"/>
      <c r="G90" s="308" t="n"/>
      <c r="H90" s="308" t="n"/>
      <c r="I90" s="308" t="n"/>
      <c r="J90" s="308" t="n"/>
      <c r="K90" s="308" t="n"/>
      <c r="L90" s="308" t="n"/>
    </row>
    <row r="91" ht="22" customHeight="1">
      <c r="A91" s="420" t="inlineStr">
        <is>
          <t>Metric</t>
        </is>
      </c>
      <c r="B91" s="420" t="inlineStr">
        <is>
          <t>Previous guide</t>
        </is>
      </c>
      <c r="C91" s="420" t="inlineStr">
        <is>
          <t>New/current guide</t>
        </is>
      </c>
      <c r="D91" s="420" t="inlineStr">
        <is>
          <t>Change type</t>
        </is>
      </c>
      <c r="E91" s="420" t="inlineStr">
        <is>
          <t>Actual</t>
        </is>
      </c>
      <c r="F91" s="420" t="inlineStr">
        <is>
          <t>Progress / run-rate</t>
        </is>
      </c>
      <c r="G91" s="420" t="inlineStr">
        <is>
          <t>Status</t>
        </is>
      </c>
      <c r="H91" s="420" t="inlineStr">
        <is>
          <t>Horizon</t>
        </is>
      </c>
      <c r="I91" s="420" t="inlineStr">
        <is>
          <t>Stated in</t>
        </is>
      </c>
      <c r="J91" s="420" t="inlineStr">
        <is>
          <t>Source date</t>
        </is>
      </c>
      <c r="K91" s="440" t="inlineStr">
        <is>
          <t>Source / note</t>
        </is>
      </c>
      <c r="L91" s="308" t="n"/>
    </row>
    <row r="92" ht="24" customHeight="1">
      <c r="A92" s="419" t="n"/>
      <c r="B92" s="419" t="n"/>
      <c r="C92" s="419" t="n"/>
      <c r="D92" s="419" t="n"/>
      <c r="E92" s="419" t="n"/>
      <c r="F92" s="419" t="n"/>
      <c r="G92" s="547" t="n"/>
      <c r="H92" s="419" t="n"/>
      <c r="I92" s="419" t="n"/>
      <c r="J92" s="419" t="n"/>
      <c r="K92" s="310" t="n"/>
      <c r="L92" s="310" t="n"/>
    </row>
    <row r="93" ht="24" customHeight="1">
      <c r="A93" s="421" t="n"/>
      <c r="B93" s="421" t="n"/>
      <c r="C93" s="421" t="n"/>
      <c r="D93" s="421" t="n"/>
      <c r="E93" s="421" t="n"/>
      <c r="F93" s="421" t="n"/>
      <c r="G93" s="547" t="n"/>
      <c r="H93" s="421" t="n"/>
      <c r="I93" s="421" t="n"/>
      <c r="J93" s="421" t="n"/>
      <c r="K93" s="313" t="n"/>
      <c r="L93" s="313" t="n"/>
    </row>
    <row r="94" ht="24" customHeight="1">
      <c r="A94" s="419" t="n"/>
      <c r="B94" s="419" t="n"/>
      <c r="C94" s="419" t="n"/>
      <c r="D94" s="419" t="n"/>
      <c r="E94" s="419" t="n"/>
      <c r="F94" s="419" t="n"/>
      <c r="G94" s="547" t="n"/>
      <c r="H94" s="419" t="n"/>
      <c r="I94" s="419" t="n"/>
      <c r="J94" s="419" t="n"/>
      <c r="K94" s="310" t="n"/>
      <c r="L94" s="310" t="n"/>
    </row>
    <row r="95" ht="24" customHeight="1">
      <c r="A95" s="421" t="n"/>
      <c r="B95" s="421" t="n"/>
      <c r="C95" s="421" t="n"/>
      <c r="D95" s="421" t="n"/>
      <c r="E95" s="421" t="n"/>
      <c r="F95" s="421" t="n"/>
      <c r="G95" s="547" t="n"/>
      <c r="H95" s="421" t="n"/>
      <c r="I95" s="421" t="n"/>
      <c r="J95" s="421" t="n"/>
      <c r="K95" s="313" t="n"/>
      <c r="L95" s="313" t="n"/>
    </row>
    <row r="96" ht="18" customHeight="1">
      <c r="A96" s="314" t="n"/>
      <c r="B96" s="314" t="n"/>
      <c r="C96" s="314" t="n"/>
      <c r="D96" s="314" t="n"/>
      <c r="E96" s="314" t="n"/>
      <c r="F96" s="314" t="n"/>
      <c r="G96" s="314" t="n"/>
      <c r="H96" s="314" t="n"/>
      <c r="I96" s="314" t="n"/>
      <c r="J96" s="314" t="n"/>
      <c r="K96" s="314" t="n"/>
      <c r="L96" s="314" t="n"/>
    </row>
    <row r="97" ht="22" customHeight="1">
      <c r="A97" s="439" t="inlineStr">
        <is>
          <t>Guidance timeline block 6</t>
        </is>
      </c>
      <c r="B97" s="308" t="n"/>
      <c r="C97" s="308" t="n"/>
      <c r="D97" s="308" t="n"/>
      <c r="E97" s="308" t="n"/>
      <c r="F97" s="308" t="n"/>
      <c r="G97" s="308" t="n"/>
      <c r="H97" s="308" t="n"/>
      <c r="I97" s="308" t="n"/>
      <c r="J97" s="308" t="n"/>
      <c r="K97" s="308" t="n"/>
      <c r="L97" s="308" t="n"/>
    </row>
    <row r="98" ht="22" customHeight="1">
      <c r="A98" s="420" t="inlineStr">
        <is>
          <t>Metric</t>
        </is>
      </c>
      <c r="B98" s="420" t="inlineStr">
        <is>
          <t>Previous guide</t>
        </is>
      </c>
      <c r="C98" s="420" t="inlineStr">
        <is>
          <t>New/current guide</t>
        </is>
      </c>
      <c r="D98" s="420" t="inlineStr">
        <is>
          <t>Change type</t>
        </is>
      </c>
      <c r="E98" s="420" t="inlineStr">
        <is>
          <t>Actual</t>
        </is>
      </c>
      <c r="F98" s="420" t="inlineStr">
        <is>
          <t>Progress / run-rate</t>
        </is>
      </c>
      <c r="G98" s="420" t="inlineStr">
        <is>
          <t>Status</t>
        </is>
      </c>
      <c r="H98" s="420" t="inlineStr">
        <is>
          <t>Horizon</t>
        </is>
      </c>
      <c r="I98" s="420" t="inlineStr">
        <is>
          <t>Stated in</t>
        </is>
      </c>
      <c r="J98" s="420" t="inlineStr">
        <is>
          <t>Source date</t>
        </is>
      </c>
      <c r="K98" s="440" t="inlineStr">
        <is>
          <t>Source / note</t>
        </is>
      </c>
      <c r="L98" s="308" t="n"/>
    </row>
    <row r="99" ht="24" customHeight="1">
      <c r="A99" s="419" t="n"/>
      <c r="B99" s="419" t="n"/>
      <c r="C99" s="419" t="n"/>
      <c r="D99" s="419" t="n"/>
      <c r="E99" s="419" t="n"/>
      <c r="F99" s="419" t="n"/>
      <c r="G99" s="547" t="n"/>
      <c r="H99" s="419" t="n"/>
      <c r="I99" s="419" t="n"/>
      <c r="J99" s="419" t="n"/>
      <c r="K99" s="310" t="n"/>
      <c r="L99" s="310" t="n"/>
    </row>
    <row r="100" ht="24" customHeight="1">
      <c r="A100" s="421" t="n"/>
      <c r="B100" s="421" t="n"/>
      <c r="C100" s="421" t="n"/>
      <c r="D100" s="421" t="n"/>
      <c r="E100" s="421" t="n"/>
      <c r="F100" s="421" t="n"/>
      <c r="G100" s="547" t="n"/>
      <c r="H100" s="421" t="n"/>
      <c r="I100" s="421" t="n"/>
      <c r="J100" s="421" t="n"/>
      <c r="K100" s="313" t="n"/>
      <c r="L100" s="313" t="n"/>
    </row>
    <row r="101" ht="24" customHeight="1">
      <c r="A101" s="419" t="n"/>
      <c r="B101" s="419" t="n"/>
      <c r="C101" s="419" t="n"/>
      <c r="D101" s="419" t="n"/>
      <c r="E101" s="419" t="n"/>
      <c r="F101" s="419" t="n"/>
      <c r="G101" s="547" t="n"/>
      <c r="H101" s="419" t="n"/>
      <c r="I101" s="419" t="n"/>
      <c r="J101" s="419" t="n"/>
      <c r="K101" s="310" t="n"/>
      <c r="L101" s="310" t="n"/>
    </row>
    <row r="102" ht="24" customHeight="1">
      <c r="A102" s="421" t="n"/>
      <c r="B102" s="421" t="n"/>
      <c r="C102" s="421" t="n"/>
      <c r="D102" s="421" t="n"/>
      <c r="E102" s="421" t="n"/>
      <c r="F102" s="421" t="n"/>
      <c r="G102" s="547" t="n"/>
      <c r="H102" s="421" t="n"/>
      <c r="I102" s="421" t="n"/>
      <c r="J102" s="421" t="n"/>
      <c r="K102" s="313" t="n"/>
      <c r="L102" s="313" t="n"/>
    </row>
    <row r="103" ht="24" customHeight="1"/>
    <row r="104" ht="24" customHeight="1"/>
    <row r="105" ht="24" customHeight="1"/>
    <row r="106" ht="22" customHeight="1"/>
    <row r="107" ht="22" customHeight="1"/>
    <row r="108" ht="24" customHeight="1"/>
    <row r="109" ht="22" customHeight="1"/>
    <row r="110" ht="24" customHeight="1"/>
    <row r="111" ht="24" customHeight="1"/>
    <row r="112" ht="24" customHeight="1"/>
    <row r="113" ht="22" customHeight="1"/>
    <row r="114" ht="22" customHeight="1"/>
    <row r="115"/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mergeCells count="66">
    <mergeCell ref="E43:L43"/>
    <mergeCell ref="E50:L50"/>
    <mergeCell ref="I14:L14"/>
    <mergeCell ref="E56:L56"/>
    <mergeCell ref="I17:L17"/>
    <mergeCell ref="C8:F8"/>
    <mergeCell ref="A90:L90"/>
    <mergeCell ref="G6:L6"/>
    <mergeCell ref="A37:L37"/>
    <mergeCell ref="I35:L35"/>
    <mergeCell ref="A84:L84"/>
    <mergeCell ref="I20:L20"/>
    <mergeCell ref="E42:L42"/>
    <mergeCell ref="E55:L55"/>
    <mergeCell ref="C7:F7"/>
    <mergeCell ref="I29:L29"/>
    <mergeCell ref="E52:L52"/>
    <mergeCell ref="A69:L69"/>
    <mergeCell ref="A3:L3"/>
    <mergeCell ref="I19:L19"/>
    <mergeCell ref="E39:L39"/>
    <mergeCell ref="K60:L60"/>
    <mergeCell ref="I13:L13"/>
    <mergeCell ref="E48:L48"/>
    <mergeCell ref="G5:L5"/>
    <mergeCell ref="E44:L44"/>
    <mergeCell ref="K91:L91"/>
    <mergeCell ref="I31:L31"/>
    <mergeCell ref="A76:L76"/>
    <mergeCell ref="E51:L51"/>
    <mergeCell ref="A33:L33"/>
    <mergeCell ref="K85:L85"/>
    <mergeCell ref="I34:L34"/>
    <mergeCell ref="E38:L38"/>
    <mergeCell ref="C6:F6"/>
    <mergeCell ref="I30:L30"/>
    <mergeCell ref="A97:L97"/>
    <mergeCell ref="I15:L15"/>
    <mergeCell ref="A22:L22"/>
    <mergeCell ref="C5:F5"/>
    <mergeCell ref="E40:L40"/>
    <mergeCell ref="I26:L26"/>
    <mergeCell ref="K77:L77"/>
    <mergeCell ref="A28:L28"/>
    <mergeCell ref="E49:L49"/>
    <mergeCell ref="E46:L46"/>
    <mergeCell ref="G9:L9"/>
    <mergeCell ref="I16:L16"/>
    <mergeCell ref="A58:L58"/>
    <mergeCell ref="K98:L98"/>
    <mergeCell ref="I25:L25"/>
    <mergeCell ref="E45:L45"/>
    <mergeCell ref="K70:L70"/>
    <mergeCell ref="A59:L59"/>
    <mergeCell ref="C9:F9"/>
    <mergeCell ref="I18:L18"/>
    <mergeCell ref="A11:L11"/>
    <mergeCell ref="E41:L41"/>
    <mergeCell ref="E54:L54"/>
    <mergeCell ref="A1:L1"/>
    <mergeCell ref="I12:L12"/>
    <mergeCell ref="G8:L8"/>
    <mergeCell ref="I24:L24"/>
    <mergeCell ref="E53:L53"/>
    <mergeCell ref="G7:L7"/>
    <mergeCell ref="I23:L2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5000"/>
  <sheetViews>
    <sheetView zoomScale="110" workbookViewId="0">
      <pane ySplit="1" topLeftCell="A2" activePane="bottomLeft" state="frozen"/>
      <selection pane="bottomLeft" activeCell="A1" sqref="A1"/>
    </sheetView>
  </sheetViews>
  <sheetFormatPr baseColWidth="8" defaultRowHeight="18"/>
  <cols>
    <col width="24" customWidth="1" min="1" max="1"/>
    <col width="9" customWidth="1" min="2" max="2"/>
    <col width="30" customWidth="1" min="3" max="3"/>
    <col width="24" customWidth="1" min="4" max="4"/>
    <col width="20" customWidth="1" min="5" max="5"/>
    <col width="32" customWidth="1" min="6" max="6"/>
    <col width="56" customWidth="1" min="7" max="7"/>
    <col width="42" customWidth="1" min="8" max="8"/>
    <col width="16" customWidth="1" min="9" max="9"/>
    <col width="22" customWidth="1" min="10" max="10"/>
    <col width="16" customWidth="1" min="11" max="11"/>
    <col width="34" customWidth="1" min="12" max="12"/>
  </cols>
  <sheetData>
    <row r="1" ht="30" customHeight="1">
      <c r="A1" s="548" t="inlineStr">
        <is>
          <t>issue_id</t>
        </is>
      </c>
      <c r="B1" s="548" t="inlineStr">
        <is>
          <t>severity</t>
        </is>
      </c>
      <c r="C1" s="548" t="inlineStr">
        <is>
          <t>rule_id</t>
        </is>
      </c>
      <c r="D1" s="548" t="inlineStr">
        <is>
          <t>issue_type</t>
        </is>
      </c>
      <c r="E1" s="548" t="inlineStr">
        <is>
          <t>section</t>
        </is>
      </c>
      <c r="F1" s="548" t="inlineStr">
        <is>
          <t>root_cause</t>
        </is>
      </c>
      <c r="G1" s="548" t="inlineStr">
        <is>
          <t>message</t>
        </is>
      </c>
      <c r="H1" s="548" t="inlineStr">
        <is>
          <t>suggested_action</t>
        </is>
      </c>
      <c r="I1" s="548" t="inlineStr">
        <is>
          <t>occurrence_count</t>
        </is>
      </c>
      <c r="J1" s="548" t="inlineStr">
        <is>
          <t>visibility_disposition</t>
        </is>
      </c>
      <c r="K1" s="548" t="inlineStr">
        <is>
          <t>promotion_blocking</t>
        </is>
      </c>
      <c r="L1" s="548" t="inlineStr">
        <is>
          <t>detail_ref</t>
        </is>
      </c>
    </row>
    <row r="2">
      <c r="A2" s="324" t="n"/>
      <c r="B2" s="22" t="n"/>
      <c r="C2" s="22" t="n"/>
      <c r="D2" s="22" t="n"/>
      <c r="E2" s="22" t="n"/>
      <c r="F2" s="22" t="n"/>
      <c r="G2" s="22" t="n"/>
      <c r="H2" s="22" t="n"/>
      <c r="I2" s="22" t="n"/>
      <c r="J2" s="22" t="n"/>
      <c r="K2" s="22" t="n"/>
    </row>
    <row r="3">
      <c r="A3" s="324" t="n"/>
      <c r="B3" s="22" t="n"/>
      <c r="C3" s="22" t="n"/>
      <c r="D3" s="22" t="n"/>
      <c r="E3" s="22" t="n"/>
      <c r="F3" s="22" t="n"/>
      <c r="G3" s="22" t="n"/>
      <c r="H3" s="22" t="n"/>
      <c r="I3" s="22" t="n"/>
      <c r="J3" s="22" t="n"/>
      <c r="K3" s="22" t="n"/>
    </row>
    <row r="4">
      <c r="A4" s="324" t="n"/>
      <c r="B4" s="22" t="n"/>
      <c r="C4" s="22" t="n"/>
      <c r="D4" s="22" t="n"/>
      <c r="E4" s="22" t="n"/>
      <c r="F4" s="22" t="n"/>
      <c r="G4" s="22" t="n"/>
      <c r="H4" s="22" t="n"/>
      <c r="I4" s="22" t="n"/>
      <c r="J4" s="22" t="n"/>
      <c r="K4" s="22" t="n"/>
    </row>
    <row r="5">
      <c r="A5" s="324" t="n"/>
      <c r="B5" s="22" t="n"/>
      <c r="C5" s="22" t="n"/>
      <c r="D5" s="22" t="n"/>
      <c r="E5" s="22" t="n"/>
      <c r="F5" s="22" t="n"/>
      <c r="G5" s="22" t="n"/>
      <c r="H5" s="22" t="n"/>
      <c r="I5" s="22" t="n"/>
      <c r="J5" s="22" t="n"/>
      <c r="K5" s="22" t="n"/>
    </row>
    <row r="6">
      <c r="A6" s="324" t="n"/>
      <c r="B6" s="22" t="n"/>
      <c r="C6" s="22" t="n"/>
      <c r="D6" s="22" t="n"/>
      <c r="E6" s="22" t="n"/>
      <c r="F6" s="22" t="n"/>
      <c r="G6" s="22" t="n"/>
      <c r="H6" s="22" t="n"/>
      <c r="I6" s="22" t="n"/>
      <c r="J6" s="22" t="n"/>
      <c r="K6" s="22" t="n"/>
    </row>
    <row r="7">
      <c r="A7" s="324" t="n"/>
      <c r="B7" s="22" t="n"/>
      <c r="C7" s="22" t="n"/>
      <c r="D7" s="22" t="n"/>
      <c r="E7" s="22" t="n"/>
      <c r="F7" s="22" t="n"/>
      <c r="G7" s="22" t="n"/>
      <c r="H7" s="22" t="n"/>
      <c r="I7" s="22" t="n"/>
      <c r="J7" s="22" t="n"/>
      <c r="K7" s="22" t="n"/>
    </row>
    <row r="8">
      <c r="A8" s="324" t="n"/>
      <c r="B8" s="22" t="n"/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</row>
    <row r="9">
      <c r="A9" s="324" t="n"/>
      <c r="B9" s="22" t="n"/>
      <c r="C9" s="22" t="n"/>
      <c r="D9" s="22" t="n"/>
      <c r="E9" s="22" t="n"/>
      <c r="F9" s="22" t="n"/>
      <c r="G9" s="22" t="n"/>
      <c r="H9" s="22" t="n"/>
      <c r="I9" s="22" t="n"/>
      <c r="J9" s="22" t="n"/>
      <c r="K9" s="22" t="n"/>
    </row>
    <row r="10">
      <c r="A10" s="324" t="n"/>
      <c r="B10" s="22" t="n"/>
      <c r="C10" s="22" t="n"/>
      <c r="D10" s="22" t="n"/>
      <c r="E10" s="22" t="n"/>
      <c r="F10" s="22" t="n"/>
      <c r="G10" s="22" t="n"/>
      <c r="H10" s="22" t="n"/>
      <c r="I10" s="22" t="n"/>
      <c r="J10" s="22" t="n"/>
      <c r="K10" s="22" t="n"/>
    </row>
    <row r="11">
      <c r="A11" s="324" t="n"/>
      <c r="B11" s="22" t="n"/>
      <c r="C11" s="22" t="n"/>
      <c r="D11" s="22" t="n"/>
      <c r="E11" s="22" t="n"/>
      <c r="F11" s="22" t="n"/>
      <c r="G11" s="22" t="n"/>
      <c r="H11" s="22" t="n"/>
      <c r="I11" s="22" t="n"/>
      <c r="J11" s="22" t="n"/>
      <c r="K11" s="22" t="n"/>
    </row>
    <row r="12">
      <c r="A12" s="324" t="n"/>
      <c r="B12" s="22" t="n"/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</row>
    <row r="13">
      <c r="A13" s="324" t="n"/>
      <c r="B13" s="22" t="n"/>
      <c r="C13" s="22" t="n"/>
      <c r="D13" s="22" t="n"/>
      <c r="E13" s="22" t="n"/>
      <c r="F13" s="22" t="n"/>
      <c r="G13" s="22" t="n"/>
      <c r="H13" s="22" t="n"/>
      <c r="I13" s="22" t="n"/>
      <c r="J13" s="22" t="n"/>
      <c r="K13" s="22" t="n"/>
    </row>
    <row r="14">
      <c r="A14" s="324" t="n"/>
      <c r="B14" s="22" t="n"/>
      <c r="C14" s="22" t="n"/>
      <c r="D14" s="22" t="n"/>
      <c r="E14" s="22" t="n"/>
      <c r="F14" s="22" t="n"/>
      <c r="G14" s="22" t="n"/>
      <c r="H14" s="22" t="n"/>
      <c r="I14" s="22" t="n"/>
      <c r="J14" s="22" t="n"/>
      <c r="K14" s="22" t="n"/>
    </row>
    <row r="15">
      <c r="A15" s="324" t="n"/>
      <c r="B15" s="22" t="n"/>
      <c r="C15" s="22" t="n"/>
      <c r="D15" s="22" t="n"/>
      <c r="E15" s="22" t="n"/>
      <c r="F15" s="22" t="n"/>
      <c r="G15" s="22" t="n"/>
      <c r="H15" s="22" t="n"/>
      <c r="I15" s="22" t="n"/>
      <c r="J15" s="22" t="n"/>
      <c r="K15" s="22" t="n"/>
    </row>
    <row r="16">
      <c r="A16" s="324" t="n"/>
      <c r="B16" s="22" t="n"/>
      <c r="C16" s="22" t="n"/>
      <c r="D16" s="22" t="n"/>
      <c r="E16" s="22" t="n"/>
      <c r="F16" s="22" t="n"/>
      <c r="G16" s="22" t="n"/>
      <c r="H16" s="22" t="n"/>
      <c r="I16" s="22" t="n"/>
      <c r="J16" s="22" t="n"/>
      <c r="K16" s="22" t="n"/>
    </row>
    <row r="17">
      <c r="A17" s="324" t="n"/>
      <c r="B17" s="22" t="n"/>
      <c r="C17" s="22" t="n"/>
      <c r="D17" s="22" t="n"/>
      <c r="E17" s="22" t="n"/>
      <c r="F17" s="22" t="n"/>
      <c r="G17" s="22" t="n"/>
      <c r="H17" s="22" t="n"/>
      <c r="I17" s="22" t="n"/>
      <c r="J17" s="22" t="n"/>
      <c r="K17" s="22" t="n"/>
    </row>
    <row r="18">
      <c r="A18" s="324" t="n"/>
      <c r="B18" s="22" t="n"/>
      <c r="C18" s="22" t="n"/>
      <c r="D18" s="22" t="n"/>
      <c r="E18" s="22" t="n"/>
      <c r="F18" s="22" t="n"/>
      <c r="G18" s="22" t="n"/>
      <c r="H18" s="22" t="n"/>
      <c r="I18" s="22" t="n"/>
      <c r="J18" s="22" t="n"/>
      <c r="K18" s="22" t="n"/>
    </row>
    <row r="19">
      <c r="A19" s="324" t="n"/>
      <c r="B19" s="22" t="n"/>
      <c r="C19" s="22" t="n"/>
      <c r="D19" s="22" t="n"/>
      <c r="E19" s="22" t="n"/>
      <c r="F19" s="22" t="n"/>
      <c r="G19" s="22" t="n"/>
      <c r="H19" s="22" t="n"/>
      <c r="I19" s="22" t="n"/>
      <c r="J19" s="22" t="n"/>
      <c r="K19" s="22" t="n"/>
    </row>
    <row r="20">
      <c r="A20" s="324" t="n"/>
      <c r="B20" s="22" t="n"/>
      <c r="C20" s="22" t="n"/>
      <c r="D20" s="22" t="n"/>
      <c r="E20" s="22" t="n"/>
      <c r="F20" s="22" t="n"/>
      <c r="G20" s="22" t="n"/>
      <c r="H20" s="22" t="n"/>
      <c r="I20" s="22" t="n"/>
      <c r="J20" s="22" t="n"/>
      <c r="K20" s="22" t="n"/>
    </row>
    <row r="21">
      <c r="A21" s="324" t="n"/>
      <c r="B21" s="22" t="n"/>
      <c r="C21" s="22" t="n"/>
      <c r="D21" s="22" t="n"/>
      <c r="E21" s="22" t="n"/>
      <c r="F21" s="22" t="n"/>
      <c r="G21" s="22" t="n"/>
      <c r="H21" s="22" t="n"/>
      <c r="I21" s="22" t="n"/>
      <c r="J21" s="22" t="n"/>
      <c r="K21" s="22" t="n"/>
    </row>
    <row r="22">
      <c r="A22" s="324" t="n"/>
      <c r="B22" s="22" t="n"/>
      <c r="C22" s="22" t="n"/>
      <c r="D22" s="22" t="n"/>
      <c r="E22" s="22" t="n"/>
      <c r="F22" s="22" t="n"/>
      <c r="G22" s="22" t="n"/>
      <c r="H22" s="22" t="n"/>
      <c r="I22" s="22" t="n"/>
      <c r="J22" s="22" t="n"/>
      <c r="K22" s="22" t="n"/>
    </row>
    <row r="23">
      <c r="A23" s="324" t="n"/>
      <c r="B23" s="22" t="n"/>
      <c r="C23" s="22" t="n"/>
      <c r="D23" s="22" t="n"/>
      <c r="E23" s="22" t="n"/>
      <c r="F23" s="22" t="n"/>
      <c r="G23" s="22" t="n"/>
      <c r="H23" s="22" t="n"/>
      <c r="I23" s="22" t="n"/>
      <c r="J23" s="22" t="n"/>
      <c r="K23" s="22" t="n"/>
    </row>
    <row r="24">
      <c r="A24" s="324" t="n"/>
      <c r="B24" s="22" t="n"/>
      <c r="C24" s="22" t="n"/>
      <c r="D24" s="22" t="n"/>
      <c r="E24" s="22" t="n"/>
      <c r="F24" s="22" t="n"/>
      <c r="G24" s="22" t="n"/>
      <c r="H24" s="22" t="n"/>
      <c r="I24" s="22" t="n"/>
      <c r="J24" s="22" t="n"/>
      <c r="K24" s="22" t="n"/>
    </row>
    <row r="25">
      <c r="A25" s="324" t="n"/>
      <c r="B25" s="22" t="n"/>
      <c r="C25" s="22" t="n"/>
      <c r="D25" s="22" t="n"/>
      <c r="E25" s="22" t="n"/>
      <c r="F25" s="22" t="n"/>
      <c r="G25" s="22" t="n"/>
      <c r="H25" s="22" t="n"/>
      <c r="I25" s="22" t="n"/>
      <c r="J25" s="22" t="n"/>
      <c r="K25" s="22" t="n"/>
    </row>
    <row r="26">
      <c r="A26" s="324" t="n"/>
      <c r="B26" s="22" t="n"/>
      <c r="C26" s="22" t="n"/>
      <c r="D26" s="22" t="n"/>
      <c r="E26" s="22" t="n"/>
      <c r="F26" s="22" t="n"/>
      <c r="G26" s="22" t="n"/>
      <c r="H26" s="22" t="n"/>
      <c r="I26" s="22" t="n"/>
      <c r="J26" s="22" t="n"/>
      <c r="K26" s="22" t="n"/>
    </row>
    <row r="27">
      <c r="A27" s="324" t="n"/>
      <c r="B27" s="22" t="n"/>
      <c r="C27" s="22" t="n"/>
      <c r="D27" s="22" t="n"/>
      <c r="E27" s="22" t="n"/>
      <c r="F27" s="22" t="n"/>
      <c r="G27" s="22" t="n"/>
      <c r="H27" s="22" t="n"/>
      <c r="I27" s="22" t="n"/>
      <c r="J27" s="22" t="n"/>
      <c r="K27" s="22" t="n"/>
    </row>
    <row r="28">
      <c r="A28" s="324" t="n"/>
      <c r="B28" s="22" t="n"/>
      <c r="C28" s="22" t="n"/>
      <c r="D28" s="22" t="n"/>
      <c r="E28" s="22" t="n"/>
      <c r="F28" s="22" t="n"/>
      <c r="G28" s="22" t="n"/>
      <c r="H28" s="22" t="n"/>
      <c r="I28" s="22" t="n"/>
      <c r="J28" s="22" t="n"/>
      <c r="K28" s="22" t="n"/>
    </row>
    <row r="29">
      <c r="A29" s="324" t="n"/>
      <c r="B29" s="22" t="n"/>
      <c r="C29" s="22" t="n"/>
      <c r="D29" s="22" t="n"/>
      <c r="E29" s="22" t="n"/>
      <c r="F29" s="22" t="n"/>
      <c r="G29" s="22" t="n"/>
      <c r="H29" s="22" t="n"/>
      <c r="I29" s="22" t="n"/>
      <c r="J29" s="22" t="n"/>
      <c r="K29" s="22" t="n"/>
    </row>
    <row r="30">
      <c r="A30" s="324" t="n"/>
      <c r="B30" s="22" t="n"/>
      <c r="C30" s="22" t="n"/>
      <c r="D30" s="22" t="n"/>
      <c r="E30" s="22" t="n"/>
      <c r="F30" s="22" t="n"/>
      <c r="G30" s="22" t="n"/>
      <c r="H30" s="22" t="n"/>
      <c r="I30" s="22" t="n"/>
      <c r="J30" s="22" t="n"/>
      <c r="K30" s="22" t="n"/>
    </row>
    <row r="31">
      <c r="A31" s="324" t="n"/>
      <c r="B31" s="22" t="n"/>
      <c r="C31" s="22" t="n"/>
      <c r="D31" s="22" t="n"/>
      <c r="E31" s="22" t="n"/>
      <c r="F31" s="22" t="n"/>
      <c r="G31" s="22" t="n"/>
      <c r="H31" s="22" t="n"/>
      <c r="I31" s="22" t="n"/>
      <c r="J31" s="22" t="n"/>
      <c r="K31" s="22" t="n"/>
    </row>
    <row r="32">
      <c r="A32" s="324" t="n"/>
      <c r="B32" s="22" t="n"/>
      <c r="C32" s="22" t="n"/>
      <c r="D32" s="22" t="n"/>
      <c r="E32" s="22" t="n"/>
      <c r="F32" s="22" t="n"/>
      <c r="G32" s="22" t="n"/>
      <c r="H32" s="22" t="n"/>
      <c r="I32" s="22" t="n"/>
      <c r="J32" s="22" t="n"/>
      <c r="K32" s="22" t="n"/>
    </row>
    <row r="33">
      <c r="A33" s="324" t="n"/>
      <c r="B33" s="22" t="n"/>
      <c r="C33" s="22" t="n"/>
      <c r="D33" s="22" t="n"/>
      <c r="E33" s="22" t="n"/>
      <c r="F33" s="22" t="n"/>
      <c r="G33" s="22" t="n"/>
      <c r="H33" s="22" t="n"/>
      <c r="I33" s="22" t="n"/>
      <c r="J33" s="22" t="n"/>
      <c r="K33" s="22" t="n"/>
    </row>
    <row r="34">
      <c r="A34" s="324" t="n"/>
      <c r="B34" s="22" t="n"/>
      <c r="C34" s="22" t="n"/>
      <c r="D34" s="22" t="n"/>
      <c r="E34" s="22" t="n"/>
      <c r="F34" s="22" t="n"/>
      <c r="G34" s="22" t="n"/>
      <c r="H34" s="22" t="n"/>
      <c r="I34" s="22" t="n"/>
      <c r="J34" s="22" t="n"/>
      <c r="K34" s="22" t="n"/>
    </row>
    <row r="35">
      <c r="A35" s="324" t="n"/>
      <c r="B35" s="22" t="n"/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</row>
    <row r="36">
      <c r="A36" s="324" t="n"/>
      <c r="B36" s="22" t="n"/>
      <c r="C36" s="22" t="n"/>
      <c r="D36" s="22" t="n"/>
      <c r="E36" s="22" t="n"/>
      <c r="F36" s="22" t="n"/>
      <c r="G36" s="22" t="n"/>
      <c r="H36" s="22" t="n"/>
      <c r="I36" s="22" t="n"/>
      <c r="J36" s="22" t="n"/>
      <c r="K36" s="22" t="n"/>
    </row>
    <row r="37">
      <c r="A37" s="324" t="n"/>
      <c r="B37" s="22" t="n"/>
      <c r="C37" s="22" t="n"/>
      <c r="D37" s="22" t="n"/>
      <c r="E37" s="22" t="n"/>
      <c r="F37" s="22" t="n"/>
      <c r="G37" s="22" t="n"/>
      <c r="H37" s="22" t="n"/>
      <c r="I37" s="22" t="n"/>
      <c r="J37" s="22" t="n"/>
      <c r="K37" s="22" t="n"/>
    </row>
    <row r="38">
      <c r="A38" s="324" t="n"/>
      <c r="B38" s="22" t="n"/>
      <c r="C38" s="22" t="n"/>
      <c r="D38" s="22" t="n"/>
      <c r="E38" s="22" t="n"/>
      <c r="F38" s="22" t="n"/>
      <c r="G38" s="22" t="n"/>
      <c r="H38" s="22" t="n"/>
      <c r="I38" s="22" t="n"/>
      <c r="J38" s="22" t="n"/>
      <c r="K38" s="22" t="n"/>
    </row>
    <row r="39">
      <c r="A39" s="324" t="n"/>
      <c r="B39" s="22" t="n"/>
      <c r="C39" s="22" t="n"/>
      <c r="D39" s="22" t="n"/>
      <c r="E39" s="22" t="n"/>
      <c r="F39" s="22" t="n"/>
      <c r="G39" s="22" t="n"/>
      <c r="H39" s="22" t="n"/>
      <c r="I39" s="22" t="n"/>
      <c r="J39" s="22" t="n"/>
      <c r="K39" s="22" t="n"/>
    </row>
    <row r="40">
      <c r="A40" s="324" t="n"/>
      <c r="B40" s="22" t="n"/>
      <c r="C40" s="22" t="n"/>
      <c r="D40" s="22" t="n"/>
      <c r="E40" s="22" t="n"/>
      <c r="F40" s="22" t="n"/>
      <c r="G40" s="22" t="n"/>
      <c r="H40" s="22" t="n"/>
      <c r="I40" s="22" t="n"/>
      <c r="J40" s="22" t="n"/>
      <c r="K40" s="22" t="n"/>
    </row>
    <row r="41">
      <c r="A41" s="324" t="n"/>
      <c r="B41" s="22" t="n"/>
      <c r="C41" s="22" t="n"/>
      <c r="D41" s="22" t="n"/>
      <c r="E41" s="22" t="n"/>
      <c r="F41" s="22" t="n"/>
      <c r="G41" s="22" t="n"/>
      <c r="H41" s="22" t="n"/>
      <c r="I41" s="22" t="n"/>
      <c r="J41" s="22" t="n"/>
      <c r="K41" s="22" t="n"/>
    </row>
    <row r="42">
      <c r="A42" s="324" t="n"/>
      <c r="B42" s="22" t="n"/>
      <c r="C42" s="22" t="n"/>
      <c r="D42" s="22" t="n"/>
      <c r="E42" s="22" t="n"/>
      <c r="F42" s="22" t="n"/>
      <c r="G42" s="22" t="n"/>
      <c r="H42" s="22" t="n"/>
      <c r="I42" s="22" t="n"/>
      <c r="J42" s="22" t="n"/>
      <c r="K42" s="22" t="n"/>
    </row>
    <row r="43">
      <c r="A43" s="324" t="n"/>
      <c r="B43" s="22" t="n"/>
      <c r="C43" s="22" t="n"/>
      <c r="D43" s="22" t="n"/>
      <c r="E43" s="22" t="n"/>
      <c r="F43" s="22" t="n"/>
      <c r="G43" s="22" t="n"/>
      <c r="H43" s="22" t="n"/>
      <c r="I43" s="22" t="n"/>
      <c r="J43" s="22" t="n"/>
      <c r="K43" s="22" t="n"/>
    </row>
    <row r="44">
      <c r="A44" s="324" t="n"/>
      <c r="B44" s="22" t="n"/>
      <c r="C44" s="22" t="n"/>
      <c r="D44" s="22" t="n"/>
      <c r="E44" s="22" t="n"/>
      <c r="F44" s="22" t="n"/>
      <c r="G44" s="22" t="n"/>
      <c r="H44" s="22" t="n"/>
      <c r="I44" s="22" t="n"/>
      <c r="J44" s="22" t="n"/>
      <c r="K44" s="22" t="n"/>
    </row>
    <row r="45">
      <c r="A45" s="324" t="n"/>
      <c r="B45" s="22" t="n"/>
      <c r="C45" s="22" t="n"/>
      <c r="D45" s="22" t="n"/>
      <c r="E45" s="22" t="n"/>
      <c r="F45" s="22" t="n"/>
      <c r="G45" s="22" t="n"/>
      <c r="H45" s="22" t="n"/>
      <c r="I45" s="22" t="n"/>
      <c r="J45" s="22" t="n"/>
      <c r="K45" s="22" t="n"/>
    </row>
    <row r="46">
      <c r="A46" s="324" t="n"/>
      <c r="B46" s="22" t="n"/>
      <c r="C46" s="22" t="n"/>
      <c r="D46" s="22" t="n"/>
      <c r="E46" s="22" t="n"/>
      <c r="F46" s="22" t="n"/>
      <c r="G46" s="22" t="n"/>
      <c r="H46" s="22" t="n"/>
      <c r="I46" s="22" t="n"/>
      <c r="J46" s="22" t="n"/>
      <c r="K46" s="22" t="n"/>
    </row>
    <row r="47">
      <c r="A47" s="324" t="n"/>
      <c r="B47" s="22" t="n"/>
      <c r="C47" s="22" t="n"/>
      <c r="D47" s="22" t="n"/>
      <c r="E47" s="22" t="n"/>
      <c r="F47" s="22" t="n"/>
      <c r="G47" s="22" t="n"/>
      <c r="H47" s="22" t="n"/>
      <c r="I47" s="22" t="n"/>
      <c r="J47" s="22" t="n"/>
      <c r="K47" s="22" t="n"/>
    </row>
    <row r="48">
      <c r="A48" s="324" t="n"/>
      <c r="B48" s="22" t="n"/>
      <c r="C48" s="22" t="n"/>
      <c r="D48" s="22" t="n"/>
      <c r="E48" s="22" t="n"/>
      <c r="F48" s="22" t="n"/>
      <c r="G48" s="22" t="n"/>
      <c r="H48" s="22" t="n"/>
      <c r="I48" s="22" t="n"/>
      <c r="J48" s="22" t="n"/>
      <c r="K48" s="22" t="n"/>
    </row>
    <row r="49">
      <c r="A49" s="324" t="n"/>
      <c r="B49" s="22" t="n"/>
      <c r="C49" s="22" t="n"/>
      <c r="D49" s="22" t="n"/>
      <c r="E49" s="22" t="n"/>
      <c r="F49" s="22" t="n"/>
      <c r="G49" s="22" t="n"/>
      <c r="H49" s="22" t="n"/>
      <c r="I49" s="22" t="n"/>
      <c r="J49" s="22" t="n"/>
      <c r="K49" s="22" t="n"/>
    </row>
    <row r="50">
      <c r="A50" s="324" t="n"/>
      <c r="B50" s="22" t="n"/>
      <c r="C50" s="22" t="n"/>
      <c r="D50" s="22" t="n"/>
      <c r="E50" s="22" t="n"/>
      <c r="F50" s="22" t="n"/>
      <c r="G50" s="22" t="n"/>
      <c r="H50" s="22" t="n"/>
      <c r="I50" s="22" t="n"/>
      <c r="J50" s="22" t="n"/>
      <c r="K50" s="22" t="n"/>
    </row>
    <row r="51">
      <c r="A51" s="324" t="n"/>
      <c r="B51" s="22" t="n"/>
      <c r="C51" s="22" t="n"/>
      <c r="D51" s="22" t="n"/>
      <c r="E51" s="22" t="n"/>
      <c r="F51" s="22" t="n"/>
      <c r="G51" s="22" t="n"/>
      <c r="H51" s="22" t="n"/>
      <c r="I51" s="22" t="n"/>
      <c r="J51" s="22" t="n"/>
      <c r="K51" s="22" t="n"/>
    </row>
    <row r="52">
      <c r="A52" s="324" t="n"/>
      <c r="B52" s="22" t="n"/>
      <c r="C52" s="22" t="n"/>
      <c r="D52" s="22" t="n"/>
      <c r="E52" s="22" t="n"/>
      <c r="F52" s="22" t="n"/>
      <c r="G52" s="22" t="n"/>
      <c r="H52" s="22" t="n"/>
      <c r="I52" s="22" t="n"/>
      <c r="J52" s="22" t="n"/>
      <c r="K52" s="22" t="n"/>
    </row>
    <row r="53">
      <c r="A53" s="324" t="n"/>
      <c r="B53" s="22" t="n"/>
      <c r="C53" s="22" t="n"/>
      <c r="D53" s="22" t="n"/>
      <c r="E53" s="22" t="n"/>
      <c r="F53" s="22" t="n"/>
      <c r="G53" s="22" t="n"/>
      <c r="H53" s="22" t="n"/>
      <c r="I53" s="22" t="n"/>
      <c r="J53" s="22" t="n"/>
      <c r="K53" s="22" t="n"/>
    </row>
    <row r="54">
      <c r="A54" s="324" t="n"/>
      <c r="B54" s="22" t="n"/>
      <c r="C54" s="22" t="n"/>
      <c r="D54" s="22" t="n"/>
      <c r="E54" s="22" t="n"/>
      <c r="F54" s="22" t="n"/>
      <c r="G54" s="22" t="n"/>
      <c r="H54" s="22" t="n"/>
      <c r="I54" s="22" t="n"/>
      <c r="J54" s="22" t="n"/>
      <c r="K54" s="22" t="n"/>
    </row>
    <row r="55">
      <c r="A55" s="324" t="n"/>
      <c r="B55" s="22" t="n"/>
      <c r="C55" s="22" t="n"/>
      <c r="D55" s="22" t="n"/>
      <c r="E55" s="22" t="n"/>
      <c r="F55" s="22" t="n"/>
      <c r="G55" s="22" t="n"/>
      <c r="H55" s="22" t="n"/>
      <c r="I55" s="22" t="n"/>
      <c r="J55" s="22" t="n"/>
      <c r="K55" s="22" t="n"/>
    </row>
    <row r="56">
      <c r="A56" s="324" t="n"/>
      <c r="B56" s="22" t="n"/>
      <c r="C56" s="22" t="n"/>
      <c r="D56" s="22" t="n"/>
      <c r="E56" s="22" t="n"/>
      <c r="F56" s="22" t="n"/>
      <c r="G56" s="22" t="n"/>
      <c r="H56" s="22" t="n"/>
      <c r="I56" s="22" t="n"/>
      <c r="J56" s="22" t="n"/>
      <c r="K56" s="22" t="n"/>
    </row>
    <row r="57">
      <c r="A57" s="324" t="n"/>
      <c r="B57" s="22" t="n"/>
      <c r="C57" s="22" t="n"/>
      <c r="D57" s="22" t="n"/>
      <c r="E57" s="22" t="n"/>
      <c r="F57" s="22" t="n"/>
      <c r="G57" s="22" t="n"/>
      <c r="H57" s="22" t="n"/>
      <c r="I57" s="22" t="n"/>
      <c r="J57" s="22" t="n"/>
      <c r="K57" s="22" t="n"/>
    </row>
    <row r="58">
      <c r="A58" s="324" t="n"/>
      <c r="B58" s="22" t="n"/>
      <c r="C58" s="22" t="n"/>
      <c r="D58" s="22" t="n"/>
      <c r="E58" s="22" t="n"/>
      <c r="F58" s="22" t="n"/>
      <c r="G58" s="22" t="n"/>
      <c r="H58" s="22" t="n"/>
      <c r="I58" s="22" t="n"/>
      <c r="J58" s="22" t="n"/>
      <c r="K58" s="22" t="n"/>
    </row>
    <row r="59">
      <c r="A59" s="324" t="n"/>
      <c r="B59" s="22" t="n"/>
      <c r="C59" s="22" t="n"/>
      <c r="D59" s="22" t="n"/>
      <c r="E59" s="22" t="n"/>
      <c r="F59" s="22" t="n"/>
      <c r="G59" s="22" t="n"/>
      <c r="H59" s="22" t="n"/>
      <c r="I59" s="22" t="n"/>
      <c r="J59" s="22" t="n"/>
      <c r="K59" s="22" t="n"/>
    </row>
    <row r="60">
      <c r="A60" s="324" t="n"/>
      <c r="B60" s="22" t="n"/>
      <c r="C60" s="22" t="n"/>
      <c r="D60" s="22" t="n"/>
      <c r="E60" s="22" t="n"/>
      <c r="F60" s="22" t="n"/>
      <c r="G60" s="22" t="n"/>
      <c r="H60" s="22" t="n"/>
      <c r="I60" s="22" t="n"/>
      <c r="J60" s="22" t="n"/>
      <c r="K60" s="22" t="n"/>
    </row>
    <row r="61">
      <c r="A61" s="324" t="n"/>
      <c r="B61" s="22" t="n"/>
      <c r="C61" s="22" t="n"/>
      <c r="D61" s="22" t="n"/>
      <c r="E61" s="22" t="n"/>
      <c r="F61" s="22" t="n"/>
      <c r="G61" s="22" t="n"/>
      <c r="H61" s="22" t="n"/>
      <c r="I61" s="22" t="n"/>
      <c r="J61" s="22" t="n"/>
      <c r="K61" s="22" t="n"/>
    </row>
    <row r="62">
      <c r="A62" s="324" t="n"/>
      <c r="B62" s="22" t="n"/>
      <c r="C62" s="22" t="n"/>
      <c r="D62" s="22" t="n"/>
      <c r="E62" s="22" t="n"/>
      <c r="F62" s="22" t="n"/>
      <c r="G62" s="22" t="n"/>
      <c r="H62" s="22" t="n"/>
      <c r="I62" s="22" t="n"/>
      <c r="J62" s="22" t="n"/>
      <c r="K62" s="22" t="n"/>
    </row>
    <row r="63">
      <c r="A63" s="324" t="n"/>
      <c r="B63" s="22" t="n"/>
      <c r="C63" s="22" t="n"/>
      <c r="D63" s="22" t="n"/>
      <c r="E63" s="22" t="n"/>
      <c r="F63" s="22" t="n"/>
      <c r="G63" s="22" t="n"/>
      <c r="H63" s="22" t="n"/>
      <c r="I63" s="22" t="n"/>
      <c r="J63" s="22" t="n"/>
      <c r="K63" s="22" t="n"/>
    </row>
    <row r="64">
      <c r="A64" s="324" t="n"/>
      <c r="B64" s="22" t="n"/>
      <c r="C64" s="22" t="n"/>
      <c r="D64" s="22" t="n"/>
      <c r="E64" s="22" t="n"/>
      <c r="F64" s="22" t="n"/>
      <c r="G64" s="22" t="n"/>
      <c r="H64" s="22" t="n"/>
      <c r="I64" s="22" t="n"/>
      <c r="J64" s="22" t="n"/>
      <c r="K64" s="22" t="n"/>
    </row>
    <row r="65">
      <c r="A65" s="324" t="n"/>
      <c r="B65" s="22" t="n"/>
      <c r="C65" s="22" t="n"/>
      <c r="D65" s="22" t="n"/>
      <c r="E65" s="22" t="n"/>
      <c r="F65" s="22" t="n"/>
      <c r="G65" s="22" t="n"/>
      <c r="H65" s="22" t="n"/>
      <c r="I65" s="22" t="n"/>
      <c r="J65" s="22" t="n"/>
      <c r="K65" s="22" t="n"/>
    </row>
    <row r="66">
      <c r="A66" s="324" t="n"/>
      <c r="B66" s="22" t="n"/>
      <c r="C66" s="22" t="n"/>
      <c r="D66" s="22" t="n"/>
      <c r="E66" s="22" t="n"/>
      <c r="F66" s="22" t="n"/>
      <c r="G66" s="22" t="n"/>
      <c r="H66" s="22" t="n"/>
      <c r="I66" s="22" t="n"/>
      <c r="J66" s="22" t="n"/>
      <c r="K66" s="22" t="n"/>
    </row>
    <row r="67">
      <c r="A67" s="324" t="n"/>
      <c r="B67" s="22" t="n"/>
      <c r="C67" s="22" t="n"/>
      <c r="D67" s="22" t="n"/>
      <c r="E67" s="22" t="n"/>
      <c r="F67" s="22" t="n"/>
      <c r="G67" s="22" t="n"/>
      <c r="H67" s="22" t="n"/>
      <c r="I67" s="22" t="n"/>
      <c r="J67" s="22" t="n"/>
      <c r="K67" s="22" t="n"/>
    </row>
    <row r="68">
      <c r="A68" s="324" t="n"/>
      <c r="B68" s="22" t="n"/>
      <c r="C68" s="22" t="n"/>
      <c r="D68" s="22" t="n"/>
      <c r="E68" s="22" t="n"/>
      <c r="F68" s="22" t="n"/>
      <c r="G68" s="22" t="n"/>
      <c r="H68" s="22" t="n"/>
      <c r="I68" s="22" t="n"/>
      <c r="J68" s="22" t="n"/>
      <c r="K68" s="22" t="n"/>
    </row>
    <row r="69">
      <c r="A69" s="324" t="n"/>
      <c r="B69" s="22" t="n"/>
      <c r="C69" s="22" t="n"/>
      <c r="D69" s="22" t="n"/>
      <c r="E69" s="22" t="n"/>
      <c r="F69" s="22" t="n"/>
      <c r="G69" s="22" t="n"/>
      <c r="H69" s="22" t="n"/>
      <c r="I69" s="22" t="n"/>
      <c r="J69" s="22" t="n"/>
      <c r="K69" s="22" t="n"/>
    </row>
    <row r="70">
      <c r="A70" s="324" t="n"/>
      <c r="B70" s="22" t="n"/>
      <c r="C70" s="22" t="n"/>
      <c r="D70" s="22" t="n"/>
      <c r="E70" s="22" t="n"/>
      <c r="F70" s="22" t="n"/>
      <c r="G70" s="22" t="n"/>
      <c r="H70" s="22" t="n"/>
      <c r="I70" s="22" t="n"/>
      <c r="J70" s="22" t="n"/>
      <c r="K70" s="22" t="n"/>
    </row>
    <row r="71">
      <c r="A71" s="324" t="n"/>
      <c r="B71" s="22" t="n"/>
      <c r="C71" s="22" t="n"/>
      <c r="D71" s="22" t="n"/>
      <c r="E71" s="22" t="n"/>
      <c r="F71" s="22" t="n"/>
      <c r="G71" s="22" t="n"/>
      <c r="H71" s="22" t="n"/>
      <c r="I71" s="22" t="n"/>
      <c r="J71" s="22" t="n"/>
      <c r="K71" s="22" t="n"/>
    </row>
    <row r="72">
      <c r="A72" s="324" t="n"/>
      <c r="B72" s="22" t="n"/>
      <c r="C72" s="22" t="n"/>
      <c r="D72" s="22" t="n"/>
      <c r="E72" s="22" t="n"/>
      <c r="F72" s="22" t="n"/>
      <c r="G72" s="22" t="n"/>
      <c r="H72" s="22" t="n"/>
      <c r="I72" s="22" t="n"/>
      <c r="J72" s="22" t="n"/>
      <c r="K72" s="22" t="n"/>
    </row>
    <row r="73">
      <c r="A73" s="324" t="n"/>
      <c r="B73" s="22" t="n"/>
      <c r="C73" s="22" t="n"/>
      <c r="D73" s="22" t="n"/>
      <c r="E73" s="22" t="n"/>
      <c r="F73" s="22" t="n"/>
      <c r="G73" s="22" t="n"/>
      <c r="H73" s="22" t="n"/>
      <c r="I73" s="22" t="n"/>
      <c r="J73" s="22" t="n"/>
      <c r="K73" s="22" t="n"/>
    </row>
    <row r="74">
      <c r="A74" s="324" t="n"/>
      <c r="B74" s="22" t="n"/>
      <c r="C74" s="22" t="n"/>
      <c r="D74" s="22" t="n"/>
      <c r="E74" s="22" t="n"/>
      <c r="F74" s="22" t="n"/>
      <c r="G74" s="22" t="n"/>
      <c r="H74" s="22" t="n"/>
      <c r="I74" s="22" t="n"/>
      <c r="J74" s="22" t="n"/>
      <c r="K74" s="22" t="n"/>
    </row>
    <row r="75">
      <c r="A75" s="324" t="n"/>
      <c r="B75" s="22" t="n"/>
      <c r="C75" s="22" t="n"/>
      <c r="D75" s="22" t="n"/>
      <c r="E75" s="22" t="n"/>
      <c r="F75" s="22" t="n"/>
      <c r="G75" s="22" t="n"/>
      <c r="H75" s="22" t="n"/>
      <c r="I75" s="22" t="n"/>
      <c r="J75" s="22" t="n"/>
      <c r="K75" s="22" t="n"/>
    </row>
    <row r="76">
      <c r="A76" s="324" t="n"/>
      <c r="B76" s="22" t="n"/>
      <c r="C76" s="22" t="n"/>
      <c r="D76" s="22" t="n"/>
      <c r="E76" s="22" t="n"/>
      <c r="F76" s="22" t="n"/>
      <c r="G76" s="22" t="n"/>
      <c r="H76" s="22" t="n"/>
      <c r="I76" s="22" t="n"/>
      <c r="J76" s="22" t="n"/>
      <c r="K76" s="22" t="n"/>
    </row>
    <row r="77">
      <c r="A77" s="324" t="n"/>
      <c r="B77" s="22" t="n"/>
      <c r="C77" s="22" t="n"/>
      <c r="D77" s="22" t="n"/>
      <c r="E77" s="22" t="n"/>
      <c r="F77" s="22" t="n"/>
      <c r="G77" s="22" t="n"/>
      <c r="H77" s="22" t="n"/>
      <c r="I77" s="22" t="n"/>
      <c r="J77" s="22" t="n"/>
      <c r="K77" s="22" t="n"/>
    </row>
    <row r="78">
      <c r="A78" s="324" t="n"/>
      <c r="B78" s="22" t="n"/>
      <c r="C78" s="22" t="n"/>
      <c r="D78" s="22" t="n"/>
      <c r="E78" s="22" t="n"/>
      <c r="F78" s="22" t="n"/>
      <c r="G78" s="22" t="n"/>
      <c r="H78" s="22" t="n"/>
      <c r="I78" s="22" t="n"/>
      <c r="J78" s="22" t="n"/>
      <c r="K78" s="22" t="n"/>
    </row>
    <row r="79">
      <c r="A79" s="324" t="n"/>
      <c r="B79" s="22" t="n"/>
      <c r="C79" s="22" t="n"/>
      <c r="D79" s="22" t="n"/>
      <c r="E79" s="22" t="n"/>
      <c r="F79" s="22" t="n"/>
      <c r="G79" s="22" t="n"/>
      <c r="H79" s="22" t="n"/>
      <c r="I79" s="22" t="n"/>
      <c r="J79" s="22" t="n"/>
      <c r="K79" s="22" t="n"/>
    </row>
    <row r="80">
      <c r="A80" s="324" t="n"/>
      <c r="B80" s="22" t="n"/>
      <c r="C80" s="22" t="n"/>
      <c r="D80" s="22" t="n"/>
      <c r="E80" s="22" t="n"/>
      <c r="F80" s="22" t="n"/>
      <c r="G80" s="22" t="n"/>
      <c r="H80" s="22" t="n"/>
      <c r="I80" s="22" t="n"/>
      <c r="J80" s="22" t="n"/>
      <c r="K80" s="22" t="n"/>
    </row>
    <row r="81">
      <c r="A81" s="324" t="n"/>
      <c r="B81" s="22" t="n"/>
      <c r="C81" s="22" t="n"/>
      <c r="D81" s="22" t="n"/>
      <c r="E81" s="22" t="n"/>
      <c r="F81" s="22" t="n"/>
      <c r="G81" s="22" t="n"/>
      <c r="H81" s="22" t="n"/>
      <c r="I81" s="22" t="n"/>
      <c r="J81" s="22" t="n"/>
      <c r="K81" s="22" t="n"/>
    </row>
    <row r="82">
      <c r="A82" s="324" t="n"/>
      <c r="B82" s="22" t="n"/>
      <c r="C82" s="22" t="n"/>
      <c r="D82" s="22" t="n"/>
      <c r="E82" s="22" t="n"/>
      <c r="F82" s="22" t="n"/>
      <c r="G82" s="22" t="n"/>
      <c r="H82" s="22" t="n"/>
      <c r="I82" s="22" t="n"/>
      <c r="J82" s="22" t="n"/>
      <c r="K82" s="22" t="n"/>
    </row>
    <row r="83">
      <c r="A83" s="324" t="n"/>
      <c r="B83" s="22" t="n"/>
      <c r="C83" s="22" t="n"/>
      <c r="D83" s="22" t="n"/>
      <c r="E83" s="22" t="n"/>
      <c r="F83" s="22" t="n"/>
      <c r="G83" s="22" t="n"/>
      <c r="H83" s="22" t="n"/>
      <c r="I83" s="22" t="n"/>
      <c r="J83" s="22" t="n"/>
      <c r="K83" s="22" t="n"/>
    </row>
    <row r="84">
      <c r="A84" s="324" t="n"/>
      <c r="B84" s="22" t="n"/>
      <c r="C84" s="22" t="n"/>
      <c r="D84" s="22" t="n"/>
      <c r="E84" s="22" t="n"/>
      <c r="F84" s="22" t="n"/>
      <c r="G84" s="22" t="n"/>
      <c r="H84" s="22" t="n"/>
      <c r="I84" s="22" t="n"/>
      <c r="J84" s="22" t="n"/>
      <c r="K84" s="22" t="n"/>
    </row>
    <row r="85">
      <c r="A85" s="324" t="n"/>
      <c r="B85" s="22" t="n"/>
      <c r="C85" s="22" t="n"/>
      <c r="D85" s="22" t="n"/>
      <c r="E85" s="22" t="n"/>
      <c r="F85" s="22" t="n"/>
      <c r="G85" s="22" t="n"/>
      <c r="H85" s="22" t="n"/>
      <c r="I85" s="22" t="n"/>
      <c r="J85" s="22" t="n"/>
      <c r="K85" s="22" t="n"/>
    </row>
    <row r="86">
      <c r="A86" s="324" t="n"/>
      <c r="B86" s="22" t="n"/>
      <c r="C86" s="22" t="n"/>
      <c r="D86" s="22" t="n"/>
      <c r="E86" s="22" t="n"/>
      <c r="F86" s="22" t="n"/>
      <c r="G86" s="22" t="n"/>
      <c r="H86" s="22" t="n"/>
      <c r="I86" s="22" t="n"/>
      <c r="J86" s="22" t="n"/>
      <c r="K86" s="22" t="n"/>
    </row>
    <row r="87">
      <c r="A87" s="324" t="n"/>
      <c r="B87" s="22" t="n"/>
      <c r="C87" s="22" t="n"/>
      <c r="D87" s="22" t="n"/>
      <c r="E87" s="22" t="n"/>
      <c r="F87" s="22" t="n"/>
      <c r="G87" s="22" t="n"/>
      <c r="H87" s="22" t="n"/>
      <c r="I87" s="22" t="n"/>
      <c r="J87" s="22" t="n"/>
      <c r="K87" s="22" t="n"/>
    </row>
    <row r="88">
      <c r="A88" s="324" t="n"/>
      <c r="B88" s="22" t="n"/>
      <c r="C88" s="22" t="n"/>
      <c r="D88" s="22" t="n"/>
      <c r="E88" s="22" t="n"/>
      <c r="F88" s="22" t="n"/>
      <c r="G88" s="22" t="n"/>
      <c r="H88" s="22" t="n"/>
      <c r="I88" s="22" t="n"/>
      <c r="J88" s="22" t="n"/>
      <c r="K88" s="22" t="n"/>
    </row>
    <row r="89">
      <c r="A89" s="324" t="n"/>
      <c r="B89" s="22" t="n"/>
      <c r="C89" s="22" t="n"/>
      <c r="D89" s="22" t="n"/>
      <c r="E89" s="22" t="n"/>
      <c r="F89" s="22" t="n"/>
      <c r="G89" s="22" t="n"/>
      <c r="H89" s="22" t="n"/>
      <c r="I89" s="22" t="n"/>
      <c r="J89" s="22" t="n"/>
      <c r="K89" s="22" t="n"/>
    </row>
    <row r="90">
      <c r="A90" s="324" t="n"/>
      <c r="B90" s="22" t="n"/>
      <c r="C90" s="22" t="n"/>
      <c r="D90" s="22" t="n"/>
      <c r="E90" s="22" t="n"/>
      <c r="F90" s="22" t="n"/>
      <c r="G90" s="22" t="n"/>
      <c r="H90" s="22" t="n"/>
      <c r="I90" s="22" t="n"/>
      <c r="J90" s="22" t="n"/>
      <c r="K90" s="22" t="n"/>
    </row>
    <row r="91">
      <c r="A91" s="324" t="n"/>
      <c r="B91" s="22" t="n"/>
      <c r="C91" s="22" t="n"/>
      <c r="D91" s="22" t="n"/>
      <c r="E91" s="22" t="n"/>
      <c r="F91" s="22" t="n"/>
      <c r="G91" s="22" t="n"/>
      <c r="H91" s="22" t="n"/>
      <c r="I91" s="22" t="n"/>
      <c r="J91" s="22" t="n"/>
      <c r="K91" s="22" t="n"/>
    </row>
    <row r="92">
      <c r="A92" s="324" t="n"/>
      <c r="B92" s="22" t="n"/>
      <c r="C92" s="22" t="n"/>
      <c r="D92" s="22" t="n"/>
      <c r="E92" s="22" t="n"/>
      <c r="F92" s="22" t="n"/>
      <c r="G92" s="22" t="n"/>
      <c r="H92" s="22" t="n"/>
      <c r="I92" s="22" t="n"/>
      <c r="J92" s="22" t="n"/>
      <c r="K92" s="22" t="n"/>
    </row>
    <row r="93">
      <c r="A93" s="324" t="n"/>
      <c r="B93" s="22" t="n"/>
      <c r="C93" s="22" t="n"/>
      <c r="D93" s="22" t="n"/>
      <c r="E93" s="22" t="n"/>
      <c r="F93" s="22" t="n"/>
      <c r="G93" s="22" t="n"/>
      <c r="H93" s="22" t="n"/>
      <c r="I93" s="22" t="n"/>
      <c r="J93" s="22" t="n"/>
      <c r="K93" s="22" t="n"/>
    </row>
    <row r="94">
      <c r="A94" s="324" t="n"/>
      <c r="B94" s="22" t="n"/>
      <c r="C94" s="22" t="n"/>
      <c r="D94" s="22" t="n"/>
      <c r="E94" s="22" t="n"/>
      <c r="F94" s="22" t="n"/>
      <c r="G94" s="22" t="n"/>
      <c r="H94" s="22" t="n"/>
      <c r="I94" s="22" t="n"/>
      <c r="J94" s="22" t="n"/>
      <c r="K94" s="22" t="n"/>
    </row>
    <row r="95">
      <c r="A95" s="324" t="n"/>
      <c r="B95" s="22" t="n"/>
      <c r="C95" s="22" t="n"/>
      <c r="D95" s="22" t="n"/>
      <c r="E95" s="22" t="n"/>
      <c r="F95" s="22" t="n"/>
      <c r="G95" s="22" t="n"/>
      <c r="H95" s="22" t="n"/>
      <c r="I95" s="22" t="n"/>
      <c r="J95" s="22" t="n"/>
      <c r="K95" s="22" t="n"/>
    </row>
    <row r="96">
      <c r="A96" s="324" t="n"/>
      <c r="B96" s="22" t="n"/>
      <c r="C96" s="22" t="n"/>
      <c r="D96" s="22" t="n"/>
      <c r="E96" s="22" t="n"/>
      <c r="F96" s="22" t="n"/>
      <c r="G96" s="22" t="n"/>
      <c r="H96" s="22" t="n"/>
      <c r="I96" s="22" t="n"/>
      <c r="J96" s="22" t="n"/>
      <c r="K96" s="22" t="n"/>
    </row>
    <row r="97">
      <c r="A97" s="324" t="n"/>
      <c r="B97" s="22" t="n"/>
      <c r="C97" s="22" t="n"/>
      <c r="D97" s="22" t="n"/>
      <c r="E97" s="22" t="n"/>
      <c r="F97" s="22" t="n"/>
      <c r="G97" s="22" t="n"/>
      <c r="H97" s="22" t="n"/>
      <c r="I97" s="22" t="n"/>
      <c r="J97" s="22" t="n"/>
      <c r="K97" s="22" t="n"/>
    </row>
    <row r="98">
      <c r="A98" s="324" t="n"/>
      <c r="B98" s="22" t="n"/>
      <c r="C98" s="22" t="n"/>
      <c r="D98" s="22" t="n"/>
      <c r="E98" s="22" t="n"/>
      <c r="F98" s="22" t="n"/>
      <c r="G98" s="22" t="n"/>
      <c r="H98" s="22" t="n"/>
      <c r="I98" s="22" t="n"/>
      <c r="J98" s="22" t="n"/>
      <c r="K98" s="22" t="n"/>
    </row>
    <row r="99">
      <c r="A99" s="324" t="n"/>
      <c r="B99" s="22" t="n"/>
      <c r="C99" s="22" t="n"/>
      <c r="D99" s="22" t="n"/>
      <c r="E99" s="22" t="n"/>
      <c r="F99" s="22" t="n"/>
      <c r="G99" s="22" t="n"/>
      <c r="H99" s="22" t="n"/>
      <c r="I99" s="22" t="n"/>
      <c r="J99" s="22" t="n"/>
      <c r="K99" s="22" t="n"/>
    </row>
    <row r="100">
      <c r="A100" s="324" t="n"/>
      <c r="B100" s="22" t="n"/>
      <c r="C100" s="22" t="n"/>
      <c r="D100" s="22" t="n"/>
      <c r="E100" s="22" t="n"/>
      <c r="F100" s="22" t="n"/>
      <c r="G100" s="22" t="n"/>
      <c r="H100" s="22" t="n"/>
      <c r="I100" s="22" t="n"/>
      <c r="J100" s="22" t="n"/>
      <c r="K100" s="22" t="n"/>
    </row>
    <row r="101">
      <c r="A101" s="324" t="n"/>
      <c r="B101" s="22" t="n"/>
      <c r="C101" s="22" t="n"/>
      <c r="D101" s="22" t="n"/>
      <c r="E101" s="22" t="n"/>
      <c r="F101" s="22" t="n"/>
      <c r="G101" s="22" t="n"/>
      <c r="H101" s="22" t="n"/>
      <c r="I101" s="22" t="n"/>
      <c r="J101" s="22" t="n"/>
      <c r="K101" s="22" t="n"/>
    </row>
    <row r="102">
      <c r="A102" s="324" t="n"/>
      <c r="B102" s="22" t="n"/>
      <c r="C102" s="22" t="n"/>
      <c r="D102" s="22" t="n"/>
      <c r="E102" s="22" t="n"/>
      <c r="F102" s="22" t="n"/>
      <c r="G102" s="22" t="n"/>
      <c r="H102" s="22" t="n"/>
      <c r="I102" s="22" t="n"/>
      <c r="J102" s="22" t="n"/>
      <c r="K102" s="22" t="n"/>
    </row>
    <row r="103">
      <c r="A103" s="324" t="n"/>
      <c r="B103" s="22" t="n"/>
      <c r="C103" s="22" t="n"/>
      <c r="D103" s="22" t="n"/>
      <c r="E103" s="22" t="n"/>
      <c r="F103" s="22" t="n"/>
      <c r="G103" s="22" t="n"/>
      <c r="H103" s="22" t="n"/>
      <c r="I103" s="22" t="n"/>
      <c r="J103" s="22" t="n"/>
      <c r="K103" s="22" t="n"/>
    </row>
    <row r="104">
      <c r="A104" s="324" t="n"/>
      <c r="B104" s="22" t="n"/>
      <c r="C104" s="22" t="n"/>
      <c r="D104" s="22" t="n"/>
      <c r="E104" s="22" t="n"/>
      <c r="F104" s="22" t="n"/>
      <c r="G104" s="22" t="n"/>
      <c r="H104" s="22" t="n"/>
      <c r="I104" s="22" t="n"/>
      <c r="J104" s="22" t="n"/>
      <c r="K104" s="22" t="n"/>
    </row>
    <row r="105">
      <c r="A105" s="324" t="n"/>
      <c r="B105" s="22" t="n"/>
      <c r="C105" s="22" t="n"/>
      <c r="D105" s="22" t="n"/>
      <c r="E105" s="22" t="n"/>
      <c r="F105" s="22" t="n"/>
      <c r="G105" s="22" t="n"/>
      <c r="H105" s="22" t="n"/>
      <c r="I105" s="22" t="n"/>
      <c r="J105" s="22" t="n"/>
      <c r="K105" s="22" t="n"/>
    </row>
    <row r="106">
      <c r="A106" s="324" t="n"/>
      <c r="B106" s="22" t="n"/>
      <c r="C106" s="22" t="n"/>
      <c r="D106" s="22" t="n"/>
      <c r="E106" s="22" t="n"/>
      <c r="F106" s="22" t="n"/>
      <c r="G106" s="22" t="n"/>
      <c r="H106" s="22" t="n"/>
      <c r="I106" s="22" t="n"/>
      <c r="J106" s="22" t="n"/>
      <c r="K106" s="22" t="n"/>
    </row>
    <row r="107">
      <c r="A107" s="324" t="n"/>
      <c r="B107" s="22" t="n"/>
      <c r="C107" s="22" t="n"/>
      <c r="D107" s="22" t="n"/>
      <c r="E107" s="22" t="n"/>
      <c r="F107" s="22" t="n"/>
      <c r="G107" s="22" t="n"/>
      <c r="H107" s="22" t="n"/>
      <c r="I107" s="22" t="n"/>
      <c r="J107" s="22" t="n"/>
      <c r="K107" s="22" t="n"/>
    </row>
    <row r="108">
      <c r="A108" s="324" t="n"/>
      <c r="B108" s="22" t="n"/>
      <c r="C108" s="22" t="n"/>
      <c r="D108" s="22" t="n"/>
      <c r="E108" s="22" t="n"/>
      <c r="F108" s="22" t="n"/>
      <c r="G108" s="22" t="n"/>
      <c r="H108" s="22" t="n"/>
      <c r="I108" s="22" t="n"/>
      <c r="J108" s="22" t="n"/>
      <c r="K108" s="22" t="n"/>
    </row>
    <row r="109">
      <c r="A109" s="324" t="n"/>
      <c r="B109" s="22" t="n"/>
      <c r="C109" s="22" t="n"/>
      <c r="D109" s="22" t="n"/>
      <c r="E109" s="22" t="n"/>
      <c r="F109" s="22" t="n"/>
      <c r="G109" s="22" t="n"/>
      <c r="H109" s="22" t="n"/>
      <c r="I109" s="22" t="n"/>
      <c r="J109" s="22" t="n"/>
      <c r="K109" s="22" t="n"/>
    </row>
    <row r="110">
      <c r="A110" s="324" t="n"/>
      <c r="B110" s="22" t="n"/>
      <c r="C110" s="22" t="n"/>
      <c r="D110" s="22" t="n"/>
      <c r="E110" s="22" t="n"/>
      <c r="F110" s="22" t="n"/>
      <c r="G110" s="22" t="n"/>
      <c r="H110" s="22" t="n"/>
      <c r="I110" s="22" t="n"/>
      <c r="J110" s="22" t="n"/>
      <c r="K110" s="22" t="n"/>
    </row>
    <row r="111">
      <c r="A111" s="324" t="n"/>
      <c r="B111" s="22" t="n"/>
      <c r="C111" s="22" t="n"/>
      <c r="D111" s="22" t="n"/>
      <c r="E111" s="22" t="n"/>
      <c r="F111" s="22" t="n"/>
      <c r="G111" s="22" t="n"/>
      <c r="H111" s="22" t="n"/>
      <c r="I111" s="22" t="n"/>
      <c r="J111" s="22" t="n"/>
      <c r="K111" s="22" t="n"/>
    </row>
    <row r="112">
      <c r="A112" s="324" t="n"/>
      <c r="B112" s="22" t="n"/>
      <c r="C112" s="22" t="n"/>
      <c r="D112" s="22" t="n"/>
      <c r="E112" s="22" t="n"/>
      <c r="F112" s="22" t="n"/>
      <c r="G112" s="22" t="n"/>
      <c r="H112" s="22" t="n"/>
      <c r="I112" s="22" t="n"/>
      <c r="J112" s="22" t="n"/>
      <c r="K112" s="22" t="n"/>
    </row>
    <row r="113">
      <c r="A113" s="324" t="n"/>
      <c r="B113" s="22" t="n"/>
      <c r="C113" s="22" t="n"/>
      <c r="D113" s="22" t="n"/>
      <c r="E113" s="22" t="n"/>
      <c r="F113" s="22" t="n"/>
      <c r="G113" s="22" t="n"/>
      <c r="H113" s="22" t="n"/>
      <c r="I113" s="22" t="n"/>
      <c r="J113" s="22" t="n"/>
      <c r="K113" s="22" t="n"/>
    </row>
    <row r="114">
      <c r="A114" s="324" t="n"/>
      <c r="B114" s="22" t="n"/>
      <c r="C114" s="22" t="n"/>
      <c r="D114" s="22" t="n"/>
      <c r="E114" s="22" t="n"/>
      <c r="F114" s="22" t="n"/>
      <c r="G114" s="22" t="n"/>
      <c r="H114" s="22" t="n"/>
      <c r="I114" s="22" t="n"/>
      <c r="J114" s="22" t="n"/>
      <c r="K114" s="22" t="n"/>
    </row>
    <row r="115">
      <c r="A115" s="324" t="n"/>
      <c r="B115" s="22" t="n"/>
      <c r="C115" s="22" t="n"/>
      <c r="D115" s="22" t="n"/>
      <c r="E115" s="22" t="n"/>
      <c r="F115" s="22" t="n"/>
      <c r="G115" s="22" t="n"/>
      <c r="H115" s="22" t="n"/>
      <c r="I115" s="22" t="n"/>
      <c r="J115" s="22" t="n"/>
      <c r="K115" s="22" t="n"/>
    </row>
    <row r="116">
      <c r="A116" s="324" t="n"/>
      <c r="B116" s="22" t="n"/>
      <c r="C116" s="22" t="n"/>
      <c r="D116" s="22" t="n"/>
      <c r="E116" s="22" t="n"/>
      <c r="F116" s="22" t="n"/>
      <c r="G116" s="22" t="n"/>
      <c r="H116" s="22" t="n"/>
      <c r="I116" s="22" t="n"/>
      <c r="J116" s="22" t="n"/>
      <c r="K116" s="22" t="n"/>
    </row>
    <row r="117">
      <c r="A117" s="324" t="n"/>
      <c r="B117" s="22" t="n"/>
      <c r="C117" s="22" t="n"/>
      <c r="D117" s="22" t="n"/>
      <c r="E117" s="22" t="n"/>
      <c r="F117" s="22" t="n"/>
      <c r="G117" s="22" t="n"/>
      <c r="H117" s="22" t="n"/>
      <c r="I117" s="22" t="n"/>
      <c r="J117" s="22" t="n"/>
      <c r="K117" s="22" t="n"/>
    </row>
    <row r="118">
      <c r="A118" s="324" t="n"/>
      <c r="B118" s="22" t="n"/>
      <c r="C118" s="22" t="n"/>
      <c r="D118" s="22" t="n"/>
      <c r="E118" s="22" t="n"/>
      <c r="F118" s="22" t="n"/>
      <c r="G118" s="22" t="n"/>
      <c r="H118" s="22" t="n"/>
      <c r="I118" s="22" t="n"/>
      <c r="J118" s="22" t="n"/>
      <c r="K118" s="22" t="n"/>
    </row>
    <row r="119">
      <c r="A119" s="324" t="n"/>
      <c r="B119" s="22" t="n"/>
      <c r="C119" s="22" t="n"/>
      <c r="D119" s="22" t="n"/>
      <c r="E119" s="22" t="n"/>
      <c r="F119" s="22" t="n"/>
      <c r="G119" s="22" t="n"/>
      <c r="H119" s="22" t="n"/>
      <c r="I119" s="22" t="n"/>
      <c r="J119" s="22" t="n"/>
      <c r="K119" s="22" t="n"/>
    </row>
    <row r="120">
      <c r="A120" s="324" t="n"/>
      <c r="B120" s="22" t="n"/>
      <c r="C120" s="22" t="n"/>
      <c r="D120" s="22" t="n"/>
      <c r="E120" s="22" t="n"/>
      <c r="F120" s="22" t="n"/>
      <c r="G120" s="22" t="n"/>
      <c r="H120" s="22" t="n"/>
      <c r="I120" s="22" t="n"/>
      <c r="J120" s="22" t="n"/>
      <c r="K120" s="22" t="n"/>
    </row>
    <row r="121">
      <c r="A121" s="324" t="n"/>
      <c r="B121" s="22" t="n"/>
      <c r="C121" s="22" t="n"/>
      <c r="D121" s="22" t="n"/>
      <c r="E121" s="22" t="n"/>
      <c r="F121" s="22" t="n"/>
      <c r="G121" s="22" t="n"/>
      <c r="H121" s="22" t="n"/>
      <c r="I121" s="22" t="n"/>
      <c r="J121" s="22" t="n"/>
      <c r="K121" s="22" t="n"/>
    </row>
    <row r="122">
      <c r="A122" s="324" t="n"/>
      <c r="B122" s="22" t="n"/>
      <c r="C122" s="22" t="n"/>
      <c r="D122" s="22" t="n"/>
      <c r="E122" s="22" t="n"/>
      <c r="F122" s="22" t="n"/>
      <c r="G122" s="22" t="n"/>
      <c r="H122" s="22" t="n"/>
      <c r="I122" s="22" t="n"/>
      <c r="J122" s="22" t="n"/>
      <c r="K122" s="22" t="n"/>
    </row>
    <row r="123">
      <c r="A123" s="324" t="n"/>
      <c r="B123" s="22" t="n"/>
      <c r="C123" s="22" t="n"/>
      <c r="D123" s="22" t="n"/>
      <c r="E123" s="22" t="n"/>
      <c r="F123" s="22" t="n"/>
      <c r="G123" s="22" t="n"/>
      <c r="H123" s="22" t="n"/>
      <c r="I123" s="22" t="n"/>
      <c r="J123" s="22" t="n"/>
      <c r="K123" s="22" t="n"/>
    </row>
    <row r="124">
      <c r="A124" s="324" t="n"/>
      <c r="B124" s="22" t="n"/>
      <c r="C124" s="22" t="n"/>
      <c r="D124" s="22" t="n"/>
      <c r="E124" s="22" t="n"/>
      <c r="F124" s="22" t="n"/>
      <c r="G124" s="22" t="n"/>
      <c r="H124" s="22" t="n"/>
      <c r="I124" s="22" t="n"/>
      <c r="J124" s="22" t="n"/>
      <c r="K124" s="22" t="n"/>
    </row>
    <row r="125">
      <c r="A125" s="324" t="n"/>
      <c r="B125" s="22" t="n"/>
      <c r="C125" s="22" t="n"/>
      <c r="D125" s="22" t="n"/>
      <c r="E125" s="22" t="n"/>
      <c r="F125" s="22" t="n"/>
      <c r="G125" s="22" t="n"/>
      <c r="H125" s="22" t="n"/>
      <c r="I125" s="22" t="n"/>
      <c r="J125" s="22" t="n"/>
      <c r="K125" s="22" t="n"/>
    </row>
    <row r="126">
      <c r="A126" s="324" t="n"/>
      <c r="B126" s="22" t="n"/>
      <c r="C126" s="22" t="n"/>
      <c r="D126" s="22" t="n"/>
      <c r="E126" s="22" t="n"/>
      <c r="F126" s="22" t="n"/>
      <c r="G126" s="22" t="n"/>
      <c r="H126" s="22" t="n"/>
      <c r="I126" s="22" t="n"/>
      <c r="J126" s="22" t="n"/>
      <c r="K126" s="22" t="n"/>
    </row>
    <row r="127">
      <c r="A127" s="324" t="n"/>
      <c r="B127" s="22" t="n"/>
      <c r="C127" s="22" t="n"/>
      <c r="D127" s="22" t="n"/>
      <c r="E127" s="22" t="n"/>
      <c r="F127" s="22" t="n"/>
      <c r="G127" s="22" t="n"/>
      <c r="H127" s="22" t="n"/>
      <c r="I127" s="22" t="n"/>
      <c r="J127" s="22" t="n"/>
      <c r="K127" s="22" t="n"/>
    </row>
    <row r="128">
      <c r="A128" s="324" t="n"/>
      <c r="B128" s="22" t="n"/>
      <c r="C128" s="22" t="n"/>
      <c r="D128" s="22" t="n"/>
      <c r="E128" s="22" t="n"/>
      <c r="F128" s="22" t="n"/>
      <c r="G128" s="22" t="n"/>
      <c r="H128" s="22" t="n"/>
      <c r="I128" s="22" t="n"/>
      <c r="J128" s="22" t="n"/>
      <c r="K128" s="22" t="n"/>
    </row>
    <row r="129">
      <c r="A129" s="324" t="n"/>
      <c r="B129" s="22" t="n"/>
      <c r="C129" s="22" t="n"/>
      <c r="D129" s="22" t="n"/>
      <c r="E129" s="22" t="n"/>
      <c r="F129" s="22" t="n"/>
      <c r="G129" s="22" t="n"/>
      <c r="H129" s="22" t="n"/>
      <c r="I129" s="22" t="n"/>
      <c r="J129" s="22" t="n"/>
      <c r="K129" s="22" t="n"/>
    </row>
    <row r="130">
      <c r="A130" s="324" t="n"/>
      <c r="B130" s="22" t="n"/>
      <c r="C130" s="22" t="n"/>
      <c r="D130" s="22" t="n"/>
      <c r="E130" s="22" t="n"/>
      <c r="F130" s="22" t="n"/>
      <c r="G130" s="22" t="n"/>
      <c r="H130" s="22" t="n"/>
      <c r="I130" s="22" t="n"/>
      <c r="J130" s="22" t="n"/>
      <c r="K130" s="22" t="n"/>
    </row>
    <row r="131">
      <c r="A131" s="324" t="n"/>
      <c r="B131" s="22" t="n"/>
      <c r="C131" s="22" t="n"/>
      <c r="D131" s="22" t="n"/>
      <c r="E131" s="22" t="n"/>
      <c r="F131" s="22" t="n"/>
      <c r="G131" s="22" t="n"/>
      <c r="H131" s="22" t="n"/>
      <c r="I131" s="22" t="n"/>
      <c r="J131" s="22" t="n"/>
      <c r="K131" s="22" t="n"/>
    </row>
    <row r="132">
      <c r="A132" s="324" t="n"/>
      <c r="B132" s="22" t="n"/>
      <c r="C132" s="22" t="n"/>
      <c r="D132" s="22" t="n"/>
      <c r="E132" s="22" t="n"/>
      <c r="F132" s="22" t="n"/>
      <c r="G132" s="22" t="n"/>
      <c r="H132" s="22" t="n"/>
      <c r="I132" s="22" t="n"/>
      <c r="J132" s="22" t="n"/>
      <c r="K132" s="22" t="n"/>
    </row>
    <row r="133">
      <c r="A133" s="324" t="n"/>
      <c r="B133" s="22" t="n"/>
      <c r="C133" s="22" t="n"/>
      <c r="D133" s="22" t="n"/>
      <c r="E133" s="22" t="n"/>
      <c r="F133" s="22" t="n"/>
      <c r="G133" s="22" t="n"/>
      <c r="H133" s="22" t="n"/>
      <c r="I133" s="22" t="n"/>
      <c r="J133" s="22" t="n"/>
      <c r="K133" s="22" t="n"/>
    </row>
    <row r="134">
      <c r="A134" s="324" t="n"/>
      <c r="B134" s="22" t="n"/>
      <c r="C134" s="22" t="n"/>
      <c r="D134" s="22" t="n"/>
      <c r="E134" s="22" t="n"/>
      <c r="F134" s="22" t="n"/>
      <c r="G134" s="22" t="n"/>
      <c r="H134" s="22" t="n"/>
      <c r="I134" s="22" t="n"/>
      <c r="J134" s="22" t="n"/>
      <c r="K134" s="22" t="n"/>
    </row>
    <row r="135">
      <c r="A135" s="324" t="n"/>
      <c r="B135" s="22" t="n"/>
      <c r="C135" s="22" t="n"/>
      <c r="D135" s="22" t="n"/>
      <c r="E135" s="22" t="n"/>
      <c r="F135" s="22" t="n"/>
      <c r="G135" s="22" t="n"/>
      <c r="H135" s="22" t="n"/>
      <c r="I135" s="22" t="n"/>
      <c r="J135" s="22" t="n"/>
      <c r="K135" s="22" t="n"/>
    </row>
    <row r="136">
      <c r="A136" s="324" t="n"/>
      <c r="B136" s="22" t="n"/>
      <c r="C136" s="22" t="n"/>
      <c r="D136" s="22" t="n"/>
      <c r="E136" s="22" t="n"/>
      <c r="F136" s="22" t="n"/>
      <c r="G136" s="22" t="n"/>
      <c r="H136" s="22" t="n"/>
      <c r="I136" s="22" t="n"/>
      <c r="J136" s="22" t="n"/>
      <c r="K136" s="22" t="n"/>
    </row>
    <row r="137">
      <c r="A137" s="324" t="n"/>
      <c r="B137" s="22" t="n"/>
      <c r="C137" s="22" t="n"/>
      <c r="D137" s="22" t="n"/>
      <c r="E137" s="22" t="n"/>
      <c r="F137" s="22" t="n"/>
      <c r="G137" s="22" t="n"/>
      <c r="H137" s="22" t="n"/>
      <c r="I137" s="22" t="n"/>
      <c r="J137" s="22" t="n"/>
      <c r="K137" s="22" t="n"/>
    </row>
    <row r="138">
      <c r="A138" s="324" t="n"/>
      <c r="B138" s="22" t="n"/>
      <c r="C138" s="22" t="n"/>
      <c r="D138" s="22" t="n"/>
      <c r="E138" s="22" t="n"/>
      <c r="F138" s="22" t="n"/>
      <c r="G138" s="22" t="n"/>
      <c r="H138" s="22" t="n"/>
      <c r="I138" s="22" t="n"/>
      <c r="J138" s="22" t="n"/>
      <c r="K138" s="22" t="n"/>
    </row>
    <row r="139">
      <c r="A139" s="324" t="n"/>
      <c r="B139" s="22" t="n"/>
      <c r="C139" s="22" t="n"/>
      <c r="D139" s="22" t="n"/>
      <c r="E139" s="22" t="n"/>
      <c r="F139" s="22" t="n"/>
      <c r="G139" s="22" t="n"/>
      <c r="H139" s="22" t="n"/>
      <c r="I139" s="22" t="n"/>
      <c r="J139" s="22" t="n"/>
      <c r="K139" s="22" t="n"/>
    </row>
    <row r="140">
      <c r="A140" s="324" t="n"/>
      <c r="B140" s="22" t="n"/>
      <c r="C140" s="22" t="n"/>
      <c r="D140" s="22" t="n"/>
      <c r="E140" s="22" t="n"/>
      <c r="F140" s="22" t="n"/>
      <c r="G140" s="22" t="n"/>
      <c r="H140" s="22" t="n"/>
      <c r="I140" s="22" t="n"/>
      <c r="J140" s="22" t="n"/>
      <c r="K140" s="22" t="n"/>
    </row>
    <row r="141">
      <c r="A141" s="324" t="n"/>
      <c r="B141" s="22" t="n"/>
      <c r="C141" s="22" t="n"/>
      <c r="D141" s="22" t="n"/>
      <c r="E141" s="22" t="n"/>
      <c r="F141" s="22" t="n"/>
      <c r="G141" s="22" t="n"/>
      <c r="H141" s="22" t="n"/>
      <c r="I141" s="22" t="n"/>
      <c r="J141" s="22" t="n"/>
      <c r="K141" s="22" t="n"/>
    </row>
    <row r="142">
      <c r="A142" s="324" t="n"/>
      <c r="B142" s="22" t="n"/>
      <c r="C142" s="22" t="n"/>
      <c r="D142" s="22" t="n"/>
      <c r="E142" s="22" t="n"/>
      <c r="F142" s="22" t="n"/>
      <c r="G142" s="22" t="n"/>
      <c r="H142" s="22" t="n"/>
      <c r="I142" s="22" t="n"/>
      <c r="J142" s="22" t="n"/>
      <c r="K142" s="22" t="n"/>
    </row>
    <row r="143">
      <c r="A143" s="324" t="n"/>
      <c r="B143" s="22" t="n"/>
      <c r="C143" s="22" t="n"/>
      <c r="D143" s="22" t="n"/>
      <c r="E143" s="22" t="n"/>
      <c r="F143" s="22" t="n"/>
      <c r="G143" s="22" t="n"/>
      <c r="H143" s="22" t="n"/>
      <c r="I143" s="22" t="n"/>
      <c r="J143" s="22" t="n"/>
      <c r="K143" s="22" t="n"/>
    </row>
    <row r="144">
      <c r="A144" s="324" t="n"/>
      <c r="B144" s="22" t="n"/>
      <c r="C144" s="22" t="n"/>
      <c r="D144" s="22" t="n"/>
      <c r="E144" s="22" t="n"/>
      <c r="F144" s="22" t="n"/>
      <c r="G144" s="22" t="n"/>
      <c r="H144" s="22" t="n"/>
      <c r="I144" s="22" t="n"/>
      <c r="J144" s="22" t="n"/>
      <c r="K144" s="22" t="n"/>
    </row>
    <row r="145">
      <c r="A145" s="324" t="n"/>
      <c r="B145" s="22" t="n"/>
      <c r="C145" s="22" t="n"/>
      <c r="D145" s="22" t="n"/>
      <c r="E145" s="22" t="n"/>
      <c r="F145" s="22" t="n"/>
      <c r="G145" s="22" t="n"/>
      <c r="H145" s="22" t="n"/>
      <c r="I145" s="22" t="n"/>
      <c r="J145" s="22" t="n"/>
      <c r="K145" s="22" t="n"/>
    </row>
    <row r="146">
      <c r="A146" s="324" t="n"/>
      <c r="B146" s="22" t="n"/>
      <c r="C146" s="22" t="n"/>
      <c r="D146" s="22" t="n"/>
      <c r="E146" s="22" t="n"/>
      <c r="F146" s="22" t="n"/>
      <c r="G146" s="22" t="n"/>
      <c r="H146" s="22" t="n"/>
      <c r="I146" s="22" t="n"/>
      <c r="J146" s="22" t="n"/>
      <c r="K146" s="22" t="n"/>
    </row>
    <row r="147">
      <c r="A147" s="324" t="n"/>
      <c r="B147" s="22" t="n"/>
      <c r="C147" s="22" t="n"/>
      <c r="D147" s="22" t="n"/>
      <c r="E147" s="22" t="n"/>
      <c r="F147" s="22" t="n"/>
      <c r="G147" s="22" t="n"/>
      <c r="H147" s="22" t="n"/>
      <c r="I147" s="22" t="n"/>
      <c r="J147" s="22" t="n"/>
      <c r="K147" s="22" t="n"/>
    </row>
    <row r="148">
      <c r="A148" s="324" t="n"/>
      <c r="B148" s="22" t="n"/>
      <c r="C148" s="22" t="n"/>
      <c r="D148" s="22" t="n"/>
      <c r="E148" s="22" t="n"/>
      <c r="F148" s="22" t="n"/>
      <c r="G148" s="22" t="n"/>
      <c r="H148" s="22" t="n"/>
      <c r="I148" s="22" t="n"/>
      <c r="J148" s="22" t="n"/>
      <c r="K148" s="22" t="n"/>
    </row>
    <row r="149">
      <c r="A149" s="324" t="n"/>
      <c r="B149" s="22" t="n"/>
      <c r="C149" s="22" t="n"/>
      <c r="D149" s="22" t="n"/>
      <c r="E149" s="22" t="n"/>
      <c r="F149" s="22" t="n"/>
      <c r="G149" s="22" t="n"/>
      <c r="H149" s="22" t="n"/>
      <c r="I149" s="22" t="n"/>
      <c r="J149" s="22" t="n"/>
      <c r="K149" s="22" t="n"/>
    </row>
    <row r="150">
      <c r="A150" s="324" t="n"/>
      <c r="B150" s="22" t="n"/>
      <c r="C150" s="22" t="n"/>
      <c r="D150" s="22" t="n"/>
      <c r="E150" s="22" t="n"/>
      <c r="F150" s="22" t="n"/>
      <c r="G150" s="22" t="n"/>
      <c r="H150" s="22" t="n"/>
      <c r="I150" s="22" t="n"/>
      <c r="J150" s="22" t="n"/>
      <c r="K150" s="22" t="n"/>
    </row>
    <row r="151">
      <c r="A151" s="324" t="n"/>
      <c r="B151" s="22" t="n"/>
      <c r="C151" s="22" t="n"/>
      <c r="D151" s="22" t="n"/>
      <c r="E151" s="22" t="n"/>
      <c r="F151" s="22" t="n"/>
      <c r="G151" s="22" t="n"/>
      <c r="H151" s="22" t="n"/>
      <c r="I151" s="22" t="n"/>
      <c r="J151" s="22" t="n"/>
      <c r="K151" s="22" t="n"/>
    </row>
    <row r="152">
      <c r="A152" s="324" t="n"/>
      <c r="B152" s="22" t="n"/>
      <c r="C152" s="22" t="n"/>
      <c r="D152" s="22" t="n"/>
      <c r="E152" s="22" t="n"/>
      <c r="F152" s="22" t="n"/>
      <c r="G152" s="22" t="n"/>
      <c r="H152" s="22" t="n"/>
      <c r="I152" s="22" t="n"/>
      <c r="J152" s="22" t="n"/>
      <c r="K152" s="22" t="n"/>
    </row>
    <row r="153">
      <c r="A153" s="324" t="n"/>
      <c r="B153" s="22" t="n"/>
      <c r="C153" s="22" t="n"/>
      <c r="D153" s="22" t="n"/>
      <c r="E153" s="22" t="n"/>
      <c r="F153" s="22" t="n"/>
      <c r="G153" s="22" t="n"/>
      <c r="H153" s="22" t="n"/>
      <c r="I153" s="22" t="n"/>
      <c r="J153" s="22" t="n"/>
      <c r="K153" s="22" t="n"/>
    </row>
    <row r="154">
      <c r="A154" s="324" t="n"/>
      <c r="B154" s="22" t="n"/>
      <c r="C154" s="22" t="n"/>
      <c r="D154" s="22" t="n"/>
      <c r="E154" s="22" t="n"/>
      <c r="F154" s="22" t="n"/>
      <c r="G154" s="22" t="n"/>
      <c r="H154" s="22" t="n"/>
      <c r="I154" s="22" t="n"/>
      <c r="J154" s="22" t="n"/>
      <c r="K154" s="22" t="n"/>
    </row>
    <row r="155">
      <c r="A155" s="324" t="n"/>
      <c r="B155" s="22" t="n"/>
      <c r="C155" s="22" t="n"/>
      <c r="D155" s="22" t="n"/>
      <c r="E155" s="22" t="n"/>
      <c r="F155" s="22" t="n"/>
      <c r="G155" s="22" t="n"/>
      <c r="H155" s="22" t="n"/>
      <c r="I155" s="22" t="n"/>
      <c r="J155" s="22" t="n"/>
      <c r="K155" s="22" t="n"/>
    </row>
    <row r="156">
      <c r="A156" s="324" t="n"/>
      <c r="B156" s="22" t="n"/>
      <c r="C156" s="22" t="n"/>
      <c r="D156" s="22" t="n"/>
      <c r="E156" s="22" t="n"/>
      <c r="F156" s="22" t="n"/>
      <c r="G156" s="22" t="n"/>
      <c r="H156" s="22" t="n"/>
      <c r="I156" s="22" t="n"/>
      <c r="J156" s="22" t="n"/>
      <c r="K156" s="22" t="n"/>
    </row>
    <row r="157">
      <c r="A157" s="324" t="n"/>
      <c r="B157" s="22" t="n"/>
      <c r="C157" s="22" t="n"/>
      <c r="D157" s="22" t="n"/>
      <c r="E157" s="22" t="n"/>
      <c r="F157" s="22" t="n"/>
      <c r="G157" s="22" t="n"/>
      <c r="H157" s="22" t="n"/>
      <c r="I157" s="22" t="n"/>
      <c r="J157" s="22" t="n"/>
      <c r="K157" s="22" t="n"/>
    </row>
    <row r="158">
      <c r="A158" s="324" t="n"/>
      <c r="B158" s="22" t="n"/>
      <c r="C158" s="22" t="n"/>
      <c r="D158" s="22" t="n"/>
      <c r="E158" s="22" t="n"/>
      <c r="F158" s="22" t="n"/>
      <c r="G158" s="22" t="n"/>
      <c r="H158" s="22" t="n"/>
      <c r="I158" s="22" t="n"/>
      <c r="J158" s="22" t="n"/>
      <c r="K158" s="22" t="n"/>
    </row>
    <row r="159">
      <c r="A159" s="324" t="n"/>
      <c r="B159" s="22" t="n"/>
      <c r="C159" s="22" t="n"/>
      <c r="D159" s="22" t="n"/>
      <c r="E159" s="22" t="n"/>
      <c r="F159" s="22" t="n"/>
      <c r="G159" s="22" t="n"/>
      <c r="H159" s="22" t="n"/>
      <c r="I159" s="22" t="n"/>
      <c r="J159" s="22" t="n"/>
      <c r="K159" s="22" t="n"/>
    </row>
    <row r="160">
      <c r="A160" s="324" t="n"/>
      <c r="B160" s="22" t="n"/>
      <c r="C160" s="22" t="n"/>
      <c r="D160" s="22" t="n"/>
      <c r="E160" s="22" t="n"/>
      <c r="F160" s="22" t="n"/>
      <c r="G160" s="22" t="n"/>
      <c r="H160" s="22" t="n"/>
      <c r="I160" s="22" t="n"/>
      <c r="J160" s="22" t="n"/>
      <c r="K160" s="22" t="n"/>
    </row>
    <row r="161">
      <c r="A161" s="324" t="n"/>
      <c r="B161" s="22" t="n"/>
      <c r="C161" s="22" t="n"/>
      <c r="D161" s="22" t="n"/>
      <c r="E161" s="22" t="n"/>
      <c r="F161" s="22" t="n"/>
      <c r="G161" s="22" t="n"/>
      <c r="H161" s="22" t="n"/>
      <c r="I161" s="22" t="n"/>
      <c r="J161" s="22" t="n"/>
      <c r="K161" s="22" t="n"/>
    </row>
    <row r="162">
      <c r="A162" s="324" t="n"/>
      <c r="B162" s="22" t="n"/>
      <c r="C162" s="22" t="n"/>
      <c r="D162" s="22" t="n"/>
      <c r="E162" s="22" t="n"/>
      <c r="F162" s="22" t="n"/>
      <c r="G162" s="22" t="n"/>
      <c r="H162" s="22" t="n"/>
      <c r="I162" s="22" t="n"/>
      <c r="J162" s="22" t="n"/>
      <c r="K162" s="22" t="n"/>
    </row>
    <row r="163">
      <c r="A163" s="324" t="n"/>
      <c r="B163" s="22" t="n"/>
      <c r="C163" s="22" t="n"/>
      <c r="D163" s="22" t="n"/>
      <c r="E163" s="22" t="n"/>
      <c r="F163" s="22" t="n"/>
      <c r="G163" s="22" t="n"/>
      <c r="H163" s="22" t="n"/>
      <c r="I163" s="22" t="n"/>
      <c r="J163" s="22" t="n"/>
      <c r="K163" s="22" t="n"/>
    </row>
    <row r="164">
      <c r="A164" s="324" t="n"/>
      <c r="B164" s="22" t="n"/>
      <c r="C164" s="22" t="n"/>
      <c r="D164" s="22" t="n"/>
      <c r="E164" s="22" t="n"/>
      <c r="F164" s="22" t="n"/>
      <c r="G164" s="22" t="n"/>
      <c r="H164" s="22" t="n"/>
      <c r="I164" s="22" t="n"/>
      <c r="J164" s="22" t="n"/>
      <c r="K164" s="22" t="n"/>
    </row>
    <row r="165">
      <c r="A165" s="324" t="n"/>
      <c r="B165" s="22" t="n"/>
      <c r="C165" s="22" t="n"/>
      <c r="D165" s="22" t="n"/>
      <c r="E165" s="22" t="n"/>
      <c r="F165" s="22" t="n"/>
      <c r="G165" s="22" t="n"/>
      <c r="H165" s="22" t="n"/>
      <c r="I165" s="22" t="n"/>
      <c r="J165" s="22" t="n"/>
      <c r="K165" s="22" t="n"/>
    </row>
    <row r="166">
      <c r="A166" s="324" t="n"/>
      <c r="B166" s="22" t="n"/>
      <c r="C166" s="22" t="n"/>
      <c r="D166" s="22" t="n"/>
      <c r="E166" s="22" t="n"/>
      <c r="F166" s="22" t="n"/>
      <c r="G166" s="22" t="n"/>
      <c r="H166" s="22" t="n"/>
      <c r="I166" s="22" t="n"/>
      <c r="J166" s="22" t="n"/>
      <c r="K166" s="22" t="n"/>
    </row>
    <row r="167">
      <c r="A167" s="324" t="n"/>
      <c r="B167" s="22" t="n"/>
      <c r="C167" s="22" t="n"/>
      <c r="D167" s="22" t="n"/>
      <c r="E167" s="22" t="n"/>
      <c r="F167" s="22" t="n"/>
      <c r="G167" s="22" t="n"/>
      <c r="H167" s="22" t="n"/>
      <c r="I167" s="22" t="n"/>
      <c r="J167" s="22" t="n"/>
      <c r="K167" s="22" t="n"/>
    </row>
    <row r="168">
      <c r="A168" s="324" t="n"/>
      <c r="B168" s="22" t="n"/>
      <c r="C168" s="22" t="n"/>
      <c r="D168" s="22" t="n"/>
      <c r="E168" s="22" t="n"/>
      <c r="F168" s="22" t="n"/>
      <c r="G168" s="22" t="n"/>
      <c r="H168" s="22" t="n"/>
      <c r="I168" s="22" t="n"/>
      <c r="J168" s="22" t="n"/>
      <c r="K168" s="22" t="n"/>
    </row>
    <row r="169">
      <c r="A169" s="324" t="n"/>
      <c r="B169" s="22" t="n"/>
      <c r="C169" s="22" t="n"/>
      <c r="D169" s="22" t="n"/>
      <c r="E169" s="22" t="n"/>
      <c r="F169" s="22" t="n"/>
      <c r="G169" s="22" t="n"/>
      <c r="H169" s="22" t="n"/>
      <c r="I169" s="22" t="n"/>
      <c r="J169" s="22" t="n"/>
      <c r="K169" s="22" t="n"/>
    </row>
    <row r="170">
      <c r="A170" s="324" t="n"/>
      <c r="B170" s="22" t="n"/>
      <c r="C170" s="22" t="n"/>
      <c r="D170" s="22" t="n"/>
      <c r="E170" s="22" t="n"/>
      <c r="F170" s="22" t="n"/>
      <c r="G170" s="22" t="n"/>
      <c r="H170" s="22" t="n"/>
      <c r="I170" s="22" t="n"/>
      <c r="J170" s="22" t="n"/>
      <c r="K170" s="22" t="n"/>
    </row>
    <row r="171">
      <c r="A171" s="324" t="n"/>
      <c r="B171" s="22" t="n"/>
      <c r="C171" s="22" t="n"/>
      <c r="D171" s="22" t="n"/>
      <c r="E171" s="22" t="n"/>
      <c r="F171" s="22" t="n"/>
      <c r="G171" s="22" t="n"/>
      <c r="H171" s="22" t="n"/>
      <c r="I171" s="22" t="n"/>
      <c r="J171" s="22" t="n"/>
      <c r="K171" s="22" t="n"/>
    </row>
    <row r="172">
      <c r="A172" s="324" t="n"/>
      <c r="B172" s="22" t="n"/>
      <c r="C172" s="22" t="n"/>
      <c r="D172" s="22" t="n"/>
      <c r="E172" s="22" t="n"/>
      <c r="F172" s="22" t="n"/>
      <c r="G172" s="22" t="n"/>
      <c r="H172" s="22" t="n"/>
      <c r="I172" s="22" t="n"/>
      <c r="J172" s="22" t="n"/>
      <c r="K172" s="22" t="n"/>
    </row>
    <row r="173">
      <c r="A173" s="324" t="n"/>
      <c r="B173" s="22" t="n"/>
      <c r="C173" s="22" t="n"/>
      <c r="D173" s="22" t="n"/>
      <c r="E173" s="22" t="n"/>
      <c r="F173" s="22" t="n"/>
      <c r="G173" s="22" t="n"/>
      <c r="H173" s="22" t="n"/>
      <c r="I173" s="22" t="n"/>
      <c r="J173" s="22" t="n"/>
      <c r="K173" s="22" t="n"/>
    </row>
    <row r="174">
      <c r="A174" s="324" t="n"/>
      <c r="B174" s="22" t="n"/>
      <c r="C174" s="22" t="n"/>
      <c r="D174" s="22" t="n"/>
      <c r="E174" s="22" t="n"/>
      <c r="F174" s="22" t="n"/>
      <c r="G174" s="22" t="n"/>
      <c r="H174" s="22" t="n"/>
      <c r="I174" s="22" t="n"/>
      <c r="J174" s="22" t="n"/>
      <c r="K174" s="22" t="n"/>
    </row>
    <row r="175">
      <c r="A175" s="324" t="n"/>
      <c r="B175" s="22" t="n"/>
      <c r="C175" s="22" t="n"/>
      <c r="D175" s="22" t="n"/>
      <c r="E175" s="22" t="n"/>
      <c r="F175" s="22" t="n"/>
      <c r="G175" s="22" t="n"/>
      <c r="H175" s="22" t="n"/>
      <c r="I175" s="22" t="n"/>
      <c r="J175" s="22" t="n"/>
      <c r="K175" s="22" t="n"/>
    </row>
    <row r="176">
      <c r="A176" s="324" t="n"/>
      <c r="B176" s="22" t="n"/>
      <c r="C176" s="22" t="n"/>
      <c r="D176" s="22" t="n"/>
      <c r="E176" s="22" t="n"/>
      <c r="F176" s="22" t="n"/>
      <c r="G176" s="22" t="n"/>
      <c r="H176" s="22" t="n"/>
      <c r="I176" s="22" t="n"/>
      <c r="J176" s="22" t="n"/>
      <c r="K176" s="22" t="n"/>
    </row>
    <row r="177">
      <c r="A177" s="324" t="n"/>
      <c r="B177" s="22" t="n"/>
      <c r="C177" s="22" t="n"/>
      <c r="D177" s="22" t="n"/>
      <c r="E177" s="22" t="n"/>
      <c r="F177" s="22" t="n"/>
      <c r="G177" s="22" t="n"/>
      <c r="H177" s="22" t="n"/>
      <c r="I177" s="22" t="n"/>
      <c r="J177" s="22" t="n"/>
      <c r="K177" s="22" t="n"/>
    </row>
    <row r="178">
      <c r="A178" s="324" t="n"/>
      <c r="B178" s="22" t="n"/>
      <c r="C178" s="22" t="n"/>
      <c r="D178" s="22" t="n"/>
      <c r="E178" s="22" t="n"/>
      <c r="F178" s="22" t="n"/>
      <c r="G178" s="22" t="n"/>
      <c r="H178" s="22" t="n"/>
      <c r="I178" s="22" t="n"/>
      <c r="J178" s="22" t="n"/>
      <c r="K178" s="22" t="n"/>
    </row>
    <row r="179">
      <c r="A179" s="324" t="n"/>
      <c r="B179" s="22" t="n"/>
      <c r="C179" s="22" t="n"/>
      <c r="D179" s="22" t="n"/>
      <c r="E179" s="22" t="n"/>
      <c r="F179" s="22" t="n"/>
      <c r="G179" s="22" t="n"/>
      <c r="H179" s="22" t="n"/>
      <c r="I179" s="22" t="n"/>
      <c r="J179" s="22" t="n"/>
      <c r="K179" s="22" t="n"/>
    </row>
    <row r="180">
      <c r="A180" s="324" t="n"/>
      <c r="B180" s="22" t="n"/>
      <c r="C180" s="22" t="n"/>
      <c r="D180" s="22" t="n"/>
      <c r="E180" s="22" t="n"/>
      <c r="F180" s="22" t="n"/>
      <c r="G180" s="22" t="n"/>
      <c r="H180" s="22" t="n"/>
      <c r="I180" s="22" t="n"/>
      <c r="J180" s="22" t="n"/>
      <c r="K180" s="22" t="n"/>
    </row>
    <row r="181">
      <c r="A181" s="324" t="n"/>
      <c r="B181" s="22" t="n"/>
      <c r="C181" s="22" t="n"/>
      <c r="D181" s="22" t="n"/>
      <c r="E181" s="22" t="n"/>
      <c r="F181" s="22" t="n"/>
      <c r="G181" s="22" t="n"/>
      <c r="H181" s="22" t="n"/>
      <c r="I181" s="22" t="n"/>
      <c r="J181" s="22" t="n"/>
      <c r="K181" s="22" t="n"/>
    </row>
    <row r="182">
      <c r="A182" s="324" t="n"/>
      <c r="B182" s="22" t="n"/>
      <c r="C182" s="22" t="n"/>
      <c r="D182" s="22" t="n"/>
      <c r="E182" s="22" t="n"/>
      <c r="F182" s="22" t="n"/>
      <c r="G182" s="22" t="n"/>
      <c r="H182" s="22" t="n"/>
      <c r="I182" s="22" t="n"/>
      <c r="J182" s="22" t="n"/>
      <c r="K182" s="22" t="n"/>
    </row>
    <row r="183">
      <c r="A183" s="324" t="n"/>
      <c r="B183" s="22" t="n"/>
      <c r="C183" s="22" t="n"/>
      <c r="D183" s="22" t="n"/>
      <c r="E183" s="22" t="n"/>
      <c r="F183" s="22" t="n"/>
      <c r="G183" s="22" t="n"/>
      <c r="H183" s="22" t="n"/>
      <c r="I183" s="22" t="n"/>
      <c r="J183" s="22" t="n"/>
      <c r="K183" s="22" t="n"/>
    </row>
    <row r="184">
      <c r="A184" s="324" t="n"/>
      <c r="B184" s="22" t="n"/>
      <c r="C184" s="22" t="n"/>
      <c r="D184" s="22" t="n"/>
      <c r="E184" s="22" t="n"/>
      <c r="F184" s="22" t="n"/>
      <c r="G184" s="22" t="n"/>
      <c r="H184" s="22" t="n"/>
      <c r="I184" s="22" t="n"/>
      <c r="J184" s="22" t="n"/>
      <c r="K184" s="22" t="n"/>
    </row>
    <row r="185">
      <c r="A185" s="324" t="n"/>
      <c r="B185" s="22" t="n"/>
      <c r="C185" s="22" t="n"/>
      <c r="D185" s="22" t="n"/>
      <c r="E185" s="22" t="n"/>
      <c r="F185" s="22" t="n"/>
      <c r="G185" s="22" t="n"/>
      <c r="H185" s="22" t="n"/>
      <c r="I185" s="22" t="n"/>
      <c r="J185" s="22" t="n"/>
      <c r="K185" s="22" t="n"/>
    </row>
    <row r="186">
      <c r="A186" s="324" t="n"/>
      <c r="B186" s="22" t="n"/>
      <c r="C186" s="22" t="n"/>
      <c r="D186" s="22" t="n"/>
      <c r="E186" s="22" t="n"/>
      <c r="F186" s="22" t="n"/>
      <c r="G186" s="22" t="n"/>
      <c r="H186" s="22" t="n"/>
      <c r="I186" s="22" t="n"/>
      <c r="J186" s="22" t="n"/>
      <c r="K186" s="22" t="n"/>
    </row>
    <row r="187">
      <c r="A187" s="324" t="n"/>
      <c r="B187" s="22" t="n"/>
      <c r="C187" s="22" t="n"/>
      <c r="D187" s="22" t="n"/>
      <c r="E187" s="22" t="n"/>
      <c r="F187" s="22" t="n"/>
      <c r="G187" s="22" t="n"/>
      <c r="H187" s="22" t="n"/>
      <c r="I187" s="22" t="n"/>
      <c r="J187" s="22" t="n"/>
      <c r="K187" s="22" t="n"/>
    </row>
    <row r="188">
      <c r="A188" s="324" t="n"/>
      <c r="B188" s="22" t="n"/>
      <c r="C188" s="22" t="n"/>
      <c r="D188" s="22" t="n"/>
      <c r="E188" s="22" t="n"/>
      <c r="F188" s="22" t="n"/>
      <c r="G188" s="22" t="n"/>
      <c r="H188" s="22" t="n"/>
      <c r="I188" s="22" t="n"/>
      <c r="J188" s="22" t="n"/>
      <c r="K188" s="22" t="n"/>
    </row>
    <row r="189">
      <c r="A189" s="324" t="n"/>
      <c r="B189" s="22" t="n"/>
      <c r="C189" s="22" t="n"/>
      <c r="D189" s="22" t="n"/>
      <c r="E189" s="22" t="n"/>
      <c r="F189" s="22" t="n"/>
      <c r="G189" s="22" t="n"/>
      <c r="H189" s="22" t="n"/>
      <c r="I189" s="22" t="n"/>
      <c r="J189" s="22" t="n"/>
      <c r="K189" s="22" t="n"/>
    </row>
    <row r="190">
      <c r="A190" s="324" t="n"/>
      <c r="B190" s="22" t="n"/>
      <c r="C190" s="22" t="n"/>
      <c r="D190" s="22" t="n"/>
      <c r="E190" s="22" t="n"/>
      <c r="F190" s="22" t="n"/>
      <c r="G190" s="22" t="n"/>
      <c r="H190" s="22" t="n"/>
      <c r="I190" s="22" t="n"/>
      <c r="J190" s="22" t="n"/>
      <c r="K190" s="22" t="n"/>
    </row>
    <row r="191">
      <c r="A191" s="324" t="n"/>
      <c r="B191" s="22" t="n"/>
      <c r="C191" s="22" t="n"/>
      <c r="D191" s="22" t="n"/>
      <c r="E191" s="22" t="n"/>
      <c r="F191" s="22" t="n"/>
      <c r="G191" s="22" t="n"/>
      <c r="H191" s="22" t="n"/>
      <c r="I191" s="22" t="n"/>
      <c r="J191" s="22" t="n"/>
      <c r="K191" s="22" t="n"/>
    </row>
    <row r="192">
      <c r="A192" s="324" t="n"/>
      <c r="B192" s="22" t="n"/>
      <c r="C192" s="22" t="n"/>
      <c r="D192" s="22" t="n"/>
      <c r="E192" s="22" t="n"/>
      <c r="F192" s="22" t="n"/>
      <c r="G192" s="22" t="n"/>
      <c r="H192" s="22" t="n"/>
      <c r="I192" s="22" t="n"/>
      <c r="J192" s="22" t="n"/>
      <c r="K192" s="22" t="n"/>
    </row>
    <row r="193">
      <c r="A193" s="324" t="n"/>
      <c r="B193" s="22" t="n"/>
      <c r="C193" s="22" t="n"/>
      <c r="D193" s="22" t="n"/>
      <c r="E193" s="22" t="n"/>
      <c r="F193" s="22" t="n"/>
      <c r="G193" s="22" t="n"/>
      <c r="H193" s="22" t="n"/>
      <c r="I193" s="22" t="n"/>
      <c r="J193" s="22" t="n"/>
      <c r="K193" s="22" t="n"/>
    </row>
    <row r="194">
      <c r="A194" s="324" t="n"/>
      <c r="B194" s="22" t="n"/>
      <c r="C194" s="22" t="n"/>
      <c r="D194" s="22" t="n"/>
      <c r="E194" s="22" t="n"/>
      <c r="F194" s="22" t="n"/>
      <c r="G194" s="22" t="n"/>
      <c r="H194" s="22" t="n"/>
      <c r="I194" s="22" t="n"/>
      <c r="J194" s="22" t="n"/>
      <c r="K194" s="22" t="n"/>
    </row>
    <row r="195">
      <c r="A195" s="324" t="n"/>
      <c r="B195" s="22" t="n"/>
      <c r="C195" s="22" t="n"/>
      <c r="D195" s="22" t="n"/>
      <c r="E195" s="22" t="n"/>
      <c r="F195" s="22" t="n"/>
      <c r="G195" s="22" t="n"/>
      <c r="H195" s="22" t="n"/>
      <c r="I195" s="22" t="n"/>
      <c r="J195" s="22" t="n"/>
      <c r="K195" s="22" t="n"/>
    </row>
    <row r="196">
      <c r="A196" s="324" t="n"/>
      <c r="B196" s="22" t="n"/>
      <c r="C196" s="22" t="n"/>
      <c r="D196" s="22" t="n"/>
      <c r="E196" s="22" t="n"/>
      <c r="F196" s="22" t="n"/>
      <c r="G196" s="22" t="n"/>
      <c r="H196" s="22" t="n"/>
      <c r="I196" s="22" t="n"/>
      <c r="J196" s="22" t="n"/>
      <c r="K196" s="22" t="n"/>
    </row>
    <row r="197">
      <c r="A197" s="324" t="n"/>
      <c r="B197" s="22" t="n"/>
      <c r="C197" s="22" t="n"/>
      <c r="D197" s="22" t="n"/>
      <c r="E197" s="22" t="n"/>
      <c r="F197" s="22" t="n"/>
      <c r="G197" s="22" t="n"/>
      <c r="H197" s="22" t="n"/>
      <c r="I197" s="22" t="n"/>
      <c r="J197" s="22" t="n"/>
      <c r="K197" s="22" t="n"/>
    </row>
    <row r="198">
      <c r="A198" s="324" t="n"/>
      <c r="B198" s="22" t="n"/>
      <c r="C198" s="22" t="n"/>
      <c r="D198" s="22" t="n"/>
      <c r="E198" s="22" t="n"/>
      <c r="F198" s="22" t="n"/>
      <c r="G198" s="22" t="n"/>
      <c r="H198" s="22" t="n"/>
      <c r="I198" s="22" t="n"/>
      <c r="J198" s="22" t="n"/>
      <c r="K198" s="22" t="n"/>
    </row>
    <row r="199">
      <c r="A199" s="324" t="n"/>
      <c r="B199" s="22" t="n"/>
      <c r="C199" s="22" t="n"/>
      <c r="D199" s="22" t="n"/>
      <c r="E199" s="22" t="n"/>
      <c r="F199" s="22" t="n"/>
      <c r="G199" s="22" t="n"/>
      <c r="H199" s="22" t="n"/>
      <c r="I199" s="22" t="n"/>
      <c r="J199" s="22" t="n"/>
      <c r="K199" s="22" t="n"/>
    </row>
    <row r="200">
      <c r="A200" s="324" t="n"/>
      <c r="B200" s="22" t="n"/>
      <c r="C200" s="22" t="n"/>
      <c r="D200" s="22" t="n"/>
      <c r="E200" s="22" t="n"/>
      <c r="F200" s="22" t="n"/>
      <c r="G200" s="22" t="n"/>
      <c r="H200" s="22" t="n"/>
      <c r="I200" s="22" t="n"/>
      <c r="J200" s="22" t="n"/>
      <c r="K200" s="22" t="n"/>
    </row>
    <row r="201">
      <c r="A201" s="324" t="n"/>
      <c r="B201" s="22" t="n"/>
      <c r="C201" s="22" t="n"/>
      <c r="D201" s="22" t="n"/>
      <c r="E201" s="22" t="n"/>
      <c r="F201" s="22" t="n"/>
      <c r="G201" s="22" t="n"/>
      <c r="H201" s="22" t="n"/>
      <c r="I201" s="22" t="n"/>
      <c r="J201" s="22" t="n"/>
      <c r="K201" s="22" t="n"/>
    </row>
    <row r="202">
      <c r="A202" s="324" t="n"/>
      <c r="B202" s="22" t="n"/>
      <c r="C202" s="22" t="n"/>
      <c r="D202" s="22" t="n"/>
      <c r="E202" s="22" t="n"/>
      <c r="F202" s="22" t="n"/>
      <c r="G202" s="22" t="n"/>
      <c r="H202" s="22" t="n"/>
      <c r="I202" s="22" t="n"/>
      <c r="J202" s="22" t="n"/>
      <c r="K202" s="22" t="n"/>
    </row>
    <row r="203">
      <c r="A203" s="324" t="n"/>
      <c r="B203" s="22" t="n"/>
      <c r="C203" s="22" t="n"/>
      <c r="D203" s="22" t="n"/>
      <c r="E203" s="22" t="n"/>
      <c r="F203" s="22" t="n"/>
      <c r="G203" s="22" t="n"/>
      <c r="H203" s="22" t="n"/>
      <c r="I203" s="22" t="n"/>
      <c r="J203" s="22" t="n"/>
      <c r="K203" s="22" t="n"/>
    </row>
    <row r="204">
      <c r="A204" s="324" t="n"/>
      <c r="B204" s="22" t="n"/>
      <c r="C204" s="22" t="n"/>
      <c r="D204" s="22" t="n"/>
      <c r="E204" s="22" t="n"/>
      <c r="F204" s="22" t="n"/>
      <c r="G204" s="22" t="n"/>
      <c r="H204" s="22" t="n"/>
      <c r="I204" s="22" t="n"/>
      <c r="J204" s="22" t="n"/>
      <c r="K204" s="22" t="n"/>
    </row>
    <row r="205">
      <c r="A205" s="324" t="n"/>
      <c r="B205" s="22" t="n"/>
      <c r="C205" s="22" t="n"/>
      <c r="D205" s="22" t="n"/>
      <c r="E205" s="22" t="n"/>
      <c r="F205" s="22" t="n"/>
      <c r="G205" s="22" t="n"/>
      <c r="H205" s="22" t="n"/>
      <c r="I205" s="22" t="n"/>
      <c r="J205" s="22" t="n"/>
      <c r="K205" s="22" t="n"/>
    </row>
    <row r="206">
      <c r="A206" s="324" t="n"/>
      <c r="B206" s="22" t="n"/>
      <c r="C206" s="22" t="n"/>
      <c r="D206" s="22" t="n"/>
      <c r="E206" s="22" t="n"/>
      <c r="F206" s="22" t="n"/>
      <c r="G206" s="22" t="n"/>
      <c r="H206" s="22" t="n"/>
      <c r="I206" s="22" t="n"/>
      <c r="J206" s="22" t="n"/>
      <c r="K206" s="22" t="n"/>
    </row>
    <row r="207">
      <c r="A207" s="324" t="n"/>
      <c r="B207" s="22" t="n"/>
      <c r="C207" s="22" t="n"/>
      <c r="D207" s="22" t="n"/>
      <c r="E207" s="22" t="n"/>
      <c r="F207" s="22" t="n"/>
      <c r="G207" s="22" t="n"/>
      <c r="H207" s="22" t="n"/>
      <c r="I207" s="22" t="n"/>
      <c r="J207" s="22" t="n"/>
      <c r="K207" s="22" t="n"/>
    </row>
    <row r="208">
      <c r="A208" s="324" t="n"/>
      <c r="B208" s="22" t="n"/>
      <c r="C208" s="22" t="n"/>
      <c r="D208" s="22" t="n"/>
      <c r="E208" s="22" t="n"/>
      <c r="F208" s="22" t="n"/>
      <c r="G208" s="22" t="n"/>
      <c r="H208" s="22" t="n"/>
      <c r="I208" s="22" t="n"/>
      <c r="J208" s="22" t="n"/>
      <c r="K208" s="22" t="n"/>
    </row>
    <row r="209">
      <c r="A209" s="324" t="n"/>
      <c r="B209" s="22" t="n"/>
      <c r="C209" s="22" t="n"/>
      <c r="D209" s="22" t="n"/>
      <c r="E209" s="22" t="n"/>
      <c r="F209" s="22" t="n"/>
      <c r="G209" s="22" t="n"/>
      <c r="H209" s="22" t="n"/>
      <c r="I209" s="22" t="n"/>
      <c r="J209" s="22" t="n"/>
      <c r="K209" s="22" t="n"/>
    </row>
    <row r="210">
      <c r="A210" s="324" t="n"/>
      <c r="B210" s="22" t="n"/>
      <c r="C210" s="22" t="n"/>
      <c r="D210" s="22" t="n"/>
      <c r="E210" s="22" t="n"/>
      <c r="F210" s="22" t="n"/>
      <c r="G210" s="22" t="n"/>
      <c r="H210" s="22" t="n"/>
      <c r="I210" s="22" t="n"/>
      <c r="J210" s="22" t="n"/>
      <c r="K210" s="22" t="n"/>
    </row>
    <row r="211">
      <c r="A211" s="324" t="n"/>
      <c r="B211" s="22" t="n"/>
      <c r="C211" s="22" t="n"/>
      <c r="D211" s="22" t="n"/>
      <c r="E211" s="22" t="n"/>
      <c r="F211" s="22" t="n"/>
      <c r="G211" s="22" t="n"/>
      <c r="H211" s="22" t="n"/>
      <c r="I211" s="22" t="n"/>
      <c r="J211" s="22" t="n"/>
      <c r="K211" s="22" t="n"/>
    </row>
    <row r="212">
      <c r="A212" s="324" t="n"/>
      <c r="B212" s="22" t="n"/>
      <c r="C212" s="22" t="n"/>
      <c r="D212" s="22" t="n"/>
      <c r="E212" s="22" t="n"/>
      <c r="F212" s="22" t="n"/>
      <c r="G212" s="22" t="n"/>
      <c r="H212" s="22" t="n"/>
      <c r="I212" s="22" t="n"/>
      <c r="J212" s="22" t="n"/>
      <c r="K212" s="22" t="n"/>
    </row>
    <row r="213">
      <c r="A213" s="324" t="n"/>
      <c r="B213" s="22" t="n"/>
      <c r="C213" s="22" t="n"/>
      <c r="D213" s="22" t="n"/>
      <c r="E213" s="22" t="n"/>
      <c r="F213" s="22" t="n"/>
      <c r="G213" s="22" t="n"/>
      <c r="H213" s="22" t="n"/>
      <c r="I213" s="22" t="n"/>
      <c r="J213" s="22" t="n"/>
      <c r="K213" s="22" t="n"/>
    </row>
    <row r="214">
      <c r="A214" s="324" t="n"/>
      <c r="B214" s="22" t="n"/>
      <c r="C214" s="22" t="n"/>
      <c r="D214" s="22" t="n"/>
      <c r="E214" s="22" t="n"/>
      <c r="F214" s="22" t="n"/>
      <c r="G214" s="22" t="n"/>
      <c r="H214" s="22" t="n"/>
      <c r="I214" s="22" t="n"/>
      <c r="J214" s="22" t="n"/>
      <c r="K214" s="22" t="n"/>
    </row>
    <row r="215">
      <c r="A215" s="324" t="n"/>
      <c r="B215" s="22" t="n"/>
      <c r="C215" s="22" t="n"/>
      <c r="D215" s="22" t="n"/>
      <c r="E215" s="22" t="n"/>
      <c r="F215" s="22" t="n"/>
      <c r="G215" s="22" t="n"/>
      <c r="H215" s="22" t="n"/>
      <c r="I215" s="22" t="n"/>
      <c r="J215" s="22" t="n"/>
      <c r="K215" s="22" t="n"/>
    </row>
    <row r="216">
      <c r="A216" s="324" t="n"/>
      <c r="B216" s="22" t="n"/>
      <c r="C216" s="22" t="n"/>
      <c r="D216" s="22" t="n"/>
      <c r="E216" s="22" t="n"/>
      <c r="F216" s="22" t="n"/>
      <c r="G216" s="22" t="n"/>
      <c r="H216" s="22" t="n"/>
      <c r="I216" s="22" t="n"/>
      <c r="J216" s="22" t="n"/>
      <c r="K216" s="22" t="n"/>
    </row>
    <row r="217">
      <c r="A217" s="324" t="n"/>
      <c r="B217" s="22" t="n"/>
      <c r="C217" s="22" t="n"/>
      <c r="D217" s="22" t="n"/>
      <c r="E217" s="22" t="n"/>
      <c r="F217" s="22" t="n"/>
      <c r="G217" s="22" t="n"/>
      <c r="H217" s="22" t="n"/>
      <c r="I217" s="22" t="n"/>
      <c r="J217" s="22" t="n"/>
      <c r="K217" s="22" t="n"/>
    </row>
    <row r="218">
      <c r="A218" s="324" t="n"/>
      <c r="B218" s="22" t="n"/>
      <c r="C218" s="22" t="n"/>
      <c r="D218" s="22" t="n"/>
      <c r="E218" s="22" t="n"/>
      <c r="F218" s="22" t="n"/>
      <c r="G218" s="22" t="n"/>
      <c r="H218" s="22" t="n"/>
      <c r="I218" s="22" t="n"/>
      <c r="J218" s="22" t="n"/>
      <c r="K218" s="22" t="n"/>
    </row>
    <row r="219">
      <c r="A219" s="324" t="n"/>
      <c r="B219" s="22" t="n"/>
      <c r="C219" s="22" t="n"/>
      <c r="D219" s="22" t="n"/>
      <c r="E219" s="22" t="n"/>
      <c r="F219" s="22" t="n"/>
      <c r="G219" s="22" t="n"/>
      <c r="H219" s="22" t="n"/>
      <c r="I219" s="22" t="n"/>
      <c r="J219" s="22" t="n"/>
      <c r="K219" s="22" t="n"/>
    </row>
    <row r="220">
      <c r="A220" s="324" t="n"/>
      <c r="B220" s="22" t="n"/>
      <c r="C220" s="22" t="n"/>
      <c r="D220" s="22" t="n"/>
      <c r="E220" s="22" t="n"/>
      <c r="F220" s="22" t="n"/>
      <c r="G220" s="22" t="n"/>
      <c r="H220" s="22" t="n"/>
      <c r="I220" s="22" t="n"/>
      <c r="J220" s="22" t="n"/>
      <c r="K220" s="22" t="n"/>
    </row>
    <row r="221">
      <c r="A221" s="324" t="n"/>
      <c r="B221" s="22" t="n"/>
      <c r="C221" s="22" t="n"/>
      <c r="D221" s="22" t="n"/>
      <c r="E221" s="22" t="n"/>
      <c r="F221" s="22" t="n"/>
      <c r="G221" s="22" t="n"/>
      <c r="H221" s="22" t="n"/>
      <c r="I221" s="22" t="n"/>
      <c r="J221" s="22" t="n"/>
      <c r="K221" s="22" t="n"/>
    </row>
    <row r="222">
      <c r="A222" s="324" t="n"/>
      <c r="B222" s="22" t="n"/>
      <c r="C222" s="22" t="n"/>
      <c r="D222" s="22" t="n"/>
      <c r="E222" s="22" t="n"/>
      <c r="F222" s="22" t="n"/>
      <c r="G222" s="22" t="n"/>
      <c r="H222" s="22" t="n"/>
      <c r="I222" s="22" t="n"/>
      <c r="J222" s="22" t="n"/>
      <c r="K222" s="22" t="n"/>
    </row>
    <row r="223">
      <c r="A223" s="324" t="n"/>
      <c r="B223" s="22" t="n"/>
      <c r="C223" s="22" t="n"/>
      <c r="D223" s="22" t="n"/>
      <c r="E223" s="22" t="n"/>
      <c r="F223" s="22" t="n"/>
      <c r="G223" s="22" t="n"/>
      <c r="H223" s="22" t="n"/>
      <c r="I223" s="22" t="n"/>
      <c r="J223" s="22" t="n"/>
      <c r="K223" s="22" t="n"/>
    </row>
    <row r="224">
      <c r="A224" s="324" t="n"/>
      <c r="B224" s="22" t="n"/>
      <c r="C224" s="22" t="n"/>
      <c r="D224" s="22" t="n"/>
      <c r="E224" s="22" t="n"/>
      <c r="F224" s="22" t="n"/>
      <c r="G224" s="22" t="n"/>
      <c r="H224" s="22" t="n"/>
      <c r="I224" s="22" t="n"/>
      <c r="J224" s="22" t="n"/>
      <c r="K224" s="22" t="n"/>
    </row>
    <row r="225">
      <c r="A225" s="324" t="n"/>
      <c r="B225" s="22" t="n"/>
      <c r="C225" s="22" t="n"/>
      <c r="D225" s="22" t="n"/>
      <c r="E225" s="22" t="n"/>
      <c r="F225" s="22" t="n"/>
      <c r="G225" s="22" t="n"/>
      <c r="H225" s="22" t="n"/>
      <c r="I225" s="22" t="n"/>
      <c r="J225" s="22" t="n"/>
      <c r="K225" s="22" t="n"/>
    </row>
    <row r="226">
      <c r="A226" s="324" t="n"/>
      <c r="B226" s="22" t="n"/>
      <c r="C226" s="22" t="n"/>
      <c r="D226" s="22" t="n"/>
      <c r="E226" s="22" t="n"/>
      <c r="F226" s="22" t="n"/>
      <c r="G226" s="22" t="n"/>
      <c r="H226" s="22" t="n"/>
      <c r="I226" s="22" t="n"/>
      <c r="J226" s="22" t="n"/>
      <c r="K226" s="22" t="n"/>
    </row>
    <row r="227">
      <c r="A227" s="324" t="n"/>
      <c r="B227" s="22" t="n"/>
      <c r="C227" s="22" t="n"/>
      <c r="D227" s="22" t="n"/>
      <c r="E227" s="22" t="n"/>
      <c r="F227" s="22" t="n"/>
      <c r="G227" s="22" t="n"/>
      <c r="H227" s="22" t="n"/>
      <c r="I227" s="22" t="n"/>
      <c r="J227" s="22" t="n"/>
      <c r="K227" s="22" t="n"/>
    </row>
    <row r="228">
      <c r="A228" s="324" t="n"/>
      <c r="B228" s="22" t="n"/>
      <c r="C228" s="22" t="n"/>
      <c r="D228" s="22" t="n"/>
      <c r="E228" s="22" t="n"/>
      <c r="F228" s="22" t="n"/>
      <c r="G228" s="22" t="n"/>
      <c r="H228" s="22" t="n"/>
      <c r="I228" s="22" t="n"/>
      <c r="J228" s="22" t="n"/>
      <c r="K228" s="22" t="n"/>
    </row>
    <row r="229">
      <c r="A229" s="324" t="n"/>
      <c r="B229" s="22" t="n"/>
      <c r="C229" s="22" t="n"/>
      <c r="D229" s="22" t="n"/>
      <c r="E229" s="22" t="n"/>
      <c r="F229" s="22" t="n"/>
      <c r="G229" s="22" t="n"/>
      <c r="H229" s="22" t="n"/>
      <c r="I229" s="22" t="n"/>
      <c r="J229" s="22" t="n"/>
      <c r="K229" s="22" t="n"/>
    </row>
    <row r="230">
      <c r="A230" s="324" t="n"/>
      <c r="B230" s="22" t="n"/>
      <c r="C230" s="22" t="n"/>
      <c r="D230" s="22" t="n"/>
      <c r="E230" s="22" t="n"/>
      <c r="F230" s="22" t="n"/>
      <c r="G230" s="22" t="n"/>
      <c r="H230" s="22" t="n"/>
      <c r="I230" s="22" t="n"/>
      <c r="J230" s="22" t="n"/>
      <c r="K230" s="22" t="n"/>
    </row>
    <row r="231">
      <c r="A231" s="324" t="n"/>
      <c r="B231" s="22" t="n"/>
      <c r="C231" s="22" t="n"/>
      <c r="D231" s="22" t="n"/>
      <c r="E231" s="22" t="n"/>
      <c r="F231" s="22" t="n"/>
      <c r="G231" s="22" t="n"/>
      <c r="H231" s="22" t="n"/>
      <c r="I231" s="22" t="n"/>
      <c r="J231" s="22" t="n"/>
      <c r="K231" s="22" t="n"/>
    </row>
    <row r="232">
      <c r="A232" s="324" t="n"/>
      <c r="B232" s="22" t="n"/>
      <c r="C232" s="22" t="n"/>
      <c r="D232" s="22" t="n"/>
      <c r="E232" s="22" t="n"/>
      <c r="F232" s="22" t="n"/>
      <c r="G232" s="22" t="n"/>
      <c r="H232" s="22" t="n"/>
      <c r="I232" s="22" t="n"/>
      <c r="J232" s="22" t="n"/>
      <c r="K232" s="22" t="n"/>
    </row>
    <row r="233">
      <c r="A233" s="324" t="n"/>
      <c r="B233" s="22" t="n"/>
      <c r="C233" s="22" t="n"/>
      <c r="D233" s="22" t="n"/>
      <c r="E233" s="22" t="n"/>
      <c r="F233" s="22" t="n"/>
      <c r="G233" s="22" t="n"/>
      <c r="H233" s="22" t="n"/>
      <c r="I233" s="22" t="n"/>
      <c r="J233" s="22" t="n"/>
      <c r="K233" s="22" t="n"/>
    </row>
    <row r="234">
      <c r="A234" s="324" t="n"/>
      <c r="B234" s="22" t="n"/>
      <c r="C234" s="22" t="n"/>
      <c r="D234" s="22" t="n"/>
      <c r="E234" s="22" t="n"/>
      <c r="F234" s="22" t="n"/>
      <c r="G234" s="22" t="n"/>
      <c r="H234" s="22" t="n"/>
      <c r="I234" s="22" t="n"/>
      <c r="J234" s="22" t="n"/>
      <c r="K234" s="22" t="n"/>
    </row>
    <row r="235">
      <c r="A235" s="324" t="n"/>
      <c r="B235" s="22" t="n"/>
      <c r="C235" s="22" t="n"/>
      <c r="D235" s="22" t="n"/>
      <c r="E235" s="22" t="n"/>
      <c r="F235" s="22" t="n"/>
      <c r="G235" s="22" t="n"/>
      <c r="H235" s="22" t="n"/>
      <c r="I235" s="22" t="n"/>
      <c r="J235" s="22" t="n"/>
      <c r="K235" s="22" t="n"/>
    </row>
    <row r="236">
      <c r="A236" s="324" t="n"/>
      <c r="B236" s="22" t="n"/>
      <c r="C236" s="22" t="n"/>
      <c r="D236" s="22" t="n"/>
      <c r="E236" s="22" t="n"/>
      <c r="F236" s="22" t="n"/>
      <c r="G236" s="22" t="n"/>
      <c r="H236" s="22" t="n"/>
      <c r="I236" s="22" t="n"/>
      <c r="J236" s="22" t="n"/>
      <c r="K236" s="22" t="n"/>
    </row>
    <row r="237">
      <c r="A237" s="324" t="n"/>
      <c r="B237" s="22" t="n"/>
      <c r="C237" s="22" t="n"/>
      <c r="D237" s="22" t="n"/>
      <c r="E237" s="22" t="n"/>
      <c r="F237" s="22" t="n"/>
      <c r="G237" s="22" t="n"/>
      <c r="H237" s="22" t="n"/>
      <c r="I237" s="22" t="n"/>
      <c r="J237" s="22" t="n"/>
      <c r="K237" s="22" t="n"/>
    </row>
    <row r="238">
      <c r="A238" s="324" t="n"/>
      <c r="B238" s="22" t="n"/>
      <c r="C238" s="22" t="n"/>
      <c r="D238" s="22" t="n"/>
      <c r="E238" s="22" t="n"/>
      <c r="F238" s="22" t="n"/>
      <c r="G238" s="22" t="n"/>
      <c r="H238" s="22" t="n"/>
      <c r="I238" s="22" t="n"/>
      <c r="J238" s="22" t="n"/>
      <c r="K238" s="22" t="n"/>
    </row>
    <row r="239">
      <c r="A239" s="324" t="n"/>
      <c r="B239" s="22" t="n"/>
      <c r="C239" s="22" t="n"/>
      <c r="D239" s="22" t="n"/>
      <c r="E239" s="22" t="n"/>
      <c r="F239" s="22" t="n"/>
      <c r="G239" s="22" t="n"/>
      <c r="H239" s="22" t="n"/>
      <c r="I239" s="22" t="n"/>
      <c r="J239" s="22" t="n"/>
      <c r="K239" s="22" t="n"/>
    </row>
    <row r="240">
      <c r="A240" s="324" t="n"/>
      <c r="B240" s="22" t="n"/>
      <c r="C240" s="22" t="n"/>
      <c r="D240" s="22" t="n"/>
      <c r="E240" s="22" t="n"/>
      <c r="F240" s="22" t="n"/>
      <c r="G240" s="22" t="n"/>
      <c r="H240" s="22" t="n"/>
      <c r="I240" s="22" t="n"/>
      <c r="J240" s="22" t="n"/>
      <c r="K240" s="22" t="n"/>
    </row>
    <row r="241">
      <c r="A241" s="324" t="n"/>
      <c r="B241" s="22" t="n"/>
      <c r="C241" s="22" t="n"/>
      <c r="D241" s="22" t="n"/>
      <c r="E241" s="22" t="n"/>
      <c r="F241" s="22" t="n"/>
      <c r="G241" s="22" t="n"/>
      <c r="H241" s="22" t="n"/>
      <c r="I241" s="22" t="n"/>
      <c r="J241" s="22" t="n"/>
      <c r="K241" s="22" t="n"/>
    </row>
    <row r="242">
      <c r="A242" s="324" t="n"/>
      <c r="B242" s="22" t="n"/>
      <c r="C242" s="22" t="n"/>
      <c r="D242" s="22" t="n"/>
      <c r="E242" s="22" t="n"/>
      <c r="F242" s="22" t="n"/>
      <c r="G242" s="22" t="n"/>
      <c r="H242" s="22" t="n"/>
      <c r="I242" s="22" t="n"/>
      <c r="J242" s="22" t="n"/>
      <c r="K242" s="22" t="n"/>
    </row>
    <row r="243">
      <c r="A243" s="324" t="n"/>
      <c r="B243" s="22" t="n"/>
      <c r="C243" s="22" t="n"/>
      <c r="D243" s="22" t="n"/>
      <c r="E243" s="22" t="n"/>
      <c r="F243" s="22" t="n"/>
      <c r="G243" s="22" t="n"/>
      <c r="H243" s="22" t="n"/>
      <c r="I243" s="22" t="n"/>
      <c r="J243" s="22" t="n"/>
      <c r="K243" s="22" t="n"/>
    </row>
    <row r="244">
      <c r="A244" s="324" t="n"/>
      <c r="B244" s="22" t="n"/>
      <c r="C244" s="22" t="n"/>
      <c r="D244" s="22" t="n"/>
      <c r="E244" s="22" t="n"/>
      <c r="F244" s="22" t="n"/>
      <c r="G244" s="22" t="n"/>
      <c r="H244" s="22" t="n"/>
      <c r="I244" s="22" t="n"/>
      <c r="J244" s="22" t="n"/>
      <c r="K244" s="22" t="n"/>
    </row>
    <row r="245">
      <c r="A245" s="324" t="n"/>
      <c r="B245" s="22" t="n"/>
      <c r="C245" s="22" t="n"/>
      <c r="D245" s="22" t="n"/>
      <c r="E245" s="22" t="n"/>
      <c r="F245" s="22" t="n"/>
      <c r="G245" s="22" t="n"/>
      <c r="H245" s="22" t="n"/>
      <c r="I245" s="22" t="n"/>
      <c r="J245" s="22" t="n"/>
      <c r="K245" s="22" t="n"/>
    </row>
    <row r="246">
      <c r="A246" s="324" t="n"/>
      <c r="B246" s="22" t="n"/>
      <c r="C246" s="22" t="n"/>
      <c r="D246" s="22" t="n"/>
      <c r="E246" s="22" t="n"/>
      <c r="F246" s="22" t="n"/>
      <c r="G246" s="22" t="n"/>
      <c r="H246" s="22" t="n"/>
      <c r="I246" s="22" t="n"/>
      <c r="J246" s="22" t="n"/>
      <c r="K246" s="22" t="n"/>
    </row>
    <row r="247">
      <c r="A247" s="324" t="n"/>
      <c r="B247" s="22" t="n"/>
      <c r="C247" s="22" t="n"/>
      <c r="D247" s="22" t="n"/>
      <c r="E247" s="22" t="n"/>
      <c r="F247" s="22" t="n"/>
      <c r="G247" s="22" t="n"/>
      <c r="H247" s="22" t="n"/>
      <c r="I247" s="22" t="n"/>
      <c r="J247" s="22" t="n"/>
      <c r="K247" s="22" t="n"/>
    </row>
    <row r="248">
      <c r="A248" s="324" t="n"/>
      <c r="B248" s="22" t="n"/>
      <c r="C248" s="22" t="n"/>
      <c r="D248" s="22" t="n"/>
      <c r="E248" s="22" t="n"/>
      <c r="F248" s="22" t="n"/>
      <c r="G248" s="22" t="n"/>
      <c r="H248" s="22" t="n"/>
      <c r="I248" s="22" t="n"/>
      <c r="J248" s="22" t="n"/>
      <c r="K248" s="22" t="n"/>
    </row>
    <row r="249">
      <c r="A249" s="324" t="n"/>
      <c r="B249" s="22" t="n"/>
      <c r="C249" s="22" t="n"/>
      <c r="D249" s="22" t="n"/>
      <c r="E249" s="22" t="n"/>
      <c r="F249" s="22" t="n"/>
      <c r="G249" s="22" t="n"/>
      <c r="H249" s="22" t="n"/>
      <c r="I249" s="22" t="n"/>
      <c r="J249" s="22" t="n"/>
      <c r="K249" s="22" t="n"/>
    </row>
    <row r="250">
      <c r="A250" s="324" t="n"/>
      <c r="B250" s="22" t="n"/>
      <c r="C250" s="22" t="n"/>
      <c r="D250" s="22" t="n"/>
      <c r="E250" s="22" t="n"/>
      <c r="F250" s="22" t="n"/>
      <c r="G250" s="22" t="n"/>
      <c r="H250" s="22" t="n"/>
      <c r="I250" s="22" t="n"/>
      <c r="J250" s="22" t="n"/>
      <c r="K250" s="22" t="n"/>
    </row>
    <row r="251">
      <c r="A251" s="324" t="n"/>
      <c r="B251" s="22" t="n"/>
      <c r="C251" s="22" t="n"/>
      <c r="D251" s="22" t="n"/>
      <c r="E251" s="22" t="n"/>
      <c r="F251" s="22" t="n"/>
      <c r="G251" s="22" t="n"/>
      <c r="H251" s="22" t="n"/>
      <c r="I251" s="22" t="n"/>
      <c r="J251" s="22" t="n"/>
      <c r="K251" s="22" t="n"/>
    </row>
    <row r="252">
      <c r="A252" s="324" t="n"/>
      <c r="B252" s="22" t="n"/>
      <c r="C252" s="22" t="n"/>
      <c r="D252" s="22" t="n"/>
      <c r="E252" s="22" t="n"/>
      <c r="F252" s="22" t="n"/>
      <c r="G252" s="22" t="n"/>
      <c r="H252" s="22" t="n"/>
      <c r="I252" s="22" t="n"/>
      <c r="J252" s="22" t="n"/>
      <c r="K252" s="22" t="n"/>
    </row>
    <row r="253">
      <c r="A253" s="324" t="n"/>
      <c r="B253" s="22" t="n"/>
      <c r="C253" s="22" t="n"/>
      <c r="D253" s="22" t="n"/>
      <c r="E253" s="22" t="n"/>
      <c r="F253" s="22" t="n"/>
      <c r="G253" s="22" t="n"/>
      <c r="H253" s="22" t="n"/>
      <c r="I253" s="22" t="n"/>
      <c r="J253" s="22" t="n"/>
      <c r="K253" s="22" t="n"/>
    </row>
    <row r="254">
      <c r="A254" s="324" t="n"/>
      <c r="B254" s="22" t="n"/>
      <c r="C254" s="22" t="n"/>
      <c r="D254" s="22" t="n"/>
      <c r="E254" s="22" t="n"/>
      <c r="F254" s="22" t="n"/>
      <c r="G254" s="22" t="n"/>
      <c r="H254" s="22" t="n"/>
      <c r="I254" s="22" t="n"/>
      <c r="J254" s="22" t="n"/>
      <c r="K254" s="22" t="n"/>
    </row>
    <row r="255">
      <c r="A255" s="324" t="n"/>
      <c r="B255" s="22" t="n"/>
      <c r="C255" s="22" t="n"/>
      <c r="D255" s="22" t="n"/>
      <c r="E255" s="22" t="n"/>
      <c r="F255" s="22" t="n"/>
      <c r="G255" s="22" t="n"/>
      <c r="H255" s="22" t="n"/>
      <c r="I255" s="22" t="n"/>
      <c r="J255" s="22" t="n"/>
      <c r="K255" s="22" t="n"/>
    </row>
    <row r="256">
      <c r="A256" s="324" t="n"/>
      <c r="B256" s="22" t="n"/>
      <c r="C256" s="22" t="n"/>
      <c r="D256" s="22" t="n"/>
      <c r="E256" s="22" t="n"/>
      <c r="F256" s="22" t="n"/>
      <c r="G256" s="22" t="n"/>
      <c r="H256" s="22" t="n"/>
      <c r="I256" s="22" t="n"/>
      <c r="J256" s="22" t="n"/>
      <c r="K256" s="22" t="n"/>
    </row>
    <row r="257">
      <c r="A257" s="324" t="n"/>
      <c r="B257" s="22" t="n"/>
      <c r="C257" s="22" t="n"/>
      <c r="D257" s="22" t="n"/>
      <c r="E257" s="22" t="n"/>
      <c r="F257" s="22" t="n"/>
      <c r="G257" s="22" t="n"/>
      <c r="H257" s="22" t="n"/>
      <c r="I257" s="22" t="n"/>
      <c r="J257" s="22" t="n"/>
      <c r="K257" s="22" t="n"/>
    </row>
    <row r="258">
      <c r="A258" s="324" t="n"/>
      <c r="B258" s="22" t="n"/>
      <c r="C258" s="22" t="n"/>
      <c r="D258" s="22" t="n"/>
      <c r="E258" s="22" t="n"/>
      <c r="F258" s="22" t="n"/>
      <c r="G258" s="22" t="n"/>
      <c r="H258" s="22" t="n"/>
      <c r="I258" s="22" t="n"/>
      <c r="J258" s="22" t="n"/>
      <c r="K258" s="22" t="n"/>
    </row>
    <row r="259">
      <c r="A259" s="324" t="n"/>
      <c r="B259" s="22" t="n"/>
      <c r="C259" s="22" t="n"/>
      <c r="D259" s="22" t="n"/>
      <c r="E259" s="22" t="n"/>
      <c r="F259" s="22" t="n"/>
      <c r="G259" s="22" t="n"/>
      <c r="H259" s="22" t="n"/>
      <c r="I259" s="22" t="n"/>
      <c r="J259" s="22" t="n"/>
      <c r="K259" s="22" t="n"/>
    </row>
    <row r="260">
      <c r="A260" s="324" t="n"/>
      <c r="B260" s="22" t="n"/>
      <c r="C260" s="22" t="n"/>
      <c r="D260" s="22" t="n"/>
      <c r="E260" s="22" t="n"/>
      <c r="F260" s="22" t="n"/>
      <c r="G260" s="22" t="n"/>
      <c r="H260" s="22" t="n"/>
      <c r="I260" s="22" t="n"/>
      <c r="J260" s="22" t="n"/>
      <c r="K260" s="22" t="n"/>
    </row>
    <row r="261">
      <c r="A261" s="324" t="n"/>
      <c r="B261" s="22" t="n"/>
      <c r="C261" s="22" t="n"/>
      <c r="D261" s="22" t="n"/>
      <c r="E261" s="22" t="n"/>
      <c r="F261" s="22" t="n"/>
      <c r="G261" s="22" t="n"/>
      <c r="H261" s="22" t="n"/>
      <c r="I261" s="22" t="n"/>
      <c r="J261" s="22" t="n"/>
      <c r="K261" s="22" t="n"/>
    </row>
    <row r="262">
      <c r="A262" s="324" t="n"/>
      <c r="B262" s="22" t="n"/>
      <c r="C262" s="22" t="n"/>
      <c r="D262" s="22" t="n"/>
      <c r="E262" s="22" t="n"/>
      <c r="F262" s="22" t="n"/>
      <c r="G262" s="22" t="n"/>
      <c r="H262" s="22" t="n"/>
      <c r="I262" s="22" t="n"/>
      <c r="J262" s="22" t="n"/>
      <c r="K262" s="22" t="n"/>
    </row>
    <row r="263">
      <c r="A263" s="324" t="n"/>
      <c r="B263" s="22" t="n"/>
      <c r="C263" s="22" t="n"/>
      <c r="D263" s="22" t="n"/>
      <c r="E263" s="22" t="n"/>
      <c r="F263" s="22" t="n"/>
      <c r="G263" s="22" t="n"/>
      <c r="H263" s="22" t="n"/>
      <c r="I263" s="22" t="n"/>
      <c r="J263" s="22" t="n"/>
      <c r="K263" s="22" t="n"/>
    </row>
    <row r="264">
      <c r="A264" s="324" t="n"/>
      <c r="B264" s="22" t="n"/>
      <c r="C264" s="22" t="n"/>
      <c r="D264" s="22" t="n"/>
      <c r="E264" s="22" t="n"/>
      <c r="F264" s="22" t="n"/>
      <c r="G264" s="22" t="n"/>
      <c r="H264" s="22" t="n"/>
      <c r="I264" s="22" t="n"/>
      <c r="J264" s="22" t="n"/>
      <c r="K264" s="22" t="n"/>
    </row>
    <row r="265">
      <c r="A265" s="324" t="n"/>
      <c r="B265" s="22" t="n"/>
      <c r="C265" s="22" t="n"/>
      <c r="D265" s="22" t="n"/>
      <c r="E265" s="22" t="n"/>
      <c r="F265" s="22" t="n"/>
      <c r="G265" s="22" t="n"/>
      <c r="H265" s="22" t="n"/>
      <c r="I265" s="22" t="n"/>
      <c r="J265" s="22" t="n"/>
      <c r="K265" s="22" t="n"/>
    </row>
    <row r="266">
      <c r="A266" s="324" t="n"/>
      <c r="B266" s="22" t="n"/>
      <c r="C266" s="22" t="n"/>
      <c r="D266" s="22" t="n"/>
      <c r="E266" s="22" t="n"/>
      <c r="F266" s="22" t="n"/>
      <c r="G266" s="22" t="n"/>
      <c r="H266" s="22" t="n"/>
      <c r="I266" s="22" t="n"/>
      <c r="J266" s="22" t="n"/>
      <c r="K266" s="22" t="n"/>
    </row>
    <row r="267">
      <c r="A267" s="324" t="n"/>
      <c r="B267" s="22" t="n"/>
      <c r="C267" s="22" t="n"/>
      <c r="D267" s="22" t="n"/>
      <c r="E267" s="22" t="n"/>
      <c r="F267" s="22" t="n"/>
      <c r="G267" s="22" t="n"/>
      <c r="H267" s="22" t="n"/>
      <c r="I267" s="22" t="n"/>
      <c r="J267" s="22" t="n"/>
      <c r="K267" s="22" t="n"/>
    </row>
    <row r="268">
      <c r="A268" s="324" t="n"/>
      <c r="B268" s="22" t="n"/>
      <c r="C268" s="22" t="n"/>
      <c r="D268" s="22" t="n"/>
      <c r="E268" s="22" t="n"/>
      <c r="F268" s="22" t="n"/>
      <c r="G268" s="22" t="n"/>
      <c r="H268" s="22" t="n"/>
      <c r="I268" s="22" t="n"/>
      <c r="J268" s="22" t="n"/>
      <c r="K268" s="22" t="n"/>
    </row>
    <row r="269">
      <c r="A269" s="324" t="n"/>
      <c r="B269" s="22" t="n"/>
      <c r="C269" s="22" t="n"/>
      <c r="D269" s="22" t="n"/>
      <c r="E269" s="22" t="n"/>
      <c r="F269" s="22" t="n"/>
      <c r="G269" s="22" t="n"/>
      <c r="H269" s="22" t="n"/>
      <c r="I269" s="22" t="n"/>
      <c r="J269" s="22" t="n"/>
      <c r="K269" s="22" t="n"/>
    </row>
    <row r="270">
      <c r="A270" s="324" t="n"/>
      <c r="B270" s="22" t="n"/>
      <c r="C270" s="22" t="n"/>
      <c r="D270" s="22" t="n"/>
      <c r="E270" s="22" t="n"/>
      <c r="F270" s="22" t="n"/>
      <c r="G270" s="22" t="n"/>
      <c r="H270" s="22" t="n"/>
      <c r="I270" s="22" t="n"/>
      <c r="J270" s="22" t="n"/>
      <c r="K270" s="22" t="n"/>
    </row>
    <row r="271">
      <c r="A271" s="324" t="n"/>
      <c r="B271" s="22" t="n"/>
      <c r="C271" s="22" t="n"/>
      <c r="D271" s="22" t="n"/>
      <c r="E271" s="22" t="n"/>
      <c r="F271" s="22" t="n"/>
      <c r="G271" s="22" t="n"/>
      <c r="H271" s="22" t="n"/>
      <c r="I271" s="22" t="n"/>
      <c r="J271" s="22" t="n"/>
      <c r="K271" s="22" t="n"/>
    </row>
    <row r="272">
      <c r="A272" s="324" t="n"/>
      <c r="B272" s="22" t="n"/>
      <c r="C272" s="22" t="n"/>
      <c r="D272" s="22" t="n"/>
      <c r="E272" s="22" t="n"/>
      <c r="F272" s="22" t="n"/>
      <c r="G272" s="22" t="n"/>
      <c r="H272" s="22" t="n"/>
      <c r="I272" s="22" t="n"/>
      <c r="J272" s="22" t="n"/>
      <c r="K272" s="22" t="n"/>
    </row>
    <row r="273">
      <c r="A273" s="324" t="n"/>
      <c r="B273" s="22" t="n"/>
      <c r="C273" s="22" t="n"/>
      <c r="D273" s="22" t="n"/>
      <c r="E273" s="22" t="n"/>
      <c r="F273" s="22" t="n"/>
      <c r="G273" s="22" t="n"/>
      <c r="H273" s="22" t="n"/>
      <c r="I273" s="22" t="n"/>
      <c r="J273" s="22" t="n"/>
      <c r="K273" s="22" t="n"/>
    </row>
    <row r="274">
      <c r="A274" s="324" t="n"/>
      <c r="B274" s="22" t="n"/>
      <c r="C274" s="22" t="n"/>
      <c r="D274" s="22" t="n"/>
      <c r="E274" s="22" t="n"/>
      <c r="F274" s="22" t="n"/>
      <c r="G274" s="22" t="n"/>
      <c r="H274" s="22" t="n"/>
      <c r="I274" s="22" t="n"/>
      <c r="J274" s="22" t="n"/>
      <c r="K274" s="22" t="n"/>
    </row>
    <row r="275">
      <c r="A275" s="324" t="n"/>
      <c r="B275" s="22" t="n"/>
      <c r="C275" s="22" t="n"/>
      <c r="D275" s="22" t="n"/>
      <c r="E275" s="22" t="n"/>
      <c r="F275" s="22" t="n"/>
      <c r="G275" s="22" t="n"/>
      <c r="H275" s="22" t="n"/>
      <c r="I275" s="22" t="n"/>
      <c r="J275" s="22" t="n"/>
      <c r="K275" s="22" t="n"/>
    </row>
    <row r="276">
      <c r="A276" s="324" t="n"/>
      <c r="B276" s="22" t="n"/>
      <c r="C276" s="22" t="n"/>
      <c r="D276" s="22" t="n"/>
      <c r="E276" s="22" t="n"/>
      <c r="F276" s="22" t="n"/>
      <c r="G276" s="22" t="n"/>
      <c r="H276" s="22" t="n"/>
      <c r="I276" s="22" t="n"/>
      <c r="J276" s="22" t="n"/>
      <c r="K276" s="22" t="n"/>
    </row>
    <row r="277">
      <c r="A277" s="324" t="n"/>
      <c r="B277" s="22" t="n"/>
      <c r="C277" s="22" t="n"/>
      <c r="D277" s="22" t="n"/>
      <c r="E277" s="22" t="n"/>
      <c r="F277" s="22" t="n"/>
      <c r="G277" s="22" t="n"/>
      <c r="H277" s="22" t="n"/>
      <c r="I277" s="22" t="n"/>
      <c r="J277" s="22" t="n"/>
      <c r="K277" s="22" t="n"/>
    </row>
    <row r="278">
      <c r="A278" s="324" t="n"/>
      <c r="B278" s="22" t="n"/>
      <c r="C278" s="22" t="n"/>
      <c r="D278" s="22" t="n"/>
      <c r="E278" s="22" t="n"/>
      <c r="F278" s="22" t="n"/>
      <c r="G278" s="22" t="n"/>
      <c r="H278" s="22" t="n"/>
      <c r="I278" s="22" t="n"/>
      <c r="J278" s="22" t="n"/>
      <c r="K278" s="22" t="n"/>
    </row>
    <row r="279">
      <c r="A279" s="324" t="n"/>
      <c r="B279" s="22" t="n"/>
      <c r="C279" s="22" t="n"/>
      <c r="D279" s="22" t="n"/>
      <c r="E279" s="22" t="n"/>
      <c r="F279" s="22" t="n"/>
      <c r="G279" s="22" t="n"/>
      <c r="H279" s="22" t="n"/>
      <c r="I279" s="22" t="n"/>
      <c r="J279" s="22" t="n"/>
      <c r="K279" s="22" t="n"/>
    </row>
    <row r="280">
      <c r="A280" s="324" t="n"/>
      <c r="B280" s="22" t="n"/>
      <c r="C280" s="22" t="n"/>
      <c r="D280" s="22" t="n"/>
      <c r="E280" s="22" t="n"/>
      <c r="F280" s="22" t="n"/>
      <c r="G280" s="22" t="n"/>
      <c r="H280" s="22" t="n"/>
      <c r="I280" s="22" t="n"/>
      <c r="J280" s="22" t="n"/>
      <c r="K280" s="22" t="n"/>
    </row>
    <row r="281">
      <c r="A281" s="324" t="n"/>
      <c r="B281" s="22" t="n"/>
      <c r="C281" s="22" t="n"/>
      <c r="D281" s="22" t="n"/>
      <c r="E281" s="22" t="n"/>
      <c r="F281" s="22" t="n"/>
      <c r="G281" s="22" t="n"/>
      <c r="H281" s="22" t="n"/>
      <c r="I281" s="22" t="n"/>
      <c r="J281" s="22" t="n"/>
      <c r="K281" s="22" t="n"/>
    </row>
    <row r="282">
      <c r="A282" s="324" t="n"/>
      <c r="B282" s="22" t="n"/>
      <c r="C282" s="22" t="n"/>
      <c r="D282" s="22" t="n"/>
      <c r="E282" s="22" t="n"/>
      <c r="F282" s="22" t="n"/>
      <c r="G282" s="22" t="n"/>
      <c r="H282" s="22" t="n"/>
      <c r="I282" s="22" t="n"/>
      <c r="J282" s="22" t="n"/>
      <c r="K282" s="22" t="n"/>
    </row>
    <row r="283">
      <c r="A283" s="324" t="n"/>
      <c r="B283" s="22" t="n"/>
      <c r="C283" s="22" t="n"/>
      <c r="D283" s="22" t="n"/>
      <c r="E283" s="22" t="n"/>
      <c r="F283" s="22" t="n"/>
      <c r="G283" s="22" t="n"/>
      <c r="H283" s="22" t="n"/>
      <c r="I283" s="22" t="n"/>
      <c r="J283" s="22" t="n"/>
      <c r="K283" s="22" t="n"/>
    </row>
    <row r="284">
      <c r="A284" s="324" t="n"/>
      <c r="B284" s="22" t="n"/>
      <c r="C284" s="22" t="n"/>
      <c r="D284" s="22" t="n"/>
      <c r="E284" s="22" t="n"/>
      <c r="F284" s="22" t="n"/>
      <c r="G284" s="22" t="n"/>
      <c r="H284" s="22" t="n"/>
      <c r="I284" s="22" t="n"/>
      <c r="J284" s="22" t="n"/>
      <c r="K284" s="22" t="n"/>
    </row>
    <row r="285">
      <c r="A285" s="324" t="n"/>
      <c r="B285" s="22" t="n"/>
      <c r="C285" s="22" t="n"/>
      <c r="D285" s="22" t="n"/>
      <c r="E285" s="22" t="n"/>
      <c r="F285" s="22" t="n"/>
      <c r="G285" s="22" t="n"/>
      <c r="H285" s="22" t="n"/>
      <c r="I285" s="22" t="n"/>
      <c r="J285" s="22" t="n"/>
      <c r="K285" s="22" t="n"/>
    </row>
    <row r="286">
      <c r="A286" s="324" t="n"/>
      <c r="B286" s="22" t="n"/>
      <c r="C286" s="22" t="n"/>
      <c r="D286" s="22" t="n"/>
      <c r="E286" s="22" t="n"/>
      <c r="F286" s="22" t="n"/>
      <c r="G286" s="22" t="n"/>
      <c r="H286" s="22" t="n"/>
      <c r="I286" s="22" t="n"/>
      <c r="J286" s="22" t="n"/>
      <c r="K286" s="22" t="n"/>
    </row>
    <row r="287">
      <c r="A287" s="324" t="n"/>
      <c r="B287" s="22" t="n"/>
      <c r="C287" s="22" t="n"/>
      <c r="D287" s="22" t="n"/>
      <c r="E287" s="22" t="n"/>
      <c r="F287" s="22" t="n"/>
      <c r="G287" s="22" t="n"/>
      <c r="H287" s="22" t="n"/>
      <c r="I287" s="22" t="n"/>
      <c r="J287" s="22" t="n"/>
      <c r="K287" s="22" t="n"/>
    </row>
    <row r="288">
      <c r="A288" s="324" t="n"/>
      <c r="B288" s="22" t="n"/>
      <c r="C288" s="22" t="n"/>
      <c r="D288" s="22" t="n"/>
      <c r="E288" s="22" t="n"/>
      <c r="F288" s="22" t="n"/>
      <c r="G288" s="22" t="n"/>
      <c r="H288" s="22" t="n"/>
      <c r="I288" s="22" t="n"/>
      <c r="J288" s="22" t="n"/>
      <c r="K288" s="22" t="n"/>
    </row>
    <row r="289">
      <c r="A289" s="324" t="n"/>
      <c r="B289" s="22" t="n"/>
      <c r="C289" s="22" t="n"/>
      <c r="D289" s="22" t="n"/>
      <c r="E289" s="22" t="n"/>
      <c r="F289" s="22" t="n"/>
      <c r="G289" s="22" t="n"/>
      <c r="H289" s="22" t="n"/>
      <c r="I289" s="22" t="n"/>
      <c r="J289" s="22" t="n"/>
      <c r="K289" s="22" t="n"/>
    </row>
    <row r="290">
      <c r="A290" s="324" t="n"/>
      <c r="B290" s="22" t="n"/>
      <c r="C290" s="22" t="n"/>
      <c r="D290" s="22" t="n"/>
      <c r="E290" s="22" t="n"/>
      <c r="F290" s="22" t="n"/>
      <c r="G290" s="22" t="n"/>
      <c r="H290" s="22" t="n"/>
      <c r="I290" s="22" t="n"/>
      <c r="J290" s="22" t="n"/>
      <c r="K290" s="22" t="n"/>
    </row>
    <row r="291">
      <c r="A291" s="324" t="n"/>
      <c r="B291" s="22" t="n"/>
      <c r="C291" s="22" t="n"/>
      <c r="D291" s="22" t="n"/>
      <c r="E291" s="22" t="n"/>
      <c r="F291" s="22" t="n"/>
      <c r="G291" s="22" t="n"/>
      <c r="H291" s="22" t="n"/>
      <c r="I291" s="22" t="n"/>
      <c r="J291" s="22" t="n"/>
      <c r="K291" s="22" t="n"/>
    </row>
    <row r="292">
      <c r="A292" s="324" t="n"/>
      <c r="B292" s="22" t="n"/>
      <c r="C292" s="22" t="n"/>
      <c r="D292" s="22" t="n"/>
      <c r="E292" s="22" t="n"/>
      <c r="F292" s="22" t="n"/>
      <c r="G292" s="22" t="n"/>
      <c r="H292" s="22" t="n"/>
      <c r="I292" s="22" t="n"/>
      <c r="J292" s="22" t="n"/>
      <c r="K292" s="22" t="n"/>
    </row>
    <row r="293">
      <c r="A293" s="324" t="n"/>
      <c r="B293" s="22" t="n"/>
      <c r="C293" s="22" t="n"/>
      <c r="D293" s="22" t="n"/>
      <c r="E293" s="22" t="n"/>
      <c r="F293" s="22" t="n"/>
      <c r="G293" s="22" t="n"/>
      <c r="H293" s="22" t="n"/>
      <c r="I293" s="22" t="n"/>
      <c r="J293" s="22" t="n"/>
      <c r="K293" s="22" t="n"/>
    </row>
    <row r="294">
      <c r="A294" s="324" t="n"/>
      <c r="B294" s="22" t="n"/>
      <c r="C294" s="22" t="n"/>
      <c r="D294" s="22" t="n"/>
      <c r="E294" s="22" t="n"/>
      <c r="F294" s="22" t="n"/>
      <c r="G294" s="22" t="n"/>
      <c r="H294" s="22" t="n"/>
      <c r="I294" s="22" t="n"/>
      <c r="J294" s="22" t="n"/>
      <c r="K294" s="22" t="n"/>
    </row>
    <row r="295">
      <c r="A295" s="324" t="n"/>
      <c r="B295" s="22" t="n"/>
      <c r="C295" s="22" t="n"/>
      <c r="D295" s="22" t="n"/>
      <c r="E295" s="22" t="n"/>
      <c r="F295" s="22" t="n"/>
      <c r="G295" s="22" t="n"/>
      <c r="H295" s="22" t="n"/>
      <c r="I295" s="22" t="n"/>
      <c r="J295" s="22" t="n"/>
      <c r="K295" s="22" t="n"/>
    </row>
    <row r="296">
      <c r="A296" s="324" t="n"/>
      <c r="B296" s="22" t="n"/>
      <c r="C296" s="22" t="n"/>
      <c r="D296" s="22" t="n"/>
      <c r="E296" s="22" t="n"/>
      <c r="F296" s="22" t="n"/>
      <c r="G296" s="22" t="n"/>
      <c r="H296" s="22" t="n"/>
      <c r="I296" s="22" t="n"/>
      <c r="J296" s="22" t="n"/>
      <c r="K296" s="22" t="n"/>
    </row>
    <row r="297">
      <c r="A297" s="324" t="n"/>
      <c r="B297" s="22" t="n"/>
      <c r="C297" s="22" t="n"/>
      <c r="D297" s="22" t="n"/>
      <c r="E297" s="22" t="n"/>
      <c r="F297" s="22" t="n"/>
      <c r="G297" s="22" t="n"/>
      <c r="H297" s="22" t="n"/>
      <c r="I297" s="22" t="n"/>
      <c r="J297" s="22" t="n"/>
      <c r="K297" s="22" t="n"/>
    </row>
    <row r="298">
      <c r="A298" s="324" t="n"/>
      <c r="B298" s="22" t="n"/>
      <c r="C298" s="22" t="n"/>
      <c r="D298" s="22" t="n"/>
      <c r="E298" s="22" t="n"/>
      <c r="F298" s="22" t="n"/>
      <c r="G298" s="22" t="n"/>
      <c r="H298" s="22" t="n"/>
      <c r="I298" s="22" t="n"/>
      <c r="J298" s="22" t="n"/>
      <c r="K298" s="22" t="n"/>
    </row>
    <row r="299">
      <c r="A299" s="324" t="n"/>
      <c r="B299" s="22" t="n"/>
      <c r="C299" s="22" t="n"/>
      <c r="D299" s="22" t="n"/>
      <c r="E299" s="22" t="n"/>
      <c r="F299" s="22" t="n"/>
      <c r="G299" s="22" t="n"/>
      <c r="H299" s="22" t="n"/>
      <c r="I299" s="22" t="n"/>
      <c r="J299" s="22" t="n"/>
      <c r="K299" s="22" t="n"/>
    </row>
    <row r="300">
      <c r="A300" s="324" t="n"/>
      <c r="B300" s="22" t="n"/>
      <c r="C300" s="22" t="n"/>
      <c r="D300" s="22" t="n"/>
      <c r="E300" s="22" t="n"/>
      <c r="F300" s="22" t="n"/>
      <c r="G300" s="22" t="n"/>
      <c r="H300" s="22" t="n"/>
      <c r="I300" s="22" t="n"/>
      <c r="J300" s="22" t="n"/>
      <c r="K300" s="22" t="n"/>
    </row>
    <row r="301">
      <c r="A301" s="324" t="n"/>
      <c r="B301" s="22" t="n"/>
      <c r="C301" s="22" t="n"/>
      <c r="D301" s="22" t="n"/>
      <c r="E301" s="22" t="n"/>
      <c r="F301" s="22" t="n"/>
      <c r="G301" s="22" t="n"/>
      <c r="H301" s="22" t="n"/>
      <c r="I301" s="22" t="n"/>
      <c r="J301" s="22" t="n"/>
      <c r="K301" s="22" t="n"/>
    </row>
    <row r="302">
      <c r="A302" s="324" t="n"/>
      <c r="B302" s="22" t="n"/>
      <c r="C302" s="22" t="n"/>
      <c r="D302" s="22" t="n"/>
      <c r="E302" s="22" t="n"/>
      <c r="F302" s="22" t="n"/>
      <c r="G302" s="22" t="n"/>
      <c r="H302" s="22" t="n"/>
      <c r="I302" s="22" t="n"/>
      <c r="J302" s="22" t="n"/>
      <c r="K302" s="22" t="n"/>
    </row>
    <row r="303">
      <c r="A303" s="324" t="n"/>
      <c r="B303" s="22" t="n"/>
      <c r="C303" s="22" t="n"/>
      <c r="D303" s="22" t="n"/>
      <c r="E303" s="22" t="n"/>
      <c r="F303" s="22" t="n"/>
      <c r="G303" s="22" t="n"/>
      <c r="H303" s="22" t="n"/>
      <c r="I303" s="22" t="n"/>
      <c r="J303" s="22" t="n"/>
      <c r="K303" s="22" t="n"/>
    </row>
    <row r="304">
      <c r="A304" s="324" t="n"/>
      <c r="B304" s="22" t="n"/>
      <c r="C304" s="22" t="n"/>
      <c r="D304" s="22" t="n"/>
      <c r="E304" s="22" t="n"/>
      <c r="F304" s="22" t="n"/>
      <c r="G304" s="22" t="n"/>
      <c r="H304" s="22" t="n"/>
      <c r="I304" s="22" t="n"/>
      <c r="J304" s="22" t="n"/>
      <c r="K304" s="22" t="n"/>
    </row>
    <row r="305">
      <c r="A305" s="324" t="n"/>
      <c r="B305" s="22" t="n"/>
      <c r="C305" s="22" t="n"/>
      <c r="D305" s="22" t="n"/>
      <c r="E305" s="22" t="n"/>
      <c r="F305" s="22" t="n"/>
      <c r="G305" s="22" t="n"/>
      <c r="H305" s="22" t="n"/>
      <c r="I305" s="22" t="n"/>
      <c r="J305" s="22" t="n"/>
      <c r="K305" s="22" t="n"/>
    </row>
    <row r="306">
      <c r="A306" s="324" t="n"/>
      <c r="B306" s="22" t="n"/>
      <c r="C306" s="22" t="n"/>
      <c r="D306" s="22" t="n"/>
      <c r="E306" s="22" t="n"/>
      <c r="F306" s="22" t="n"/>
      <c r="G306" s="22" t="n"/>
      <c r="H306" s="22" t="n"/>
      <c r="I306" s="22" t="n"/>
      <c r="J306" s="22" t="n"/>
      <c r="K306" s="22" t="n"/>
    </row>
    <row r="307">
      <c r="A307" s="324" t="n"/>
      <c r="B307" s="22" t="n"/>
      <c r="C307" s="22" t="n"/>
      <c r="D307" s="22" t="n"/>
      <c r="E307" s="22" t="n"/>
      <c r="F307" s="22" t="n"/>
      <c r="G307" s="22" t="n"/>
      <c r="H307" s="22" t="n"/>
      <c r="I307" s="22" t="n"/>
      <c r="J307" s="22" t="n"/>
      <c r="K307" s="22" t="n"/>
    </row>
    <row r="308">
      <c r="A308" s="324" t="n"/>
      <c r="B308" s="22" t="n"/>
      <c r="C308" s="22" t="n"/>
      <c r="D308" s="22" t="n"/>
      <c r="E308" s="22" t="n"/>
      <c r="F308" s="22" t="n"/>
      <c r="G308" s="22" t="n"/>
      <c r="H308" s="22" t="n"/>
      <c r="I308" s="22" t="n"/>
      <c r="J308" s="22" t="n"/>
      <c r="K308" s="22" t="n"/>
    </row>
    <row r="309">
      <c r="A309" s="324" t="n"/>
      <c r="B309" s="22" t="n"/>
      <c r="C309" s="22" t="n"/>
      <c r="D309" s="22" t="n"/>
      <c r="E309" s="22" t="n"/>
      <c r="F309" s="22" t="n"/>
      <c r="G309" s="22" t="n"/>
      <c r="H309" s="22" t="n"/>
      <c r="I309" s="22" t="n"/>
      <c r="J309" s="22" t="n"/>
      <c r="K309" s="22" t="n"/>
    </row>
    <row r="310">
      <c r="A310" s="324" t="n"/>
      <c r="B310" s="22" t="n"/>
      <c r="C310" s="22" t="n"/>
      <c r="D310" s="22" t="n"/>
      <c r="E310" s="22" t="n"/>
      <c r="F310" s="22" t="n"/>
      <c r="G310" s="22" t="n"/>
      <c r="H310" s="22" t="n"/>
      <c r="I310" s="22" t="n"/>
      <c r="J310" s="22" t="n"/>
      <c r="K310" s="22" t="n"/>
    </row>
    <row r="311">
      <c r="A311" s="324" t="n"/>
      <c r="B311" s="22" t="n"/>
      <c r="C311" s="22" t="n"/>
      <c r="D311" s="22" t="n"/>
      <c r="E311" s="22" t="n"/>
      <c r="F311" s="22" t="n"/>
      <c r="G311" s="22" t="n"/>
      <c r="H311" s="22" t="n"/>
      <c r="I311" s="22" t="n"/>
      <c r="J311" s="22" t="n"/>
      <c r="K311" s="22" t="n"/>
    </row>
    <row r="312">
      <c r="A312" s="324" t="n"/>
      <c r="B312" s="22" t="n"/>
      <c r="C312" s="22" t="n"/>
      <c r="D312" s="22" t="n"/>
      <c r="E312" s="22" t="n"/>
      <c r="F312" s="22" t="n"/>
      <c r="G312" s="22" t="n"/>
      <c r="H312" s="22" t="n"/>
      <c r="I312" s="22" t="n"/>
      <c r="J312" s="22" t="n"/>
      <c r="K312" s="22" t="n"/>
    </row>
    <row r="313">
      <c r="A313" s="324" t="n"/>
      <c r="B313" s="22" t="n"/>
      <c r="C313" s="22" t="n"/>
      <c r="D313" s="22" t="n"/>
      <c r="E313" s="22" t="n"/>
      <c r="F313" s="22" t="n"/>
      <c r="G313" s="22" t="n"/>
      <c r="H313" s="22" t="n"/>
      <c r="I313" s="22" t="n"/>
      <c r="J313" s="22" t="n"/>
      <c r="K313" s="22" t="n"/>
    </row>
    <row r="314">
      <c r="A314" s="324" t="n"/>
      <c r="B314" s="22" t="n"/>
      <c r="C314" s="22" t="n"/>
      <c r="D314" s="22" t="n"/>
      <c r="E314" s="22" t="n"/>
      <c r="F314" s="22" t="n"/>
      <c r="G314" s="22" t="n"/>
      <c r="H314" s="22" t="n"/>
      <c r="I314" s="22" t="n"/>
      <c r="J314" s="22" t="n"/>
      <c r="K314" s="22" t="n"/>
    </row>
    <row r="315">
      <c r="A315" s="324" t="n"/>
      <c r="B315" s="22" t="n"/>
      <c r="C315" s="22" t="n"/>
      <c r="D315" s="22" t="n"/>
      <c r="E315" s="22" t="n"/>
      <c r="F315" s="22" t="n"/>
      <c r="G315" s="22" t="n"/>
      <c r="H315" s="22" t="n"/>
      <c r="I315" s="22" t="n"/>
      <c r="J315" s="22" t="n"/>
      <c r="K315" s="22" t="n"/>
    </row>
    <row r="316">
      <c r="A316" s="324" t="n"/>
      <c r="B316" s="22" t="n"/>
      <c r="C316" s="22" t="n"/>
      <c r="D316" s="22" t="n"/>
      <c r="E316" s="22" t="n"/>
      <c r="F316" s="22" t="n"/>
      <c r="G316" s="22" t="n"/>
      <c r="H316" s="22" t="n"/>
      <c r="I316" s="22" t="n"/>
      <c r="J316" s="22" t="n"/>
      <c r="K316" s="22" t="n"/>
    </row>
    <row r="317">
      <c r="A317" s="324" t="n"/>
      <c r="B317" s="22" t="n"/>
      <c r="C317" s="22" t="n"/>
      <c r="D317" s="22" t="n"/>
      <c r="E317" s="22" t="n"/>
      <c r="F317" s="22" t="n"/>
      <c r="G317" s="22" t="n"/>
      <c r="H317" s="22" t="n"/>
      <c r="I317" s="22" t="n"/>
      <c r="J317" s="22" t="n"/>
      <c r="K317" s="22" t="n"/>
    </row>
    <row r="318">
      <c r="A318" s="324" t="n"/>
      <c r="B318" s="22" t="n"/>
      <c r="C318" s="22" t="n"/>
      <c r="D318" s="22" t="n"/>
      <c r="E318" s="22" t="n"/>
      <c r="F318" s="22" t="n"/>
      <c r="G318" s="22" t="n"/>
      <c r="H318" s="22" t="n"/>
      <c r="I318" s="22" t="n"/>
      <c r="J318" s="22" t="n"/>
      <c r="K318" s="22" t="n"/>
    </row>
    <row r="319">
      <c r="A319" s="324" t="n"/>
      <c r="B319" s="22" t="n"/>
      <c r="C319" s="22" t="n"/>
      <c r="D319" s="22" t="n"/>
      <c r="E319" s="22" t="n"/>
      <c r="F319" s="22" t="n"/>
      <c r="G319" s="22" t="n"/>
      <c r="H319" s="22" t="n"/>
      <c r="I319" s="22" t="n"/>
      <c r="J319" s="22" t="n"/>
      <c r="K319" s="22" t="n"/>
    </row>
    <row r="320">
      <c r="A320" s="324" t="n"/>
      <c r="B320" s="22" t="n"/>
      <c r="C320" s="22" t="n"/>
      <c r="D320" s="22" t="n"/>
      <c r="E320" s="22" t="n"/>
      <c r="F320" s="22" t="n"/>
      <c r="G320" s="22" t="n"/>
      <c r="H320" s="22" t="n"/>
      <c r="I320" s="22" t="n"/>
      <c r="J320" s="22" t="n"/>
      <c r="K320" s="22" t="n"/>
    </row>
    <row r="321">
      <c r="A321" s="324" t="n"/>
      <c r="B321" s="22" t="n"/>
      <c r="C321" s="22" t="n"/>
      <c r="D321" s="22" t="n"/>
      <c r="E321" s="22" t="n"/>
      <c r="F321" s="22" t="n"/>
      <c r="G321" s="22" t="n"/>
      <c r="H321" s="22" t="n"/>
      <c r="I321" s="22" t="n"/>
      <c r="J321" s="22" t="n"/>
      <c r="K321" s="22" t="n"/>
    </row>
    <row r="322">
      <c r="A322" s="324" t="n"/>
      <c r="B322" s="22" t="n"/>
      <c r="C322" s="22" t="n"/>
      <c r="D322" s="22" t="n"/>
      <c r="E322" s="22" t="n"/>
      <c r="F322" s="22" t="n"/>
      <c r="G322" s="22" t="n"/>
      <c r="H322" s="22" t="n"/>
      <c r="I322" s="22" t="n"/>
      <c r="J322" s="22" t="n"/>
      <c r="K322" s="22" t="n"/>
    </row>
    <row r="323">
      <c r="A323" s="324" t="n"/>
      <c r="B323" s="22" t="n"/>
      <c r="C323" s="22" t="n"/>
      <c r="D323" s="22" t="n"/>
      <c r="E323" s="22" t="n"/>
      <c r="F323" s="22" t="n"/>
      <c r="G323" s="22" t="n"/>
      <c r="H323" s="22" t="n"/>
      <c r="I323" s="22" t="n"/>
      <c r="J323" s="22" t="n"/>
      <c r="K323" s="22" t="n"/>
    </row>
    <row r="324">
      <c r="A324" s="324" t="n"/>
      <c r="B324" s="22" t="n"/>
      <c r="C324" s="22" t="n"/>
      <c r="D324" s="22" t="n"/>
      <c r="E324" s="22" t="n"/>
      <c r="F324" s="22" t="n"/>
      <c r="G324" s="22" t="n"/>
      <c r="H324" s="22" t="n"/>
      <c r="I324" s="22" t="n"/>
      <c r="J324" s="22" t="n"/>
      <c r="K324" s="22" t="n"/>
    </row>
    <row r="325">
      <c r="A325" s="324" t="n"/>
      <c r="B325" s="22" t="n"/>
      <c r="C325" s="22" t="n"/>
      <c r="D325" s="22" t="n"/>
      <c r="E325" s="22" t="n"/>
      <c r="F325" s="22" t="n"/>
      <c r="G325" s="22" t="n"/>
      <c r="H325" s="22" t="n"/>
      <c r="I325" s="22" t="n"/>
      <c r="J325" s="22" t="n"/>
      <c r="K325" s="22" t="n"/>
    </row>
    <row r="326">
      <c r="A326" s="324" t="n"/>
      <c r="B326" s="22" t="n"/>
      <c r="C326" s="22" t="n"/>
      <c r="D326" s="22" t="n"/>
      <c r="E326" s="22" t="n"/>
      <c r="F326" s="22" t="n"/>
      <c r="G326" s="22" t="n"/>
      <c r="H326" s="22" t="n"/>
      <c r="I326" s="22" t="n"/>
      <c r="J326" s="22" t="n"/>
      <c r="K326" s="22" t="n"/>
    </row>
    <row r="327">
      <c r="A327" s="324" t="n"/>
      <c r="B327" s="22" t="n"/>
      <c r="C327" s="22" t="n"/>
      <c r="D327" s="22" t="n"/>
      <c r="E327" s="22" t="n"/>
      <c r="F327" s="22" t="n"/>
      <c r="G327" s="22" t="n"/>
      <c r="H327" s="22" t="n"/>
      <c r="I327" s="22" t="n"/>
      <c r="J327" s="22" t="n"/>
      <c r="K327" s="22" t="n"/>
    </row>
    <row r="328">
      <c r="A328" s="324" t="n"/>
      <c r="B328" s="22" t="n"/>
      <c r="C328" s="22" t="n"/>
      <c r="D328" s="22" t="n"/>
      <c r="E328" s="22" t="n"/>
      <c r="F328" s="22" t="n"/>
      <c r="G328" s="22" t="n"/>
      <c r="H328" s="22" t="n"/>
      <c r="I328" s="22" t="n"/>
      <c r="J328" s="22" t="n"/>
      <c r="K328" s="22" t="n"/>
    </row>
    <row r="329">
      <c r="A329" s="324" t="n"/>
      <c r="B329" s="22" t="n"/>
      <c r="C329" s="22" t="n"/>
      <c r="D329" s="22" t="n"/>
      <c r="E329" s="22" t="n"/>
      <c r="F329" s="22" t="n"/>
      <c r="G329" s="22" t="n"/>
      <c r="H329" s="22" t="n"/>
      <c r="I329" s="22" t="n"/>
      <c r="J329" s="22" t="n"/>
      <c r="K329" s="22" t="n"/>
    </row>
    <row r="330">
      <c r="A330" s="324" t="n"/>
      <c r="B330" s="22" t="n"/>
      <c r="C330" s="22" t="n"/>
      <c r="D330" s="22" t="n"/>
      <c r="E330" s="22" t="n"/>
      <c r="F330" s="22" t="n"/>
      <c r="G330" s="22" t="n"/>
      <c r="H330" s="22" t="n"/>
      <c r="I330" s="22" t="n"/>
      <c r="J330" s="22" t="n"/>
      <c r="K330" s="22" t="n"/>
    </row>
    <row r="331">
      <c r="A331" s="324" t="n"/>
      <c r="B331" s="22" t="n"/>
      <c r="C331" s="22" t="n"/>
      <c r="D331" s="22" t="n"/>
      <c r="E331" s="22" t="n"/>
      <c r="F331" s="22" t="n"/>
      <c r="G331" s="22" t="n"/>
      <c r="H331" s="22" t="n"/>
      <c r="I331" s="22" t="n"/>
      <c r="J331" s="22" t="n"/>
      <c r="K331" s="22" t="n"/>
    </row>
    <row r="332">
      <c r="A332" s="324" t="n"/>
      <c r="B332" s="22" t="n"/>
      <c r="C332" s="22" t="n"/>
      <c r="D332" s="22" t="n"/>
      <c r="E332" s="22" t="n"/>
      <c r="F332" s="22" t="n"/>
      <c r="G332" s="22" t="n"/>
      <c r="H332" s="22" t="n"/>
      <c r="I332" s="22" t="n"/>
      <c r="J332" s="22" t="n"/>
      <c r="K332" s="22" t="n"/>
    </row>
    <row r="333">
      <c r="A333" s="324" t="n"/>
      <c r="B333" s="22" t="n"/>
      <c r="C333" s="22" t="n"/>
      <c r="D333" s="22" t="n"/>
      <c r="E333" s="22" t="n"/>
      <c r="F333" s="22" t="n"/>
      <c r="G333" s="22" t="n"/>
      <c r="H333" s="22" t="n"/>
      <c r="I333" s="22" t="n"/>
      <c r="J333" s="22" t="n"/>
      <c r="K333" s="22" t="n"/>
    </row>
    <row r="334">
      <c r="A334" s="324" t="n"/>
      <c r="B334" s="22" t="n"/>
      <c r="C334" s="22" t="n"/>
      <c r="D334" s="22" t="n"/>
      <c r="E334" s="22" t="n"/>
      <c r="F334" s="22" t="n"/>
      <c r="G334" s="22" t="n"/>
      <c r="H334" s="22" t="n"/>
      <c r="I334" s="22" t="n"/>
      <c r="J334" s="22" t="n"/>
      <c r="K334" s="22" t="n"/>
    </row>
    <row r="335">
      <c r="A335" s="324" t="n"/>
      <c r="B335" s="22" t="n"/>
      <c r="C335" s="22" t="n"/>
      <c r="D335" s="22" t="n"/>
      <c r="E335" s="22" t="n"/>
      <c r="F335" s="22" t="n"/>
      <c r="G335" s="22" t="n"/>
      <c r="H335" s="22" t="n"/>
      <c r="I335" s="22" t="n"/>
      <c r="J335" s="22" t="n"/>
      <c r="K335" s="22" t="n"/>
    </row>
    <row r="336">
      <c r="A336" s="324" t="n"/>
      <c r="B336" s="22" t="n"/>
      <c r="C336" s="22" t="n"/>
      <c r="D336" s="22" t="n"/>
      <c r="E336" s="22" t="n"/>
      <c r="F336" s="22" t="n"/>
      <c r="G336" s="22" t="n"/>
      <c r="H336" s="22" t="n"/>
      <c r="I336" s="22" t="n"/>
      <c r="J336" s="22" t="n"/>
      <c r="K336" s="22" t="n"/>
    </row>
    <row r="337">
      <c r="A337" s="324" t="n"/>
      <c r="B337" s="22" t="n"/>
      <c r="C337" s="22" t="n"/>
      <c r="D337" s="22" t="n"/>
      <c r="E337" s="22" t="n"/>
      <c r="F337" s="22" t="n"/>
      <c r="G337" s="22" t="n"/>
      <c r="H337" s="22" t="n"/>
      <c r="I337" s="22" t="n"/>
      <c r="J337" s="22" t="n"/>
      <c r="K337" s="22" t="n"/>
    </row>
    <row r="338">
      <c r="A338" s="324" t="n"/>
      <c r="B338" s="22" t="n"/>
      <c r="C338" s="22" t="n"/>
      <c r="D338" s="22" t="n"/>
      <c r="E338" s="22" t="n"/>
      <c r="F338" s="22" t="n"/>
      <c r="G338" s="22" t="n"/>
      <c r="H338" s="22" t="n"/>
      <c r="I338" s="22" t="n"/>
      <c r="J338" s="22" t="n"/>
      <c r="K338" s="22" t="n"/>
    </row>
    <row r="339">
      <c r="A339" s="324" t="n"/>
      <c r="B339" s="22" t="n"/>
      <c r="C339" s="22" t="n"/>
      <c r="D339" s="22" t="n"/>
      <c r="E339" s="22" t="n"/>
      <c r="F339" s="22" t="n"/>
      <c r="G339" s="22" t="n"/>
      <c r="H339" s="22" t="n"/>
      <c r="I339" s="22" t="n"/>
      <c r="J339" s="22" t="n"/>
      <c r="K339" s="22" t="n"/>
    </row>
    <row r="340">
      <c r="A340" s="324" t="n"/>
      <c r="B340" s="22" t="n"/>
      <c r="C340" s="22" t="n"/>
      <c r="D340" s="22" t="n"/>
      <c r="E340" s="22" t="n"/>
      <c r="F340" s="22" t="n"/>
      <c r="G340" s="22" t="n"/>
      <c r="H340" s="22" t="n"/>
      <c r="I340" s="22" t="n"/>
      <c r="J340" s="22" t="n"/>
      <c r="K340" s="22" t="n"/>
    </row>
    <row r="341">
      <c r="A341" s="324" t="n"/>
      <c r="B341" s="22" t="n"/>
      <c r="C341" s="22" t="n"/>
      <c r="D341" s="22" t="n"/>
      <c r="E341" s="22" t="n"/>
      <c r="F341" s="22" t="n"/>
      <c r="G341" s="22" t="n"/>
      <c r="H341" s="22" t="n"/>
      <c r="I341" s="22" t="n"/>
      <c r="J341" s="22" t="n"/>
      <c r="K341" s="22" t="n"/>
    </row>
    <row r="342">
      <c r="A342" s="324" t="n"/>
      <c r="B342" s="22" t="n"/>
      <c r="C342" s="22" t="n"/>
      <c r="D342" s="22" t="n"/>
      <c r="E342" s="22" t="n"/>
      <c r="F342" s="22" t="n"/>
      <c r="G342" s="22" t="n"/>
      <c r="H342" s="22" t="n"/>
      <c r="I342" s="22" t="n"/>
      <c r="J342" s="22" t="n"/>
      <c r="K342" s="22" t="n"/>
    </row>
    <row r="343">
      <c r="A343" s="324" t="n"/>
      <c r="B343" s="22" t="n"/>
      <c r="C343" s="22" t="n"/>
      <c r="D343" s="22" t="n"/>
      <c r="E343" s="22" t="n"/>
      <c r="F343" s="22" t="n"/>
      <c r="G343" s="22" t="n"/>
      <c r="H343" s="22" t="n"/>
      <c r="I343" s="22" t="n"/>
      <c r="J343" s="22" t="n"/>
      <c r="K343" s="22" t="n"/>
    </row>
    <row r="344">
      <c r="A344" s="324" t="n"/>
      <c r="B344" s="22" t="n"/>
      <c r="C344" s="22" t="n"/>
      <c r="D344" s="22" t="n"/>
      <c r="E344" s="22" t="n"/>
      <c r="F344" s="22" t="n"/>
      <c r="G344" s="22" t="n"/>
      <c r="H344" s="22" t="n"/>
      <c r="I344" s="22" t="n"/>
      <c r="J344" s="22" t="n"/>
      <c r="K344" s="22" t="n"/>
    </row>
    <row r="345">
      <c r="A345" s="324" t="n"/>
      <c r="B345" s="22" t="n"/>
      <c r="C345" s="22" t="n"/>
      <c r="D345" s="22" t="n"/>
      <c r="E345" s="22" t="n"/>
      <c r="F345" s="22" t="n"/>
      <c r="G345" s="22" t="n"/>
      <c r="H345" s="22" t="n"/>
      <c r="I345" s="22" t="n"/>
      <c r="J345" s="22" t="n"/>
      <c r="K345" s="22" t="n"/>
    </row>
    <row r="346">
      <c r="A346" s="324" t="n"/>
      <c r="B346" s="22" t="n"/>
      <c r="C346" s="22" t="n"/>
      <c r="D346" s="22" t="n"/>
      <c r="E346" s="22" t="n"/>
      <c r="F346" s="22" t="n"/>
      <c r="G346" s="22" t="n"/>
      <c r="H346" s="22" t="n"/>
      <c r="I346" s="22" t="n"/>
      <c r="J346" s="22" t="n"/>
      <c r="K346" s="22" t="n"/>
    </row>
    <row r="347">
      <c r="A347" s="324" t="n"/>
      <c r="B347" s="22" t="n"/>
      <c r="C347" s="22" t="n"/>
      <c r="D347" s="22" t="n"/>
      <c r="E347" s="22" t="n"/>
      <c r="F347" s="22" t="n"/>
      <c r="G347" s="22" t="n"/>
      <c r="H347" s="22" t="n"/>
      <c r="I347" s="22" t="n"/>
      <c r="J347" s="22" t="n"/>
      <c r="K347" s="22" t="n"/>
    </row>
    <row r="348">
      <c r="A348" s="324" t="n"/>
      <c r="B348" s="22" t="n"/>
      <c r="C348" s="22" t="n"/>
      <c r="D348" s="22" t="n"/>
      <c r="E348" s="22" t="n"/>
      <c r="F348" s="22" t="n"/>
      <c r="G348" s="22" t="n"/>
      <c r="H348" s="22" t="n"/>
      <c r="I348" s="22" t="n"/>
      <c r="J348" s="22" t="n"/>
      <c r="K348" s="22" t="n"/>
    </row>
    <row r="349">
      <c r="A349" s="324" t="n"/>
      <c r="B349" s="22" t="n"/>
      <c r="C349" s="22" t="n"/>
      <c r="D349" s="22" t="n"/>
      <c r="E349" s="22" t="n"/>
      <c r="F349" s="22" t="n"/>
      <c r="G349" s="22" t="n"/>
      <c r="H349" s="22" t="n"/>
      <c r="I349" s="22" t="n"/>
      <c r="J349" s="22" t="n"/>
      <c r="K349" s="22" t="n"/>
    </row>
    <row r="350">
      <c r="A350" s="324" t="n"/>
      <c r="B350" s="22" t="n"/>
      <c r="C350" s="22" t="n"/>
      <c r="D350" s="22" t="n"/>
      <c r="E350" s="22" t="n"/>
      <c r="F350" s="22" t="n"/>
      <c r="G350" s="22" t="n"/>
      <c r="H350" s="22" t="n"/>
      <c r="I350" s="22" t="n"/>
      <c r="J350" s="22" t="n"/>
      <c r="K350" s="22" t="n"/>
    </row>
    <row r="351">
      <c r="A351" s="324" t="n"/>
      <c r="B351" s="22" t="n"/>
      <c r="C351" s="22" t="n"/>
      <c r="D351" s="22" t="n"/>
      <c r="E351" s="22" t="n"/>
      <c r="F351" s="22" t="n"/>
      <c r="G351" s="22" t="n"/>
      <c r="H351" s="22" t="n"/>
      <c r="I351" s="22" t="n"/>
      <c r="J351" s="22" t="n"/>
      <c r="K351" s="22" t="n"/>
    </row>
    <row r="352">
      <c r="A352" s="324" t="n"/>
      <c r="B352" s="22" t="n"/>
      <c r="C352" s="22" t="n"/>
      <c r="D352" s="22" t="n"/>
      <c r="E352" s="22" t="n"/>
      <c r="F352" s="22" t="n"/>
      <c r="G352" s="22" t="n"/>
      <c r="H352" s="22" t="n"/>
      <c r="I352" s="22" t="n"/>
      <c r="J352" s="22" t="n"/>
      <c r="K352" s="22" t="n"/>
    </row>
    <row r="353">
      <c r="A353" s="324" t="n"/>
      <c r="B353" s="22" t="n"/>
      <c r="C353" s="22" t="n"/>
      <c r="D353" s="22" t="n"/>
      <c r="E353" s="22" t="n"/>
      <c r="F353" s="22" t="n"/>
      <c r="G353" s="22" t="n"/>
      <c r="H353" s="22" t="n"/>
      <c r="I353" s="22" t="n"/>
      <c r="J353" s="22" t="n"/>
      <c r="K353" s="22" t="n"/>
    </row>
    <row r="354">
      <c r="A354" s="324" t="n"/>
      <c r="B354" s="22" t="n"/>
      <c r="C354" s="22" t="n"/>
      <c r="D354" s="22" t="n"/>
      <c r="E354" s="22" t="n"/>
      <c r="F354" s="22" t="n"/>
      <c r="G354" s="22" t="n"/>
      <c r="H354" s="22" t="n"/>
      <c r="I354" s="22" t="n"/>
      <c r="J354" s="22" t="n"/>
      <c r="K354" s="22" t="n"/>
    </row>
    <row r="355">
      <c r="A355" s="324" t="n"/>
      <c r="B355" s="22" t="n"/>
      <c r="C355" s="22" t="n"/>
      <c r="D355" s="22" t="n"/>
      <c r="E355" s="22" t="n"/>
      <c r="F355" s="22" t="n"/>
      <c r="G355" s="22" t="n"/>
      <c r="H355" s="22" t="n"/>
      <c r="I355" s="22" t="n"/>
      <c r="J355" s="22" t="n"/>
      <c r="K355" s="22" t="n"/>
    </row>
    <row r="356">
      <c r="A356" s="324" t="n"/>
      <c r="B356" s="22" t="n"/>
      <c r="C356" s="22" t="n"/>
      <c r="D356" s="22" t="n"/>
      <c r="E356" s="22" t="n"/>
      <c r="F356" s="22" t="n"/>
      <c r="G356" s="22" t="n"/>
      <c r="H356" s="22" t="n"/>
      <c r="I356" s="22" t="n"/>
      <c r="J356" s="22" t="n"/>
      <c r="K356" s="22" t="n"/>
    </row>
    <row r="357">
      <c r="A357" s="324" t="n"/>
      <c r="B357" s="22" t="n"/>
      <c r="C357" s="22" t="n"/>
      <c r="D357" s="22" t="n"/>
      <c r="E357" s="22" t="n"/>
      <c r="F357" s="22" t="n"/>
      <c r="G357" s="22" t="n"/>
      <c r="H357" s="22" t="n"/>
      <c r="I357" s="22" t="n"/>
      <c r="J357" s="22" t="n"/>
      <c r="K357" s="22" t="n"/>
    </row>
    <row r="358">
      <c r="A358" s="324" t="n"/>
      <c r="B358" s="22" t="n"/>
      <c r="C358" s="22" t="n"/>
      <c r="D358" s="22" t="n"/>
      <c r="E358" s="22" t="n"/>
      <c r="F358" s="22" t="n"/>
      <c r="G358" s="22" t="n"/>
      <c r="H358" s="22" t="n"/>
      <c r="I358" s="22" t="n"/>
      <c r="J358" s="22" t="n"/>
      <c r="K358" s="22" t="n"/>
    </row>
    <row r="359">
      <c r="A359" s="324" t="n"/>
      <c r="B359" s="22" t="n"/>
      <c r="C359" s="22" t="n"/>
      <c r="D359" s="22" t="n"/>
      <c r="E359" s="22" t="n"/>
      <c r="F359" s="22" t="n"/>
      <c r="G359" s="22" t="n"/>
      <c r="H359" s="22" t="n"/>
      <c r="I359" s="22" t="n"/>
      <c r="J359" s="22" t="n"/>
      <c r="K359" s="22" t="n"/>
    </row>
    <row r="360">
      <c r="A360" s="324" t="n"/>
      <c r="B360" s="22" t="n"/>
      <c r="C360" s="22" t="n"/>
      <c r="D360" s="22" t="n"/>
      <c r="E360" s="22" t="n"/>
      <c r="F360" s="22" t="n"/>
      <c r="G360" s="22" t="n"/>
      <c r="H360" s="22" t="n"/>
      <c r="I360" s="22" t="n"/>
      <c r="J360" s="22" t="n"/>
      <c r="K360" s="22" t="n"/>
    </row>
    <row r="361">
      <c r="A361" s="324" t="n"/>
      <c r="B361" s="22" t="n"/>
      <c r="C361" s="22" t="n"/>
      <c r="D361" s="22" t="n"/>
      <c r="E361" s="22" t="n"/>
      <c r="F361" s="22" t="n"/>
      <c r="G361" s="22" t="n"/>
      <c r="H361" s="22" t="n"/>
      <c r="I361" s="22" t="n"/>
      <c r="J361" s="22" t="n"/>
      <c r="K361" s="22" t="n"/>
    </row>
    <row r="362">
      <c r="A362" s="324" t="n"/>
      <c r="B362" s="22" t="n"/>
      <c r="C362" s="22" t="n"/>
      <c r="D362" s="22" t="n"/>
      <c r="E362" s="22" t="n"/>
      <c r="F362" s="22" t="n"/>
      <c r="G362" s="22" t="n"/>
      <c r="H362" s="22" t="n"/>
      <c r="I362" s="22" t="n"/>
      <c r="J362" s="22" t="n"/>
      <c r="K362" s="22" t="n"/>
    </row>
    <row r="363">
      <c r="A363" s="324" t="n"/>
      <c r="B363" s="22" t="n"/>
      <c r="C363" s="22" t="n"/>
      <c r="D363" s="22" t="n"/>
      <c r="E363" s="22" t="n"/>
      <c r="F363" s="22" t="n"/>
      <c r="G363" s="22" t="n"/>
      <c r="H363" s="22" t="n"/>
      <c r="I363" s="22" t="n"/>
      <c r="J363" s="22" t="n"/>
      <c r="K363" s="22" t="n"/>
    </row>
    <row r="364">
      <c r="A364" s="324" t="n"/>
      <c r="B364" s="22" t="n"/>
      <c r="C364" s="22" t="n"/>
      <c r="D364" s="22" t="n"/>
      <c r="E364" s="22" t="n"/>
      <c r="F364" s="22" t="n"/>
      <c r="G364" s="22" t="n"/>
      <c r="H364" s="22" t="n"/>
      <c r="I364" s="22" t="n"/>
      <c r="J364" s="22" t="n"/>
      <c r="K364" s="22" t="n"/>
    </row>
    <row r="365">
      <c r="A365" s="324" t="n"/>
      <c r="B365" s="22" t="n"/>
      <c r="C365" s="22" t="n"/>
      <c r="D365" s="22" t="n"/>
      <c r="E365" s="22" t="n"/>
      <c r="F365" s="22" t="n"/>
      <c r="G365" s="22" t="n"/>
      <c r="H365" s="22" t="n"/>
      <c r="I365" s="22" t="n"/>
      <c r="J365" s="22" t="n"/>
      <c r="K365" s="22" t="n"/>
    </row>
    <row r="366">
      <c r="A366" s="324" t="n"/>
      <c r="B366" s="22" t="n"/>
      <c r="C366" s="22" t="n"/>
      <c r="D366" s="22" t="n"/>
      <c r="E366" s="22" t="n"/>
      <c r="F366" s="22" t="n"/>
      <c r="G366" s="22" t="n"/>
      <c r="H366" s="22" t="n"/>
      <c r="I366" s="22" t="n"/>
      <c r="J366" s="22" t="n"/>
      <c r="K366" s="22" t="n"/>
    </row>
    <row r="367">
      <c r="A367" s="324" t="n"/>
      <c r="B367" s="22" t="n"/>
      <c r="C367" s="22" t="n"/>
      <c r="D367" s="22" t="n"/>
      <c r="E367" s="22" t="n"/>
      <c r="F367" s="22" t="n"/>
      <c r="G367" s="22" t="n"/>
      <c r="H367" s="22" t="n"/>
      <c r="I367" s="22" t="n"/>
      <c r="J367" s="22" t="n"/>
      <c r="K367" s="22" t="n"/>
    </row>
    <row r="368">
      <c r="A368" s="324" t="n"/>
      <c r="B368" s="22" t="n"/>
      <c r="C368" s="22" t="n"/>
      <c r="D368" s="22" t="n"/>
      <c r="E368" s="22" t="n"/>
      <c r="F368" s="22" t="n"/>
      <c r="G368" s="22" t="n"/>
      <c r="H368" s="22" t="n"/>
      <c r="I368" s="22" t="n"/>
      <c r="J368" s="22" t="n"/>
      <c r="K368" s="22" t="n"/>
    </row>
    <row r="369">
      <c r="A369" s="324" t="n"/>
      <c r="B369" s="22" t="n"/>
      <c r="C369" s="22" t="n"/>
      <c r="D369" s="22" t="n"/>
      <c r="E369" s="22" t="n"/>
      <c r="F369" s="22" t="n"/>
      <c r="G369" s="22" t="n"/>
      <c r="H369" s="22" t="n"/>
      <c r="I369" s="22" t="n"/>
      <c r="J369" s="22" t="n"/>
      <c r="K369" s="22" t="n"/>
    </row>
    <row r="370">
      <c r="A370" s="324" t="n"/>
      <c r="B370" s="22" t="n"/>
      <c r="C370" s="22" t="n"/>
      <c r="D370" s="22" t="n"/>
      <c r="E370" s="22" t="n"/>
      <c r="F370" s="22" t="n"/>
      <c r="G370" s="22" t="n"/>
      <c r="H370" s="22" t="n"/>
      <c r="I370" s="22" t="n"/>
      <c r="J370" s="22" t="n"/>
      <c r="K370" s="22" t="n"/>
    </row>
    <row r="371">
      <c r="A371" s="324" t="n"/>
      <c r="B371" s="22" t="n"/>
      <c r="C371" s="22" t="n"/>
      <c r="D371" s="22" t="n"/>
      <c r="E371" s="22" t="n"/>
      <c r="F371" s="22" t="n"/>
      <c r="G371" s="22" t="n"/>
      <c r="H371" s="22" t="n"/>
      <c r="I371" s="22" t="n"/>
      <c r="J371" s="22" t="n"/>
      <c r="K371" s="22" t="n"/>
    </row>
    <row r="372">
      <c r="A372" s="324" t="n"/>
      <c r="B372" s="22" t="n"/>
      <c r="C372" s="22" t="n"/>
      <c r="D372" s="22" t="n"/>
      <c r="E372" s="22" t="n"/>
      <c r="F372" s="22" t="n"/>
      <c r="G372" s="22" t="n"/>
      <c r="H372" s="22" t="n"/>
      <c r="I372" s="22" t="n"/>
      <c r="J372" s="22" t="n"/>
      <c r="K372" s="22" t="n"/>
    </row>
    <row r="373">
      <c r="A373" s="324" t="n"/>
      <c r="B373" s="22" t="n"/>
      <c r="C373" s="22" t="n"/>
      <c r="D373" s="22" t="n"/>
      <c r="E373" s="22" t="n"/>
      <c r="F373" s="22" t="n"/>
      <c r="G373" s="22" t="n"/>
      <c r="H373" s="22" t="n"/>
      <c r="I373" s="22" t="n"/>
      <c r="J373" s="22" t="n"/>
      <c r="K373" s="22" t="n"/>
    </row>
    <row r="374">
      <c r="A374" s="324" t="n"/>
      <c r="B374" s="22" t="n"/>
      <c r="C374" s="22" t="n"/>
      <c r="D374" s="22" t="n"/>
      <c r="E374" s="22" t="n"/>
      <c r="F374" s="22" t="n"/>
      <c r="G374" s="22" t="n"/>
      <c r="H374" s="22" t="n"/>
      <c r="I374" s="22" t="n"/>
      <c r="J374" s="22" t="n"/>
      <c r="K374" s="22" t="n"/>
    </row>
    <row r="375">
      <c r="A375" s="324" t="n"/>
      <c r="B375" s="22" t="n"/>
      <c r="C375" s="22" t="n"/>
      <c r="D375" s="22" t="n"/>
      <c r="E375" s="22" t="n"/>
      <c r="F375" s="22" t="n"/>
      <c r="G375" s="22" t="n"/>
      <c r="H375" s="22" t="n"/>
      <c r="I375" s="22" t="n"/>
      <c r="J375" s="22" t="n"/>
      <c r="K375" s="22" t="n"/>
    </row>
    <row r="376">
      <c r="A376" s="324" t="n"/>
      <c r="B376" s="22" t="n"/>
      <c r="C376" s="22" t="n"/>
      <c r="D376" s="22" t="n"/>
      <c r="E376" s="22" t="n"/>
      <c r="F376" s="22" t="n"/>
      <c r="G376" s="22" t="n"/>
      <c r="H376" s="22" t="n"/>
      <c r="I376" s="22" t="n"/>
      <c r="J376" s="22" t="n"/>
      <c r="K376" s="22" t="n"/>
    </row>
    <row r="377">
      <c r="A377" s="324" t="n"/>
      <c r="B377" s="22" t="n"/>
      <c r="C377" s="22" t="n"/>
      <c r="D377" s="22" t="n"/>
      <c r="E377" s="22" t="n"/>
      <c r="F377" s="22" t="n"/>
      <c r="G377" s="22" t="n"/>
      <c r="H377" s="22" t="n"/>
      <c r="I377" s="22" t="n"/>
      <c r="J377" s="22" t="n"/>
      <c r="K377" s="22" t="n"/>
    </row>
    <row r="378">
      <c r="A378" s="324" t="n"/>
      <c r="B378" s="22" t="n"/>
      <c r="C378" s="22" t="n"/>
      <c r="D378" s="22" t="n"/>
      <c r="E378" s="22" t="n"/>
      <c r="F378" s="22" t="n"/>
      <c r="G378" s="22" t="n"/>
      <c r="H378" s="22" t="n"/>
      <c r="I378" s="22" t="n"/>
      <c r="J378" s="22" t="n"/>
      <c r="K378" s="22" t="n"/>
    </row>
    <row r="379">
      <c r="A379" s="324" t="n"/>
      <c r="B379" s="22" t="n"/>
      <c r="C379" s="22" t="n"/>
      <c r="D379" s="22" t="n"/>
      <c r="E379" s="22" t="n"/>
      <c r="F379" s="22" t="n"/>
      <c r="G379" s="22" t="n"/>
      <c r="H379" s="22" t="n"/>
      <c r="I379" s="22" t="n"/>
      <c r="J379" s="22" t="n"/>
      <c r="K379" s="22" t="n"/>
    </row>
    <row r="380">
      <c r="A380" s="324" t="n"/>
      <c r="B380" s="22" t="n"/>
      <c r="C380" s="22" t="n"/>
      <c r="D380" s="22" t="n"/>
      <c r="E380" s="22" t="n"/>
      <c r="F380" s="22" t="n"/>
      <c r="G380" s="22" t="n"/>
      <c r="H380" s="22" t="n"/>
      <c r="I380" s="22" t="n"/>
      <c r="J380" s="22" t="n"/>
      <c r="K380" s="22" t="n"/>
    </row>
    <row r="381">
      <c r="A381" s="324" t="n"/>
      <c r="B381" s="22" t="n"/>
      <c r="C381" s="22" t="n"/>
      <c r="D381" s="22" t="n"/>
      <c r="E381" s="22" t="n"/>
      <c r="F381" s="22" t="n"/>
      <c r="G381" s="22" t="n"/>
      <c r="H381" s="22" t="n"/>
      <c r="I381" s="22" t="n"/>
      <c r="J381" s="22" t="n"/>
      <c r="K381" s="22" t="n"/>
    </row>
    <row r="382">
      <c r="A382" s="324" t="n"/>
      <c r="B382" s="22" t="n"/>
      <c r="C382" s="22" t="n"/>
      <c r="D382" s="22" t="n"/>
      <c r="E382" s="22" t="n"/>
      <c r="F382" s="22" t="n"/>
      <c r="G382" s="22" t="n"/>
      <c r="H382" s="22" t="n"/>
      <c r="I382" s="22" t="n"/>
      <c r="J382" s="22" t="n"/>
      <c r="K382" s="22" t="n"/>
    </row>
    <row r="383">
      <c r="A383" s="324" t="n"/>
      <c r="B383" s="22" t="n"/>
      <c r="C383" s="22" t="n"/>
      <c r="D383" s="22" t="n"/>
      <c r="E383" s="22" t="n"/>
      <c r="F383" s="22" t="n"/>
      <c r="G383" s="22" t="n"/>
      <c r="H383" s="22" t="n"/>
      <c r="I383" s="22" t="n"/>
      <c r="J383" s="22" t="n"/>
      <c r="K383" s="22" t="n"/>
    </row>
    <row r="384">
      <c r="A384" s="324" t="n"/>
      <c r="B384" s="22" t="n"/>
      <c r="C384" s="22" t="n"/>
      <c r="D384" s="22" t="n"/>
      <c r="E384" s="22" t="n"/>
      <c r="F384" s="22" t="n"/>
      <c r="G384" s="22" t="n"/>
      <c r="H384" s="22" t="n"/>
      <c r="I384" s="22" t="n"/>
      <c r="J384" s="22" t="n"/>
      <c r="K384" s="22" t="n"/>
    </row>
    <row r="385">
      <c r="A385" s="324" t="n"/>
      <c r="B385" s="22" t="n"/>
      <c r="C385" s="22" t="n"/>
      <c r="D385" s="22" t="n"/>
      <c r="E385" s="22" t="n"/>
      <c r="F385" s="22" t="n"/>
      <c r="G385" s="22" t="n"/>
      <c r="H385" s="22" t="n"/>
      <c r="I385" s="22" t="n"/>
      <c r="J385" s="22" t="n"/>
      <c r="K385" s="22" t="n"/>
    </row>
    <row r="386">
      <c r="A386" s="324" t="n"/>
      <c r="B386" s="22" t="n"/>
      <c r="C386" s="22" t="n"/>
      <c r="D386" s="22" t="n"/>
      <c r="E386" s="22" t="n"/>
      <c r="F386" s="22" t="n"/>
      <c r="G386" s="22" t="n"/>
      <c r="H386" s="22" t="n"/>
      <c r="I386" s="22" t="n"/>
      <c r="J386" s="22" t="n"/>
      <c r="K386" s="22" t="n"/>
    </row>
    <row r="387">
      <c r="A387" s="324" t="n"/>
      <c r="B387" s="22" t="n"/>
      <c r="C387" s="22" t="n"/>
      <c r="D387" s="22" t="n"/>
      <c r="E387" s="22" t="n"/>
      <c r="F387" s="22" t="n"/>
      <c r="G387" s="22" t="n"/>
      <c r="H387" s="22" t="n"/>
      <c r="I387" s="22" t="n"/>
      <c r="J387" s="22" t="n"/>
      <c r="K387" s="22" t="n"/>
    </row>
    <row r="388">
      <c r="A388" s="324" t="n"/>
      <c r="B388" s="22" t="n"/>
      <c r="C388" s="22" t="n"/>
      <c r="D388" s="22" t="n"/>
      <c r="E388" s="22" t="n"/>
      <c r="F388" s="22" t="n"/>
      <c r="G388" s="22" t="n"/>
      <c r="H388" s="22" t="n"/>
      <c r="I388" s="22" t="n"/>
      <c r="J388" s="22" t="n"/>
      <c r="K388" s="22" t="n"/>
    </row>
    <row r="389">
      <c r="A389" s="324" t="n"/>
      <c r="B389" s="22" t="n"/>
      <c r="C389" s="22" t="n"/>
      <c r="D389" s="22" t="n"/>
      <c r="E389" s="22" t="n"/>
      <c r="F389" s="22" t="n"/>
      <c r="G389" s="22" t="n"/>
      <c r="H389" s="22" t="n"/>
      <c r="I389" s="22" t="n"/>
      <c r="J389" s="22" t="n"/>
      <c r="K389" s="22" t="n"/>
    </row>
    <row r="390">
      <c r="A390" s="324" t="n"/>
      <c r="B390" s="22" t="n"/>
      <c r="C390" s="22" t="n"/>
      <c r="D390" s="22" t="n"/>
      <c r="E390" s="22" t="n"/>
      <c r="F390" s="22" t="n"/>
      <c r="G390" s="22" t="n"/>
      <c r="H390" s="22" t="n"/>
      <c r="I390" s="22" t="n"/>
      <c r="J390" s="22" t="n"/>
      <c r="K390" s="22" t="n"/>
    </row>
    <row r="391">
      <c r="A391" s="324" t="n"/>
      <c r="B391" s="22" t="n"/>
      <c r="C391" s="22" t="n"/>
      <c r="D391" s="22" t="n"/>
      <c r="E391" s="22" t="n"/>
      <c r="F391" s="22" t="n"/>
      <c r="G391" s="22" t="n"/>
      <c r="H391" s="22" t="n"/>
      <c r="I391" s="22" t="n"/>
      <c r="J391" s="22" t="n"/>
      <c r="K391" s="22" t="n"/>
    </row>
    <row r="392">
      <c r="A392" s="324" t="n"/>
      <c r="B392" s="22" t="n"/>
      <c r="C392" s="22" t="n"/>
      <c r="D392" s="22" t="n"/>
      <c r="E392" s="22" t="n"/>
      <c r="F392" s="22" t="n"/>
      <c r="G392" s="22" t="n"/>
      <c r="H392" s="22" t="n"/>
      <c r="I392" s="22" t="n"/>
      <c r="J392" s="22" t="n"/>
      <c r="K392" s="22" t="n"/>
    </row>
    <row r="393">
      <c r="A393" s="324" t="n"/>
      <c r="B393" s="22" t="n"/>
      <c r="C393" s="22" t="n"/>
      <c r="D393" s="22" t="n"/>
      <c r="E393" s="22" t="n"/>
      <c r="F393" s="22" t="n"/>
      <c r="G393" s="22" t="n"/>
      <c r="H393" s="22" t="n"/>
      <c r="I393" s="22" t="n"/>
      <c r="J393" s="22" t="n"/>
      <c r="K393" s="22" t="n"/>
    </row>
    <row r="394">
      <c r="A394" s="324" t="n"/>
      <c r="B394" s="22" t="n"/>
      <c r="C394" s="22" t="n"/>
      <c r="D394" s="22" t="n"/>
      <c r="E394" s="22" t="n"/>
      <c r="F394" s="22" t="n"/>
      <c r="G394" s="22" t="n"/>
      <c r="H394" s="22" t="n"/>
      <c r="I394" s="22" t="n"/>
      <c r="J394" s="22" t="n"/>
      <c r="K394" s="22" t="n"/>
    </row>
    <row r="395">
      <c r="A395" s="324" t="n"/>
      <c r="B395" s="22" t="n"/>
      <c r="C395" s="22" t="n"/>
      <c r="D395" s="22" t="n"/>
      <c r="E395" s="22" t="n"/>
      <c r="F395" s="22" t="n"/>
      <c r="G395" s="22" t="n"/>
      <c r="H395" s="22" t="n"/>
      <c r="I395" s="22" t="n"/>
      <c r="J395" s="22" t="n"/>
      <c r="K395" s="22" t="n"/>
    </row>
    <row r="396">
      <c r="A396" s="324" t="n"/>
      <c r="B396" s="22" t="n"/>
      <c r="C396" s="22" t="n"/>
      <c r="D396" s="22" t="n"/>
      <c r="E396" s="22" t="n"/>
      <c r="F396" s="22" t="n"/>
      <c r="G396" s="22" t="n"/>
      <c r="H396" s="22" t="n"/>
      <c r="I396" s="22" t="n"/>
      <c r="J396" s="22" t="n"/>
      <c r="K396" s="22" t="n"/>
    </row>
    <row r="397">
      <c r="A397" s="324" t="n"/>
      <c r="B397" s="22" t="n"/>
      <c r="C397" s="22" t="n"/>
      <c r="D397" s="22" t="n"/>
      <c r="E397" s="22" t="n"/>
      <c r="F397" s="22" t="n"/>
      <c r="G397" s="22" t="n"/>
      <c r="H397" s="22" t="n"/>
      <c r="I397" s="22" t="n"/>
      <c r="J397" s="22" t="n"/>
      <c r="K397" s="22" t="n"/>
    </row>
    <row r="398">
      <c r="A398" s="324" t="n"/>
      <c r="B398" s="22" t="n"/>
      <c r="C398" s="22" t="n"/>
      <c r="D398" s="22" t="n"/>
      <c r="E398" s="22" t="n"/>
      <c r="F398" s="22" t="n"/>
      <c r="G398" s="22" t="n"/>
      <c r="H398" s="22" t="n"/>
      <c r="I398" s="22" t="n"/>
      <c r="J398" s="22" t="n"/>
      <c r="K398" s="22" t="n"/>
    </row>
    <row r="399">
      <c r="A399" s="324" t="n"/>
      <c r="B399" s="22" t="n"/>
      <c r="C399" s="22" t="n"/>
      <c r="D399" s="22" t="n"/>
      <c r="E399" s="22" t="n"/>
      <c r="F399" s="22" t="n"/>
      <c r="G399" s="22" t="n"/>
      <c r="H399" s="22" t="n"/>
      <c r="I399" s="22" t="n"/>
      <c r="J399" s="22" t="n"/>
      <c r="K399" s="22" t="n"/>
    </row>
    <row r="400">
      <c r="A400" s="324" t="n"/>
      <c r="B400" s="22" t="n"/>
      <c r="C400" s="22" t="n"/>
      <c r="D400" s="22" t="n"/>
      <c r="E400" s="22" t="n"/>
      <c r="F400" s="22" t="n"/>
      <c r="G400" s="22" t="n"/>
      <c r="H400" s="22" t="n"/>
      <c r="I400" s="22" t="n"/>
      <c r="J400" s="22" t="n"/>
      <c r="K400" s="22" t="n"/>
    </row>
    <row r="401">
      <c r="A401" s="324" t="n"/>
      <c r="B401" s="22" t="n"/>
      <c r="C401" s="22" t="n"/>
      <c r="D401" s="22" t="n"/>
      <c r="E401" s="22" t="n"/>
      <c r="F401" s="22" t="n"/>
      <c r="G401" s="22" t="n"/>
      <c r="H401" s="22" t="n"/>
      <c r="I401" s="22" t="n"/>
      <c r="J401" s="22" t="n"/>
      <c r="K401" s="22" t="n"/>
    </row>
    <row r="402">
      <c r="A402" s="324" t="n"/>
      <c r="B402" s="22" t="n"/>
      <c r="C402" s="22" t="n"/>
      <c r="D402" s="22" t="n"/>
      <c r="E402" s="22" t="n"/>
      <c r="F402" s="22" t="n"/>
      <c r="G402" s="22" t="n"/>
      <c r="H402" s="22" t="n"/>
      <c r="I402" s="22" t="n"/>
      <c r="J402" s="22" t="n"/>
      <c r="K402" s="22" t="n"/>
    </row>
    <row r="403">
      <c r="A403" s="324" t="n"/>
      <c r="B403" s="22" t="n"/>
      <c r="C403" s="22" t="n"/>
      <c r="D403" s="22" t="n"/>
      <c r="E403" s="22" t="n"/>
      <c r="F403" s="22" t="n"/>
      <c r="G403" s="22" t="n"/>
      <c r="H403" s="22" t="n"/>
      <c r="I403" s="22" t="n"/>
      <c r="J403" s="22" t="n"/>
      <c r="K403" s="22" t="n"/>
    </row>
    <row r="404">
      <c r="A404" s="324" t="n"/>
      <c r="B404" s="22" t="n"/>
      <c r="C404" s="22" t="n"/>
      <c r="D404" s="22" t="n"/>
      <c r="E404" s="22" t="n"/>
      <c r="F404" s="22" t="n"/>
      <c r="G404" s="22" t="n"/>
      <c r="H404" s="22" t="n"/>
      <c r="I404" s="22" t="n"/>
      <c r="J404" s="22" t="n"/>
      <c r="K404" s="22" t="n"/>
    </row>
    <row r="405">
      <c r="A405" s="324" t="n"/>
      <c r="B405" s="22" t="n"/>
      <c r="C405" s="22" t="n"/>
      <c r="D405" s="22" t="n"/>
      <c r="E405" s="22" t="n"/>
      <c r="F405" s="22" t="n"/>
      <c r="G405" s="22" t="n"/>
      <c r="H405" s="22" t="n"/>
      <c r="I405" s="22" t="n"/>
      <c r="J405" s="22" t="n"/>
      <c r="K405" s="22" t="n"/>
    </row>
    <row r="406">
      <c r="A406" s="324" t="n"/>
      <c r="B406" s="22" t="n"/>
      <c r="C406" s="22" t="n"/>
      <c r="D406" s="22" t="n"/>
      <c r="E406" s="22" t="n"/>
      <c r="F406" s="22" t="n"/>
      <c r="G406" s="22" t="n"/>
      <c r="H406" s="22" t="n"/>
      <c r="I406" s="22" t="n"/>
      <c r="J406" s="22" t="n"/>
      <c r="K406" s="22" t="n"/>
    </row>
    <row r="407">
      <c r="A407" s="324" t="n"/>
      <c r="B407" s="22" t="n"/>
      <c r="C407" s="22" t="n"/>
      <c r="D407" s="22" t="n"/>
      <c r="E407" s="22" t="n"/>
      <c r="F407" s="22" t="n"/>
      <c r="G407" s="22" t="n"/>
      <c r="H407" s="22" t="n"/>
      <c r="I407" s="22" t="n"/>
      <c r="J407" s="22" t="n"/>
      <c r="K407" s="22" t="n"/>
    </row>
    <row r="408">
      <c r="A408" s="324" t="n"/>
      <c r="B408" s="22" t="n"/>
      <c r="C408" s="22" t="n"/>
      <c r="D408" s="22" t="n"/>
      <c r="E408" s="22" t="n"/>
      <c r="F408" s="22" t="n"/>
      <c r="G408" s="22" t="n"/>
      <c r="H408" s="22" t="n"/>
      <c r="I408" s="22" t="n"/>
      <c r="J408" s="22" t="n"/>
      <c r="K408" s="22" t="n"/>
    </row>
    <row r="409">
      <c r="A409" s="324" t="n"/>
      <c r="B409" s="22" t="n"/>
      <c r="C409" s="22" t="n"/>
      <c r="D409" s="22" t="n"/>
      <c r="E409" s="22" t="n"/>
      <c r="F409" s="22" t="n"/>
      <c r="G409" s="22" t="n"/>
      <c r="H409" s="22" t="n"/>
      <c r="I409" s="22" t="n"/>
      <c r="J409" s="22" t="n"/>
      <c r="K409" s="22" t="n"/>
    </row>
    <row r="410">
      <c r="A410" s="324" t="n"/>
      <c r="B410" s="22" t="n"/>
      <c r="C410" s="22" t="n"/>
      <c r="D410" s="22" t="n"/>
      <c r="E410" s="22" t="n"/>
      <c r="F410" s="22" t="n"/>
      <c r="G410" s="22" t="n"/>
      <c r="H410" s="22" t="n"/>
      <c r="I410" s="22" t="n"/>
      <c r="J410" s="22" t="n"/>
      <c r="K410" s="22" t="n"/>
    </row>
    <row r="411">
      <c r="A411" s="324" t="n"/>
      <c r="B411" s="22" t="n"/>
      <c r="C411" s="22" t="n"/>
      <c r="D411" s="22" t="n"/>
      <c r="E411" s="22" t="n"/>
      <c r="F411" s="22" t="n"/>
      <c r="G411" s="22" t="n"/>
      <c r="H411" s="22" t="n"/>
      <c r="I411" s="22" t="n"/>
      <c r="J411" s="22" t="n"/>
      <c r="K411" s="22" t="n"/>
    </row>
    <row r="412">
      <c r="A412" s="324" t="n"/>
      <c r="B412" s="22" t="n"/>
      <c r="C412" s="22" t="n"/>
      <c r="D412" s="22" t="n"/>
      <c r="E412" s="22" t="n"/>
      <c r="F412" s="22" t="n"/>
      <c r="G412" s="22" t="n"/>
      <c r="H412" s="22" t="n"/>
      <c r="I412" s="22" t="n"/>
      <c r="J412" s="22" t="n"/>
      <c r="K412" s="22" t="n"/>
    </row>
    <row r="413">
      <c r="A413" s="324" t="n"/>
      <c r="B413" s="22" t="n"/>
      <c r="C413" s="22" t="n"/>
      <c r="D413" s="22" t="n"/>
      <c r="E413" s="22" t="n"/>
      <c r="F413" s="22" t="n"/>
      <c r="G413" s="22" t="n"/>
      <c r="H413" s="22" t="n"/>
      <c r="I413" s="22" t="n"/>
      <c r="J413" s="22" t="n"/>
      <c r="K413" s="22" t="n"/>
    </row>
    <row r="414">
      <c r="A414" s="324" t="n"/>
      <c r="B414" s="22" t="n"/>
      <c r="C414" s="22" t="n"/>
      <c r="D414" s="22" t="n"/>
      <c r="E414" s="22" t="n"/>
      <c r="F414" s="22" t="n"/>
      <c r="G414" s="22" t="n"/>
      <c r="H414" s="22" t="n"/>
      <c r="I414" s="22" t="n"/>
      <c r="J414" s="22" t="n"/>
      <c r="K414" s="22" t="n"/>
    </row>
    <row r="415">
      <c r="A415" s="324" t="n"/>
      <c r="B415" s="22" t="n"/>
      <c r="C415" s="22" t="n"/>
      <c r="D415" s="22" t="n"/>
      <c r="E415" s="22" t="n"/>
      <c r="F415" s="22" t="n"/>
      <c r="G415" s="22" t="n"/>
      <c r="H415" s="22" t="n"/>
      <c r="I415" s="22" t="n"/>
      <c r="J415" s="22" t="n"/>
      <c r="K415" s="22" t="n"/>
    </row>
    <row r="416">
      <c r="A416" s="324" t="n"/>
      <c r="B416" s="22" t="n"/>
      <c r="C416" s="22" t="n"/>
      <c r="D416" s="22" t="n"/>
      <c r="E416" s="22" t="n"/>
      <c r="F416" s="22" t="n"/>
      <c r="G416" s="22" t="n"/>
      <c r="H416" s="22" t="n"/>
      <c r="I416" s="22" t="n"/>
      <c r="J416" s="22" t="n"/>
      <c r="K416" s="22" t="n"/>
    </row>
    <row r="417">
      <c r="A417" s="324" t="n"/>
      <c r="B417" s="22" t="n"/>
      <c r="C417" s="22" t="n"/>
      <c r="D417" s="22" t="n"/>
      <c r="E417" s="22" t="n"/>
      <c r="F417" s="22" t="n"/>
      <c r="G417" s="22" t="n"/>
      <c r="H417" s="22" t="n"/>
      <c r="I417" s="22" t="n"/>
      <c r="J417" s="22" t="n"/>
      <c r="K417" s="22" t="n"/>
    </row>
    <row r="418">
      <c r="A418" s="324" t="n"/>
      <c r="B418" s="22" t="n"/>
      <c r="C418" s="22" t="n"/>
      <c r="D418" s="22" t="n"/>
      <c r="E418" s="22" t="n"/>
      <c r="F418" s="22" t="n"/>
      <c r="G418" s="22" t="n"/>
      <c r="H418" s="22" t="n"/>
      <c r="I418" s="22" t="n"/>
      <c r="J418" s="22" t="n"/>
      <c r="K418" s="22" t="n"/>
    </row>
    <row r="419">
      <c r="A419" s="324" t="n"/>
      <c r="B419" s="22" t="n"/>
      <c r="C419" s="22" t="n"/>
      <c r="D419" s="22" t="n"/>
      <c r="E419" s="22" t="n"/>
      <c r="F419" s="22" t="n"/>
      <c r="G419" s="22" t="n"/>
      <c r="H419" s="22" t="n"/>
      <c r="I419" s="22" t="n"/>
      <c r="J419" s="22" t="n"/>
      <c r="K419" s="22" t="n"/>
    </row>
    <row r="420">
      <c r="A420" s="324" t="n"/>
      <c r="B420" s="22" t="n"/>
      <c r="C420" s="22" t="n"/>
      <c r="D420" s="22" t="n"/>
      <c r="E420" s="22" t="n"/>
      <c r="F420" s="22" t="n"/>
      <c r="G420" s="22" t="n"/>
      <c r="H420" s="22" t="n"/>
      <c r="I420" s="22" t="n"/>
      <c r="J420" s="22" t="n"/>
      <c r="K420" s="22" t="n"/>
    </row>
    <row r="421">
      <c r="A421" s="324" t="n"/>
      <c r="B421" s="22" t="n"/>
      <c r="C421" s="22" t="n"/>
      <c r="D421" s="22" t="n"/>
      <c r="E421" s="22" t="n"/>
      <c r="F421" s="22" t="n"/>
      <c r="G421" s="22" t="n"/>
      <c r="H421" s="22" t="n"/>
      <c r="I421" s="22" t="n"/>
      <c r="J421" s="22" t="n"/>
      <c r="K421" s="22" t="n"/>
    </row>
    <row r="422">
      <c r="A422" s="324" t="n"/>
      <c r="B422" s="22" t="n"/>
      <c r="C422" s="22" t="n"/>
      <c r="D422" s="22" t="n"/>
      <c r="E422" s="22" t="n"/>
      <c r="F422" s="22" t="n"/>
      <c r="G422" s="22" t="n"/>
      <c r="H422" s="22" t="n"/>
      <c r="I422" s="22" t="n"/>
      <c r="J422" s="22" t="n"/>
      <c r="K422" s="22" t="n"/>
    </row>
    <row r="423">
      <c r="A423" s="324" t="n"/>
      <c r="B423" s="22" t="n"/>
      <c r="C423" s="22" t="n"/>
      <c r="D423" s="22" t="n"/>
      <c r="E423" s="22" t="n"/>
      <c r="F423" s="22" t="n"/>
      <c r="G423" s="22" t="n"/>
      <c r="H423" s="22" t="n"/>
      <c r="I423" s="22" t="n"/>
      <c r="J423" s="22" t="n"/>
      <c r="K423" s="22" t="n"/>
    </row>
    <row r="424">
      <c r="A424" s="324" t="n"/>
      <c r="B424" s="22" t="n"/>
      <c r="C424" s="22" t="n"/>
      <c r="D424" s="22" t="n"/>
      <c r="E424" s="22" t="n"/>
      <c r="F424" s="22" t="n"/>
      <c r="G424" s="22" t="n"/>
      <c r="H424" s="22" t="n"/>
      <c r="I424" s="22" t="n"/>
      <c r="J424" s="22" t="n"/>
      <c r="K424" s="22" t="n"/>
    </row>
    <row r="425">
      <c r="A425" s="324" t="n"/>
      <c r="B425" s="22" t="n"/>
      <c r="C425" s="22" t="n"/>
      <c r="D425" s="22" t="n"/>
      <c r="E425" s="22" t="n"/>
      <c r="F425" s="22" t="n"/>
      <c r="G425" s="22" t="n"/>
      <c r="H425" s="22" t="n"/>
      <c r="I425" s="22" t="n"/>
      <c r="J425" s="22" t="n"/>
      <c r="K425" s="22" t="n"/>
    </row>
    <row r="426">
      <c r="A426" s="324" t="n"/>
      <c r="B426" s="22" t="n"/>
      <c r="C426" s="22" t="n"/>
      <c r="D426" s="22" t="n"/>
      <c r="E426" s="22" t="n"/>
      <c r="F426" s="22" t="n"/>
      <c r="G426" s="22" t="n"/>
      <c r="H426" s="22" t="n"/>
      <c r="I426" s="22" t="n"/>
      <c r="J426" s="22" t="n"/>
      <c r="K426" s="22" t="n"/>
    </row>
    <row r="427">
      <c r="A427" s="324" t="n"/>
      <c r="B427" s="22" t="n"/>
      <c r="C427" s="22" t="n"/>
      <c r="D427" s="22" t="n"/>
      <c r="E427" s="22" t="n"/>
      <c r="F427" s="22" t="n"/>
      <c r="G427" s="22" t="n"/>
      <c r="H427" s="22" t="n"/>
      <c r="I427" s="22" t="n"/>
      <c r="J427" s="22" t="n"/>
      <c r="K427" s="22" t="n"/>
    </row>
    <row r="428">
      <c r="A428" s="324" t="n"/>
      <c r="B428" s="22" t="n"/>
      <c r="C428" s="22" t="n"/>
      <c r="D428" s="22" t="n"/>
      <c r="E428" s="22" t="n"/>
      <c r="F428" s="22" t="n"/>
      <c r="G428" s="22" t="n"/>
      <c r="H428" s="22" t="n"/>
      <c r="I428" s="22" t="n"/>
      <c r="J428" s="22" t="n"/>
      <c r="K428" s="22" t="n"/>
    </row>
    <row r="429">
      <c r="A429" s="324" t="n"/>
      <c r="B429" s="22" t="n"/>
      <c r="C429" s="22" t="n"/>
      <c r="D429" s="22" t="n"/>
      <c r="E429" s="22" t="n"/>
      <c r="F429" s="22" t="n"/>
      <c r="G429" s="22" t="n"/>
      <c r="H429" s="22" t="n"/>
      <c r="I429" s="22" t="n"/>
      <c r="J429" s="22" t="n"/>
      <c r="K429" s="22" t="n"/>
    </row>
    <row r="430">
      <c r="A430" s="324" t="n"/>
      <c r="B430" s="22" t="n"/>
      <c r="C430" s="22" t="n"/>
      <c r="D430" s="22" t="n"/>
      <c r="E430" s="22" t="n"/>
      <c r="F430" s="22" t="n"/>
      <c r="G430" s="22" t="n"/>
      <c r="H430" s="22" t="n"/>
      <c r="I430" s="22" t="n"/>
      <c r="J430" s="22" t="n"/>
      <c r="K430" s="22" t="n"/>
    </row>
    <row r="431">
      <c r="A431" s="324" t="n"/>
      <c r="B431" s="22" t="n"/>
      <c r="C431" s="22" t="n"/>
      <c r="D431" s="22" t="n"/>
      <c r="E431" s="22" t="n"/>
      <c r="F431" s="22" t="n"/>
      <c r="G431" s="22" t="n"/>
      <c r="H431" s="22" t="n"/>
      <c r="I431" s="22" t="n"/>
      <c r="J431" s="22" t="n"/>
      <c r="K431" s="22" t="n"/>
    </row>
    <row r="432">
      <c r="A432" s="324" t="n"/>
      <c r="B432" s="22" t="n"/>
      <c r="C432" s="22" t="n"/>
      <c r="D432" s="22" t="n"/>
      <c r="E432" s="22" t="n"/>
      <c r="F432" s="22" t="n"/>
      <c r="G432" s="22" t="n"/>
      <c r="H432" s="22" t="n"/>
      <c r="I432" s="22" t="n"/>
      <c r="J432" s="22" t="n"/>
      <c r="K432" s="22" t="n"/>
    </row>
    <row r="433">
      <c r="A433" s="324" t="n"/>
      <c r="B433" s="22" t="n"/>
      <c r="C433" s="22" t="n"/>
      <c r="D433" s="22" t="n"/>
      <c r="E433" s="22" t="n"/>
      <c r="F433" s="22" t="n"/>
      <c r="G433" s="22" t="n"/>
      <c r="H433" s="22" t="n"/>
      <c r="I433" s="22" t="n"/>
      <c r="J433" s="22" t="n"/>
      <c r="K433" s="22" t="n"/>
    </row>
    <row r="434">
      <c r="A434" s="324" t="n"/>
      <c r="B434" s="22" t="n"/>
      <c r="C434" s="22" t="n"/>
      <c r="D434" s="22" t="n"/>
      <c r="E434" s="22" t="n"/>
      <c r="F434" s="22" t="n"/>
      <c r="G434" s="22" t="n"/>
      <c r="H434" s="22" t="n"/>
      <c r="I434" s="22" t="n"/>
      <c r="J434" s="22" t="n"/>
      <c r="K434" s="22" t="n"/>
    </row>
    <row r="435">
      <c r="A435" s="324" t="n"/>
      <c r="B435" s="22" t="n"/>
      <c r="C435" s="22" t="n"/>
      <c r="D435" s="22" t="n"/>
      <c r="E435" s="22" t="n"/>
      <c r="F435" s="22" t="n"/>
      <c r="G435" s="22" t="n"/>
      <c r="H435" s="22" t="n"/>
      <c r="I435" s="22" t="n"/>
      <c r="J435" s="22" t="n"/>
      <c r="K435" s="22" t="n"/>
    </row>
    <row r="436">
      <c r="A436" s="324" t="n"/>
      <c r="B436" s="22" t="n"/>
      <c r="C436" s="22" t="n"/>
      <c r="D436" s="22" t="n"/>
      <c r="E436" s="22" t="n"/>
      <c r="F436" s="22" t="n"/>
      <c r="G436" s="22" t="n"/>
      <c r="H436" s="22" t="n"/>
      <c r="I436" s="22" t="n"/>
      <c r="J436" s="22" t="n"/>
      <c r="K436" s="22" t="n"/>
    </row>
    <row r="437">
      <c r="A437" s="324" t="n"/>
      <c r="B437" s="22" t="n"/>
      <c r="C437" s="22" t="n"/>
      <c r="D437" s="22" t="n"/>
      <c r="E437" s="22" t="n"/>
      <c r="F437" s="22" t="n"/>
      <c r="G437" s="22" t="n"/>
      <c r="H437" s="22" t="n"/>
      <c r="I437" s="22" t="n"/>
      <c r="J437" s="22" t="n"/>
      <c r="K437" s="22" t="n"/>
    </row>
    <row r="438">
      <c r="A438" s="324" t="n"/>
      <c r="B438" s="22" t="n"/>
      <c r="C438" s="22" t="n"/>
      <c r="D438" s="22" t="n"/>
      <c r="E438" s="22" t="n"/>
      <c r="F438" s="22" t="n"/>
      <c r="G438" s="22" t="n"/>
      <c r="H438" s="22" t="n"/>
      <c r="I438" s="22" t="n"/>
      <c r="J438" s="22" t="n"/>
      <c r="K438" s="22" t="n"/>
    </row>
    <row r="439">
      <c r="A439" s="324" t="n"/>
      <c r="B439" s="22" t="n"/>
      <c r="C439" s="22" t="n"/>
      <c r="D439" s="22" t="n"/>
      <c r="E439" s="22" t="n"/>
      <c r="F439" s="22" t="n"/>
      <c r="G439" s="22" t="n"/>
      <c r="H439" s="22" t="n"/>
      <c r="I439" s="22" t="n"/>
      <c r="J439" s="22" t="n"/>
      <c r="K439" s="22" t="n"/>
    </row>
    <row r="440">
      <c r="A440" s="324" t="n"/>
      <c r="B440" s="22" t="n"/>
      <c r="C440" s="22" t="n"/>
      <c r="D440" s="22" t="n"/>
      <c r="E440" s="22" t="n"/>
      <c r="F440" s="22" t="n"/>
      <c r="G440" s="22" t="n"/>
      <c r="H440" s="22" t="n"/>
      <c r="I440" s="22" t="n"/>
      <c r="J440" s="22" t="n"/>
      <c r="K440" s="22" t="n"/>
    </row>
    <row r="441">
      <c r="A441" s="324" t="n"/>
      <c r="B441" s="22" t="n"/>
      <c r="C441" s="22" t="n"/>
      <c r="D441" s="22" t="n"/>
      <c r="E441" s="22" t="n"/>
      <c r="F441" s="22" t="n"/>
      <c r="G441" s="22" t="n"/>
      <c r="H441" s="22" t="n"/>
      <c r="I441" s="22" t="n"/>
      <c r="J441" s="22" t="n"/>
      <c r="K441" s="22" t="n"/>
    </row>
    <row r="442">
      <c r="A442" s="324" t="n"/>
      <c r="B442" s="22" t="n"/>
      <c r="C442" s="22" t="n"/>
      <c r="D442" s="22" t="n"/>
      <c r="E442" s="22" t="n"/>
      <c r="F442" s="22" t="n"/>
      <c r="G442" s="22" t="n"/>
      <c r="H442" s="22" t="n"/>
      <c r="I442" s="22" t="n"/>
      <c r="J442" s="22" t="n"/>
      <c r="K442" s="22" t="n"/>
    </row>
    <row r="443">
      <c r="A443" s="324" t="n"/>
      <c r="B443" s="22" t="n"/>
      <c r="C443" s="22" t="n"/>
      <c r="D443" s="22" t="n"/>
      <c r="E443" s="22" t="n"/>
      <c r="F443" s="22" t="n"/>
      <c r="G443" s="22" t="n"/>
      <c r="H443" s="22" t="n"/>
      <c r="I443" s="22" t="n"/>
      <c r="J443" s="22" t="n"/>
      <c r="K443" s="22" t="n"/>
    </row>
    <row r="444">
      <c r="A444" s="324" t="n"/>
      <c r="B444" s="22" t="n"/>
      <c r="C444" s="22" t="n"/>
      <c r="D444" s="22" t="n"/>
      <c r="E444" s="22" t="n"/>
      <c r="F444" s="22" t="n"/>
      <c r="G444" s="22" t="n"/>
      <c r="H444" s="22" t="n"/>
      <c r="I444" s="22" t="n"/>
      <c r="J444" s="22" t="n"/>
      <c r="K444" s="22" t="n"/>
    </row>
    <row r="445">
      <c r="A445" s="324" t="n"/>
      <c r="B445" s="22" t="n"/>
      <c r="C445" s="22" t="n"/>
      <c r="D445" s="22" t="n"/>
      <c r="E445" s="22" t="n"/>
      <c r="F445" s="22" t="n"/>
      <c r="G445" s="22" t="n"/>
      <c r="H445" s="22" t="n"/>
      <c r="I445" s="22" t="n"/>
      <c r="J445" s="22" t="n"/>
      <c r="K445" s="22" t="n"/>
    </row>
    <row r="446">
      <c r="A446" s="324" t="n"/>
      <c r="B446" s="22" t="n"/>
      <c r="C446" s="22" t="n"/>
      <c r="D446" s="22" t="n"/>
      <c r="E446" s="22" t="n"/>
      <c r="F446" s="22" t="n"/>
      <c r="G446" s="22" t="n"/>
      <c r="H446" s="22" t="n"/>
      <c r="I446" s="22" t="n"/>
      <c r="J446" s="22" t="n"/>
      <c r="K446" s="22" t="n"/>
    </row>
    <row r="447">
      <c r="A447" s="324" t="n"/>
      <c r="B447" s="22" t="n"/>
      <c r="C447" s="22" t="n"/>
      <c r="D447" s="22" t="n"/>
      <c r="E447" s="22" t="n"/>
      <c r="F447" s="22" t="n"/>
      <c r="G447" s="22" t="n"/>
      <c r="H447" s="22" t="n"/>
      <c r="I447" s="22" t="n"/>
      <c r="J447" s="22" t="n"/>
      <c r="K447" s="22" t="n"/>
    </row>
    <row r="448">
      <c r="A448" s="324" t="n"/>
      <c r="B448" s="22" t="n"/>
      <c r="C448" s="22" t="n"/>
      <c r="D448" s="22" t="n"/>
      <c r="E448" s="22" t="n"/>
      <c r="F448" s="22" t="n"/>
      <c r="G448" s="22" t="n"/>
      <c r="H448" s="22" t="n"/>
      <c r="I448" s="22" t="n"/>
      <c r="J448" s="22" t="n"/>
      <c r="K448" s="22" t="n"/>
    </row>
    <row r="449">
      <c r="A449" s="324" t="n"/>
      <c r="B449" s="22" t="n"/>
      <c r="C449" s="22" t="n"/>
      <c r="D449" s="22" t="n"/>
      <c r="E449" s="22" t="n"/>
      <c r="F449" s="22" t="n"/>
      <c r="G449" s="22" t="n"/>
      <c r="H449" s="22" t="n"/>
      <c r="I449" s="22" t="n"/>
      <c r="J449" s="22" t="n"/>
      <c r="K449" s="22" t="n"/>
    </row>
    <row r="450">
      <c r="A450" s="324" t="n"/>
      <c r="B450" s="22" t="n"/>
      <c r="C450" s="22" t="n"/>
      <c r="D450" s="22" t="n"/>
      <c r="E450" s="22" t="n"/>
      <c r="F450" s="22" t="n"/>
      <c r="G450" s="22" t="n"/>
      <c r="H450" s="22" t="n"/>
      <c r="I450" s="22" t="n"/>
      <c r="J450" s="22" t="n"/>
      <c r="K450" s="22" t="n"/>
    </row>
    <row r="451">
      <c r="A451" s="324" t="n"/>
      <c r="B451" s="22" t="n"/>
      <c r="C451" s="22" t="n"/>
      <c r="D451" s="22" t="n"/>
      <c r="E451" s="22" t="n"/>
      <c r="F451" s="22" t="n"/>
      <c r="G451" s="22" t="n"/>
      <c r="H451" s="22" t="n"/>
      <c r="I451" s="22" t="n"/>
      <c r="J451" s="22" t="n"/>
      <c r="K451" s="22" t="n"/>
    </row>
    <row r="452">
      <c r="A452" s="324" t="n"/>
      <c r="B452" s="22" t="n"/>
      <c r="C452" s="22" t="n"/>
      <c r="D452" s="22" t="n"/>
      <c r="E452" s="22" t="n"/>
      <c r="F452" s="22" t="n"/>
      <c r="G452" s="22" t="n"/>
      <c r="H452" s="22" t="n"/>
      <c r="I452" s="22" t="n"/>
      <c r="J452" s="22" t="n"/>
      <c r="K452" s="22" t="n"/>
    </row>
    <row r="453">
      <c r="A453" s="324" t="n"/>
      <c r="B453" s="22" t="n"/>
      <c r="C453" s="22" t="n"/>
      <c r="D453" s="22" t="n"/>
      <c r="E453" s="22" t="n"/>
      <c r="F453" s="22" t="n"/>
      <c r="G453" s="22" t="n"/>
      <c r="H453" s="22" t="n"/>
      <c r="I453" s="22" t="n"/>
      <c r="J453" s="22" t="n"/>
      <c r="K453" s="22" t="n"/>
    </row>
    <row r="454">
      <c r="A454" s="324" t="n"/>
      <c r="B454" s="22" t="n"/>
      <c r="C454" s="22" t="n"/>
      <c r="D454" s="22" t="n"/>
      <c r="E454" s="22" t="n"/>
      <c r="F454" s="22" t="n"/>
      <c r="G454" s="22" t="n"/>
      <c r="H454" s="22" t="n"/>
      <c r="I454" s="22" t="n"/>
      <c r="J454" s="22" t="n"/>
      <c r="K454" s="22" t="n"/>
    </row>
    <row r="455">
      <c r="A455" s="324" t="n"/>
      <c r="B455" s="22" t="n"/>
      <c r="C455" s="22" t="n"/>
      <c r="D455" s="22" t="n"/>
      <c r="E455" s="22" t="n"/>
      <c r="F455" s="22" t="n"/>
      <c r="G455" s="22" t="n"/>
      <c r="H455" s="22" t="n"/>
      <c r="I455" s="22" t="n"/>
      <c r="J455" s="22" t="n"/>
      <c r="K455" s="22" t="n"/>
    </row>
    <row r="456">
      <c r="A456" s="324" t="n"/>
      <c r="B456" s="22" t="n"/>
      <c r="C456" s="22" t="n"/>
      <c r="D456" s="22" t="n"/>
      <c r="E456" s="22" t="n"/>
      <c r="F456" s="22" t="n"/>
      <c r="G456" s="22" t="n"/>
      <c r="H456" s="22" t="n"/>
      <c r="I456" s="22" t="n"/>
      <c r="J456" s="22" t="n"/>
      <c r="K456" s="22" t="n"/>
    </row>
    <row r="457">
      <c r="A457" s="324" t="n"/>
      <c r="B457" s="22" t="n"/>
      <c r="C457" s="22" t="n"/>
      <c r="D457" s="22" t="n"/>
      <c r="E457" s="22" t="n"/>
      <c r="F457" s="22" t="n"/>
      <c r="G457" s="22" t="n"/>
      <c r="H457" s="22" t="n"/>
      <c r="I457" s="22" t="n"/>
      <c r="J457" s="22" t="n"/>
      <c r="K457" s="22" t="n"/>
    </row>
    <row r="458">
      <c r="A458" s="324" t="n"/>
      <c r="B458" s="22" t="n"/>
      <c r="C458" s="22" t="n"/>
      <c r="D458" s="22" t="n"/>
      <c r="E458" s="22" t="n"/>
      <c r="F458" s="22" t="n"/>
      <c r="G458" s="22" t="n"/>
      <c r="H458" s="22" t="n"/>
      <c r="I458" s="22" t="n"/>
      <c r="J458" s="22" t="n"/>
      <c r="K458" s="22" t="n"/>
    </row>
    <row r="459">
      <c r="A459" s="324" t="n"/>
      <c r="B459" s="22" t="n"/>
      <c r="C459" s="22" t="n"/>
      <c r="D459" s="22" t="n"/>
      <c r="E459" s="22" t="n"/>
      <c r="F459" s="22" t="n"/>
      <c r="G459" s="22" t="n"/>
      <c r="H459" s="22" t="n"/>
      <c r="I459" s="22" t="n"/>
      <c r="J459" s="22" t="n"/>
      <c r="K459" s="22" t="n"/>
    </row>
    <row r="460">
      <c r="A460" s="324" t="n"/>
      <c r="B460" s="22" t="n"/>
      <c r="C460" s="22" t="n"/>
      <c r="D460" s="22" t="n"/>
      <c r="E460" s="22" t="n"/>
      <c r="F460" s="22" t="n"/>
      <c r="G460" s="22" t="n"/>
      <c r="H460" s="22" t="n"/>
      <c r="I460" s="22" t="n"/>
      <c r="J460" s="22" t="n"/>
      <c r="K460" s="22" t="n"/>
    </row>
    <row r="461">
      <c r="A461" s="324" t="n"/>
      <c r="B461" s="22" t="n"/>
      <c r="C461" s="22" t="n"/>
      <c r="D461" s="22" t="n"/>
      <c r="E461" s="22" t="n"/>
      <c r="F461" s="22" t="n"/>
      <c r="G461" s="22" t="n"/>
      <c r="H461" s="22" t="n"/>
      <c r="I461" s="22" t="n"/>
      <c r="J461" s="22" t="n"/>
      <c r="K461" s="22" t="n"/>
    </row>
    <row r="462">
      <c r="A462" s="324" t="n"/>
      <c r="B462" s="22" t="n"/>
      <c r="C462" s="22" t="n"/>
      <c r="D462" s="22" t="n"/>
      <c r="E462" s="22" t="n"/>
      <c r="F462" s="22" t="n"/>
      <c r="G462" s="22" t="n"/>
      <c r="H462" s="22" t="n"/>
      <c r="I462" s="22" t="n"/>
      <c r="J462" s="22" t="n"/>
      <c r="K462" s="22" t="n"/>
    </row>
    <row r="463">
      <c r="A463" s="324" t="n"/>
      <c r="B463" s="22" t="n"/>
      <c r="C463" s="22" t="n"/>
      <c r="D463" s="22" t="n"/>
      <c r="E463" s="22" t="n"/>
      <c r="F463" s="22" t="n"/>
      <c r="G463" s="22" t="n"/>
      <c r="H463" s="22" t="n"/>
      <c r="I463" s="22" t="n"/>
      <c r="J463" s="22" t="n"/>
      <c r="K463" s="22" t="n"/>
    </row>
    <row r="464">
      <c r="A464" s="324" t="n"/>
      <c r="B464" s="22" t="n"/>
      <c r="C464" s="22" t="n"/>
      <c r="D464" s="22" t="n"/>
      <c r="E464" s="22" t="n"/>
      <c r="F464" s="22" t="n"/>
      <c r="G464" s="22" t="n"/>
      <c r="H464" s="22" t="n"/>
      <c r="I464" s="22" t="n"/>
      <c r="J464" s="22" t="n"/>
      <c r="K464" s="22" t="n"/>
    </row>
    <row r="465">
      <c r="A465" s="324" t="n"/>
      <c r="B465" s="22" t="n"/>
      <c r="C465" s="22" t="n"/>
      <c r="D465" s="22" t="n"/>
      <c r="E465" s="22" t="n"/>
      <c r="F465" s="22" t="n"/>
      <c r="G465" s="22" t="n"/>
      <c r="H465" s="22" t="n"/>
      <c r="I465" s="22" t="n"/>
      <c r="J465" s="22" t="n"/>
      <c r="K465" s="22" t="n"/>
    </row>
    <row r="466">
      <c r="A466" s="324" t="n"/>
      <c r="B466" s="22" t="n"/>
      <c r="C466" s="22" t="n"/>
      <c r="D466" s="22" t="n"/>
      <c r="E466" s="22" t="n"/>
      <c r="F466" s="22" t="n"/>
      <c r="G466" s="22" t="n"/>
      <c r="H466" s="22" t="n"/>
      <c r="I466" s="22" t="n"/>
      <c r="J466" s="22" t="n"/>
      <c r="K466" s="22" t="n"/>
    </row>
    <row r="467">
      <c r="A467" s="324" t="n"/>
      <c r="B467" s="22" t="n"/>
      <c r="C467" s="22" t="n"/>
      <c r="D467" s="22" t="n"/>
      <c r="E467" s="22" t="n"/>
      <c r="F467" s="22" t="n"/>
      <c r="G467" s="22" t="n"/>
      <c r="H467" s="22" t="n"/>
      <c r="I467" s="22" t="n"/>
      <c r="J467" s="22" t="n"/>
      <c r="K467" s="22" t="n"/>
    </row>
    <row r="468">
      <c r="A468" s="324" t="n"/>
      <c r="B468" s="22" t="n"/>
      <c r="C468" s="22" t="n"/>
      <c r="D468" s="22" t="n"/>
      <c r="E468" s="22" t="n"/>
      <c r="F468" s="22" t="n"/>
      <c r="G468" s="22" t="n"/>
      <c r="H468" s="22" t="n"/>
      <c r="I468" s="22" t="n"/>
      <c r="J468" s="22" t="n"/>
      <c r="K468" s="22" t="n"/>
    </row>
    <row r="469">
      <c r="A469" s="324" t="n"/>
      <c r="B469" s="22" t="n"/>
      <c r="C469" s="22" t="n"/>
      <c r="D469" s="22" t="n"/>
      <c r="E469" s="22" t="n"/>
      <c r="F469" s="22" t="n"/>
      <c r="G469" s="22" t="n"/>
      <c r="H469" s="22" t="n"/>
      <c r="I469" s="22" t="n"/>
      <c r="J469" s="22" t="n"/>
      <c r="K469" s="22" t="n"/>
    </row>
    <row r="470">
      <c r="A470" s="324" t="n"/>
      <c r="B470" s="22" t="n"/>
      <c r="C470" s="22" t="n"/>
      <c r="D470" s="22" t="n"/>
      <c r="E470" s="22" t="n"/>
      <c r="F470" s="22" t="n"/>
      <c r="G470" s="22" t="n"/>
      <c r="H470" s="22" t="n"/>
      <c r="I470" s="22" t="n"/>
      <c r="J470" s="22" t="n"/>
      <c r="K470" s="22" t="n"/>
    </row>
    <row r="471">
      <c r="A471" s="324" t="n"/>
      <c r="B471" s="22" t="n"/>
      <c r="C471" s="22" t="n"/>
      <c r="D471" s="22" t="n"/>
      <c r="E471" s="22" t="n"/>
      <c r="F471" s="22" t="n"/>
      <c r="G471" s="22" t="n"/>
      <c r="H471" s="22" t="n"/>
      <c r="I471" s="22" t="n"/>
      <c r="J471" s="22" t="n"/>
      <c r="K471" s="22" t="n"/>
    </row>
    <row r="472">
      <c r="A472" s="324" t="n"/>
      <c r="B472" s="22" t="n"/>
      <c r="C472" s="22" t="n"/>
      <c r="D472" s="22" t="n"/>
      <c r="E472" s="22" t="n"/>
      <c r="F472" s="22" t="n"/>
      <c r="G472" s="22" t="n"/>
      <c r="H472" s="22" t="n"/>
      <c r="I472" s="22" t="n"/>
      <c r="J472" s="22" t="n"/>
      <c r="K472" s="22" t="n"/>
    </row>
    <row r="473">
      <c r="A473" s="324" t="n"/>
      <c r="B473" s="22" t="n"/>
      <c r="C473" s="22" t="n"/>
      <c r="D473" s="22" t="n"/>
      <c r="E473" s="22" t="n"/>
      <c r="F473" s="22" t="n"/>
      <c r="G473" s="22" t="n"/>
      <c r="H473" s="22" t="n"/>
      <c r="I473" s="22" t="n"/>
      <c r="J473" s="22" t="n"/>
      <c r="K473" s="22" t="n"/>
    </row>
    <row r="474">
      <c r="A474" s="324" t="n"/>
      <c r="B474" s="22" t="n"/>
      <c r="C474" s="22" t="n"/>
      <c r="D474" s="22" t="n"/>
      <c r="E474" s="22" t="n"/>
      <c r="F474" s="22" t="n"/>
      <c r="G474" s="22" t="n"/>
      <c r="H474" s="22" t="n"/>
      <c r="I474" s="22" t="n"/>
      <c r="J474" s="22" t="n"/>
      <c r="K474" s="22" t="n"/>
    </row>
    <row r="475">
      <c r="A475" s="324" t="n"/>
      <c r="B475" s="22" t="n"/>
      <c r="C475" s="22" t="n"/>
      <c r="D475" s="22" t="n"/>
      <c r="E475" s="22" t="n"/>
      <c r="F475" s="22" t="n"/>
      <c r="G475" s="22" t="n"/>
      <c r="H475" s="22" t="n"/>
      <c r="I475" s="22" t="n"/>
      <c r="J475" s="22" t="n"/>
      <c r="K475" s="22" t="n"/>
    </row>
    <row r="476">
      <c r="A476" s="324" t="n"/>
      <c r="B476" s="22" t="n"/>
      <c r="C476" s="22" t="n"/>
      <c r="D476" s="22" t="n"/>
      <c r="E476" s="22" t="n"/>
      <c r="F476" s="22" t="n"/>
      <c r="G476" s="22" t="n"/>
      <c r="H476" s="22" t="n"/>
      <c r="I476" s="22" t="n"/>
      <c r="J476" s="22" t="n"/>
      <c r="K476" s="22" t="n"/>
    </row>
    <row r="477">
      <c r="A477" s="324" t="n"/>
      <c r="B477" s="22" t="n"/>
      <c r="C477" s="22" t="n"/>
      <c r="D477" s="22" t="n"/>
      <c r="E477" s="22" t="n"/>
      <c r="F477" s="22" t="n"/>
      <c r="G477" s="22" t="n"/>
      <c r="H477" s="22" t="n"/>
      <c r="I477" s="22" t="n"/>
      <c r="J477" s="22" t="n"/>
      <c r="K477" s="22" t="n"/>
    </row>
    <row r="478">
      <c r="A478" s="324" t="n"/>
      <c r="B478" s="22" t="n"/>
      <c r="C478" s="22" t="n"/>
      <c r="D478" s="22" t="n"/>
      <c r="E478" s="22" t="n"/>
      <c r="F478" s="22" t="n"/>
      <c r="G478" s="22" t="n"/>
      <c r="H478" s="22" t="n"/>
      <c r="I478" s="22" t="n"/>
      <c r="J478" s="22" t="n"/>
      <c r="K478" s="22" t="n"/>
    </row>
    <row r="479">
      <c r="A479" s="324" t="n"/>
      <c r="B479" s="22" t="n"/>
      <c r="C479" s="22" t="n"/>
      <c r="D479" s="22" t="n"/>
      <c r="E479" s="22" t="n"/>
      <c r="F479" s="22" t="n"/>
      <c r="G479" s="22" t="n"/>
      <c r="H479" s="22" t="n"/>
      <c r="I479" s="22" t="n"/>
      <c r="J479" s="22" t="n"/>
      <c r="K479" s="22" t="n"/>
    </row>
    <row r="480">
      <c r="A480" s="324" t="n"/>
      <c r="B480" s="22" t="n"/>
      <c r="C480" s="22" t="n"/>
      <c r="D480" s="22" t="n"/>
      <c r="E480" s="22" t="n"/>
      <c r="F480" s="22" t="n"/>
      <c r="G480" s="22" t="n"/>
      <c r="H480" s="22" t="n"/>
      <c r="I480" s="22" t="n"/>
      <c r="J480" s="22" t="n"/>
      <c r="K480" s="22" t="n"/>
    </row>
    <row r="481">
      <c r="A481" s="324" t="n"/>
      <c r="B481" s="22" t="n"/>
      <c r="C481" s="22" t="n"/>
      <c r="D481" s="22" t="n"/>
      <c r="E481" s="22" t="n"/>
      <c r="F481" s="22" t="n"/>
      <c r="G481" s="22" t="n"/>
      <c r="H481" s="22" t="n"/>
      <c r="I481" s="22" t="n"/>
      <c r="J481" s="22" t="n"/>
      <c r="K481" s="22" t="n"/>
    </row>
    <row r="482">
      <c r="A482" s="324" t="n"/>
      <c r="B482" s="22" t="n"/>
      <c r="C482" s="22" t="n"/>
      <c r="D482" s="22" t="n"/>
      <c r="E482" s="22" t="n"/>
      <c r="F482" s="22" t="n"/>
      <c r="G482" s="22" t="n"/>
      <c r="H482" s="22" t="n"/>
      <c r="I482" s="22" t="n"/>
      <c r="J482" s="22" t="n"/>
      <c r="K482" s="22" t="n"/>
    </row>
    <row r="483">
      <c r="A483" s="324" t="n"/>
      <c r="B483" s="22" t="n"/>
      <c r="C483" s="22" t="n"/>
      <c r="D483" s="22" t="n"/>
      <c r="E483" s="22" t="n"/>
      <c r="F483" s="22" t="n"/>
      <c r="G483" s="22" t="n"/>
      <c r="H483" s="22" t="n"/>
      <c r="I483" s="22" t="n"/>
      <c r="J483" s="22" t="n"/>
      <c r="K483" s="22" t="n"/>
    </row>
    <row r="484">
      <c r="A484" s="324" t="n"/>
      <c r="B484" s="22" t="n"/>
      <c r="C484" s="22" t="n"/>
      <c r="D484" s="22" t="n"/>
      <c r="E484" s="22" t="n"/>
      <c r="F484" s="22" t="n"/>
      <c r="G484" s="22" t="n"/>
      <c r="H484" s="22" t="n"/>
      <c r="I484" s="22" t="n"/>
      <c r="J484" s="22" t="n"/>
      <c r="K484" s="22" t="n"/>
    </row>
    <row r="485">
      <c r="A485" s="324" t="n"/>
      <c r="B485" s="22" t="n"/>
      <c r="C485" s="22" t="n"/>
      <c r="D485" s="22" t="n"/>
      <c r="E485" s="22" t="n"/>
      <c r="F485" s="22" t="n"/>
      <c r="G485" s="22" t="n"/>
      <c r="H485" s="22" t="n"/>
      <c r="I485" s="22" t="n"/>
      <c r="J485" s="22" t="n"/>
      <c r="K485" s="22" t="n"/>
    </row>
    <row r="486">
      <c r="A486" s="324" t="n"/>
      <c r="B486" s="22" t="n"/>
      <c r="C486" s="22" t="n"/>
      <c r="D486" s="22" t="n"/>
      <c r="E486" s="22" t="n"/>
      <c r="F486" s="22" t="n"/>
      <c r="G486" s="22" t="n"/>
      <c r="H486" s="22" t="n"/>
      <c r="I486" s="22" t="n"/>
      <c r="J486" s="22" t="n"/>
      <c r="K486" s="22" t="n"/>
    </row>
    <row r="487">
      <c r="A487" s="324" t="n"/>
      <c r="B487" s="22" t="n"/>
      <c r="C487" s="22" t="n"/>
      <c r="D487" s="22" t="n"/>
      <c r="E487" s="22" t="n"/>
      <c r="F487" s="22" t="n"/>
      <c r="G487" s="22" t="n"/>
      <c r="H487" s="22" t="n"/>
      <c r="I487" s="22" t="n"/>
      <c r="J487" s="22" t="n"/>
      <c r="K487" s="22" t="n"/>
    </row>
    <row r="488">
      <c r="A488" s="324" t="n"/>
      <c r="B488" s="22" t="n"/>
      <c r="C488" s="22" t="n"/>
      <c r="D488" s="22" t="n"/>
      <c r="E488" s="22" t="n"/>
      <c r="F488" s="22" t="n"/>
      <c r="G488" s="22" t="n"/>
      <c r="H488" s="22" t="n"/>
      <c r="I488" s="22" t="n"/>
      <c r="J488" s="22" t="n"/>
      <c r="K488" s="22" t="n"/>
    </row>
    <row r="489">
      <c r="A489" s="324" t="n"/>
      <c r="B489" s="22" t="n"/>
      <c r="C489" s="22" t="n"/>
      <c r="D489" s="22" t="n"/>
      <c r="E489" s="22" t="n"/>
      <c r="F489" s="22" t="n"/>
      <c r="G489" s="22" t="n"/>
      <c r="H489" s="22" t="n"/>
      <c r="I489" s="22" t="n"/>
      <c r="J489" s="22" t="n"/>
      <c r="K489" s="22" t="n"/>
    </row>
    <row r="490">
      <c r="A490" s="324" t="n"/>
      <c r="B490" s="22" t="n"/>
      <c r="C490" s="22" t="n"/>
      <c r="D490" s="22" t="n"/>
      <c r="E490" s="22" t="n"/>
      <c r="F490" s="22" t="n"/>
      <c r="G490" s="22" t="n"/>
      <c r="H490" s="22" t="n"/>
      <c r="I490" s="22" t="n"/>
      <c r="J490" s="22" t="n"/>
      <c r="K490" s="22" t="n"/>
    </row>
    <row r="491">
      <c r="A491" s="324" t="n"/>
      <c r="B491" s="22" t="n"/>
      <c r="C491" s="22" t="n"/>
      <c r="D491" s="22" t="n"/>
      <c r="E491" s="22" t="n"/>
      <c r="F491" s="22" t="n"/>
      <c r="G491" s="22" t="n"/>
      <c r="H491" s="22" t="n"/>
      <c r="I491" s="22" t="n"/>
      <c r="J491" s="22" t="n"/>
      <c r="K491" s="22" t="n"/>
    </row>
    <row r="492">
      <c r="A492" s="324" t="n"/>
      <c r="B492" s="22" t="n"/>
      <c r="C492" s="22" t="n"/>
      <c r="D492" s="22" t="n"/>
      <c r="E492" s="22" t="n"/>
      <c r="F492" s="22" t="n"/>
      <c r="G492" s="22" t="n"/>
      <c r="H492" s="22" t="n"/>
      <c r="I492" s="22" t="n"/>
      <c r="J492" s="22" t="n"/>
      <c r="K492" s="22" t="n"/>
    </row>
    <row r="493">
      <c r="A493" s="324" t="n"/>
      <c r="B493" s="22" t="n"/>
      <c r="C493" s="22" t="n"/>
      <c r="D493" s="22" t="n"/>
      <c r="E493" s="22" t="n"/>
      <c r="F493" s="22" t="n"/>
      <c r="G493" s="22" t="n"/>
      <c r="H493" s="22" t="n"/>
      <c r="I493" s="22" t="n"/>
      <c r="J493" s="22" t="n"/>
      <c r="K493" s="22" t="n"/>
    </row>
    <row r="494">
      <c r="A494" s="324" t="n"/>
      <c r="B494" s="22" t="n"/>
      <c r="C494" s="22" t="n"/>
      <c r="D494" s="22" t="n"/>
      <c r="E494" s="22" t="n"/>
      <c r="F494" s="22" t="n"/>
      <c r="G494" s="22" t="n"/>
      <c r="H494" s="22" t="n"/>
      <c r="I494" s="22" t="n"/>
      <c r="J494" s="22" t="n"/>
      <c r="K494" s="22" t="n"/>
    </row>
    <row r="495">
      <c r="A495" s="324" t="n"/>
      <c r="B495" s="22" t="n"/>
      <c r="C495" s="22" t="n"/>
      <c r="D495" s="22" t="n"/>
      <c r="E495" s="22" t="n"/>
      <c r="F495" s="22" t="n"/>
      <c r="G495" s="22" t="n"/>
      <c r="H495" s="22" t="n"/>
      <c r="I495" s="22" t="n"/>
      <c r="J495" s="22" t="n"/>
      <c r="K495" s="22" t="n"/>
    </row>
    <row r="496">
      <c r="A496" s="324" t="n"/>
      <c r="B496" s="22" t="n"/>
      <c r="C496" s="22" t="n"/>
      <c r="D496" s="22" t="n"/>
      <c r="E496" s="22" t="n"/>
      <c r="F496" s="22" t="n"/>
      <c r="G496" s="22" t="n"/>
      <c r="H496" s="22" t="n"/>
      <c r="I496" s="22" t="n"/>
      <c r="J496" s="22" t="n"/>
      <c r="K496" s="22" t="n"/>
    </row>
    <row r="497">
      <c r="A497" s="324" t="n"/>
      <c r="B497" s="22" t="n"/>
      <c r="C497" s="22" t="n"/>
      <c r="D497" s="22" t="n"/>
      <c r="E497" s="22" t="n"/>
      <c r="F497" s="22" t="n"/>
      <c r="G497" s="22" t="n"/>
      <c r="H497" s="22" t="n"/>
      <c r="I497" s="22" t="n"/>
      <c r="J497" s="22" t="n"/>
      <c r="K497" s="22" t="n"/>
    </row>
    <row r="498">
      <c r="A498" s="324" t="n"/>
      <c r="B498" s="22" t="n"/>
      <c r="C498" s="22" t="n"/>
      <c r="D498" s="22" t="n"/>
      <c r="E498" s="22" t="n"/>
      <c r="F498" s="22" t="n"/>
      <c r="G498" s="22" t="n"/>
      <c r="H498" s="22" t="n"/>
      <c r="I498" s="22" t="n"/>
      <c r="J498" s="22" t="n"/>
      <c r="K498" s="22" t="n"/>
    </row>
    <row r="499">
      <c r="A499" s="324" t="n"/>
      <c r="B499" s="22" t="n"/>
      <c r="C499" s="22" t="n"/>
      <c r="D499" s="22" t="n"/>
      <c r="E499" s="22" t="n"/>
      <c r="F499" s="22" t="n"/>
      <c r="G499" s="22" t="n"/>
      <c r="H499" s="22" t="n"/>
      <c r="I499" s="22" t="n"/>
      <c r="J499" s="22" t="n"/>
      <c r="K499" s="22" t="n"/>
    </row>
    <row r="500">
      <c r="A500" s="324" t="n"/>
      <c r="B500" s="22" t="n"/>
      <c r="C500" s="22" t="n"/>
      <c r="D500" s="22" t="n"/>
      <c r="E500" s="22" t="n"/>
      <c r="F500" s="22" t="n"/>
      <c r="G500" s="22" t="n"/>
      <c r="H500" s="22" t="n"/>
      <c r="I500" s="22" t="n"/>
      <c r="J500" s="22" t="n"/>
      <c r="K500" s="22" t="n"/>
    </row>
    <row r="501">
      <c r="A501" s="324" t="n"/>
      <c r="B501" s="22" t="n"/>
      <c r="C501" s="22" t="n"/>
      <c r="D501" s="22" t="n"/>
      <c r="E501" s="22" t="n"/>
      <c r="F501" s="22" t="n"/>
      <c r="G501" s="22" t="n"/>
      <c r="H501" s="22" t="n"/>
      <c r="I501" s="22" t="n"/>
      <c r="J501" s="22" t="n"/>
      <c r="K501" s="22" t="n"/>
    </row>
    <row r="502">
      <c r="A502" s="324" t="n"/>
      <c r="B502" s="22" t="n"/>
      <c r="C502" s="22" t="n"/>
      <c r="D502" s="22" t="n"/>
      <c r="E502" s="22" t="n"/>
      <c r="F502" s="22" t="n"/>
      <c r="G502" s="22" t="n"/>
      <c r="H502" s="22" t="n"/>
      <c r="I502" s="22" t="n"/>
      <c r="J502" s="22" t="n"/>
      <c r="K502" s="22" t="n"/>
    </row>
    <row r="503">
      <c r="A503" s="324" t="n"/>
      <c r="B503" s="22" t="n"/>
      <c r="C503" s="22" t="n"/>
      <c r="D503" s="22" t="n"/>
      <c r="E503" s="22" t="n"/>
      <c r="F503" s="22" t="n"/>
      <c r="G503" s="22" t="n"/>
      <c r="H503" s="22" t="n"/>
      <c r="I503" s="22" t="n"/>
      <c r="J503" s="22" t="n"/>
      <c r="K503" s="22" t="n"/>
    </row>
    <row r="504">
      <c r="A504" s="324" t="n"/>
      <c r="B504" s="22" t="n"/>
      <c r="C504" s="22" t="n"/>
      <c r="D504" s="22" t="n"/>
      <c r="E504" s="22" t="n"/>
      <c r="F504" s="22" t="n"/>
      <c r="G504" s="22" t="n"/>
      <c r="H504" s="22" t="n"/>
      <c r="I504" s="22" t="n"/>
      <c r="J504" s="22" t="n"/>
      <c r="K504" s="22" t="n"/>
    </row>
    <row r="505">
      <c r="A505" s="324" t="n"/>
      <c r="B505" s="22" t="n"/>
      <c r="C505" s="22" t="n"/>
      <c r="D505" s="22" t="n"/>
      <c r="E505" s="22" t="n"/>
      <c r="F505" s="22" t="n"/>
      <c r="G505" s="22" t="n"/>
      <c r="H505" s="22" t="n"/>
      <c r="I505" s="22" t="n"/>
      <c r="J505" s="22" t="n"/>
      <c r="K505" s="22" t="n"/>
    </row>
    <row r="506">
      <c r="A506" s="324" t="n"/>
      <c r="B506" s="22" t="n"/>
      <c r="C506" s="22" t="n"/>
      <c r="D506" s="22" t="n"/>
      <c r="E506" s="22" t="n"/>
      <c r="F506" s="22" t="n"/>
      <c r="G506" s="22" t="n"/>
      <c r="H506" s="22" t="n"/>
      <c r="I506" s="22" t="n"/>
      <c r="J506" s="22" t="n"/>
      <c r="K506" s="22" t="n"/>
    </row>
    <row r="507">
      <c r="A507" s="324" t="n"/>
      <c r="B507" s="22" t="n"/>
      <c r="C507" s="22" t="n"/>
      <c r="D507" s="22" t="n"/>
      <c r="E507" s="22" t="n"/>
      <c r="F507" s="22" t="n"/>
      <c r="G507" s="22" t="n"/>
      <c r="H507" s="22" t="n"/>
      <c r="I507" s="22" t="n"/>
      <c r="J507" s="22" t="n"/>
      <c r="K507" s="22" t="n"/>
    </row>
    <row r="508">
      <c r="A508" s="324" t="n"/>
      <c r="B508" s="22" t="n"/>
      <c r="C508" s="22" t="n"/>
      <c r="D508" s="22" t="n"/>
      <c r="E508" s="22" t="n"/>
      <c r="F508" s="22" t="n"/>
      <c r="G508" s="22" t="n"/>
      <c r="H508" s="22" t="n"/>
      <c r="I508" s="22" t="n"/>
      <c r="J508" s="22" t="n"/>
      <c r="K508" s="22" t="n"/>
    </row>
    <row r="509">
      <c r="A509" s="324" t="n"/>
      <c r="B509" s="22" t="n"/>
      <c r="C509" s="22" t="n"/>
      <c r="D509" s="22" t="n"/>
      <c r="E509" s="22" t="n"/>
      <c r="F509" s="22" t="n"/>
      <c r="G509" s="22" t="n"/>
      <c r="H509" s="22" t="n"/>
      <c r="I509" s="22" t="n"/>
      <c r="J509" s="22" t="n"/>
      <c r="K509" s="22" t="n"/>
    </row>
    <row r="510">
      <c r="A510" s="324" t="n"/>
      <c r="B510" s="22" t="n"/>
      <c r="C510" s="22" t="n"/>
      <c r="D510" s="22" t="n"/>
      <c r="E510" s="22" t="n"/>
      <c r="F510" s="22" t="n"/>
      <c r="G510" s="22" t="n"/>
      <c r="H510" s="22" t="n"/>
      <c r="I510" s="22" t="n"/>
      <c r="J510" s="22" t="n"/>
      <c r="K510" s="22" t="n"/>
    </row>
    <row r="511">
      <c r="A511" s="324" t="n"/>
      <c r="B511" s="22" t="n"/>
      <c r="C511" s="22" t="n"/>
      <c r="D511" s="22" t="n"/>
      <c r="E511" s="22" t="n"/>
      <c r="F511" s="22" t="n"/>
      <c r="G511" s="22" t="n"/>
      <c r="H511" s="22" t="n"/>
      <c r="I511" s="22" t="n"/>
      <c r="J511" s="22" t="n"/>
      <c r="K511" s="22" t="n"/>
    </row>
    <row r="512">
      <c r="A512" s="324" t="n"/>
      <c r="B512" s="22" t="n"/>
      <c r="C512" s="22" t="n"/>
      <c r="D512" s="22" t="n"/>
      <c r="E512" s="22" t="n"/>
      <c r="F512" s="22" t="n"/>
      <c r="G512" s="22" t="n"/>
      <c r="H512" s="22" t="n"/>
      <c r="I512" s="22" t="n"/>
      <c r="J512" s="22" t="n"/>
      <c r="K512" s="22" t="n"/>
    </row>
    <row r="513">
      <c r="A513" s="324" t="n"/>
      <c r="B513" s="22" t="n"/>
      <c r="C513" s="22" t="n"/>
      <c r="D513" s="22" t="n"/>
      <c r="E513" s="22" t="n"/>
      <c r="F513" s="22" t="n"/>
      <c r="G513" s="22" t="n"/>
      <c r="H513" s="22" t="n"/>
      <c r="I513" s="22" t="n"/>
      <c r="J513" s="22" t="n"/>
      <c r="K513" s="22" t="n"/>
    </row>
    <row r="514">
      <c r="A514" s="324" t="n"/>
      <c r="B514" s="22" t="n"/>
      <c r="C514" s="22" t="n"/>
      <c r="D514" s="22" t="n"/>
      <c r="E514" s="22" t="n"/>
      <c r="F514" s="22" t="n"/>
      <c r="G514" s="22" t="n"/>
      <c r="H514" s="22" t="n"/>
      <c r="I514" s="22" t="n"/>
      <c r="J514" s="22" t="n"/>
      <c r="K514" s="22" t="n"/>
    </row>
    <row r="515">
      <c r="A515" s="324" t="n"/>
      <c r="B515" s="22" t="n"/>
      <c r="C515" s="22" t="n"/>
      <c r="D515" s="22" t="n"/>
      <c r="E515" s="22" t="n"/>
      <c r="F515" s="22" t="n"/>
      <c r="G515" s="22" t="n"/>
      <c r="H515" s="22" t="n"/>
      <c r="I515" s="22" t="n"/>
      <c r="J515" s="22" t="n"/>
      <c r="K515" s="22" t="n"/>
    </row>
    <row r="516">
      <c r="A516" s="324" t="n"/>
      <c r="B516" s="22" t="n"/>
      <c r="C516" s="22" t="n"/>
      <c r="D516" s="22" t="n"/>
      <c r="E516" s="22" t="n"/>
      <c r="F516" s="22" t="n"/>
      <c r="G516" s="22" t="n"/>
      <c r="H516" s="22" t="n"/>
      <c r="I516" s="22" t="n"/>
      <c r="J516" s="22" t="n"/>
      <c r="K516" s="22" t="n"/>
    </row>
    <row r="517">
      <c r="A517" s="324" t="n"/>
      <c r="B517" s="22" t="n"/>
      <c r="C517" s="22" t="n"/>
      <c r="D517" s="22" t="n"/>
      <c r="E517" s="22" t="n"/>
      <c r="F517" s="22" t="n"/>
      <c r="G517" s="22" t="n"/>
      <c r="H517" s="22" t="n"/>
      <c r="I517" s="22" t="n"/>
      <c r="J517" s="22" t="n"/>
      <c r="K517" s="22" t="n"/>
    </row>
    <row r="518">
      <c r="A518" s="324" t="n"/>
      <c r="B518" s="22" t="n"/>
      <c r="C518" s="22" t="n"/>
      <c r="D518" s="22" t="n"/>
      <c r="E518" s="22" t="n"/>
      <c r="F518" s="22" t="n"/>
      <c r="G518" s="22" t="n"/>
      <c r="H518" s="22" t="n"/>
      <c r="I518" s="22" t="n"/>
      <c r="J518" s="22" t="n"/>
      <c r="K518" s="22" t="n"/>
    </row>
    <row r="519">
      <c r="A519" s="324" t="n"/>
      <c r="B519" s="22" t="n"/>
      <c r="C519" s="22" t="n"/>
      <c r="D519" s="22" t="n"/>
      <c r="E519" s="22" t="n"/>
      <c r="F519" s="22" t="n"/>
      <c r="G519" s="22" t="n"/>
      <c r="H519" s="22" t="n"/>
      <c r="I519" s="22" t="n"/>
      <c r="J519" s="22" t="n"/>
      <c r="K519" s="22" t="n"/>
    </row>
    <row r="520">
      <c r="A520" s="324" t="n"/>
      <c r="B520" s="22" t="n"/>
      <c r="C520" s="22" t="n"/>
      <c r="D520" s="22" t="n"/>
      <c r="E520" s="22" t="n"/>
      <c r="F520" s="22" t="n"/>
      <c r="G520" s="22" t="n"/>
      <c r="H520" s="22" t="n"/>
      <c r="I520" s="22" t="n"/>
      <c r="J520" s="22" t="n"/>
      <c r="K520" s="22" t="n"/>
    </row>
    <row r="521">
      <c r="A521" s="324" t="n"/>
      <c r="B521" s="22" t="n"/>
      <c r="C521" s="22" t="n"/>
      <c r="D521" s="22" t="n"/>
      <c r="E521" s="22" t="n"/>
      <c r="F521" s="22" t="n"/>
      <c r="G521" s="22" t="n"/>
      <c r="H521" s="22" t="n"/>
      <c r="I521" s="22" t="n"/>
      <c r="J521" s="22" t="n"/>
      <c r="K521" s="22" t="n"/>
    </row>
    <row r="522">
      <c r="A522" s="324" t="n"/>
      <c r="B522" s="22" t="n"/>
      <c r="C522" s="22" t="n"/>
      <c r="D522" s="22" t="n"/>
      <c r="E522" s="22" t="n"/>
      <c r="F522" s="22" t="n"/>
      <c r="G522" s="22" t="n"/>
      <c r="H522" s="22" t="n"/>
      <c r="I522" s="22" t="n"/>
      <c r="J522" s="22" t="n"/>
      <c r="K522" s="22" t="n"/>
    </row>
    <row r="523">
      <c r="A523" s="324" t="n"/>
      <c r="B523" s="22" t="n"/>
      <c r="C523" s="22" t="n"/>
      <c r="D523" s="22" t="n"/>
      <c r="E523" s="22" t="n"/>
      <c r="F523" s="22" t="n"/>
      <c r="G523" s="22" t="n"/>
      <c r="H523" s="22" t="n"/>
      <c r="I523" s="22" t="n"/>
      <c r="J523" s="22" t="n"/>
      <c r="K523" s="22" t="n"/>
    </row>
    <row r="524">
      <c r="A524" s="324" t="n"/>
      <c r="B524" s="22" t="n"/>
      <c r="C524" s="22" t="n"/>
      <c r="D524" s="22" t="n"/>
      <c r="E524" s="22" t="n"/>
      <c r="F524" s="22" t="n"/>
      <c r="G524" s="22" t="n"/>
      <c r="H524" s="22" t="n"/>
      <c r="I524" s="22" t="n"/>
      <c r="J524" s="22" t="n"/>
      <c r="K524" s="22" t="n"/>
    </row>
    <row r="525">
      <c r="A525" s="324" t="n"/>
      <c r="B525" s="22" t="n"/>
      <c r="C525" s="22" t="n"/>
      <c r="D525" s="22" t="n"/>
      <c r="E525" s="22" t="n"/>
      <c r="F525" s="22" t="n"/>
      <c r="G525" s="22" t="n"/>
      <c r="H525" s="22" t="n"/>
      <c r="I525" s="22" t="n"/>
      <c r="J525" s="22" t="n"/>
      <c r="K525" s="22" t="n"/>
    </row>
    <row r="526">
      <c r="A526" s="324" t="n"/>
      <c r="B526" s="22" t="n"/>
      <c r="C526" s="22" t="n"/>
      <c r="D526" s="22" t="n"/>
      <c r="E526" s="22" t="n"/>
      <c r="F526" s="22" t="n"/>
      <c r="G526" s="22" t="n"/>
      <c r="H526" s="22" t="n"/>
      <c r="I526" s="22" t="n"/>
      <c r="J526" s="22" t="n"/>
      <c r="K526" s="22" t="n"/>
    </row>
    <row r="527">
      <c r="A527" s="324" t="n"/>
      <c r="B527" s="22" t="n"/>
      <c r="C527" s="22" t="n"/>
      <c r="D527" s="22" t="n"/>
      <c r="E527" s="22" t="n"/>
      <c r="F527" s="22" t="n"/>
      <c r="G527" s="22" t="n"/>
      <c r="H527" s="22" t="n"/>
      <c r="I527" s="22" t="n"/>
      <c r="J527" s="22" t="n"/>
      <c r="K527" s="22" t="n"/>
    </row>
    <row r="528">
      <c r="A528" s="324" t="n"/>
      <c r="B528" s="22" t="n"/>
      <c r="C528" s="22" t="n"/>
      <c r="D528" s="22" t="n"/>
      <c r="E528" s="22" t="n"/>
      <c r="F528" s="22" t="n"/>
      <c r="G528" s="22" t="n"/>
      <c r="H528" s="22" t="n"/>
      <c r="I528" s="22" t="n"/>
      <c r="J528" s="22" t="n"/>
      <c r="K528" s="22" t="n"/>
    </row>
    <row r="529">
      <c r="A529" s="324" t="n"/>
      <c r="B529" s="22" t="n"/>
      <c r="C529" s="22" t="n"/>
      <c r="D529" s="22" t="n"/>
      <c r="E529" s="22" t="n"/>
      <c r="F529" s="22" t="n"/>
      <c r="G529" s="22" t="n"/>
      <c r="H529" s="22" t="n"/>
      <c r="I529" s="22" t="n"/>
      <c r="J529" s="22" t="n"/>
      <c r="K529" s="22" t="n"/>
    </row>
    <row r="530">
      <c r="A530" s="324" t="n"/>
      <c r="B530" s="22" t="n"/>
      <c r="C530" s="22" t="n"/>
      <c r="D530" s="22" t="n"/>
      <c r="E530" s="22" t="n"/>
      <c r="F530" s="22" t="n"/>
      <c r="G530" s="22" t="n"/>
      <c r="H530" s="22" t="n"/>
      <c r="I530" s="22" t="n"/>
      <c r="J530" s="22" t="n"/>
      <c r="K530" s="22" t="n"/>
    </row>
    <row r="531">
      <c r="A531" s="324" t="n"/>
      <c r="B531" s="22" t="n"/>
      <c r="C531" s="22" t="n"/>
      <c r="D531" s="22" t="n"/>
      <c r="E531" s="22" t="n"/>
      <c r="F531" s="22" t="n"/>
      <c r="G531" s="22" t="n"/>
      <c r="H531" s="22" t="n"/>
      <c r="I531" s="22" t="n"/>
      <c r="J531" s="22" t="n"/>
      <c r="K531" s="22" t="n"/>
    </row>
    <row r="532">
      <c r="A532" s="324" t="n"/>
      <c r="B532" s="22" t="n"/>
      <c r="C532" s="22" t="n"/>
      <c r="D532" s="22" t="n"/>
      <c r="E532" s="22" t="n"/>
      <c r="F532" s="22" t="n"/>
      <c r="G532" s="22" t="n"/>
      <c r="H532" s="22" t="n"/>
      <c r="I532" s="22" t="n"/>
      <c r="J532" s="22" t="n"/>
      <c r="K532" s="22" t="n"/>
    </row>
    <row r="533">
      <c r="A533" s="324" t="n"/>
      <c r="B533" s="22" t="n"/>
      <c r="C533" s="22" t="n"/>
      <c r="D533" s="22" t="n"/>
      <c r="E533" s="22" t="n"/>
      <c r="F533" s="22" t="n"/>
      <c r="G533" s="22" t="n"/>
      <c r="H533" s="22" t="n"/>
      <c r="I533" s="22" t="n"/>
      <c r="J533" s="22" t="n"/>
      <c r="K533" s="22" t="n"/>
    </row>
    <row r="534">
      <c r="A534" s="324" t="n"/>
      <c r="B534" s="22" t="n"/>
      <c r="C534" s="22" t="n"/>
      <c r="D534" s="22" t="n"/>
      <c r="E534" s="22" t="n"/>
      <c r="F534" s="22" t="n"/>
      <c r="G534" s="22" t="n"/>
      <c r="H534" s="22" t="n"/>
      <c r="I534" s="22" t="n"/>
      <c r="J534" s="22" t="n"/>
      <c r="K534" s="22" t="n"/>
    </row>
    <row r="535">
      <c r="A535" s="324" t="n"/>
      <c r="B535" s="22" t="n"/>
      <c r="C535" s="22" t="n"/>
      <c r="D535" s="22" t="n"/>
      <c r="E535" s="22" t="n"/>
      <c r="F535" s="22" t="n"/>
      <c r="G535" s="22" t="n"/>
      <c r="H535" s="22" t="n"/>
      <c r="I535" s="22" t="n"/>
      <c r="J535" s="22" t="n"/>
      <c r="K535" s="22" t="n"/>
    </row>
    <row r="536">
      <c r="A536" s="324" t="n"/>
      <c r="B536" s="22" t="n"/>
      <c r="C536" s="22" t="n"/>
      <c r="D536" s="22" t="n"/>
      <c r="E536" s="22" t="n"/>
      <c r="F536" s="22" t="n"/>
      <c r="G536" s="22" t="n"/>
      <c r="H536" s="22" t="n"/>
      <c r="I536" s="22" t="n"/>
      <c r="J536" s="22" t="n"/>
      <c r="K536" s="22" t="n"/>
    </row>
    <row r="537">
      <c r="A537" s="324" t="n"/>
      <c r="B537" s="22" t="n"/>
      <c r="C537" s="22" t="n"/>
      <c r="D537" s="22" t="n"/>
      <c r="E537" s="22" t="n"/>
      <c r="F537" s="22" t="n"/>
      <c r="G537" s="22" t="n"/>
      <c r="H537" s="22" t="n"/>
      <c r="I537" s="22" t="n"/>
      <c r="J537" s="22" t="n"/>
      <c r="K537" s="22" t="n"/>
    </row>
    <row r="538">
      <c r="A538" s="324" t="n"/>
      <c r="B538" s="22" t="n"/>
      <c r="C538" s="22" t="n"/>
      <c r="D538" s="22" t="n"/>
      <c r="E538" s="22" t="n"/>
      <c r="F538" s="22" t="n"/>
      <c r="G538" s="22" t="n"/>
      <c r="H538" s="22" t="n"/>
      <c r="I538" s="22" t="n"/>
      <c r="J538" s="22" t="n"/>
      <c r="K538" s="22" t="n"/>
    </row>
    <row r="539">
      <c r="A539" s="324" t="n"/>
      <c r="B539" s="22" t="n"/>
      <c r="C539" s="22" t="n"/>
      <c r="D539" s="22" t="n"/>
      <c r="E539" s="22" t="n"/>
      <c r="F539" s="22" t="n"/>
      <c r="G539" s="22" t="n"/>
      <c r="H539" s="22" t="n"/>
      <c r="I539" s="22" t="n"/>
      <c r="J539" s="22" t="n"/>
      <c r="K539" s="22" t="n"/>
    </row>
    <row r="540">
      <c r="A540" s="324" t="n"/>
      <c r="B540" s="22" t="n"/>
      <c r="C540" s="22" t="n"/>
      <c r="D540" s="22" t="n"/>
      <c r="E540" s="22" t="n"/>
      <c r="F540" s="22" t="n"/>
      <c r="G540" s="22" t="n"/>
      <c r="H540" s="22" t="n"/>
      <c r="I540" s="22" t="n"/>
      <c r="J540" s="22" t="n"/>
      <c r="K540" s="22" t="n"/>
    </row>
    <row r="541">
      <c r="A541" s="324" t="n"/>
      <c r="B541" s="22" t="n"/>
      <c r="C541" s="22" t="n"/>
      <c r="D541" s="22" t="n"/>
      <c r="E541" s="22" t="n"/>
      <c r="F541" s="22" t="n"/>
      <c r="G541" s="22" t="n"/>
      <c r="H541" s="22" t="n"/>
      <c r="I541" s="22" t="n"/>
      <c r="J541" s="22" t="n"/>
      <c r="K541" s="22" t="n"/>
    </row>
    <row r="542">
      <c r="A542" s="324" t="n"/>
      <c r="B542" s="22" t="n"/>
      <c r="C542" s="22" t="n"/>
      <c r="D542" s="22" t="n"/>
      <c r="E542" s="22" t="n"/>
      <c r="F542" s="22" t="n"/>
      <c r="G542" s="22" t="n"/>
      <c r="H542" s="22" t="n"/>
      <c r="I542" s="22" t="n"/>
      <c r="J542" s="22" t="n"/>
      <c r="K542" s="22" t="n"/>
    </row>
    <row r="543">
      <c r="A543" s="324" t="n"/>
      <c r="B543" s="22" t="n"/>
      <c r="C543" s="22" t="n"/>
      <c r="D543" s="22" t="n"/>
      <c r="E543" s="22" t="n"/>
      <c r="F543" s="22" t="n"/>
      <c r="G543" s="22" t="n"/>
      <c r="H543" s="22" t="n"/>
      <c r="I543" s="22" t="n"/>
      <c r="J543" s="22" t="n"/>
      <c r="K543" s="22" t="n"/>
    </row>
    <row r="544">
      <c r="A544" s="324" t="n"/>
      <c r="B544" s="22" t="n"/>
      <c r="C544" s="22" t="n"/>
      <c r="D544" s="22" t="n"/>
      <c r="E544" s="22" t="n"/>
      <c r="F544" s="22" t="n"/>
      <c r="G544" s="22" t="n"/>
      <c r="H544" s="22" t="n"/>
      <c r="I544" s="22" t="n"/>
      <c r="J544" s="22" t="n"/>
      <c r="K544" s="22" t="n"/>
    </row>
    <row r="545">
      <c r="A545" s="324" t="n"/>
      <c r="B545" s="22" t="n"/>
      <c r="C545" s="22" t="n"/>
      <c r="D545" s="22" t="n"/>
      <c r="E545" s="22" t="n"/>
      <c r="F545" s="22" t="n"/>
      <c r="G545" s="22" t="n"/>
      <c r="H545" s="22" t="n"/>
      <c r="I545" s="22" t="n"/>
      <c r="J545" s="22" t="n"/>
      <c r="K545" s="22" t="n"/>
    </row>
    <row r="546">
      <c r="A546" s="324" t="n"/>
      <c r="B546" s="22" t="n"/>
      <c r="C546" s="22" t="n"/>
      <c r="D546" s="22" t="n"/>
      <c r="E546" s="22" t="n"/>
      <c r="F546" s="22" t="n"/>
      <c r="G546" s="22" t="n"/>
      <c r="H546" s="22" t="n"/>
      <c r="I546" s="22" t="n"/>
      <c r="J546" s="22" t="n"/>
      <c r="K546" s="22" t="n"/>
    </row>
    <row r="547">
      <c r="A547" s="324" t="n"/>
      <c r="B547" s="22" t="n"/>
      <c r="C547" s="22" t="n"/>
      <c r="D547" s="22" t="n"/>
      <c r="E547" s="22" t="n"/>
      <c r="F547" s="22" t="n"/>
      <c r="G547" s="22" t="n"/>
      <c r="H547" s="22" t="n"/>
      <c r="I547" s="22" t="n"/>
      <c r="J547" s="22" t="n"/>
      <c r="K547" s="22" t="n"/>
    </row>
    <row r="548">
      <c r="A548" s="324" t="n"/>
      <c r="B548" s="22" t="n"/>
      <c r="C548" s="22" t="n"/>
      <c r="D548" s="22" t="n"/>
      <c r="E548" s="22" t="n"/>
      <c r="F548" s="22" t="n"/>
      <c r="G548" s="22" t="n"/>
      <c r="H548" s="22" t="n"/>
      <c r="I548" s="22" t="n"/>
      <c r="J548" s="22" t="n"/>
      <c r="K548" s="22" t="n"/>
    </row>
    <row r="549">
      <c r="A549" s="324" t="n"/>
      <c r="B549" s="22" t="n"/>
      <c r="C549" s="22" t="n"/>
      <c r="D549" s="22" t="n"/>
      <c r="E549" s="22" t="n"/>
      <c r="F549" s="22" t="n"/>
      <c r="G549" s="22" t="n"/>
      <c r="H549" s="22" t="n"/>
      <c r="I549" s="22" t="n"/>
      <c r="J549" s="22" t="n"/>
      <c r="K549" s="22" t="n"/>
    </row>
    <row r="550">
      <c r="A550" s="324" t="n"/>
      <c r="B550" s="22" t="n"/>
      <c r="C550" s="22" t="n"/>
      <c r="D550" s="22" t="n"/>
      <c r="E550" s="22" t="n"/>
      <c r="F550" s="22" t="n"/>
      <c r="G550" s="22" t="n"/>
      <c r="H550" s="22" t="n"/>
      <c r="I550" s="22" t="n"/>
      <c r="J550" s="22" t="n"/>
      <c r="K550" s="22" t="n"/>
    </row>
    <row r="551">
      <c r="A551" s="324" t="n"/>
      <c r="B551" s="22" t="n"/>
      <c r="C551" s="22" t="n"/>
      <c r="D551" s="22" t="n"/>
      <c r="E551" s="22" t="n"/>
      <c r="F551" s="22" t="n"/>
      <c r="G551" s="22" t="n"/>
      <c r="H551" s="22" t="n"/>
      <c r="I551" s="22" t="n"/>
      <c r="J551" s="22" t="n"/>
      <c r="K551" s="22" t="n"/>
    </row>
    <row r="552">
      <c r="A552" s="324" t="n"/>
      <c r="B552" s="22" t="n"/>
      <c r="C552" s="22" t="n"/>
      <c r="D552" s="22" t="n"/>
      <c r="E552" s="22" t="n"/>
      <c r="F552" s="22" t="n"/>
      <c r="G552" s="22" t="n"/>
      <c r="H552" s="22" t="n"/>
      <c r="I552" s="22" t="n"/>
      <c r="J552" s="22" t="n"/>
      <c r="K552" s="22" t="n"/>
    </row>
    <row r="553">
      <c r="A553" s="324" t="n"/>
      <c r="B553" s="22" t="n"/>
      <c r="C553" s="22" t="n"/>
      <c r="D553" s="22" t="n"/>
      <c r="E553" s="22" t="n"/>
      <c r="F553" s="22" t="n"/>
      <c r="G553" s="22" t="n"/>
      <c r="H553" s="22" t="n"/>
      <c r="I553" s="22" t="n"/>
      <c r="J553" s="22" t="n"/>
      <c r="K553" s="22" t="n"/>
    </row>
    <row r="554">
      <c r="A554" s="324" t="n"/>
      <c r="B554" s="22" t="n"/>
      <c r="C554" s="22" t="n"/>
      <c r="D554" s="22" t="n"/>
      <c r="E554" s="22" t="n"/>
      <c r="F554" s="22" t="n"/>
      <c r="G554" s="22" t="n"/>
      <c r="H554" s="22" t="n"/>
      <c r="I554" s="22" t="n"/>
      <c r="J554" s="22" t="n"/>
      <c r="K554" s="22" t="n"/>
    </row>
    <row r="555">
      <c r="A555" s="324" t="n"/>
      <c r="B555" s="22" t="n"/>
      <c r="C555" s="22" t="n"/>
      <c r="D555" s="22" t="n"/>
      <c r="E555" s="22" t="n"/>
      <c r="F555" s="22" t="n"/>
      <c r="G555" s="22" t="n"/>
      <c r="H555" s="22" t="n"/>
      <c r="I555" s="22" t="n"/>
      <c r="J555" s="22" t="n"/>
      <c r="K555" s="22" t="n"/>
    </row>
    <row r="556">
      <c r="A556" s="324" t="n"/>
      <c r="B556" s="22" t="n"/>
      <c r="C556" s="22" t="n"/>
      <c r="D556" s="22" t="n"/>
      <c r="E556" s="22" t="n"/>
      <c r="F556" s="22" t="n"/>
      <c r="G556" s="22" t="n"/>
      <c r="H556" s="22" t="n"/>
      <c r="I556" s="22" t="n"/>
      <c r="J556" s="22" t="n"/>
      <c r="K556" s="22" t="n"/>
    </row>
    <row r="557">
      <c r="A557" s="324" t="n"/>
      <c r="B557" s="22" t="n"/>
      <c r="C557" s="22" t="n"/>
      <c r="D557" s="22" t="n"/>
      <c r="E557" s="22" t="n"/>
      <c r="F557" s="22" t="n"/>
      <c r="G557" s="22" t="n"/>
      <c r="H557" s="22" t="n"/>
      <c r="I557" s="22" t="n"/>
      <c r="J557" s="22" t="n"/>
      <c r="K557" s="22" t="n"/>
    </row>
    <row r="558">
      <c r="A558" s="324" t="n"/>
      <c r="B558" s="22" t="n"/>
      <c r="C558" s="22" t="n"/>
      <c r="D558" s="22" t="n"/>
      <c r="E558" s="22" t="n"/>
      <c r="F558" s="22" t="n"/>
      <c r="G558" s="22" t="n"/>
      <c r="H558" s="22" t="n"/>
      <c r="I558" s="22" t="n"/>
      <c r="J558" s="22" t="n"/>
      <c r="K558" s="22" t="n"/>
    </row>
    <row r="559">
      <c r="A559" s="324" t="n"/>
      <c r="B559" s="22" t="n"/>
      <c r="C559" s="22" t="n"/>
      <c r="D559" s="22" t="n"/>
      <c r="E559" s="22" t="n"/>
      <c r="F559" s="22" t="n"/>
      <c r="G559" s="22" t="n"/>
      <c r="H559" s="22" t="n"/>
      <c r="I559" s="22" t="n"/>
      <c r="J559" s="22" t="n"/>
      <c r="K559" s="22" t="n"/>
    </row>
    <row r="560">
      <c r="A560" s="324" t="n"/>
      <c r="B560" s="22" t="n"/>
      <c r="C560" s="22" t="n"/>
      <c r="D560" s="22" t="n"/>
      <c r="E560" s="22" t="n"/>
      <c r="F560" s="22" t="n"/>
      <c r="G560" s="22" t="n"/>
      <c r="H560" s="22" t="n"/>
      <c r="I560" s="22" t="n"/>
      <c r="J560" s="22" t="n"/>
      <c r="K560" s="22" t="n"/>
    </row>
    <row r="561">
      <c r="A561" s="324" t="n"/>
      <c r="B561" s="22" t="n"/>
      <c r="C561" s="22" t="n"/>
      <c r="D561" s="22" t="n"/>
      <c r="E561" s="22" t="n"/>
      <c r="F561" s="22" t="n"/>
      <c r="G561" s="22" t="n"/>
      <c r="H561" s="22" t="n"/>
      <c r="I561" s="22" t="n"/>
      <c r="J561" s="22" t="n"/>
      <c r="K561" s="22" t="n"/>
    </row>
    <row r="562">
      <c r="A562" s="324" t="n"/>
      <c r="B562" s="22" t="n"/>
      <c r="C562" s="22" t="n"/>
      <c r="D562" s="22" t="n"/>
      <c r="E562" s="22" t="n"/>
      <c r="F562" s="22" t="n"/>
      <c r="G562" s="22" t="n"/>
      <c r="H562" s="22" t="n"/>
      <c r="I562" s="22" t="n"/>
      <c r="J562" s="22" t="n"/>
      <c r="K562" s="22" t="n"/>
    </row>
    <row r="563">
      <c r="A563" s="324" t="n"/>
      <c r="B563" s="22" t="n"/>
      <c r="C563" s="22" t="n"/>
      <c r="D563" s="22" t="n"/>
      <c r="E563" s="22" t="n"/>
      <c r="F563" s="22" t="n"/>
      <c r="G563" s="22" t="n"/>
      <c r="H563" s="22" t="n"/>
      <c r="I563" s="22" t="n"/>
      <c r="J563" s="22" t="n"/>
      <c r="K563" s="22" t="n"/>
    </row>
    <row r="564">
      <c r="A564" s="324" t="n"/>
      <c r="B564" s="22" t="n"/>
      <c r="C564" s="22" t="n"/>
      <c r="D564" s="22" t="n"/>
      <c r="E564" s="22" t="n"/>
      <c r="F564" s="22" t="n"/>
      <c r="G564" s="22" t="n"/>
      <c r="H564" s="22" t="n"/>
      <c r="I564" s="22" t="n"/>
      <c r="J564" s="22" t="n"/>
      <c r="K564" s="22" t="n"/>
    </row>
    <row r="565">
      <c r="A565" s="324" t="n"/>
      <c r="B565" s="22" t="n"/>
      <c r="C565" s="22" t="n"/>
      <c r="D565" s="22" t="n"/>
      <c r="E565" s="22" t="n"/>
      <c r="F565" s="22" t="n"/>
      <c r="G565" s="22" t="n"/>
      <c r="H565" s="22" t="n"/>
      <c r="I565" s="22" t="n"/>
      <c r="J565" s="22" t="n"/>
      <c r="K565" s="22" t="n"/>
    </row>
    <row r="566">
      <c r="A566" s="324" t="n"/>
      <c r="B566" s="22" t="n"/>
      <c r="C566" s="22" t="n"/>
      <c r="D566" s="22" t="n"/>
      <c r="E566" s="22" t="n"/>
      <c r="F566" s="22" t="n"/>
      <c r="G566" s="22" t="n"/>
      <c r="H566" s="22" t="n"/>
      <c r="I566" s="22" t="n"/>
      <c r="J566" s="22" t="n"/>
      <c r="K566" s="22" t="n"/>
    </row>
    <row r="567">
      <c r="A567" s="324" t="n"/>
      <c r="B567" s="22" t="n"/>
      <c r="C567" s="22" t="n"/>
      <c r="D567" s="22" t="n"/>
      <c r="E567" s="22" t="n"/>
      <c r="F567" s="22" t="n"/>
      <c r="G567" s="22" t="n"/>
      <c r="H567" s="22" t="n"/>
      <c r="I567" s="22" t="n"/>
      <c r="J567" s="22" t="n"/>
      <c r="K567" s="22" t="n"/>
    </row>
    <row r="568">
      <c r="A568" s="324" t="n"/>
      <c r="B568" s="22" t="n"/>
      <c r="C568" s="22" t="n"/>
      <c r="D568" s="22" t="n"/>
      <c r="E568" s="22" t="n"/>
      <c r="F568" s="22" t="n"/>
      <c r="G568" s="22" t="n"/>
      <c r="H568" s="22" t="n"/>
      <c r="I568" s="22" t="n"/>
      <c r="J568" s="22" t="n"/>
      <c r="K568" s="22" t="n"/>
    </row>
    <row r="569">
      <c r="A569" s="324" t="n"/>
      <c r="B569" s="22" t="n"/>
      <c r="C569" s="22" t="n"/>
      <c r="D569" s="22" t="n"/>
      <c r="E569" s="22" t="n"/>
      <c r="F569" s="22" t="n"/>
      <c r="G569" s="22" t="n"/>
      <c r="H569" s="22" t="n"/>
      <c r="I569" s="22" t="n"/>
      <c r="J569" s="22" t="n"/>
      <c r="K569" s="22" t="n"/>
    </row>
    <row r="570">
      <c r="A570" s="324" t="n"/>
      <c r="B570" s="22" t="n"/>
      <c r="C570" s="22" t="n"/>
      <c r="D570" s="22" t="n"/>
      <c r="E570" s="22" t="n"/>
      <c r="F570" s="22" t="n"/>
      <c r="G570" s="22" t="n"/>
      <c r="H570" s="22" t="n"/>
      <c r="I570" s="22" t="n"/>
      <c r="J570" s="22" t="n"/>
      <c r="K570" s="22" t="n"/>
    </row>
    <row r="571">
      <c r="A571" s="324" t="n"/>
      <c r="B571" s="22" t="n"/>
      <c r="C571" s="22" t="n"/>
      <c r="D571" s="22" t="n"/>
      <c r="E571" s="22" t="n"/>
      <c r="F571" s="22" t="n"/>
      <c r="G571" s="22" t="n"/>
      <c r="H571" s="22" t="n"/>
      <c r="I571" s="22" t="n"/>
      <c r="J571" s="22" t="n"/>
      <c r="K571" s="22" t="n"/>
    </row>
    <row r="572">
      <c r="A572" s="324" t="n"/>
      <c r="B572" s="22" t="n"/>
      <c r="C572" s="22" t="n"/>
      <c r="D572" s="22" t="n"/>
      <c r="E572" s="22" t="n"/>
      <c r="F572" s="22" t="n"/>
      <c r="G572" s="22" t="n"/>
      <c r="H572" s="22" t="n"/>
      <c r="I572" s="22" t="n"/>
      <c r="J572" s="22" t="n"/>
      <c r="K572" s="22" t="n"/>
    </row>
    <row r="573">
      <c r="A573" s="324" t="n"/>
      <c r="B573" s="22" t="n"/>
      <c r="C573" s="22" t="n"/>
      <c r="D573" s="22" t="n"/>
      <c r="E573" s="22" t="n"/>
      <c r="F573" s="22" t="n"/>
      <c r="G573" s="22" t="n"/>
      <c r="H573" s="22" t="n"/>
      <c r="I573" s="22" t="n"/>
      <c r="J573" s="22" t="n"/>
      <c r="K573" s="22" t="n"/>
    </row>
    <row r="574">
      <c r="A574" s="324" t="n"/>
      <c r="B574" s="22" t="n"/>
      <c r="C574" s="22" t="n"/>
      <c r="D574" s="22" t="n"/>
      <c r="E574" s="22" t="n"/>
      <c r="F574" s="22" t="n"/>
      <c r="G574" s="22" t="n"/>
      <c r="H574" s="22" t="n"/>
      <c r="I574" s="22" t="n"/>
      <c r="J574" s="22" t="n"/>
      <c r="K574" s="22" t="n"/>
    </row>
    <row r="575">
      <c r="A575" s="324" t="n"/>
      <c r="B575" s="22" t="n"/>
      <c r="C575" s="22" t="n"/>
      <c r="D575" s="22" t="n"/>
      <c r="E575" s="22" t="n"/>
      <c r="F575" s="22" t="n"/>
      <c r="G575" s="22" t="n"/>
      <c r="H575" s="22" t="n"/>
      <c r="I575" s="22" t="n"/>
      <c r="J575" s="22" t="n"/>
      <c r="K575" s="22" t="n"/>
    </row>
    <row r="576">
      <c r="A576" s="324" t="n"/>
      <c r="B576" s="22" t="n"/>
      <c r="C576" s="22" t="n"/>
      <c r="D576" s="22" t="n"/>
      <c r="E576" s="22" t="n"/>
      <c r="F576" s="22" t="n"/>
      <c r="G576" s="22" t="n"/>
      <c r="H576" s="22" t="n"/>
      <c r="I576" s="22" t="n"/>
      <c r="J576" s="22" t="n"/>
      <c r="K576" s="22" t="n"/>
    </row>
    <row r="577">
      <c r="A577" s="324" t="n"/>
      <c r="B577" s="22" t="n"/>
      <c r="C577" s="22" t="n"/>
      <c r="D577" s="22" t="n"/>
      <c r="E577" s="22" t="n"/>
      <c r="F577" s="22" t="n"/>
      <c r="G577" s="22" t="n"/>
      <c r="H577" s="22" t="n"/>
      <c r="I577" s="22" t="n"/>
      <c r="J577" s="22" t="n"/>
      <c r="K577" s="22" t="n"/>
    </row>
    <row r="578">
      <c r="A578" s="324" t="n"/>
      <c r="B578" s="22" t="n"/>
      <c r="C578" s="22" t="n"/>
      <c r="D578" s="22" t="n"/>
      <c r="E578" s="22" t="n"/>
      <c r="F578" s="22" t="n"/>
      <c r="G578" s="22" t="n"/>
      <c r="H578" s="22" t="n"/>
      <c r="I578" s="22" t="n"/>
      <c r="J578" s="22" t="n"/>
      <c r="K578" s="22" t="n"/>
    </row>
    <row r="579">
      <c r="A579" s="324" t="n"/>
      <c r="B579" s="22" t="n"/>
      <c r="C579" s="22" t="n"/>
      <c r="D579" s="22" t="n"/>
      <c r="E579" s="22" t="n"/>
      <c r="F579" s="22" t="n"/>
      <c r="G579" s="22" t="n"/>
      <c r="H579" s="22" t="n"/>
      <c r="I579" s="22" t="n"/>
      <c r="J579" s="22" t="n"/>
      <c r="K579" s="22" t="n"/>
    </row>
    <row r="580">
      <c r="A580" s="324" t="n"/>
      <c r="B580" s="22" t="n"/>
      <c r="C580" s="22" t="n"/>
      <c r="D580" s="22" t="n"/>
      <c r="E580" s="22" t="n"/>
      <c r="F580" s="22" t="n"/>
      <c r="G580" s="22" t="n"/>
      <c r="H580" s="22" t="n"/>
      <c r="I580" s="22" t="n"/>
      <c r="J580" s="22" t="n"/>
      <c r="K580" s="22" t="n"/>
    </row>
    <row r="581">
      <c r="A581" s="324" t="n"/>
      <c r="B581" s="22" t="n"/>
      <c r="C581" s="22" t="n"/>
      <c r="D581" s="22" t="n"/>
      <c r="E581" s="22" t="n"/>
      <c r="F581" s="22" t="n"/>
      <c r="G581" s="22" t="n"/>
      <c r="H581" s="22" t="n"/>
      <c r="I581" s="22" t="n"/>
      <c r="J581" s="22" t="n"/>
      <c r="K581" s="22" t="n"/>
    </row>
    <row r="582">
      <c r="A582" s="324" t="n"/>
      <c r="B582" s="22" t="n"/>
      <c r="C582" s="22" t="n"/>
      <c r="D582" s="22" t="n"/>
      <c r="E582" s="22" t="n"/>
      <c r="F582" s="22" t="n"/>
      <c r="G582" s="22" t="n"/>
      <c r="H582" s="22" t="n"/>
      <c r="I582" s="22" t="n"/>
      <c r="J582" s="22" t="n"/>
      <c r="K582" s="22" t="n"/>
    </row>
    <row r="583">
      <c r="A583" s="324" t="n"/>
      <c r="B583" s="22" t="n"/>
      <c r="C583" s="22" t="n"/>
      <c r="D583" s="22" t="n"/>
      <c r="E583" s="22" t="n"/>
      <c r="F583" s="22" t="n"/>
      <c r="G583" s="22" t="n"/>
      <c r="H583" s="22" t="n"/>
      <c r="I583" s="22" t="n"/>
      <c r="J583" s="22" t="n"/>
      <c r="K583" s="22" t="n"/>
    </row>
    <row r="584">
      <c r="A584" s="324" t="n"/>
      <c r="B584" s="22" t="n"/>
      <c r="C584" s="22" t="n"/>
      <c r="D584" s="22" t="n"/>
      <c r="E584" s="22" t="n"/>
      <c r="F584" s="22" t="n"/>
      <c r="G584" s="22" t="n"/>
      <c r="H584" s="22" t="n"/>
      <c r="I584" s="22" t="n"/>
      <c r="J584" s="22" t="n"/>
      <c r="K584" s="22" t="n"/>
    </row>
    <row r="585">
      <c r="A585" s="324" t="n"/>
      <c r="B585" s="22" t="n"/>
      <c r="C585" s="22" t="n"/>
      <c r="D585" s="22" t="n"/>
      <c r="E585" s="22" t="n"/>
      <c r="F585" s="22" t="n"/>
      <c r="G585" s="22" t="n"/>
      <c r="H585" s="22" t="n"/>
      <c r="I585" s="22" t="n"/>
      <c r="J585" s="22" t="n"/>
      <c r="K585" s="22" t="n"/>
    </row>
    <row r="586">
      <c r="A586" s="324" t="n"/>
      <c r="B586" s="22" t="n"/>
      <c r="C586" s="22" t="n"/>
      <c r="D586" s="22" t="n"/>
      <c r="E586" s="22" t="n"/>
      <c r="F586" s="22" t="n"/>
      <c r="G586" s="22" t="n"/>
      <c r="H586" s="22" t="n"/>
      <c r="I586" s="22" t="n"/>
      <c r="J586" s="22" t="n"/>
      <c r="K586" s="22" t="n"/>
    </row>
    <row r="587">
      <c r="A587" s="324" t="n"/>
      <c r="B587" s="22" t="n"/>
      <c r="C587" s="22" t="n"/>
      <c r="D587" s="22" t="n"/>
      <c r="E587" s="22" t="n"/>
      <c r="F587" s="22" t="n"/>
      <c r="G587" s="22" t="n"/>
      <c r="H587" s="22" t="n"/>
      <c r="I587" s="22" t="n"/>
      <c r="J587" s="22" t="n"/>
      <c r="K587" s="22" t="n"/>
    </row>
    <row r="588">
      <c r="A588" s="324" t="n"/>
      <c r="B588" s="22" t="n"/>
      <c r="C588" s="22" t="n"/>
      <c r="D588" s="22" t="n"/>
      <c r="E588" s="22" t="n"/>
      <c r="F588" s="22" t="n"/>
      <c r="G588" s="22" t="n"/>
      <c r="H588" s="22" t="n"/>
      <c r="I588" s="22" t="n"/>
      <c r="J588" s="22" t="n"/>
      <c r="K588" s="22" t="n"/>
    </row>
    <row r="589">
      <c r="A589" s="324" t="n"/>
      <c r="B589" s="22" t="n"/>
      <c r="C589" s="22" t="n"/>
      <c r="D589" s="22" t="n"/>
      <c r="E589" s="22" t="n"/>
      <c r="F589" s="22" t="n"/>
      <c r="G589" s="22" t="n"/>
      <c r="H589" s="22" t="n"/>
      <c r="I589" s="22" t="n"/>
      <c r="J589" s="22" t="n"/>
      <c r="K589" s="22" t="n"/>
    </row>
    <row r="590">
      <c r="A590" s="324" t="n"/>
      <c r="B590" s="22" t="n"/>
      <c r="C590" s="22" t="n"/>
      <c r="D590" s="22" t="n"/>
      <c r="E590" s="22" t="n"/>
      <c r="F590" s="22" t="n"/>
      <c r="G590" s="22" t="n"/>
      <c r="H590" s="22" t="n"/>
      <c r="I590" s="22" t="n"/>
      <c r="J590" s="22" t="n"/>
      <c r="K590" s="22" t="n"/>
    </row>
    <row r="591">
      <c r="A591" s="324" t="n"/>
      <c r="B591" s="22" t="n"/>
      <c r="C591" s="22" t="n"/>
      <c r="D591" s="22" t="n"/>
      <c r="E591" s="22" t="n"/>
      <c r="F591" s="22" t="n"/>
      <c r="G591" s="22" t="n"/>
      <c r="H591" s="22" t="n"/>
      <c r="I591" s="22" t="n"/>
      <c r="J591" s="22" t="n"/>
      <c r="K591" s="22" t="n"/>
    </row>
    <row r="592">
      <c r="A592" s="324" t="n"/>
      <c r="B592" s="22" t="n"/>
      <c r="C592" s="22" t="n"/>
      <c r="D592" s="22" t="n"/>
      <c r="E592" s="22" t="n"/>
      <c r="F592" s="22" t="n"/>
      <c r="G592" s="22" t="n"/>
      <c r="H592" s="22" t="n"/>
      <c r="I592" s="22" t="n"/>
      <c r="J592" s="22" t="n"/>
      <c r="K592" s="22" t="n"/>
    </row>
    <row r="593">
      <c r="A593" s="324" t="n"/>
      <c r="B593" s="22" t="n"/>
      <c r="C593" s="22" t="n"/>
      <c r="D593" s="22" t="n"/>
      <c r="E593" s="22" t="n"/>
      <c r="F593" s="22" t="n"/>
      <c r="G593" s="22" t="n"/>
      <c r="H593" s="22" t="n"/>
      <c r="I593" s="22" t="n"/>
      <c r="J593" s="22" t="n"/>
      <c r="K593" s="22" t="n"/>
    </row>
    <row r="594">
      <c r="A594" s="324" t="n"/>
      <c r="B594" s="22" t="n"/>
      <c r="C594" s="22" t="n"/>
      <c r="D594" s="22" t="n"/>
      <c r="E594" s="22" t="n"/>
      <c r="F594" s="22" t="n"/>
      <c r="G594" s="22" t="n"/>
      <c r="H594" s="22" t="n"/>
      <c r="I594" s="22" t="n"/>
      <c r="J594" s="22" t="n"/>
      <c r="K594" s="22" t="n"/>
    </row>
    <row r="595">
      <c r="A595" s="324" t="n"/>
      <c r="B595" s="22" t="n"/>
      <c r="C595" s="22" t="n"/>
      <c r="D595" s="22" t="n"/>
      <c r="E595" s="22" t="n"/>
      <c r="F595" s="22" t="n"/>
      <c r="G595" s="22" t="n"/>
      <c r="H595" s="22" t="n"/>
      <c r="I595" s="22" t="n"/>
      <c r="J595" s="22" t="n"/>
      <c r="K595" s="22" t="n"/>
    </row>
    <row r="596">
      <c r="A596" s="324" t="n"/>
      <c r="B596" s="22" t="n"/>
      <c r="C596" s="22" t="n"/>
      <c r="D596" s="22" t="n"/>
      <c r="E596" s="22" t="n"/>
      <c r="F596" s="22" t="n"/>
      <c r="G596" s="22" t="n"/>
      <c r="H596" s="22" t="n"/>
      <c r="I596" s="22" t="n"/>
      <c r="J596" s="22" t="n"/>
      <c r="K596" s="22" t="n"/>
    </row>
    <row r="597">
      <c r="A597" s="324" t="n"/>
      <c r="B597" s="22" t="n"/>
      <c r="C597" s="22" t="n"/>
      <c r="D597" s="22" t="n"/>
      <c r="E597" s="22" t="n"/>
      <c r="F597" s="22" t="n"/>
      <c r="G597" s="22" t="n"/>
      <c r="H597" s="22" t="n"/>
      <c r="I597" s="22" t="n"/>
      <c r="J597" s="22" t="n"/>
      <c r="K597" s="22" t="n"/>
    </row>
    <row r="598">
      <c r="A598" s="324" t="n"/>
      <c r="B598" s="22" t="n"/>
      <c r="C598" s="22" t="n"/>
      <c r="D598" s="22" t="n"/>
      <c r="E598" s="22" t="n"/>
      <c r="F598" s="22" t="n"/>
      <c r="G598" s="22" t="n"/>
      <c r="H598" s="22" t="n"/>
      <c r="I598" s="22" t="n"/>
      <c r="J598" s="22" t="n"/>
      <c r="K598" s="22" t="n"/>
    </row>
    <row r="599">
      <c r="A599" s="324" t="n"/>
      <c r="B599" s="22" t="n"/>
      <c r="C599" s="22" t="n"/>
      <c r="D599" s="22" t="n"/>
      <c r="E599" s="22" t="n"/>
      <c r="F599" s="22" t="n"/>
      <c r="G599" s="22" t="n"/>
      <c r="H599" s="22" t="n"/>
      <c r="I599" s="22" t="n"/>
      <c r="J599" s="22" t="n"/>
      <c r="K599" s="22" t="n"/>
    </row>
    <row r="600">
      <c r="A600" s="324" t="n"/>
      <c r="B600" s="22" t="n"/>
      <c r="C600" s="22" t="n"/>
      <c r="D600" s="22" t="n"/>
      <c r="E600" s="22" t="n"/>
      <c r="F600" s="22" t="n"/>
      <c r="G600" s="22" t="n"/>
      <c r="H600" s="22" t="n"/>
      <c r="I600" s="22" t="n"/>
      <c r="J600" s="22" t="n"/>
      <c r="K600" s="22" t="n"/>
    </row>
    <row r="601">
      <c r="A601" s="324" t="n"/>
      <c r="B601" s="22" t="n"/>
      <c r="C601" s="22" t="n"/>
      <c r="D601" s="22" t="n"/>
      <c r="E601" s="22" t="n"/>
      <c r="F601" s="22" t="n"/>
      <c r="G601" s="22" t="n"/>
      <c r="H601" s="22" t="n"/>
      <c r="I601" s="22" t="n"/>
      <c r="J601" s="22" t="n"/>
      <c r="K601" s="22" t="n"/>
    </row>
    <row r="602">
      <c r="A602" s="324" t="n"/>
      <c r="B602" s="22" t="n"/>
      <c r="C602" s="22" t="n"/>
      <c r="D602" s="22" t="n"/>
      <c r="E602" s="22" t="n"/>
      <c r="F602" s="22" t="n"/>
      <c r="G602" s="22" t="n"/>
      <c r="H602" s="22" t="n"/>
      <c r="I602" s="22" t="n"/>
      <c r="J602" s="22" t="n"/>
      <c r="K602" s="22" t="n"/>
    </row>
    <row r="603">
      <c r="A603" s="324" t="n"/>
      <c r="B603" s="22" t="n"/>
      <c r="C603" s="22" t="n"/>
      <c r="D603" s="22" t="n"/>
      <c r="E603" s="22" t="n"/>
      <c r="F603" s="22" t="n"/>
      <c r="G603" s="22" t="n"/>
      <c r="H603" s="22" t="n"/>
      <c r="I603" s="22" t="n"/>
      <c r="J603" s="22" t="n"/>
      <c r="K603" s="22" t="n"/>
    </row>
    <row r="604">
      <c r="A604" s="324" t="n"/>
      <c r="B604" s="22" t="n"/>
      <c r="C604" s="22" t="n"/>
      <c r="D604" s="22" t="n"/>
      <c r="E604" s="22" t="n"/>
      <c r="F604" s="22" t="n"/>
      <c r="G604" s="22" t="n"/>
      <c r="H604" s="22" t="n"/>
      <c r="I604" s="22" t="n"/>
      <c r="J604" s="22" t="n"/>
      <c r="K604" s="22" t="n"/>
    </row>
    <row r="605">
      <c r="A605" s="324" t="n"/>
      <c r="B605" s="22" t="n"/>
      <c r="C605" s="22" t="n"/>
      <c r="D605" s="22" t="n"/>
      <c r="E605" s="22" t="n"/>
      <c r="F605" s="22" t="n"/>
      <c r="G605" s="22" t="n"/>
      <c r="H605" s="22" t="n"/>
      <c r="I605" s="22" t="n"/>
      <c r="J605" s="22" t="n"/>
      <c r="K605" s="22" t="n"/>
    </row>
    <row r="606">
      <c r="A606" s="324" t="n"/>
      <c r="B606" s="22" t="n"/>
      <c r="C606" s="22" t="n"/>
      <c r="D606" s="22" t="n"/>
      <c r="E606" s="22" t="n"/>
      <c r="F606" s="22" t="n"/>
      <c r="G606" s="22" t="n"/>
      <c r="H606" s="22" t="n"/>
      <c r="I606" s="22" t="n"/>
      <c r="J606" s="22" t="n"/>
      <c r="K606" s="22" t="n"/>
    </row>
    <row r="607">
      <c r="A607" s="324" t="n"/>
      <c r="B607" s="22" t="n"/>
      <c r="C607" s="22" t="n"/>
      <c r="D607" s="22" t="n"/>
      <c r="E607" s="22" t="n"/>
      <c r="F607" s="22" t="n"/>
      <c r="G607" s="22" t="n"/>
      <c r="H607" s="22" t="n"/>
      <c r="I607" s="22" t="n"/>
      <c r="J607" s="22" t="n"/>
      <c r="K607" s="22" t="n"/>
    </row>
    <row r="608">
      <c r="A608" s="324" t="n"/>
      <c r="B608" s="22" t="n"/>
      <c r="C608" s="22" t="n"/>
      <c r="D608" s="22" t="n"/>
      <c r="E608" s="22" t="n"/>
      <c r="F608" s="22" t="n"/>
      <c r="G608" s="22" t="n"/>
      <c r="H608" s="22" t="n"/>
      <c r="I608" s="22" t="n"/>
      <c r="J608" s="22" t="n"/>
      <c r="K608" s="22" t="n"/>
    </row>
    <row r="609">
      <c r="A609" s="324" t="n"/>
      <c r="B609" s="22" t="n"/>
      <c r="C609" s="22" t="n"/>
      <c r="D609" s="22" t="n"/>
      <c r="E609" s="22" t="n"/>
      <c r="F609" s="22" t="n"/>
      <c r="G609" s="22" t="n"/>
      <c r="H609" s="22" t="n"/>
      <c r="I609" s="22" t="n"/>
      <c r="J609" s="22" t="n"/>
      <c r="K609" s="22" t="n"/>
    </row>
    <row r="610">
      <c r="A610" s="324" t="n"/>
      <c r="B610" s="22" t="n"/>
      <c r="C610" s="22" t="n"/>
      <c r="D610" s="22" t="n"/>
      <c r="E610" s="22" t="n"/>
      <c r="F610" s="22" t="n"/>
      <c r="G610" s="22" t="n"/>
      <c r="H610" s="22" t="n"/>
      <c r="I610" s="22" t="n"/>
      <c r="J610" s="22" t="n"/>
      <c r="K610" s="22" t="n"/>
    </row>
    <row r="611">
      <c r="A611" s="324" t="n"/>
      <c r="B611" s="22" t="n"/>
      <c r="C611" s="22" t="n"/>
      <c r="D611" s="22" t="n"/>
      <c r="E611" s="22" t="n"/>
      <c r="F611" s="22" t="n"/>
      <c r="G611" s="22" t="n"/>
      <c r="H611" s="22" t="n"/>
      <c r="I611" s="22" t="n"/>
      <c r="J611" s="22" t="n"/>
      <c r="K611" s="22" t="n"/>
    </row>
    <row r="612">
      <c r="A612" s="324" t="n"/>
      <c r="B612" s="22" t="n"/>
      <c r="C612" s="22" t="n"/>
      <c r="D612" s="22" t="n"/>
      <c r="E612" s="22" t="n"/>
      <c r="F612" s="22" t="n"/>
      <c r="G612" s="22" t="n"/>
      <c r="H612" s="22" t="n"/>
      <c r="I612" s="22" t="n"/>
      <c r="J612" s="22" t="n"/>
      <c r="K612" s="22" t="n"/>
    </row>
    <row r="613">
      <c r="A613" s="324" t="n"/>
      <c r="B613" s="22" t="n"/>
      <c r="C613" s="22" t="n"/>
      <c r="D613" s="22" t="n"/>
      <c r="E613" s="22" t="n"/>
      <c r="F613" s="22" t="n"/>
      <c r="G613" s="22" t="n"/>
      <c r="H613" s="22" t="n"/>
      <c r="I613" s="22" t="n"/>
      <c r="J613" s="22" t="n"/>
      <c r="K613" s="22" t="n"/>
    </row>
    <row r="614">
      <c r="A614" s="324" t="n"/>
      <c r="B614" s="22" t="n"/>
      <c r="C614" s="22" t="n"/>
      <c r="D614" s="22" t="n"/>
      <c r="E614" s="22" t="n"/>
      <c r="F614" s="22" t="n"/>
      <c r="G614" s="22" t="n"/>
      <c r="H614" s="22" t="n"/>
      <c r="I614" s="22" t="n"/>
      <c r="J614" s="22" t="n"/>
      <c r="K614" s="22" t="n"/>
    </row>
    <row r="615">
      <c r="A615" s="324" t="n"/>
      <c r="B615" s="22" t="n"/>
      <c r="C615" s="22" t="n"/>
      <c r="D615" s="22" t="n"/>
      <c r="E615" s="22" t="n"/>
      <c r="F615" s="22" t="n"/>
      <c r="G615" s="22" t="n"/>
      <c r="H615" s="22" t="n"/>
      <c r="I615" s="22" t="n"/>
      <c r="J615" s="22" t="n"/>
      <c r="K615" s="22" t="n"/>
    </row>
    <row r="616">
      <c r="A616" s="324" t="n"/>
      <c r="B616" s="22" t="n"/>
      <c r="C616" s="22" t="n"/>
      <c r="D616" s="22" t="n"/>
      <c r="E616" s="22" t="n"/>
      <c r="F616" s="22" t="n"/>
      <c r="G616" s="22" t="n"/>
      <c r="H616" s="22" t="n"/>
      <c r="I616" s="22" t="n"/>
      <c r="J616" s="22" t="n"/>
      <c r="K616" s="22" t="n"/>
    </row>
    <row r="617">
      <c r="A617" s="324" t="n"/>
      <c r="B617" s="22" t="n"/>
      <c r="C617" s="22" t="n"/>
      <c r="D617" s="22" t="n"/>
      <c r="E617" s="22" t="n"/>
      <c r="F617" s="22" t="n"/>
      <c r="G617" s="22" t="n"/>
      <c r="H617" s="22" t="n"/>
      <c r="I617" s="22" t="n"/>
      <c r="J617" s="22" t="n"/>
      <c r="K617" s="22" t="n"/>
    </row>
    <row r="618">
      <c r="A618" s="324" t="n"/>
      <c r="B618" s="22" t="n"/>
      <c r="C618" s="22" t="n"/>
      <c r="D618" s="22" t="n"/>
      <c r="E618" s="22" t="n"/>
      <c r="F618" s="22" t="n"/>
      <c r="G618" s="22" t="n"/>
      <c r="H618" s="22" t="n"/>
      <c r="I618" s="22" t="n"/>
      <c r="J618" s="22" t="n"/>
      <c r="K618" s="22" t="n"/>
    </row>
    <row r="619">
      <c r="A619" s="324" t="n"/>
      <c r="B619" s="22" t="n"/>
      <c r="C619" s="22" t="n"/>
      <c r="D619" s="22" t="n"/>
      <c r="E619" s="22" t="n"/>
      <c r="F619" s="22" t="n"/>
      <c r="G619" s="22" t="n"/>
      <c r="H619" s="22" t="n"/>
      <c r="I619" s="22" t="n"/>
      <c r="J619" s="22" t="n"/>
      <c r="K619" s="22" t="n"/>
    </row>
    <row r="620">
      <c r="A620" s="324" t="n"/>
      <c r="B620" s="22" t="n"/>
      <c r="C620" s="22" t="n"/>
      <c r="D620" s="22" t="n"/>
      <c r="E620" s="22" t="n"/>
      <c r="F620" s="22" t="n"/>
      <c r="G620" s="22" t="n"/>
      <c r="H620" s="22" t="n"/>
      <c r="I620" s="22" t="n"/>
      <c r="J620" s="22" t="n"/>
      <c r="K620" s="22" t="n"/>
    </row>
    <row r="621">
      <c r="A621" s="324" t="n"/>
      <c r="B621" s="22" t="n"/>
      <c r="C621" s="22" t="n"/>
      <c r="D621" s="22" t="n"/>
      <c r="E621" s="22" t="n"/>
      <c r="F621" s="22" t="n"/>
      <c r="G621" s="22" t="n"/>
      <c r="H621" s="22" t="n"/>
      <c r="I621" s="22" t="n"/>
      <c r="J621" s="22" t="n"/>
      <c r="K621" s="22" t="n"/>
    </row>
    <row r="622">
      <c r="A622" s="324" t="n"/>
      <c r="B622" s="22" t="n"/>
      <c r="C622" s="22" t="n"/>
      <c r="D622" s="22" t="n"/>
      <c r="E622" s="22" t="n"/>
      <c r="F622" s="22" t="n"/>
      <c r="G622" s="22" t="n"/>
      <c r="H622" s="22" t="n"/>
      <c r="I622" s="22" t="n"/>
      <c r="J622" s="22" t="n"/>
      <c r="K622" s="22" t="n"/>
    </row>
    <row r="623">
      <c r="A623" s="324" t="n"/>
      <c r="B623" s="22" t="n"/>
      <c r="C623" s="22" t="n"/>
      <c r="D623" s="22" t="n"/>
      <c r="E623" s="22" t="n"/>
      <c r="F623" s="22" t="n"/>
      <c r="G623" s="22" t="n"/>
      <c r="H623" s="22" t="n"/>
      <c r="I623" s="22" t="n"/>
      <c r="J623" s="22" t="n"/>
      <c r="K623" s="22" t="n"/>
    </row>
    <row r="624">
      <c r="A624" s="324" t="n"/>
      <c r="B624" s="22" t="n"/>
      <c r="C624" s="22" t="n"/>
      <c r="D624" s="22" t="n"/>
      <c r="E624" s="22" t="n"/>
      <c r="F624" s="22" t="n"/>
      <c r="G624" s="22" t="n"/>
      <c r="H624" s="22" t="n"/>
      <c r="I624" s="22" t="n"/>
      <c r="J624" s="22" t="n"/>
      <c r="K624" s="22" t="n"/>
    </row>
    <row r="625">
      <c r="A625" s="324" t="n"/>
      <c r="B625" s="22" t="n"/>
      <c r="C625" s="22" t="n"/>
      <c r="D625" s="22" t="n"/>
      <c r="E625" s="22" t="n"/>
      <c r="F625" s="22" t="n"/>
      <c r="G625" s="22" t="n"/>
      <c r="H625" s="22" t="n"/>
      <c r="I625" s="22" t="n"/>
      <c r="J625" s="22" t="n"/>
      <c r="K625" s="22" t="n"/>
    </row>
    <row r="626">
      <c r="A626" s="324" t="n"/>
      <c r="B626" s="22" t="n"/>
      <c r="C626" s="22" t="n"/>
      <c r="D626" s="22" t="n"/>
      <c r="E626" s="22" t="n"/>
      <c r="F626" s="22" t="n"/>
      <c r="G626" s="22" t="n"/>
      <c r="H626" s="22" t="n"/>
      <c r="I626" s="22" t="n"/>
      <c r="J626" s="22" t="n"/>
      <c r="K626" s="22" t="n"/>
    </row>
    <row r="627">
      <c r="A627" s="324" t="n"/>
      <c r="B627" s="22" t="n"/>
      <c r="C627" s="22" t="n"/>
      <c r="D627" s="22" t="n"/>
      <c r="E627" s="22" t="n"/>
      <c r="F627" s="22" t="n"/>
      <c r="G627" s="22" t="n"/>
      <c r="H627" s="22" t="n"/>
      <c r="I627" s="22" t="n"/>
      <c r="J627" s="22" t="n"/>
      <c r="K627" s="22" t="n"/>
    </row>
    <row r="628">
      <c r="A628" s="324" t="n"/>
      <c r="B628" s="22" t="n"/>
      <c r="C628" s="22" t="n"/>
      <c r="D628" s="22" t="n"/>
      <c r="E628" s="22" t="n"/>
      <c r="F628" s="22" t="n"/>
      <c r="G628" s="22" t="n"/>
      <c r="H628" s="22" t="n"/>
      <c r="I628" s="22" t="n"/>
      <c r="J628" s="22" t="n"/>
      <c r="K628" s="22" t="n"/>
    </row>
    <row r="629">
      <c r="A629" s="324" t="n"/>
      <c r="B629" s="22" t="n"/>
      <c r="C629" s="22" t="n"/>
      <c r="D629" s="22" t="n"/>
      <c r="E629" s="22" t="n"/>
      <c r="F629" s="22" t="n"/>
      <c r="G629" s="22" t="n"/>
      <c r="H629" s="22" t="n"/>
      <c r="I629" s="22" t="n"/>
      <c r="J629" s="22" t="n"/>
      <c r="K629" s="22" t="n"/>
    </row>
    <row r="630">
      <c r="A630" s="324" t="n"/>
      <c r="B630" s="22" t="n"/>
      <c r="C630" s="22" t="n"/>
      <c r="D630" s="22" t="n"/>
      <c r="E630" s="22" t="n"/>
      <c r="F630" s="22" t="n"/>
      <c r="G630" s="22" t="n"/>
      <c r="H630" s="22" t="n"/>
      <c r="I630" s="22" t="n"/>
      <c r="J630" s="22" t="n"/>
      <c r="K630" s="22" t="n"/>
    </row>
    <row r="631">
      <c r="A631" s="324" t="n"/>
      <c r="B631" s="22" t="n"/>
      <c r="C631" s="22" t="n"/>
      <c r="D631" s="22" t="n"/>
      <c r="E631" s="22" t="n"/>
      <c r="F631" s="22" t="n"/>
      <c r="G631" s="22" t="n"/>
      <c r="H631" s="22" t="n"/>
      <c r="I631" s="22" t="n"/>
      <c r="J631" s="22" t="n"/>
      <c r="K631" s="22" t="n"/>
    </row>
    <row r="632">
      <c r="A632" s="324" t="n"/>
      <c r="B632" s="22" t="n"/>
      <c r="C632" s="22" t="n"/>
      <c r="D632" s="22" t="n"/>
      <c r="E632" s="22" t="n"/>
      <c r="F632" s="22" t="n"/>
      <c r="G632" s="22" t="n"/>
      <c r="H632" s="22" t="n"/>
      <c r="I632" s="22" t="n"/>
      <c r="J632" s="22" t="n"/>
      <c r="K632" s="22" t="n"/>
    </row>
    <row r="633">
      <c r="A633" s="324" t="n"/>
      <c r="B633" s="22" t="n"/>
      <c r="C633" s="22" t="n"/>
      <c r="D633" s="22" t="n"/>
      <c r="E633" s="22" t="n"/>
      <c r="F633" s="22" t="n"/>
      <c r="G633" s="22" t="n"/>
      <c r="H633" s="22" t="n"/>
      <c r="I633" s="22" t="n"/>
      <c r="J633" s="22" t="n"/>
      <c r="K633" s="22" t="n"/>
    </row>
    <row r="634">
      <c r="A634" s="324" t="n"/>
      <c r="B634" s="22" t="n"/>
      <c r="C634" s="22" t="n"/>
      <c r="D634" s="22" t="n"/>
      <c r="E634" s="22" t="n"/>
      <c r="F634" s="22" t="n"/>
      <c r="G634" s="22" t="n"/>
      <c r="H634" s="22" t="n"/>
      <c r="I634" s="22" t="n"/>
      <c r="J634" s="22" t="n"/>
      <c r="K634" s="22" t="n"/>
    </row>
    <row r="635">
      <c r="A635" s="324" t="n"/>
      <c r="B635" s="22" t="n"/>
      <c r="C635" s="22" t="n"/>
      <c r="D635" s="22" t="n"/>
      <c r="E635" s="22" t="n"/>
      <c r="F635" s="22" t="n"/>
      <c r="G635" s="22" t="n"/>
      <c r="H635" s="22" t="n"/>
      <c r="I635" s="22" t="n"/>
      <c r="J635" s="22" t="n"/>
      <c r="K635" s="22" t="n"/>
    </row>
    <row r="636">
      <c r="A636" s="324" t="n"/>
      <c r="B636" s="22" t="n"/>
      <c r="C636" s="22" t="n"/>
      <c r="D636" s="22" t="n"/>
      <c r="E636" s="22" t="n"/>
      <c r="F636" s="22" t="n"/>
      <c r="G636" s="22" t="n"/>
      <c r="H636" s="22" t="n"/>
      <c r="I636" s="22" t="n"/>
      <c r="J636" s="22" t="n"/>
      <c r="K636" s="22" t="n"/>
    </row>
    <row r="637">
      <c r="A637" s="324" t="n"/>
      <c r="B637" s="22" t="n"/>
      <c r="C637" s="22" t="n"/>
      <c r="D637" s="22" t="n"/>
      <c r="E637" s="22" t="n"/>
      <c r="F637" s="22" t="n"/>
      <c r="G637" s="22" t="n"/>
      <c r="H637" s="22" t="n"/>
      <c r="I637" s="22" t="n"/>
      <c r="J637" s="22" t="n"/>
      <c r="K637" s="22" t="n"/>
    </row>
    <row r="638">
      <c r="A638" s="324" t="n"/>
      <c r="B638" s="22" t="n"/>
      <c r="C638" s="22" t="n"/>
      <c r="D638" s="22" t="n"/>
      <c r="E638" s="22" t="n"/>
      <c r="F638" s="22" t="n"/>
      <c r="G638" s="22" t="n"/>
      <c r="H638" s="22" t="n"/>
      <c r="I638" s="22" t="n"/>
      <c r="J638" s="22" t="n"/>
      <c r="K638" s="22" t="n"/>
    </row>
    <row r="639">
      <c r="A639" s="324" t="n"/>
      <c r="B639" s="22" t="n"/>
      <c r="C639" s="22" t="n"/>
      <c r="D639" s="22" t="n"/>
      <c r="E639" s="22" t="n"/>
      <c r="F639" s="22" t="n"/>
      <c r="G639" s="22" t="n"/>
      <c r="H639" s="22" t="n"/>
      <c r="I639" s="22" t="n"/>
      <c r="J639" s="22" t="n"/>
      <c r="K639" s="22" t="n"/>
    </row>
    <row r="640">
      <c r="A640" s="324" t="n"/>
      <c r="B640" s="22" t="n"/>
      <c r="C640" s="22" t="n"/>
      <c r="D640" s="22" t="n"/>
      <c r="E640" s="22" t="n"/>
      <c r="F640" s="22" t="n"/>
      <c r="G640" s="22" t="n"/>
      <c r="H640" s="22" t="n"/>
      <c r="I640" s="22" t="n"/>
      <c r="J640" s="22" t="n"/>
      <c r="K640" s="22" t="n"/>
    </row>
    <row r="641">
      <c r="A641" s="324" t="n"/>
      <c r="B641" s="22" t="n"/>
      <c r="C641" s="22" t="n"/>
      <c r="D641" s="22" t="n"/>
      <c r="E641" s="22" t="n"/>
      <c r="F641" s="22" t="n"/>
      <c r="G641" s="22" t="n"/>
      <c r="H641" s="22" t="n"/>
      <c r="I641" s="22" t="n"/>
      <c r="J641" s="22" t="n"/>
      <c r="K641" s="22" t="n"/>
    </row>
    <row r="642">
      <c r="A642" s="324" t="n"/>
      <c r="B642" s="22" t="n"/>
      <c r="C642" s="22" t="n"/>
      <c r="D642" s="22" t="n"/>
      <c r="E642" s="22" t="n"/>
      <c r="F642" s="22" t="n"/>
      <c r="G642" s="22" t="n"/>
      <c r="H642" s="22" t="n"/>
      <c r="I642" s="22" t="n"/>
      <c r="J642" s="22" t="n"/>
      <c r="K642" s="22" t="n"/>
    </row>
    <row r="643">
      <c r="A643" s="324" t="n"/>
      <c r="B643" s="22" t="n"/>
      <c r="C643" s="22" t="n"/>
      <c r="D643" s="22" t="n"/>
      <c r="E643" s="22" t="n"/>
      <c r="F643" s="22" t="n"/>
      <c r="G643" s="22" t="n"/>
      <c r="H643" s="22" t="n"/>
      <c r="I643" s="22" t="n"/>
      <c r="J643" s="22" t="n"/>
      <c r="K643" s="22" t="n"/>
    </row>
    <row r="644">
      <c r="A644" s="324" t="n"/>
      <c r="B644" s="22" t="n"/>
      <c r="C644" s="22" t="n"/>
      <c r="D644" s="22" t="n"/>
      <c r="E644" s="22" t="n"/>
      <c r="F644" s="22" t="n"/>
      <c r="G644" s="22" t="n"/>
      <c r="H644" s="22" t="n"/>
      <c r="I644" s="22" t="n"/>
      <c r="J644" s="22" t="n"/>
      <c r="K644" s="22" t="n"/>
    </row>
    <row r="645">
      <c r="A645" s="324" t="n"/>
      <c r="B645" s="22" t="n"/>
      <c r="C645" s="22" t="n"/>
      <c r="D645" s="22" t="n"/>
      <c r="E645" s="22" t="n"/>
      <c r="F645" s="22" t="n"/>
      <c r="G645" s="22" t="n"/>
      <c r="H645" s="22" t="n"/>
      <c r="I645" s="22" t="n"/>
      <c r="J645" s="22" t="n"/>
      <c r="K645" s="22" t="n"/>
    </row>
    <row r="646">
      <c r="A646" s="324" t="n"/>
      <c r="B646" s="22" t="n"/>
      <c r="C646" s="22" t="n"/>
      <c r="D646" s="22" t="n"/>
      <c r="E646" s="22" t="n"/>
      <c r="F646" s="22" t="n"/>
      <c r="G646" s="22" t="n"/>
      <c r="H646" s="22" t="n"/>
      <c r="I646" s="22" t="n"/>
      <c r="J646" s="22" t="n"/>
      <c r="K646" s="22" t="n"/>
    </row>
    <row r="647">
      <c r="A647" s="324" t="n"/>
      <c r="B647" s="22" t="n"/>
      <c r="C647" s="22" t="n"/>
      <c r="D647" s="22" t="n"/>
      <c r="E647" s="22" t="n"/>
      <c r="F647" s="22" t="n"/>
      <c r="G647" s="22" t="n"/>
      <c r="H647" s="22" t="n"/>
      <c r="I647" s="22" t="n"/>
      <c r="J647" s="22" t="n"/>
      <c r="K647" s="22" t="n"/>
    </row>
    <row r="648">
      <c r="A648" s="324" t="n"/>
      <c r="B648" s="22" t="n"/>
      <c r="C648" s="22" t="n"/>
      <c r="D648" s="22" t="n"/>
      <c r="E648" s="22" t="n"/>
      <c r="F648" s="22" t="n"/>
      <c r="G648" s="22" t="n"/>
      <c r="H648" s="22" t="n"/>
      <c r="I648" s="22" t="n"/>
      <c r="J648" s="22" t="n"/>
      <c r="K648" s="22" t="n"/>
    </row>
    <row r="649">
      <c r="A649" s="324" t="n"/>
      <c r="B649" s="22" t="n"/>
      <c r="C649" s="22" t="n"/>
      <c r="D649" s="22" t="n"/>
      <c r="E649" s="22" t="n"/>
      <c r="F649" s="22" t="n"/>
      <c r="G649" s="22" t="n"/>
      <c r="H649" s="22" t="n"/>
      <c r="I649" s="22" t="n"/>
      <c r="J649" s="22" t="n"/>
      <c r="K649" s="22" t="n"/>
    </row>
    <row r="650">
      <c r="A650" s="324" t="n"/>
      <c r="B650" s="22" t="n"/>
      <c r="C650" s="22" t="n"/>
      <c r="D650" s="22" t="n"/>
      <c r="E650" s="22" t="n"/>
      <c r="F650" s="22" t="n"/>
      <c r="G650" s="22" t="n"/>
      <c r="H650" s="22" t="n"/>
      <c r="I650" s="22" t="n"/>
      <c r="J650" s="22" t="n"/>
      <c r="K650" s="22" t="n"/>
    </row>
    <row r="651">
      <c r="A651" s="324" t="n"/>
      <c r="B651" s="22" t="n"/>
      <c r="C651" s="22" t="n"/>
      <c r="D651" s="22" t="n"/>
      <c r="E651" s="22" t="n"/>
      <c r="F651" s="22" t="n"/>
      <c r="G651" s="22" t="n"/>
      <c r="H651" s="22" t="n"/>
      <c r="I651" s="22" t="n"/>
      <c r="J651" s="22" t="n"/>
      <c r="K651" s="22" t="n"/>
    </row>
    <row r="652">
      <c r="A652" s="324" t="n"/>
      <c r="B652" s="22" t="n"/>
      <c r="C652" s="22" t="n"/>
      <c r="D652" s="22" t="n"/>
      <c r="E652" s="22" t="n"/>
      <c r="F652" s="22" t="n"/>
      <c r="G652" s="22" t="n"/>
      <c r="H652" s="22" t="n"/>
      <c r="I652" s="22" t="n"/>
      <c r="J652" s="22" t="n"/>
      <c r="K652" s="22" t="n"/>
    </row>
    <row r="653">
      <c r="A653" s="324" t="n"/>
      <c r="B653" s="22" t="n"/>
      <c r="C653" s="22" t="n"/>
      <c r="D653" s="22" t="n"/>
      <c r="E653" s="22" t="n"/>
      <c r="F653" s="22" t="n"/>
      <c r="G653" s="22" t="n"/>
      <c r="H653" s="22" t="n"/>
      <c r="I653" s="22" t="n"/>
      <c r="J653" s="22" t="n"/>
      <c r="K653" s="22" t="n"/>
    </row>
    <row r="654">
      <c r="A654" s="324" t="n"/>
      <c r="B654" s="22" t="n"/>
      <c r="C654" s="22" t="n"/>
      <c r="D654" s="22" t="n"/>
      <c r="E654" s="22" t="n"/>
      <c r="F654" s="22" t="n"/>
      <c r="G654" s="22" t="n"/>
      <c r="H654" s="22" t="n"/>
      <c r="I654" s="22" t="n"/>
      <c r="J654" s="22" t="n"/>
      <c r="K654" s="22" t="n"/>
    </row>
    <row r="655">
      <c r="A655" s="324" t="n"/>
      <c r="B655" s="22" t="n"/>
      <c r="C655" s="22" t="n"/>
      <c r="D655" s="22" t="n"/>
      <c r="E655" s="22" t="n"/>
      <c r="F655" s="22" t="n"/>
      <c r="G655" s="22" t="n"/>
      <c r="H655" s="22" t="n"/>
      <c r="I655" s="22" t="n"/>
      <c r="J655" s="22" t="n"/>
      <c r="K655" s="22" t="n"/>
    </row>
    <row r="656">
      <c r="A656" s="324" t="n"/>
      <c r="B656" s="22" t="n"/>
      <c r="C656" s="22" t="n"/>
      <c r="D656" s="22" t="n"/>
      <c r="E656" s="22" t="n"/>
      <c r="F656" s="22" t="n"/>
      <c r="G656" s="22" t="n"/>
      <c r="H656" s="22" t="n"/>
      <c r="I656" s="22" t="n"/>
      <c r="J656" s="22" t="n"/>
      <c r="K656" s="22" t="n"/>
    </row>
    <row r="657">
      <c r="A657" s="324" t="n"/>
      <c r="B657" s="22" t="n"/>
      <c r="C657" s="22" t="n"/>
      <c r="D657" s="22" t="n"/>
      <c r="E657" s="22" t="n"/>
      <c r="F657" s="22" t="n"/>
      <c r="G657" s="22" t="n"/>
      <c r="H657" s="22" t="n"/>
      <c r="I657" s="22" t="n"/>
      <c r="J657" s="22" t="n"/>
      <c r="K657" s="22" t="n"/>
    </row>
    <row r="658">
      <c r="A658" s="324" t="n"/>
      <c r="B658" s="22" t="n"/>
      <c r="C658" s="22" t="n"/>
      <c r="D658" s="22" t="n"/>
      <c r="E658" s="22" t="n"/>
      <c r="F658" s="22" t="n"/>
      <c r="G658" s="22" t="n"/>
      <c r="H658" s="22" t="n"/>
      <c r="I658" s="22" t="n"/>
      <c r="J658" s="22" t="n"/>
      <c r="K658" s="22" t="n"/>
    </row>
    <row r="659">
      <c r="A659" s="324" t="n"/>
      <c r="B659" s="22" t="n"/>
      <c r="C659" s="22" t="n"/>
      <c r="D659" s="22" t="n"/>
      <c r="E659" s="22" t="n"/>
      <c r="F659" s="22" t="n"/>
      <c r="G659" s="22" t="n"/>
      <c r="H659" s="22" t="n"/>
      <c r="I659" s="22" t="n"/>
      <c r="J659" s="22" t="n"/>
      <c r="K659" s="22" t="n"/>
    </row>
    <row r="660">
      <c r="A660" s="324" t="n"/>
      <c r="B660" s="22" t="n"/>
      <c r="C660" s="22" t="n"/>
      <c r="D660" s="22" t="n"/>
      <c r="E660" s="22" t="n"/>
      <c r="F660" s="22" t="n"/>
      <c r="G660" s="22" t="n"/>
      <c r="H660" s="22" t="n"/>
      <c r="I660" s="22" t="n"/>
      <c r="J660" s="22" t="n"/>
      <c r="K660" s="22" t="n"/>
    </row>
    <row r="661">
      <c r="A661" s="324" t="n"/>
      <c r="B661" s="22" t="n"/>
      <c r="C661" s="22" t="n"/>
      <c r="D661" s="22" t="n"/>
      <c r="E661" s="22" t="n"/>
      <c r="F661" s="22" t="n"/>
      <c r="G661" s="22" t="n"/>
      <c r="H661" s="22" t="n"/>
      <c r="I661" s="22" t="n"/>
      <c r="J661" s="22" t="n"/>
      <c r="K661" s="22" t="n"/>
    </row>
    <row r="662">
      <c r="A662" s="324" t="n"/>
      <c r="B662" s="22" t="n"/>
      <c r="C662" s="22" t="n"/>
      <c r="D662" s="22" t="n"/>
      <c r="E662" s="22" t="n"/>
      <c r="F662" s="22" t="n"/>
      <c r="G662" s="22" t="n"/>
      <c r="H662" s="22" t="n"/>
      <c r="I662" s="22" t="n"/>
      <c r="J662" s="22" t="n"/>
      <c r="K662" s="22" t="n"/>
    </row>
    <row r="663">
      <c r="A663" s="324" t="n"/>
      <c r="B663" s="22" t="n"/>
      <c r="C663" s="22" t="n"/>
      <c r="D663" s="22" t="n"/>
      <c r="E663" s="22" t="n"/>
      <c r="F663" s="22" t="n"/>
      <c r="G663" s="22" t="n"/>
      <c r="H663" s="22" t="n"/>
      <c r="I663" s="22" t="n"/>
      <c r="J663" s="22" t="n"/>
      <c r="K663" s="22" t="n"/>
    </row>
    <row r="664">
      <c r="A664" s="324" t="n"/>
      <c r="B664" s="22" t="n"/>
      <c r="C664" s="22" t="n"/>
      <c r="D664" s="22" t="n"/>
      <c r="E664" s="22" t="n"/>
      <c r="F664" s="22" t="n"/>
      <c r="G664" s="22" t="n"/>
      <c r="H664" s="22" t="n"/>
      <c r="I664" s="22" t="n"/>
      <c r="J664" s="22" t="n"/>
      <c r="K664" s="22" t="n"/>
    </row>
    <row r="665">
      <c r="A665" s="324" t="n"/>
      <c r="B665" s="22" t="n"/>
      <c r="C665" s="22" t="n"/>
      <c r="D665" s="22" t="n"/>
      <c r="E665" s="22" t="n"/>
      <c r="F665" s="22" t="n"/>
      <c r="G665" s="22" t="n"/>
      <c r="H665" s="22" t="n"/>
      <c r="I665" s="22" t="n"/>
      <c r="J665" s="22" t="n"/>
      <c r="K665" s="22" t="n"/>
    </row>
    <row r="666">
      <c r="A666" s="324" t="n"/>
      <c r="B666" s="22" t="n"/>
      <c r="C666" s="22" t="n"/>
      <c r="D666" s="22" t="n"/>
      <c r="E666" s="22" t="n"/>
      <c r="F666" s="22" t="n"/>
      <c r="G666" s="22" t="n"/>
      <c r="H666" s="22" t="n"/>
      <c r="I666" s="22" t="n"/>
      <c r="J666" s="22" t="n"/>
      <c r="K666" s="22" t="n"/>
    </row>
    <row r="667">
      <c r="A667" s="324" t="n"/>
      <c r="B667" s="22" t="n"/>
      <c r="C667" s="22" t="n"/>
      <c r="D667" s="22" t="n"/>
      <c r="E667" s="22" t="n"/>
      <c r="F667" s="22" t="n"/>
      <c r="G667" s="22" t="n"/>
      <c r="H667" s="22" t="n"/>
      <c r="I667" s="22" t="n"/>
      <c r="J667" s="22" t="n"/>
      <c r="K667" s="22" t="n"/>
    </row>
    <row r="668">
      <c r="A668" s="324" t="n"/>
      <c r="B668" s="22" t="n"/>
      <c r="C668" s="22" t="n"/>
      <c r="D668" s="22" t="n"/>
      <c r="E668" s="22" t="n"/>
      <c r="F668" s="22" t="n"/>
      <c r="G668" s="22" t="n"/>
      <c r="H668" s="22" t="n"/>
      <c r="I668" s="22" t="n"/>
      <c r="J668" s="22" t="n"/>
      <c r="K668" s="22" t="n"/>
    </row>
    <row r="669">
      <c r="A669" s="324" t="n"/>
      <c r="B669" s="22" t="n"/>
      <c r="C669" s="22" t="n"/>
      <c r="D669" s="22" t="n"/>
      <c r="E669" s="22" t="n"/>
      <c r="F669" s="22" t="n"/>
      <c r="G669" s="22" t="n"/>
      <c r="H669" s="22" t="n"/>
      <c r="I669" s="22" t="n"/>
      <c r="J669" s="22" t="n"/>
      <c r="K669" s="22" t="n"/>
    </row>
    <row r="670">
      <c r="A670" s="324" t="n"/>
      <c r="B670" s="22" t="n"/>
      <c r="C670" s="22" t="n"/>
      <c r="D670" s="22" t="n"/>
      <c r="E670" s="22" t="n"/>
      <c r="F670" s="22" t="n"/>
      <c r="G670" s="22" t="n"/>
      <c r="H670" s="22" t="n"/>
      <c r="I670" s="22" t="n"/>
      <c r="J670" s="22" t="n"/>
      <c r="K670" s="22" t="n"/>
    </row>
    <row r="671">
      <c r="A671" s="324" t="n"/>
      <c r="B671" s="22" t="n"/>
      <c r="C671" s="22" t="n"/>
      <c r="D671" s="22" t="n"/>
      <c r="E671" s="22" t="n"/>
      <c r="F671" s="22" t="n"/>
      <c r="G671" s="22" t="n"/>
      <c r="H671" s="22" t="n"/>
      <c r="I671" s="22" t="n"/>
      <c r="J671" s="22" t="n"/>
      <c r="K671" s="22" t="n"/>
    </row>
    <row r="672">
      <c r="A672" s="324" t="n"/>
      <c r="B672" s="22" t="n"/>
      <c r="C672" s="22" t="n"/>
      <c r="D672" s="22" t="n"/>
      <c r="E672" s="22" t="n"/>
      <c r="F672" s="22" t="n"/>
      <c r="G672" s="22" t="n"/>
      <c r="H672" s="22" t="n"/>
      <c r="I672" s="22" t="n"/>
      <c r="J672" s="22" t="n"/>
      <c r="K672" s="22" t="n"/>
    </row>
    <row r="673">
      <c r="A673" s="324" t="n"/>
      <c r="B673" s="22" t="n"/>
      <c r="C673" s="22" t="n"/>
      <c r="D673" s="22" t="n"/>
      <c r="E673" s="22" t="n"/>
      <c r="F673" s="22" t="n"/>
      <c r="G673" s="22" t="n"/>
      <c r="H673" s="22" t="n"/>
      <c r="I673" s="22" t="n"/>
      <c r="J673" s="22" t="n"/>
      <c r="K673" s="22" t="n"/>
    </row>
    <row r="674">
      <c r="A674" s="324" t="n"/>
      <c r="B674" s="22" t="n"/>
      <c r="C674" s="22" t="n"/>
      <c r="D674" s="22" t="n"/>
      <c r="E674" s="22" t="n"/>
      <c r="F674" s="22" t="n"/>
      <c r="G674" s="22" t="n"/>
      <c r="H674" s="22" t="n"/>
      <c r="I674" s="22" t="n"/>
      <c r="J674" s="22" t="n"/>
      <c r="K674" s="22" t="n"/>
    </row>
    <row r="675">
      <c r="A675" s="324" t="n"/>
      <c r="B675" s="22" t="n"/>
      <c r="C675" s="22" t="n"/>
      <c r="D675" s="22" t="n"/>
      <c r="E675" s="22" t="n"/>
      <c r="F675" s="22" t="n"/>
      <c r="G675" s="22" t="n"/>
      <c r="H675" s="22" t="n"/>
      <c r="I675" s="22" t="n"/>
      <c r="J675" s="22" t="n"/>
      <c r="K675" s="22" t="n"/>
    </row>
    <row r="676">
      <c r="A676" s="324" t="n"/>
      <c r="B676" s="22" t="n"/>
      <c r="C676" s="22" t="n"/>
      <c r="D676" s="22" t="n"/>
      <c r="E676" s="22" t="n"/>
      <c r="F676" s="22" t="n"/>
      <c r="G676" s="22" t="n"/>
      <c r="H676" s="22" t="n"/>
      <c r="I676" s="22" t="n"/>
      <c r="J676" s="22" t="n"/>
      <c r="K676" s="22" t="n"/>
    </row>
    <row r="677">
      <c r="A677" s="324" t="n"/>
      <c r="B677" s="22" t="n"/>
      <c r="C677" s="22" t="n"/>
      <c r="D677" s="22" t="n"/>
      <c r="E677" s="22" t="n"/>
      <c r="F677" s="22" t="n"/>
      <c r="G677" s="22" t="n"/>
      <c r="H677" s="22" t="n"/>
      <c r="I677" s="22" t="n"/>
      <c r="J677" s="22" t="n"/>
      <c r="K677" s="22" t="n"/>
    </row>
    <row r="678">
      <c r="A678" s="324" t="n"/>
      <c r="B678" s="22" t="n"/>
      <c r="C678" s="22" t="n"/>
      <c r="D678" s="22" t="n"/>
      <c r="E678" s="22" t="n"/>
      <c r="F678" s="22" t="n"/>
      <c r="G678" s="22" t="n"/>
      <c r="H678" s="22" t="n"/>
      <c r="I678" s="22" t="n"/>
      <c r="J678" s="22" t="n"/>
      <c r="K678" s="22" t="n"/>
    </row>
    <row r="679">
      <c r="A679" s="324" t="n"/>
      <c r="B679" s="22" t="n"/>
      <c r="C679" s="22" t="n"/>
      <c r="D679" s="22" t="n"/>
      <c r="E679" s="22" t="n"/>
      <c r="F679" s="22" t="n"/>
      <c r="G679" s="22" t="n"/>
      <c r="H679" s="22" t="n"/>
      <c r="I679" s="22" t="n"/>
      <c r="J679" s="22" t="n"/>
      <c r="K679" s="22" t="n"/>
    </row>
    <row r="680">
      <c r="A680" s="324" t="n"/>
      <c r="B680" s="22" t="n"/>
      <c r="C680" s="22" t="n"/>
      <c r="D680" s="22" t="n"/>
      <c r="E680" s="22" t="n"/>
      <c r="F680" s="22" t="n"/>
      <c r="G680" s="22" t="n"/>
      <c r="H680" s="22" t="n"/>
      <c r="I680" s="22" t="n"/>
      <c r="J680" s="22" t="n"/>
      <c r="K680" s="22" t="n"/>
    </row>
    <row r="681">
      <c r="A681" s="324" t="n"/>
      <c r="B681" s="22" t="n"/>
      <c r="C681" s="22" t="n"/>
      <c r="D681" s="22" t="n"/>
      <c r="E681" s="22" t="n"/>
      <c r="F681" s="22" t="n"/>
      <c r="G681" s="22" t="n"/>
      <c r="H681" s="22" t="n"/>
      <c r="I681" s="22" t="n"/>
      <c r="J681" s="22" t="n"/>
      <c r="K681" s="22" t="n"/>
    </row>
    <row r="682">
      <c r="A682" s="324" t="n"/>
      <c r="B682" s="22" t="n"/>
      <c r="C682" s="22" t="n"/>
      <c r="D682" s="22" t="n"/>
      <c r="E682" s="22" t="n"/>
      <c r="F682" s="22" t="n"/>
      <c r="G682" s="22" t="n"/>
      <c r="H682" s="22" t="n"/>
      <c r="I682" s="22" t="n"/>
      <c r="J682" s="22" t="n"/>
      <c r="K682" s="22" t="n"/>
    </row>
    <row r="683">
      <c r="A683" s="324" t="n"/>
      <c r="B683" s="22" t="n"/>
      <c r="C683" s="22" t="n"/>
      <c r="D683" s="22" t="n"/>
      <c r="E683" s="22" t="n"/>
      <c r="F683" s="22" t="n"/>
      <c r="G683" s="22" t="n"/>
      <c r="H683" s="22" t="n"/>
      <c r="I683" s="22" t="n"/>
      <c r="J683" s="22" t="n"/>
      <c r="K683" s="22" t="n"/>
    </row>
    <row r="684">
      <c r="A684" s="324" t="n"/>
      <c r="B684" s="22" t="n"/>
      <c r="C684" s="22" t="n"/>
      <c r="D684" s="22" t="n"/>
      <c r="E684" s="22" t="n"/>
      <c r="F684" s="22" t="n"/>
      <c r="G684" s="22" t="n"/>
      <c r="H684" s="22" t="n"/>
      <c r="I684" s="22" t="n"/>
      <c r="J684" s="22" t="n"/>
      <c r="K684" s="22" t="n"/>
    </row>
    <row r="685">
      <c r="A685" s="324" t="n"/>
      <c r="B685" s="22" t="n"/>
      <c r="C685" s="22" t="n"/>
      <c r="D685" s="22" t="n"/>
      <c r="E685" s="22" t="n"/>
      <c r="F685" s="22" t="n"/>
      <c r="G685" s="22" t="n"/>
      <c r="H685" s="22" t="n"/>
      <c r="I685" s="22" t="n"/>
      <c r="J685" s="22" t="n"/>
      <c r="K685" s="22" t="n"/>
    </row>
    <row r="686">
      <c r="A686" s="324" t="n"/>
      <c r="B686" s="22" t="n"/>
      <c r="C686" s="22" t="n"/>
      <c r="D686" s="22" t="n"/>
      <c r="E686" s="22" t="n"/>
      <c r="F686" s="22" t="n"/>
      <c r="G686" s="22" t="n"/>
      <c r="H686" s="22" t="n"/>
      <c r="I686" s="22" t="n"/>
      <c r="J686" s="22" t="n"/>
      <c r="K686" s="22" t="n"/>
    </row>
    <row r="687">
      <c r="A687" s="324" t="n"/>
      <c r="B687" s="22" t="n"/>
      <c r="C687" s="22" t="n"/>
      <c r="D687" s="22" t="n"/>
      <c r="E687" s="22" t="n"/>
      <c r="F687" s="22" t="n"/>
      <c r="G687" s="22" t="n"/>
      <c r="H687" s="22" t="n"/>
      <c r="I687" s="22" t="n"/>
      <c r="J687" s="22" t="n"/>
      <c r="K687" s="22" t="n"/>
    </row>
    <row r="688">
      <c r="A688" s="324" t="n"/>
      <c r="B688" s="22" t="n"/>
      <c r="C688" s="22" t="n"/>
      <c r="D688" s="22" t="n"/>
      <c r="E688" s="22" t="n"/>
      <c r="F688" s="22" t="n"/>
      <c r="G688" s="22" t="n"/>
      <c r="H688" s="22" t="n"/>
      <c r="I688" s="22" t="n"/>
      <c r="J688" s="22" t="n"/>
      <c r="K688" s="22" t="n"/>
    </row>
    <row r="689">
      <c r="A689" s="324" t="n"/>
      <c r="B689" s="22" t="n"/>
      <c r="C689" s="22" t="n"/>
      <c r="D689" s="22" t="n"/>
      <c r="E689" s="22" t="n"/>
      <c r="F689" s="22" t="n"/>
      <c r="G689" s="22" t="n"/>
      <c r="H689" s="22" t="n"/>
      <c r="I689" s="22" t="n"/>
      <c r="J689" s="22" t="n"/>
      <c r="K689" s="22" t="n"/>
    </row>
    <row r="690">
      <c r="A690" s="324" t="n"/>
      <c r="B690" s="22" t="n"/>
      <c r="C690" s="22" t="n"/>
      <c r="D690" s="22" t="n"/>
      <c r="E690" s="22" t="n"/>
      <c r="F690" s="22" t="n"/>
      <c r="G690" s="22" t="n"/>
      <c r="H690" s="22" t="n"/>
      <c r="I690" s="22" t="n"/>
      <c r="J690" s="22" t="n"/>
      <c r="K690" s="22" t="n"/>
    </row>
    <row r="691">
      <c r="A691" s="324" t="n"/>
      <c r="B691" s="22" t="n"/>
      <c r="C691" s="22" t="n"/>
      <c r="D691" s="22" t="n"/>
      <c r="E691" s="22" t="n"/>
      <c r="F691" s="22" t="n"/>
      <c r="G691" s="22" t="n"/>
      <c r="H691" s="22" t="n"/>
      <c r="I691" s="22" t="n"/>
      <c r="J691" s="22" t="n"/>
      <c r="K691" s="22" t="n"/>
    </row>
    <row r="692">
      <c r="A692" s="324" t="n"/>
      <c r="B692" s="22" t="n"/>
      <c r="C692" s="22" t="n"/>
      <c r="D692" s="22" t="n"/>
      <c r="E692" s="22" t="n"/>
      <c r="F692" s="22" t="n"/>
      <c r="G692" s="22" t="n"/>
      <c r="H692" s="22" t="n"/>
      <c r="I692" s="22" t="n"/>
      <c r="J692" s="22" t="n"/>
      <c r="K692" s="22" t="n"/>
    </row>
    <row r="693">
      <c r="A693" s="324" t="n"/>
      <c r="B693" s="22" t="n"/>
      <c r="C693" s="22" t="n"/>
      <c r="D693" s="22" t="n"/>
      <c r="E693" s="22" t="n"/>
      <c r="F693" s="22" t="n"/>
      <c r="G693" s="22" t="n"/>
      <c r="H693" s="22" t="n"/>
      <c r="I693" s="22" t="n"/>
      <c r="J693" s="22" t="n"/>
      <c r="K693" s="22" t="n"/>
    </row>
    <row r="694">
      <c r="A694" s="324" t="n"/>
      <c r="B694" s="22" t="n"/>
      <c r="C694" s="22" t="n"/>
      <c r="D694" s="22" t="n"/>
      <c r="E694" s="22" t="n"/>
      <c r="F694" s="22" t="n"/>
      <c r="G694" s="22" t="n"/>
      <c r="H694" s="22" t="n"/>
      <c r="I694" s="22" t="n"/>
      <c r="J694" s="22" t="n"/>
      <c r="K694" s="22" t="n"/>
    </row>
    <row r="695">
      <c r="A695" s="324" t="n"/>
      <c r="B695" s="22" t="n"/>
      <c r="C695" s="22" t="n"/>
      <c r="D695" s="22" t="n"/>
      <c r="E695" s="22" t="n"/>
      <c r="F695" s="22" t="n"/>
      <c r="G695" s="22" t="n"/>
      <c r="H695" s="22" t="n"/>
      <c r="I695" s="22" t="n"/>
      <c r="J695" s="22" t="n"/>
      <c r="K695" s="22" t="n"/>
    </row>
    <row r="696">
      <c r="A696" s="324" t="n"/>
      <c r="B696" s="22" t="n"/>
      <c r="C696" s="22" t="n"/>
      <c r="D696" s="22" t="n"/>
      <c r="E696" s="22" t="n"/>
      <c r="F696" s="22" t="n"/>
      <c r="G696" s="22" t="n"/>
      <c r="H696" s="22" t="n"/>
      <c r="I696" s="22" t="n"/>
      <c r="J696" s="22" t="n"/>
      <c r="K696" s="22" t="n"/>
    </row>
    <row r="697">
      <c r="A697" s="324" t="n"/>
      <c r="B697" s="22" t="n"/>
      <c r="C697" s="22" t="n"/>
      <c r="D697" s="22" t="n"/>
      <c r="E697" s="22" t="n"/>
      <c r="F697" s="22" t="n"/>
      <c r="G697" s="22" t="n"/>
      <c r="H697" s="22" t="n"/>
      <c r="I697" s="22" t="n"/>
      <c r="J697" s="22" t="n"/>
      <c r="K697" s="22" t="n"/>
    </row>
    <row r="698">
      <c r="A698" s="324" t="n"/>
      <c r="B698" s="22" t="n"/>
      <c r="C698" s="22" t="n"/>
      <c r="D698" s="22" t="n"/>
      <c r="E698" s="22" t="n"/>
      <c r="F698" s="22" t="n"/>
      <c r="G698" s="22" t="n"/>
      <c r="H698" s="22" t="n"/>
      <c r="I698" s="22" t="n"/>
      <c r="J698" s="22" t="n"/>
      <c r="K698" s="22" t="n"/>
    </row>
    <row r="699">
      <c r="A699" s="324" t="n"/>
      <c r="B699" s="22" t="n"/>
      <c r="C699" s="22" t="n"/>
      <c r="D699" s="22" t="n"/>
      <c r="E699" s="22" t="n"/>
      <c r="F699" s="22" t="n"/>
      <c r="G699" s="22" t="n"/>
      <c r="H699" s="22" t="n"/>
      <c r="I699" s="22" t="n"/>
      <c r="J699" s="22" t="n"/>
      <c r="K699" s="22" t="n"/>
    </row>
    <row r="700">
      <c r="A700" s="324" t="n"/>
      <c r="B700" s="22" t="n"/>
      <c r="C700" s="22" t="n"/>
      <c r="D700" s="22" t="n"/>
      <c r="E700" s="22" t="n"/>
      <c r="F700" s="22" t="n"/>
      <c r="G700" s="22" t="n"/>
      <c r="H700" s="22" t="n"/>
      <c r="I700" s="22" t="n"/>
      <c r="J700" s="22" t="n"/>
      <c r="K700" s="22" t="n"/>
    </row>
    <row r="701">
      <c r="A701" s="324" t="n"/>
      <c r="B701" s="22" t="n"/>
      <c r="C701" s="22" t="n"/>
      <c r="D701" s="22" t="n"/>
      <c r="E701" s="22" t="n"/>
      <c r="F701" s="22" t="n"/>
      <c r="G701" s="22" t="n"/>
      <c r="H701" s="22" t="n"/>
      <c r="I701" s="22" t="n"/>
      <c r="J701" s="22" t="n"/>
      <c r="K701" s="22" t="n"/>
    </row>
    <row r="702">
      <c r="A702" s="324" t="n"/>
      <c r="B702" s="22" t="n"/>
      <c r="C702" s="22" t="n"/>
      <c r="D702" s="22" t="n"/>
      <c r="E702" s="22" t="n"/>
      <c r="F702" s="22" t="n"/>
      <c r="G702" s="22" t="n"/>
      <c r="H702" s="22" t="n"/>
      <c r="I702" s="22" t="n"/>
      <c r="J702" s="22" t="n"/>
      <c r="K702" s="22" t="n"/>
    </row>
    <row r="703">
      <c r="A703" s="324" t="n"/>
      <c r="B703" s="22" t="n"/>
      <c r="C703" s="22" t="n"/>
      <c r="D703" s="22" t="n"/>
      <c r="E703" s="22" t="n"/>
      <c r="F703" s="22" t="n"/>
      <c r="G703" s="22" t="n"/>
      <c r="H703" s="22" t="n"/>
      <c r="I703" s="22" t="n"/>
      <c r="J703" s="22" t="n"/>
      <c r="K703" s="22" t="n"/>
    </row>
    <row r="704">
      <c r="A704" s="324" t="n"/>
      <c r="B704" s="22" t="n"/>
      <c r="C704" s="22" t="n"/>
      <c r="D704" s="22" t="n"/>
      <c r="E704" s="22" t="n"/>
      <c r="F704" s="22" t="n"/>
      <c r="G704" s="22" t="n"/>
      <c r="H704" s="22" t="n"/>
      <c r="I704" s="22" t="n"/>
      <c r="J704" s="22" t="n"/>
      <c r="K704" s="22" t="n"/>
    </row>
    <row r="705">
      <c r="A705" s="324" t="n"/>
      <c r="B705" s="22" t="n"/>
      <c r="C705" s="22" t="n"/>
      <c r="D705" s="22" t="n"/>
      <c r="E705" s="22" t="n"/>
      <c r="F705" s="22" t="n"/>
      <c r="G705" s="22" t="n"/>
      <c r="H705" s="22" t="n"/>
      <c r="I705" s="22" t="n"/>
      <c r="J705" s="22" t="n"/>
      <c r="K705" s="22" t="n"/>
    </row>
    <row r="706">
      <c r="A706" s="324" t="n"/>
      <c r="B706" s="22" t="n"/>
      <c r="C706" s="22" t="n"/>
      <c r="D706" s="22" t="n"/>
      <c r="E706" s="22" t="n"/>
      <c r="F706" s="22" t="n"/>
      <c r="G706" s="22" t="n"/>
      <c r="H706" s="22" t="n"/>
      <c r="I706" s="22" t="n"/>
      <c r="J706" s="22" t="n"/>
      <c r="K706" s="22" t="n"/>
    </row>
    <row r="707">
      <c r="A707" s="324" t="n"/>
      <c r="B707" s="22" t="n"/>
      <c r="C707" s="22" t="n"/>
      <c r="D707" s="22" t="n"/>
      <c r="E707" s="22" t="n"/>
      <c r="F707" s="22" t="n"/>
      <c r="G707" s="22" t="n"/>
      <c r="H707" s="22" t="n"/>
      <c r="I707" s="22" t="n"/>
      <c r="J707" s="22" t="n"/>
      <c r="K707" s="22" t="n"/>
    </row>
    <row r="708">
      <c r="A708" s="324" t="n"/>
      <c r="B708" s="22" t="n"/>
      <c r="C708" s="22" t="n"/>
      <c r="D708" s="22" t="n"/>
      <c r="E708" s="22" t="n"/>
      <c r="F708" s="22" t="n"/>
      <c r="G708" s="22" t="n"/>
      <c r="H708" s="22" t="n"/>
      <c r="I708" s="22" t="n"/>
      <c r="J708" s="22" t="n"/>
      <c r="K708" s="22" t="n"/>
    </row>
    <row r="709">
      <c r="A709" s="324" t="n"/>
      <c r="B709" s="22" t="n"/>
      <c r="C709" s="22" t="n"/>
      <c r="D709" s="22" t="n"/>
      <c r="E709" s="22" t="n"/>
      <c r="F709" s="22" t="n"/>
      <c r="G709" s="22" t="n"/>
      <c r="H709" s="22" t="n"/>
      <c r="I709" s="22" t="n"/>
      <c r="J709" s="22" t="n"/>
      <c r="K709" s="22" t="n"/>
    </row>
    <row r="710">
      <c r="A710" s="324" t="n"/>
      <c r="B710" s="22" t="n"/>
      <c r="C710" s="22" t="n"/>
      <c r="D710" s="22" t="n"/>
      <c r="E710" s="22" t="n"/>
      <c r="F710" s="22" t="n"/>
      <c r="G710" s="22" t="n"/>
      <c r="H710" s="22" t="n"/>
      <c r="I710" s="22" t="n"/>
      <c r="J710" s="22" t="n"/>
      <c r="K710" s="22" t="n"/>
    </row>
    <row r="711">
      <c r="A711" s="324" t="n"/>
      <c r="B711" s="22" t="n"/>
      <c r="C711" s="22" t="n"/>
      <c r="D711" s="22" t="n"/>
      <c r="E711" s="22" t="n"/>
      <c r="F711" s="22" t="n"/>
      <c r="G711" s="22" t="n"/>
      <c r="H711" s="22" t="n"/>
      <c r="I711" s="22" t="n"/>
      <c r="J711" s="22" t="n"/>
      <c r="K711" s="22" t="n"/>
    </row>
    <row r="712">
      <c r="A712" s="324" t="n"/>
      <c r="B712" s="22" t="n"/>
      <c r="C712" s="22" t="n"/>
      <c r="D712" s="22" t="n"/>
      <c r="E712" s="22" t="n"/>
      <c r="F712" s="22" t="n"/>
      <c r="G712" s="22" t="n"/>
      <c r="H712" s="22" t="n"/>
      <c r="I712" s="22" t="n"/>
      <c r="J712" s="22" t="n"/>
      <c r="K712" s="22" t="n"/>
    </row>
    <row r="713">
      <c r="A713" s="324" t="n"/>
      <c r="B713" s="22" t="n"/>
      <c r="C713" s="22" t="n"/>
      <c r="D713" s="22" t="n"/>
      <c r="E713" s="22" t="n"/>
      <c r="F713" s="22" t="n"/>
      <c r="G713" s="22" t="n"/>
      <c r="H713" s="22" t="n"/>
      <c r="I713" s="22" t="n"/>
      <c r="J713" s="22" t="n"/>
      <c r="K713" s="22" t="n"/>
    </row>
    <row r="714">
      <c r="A714" s="324" t="n"/>
      <c r="B714" s="22" t="n"/>
      <c r="C714" s="22" t="n"/>
      <c r="D714" s="22" t="n"/>
      <c r="E714" s="22" t="n"/>
      <c r="F714" s="22" t="n"/>
      <c r="G714" s="22" t="n"/>
      <c r="H714" s="22" t="n"/>
      <c r="I714" s="22" t="n"/>
      <c r="J714" s="22" t="n"/>
      <c r="K714" s="22" t="n"/>
    </row>
    <row r="715">
      <c r="A715" s="324" t="n"/>
      <c r="B715" s="22" t="n"/>
      <c r="C715" s="22" t="n"/>
      <c r="D715" s="22" t="n"/>
      <c r="E715" s="22" t="n"/>
      <c r="F715" s="22" t="n"/>
      <c r="G715" s="22" t="n"/>
      <c r="H715" s="22" t="n"/>
      <c r="I715" s="22" t="n"/>
      <c r="J715" s="22" t="n"/>
      <c r="K715" s="22" t="n"/>
    </row>
    <row r="716">
      <c r="A716" s="324" t="n"/>
      <c r="B716" s="22" t="n"/>
      <c r="C716" s="22" t="n"/>
      <c r="D716" s="22" t="n"/>
      <c r="E716" s="22" t="n"/>
      <c r="F716" s="22" t="n"/>
      <c r="G716" s="22" t="n"/>
      <c r="H716" s="22" t="n"/>
      <c r="I716" s="22" t="n"/>
      <c r="J716" s="22" t="n"/>
      <c r="K716" s="22" t="n"/>
    </row>
    <row r="717">
      <c r="A717" s="324" t="n"/>
      <c r="B717" s="22" t="n"/>
      <c r="C717" s="22" t="n"/>
      <c r="D717" s="22" t="n"/>
      <c r="E717" s="22" t="n"/>
      <c r="F717" s="22" t="n"/>
      <c r="G717" s="22" t="n"/>
      <c r="H717" s="22" t="n"/>
      <c r="I717" s="22" t="n"/>
      <c r="J717" s="22" t="n"/>
      <c r="K717" s="22" t="n"/>
    </row>
    <row r="718">
      <c r="A718" s="324" t="n"/>
      <c r="B718" s="22" t="n"/>
      <c r="C718" s="22" t="n"/>
      <c r="D718" s="22" t="n"/>
      <c r="E718" s="22" t="n"/>
      <c r="F718" s="22" t="n"/>
      <c r="G718" s="22" t="n"/>
      <c r="H718" s="22" t="n"/>
      <c r="I718" s="22" t="n"/>
      <c r="J718" s="22" t="n"/>
      <c r="K718" s="22" t="n"/>
    </row>
    <row r="719">
      <c r="A719" s="324" t="n"/>
      <c r="B719" s="22" t="n"/>
      <c r="C719" s="22" t="n"/>
      <c r="D719" s="22" t="n"/>
      <c r="E719" s="22" t="n"/>
      <c r="F719" s="22" t="n"/>
      <c r="G719" s="22" t="n"/>
      <c r="H719" s="22" t="n"/>
      <c r="I719" s="22" t="n"/>
      <c r="J719" s="22" t="n"/>
      <c r="K719" s="22" t="n"/>
    </row>
    <row r="720">
      <c r="A720" s="324" t="n"/>
      <c r="B720" s="22" t="n"/>
      <c r="C720" s="22" t="n"/>
      <c r="D720" s="22" t="n"/>
      <c r="E720" s="22" t="n"/>
      <c r="F720" s="22" t="n"/>
      <c r="G720" s="22" t="n"/>
      <c r="H720" s="22" t="n"/>
      <c r="I720" s="22" t="n"/>
      <c r="J720" s="22" t="n"/>
      <c r="K720" s="22" t="n"/>
    </row>
    <row r="721">
      <c r="A721" s="324" t="n"/>
      <c r="B721" s="22" t="n"/>
      <c r="C721" s="22" t="n"/>
      <c r="D721" s="22" t="n"/>
      <c r="E721" s="22" t="n"/>
      <c r="F721" s="22" t="n"/>
      <c r="G721" s="22" t="n"/>
      <c r="H721" s="22" t="n"/>
      <c r="I721" s="22" t="n"/>
      <c r="J721" s="22" t="n"/>
      <c r="K721" s="22" t="n"/>
    </row>
    <row r="722">
      <c r="A722" s="324" t="n"/>
      <c r="B722" s="22" t="n"/>
      <c r="C722" s="22" t="n"/>
      <c r="D722" s="22" t="n"/>
      <c r="E722" s="22" t="n"/>
      <c r="F722" s="22" t="n"/>
      <c r="G722" s="22" t="n"/>
      <c r="H722" s="22" t="n"/>
      <c r="I722" s="22" t="n"/>
      <c r="J722" s="22" t="n"/>
      <c r="K722" s="22" t="n"/>
    </row>
    <row r="723">
      <c r="A723" s="324" t="n"/>
      <c r="B723" s="22" t="n"/>
      <c r="C723" s="22" t="n"/>
      <c r="D723" s="22" t="n"/>
      <c r="E723" s="22" t="n"/>
      <c r="F723" s="22" t="n"/>
      <c r="G723" s="22" t="n"/>
      <c r="H723" s="22" t="n"/>
      <c r="I723" s="22" t="n"/>
      <c r="J723" s="22" t="n"/>
      <c r="K723" s="22" t="n"/>
    </row>
    <row r="724">
      <c r="A724" s="324" t="n"/>
      <c r="B724" s="22" t="n"/>
      <c r="C724" s="22" t="n"/>
      <c r="D724" s="22" t="n"/>
      <c r="E724" s="22" t="n"/>
      <c r="F724" s="22" t="n"/>
      <c r="G724" s="22" t="n"/>
      <c r="H724" s="22" t="n"/>
      <c r="I724" s="22" t="n"/>
      <c r="J724" s="22" t="n"/>
      <c r="K724" s="22" t="n"/>
    </row>
    <row r="725">
      <c r="A725" s="324" t="n"/>
      <c r="B725" s="22" t="n"/>
      <c r="C725" s="22" t="n"/>
      <c r="D725" s="22" t="n"/>
      <c r="E725" s="22" t="n"/>
      <c r="F725" s="22" t="n"/>
      <c r="G725" s="22" t="n"/>
      <c r="H725" s="22" t="n"/>
      <c r="I725" s="22" t="n"/>
      <c r="J725" s="22" t="n"/>
      <c r="K725" s="22" t="n"/>
    </row>
    <row r="726">
      <c r="A726" s="324" t="n"/>
      <c r="B726" s="22" t="n"/>
      <c r="C726" s="22" t="n"/>
      <c r="D726" s="22" t="n"/>
      <c r="E726" s="22" t="n"/>
      <c r="F726" s="22" t="n"/>
      <c r="G726" s="22" t="n"/>
      <c r="H726" s="22" t="n"/>
      <c r="I726" s="22" t="n"/>
      <c r="J726" s="22" t="n"/>
      <c r="K726" s="22" t="n"/>
    </row>
    <row r="727">
      <c r="A727" s="324" t="n"/>
      <c r="B727" s="22" t="n"/>
      <c r="C727" s="22" t="n"/>
      <c r="D727" s="22" t="n"/>
      <c r="E727" s="22" t="n"/>
      <c r="F727" s="22" t="n"/>
      <c r="G727" s="22" t="n"/>
      <c r="H727" s="22" t="n"/>
      <c r="I727" s="22" t="n"/>
      <c r="J727" s="22" t="n"/>
      <c r="K727" s="22" t="n"/>
    </row>
    <row r="728">
      <c r="A728" s="324" t="n"/>
      <c r="B728" s="22" t="n"/>
      <c r="C728" s="22" t="n"/>
      <c r="D728" s="22" t="n"/>
      <c r="E728" s="22" t="n"/>
      <c r="F728" s="22" t="n"/>
      <c r="G728" s="22" t="n"/>
      <c r="H728" s="22" t="n"/>
      <c r="I728" s="22" t="n"/>
      <c r="J728" s="22" t="n"/>
      <c r="K728" s="22" t="n"/>
    </row>
    <row r="729">
      <c r="A729" s="324" t="n"/>
      <c r="B729" s="22" t="n"/>
      <c r="C729" s="22" t="n"/>
      <c r="D729" s="22" t="n"/>
      <c r="E729" s="22" t="n"/>
      <c r="F729" s="22" t="n"/>
      <c r="G729" s="22" t="n"/>
      <c r="H729" s="22" t="n"/>
      <c r="I729" s="22" t="n"/>
      <c r="J729" s="22" t="n"/>
      <c r="K729" s="22" t="n"/>
    </row>
    <row r="730">
      <c r="A730" s="324" t="n"/>
      <c r="B730" s="22" t="n"/>
      <c r="C730" s="22" t="n"/>
      <c r="D730" s="22" t="n"/>
      <c r="E730" s="22" t="n"/>
      <c r="F730" s="22" t="n"/>
      <c r="G730" s="22" t="n"/>
      <c r="H730" s="22" t="n"/>
      <c r="I730" s="22" t="n"/>
      <c r="J730" s="22" t="n"/>
      <c r="K730" s="22" t="n"/>
    </row>
    <row r="731">
      <c r="A731" s="324" t="n"/>
      <c r="B731" s="22" t="n"/>
      <c r="C731" s="22" t="n"/>
      <c r="D731" s="22" t="n"/>
      <c r="E731" s="22" t="n"/>
      <c r="F731" s="22" t="n"/>
      <c r="G731" s="22" t="n"/>
      <c r="H731" s="22" t="n"/>
      <c r="I731" s="22" t="n"/>
      <c r="J731" s="22" t="n"/>
      <c r="K731" s="22" t="n"/>
    </row>
    <row r="732">
      <c r="A732" s="324" t="n"/>
      <c r="B732" s="22" t="n"/>
      <c r="C732" s="22" t="n"/>
      <c r="D732" s="22" t="n"/>
      <c r="E732" s="22" t="n"/>
      <c r="F732" s="22" t="n"/>
      <c r="G732" s="22" t="n"/>
      <c r="H732" s="22" t="n"/>
      <c r="I732" s="22" t="n"/>
      <c r="J732" s="22" t="n"/>
      <c r="K732" s="22" t="n"/>
    </row>
    <row r="733">
      <c r="A733" s="324" t="n"/>
      <c r="B733" s="22" t="n"/>
      <c r="C733" s="22" t="n"/>
      <c r="D733" s="22" t="n"/>
      <c r="E733" s="22" t="n"/>
      <c r="F733" s="22" t="n"/>
      <c r="G733" s="22" t="n"/>
      <c r="H733" s="22" t="n"/>
      <c r="I733" s="22" t="n"/>
      <c r="J733" s="22" t="n"/>
      <c r="K733" s="22" t="n"/>
    </row>
    <row r="734">
      <c r="A734" s="324" t="n"/>
      <c r="B734" s="22" t="n"/>
      <c r="C734" s="22" t="n"/>
      <c r="D734" s="22" t="n"/>
      <c r="E734" s="22" t="n"/>
      <c r="F734" s="22" t="n"/>
      <c r="G734" s="22" t="n"/>
      <c r="H734" s="22" t="n"/>
      <c r="I734" s="22" t="n"/>
      <c r="J734" s="22" t="n"/>
      <c r="K734" s="22" t="n"/>
    </row>
    <row r="735">
      <c r="A735" s="324" t="n"/>
      <c r="B735" s="22" t="n"/>
      <c r="C735" s="22" t="n"/>
      <c r="D735" s="22" t="n"/>
      <c r="E735" s="22" t="n"/>
      <c r="F735" s="22" t="n"/>
      <c r="G735" s="22" t="n"/>
      <c r="H735" s="22" t="n"/>
      <c r="I735" s="22" t="n"/>
      <c r="J735" s="22" t="n"/>
      <c r="K735" s="22" t="n"/>
    </row>
    <row r="736">
      <c r="A736" s="324" t="n"/>
      <c r="B736" s="22" t="n"/>
      <c r="C736" s="22" t="n"/>
      <c r="D736" s="22" t="n"/>
      <c r="E736" s="22" t="n"/>
      <c r="F736" s="22" t="n"/>
      <c r="G736" s="22" t="n"/>
      <c r="H736" s="22" t="n"/>
      <c r="I736" s="22" t="n"/>
      <c r="J736" s="22" t="n"/>
      <c r="K736" s="22" t="n"/>
    </row>
    <row r="737">
      <c r="A737" s="324" t="n"/>
      <c r="B737" s="22" t="n"/>
      <c r="C737" s="22" t="n"/>
      <c r="D737" s="22" t="n"/>
      <c r="E737" s="22" t="n"/>
      <c r="F737" s="22" t="n"/>
      <c r="G737" s="22" t="n"/>
      <c r="H737" s="22" t="n"/>
      <c r="I737" s="22" t="n"/>
      <c r="J737" s="22" t="n"/>
      <c r="K737" s="22" t="n"/>
    </row>
    <row r="738">
      <c r="A738" s="324" t="n"/>
      <c r="B738" s="22" t="n"/>
      <c r="C738" s="22" t="n"/>
      <c r="D738" s="22" t="n"/>
      <c r="E738" s="22" t="n"/>
      <c r="F738" s="22" t="n"/>
      <c r="G738" s="22" t="n"/>
      <c r="H738" s="22" t="n"/>
      <c r="I738" s="22" t="n"/>
      <c r="J738" s="22" t="n"/>
      <c r="K738" s="22" t="n"/>
    </row>
    <row r="739">
      <c r="A739" s="324" t="n"/>
      <c r="B739" s="22" t="n"/>
      <c r="C739" s="22" t="n"/>
      <c r="D739" s="22" t="n"/>
      <c r="E739" s="22" t="n"/>
      <c r="F739" s="22" t="n"/>
      <c r="G739" s="22" t="n"/>
      <c r="H739" s="22" t="n"/>
      <c r="I739" s="22" t="n"/>
      <c r="J739" s="22" t="n"/>
      <c r="K739" s="22" t="n"/>
    </row>
    <row r="740">
      <c r="A740" s="324" t="n"/>
      <c r="B740" s="22" t="n"/>
      <c r="C740" s="22" t="n"/>
      <c r="D740" s="22" t="n"/>
      <c r="E740" s="22" t="n"/>
      <c r="F740" s="22" t="n"/>
      <c r="G740" s="22" t="n"/>
      <c r="H740" s="22" t="n"/>
      <c r="I740" s="22" t="n"/>
      <c r="J740" s="22" t="n"/>
      <c r="K740" s="22" t="n"/>
    </row>
    <row r="741">
      <c r="A741" s="324" t="n"/>
      <c r="B741" s="22" t="n"/>
      <c r="C741" s="22" t="n"/>
      <c r="D741" s="22" t="n"/>
      <c r="E741" s="22" t="n"/>
      <c r="F741" s="22" t="n"/>
      <c r="G741" s="22" t="n"/>
      <c r="H741" s="22" t="n"/>
      <c r="I741" s="22" t="n"/>
      <c r="J741" s="22" t="n"/>
      <c r="K741" s="22" t="n"/>
    </row>
    <row r="742">
      <c r="A742" s="324" t="n"/>
      <c r="B742" s="22" t="n"/>
      <c r="C742" s="22" t="n"/>
      <c r="D742" s="22" t="n"/>
      <c r="E742" s="22" t="n"/>
      <c r="F742" s="22" t="n"/>
      <c r="G742" s="22" t="n"/>
      <c r="H742" s="22" t="n"/>
      <c r="I742" s="22" t="n"/>
      <c r="J742" s="22" t="n"/>
      <c r="K742" s="22" t="n"/>
    </row>
    <row r="743">
      <c r="A743" s="324" t="n"/>
      <c r="B743" s="22" t="n"/>
      <c r="C743" s="22" t="n"/>
      <c r="D743" s="22" t="n"/>
      <c r="E743" s="22" t="n"/>
      <c r="F743" s="22" t="n"/>
      <c r="G743" s="22" t="n"/>
      <c r="H743" s="22" t="n"/>
      <c r="I743" s="22" t="n"/>
      <c r="J743" s="22" t="n"/>
      <c r="K743" s="22" t="n"/>
    </row>
    <row r="744">
      <c r="A744" s="324" t="n"/>
      <c r="B744" s="22" t="n"/>
      <c r="C744" s="22" t="n"/>
      <c r="D744" s="22" t="n"/>
      <c r="E744" s="22" t="n"/>
      <c r="F744" s="22" t="n"/>
      <c r="G744" s="22" t="n"/>
      <c r="H744" s="22" t="n"/>
      <c r="I744" s="22" t="n"/>
      <c r="J744" s="22" t="n"/>
      <c r="K744" s="22" t="n"/>
    </row>
    <row r="745">
      <c r="A745" s="324" t="n"/>
      <c r="B745" s="22" t="n"/>
      <c r="C745" s="22" t="n"/>
      <c r="D745" s="22" t="n"/>
      <c r="E745" s="22" t="n"/>
      <c r="F745" s="22" t="n"/>
      <c r="G745" s="22" t="n"/>
      <c r="H745" s="22" t="n"/>
      <c r="I745" s="22" t="n"/>
      <c r="J745" s="22" t="n"/>
      <c r="K745" s="22" t="n"/>
    </row>
    <row r="746">
      <c r="A746" s="324" t="n"/>
      <c r="B746" s="22" t="n"/>
      <c r="C746" s="22" t="n"/>
      <c r="D746" s="22" t="n"/>
      <c r="E746" s="22" t="n"/>
      <c r="F746" s="22" t="n"/>
      <c r="G746" s="22" t="n"/>
      <c r="H746" s="22" t="n"/>
      <c r="I746" s="22" t="n"/>
      <c r="J746" s="22" t="n"/>
      <c r="K746" s="22" t="n"/>
    </row>
    <row r="747">
      <c r="A747" s="324" t="n"/>
      <c r="B747" s="22" t="n"/>
      <c r="C747" s="22" t="n"/>
      <c r="D747" s="22" t="n"/>
      <c r="E747" s="22" t="n"/>
      <c r="F747" s="22" t="n"/>
      <c r="G747" s="22" t="n"/>
      <c r="H747" s="22" t="n"/>
      <c r="I747" s="22" t="n"/>
      <c r="J747" s="22" t="n"/>
      <c r="K747" s="22" t="n"/>
    </row>
    <row r="748">
      <c r="A748" s="324" t="n"/>
      <c r="B748" s="22" t="n"/>
      <c r="C748" s="22" t="n"/>
      <c r="D748" s="22" t="n"/>
      <c r="E748" s="22" t="n"/>
      <c r="F748" s="22" t="n"/>
      <c r="G748" s="22" t="n"/>
      <c r="H748" s="22" t="n"/>
      <c r="I748" s="22" t="n"/>
      <c r="J748" s="22" t="n"/>
      <c r="K748" s="22" t="n"/>
    </row>
    <row r="749">
      <c r="A749" s="324" t="n"/>
      <c r="B749" s="22" t="n"/>
      <c r="C749" s="22" t="n"/>
      <c r="D749" s="22" t="n"/>
      <c r="E749" s="22" t="n"/>
      <c r="F749" s="22" t="n"/>
      <c r="G749" s="22" t="n"/>
      <c r="H749" s="22" t="n"/>
      <c r="I749" s="22" t="n"/>
      <c r="J749" s="22" t="n"/>
      <c r="K749" s="22" t="n"/>
    </row>
    <row r="750">
      <c r="A750" s="324" t="n"/>
      <c r="B750" s="22" t="n"/>
      <c r="C750" s="22" t="n"/>
      <c r="D750" s="22" t="n"/>
      <c r="E750" s="22" t="n"/>
      <c r="F750" s="22" t="n"/>
      <c r="G750" s="22" t="n"/>
      <c r="H750" s="22" t="n"/>
      <c r="I750" s="22" t="n"/>
      <c r="J750" s="22" t="n"/>
      <c r="K750" s="22" t="n"/>
    </row>
    <row r="751">
      <c r="A751" s="324" t="n"/>
      <c r="B751" s="22" t="n"/>
      <c r="C751" s="22" t="n"/>
      <c r="D751" s="22" t="n"/>
      <c r="E751" s="22" t="n"/>
      <c r="F751" s="22" t="n"/>
      <c r="G751" s="22" t="n"/>
      <c r="H751" s="22" t="n"/>
      <c r="I751" s="22" t="n"/>
      <c r="J751" s="22" t="n"/>
      <c r="K751" s="22" t="n"/>
    </row>
    <row r="752">
      <c r="A752" s="324" t="n"/>
      <c r="B752" s="22" t="n"/>
      <c r="C752" s="22" t="n"/>
      <c r="D752" s="22" t="n"/>
      <c r="E752" s="22" t="n"/>
      <c r="F752" s="22" t="n"/>
      <c r="G752" s="22" t="n"/>
      <c r="H752" s="22" t="n"/>
      <c r="I752" s="22" t="n"/>
      <c r="J752" s="22" t="n"/>
      <c r="K752" s="22" t="n"/>
    </row>
    <row r="753">
      <c r="A753" s="324" t="n"/>
      <c r="B753" s="22" t="n"/>
      <c r="C753" s="22" t="n"/>
      <c r="D753" s="22" t="n"/>
      <c r="E753" s="22" t="n"/>
      <c r="F753" s="22" t="n"/>
      <c r="G753" s="22" t="n"/>
      <c r="H753" s="22" t="n"/>
      <c r="I753" s="22" t="n"/>
      <c r="J753" s="22" t="n"/>
      <c r="K753" s="22" t="n"/>
    </row>
    <row r="754">
      <c r="A754" s="324" t="n"/>
      <c r="B754" s="22" t="n"/>
      <c r="C754" s="22" t="n"/>
      <c r="D754" s="22" t="n"/>
      <c r="E754" s="22" t="n"/>
      <c r="F754" s="22" t="n"/>
      <c r="G754" s="22" t="n"/>
      <c r="H754" s="22" t="n"/>
      <c r="I754" s="22" t="n"/>
      <c r="J754" s="22" t="n"/>
      <c r="K754" s="22" t="n"/>
    </row>
    <row r="755">
      <c r="A755" s="324" t="n"/>
      <c r="B755" s="22" t="n"/>
      <c r="C755" s="22" t="n"/>
      <c r="D755" s="22" t="n"/>
      <c r="E755" s="22" t="n"/>
      <c r="F755" s="22" t="n"/>
      <c r="G755" s="22" t="n"/>
      <c r="H755" s="22" t="n"/>
      <c r="I755" s="22" t="n"/>
      <c r="J755" s="22" t="n"/>
      <c r="K755" s="22" t="n"/>
    </row>
    <row r="756">
      <c r="A756" s="324" t="n"/>
      <c r="B756" s="22" t="n"/>
      <c r="C756" s="22" t="n"/>
      <c r="D756" s="22" t="n"/>
      <c r="E756" s="22" t="n"/>
      <c r="F756" s="22" t="n"/>
      <c r="G756" s="22" t="n"/>
      <c r="H756" s="22" t="n"/>
      <c r="I756" s="22" t="n"/>
      <c r="J756" s="22" t="n"/>
      <c r="K756" s="22" t="n"/>
    </row>
    <row r="757">
      <c r="A757" s="324" t="n"/>
      <c r="B757" s="22" t="n"/>
      <c r="C757" s="22" t="n"/>
      <c r="D757" s="22" t="n"/>
      <c r="E757" s="22" t="n"/>
      <c r="F757" s="22" t="n"/>
      <c r="G757" s="22" t="n"/>
      <c r="H757" s="22" t="n"/>
      <c r="I757" s="22" t="n"/>
      <c r="J757" s="22" t="n"/>
      <c r="K757" s="22" t="n"/>
    </row>
    <row r="758">
      <c r="A758" s="324" t="n"/>
      <c r="B758" s="22" t="n"/>
      <c r="C758" s="22" t="n"/>
      <c r="D758" s="22" t="n"/>
      <c r="E758" s="22" t="n"/>
      <c r="F758" s="22" t="n"/>
      <c r="G758" s="22" t="n"/>
      <c r="H758" s="22" t="n"/>
      <c r="I758" s="22" t="n"/>
      <c r="J758" s="22" t="n"/>
      <c r="K758" s="22" t="n"/>
    </row>
    <row r="759">
      <c r="A759" s="324" t="n"/>
      <c r="B759" s="22" t="n"/>
      <c r="C759" s="22" t="n"/>
      <c r="D759" s="22" t="n"/>
      <c r="E759" s="22" t="n"/>
      <c r="F759" s="22" t="n"/>
      <c r="G759" s="22" t="n"/>
      <c r="H759" s="22" t="n"/>
      <c r="I759" s="22" t="n"/>
      <c r="J759" s="22" t="n"/>
      <c r="K759" s="22" t="n"/>
    </row>
    <row r="760">
      <c r="A760" s="324" t="n"/>
      <c r="B760" s="22" t="n"/>
      <c r="C760" s="22" t="n"/>
      <c r="D760" s="22" t="n"/>
      <c r="E760" s="22" t="n"/>
      <c r="F760" s="22" t="n"/>
      <c r="G760" s="22" t="n"/>
      <c r="H760" s="22" t="n"/>
      <c r="I760" s="22" t="n"/>
      <c r="J760" s="22" t="n"/>
      <c r="K760" s="22" t="n"/>
    </row>
    <row r="761">
      <c r="A761" s="324" t="n"/>
      <c r="B761" s="22" t="n"/>
      <c r="C761" s="22" t="n"/>
      <c r="D761" s="22" t="n"/>
      <c r="E761" s="22" t="n"/>
      <c r="F761" s="22" t="n"/>
      <c r="G761" s="22" t="n"/>
      <c r="H761" s="22" t="n"/>
      <c r="I761" s="22" t="n"/>
      <c r="J761" s="22" t="n"/>
      <c r="K761" s="22" t="n"/>
    </row>
    <row r="762">
      <c r="A762" s="324" t="n"/>
      <c r="B762" s="22" t="n"/>
      <c r="C762" s="22" t="n"/>
      <c r="D762" s="22" t="n"/>
      <c r="E762" s="22" t="n"/>
      <c r="F762" s="22" t="n"/>
      <c r="G762" s="22" t="n"/>
      <c r="H762" s="22" t="n"/>
      <c r="I762" s="22" t="n"/>
      <c r="J762" s="22" t="n"/>
      <c r="K762" s="22" t="n"/>
    </row>
    <row r="763">
      <c r="A763" s="324" t="n"/>
      <c r="B763" s="22" t="n"/>
      <c r="C763" s="22" t="n"/>
      <c r="D763" s="22" t="n"/>
      <c r="E763" s="22" t="n"/>
      <c r="F763" s="22" t="n"/>
      <c r="G763" s="22" t="n"/>
      <c r="H763" s="22" t="n"/>
      <c r="I763" s="22" t="n"/>
      <c r="J763" s="22" t="n"/>
      <c r="K763" s="22" t="n"/>
    </row>
    <row r="764">
      <c r="A764" s="324" t="n"/>
      <c r="B764" s="22" t="n"/>
      <c r="C764" s="22" t="n"/>
      <c r="D764" s="22" t="n"/>
      <c r="E764" s="22" t="n"/>
      <c r="F764" s="22" t="n"/>
      <c r="G764" s="22" t="n"/>
      <c r="H764" s="22" t="n"/>
      <c r="I764" s="22" t="n"/>
      <c r="J764" s="22" t="n"/>
      <c r="K764" s="22" t="n"/>
    </row>
    <row r="765">
      <c r="A765" s="324" t="n"/>
      <c r="B765" s="22" t="n"/>
      <c r="C765" s="22" t="n"/>
      <c r="D765" s="22" t="n"/>
      <c r="E765" s="22" t="n"/>
      <c r="F765" s="22" t="n"/>
      <c r="G765" s="22" t="n"/>
      <c r="H765" s="22" t="n"/>
      <c r="I765" s="22" t="n"/>
      <c r="J765" s="22" t="n"/>
      <c r="K765" s="22" t="n"/>
    </row>
    <row r="766">
      <c r="A766" s="324" t="n"/>
      <c r="B766" s="22" t="n"/>
      <c r="C766" s="22" t="n"/>
      <c r="D766" s="22" t="n"/>
      <c r="E766" s="22" t="n"/>
      <c r="F766" s="22" t="n"/>
      <c r="G766" s="22" t="n"/>
      <c r="H766" s="22" t="n"/>
      <c r="I766" s="22" t="n"/>
      <c r="J766" s="22" t="n"/>
      <c r="K766" s="22" t="n"/>
    </row>
    <row r="767">
      <c r="A767" s="324" t="n"/>
      <c r="B767" s="22" t="n"/>
      <c r="C767" s="22" t="n"/>
      <c r="D767" s="22" t="n"/>
      <c r="E767" s="22" t="n"/>
      <c r="F767" s="22" t="n"/>
      <c r="G767" s="22" t="n"/>
      <c r="H767" s="22" t="n"/>
      <c r="I767" s="22" t="n"/>
      <c r="J767" s="22" t="n"/>
      <c r="K767" s="22" t="n"/>
    </row>
    <row r="768">
      <c r="A768" s="324" t="n"/>
      <c r="B768" s="22" t="n"/>
      <c r="C768" s="22" t="n"/>
      <c r="D768" s="22" t="n"/>
      <c r="E768" s="22" t="n"/>
      <c r="F768" s="22" t="n"/>
      <c r="G768" s="22" t="n"/>
      <c r="H768" s="22" t="n"/>
      <c r="I768" s="22" t="n"/>
      <c r="J768" s="22" t="n"/>
      <c r="K768" s="22" t="n"/>
    </row>
    <row r="769">
      <c r="A769" s="324" t="n"/>
      <c r="B769" s="22" t="n"/>
      <c r="C769" s="22" t="n"/>
      <c r="D769" s="22" t="n"/>
      <c r="E769" s="22" t="n"/>
      <c r="F769" s="22" t="n"/>
      <c r="G769" s="22" t="n"/>
      <c r="H769" s="22" t="n"/>
      <c r="I769" s="22" t="n"/>
      <c r="J769" s="22" t="n"/>
      <c r="K769" s="22" t="n"/>
    </row>
    <row r="770">
      <c r="A770" s="324" t="n"/>
      <c r="B770" s="22" t="n"/>
      <c r="C770" s="22" t="n"/>
      <c r="D770" s="22" t="n"/>
      <c r="E770" s="22" t="n"/>
      <c r="F770" s="22" t="n"/>
      <c r="G770" s="22" t="n"/>
      <c r="H770" s="22" t="n"/>
      <c r="I770" s="22" t="n"/>
      <c r="J770" s="22" t="n"/>
      <c r="K770" s="22" t="n"/>
    </row>
    <row r="771">
      <c r="A771" s="324" t="n"/>
      <c r="B771" s="22" t="n"/>
      <c r="C771" s="22" t="n"/>
      <c r="D771" s="22" t="n"/>
      <c r="E771" s="22" t="n"/>
      <c r="F771" s="22" t="n"/>
      <c r="G771" s="22" t="n"/>
      <c r="H771" s="22" t="n"/>
      <c r="I771" s="22" t="n"/>
      <c r="J771" s="22" t="n"/>
      <c r="K771" s="22" t="n"/>
    </row>
    <row r="772">
      <c r="A772" s="324" t="n"/>
      <c r="B772" s="22" t="n"/>
      <c r="C772" s="22" t="n"/>
      <c r="D772" s="22" t="n"/>
      <c r="E772" s="22" t="n"/>
      <c r="F772" s="22" t="n"/>
      <c r="G772" s="22" t="n"/>
      <c r="H772" s="22" t="n"/>
      <c r="I772" s="22" t="n"/>
      <c r="J772" s="22" t="n"/>
      <c r="K772" s="22" t="n"/>
    </row>
    <row r="773">
      <c r="A773" s="324" t="n"/>
      <c r="B773" s="22" t="n"/>
      <c r="C773" s="22" t="n"/>
      <c r="D773" s="22" t="n"/>
      <c r="E773" s="22" t="n"/>
      <c r="F773" s="22" t="n"/>
      <c r="G773" s="22" t="n"/>
      <c r="H773" s="22" t="n"/>
      <c r="I773" s="22" t="n"/>
      <c r="J773" s="22" t="n"/>
      <c r="K773" s="22" t="n"/>
    </row>
    <row r="774">
      <c r="A774" s="324" t="n"/>
      <c r="B774" s="22" t="n"/>
      <c r="C774" s="22" t="n"/>
      <c r="D774" s="22" t="n"/>
      <c r="E774" s="22" t="n"/>
      <c r="F774" s="22" t="n"/>
      <c r="G774" s="22" t="n"/>
      <c r="H774" s="22" t="n"/>
      <c r="I774" s="22" t="n"/>
      <c r="J774" s="22" t="n"/>
      <c r="K774" s="22" t="n"/>
    </row>
    <row r="775">
      <c r="A775" s="324" t="n"/>
      <c r="B775" s="22" t="n"/>
      <c r="C775" s="22" t="n"/>
      <c r="D775" s="22" t="n"/>
      <c r="E775" s="22" t="n"/>
      <c r="F775" s="22" t="n"/>
      <c r="G775" s="22" t="n"/>
      <c r="H775" s="22" t="n"/>
      <c r="I775" s="22" t="n"/>
      <c r="J775" s="22" t="n"/>
      <c r="K775" s="22" t="n"/>
    </row>
    <row r="776">
      <c r="A776" s="324" t="n"/>
      <c r="B776" s="22" t="n"/>
      <c r="C776" s="22" t="n"/>
      <c r="D776" s="22" t="n"/>
      <c r="E776" s="22" t="n"/>
      <c r="F776" s="22" t="n"/>
      <c r="G776" s="22" t="n"/>
      <c r="H776" s="22" t="n"/>
      <c r="I776" s="22" t="n"/>
      <c r="J776" s="22" t="n"/>
      <c r="K776" s="22" t="n"/>
    </row>
    <row r="777">
      <c r="A777" s="324" t="n"/>
      <c r="B777" s="22" t="n"/>
      <c r="C777" s="22" t="n"/>
      <c r="D777" s="22" t="n"/>
      <c r="E777" s="22" t="n"/>
      <c r="F777" s="22" t="n"/>
      <c r="G777" s="22" t="n"/>
      <c r="H777" s="22" t="n"/>
      <c r="I777" s="22" t="n"/>
      <c r="J777" s="22" t="n"/>
      <c r="K777" s="22" t="n"/>
    </row>
    <row r="778">
      <c r="A778" s="324" t="n"/>
      <c r="B778" s="22" t="n"/>
      <c r="C778" s="22" t="n"/>
      <c r="D778" s="22" t="n"/>
      <c r="E778" s="22" t="n"/>
      <c r="F778" s="22" t="n"/>
      <c r="G778" s="22" t="n"/>
      <c r="H778" s="22" t="n"/>
      <c r="I778" s="22" t="n"/>
      <c r="J778" s="22" t="n"/>
      <c r="K778" s="22" t="n"/>
    </row>
    <row r="779">
      <c r="A779" s="324" t="n"/>
      <c r="B779" s="22" t="n"/>
      <c r="C779" s="22" t="n"/>
      <c r="D779" s="22" t="n"/>
      <c r="E779" s="22" t="n"/>
      <c r="F779" s="22" t="n"/>
      <c r="G779" s="22" t="n"/>
      <c r="H779" s="22" t="n"/>
      <c r="I779" s="22" t="n"/>
      <c r="J779" s="22" t="n"/>
      <c r="K779" s="22" t="n"/>
    </row>
    <row r="780">
      <c r="A780" s="324" t="n"/>
      <c r="B780" s="22" t="n"/>
      <c r="C780" s="22" t="n"/>
      <c r="D780" s="22" t="n"/>
      <c r="E780" s="22" t="n"/>
      <c r="F780" s="22" t="n"/>
      <c r="G780" s="22" t="n"/>
      <c r="H780" s="22" t="n"/>
      <c r="I780" s="22" t="n"/>
      <c r="J780" s="22" t="n"/>
      <c r="K780" s="22" t="n"/>
    </row>
    <row r="781">
      <c r="A781" s="324" t="n"/>
      <c r="B781" s="22" t="n"/>
      <c r="C781" s="22" t="n"/>
      <c r="D781" s="22" t="n"/>
      <c r="E781" s="22" t="n"/>
      <c r="F781" s="22" t="n"/>
      <c r="G781" s="22" t="n"/>
      <c r="H781" s="22" t="n"/>
      <c r="I781" s="22" t="n"/>
      <c r="J781" s="22" t="n"/>
      <c r="K781" s="22" t="n"/>
    </row>
    <row r="782">
      <c r="A782" s="324" t="n"/>
      <c r="B782" s="22" t="n"/>
      <c r="C782" s="22" t="n"/>
      <c r="D782" s="22" t="n"/>
      <c r="E782" s="22" t="n"/>
      <c r="F782" s="22" t="n"/>
      <c r="G782" s="22" t="n"/>
      <c r="H782" s="22" t="n"/>
      <c r="I782" s="22" t="n"/>
      <c r="J782" s="22" t="n"/>
      <c r="K782" s="22" t="n"/>
    </row>
    <row r="783">
      <c r="A783" s="324" t="n"/>
      <c r="B783" s="22" t="n"/>
      <c r="C783" s="22" t="n"/>
      <c r="D783" s="22" t="n"/>
      <c r="E783" s="22" t="n"/>
      <c r="F783" s="22" t="n"/>
      <c r="G783" s="22" t="n"/>
      <c r="H783" s="22" t="n"/>
      <c r="I783" s="22" t="n"/>
      <c r="J783" s="22" t="n"/>
      <c r="K783" s="22" t="n"/>
    </row>
    <row r="784">
      <c r="A784" s="324" t="n"/>
      <c r="B784" s="22" t="n"/>
      <c r="C784" s="22" t="n"/>
      <c r="D784" s="22" t="n"/>
      <c r="E784" s="22" t="n"/>
      <c r="F784" s="22" t="n"/>
      <c r="G784" s="22" t="n"/>
      <c r="H784" s="22" t="n"/>
      <c r="I784" s="22" t="n"/>
      <c r="J784" s="22" t="n"/>
      <c r="K784" s="22" t="n"/>
    </row>
    <row r="785">
      <c r="A785" s="324" t="n"/>
      <c r="B785" s="22" t="n"/>
      <c r="C785" s="22" t="n"/>
      <c r="D785" s="22" t="n"/>
      <c r="E785" s="22" t="n"/>
      <c r="F785" s="22" t="n"/>
      <c r="G785" s="22" t="n"/>
      <c r="H785" s="22" t="n"/>
      <c r="I785" s="22" t="n"/>
      <c r="J785" s="22" t="n"/>
      <c r="K785" s="22" t="n"/>
    </row>
    <row r="786">
      <c r="A786" s="324" t="n"/>
      <c r="B786" s="22" t="n"/>
      <c r="C786" s="22" t="n"/>
      <c r="D786" s="22" t="n"/>
      <c r="E786" s="22" t="n"/>
      <c r="F786" s="22" t="n"/>
      <c r="G786" s="22" t="n"/>
      <c r="H786" s="22" t="n"/>
      <c r="I786" s="22" t="n"/>
      <c r="J786" s="22" t="n"/>
      <c r="K786" s="22" t="n"/>
    </row>
    <row r="787">
      <c r="A787" s="324" t="n"/>
      <c r="B787" s="22" t="n"/>
      <c r="C787" s="22" t="n"/>
      <c r="D787" s="22" t="n"/>
      <c r="E787" s="22" t="n"/>
      <c r="F787" s="22" t="n"/>
      <c r="G787" s="22" t="n"/>
      <c r="H787" s="22" t="n"/>
      <c r="I787" s="22" t="n"/>
      <c r="J787" s="22" t="n"/>
      <c r="K787" s="22" t="n"/>
    </row>
    <row r="788">
      <c r="A788" s="324" t="n"/>
      <c r="B788" s="22" t="n"/>
      <c r="C788" s="22" t="n"/>
      <c r="D788" s="22" t="n"/>
      <c r="E788" s="22" t="n"/>
      <c r="F788" s="22" t="n"/>
      <c r="G788" s="22" t="n"/>
      <c r="H788" s="22" t="n"/>
      <c r="I788" s="22" t="n"/>
      <c r="J788" s="22" t="n"/>
      <c r="K788" s="22" t="n"/>
    </row>
    <row r="789">
      <c r="A789" s="324" t="n"/>
      <c r="B789" s="22" t="n"/>
      <c r="C789" s="22" t="n"/>
      <c r="D789" s="22" t="n"/>
      <c r="E789" s="22" t="n"/>
      <c r="F789" s="22" t="n"/>
      <c r="G789" s="22" t="n"/>
      <c r="H789" s="22" t="n"/>
      <c r="I789" s="22" t="n"/>
      <c r="J789" s="22" t="n"/>
      <c r="K789" s="22" t="n"/>
    </row>
    <row r="790">
      <c r="A790" s="324" t="n"/>
      <c r="B790" s="22" t="n"/>
      <c r="C790" s="22" t="n"/>
      <c r="D790" s="22" t="n"/>
      <c r="E790" s="22" t="n"/>
      <c r="F790" s="22" t="n"/>
      <c r="G790" s="22" t="n"/>
      <c r="H790" s="22" t="n"/>
      <c r="I790" s="22" t="n"/>
      <c r="J790" s="22" t="n"/>
      <c r="K790" s="22" t="n"/>
    </row>
    <row r="791">
      <c r="A791" s="324" t="n"/>
      <c r="B791" s="22" t="n"/>
      <c r="C791" s="22" t="n"/>
      <c r="D791" s="22" t="n"/>
      <c r="E791" s="22" t="n"/>
      <c r="F791" s="22" t="n"/>
      <c r="G791" s="22" t="n"/>
      <c r="H791" s="22" t="n"/>
      <c r="I791" s="22" t="n"/>
      <c r="J791" s="22" t="n"/>
      <c r="K791" s="22" t="n"/>
    </row>
    <row r="792">
      <c r="A792" s="324" t="n"/>
      <c r="B792" s="22" t="n"/>
      <c r="C792" s="22" t="n"/>
      <c r="D792" s="22" t="n"/>
      <c r="E792" s="22" t="n"/>
      <c r="F792" s="22" t="n"/>
      <c r="G792" s="22" t="n"/>
      <c r="H792" s="22" t="n"/>
      <c r="I792" s="22" t="n"/>
      <c r="J792" s="22" t="n"/>
      <c r="K792" s="22" t="n"/>
    </row>
    <row r="793">
      <c r="A793" s="324" t="n"/>
      <c r="B793" s="22" t="n"/>
      <c r="C793" s="22" t="n"/>
      <c r="D793" s="22" t="n"/>
      <c r="E793" s="22" t="n"/>
      <c r="F793" s="22" t="n"/>
      <c r="G793" s="22" t="n"/>
      <c r="H793" s="22" t="n"/>
      <c r="I793" s="22" t="n"/>
      <c r="J793" s="22" t="n"/>
      <c r="K793" s="22" t="n"/>
    </row>
    <row r="794">
      <c r="A794" s="324" t="n"/>
      <c r="B794" s="22" t="n"/>
      <c r="C794" s="22" t="n"/>
      <c r="D794" s="22" t="n"/>
      <c r="E794" s="22" t="n"/>
      <c r="F794" s="22" t="n"/>
      <c r="G794" s="22" t="n"/>
      <c r="H794" s="22" t="n"/>
      <c r="I794" s="22" t="n"/>
      <c r="J794" s="22" t="n"/>
      <c r="K794" s="22" t="n"/>
    </row>
    <row r="795">
      <c r="A795" s="324" t="n"/>
      <c r="B795" s="22" t="n"/>
      <c r="C795" s="22" t="n"/>
      <c r="D795" s="22" t="n"/>
      <c r="E795" s="22" t="n"/>
      <c r="F795" s="22" t="n"/>
      <c r="G795" s="22" t="n"/>
      <c r="H795" s="22" t="n"/>
      <c r="I795" s="22" t="n"/>
      <c r="J795" s="22" t="n"/>
      <c r="K795" s="22" t="n"/>
    </row>
    <row r="796">
      <c r="A796" s="324" t="n"/>
      <c r="B796" s="22" t="n"/>
      <c r="C796" s="22" t="n"/>
      <c r="D796" s="22" t="n"/>
      <c r="E796" s="22" t="n"/>
      <c r="F796" s="22" t="n"/>
      <c r="G796" s="22" t="n"/>
      <c r="H796" s="22" t="n"/>
      <c r="I796" s="22" t="n"/>
      <c r="J796" s="22" t="n"/>
      <c r="K796" s="22" t="n"/>
    </row>
    <row r="797">
      <c r="A797" s="324" t="n"/>
      <c r="B797" s="22" t="n"/>
      <c r="C797" s="22" t="n"/>
      <c r="D797" s="22" t="n"/>
      <c r="E797" s="22" t="n"/>
      <c r="F797" s="22" t="n"/>
      <c r="G797" s="22" t="n"/>
      <c r="H797" s="22" t="n"/>
      <c r="I797" s="22" t="n"/>
      <c r="J797" s="22" t="n"/>
      <c r="K797" s="22" t="n"/>
    </row>
    <row r="798">
      <c r="A798" s="324" t="n"/>
      <c r="B798" s="22" t="n"/>
      <c r="C798" s="22" t="n"/>
      <c r="D798" s="22" t="n"/>
      <c r="E798" s="22" t="n"/>
      <c r="F798" s="22" t="n"/>
      <c r="G798" s="22" t="n"/>
      <c r="H798" s="22" t="n"/>
      <c r="I798" s="22" t="n"/>
      <c r="J798" s="22" t="n"/>
      <c r="K798" s="22" t="n"/>
    </row>
    <row r="799">
      <c r="A799" s="324" t="n"/>
      <c r="B799" s="22" t="n"/>
      <c r="C799" s="22" t="n"/>
      <c r="D799" s="22" t="n"/>
      <c r="E799" s="22" t="n"/>
      <c r="F799" s="22" t="n"/>
      <c r="G799" s="22" t="n"/>
      <c r="H799" s="22" t="n"/>
      <c r="I799" s="22" t="n"/>
      <c r="J799" s="22" t="n"/>
      <c r="K799" s="22" t="n"/>
    </row>
    <row r="800">
      <c r="A800" s="324" t="n"/>
      <c r="B800" s="22" t="n"/>
      <c r="C800" s="22" t="n"/>
      <c r="D800" s="22" t="n"/>
      <c r="E800" s="22" t="n"/>
      <c r="F800" s="22" t="n"/>
      <c r="G800" s="22" t="n"/>
      <c r="H800" s="22" t="n"/>
      <c r="I800" s="22" t="n"/>
      <c r="J800" s="22" t="n"/>
      <c r="K800" s="22" t="n"/>
    </row>
    <row r="801">
      <c r="A801" s="324" t="n"/>
      <c r="B801" s="22" t="n"/>
      <c r="C801" s="22" t="n"/>
      <c r="D801" s="22" t="n"/>
      <c r="E801" s="22" t="n"/>
      <c r="F801" s="22" t="n"/>
      <c r="G801" s="22" t="n"/>
      <c r="H801" s="22" t="n"/>
      <c r="I801" s="22" t="n"/>
      <c r="J801" s="22" t="n"/>
      <c r="K801" s="22" t="n"/>
    </row>
    <row r="802">
      <c r="A802" s="324" t="n"/>
      <c r="B802" s="22" t="n"/>
      <c r="C802" s="22" t="n"/>
      <c r="D802" s="22" t="n"/>
      <c r="E802" s="22" t="n"/>
      <c r="F802" s="22" t="n"/>
      <c r="G802" s="22" t="n"/>
      <c r="H802" s="22" t="n"/>
      <c r="I802" s="22" t="n"/>
      <c r="J802" s="22" t="n"/>
      <c r="K802" s="22" t="n"/>
    </row>
    <row r="803">
      <c r="A803" s="324" t="n"/>
      <c r="B803" s="22" t="n"/>
      <c r="C803" s="22" t="n"/>
      <c r="D803" s="22" t="n"/>
      <c r="E803" s="22" t="n"/>
      <c r="F803" s="22" t="n"/>
      <c r="G803" s="22" t="n"/>
      <c r="H803" s="22" t="n"/>
      <c r="I803" s="22" t="n"/>
      <c r="J803" s="22" t="n"/>
      <c r="K803" s="22" t="n"/>
    </row>
    <row r="804">
      <c r="A804" s="324" t="n"/>
      <c r="B804" s="22" t="n"/>
      <c r="C804" s="22" t="n"/>
      <c r="D804" s="22" t="n"/>
      <c r="E804" s="22" t="n"/>
      <c r="F804" s="22" t="n"/>
      <c r="G804" s="22" t="n"/>
      <c r="H804" s="22" t="n"/>
      <c r="I804" s="22" t="n"/>
      <c r="J804" s="22" t="n"/>
      <c r="K804" s="22" t="n"/>
    </row>
    <row r="805">
      <c r="A805" s="324" t="n"/>
      <c r="B805" s="22" t="n"/>
      <c r="C805" s="22" t="n"/>
      <c r="D805" s="22" t="n"/>
      <c r="E805" s="22" t="n"/>
      <c r="F805" s="22" t="n"/>
      <c r="G805" s="22" t="n"/>
      <c r="H805" s="22" t="n"/>
      <c r="I805" s="22" t="n"/>
      <c r="J805" s="22" t="n"/>
      <c r="K805" s="22" t="n"/>
    </row>
    <row r="806">
      <c r="A806" s="324" t="n"/>
      <c r="B806" s="22" t="n"/>
      <c r="C806" s="22" t="n"/>
      <c r="D806" s="22" t="n"/>
      <c r="E806" s="22" t="n"/>
      <c r="F806" s="22" t="n"/>
      <c r="G806" s="22" t="n"/>
      <c r="H806" s="22" t="n"/>
      <c r="I806" s="22" t="n"/>
      <c r="J806" s="22" t="n"/>
      <c r="K806" s="22" t="n"/>
    </row>
    <row r="807">
      <c r="A807" s="324" t="n"/>
      <c r="B807" s="22" t="n"/>
      <c r="C807" s="22" t="n"/>
      <c r="D807" s="22" t="n"/>
      <c r="E807" s="22" t="n"/>
      <c r="F807" s="22" t="n"/>
      <c r="G807" s="22" t="n"/>
      <c r="H807" s="22" t="n"/>
      <c r="I807" s="22" t="n"/>
      <c r="J807" s="22" t="n"/>
      <c r="K807" s="22" t="n"/>
    </row>
    <row r="808">
      <c r="A808" s="324" t="n"/>
      <c r="B808" s="22" t="n"/>
      <c r="C808" s="22" t="n"/>
      <c r="D808" s="22" t="n"/>
      <c r="E808" s="22" t="n"/>
      <c r="F808" s="22" t="n"/>
      <c r="G808" s="22" t="n"/>
      <c r="H808" s="22" t="n"/>
      <c r="I808" s="22" t="n"/>
      <c r="J808" s="22" t="n"/>
      <c r="K808" s="22" t="n"/>
    </row>
    <row r="809">
      <c r="A809" s="324" t="n"/>
      <c r="B809" s="22" t="n"/>
      <c r="C809" s="22" t="n"/>
      <c r="D809" s="22" t="n"/>
      <c r="E809" s="22" t="n"/>
      <c r="F809" s="22" t="n"/>
      <c r="G809" s="22" t="n"/>
      <c r="H809" s="22" t="n"/>
      <c r="I809" s="22" t="n"/>
      <c r="J809" s="22" t="n"/>
      <c r="K809" s="22" t="n"/>
    </row>
    <row r="810">
      <c r="A810" s="324" t="n"/>
      <c r="B810" s="22" t="n"/>
      <c r="C810" s="22" t="n"/>
      <c r="D810" s="22" t="n"/>
      <c r="E810" s="22" t="n"/>
      <c r="F810" s="22" t="n"/>
      <c r="G810" s="22" t="n"/>
      <c r="H810" s="22" t="n"/>
      <c r="I810" s="22" t="n"/>
      <c r="J810" s="22" t="n"/>
      <c r="K810" s="22" t="n"/>
    </row>
    <row r="811">
      <c r="A811" s="324" t="n"/>
      <c r="B811" s="22" t="n"/>
      <c r="C811" s="22" t="n"/>
      <c r="D811" s="22" t="n"/>
      <c r="E811" s="22" t="n"/>
      <c r="F811" s="22" t="n"/>
      <c r="G811" s="22" t="n"/>
      <c r="H811" s="22" t="n"/>
      <c r="I811" s="22" t="n"/>
      <c r="J811" s="22" t="n"/>
      <c r="K811" s="22" t="n"/>
    </row>
    <row r="812">
      <c r="A812" s="324" t="n"/>
      <c r="B812" s="22" t="n"/>
      <c r="C812" s="22" t="n"/>
      <c r="D812" s="22" t="n"/>
      <c r="E812" s="22" t="n"/>
      <c r="F812" s="22" t="n"/>
      <c r="G812" s="22" t="n"/>
      <c r="H812" s="22" t="n"/>
      <c r="I812" s="22" t="n"/>
      <c r="J812" s="22" t="n"/>
      <c r="K812" s="22" t="n"/>
    </row>
    <row r="813">
      <c r="A813" s="324" t="n"/>
      <c r="B813" s="22" t="n"/>
      <c r="C813" s="22" t="n"/>
      <c r="D813" s="22" t="n"/>
      <c r="E813" s="22" t="n"/>
      <c r="F813" s="22" t="n"/>
      <c r="G813" s="22" t="n"/>
      <c r="H813" s="22" t="n"/>
      <c r="I813" s="22" t="n"/>
      <c r="J813" s="22" t="n"/>
      <c r="K813" s="22" t="n"/>
    </row>
    <row r="814">
      <c r="A814" s="324" t="n"/>
      <c r="B814" s="22" t="n"/>
      <c r="C814" s="22" t="n"/>
      <c r="D814" s="22" t="n"/>
      <c r="E814" s="22" t="n"/>
      <c r="F814" s="22" t="n"/>
      <c r="G814" s="22" t="n"/>
      <c r="H814" s="22" t="n"/>
      <c r="I814" s="22" t="n"/>
      <c r="J814" s="22" t="n"/>
      <c r="K814" s="22" t="n"/>
    </row>
    <row r="815">
      <c r="A815" s="324" t="n"/>
      <c r="B815" s="22" t="n"/>
      <c r="C815" s="22" t="n"/>
      <c r="D815" s="22" t="n"/>
      <c r="E815" s="22" t="n"/>
      <c r="F815" s="22" t="n"/>
      <c r="G815" s="22" t="n"/>
      <c r="H815" s="22" t="n"/>
      <c r="I815" s="22" t="n"/>
      <c r="J815" s="22" t="n"/>
      <c r="K815" s="22" t="n"/>
    </row>
    <row r="816">
      <c r="A816" s="324" t="n"/>
      <c r="B816" s="22" t="n"/>
      <c r="C816" s="22" t="n"/>
      <c r="D816" s="22" t="n"/>
      <c r="E816" s="22" t="n"/>
      <c r="F816" s="22" t="n"/>
      <c r="G816" s="22" t="n"/>
      <c r="H816" s="22" t="n"/>
      <c r="I816" s="22" t="n"/>
      <c r="J816" s="22" t="n"/>
      <c r="K816" s="22" t="n"/>
    </row>
    <row r="817">
      <c r="A817" s="324" t="n"/>
      <c r="B817" s="22" t="n"/>
      <c r="C817" s="22" t="n"/>
      <c r="D817" s="22" t="n"/>
      <c r="E817" s="22" t="n"/>
      <c r="F817" s="22" t="n"/>
      <c r="G817" s="22" t="n"/>
      <c r="H817" s="22" t="n"/>
      <c r="I817" s="22" t="n"/>
      <c r="J817" s="22" t="n"/>
      <c r="K817" s="22" t="n"/>
    </row>
    <row r="818">
      <c r="A818" s="324" t="n"/>
      <c r="B818" s="22" t="n"/>
      <c r="C818" s="22" t="n"/>
      <c r="D818" s="22" t="n"/>
      <c r="E818" s="22" t="n"/>
      <c r="F818" s="22" t="n"/>
      <c r="G818" s="22" t="n"/>
      <c r="H818" s="22" t="n"/>
      <c r="I818" s="22" t="n"/>
      <c r="J818" s="22" t="n"/>
      <c r="K818" s="22" t="n"/>
    </row>
    <row r="819">
      <c r="A819" s="324" t="n"/>
      <c r="B819" s="22" t="n"/>
      <c r="C819" s="22" t="n"/>
      <c r="D819" s="22" t="n"/>
      <c r="E819" s="22" t="n"/>
      <c r="F819" s="22" t="n"/>
      <c r="G819" s="22" t="n"/>
      <c r="H819" s="22" t="n"/>
      <c r="I819" s="22" t="n"/>
      <c r="J819" s="22" t="n"/>
      <c r="K819" s="22" t="n"/>
    </row>
    <row r="820">
      <c r="A820" s="324" t="n"/>
      <c r="B820" s="22" t="n"/>
      <c r="C820" s="22" t="n"/>
      <c r="D820" s="22" t="n"/>
      <c r="E820" s="22" t="n"/>
      <c r="F820" s="22" t="n"/>
      <c r="G820" s="22" t="n"/>
      <c r="H820" s="22" t="n"/>
      <c r="I820" s="22" t="n"/>
      <c r="J820" s="22" t="n"/>
      <c r="K820" s="22" t="n"/>
    </row>
    <row r="821">
      <c r="A821" s="324" t="n"/>
      <c r="B821" s="22" t="n"/>
      <c r="C821" s="22" t="n"/>
      <c r="D821" s="22" t="n"/>
      <c r="E821" s="22" t="n"/>
      <c r="F821" s="22" t="n"/>
      <c r="G821" s="22" t="n"/>
      <c r="H821" s="22" t="n"/>
      <c r="I821" s="22" t="n"/>
      <c r="J821" s="22" t="n"/>
      <c r="K821" s="22" t="n"/>
    </row>
    <row r="822">
      <c r="A822" s="324" t="n"/>
      <c r="B822" s="22" t="n"/>
      <c r="C822" s="22" t="n"/>
      <c r="D822" s="22" t="n"/>
      <c r="E822" s="22" t="n"/>
      <c r="F822" s="22" t="n"/>
      <c r="G822" s="22" t="n"/>
      <c r="H822" s="22" t="n"/>
      <c r="I822" s="22" t="n"/>
      <c r="J822" s="22" t="n"/>
      <c r="K822" s="22" t="n"/>
    </row>
    <row r="823">
      <c r="A823" s="324" t="n"/>
      <c r="B823" s="22" t="n"/>
      <c r="C823" s="22" t="n"/>
      <c r="D823" s="22" t="n"/>
      <c r="E823" s="22" t="n"/>
      <c r="F823" s="22" t="n"/>
      <c r="G823" s="22" t="n"/>
      <c r="H823" s="22" t="n"/>
      <c r="I823" s="22" t="n"/>
      <c r="J823" s="22" t="n"/>
      <c r="K823" s="22" t="n"/>
    </row>
    <row r="824">
      <c r="A824" s="324" t="n"/>
      <c r="B824" s="22" t="n"/>
      <c r="C824" s="22" t="n"/>
      <c r="D824" s="22" t="n"/>
      <c r="E824" s="22" t="n"/>
      <c r="F824" s="22" t="n"/>
      <c r="G824" s="22" t="n"/>
      <c r="H824" s="22" t="n"/>
      <c r="I824" s="22" t="n"/>
      <c r="J824" s="22" t="n"/>
      <c r="K824" s="22" t="n"/>
    </row>
    <row r="825">
      <c r="A825" s="324" t="n"/>
      <c r="B825" s="22" t="n"/>
      <c r="C825" s="22" t="n"/>
      <c r="D825" s="22" t="n"/>
      <c r="E825" s="22" t="n"/>
      <c r="F825" s="22" t="n"/>
      <c r="G825" s="22" t="n"/>
      <c r="H825" s="22" t="n"/>
      <c r="I825" s="22" t="n"/>
      <c r="J825" s="22" t="n"/>
      <c r="K825" s="22" t="n"/>
    </row>
    <row r="826">
      <c r="A826" s="324" t="n"/>
      <c r="B826" s="22" t="n"/>
      <c r="C826" s="22" t="n"/>
      <c r="D826" s="22" t="n"/>
      <c r="E826" s="22" t="n"/>
      <c r="F826" s="22" t="n"/>
      <c r="G826" s="22" t="n"/>
      <c r="H826" s="22" t="n"/>
      <c r="I826" s="22" t="n"/>
      <c r="J826" s="22" t="n"/>
      <c r="K826" s="22" t="n"/>
    </row>
    <row r="827">
      <c r="A827" s="324" t="n"/>
      <c r="B827" s="22" t="n"/>
      <c r="C827" s="22" t="n"/>
      <c r="D827" s="22" t="n"/>
      <c r="E827" s="22" t="n"/>
      <c r="F827" s="22" t="n"/>
      <c r="G827" s="22" t="n"/>
      <c r="H827" s="22" t="n"/>
      <c r="I827" s="22" t="n"/>
      <c r="J827" s="22" t="n"/>
      <c r="K827" s="22" t="n"/>
    </row>
    <row r="828">
      <c r="A828" s="324" t="n"/>
      <c r="B828" s="22" t="n"/>
      <c r="C828" s="22" t="n"/>
      <c r="D828" s="22" t="n"/>
      <c r="E828" s="22" t="n"/>
      <c r="F828" s="22" t="n"/>
      <c r="G828" s="22" t="n"/>
      <c r="H828" s="22" t="n"/>
      <c r="I828" s="22" t="n"/>
      <c r="J828" s="22" t="n"/>
      <c r="K828" s="22" t="n"/>
    </row>
    <row r="829">
      <c r="A829" s="324" t="n"/>
      <c r="B829" s="22" t="n"/>
      <c r="C829" s="22" t="n"/>
      <c r="D829" s="22" t="n"/>
      <c r="E829" s="22" t="n"/>
      <c r="F829" s="22" t="n"/>
      <c r="G829" s="22" t="n"/>
      <c r="H829" s="22" t="n"/>
      <c r="I829" s="22" t="n"/>
      <c r="J829" s="22" t="n"/>
      <c r="K829" s="22" t="n"/>
    </row>
    <row r="830">
      <c r="A830" s="324" t="n"/>
      <c r="B830" s="22" t="n"/>
      <c r="C830" s="22" t="n"/>
      <c r="D830" s="22" t="n"/>
      <c r="E830" s="22" t="n"/>
      <c r="F830" s="22" t="n"/>
      <c r="G830" s="22" t="n"/>
      <c r="H830" s="22" t="n"/>
      <c r="I830" s="22" t="n"/>
      <c r="J830" s="22" t="n"/>
      <c r="K830" s="22" t="n"/>
    </row>
    <row r="831">
      <c r="A831" s="324" t="n"/>
      <c r="B831" s="22" t="n"/>
      <c r="C831" s="22" t="n"/>
      <c r="D831" s="22" t="n"/>
      <c r="E831" s="22" t="n"/>
      <c r="F831" s="22" t="n"/>
      <c r="G831" s="22" t="n"/>
      <c r="H831" s="22" t="n"/>
      <c r="I831" s="22" t="n"/>
      <c r="J831" s="22" t="n"/>
      <c r="K831" s="22" t="n"/>
    </row>
    <row r="832">
      <c r="A832" s="324" t="n"/>
      <c r="B832" s="22" t="n"/>
      <c r="C832" s="22" t="n"/>
      <c r="D832" s="22" t="n"/>
      <c r="E832" s="22" t="n"/>
      <c r="F832" s="22" t="n"/>
      <c r="G832" s="22" t="n"/>
      <c r="H832" s="22" t="n"/>
      <c r="I832" s="22" t="n"/>
      <c r="J832" s="22" t="n"/>
      <c r="K832" s="22" t="n"/>
    </row>
    <row r="833">
      <c r="A833" s="324" t="n"/>
      <c r="B833" s="22" t="n"/>
      <c r="C833" s="22" t="n"/>
      <c r="D833" s="22" t="n"/>
      <c r="E833" s="22" t="n"/>
      <c r="F833" s="22" t="n"/>
      <c r="G833" s="22" t="n"/>
      <c r="H833" s="22" t="n"/>
      <c r="I833" s="22" t="n"/>
      <c r="J833" s="22" t="n"/>
      <c r="K833" s="22" t="n"/>
    </row>
    <row r="834">
      <c r="A834" s="324" t="n"/>
      <c r="B834" s="22" t="n"/>
      <c r="C834" s="22" t="n"/>
      <c r="D834" s="22" t="n"/>
      <c r="E834" s="22" t="n"/>
      <c r="F834" s="22" t="n"/>
      <c r="G834" s="22" t="n"/>
      <c r="H834" s="22" t="n"/>
      <c r="I834" s="22" t="n"/>
      <c r="J834" s="22" t="n"/>
      <c r="K834" s="22" t="n"/>
    </row>
    <row r="835">
      <c r="A835" s="324" t="n"/>
      <c r="B835" s="22" t="n"/>
      <c r="C835" s="22" t="n"/>
      <c r="D835" s="22" t="n"/>
      <c r="E835" s="22" t="n"/>
      <c r="F835" s="22" t="n"/>
      <c r="G835" s="22" t="n"/>
      <c r="H835" s="22" t="n"/>
      <c r="I835" s="22" t="n"/>
      <c r="J835" s="22" t="n"/>
      <c r="K835" s="22" t="n"/>
    </row>
    <row r="836">
      <c r="A836" s="324" t="n"/>
      <c r="B836" s="22" t="n"/>
      <c r="C836" s="22" t="n"/>
      <c r="D836" s="22" t="n"/>
      <c r="E836" s="22" t="n"/>
      <c r="F836" s="22" t="n"/>
      <c r="G836" s="22" t="n"/>
      <c r="H836" s="22" t="n"/>
      <c r="I836" s="22" t="n"/>
      <c r="J836" s="22" t="n"/>
      <c r="K836" s="22" t="n"/>
    </row>
    <row r="837">
      <c r="A837" s="324" t="n"/>
      <c r="B837" s="22" t="n"/>
      <c r="C837" s="22" t="n"/>
      <c r="D837" s="22" t="n"/>
      <c r="E837" s="22" t="n"/>
      <c r="F837" s="22" t="n"/>
      <c r="G837" s="22" t="n"/>
      <c r="H837" s="22" t="n"/>
      <c r="I837" s="22" t="n"/>
      <c r="J837" s="22" t="n"/>
      <c r="K837" s="22" t="n"/>
    </row>
    <row r="838">
      <c r="A838" s="324" t="n"/>
      <c r="B838" s="22" t="n"/>
      <c r="C838" s="22" t="n"/>
      <c r="D838" s="22" t="n"/>
      <c r="E838" s="22" t="n"/>
      <c r="F838" s="22" t="n"/>
      <c r="G838" s="22" t="n"/>
      <c r="H838" s="22" t="n"/>
      <c r="I838" s="22" t="n"/>
      <c r="J838" s="22" t="n"/>
      <c r="K838" s="22" t="n"/>
    </row>
    <row r="839">
      <c r="A839" s="324" t="n"/>
      <c r="B839" s="22" t="n"/>
      <c r="C839" s="22" t="n"/>
      <c r="D839" s="22" t="n"/>
      <c r="E839" s="22" t="n"/>
      <c r="F839" s="22" t="n"/>
      <c r="G839" s="22" t="n"/>
      <c r="H839" s="22" t="n"/>
      <c r="I839" s="22" t="n"/>
      <c r="J839" s="22" t="n"/>
      <c r="K839" s="22" t="n"/>
    </row>
    <row r="840">
      <c r="A840" s="324" t="n"/>
      <c r="B840" s="22" t="n"/>
      <c r="C840" s="22" t="n"/>
      <c r="D840" s="22" t="n"/>
      <c r="E840" s="22" t="n"/>
      <c r="F840" s="22" t="n"/>
      <c r="G840" s="22" t="n"/>
      <c r="H840" s="22" t="n"/>
      <c r="I840" s="22" t="n"/>
      <c r="J840" s="22" t="n"/>
      <c r="K840" s="22" t="n"/>
    </row>
    <row r="841">
      <c r="A841" s="324" t="n"/>
      <c r="B841" s="22" t="n"/>
      <c r="C841" s="22" t="n"/>
      <c r="D841" s="22" t="n"/>
      <c r="E841" s="22" t="n"/>
      <c r="F841" s="22" t="n"/>
      <c r="G841" s="22" t="n"/>
      <c r="H841" s="22" t="n"/>
      <c r="I841" s="22" t="n"/>
      <c r="J841" s="22" t="n"/>
      <c r="K841" s="22" t="n"/>
    </row>
    <row r="842">
      <c r="A842" s="324" t="n"/>
      <c r="B842" s="22" t="n"/>
      <c r="C842" s="22" t="n"/>
      <c r="D842" s="22" t="n"/>
      <c r="E842" s="22" t="n"/>
      <c r="F842" s="22" t="n"/>
      <c r="G842" s="22" t="n"/>
      <c r="H842" s="22" t="n"/>
      <c r="I842" s="22" t="n"/>
      <c r="J842" s="22" t="n"/>
      <c r="K842" s="22" t="n"/>
    </row>
    <row r="843">
      <c r="A843" s="324" t="n"/>
      <c r="B843" s="22" t="n"/>
      <c r="C843" s="22" t="n"/>
      <c r="D843" s="22" t="n"/>
      <c r="E843" s="22" t="n"/>
      <c r="F843" s="22" t="n"/>
      <c r="G843" s="22" t="n"/>
      <c r="H843" s="22" t="n"/>
      <c r="I843" s="22" t="n"/>
      <c r="J843" s="22" t="n"/>
      <c r="K843" s="22" t="n"/>
    </row>
    <row r="844">
      <c r="A844" s="324" t="n"/>
      <c r="B844" s="22" t="n"/>
      <c r="C844" s="22" t="n"/>
      <c r="D844" s="22" t="n"/>
      <c r="E844" s="22" t="n"/>
      <c r="F844" s="22" t="n"/>
      <c r="G844" s="22" t="n"/>
      <c r="H844" s="22" t="n"/>
      <c r="I844" s="22" t="n"/>
      <c r="J844" s="22" t="n"/>
      <c r="K844" s="22" t="n"/>
    </row>
    <row r="845">
      <c r="A845" s="324" t="n"/>
      <c r="B845" s="22" t="n"/>
      <c r="C845" s="22" t="n"/>
      <c r="D845" s="22" t="n"/>
      <c r="E845" s="22" t="n"/>
      <c r="F845" s="22" t="n"/>
      <c r="G845" s="22" t="n"/>
      <c r="H845" s="22" t="n"/>
      <c r="I845" s="22" t="n"/>
      <c r="J845" s="22" t="n"/>
      <c r="K845" s="22" t="n"/>
    </row>
    <row r="846">
      <c r="A846" s="324" t="n"/>
      <c r="B846" s="22" t="n"/>
      <c r="C846" s="22" t="n"/>
      <c r="D846" s="22" t="n"/>
      <c r="E846" s="22" t="n"/>
      <c r="F846" s="22" t="n"/>
      <c r="G846" s="22" t="n"/>
      <c r="H846" s="22" t="n"/>
      <c r="I846" s="22" t="n"/>
      <c r="J846" s="22" t="n"/>
      <c r="K846" s="22" t="n"/>
    </row>
    <row r="847">
      <c r="A847" s="324" t="n"/>
      <c r="B847" s="22" t="n"/>
      <c r="C847" s="22" t="n"/>
      <c r="D847" s="22" t="n"/>
      <c r="E847" s="22" t="n"/>
      <c r="F847" s="22" t="n"/>
      <c r="G847" s="22" t="n"/>
      <c r="H847" s="22" t="n"/>
      <c r="I847" s="22" t="n"/>
      <c r="J847" s="22" t="n"/>
      <c r="K847" s="22" t="n"/>
    </row>
    <row r="848">
      <c r="A848" s="324" t="n"/>
      <c r="B848" s="22" t="n"/>
      <c r="C848" s="22" t="n"/>
      <c r="D848" s="22" t="n"/>
      <c r="E848" s="22" t="n"/>
      <c r="F848" s="22" t="n"/>
      <c r="G848" s="22" t="n"/>
      <c r="H848" s="22" t="n"/>
      <c r="I848" s="22" t="n"/>
      <c r="J848" s="22" t="n"/>
      <c r="K848" s="22" t="n"/>
    </row>
    <row r="849">
      <c r="A849" s="324" t="n"/>
      <c r="B849" s="22" t="n"/>
      <c r="C849" s="22" t="n"/>
      <c r="D849" s="22" t="n"/>
      <c r="E849" s="22" t="n"/>
      <c r="F849" s="22" t="n"/>
      <c r="G849" s="22" t="n"/>
      <c r="H849" s="22" t="n"/>
      <c r="I849" s="22" t="n"/>
      <c r="J849" s="22" t="n"/>
      <c r="K849" s="22" t="n"/>
    </row>
    <row r="850">
      <c r="A850" s="324" t="n"/>
      <c r="B850" s="22" t="n"/>
      <c r="C850" s="22" t="n"/>
      <c r="D850" s="22" t="n"/>
      <c r="E850" s="22" t="n"/>
      <c r="F850" s="22" t="n"/>
      <c r="G850" s="22" t="n"/>
      <c r="H850" s="22" t="n"/>
      <c r="I850" s="22" t="n"/>
      <c r="J850" s="22" t="n"/>
      <c r="K850" s="22" t="n"/>
    </row>
    <row r="851">
      <c r="A851" s="324" t="n"/>
      <c r="B851" s="22" t="n"/>
      <c r="C851" s="22" t="n"/>
      <c r="D851" s="22" t="n"/>
      <c r="E851" s="22" t="n"/>
      <c r="F851" s="22" t="n"/>
      <c r="G851" s="22" t="n"/>
      <c r="H851" s="22" t="n"/>
      <c r="I851" s="22" t="n"/>
      <c r="J851" s="22" t="n"/>
      <c r="K851" s="22" t="n"/>
    </row>
    <row r="852">
      <c r="A852" s="324" t="n"/>
      <c r="B852" s="22" t="n"/>
      <c r="C852" s="22" t="n"/>
      <c r="D852" s="22" t="n"/>
      <c r="E852" s="22" t="n"/>
      <c r="F852" s="22" t="n"/>
      <c r="G852" s="22" t="n"/>
      <c r="H852" s="22" t="n"/>
      <c r="I852" s="22" t="n"/>
      <c r="J852" s="22" t="n"/>
      <c r="K852" s="22" t="n"/>
    </row>
    <row r="853">
      <c r="A853" s="324" t="n"/>
      <c r="B853" s="22" t="n"/>
      <c r="C853" s="22" t="n"/>
      <c r="D853" s="22" t="n"/>
      <c r="E853" s="22" t="n"/>
      <c r="F853" s="22" t="n"/>
      <c r="G853" s="22" t="n"/>
      <c r="H853" s="22" t="n"/>
      <c r="I853" s="22" t="n"/>
      <c r="J853" s="22" t="n"/>
      <c r="K853" s="22" t="n"/>
    </row>
    <row r="854">
      <c r="A854" s="324" t="n"/>
      <c r="B854" s="22" t="n"/>
      <c r="C854" s="22" t="n"/>
      <c r="D854" s="22" t="n"/>
      <c r="E854" s="22" t="n"/>
      <c r="F854" s="22" t="n"/>
      <c r="G854" s="22" t="n"/>
      <c r="H854" s="22" t="n"/>
      <c r="I854" s="22" t="n"/>
      <c r="J854" s="22" t="n"/>
      <c r="K854" s="22" t="n"/>
    </row>
    <row r="855">
      <c r="A855" s="324" t="n"/>
      <c r="B855" s="22" t="n"/>
      <c r="C855" s="22" t="n"/>
      <c r="D855" s="22" t="n"/>
      <c r="E855" s="22" t="n"/>
      <c r="F855" s="22" t="n"/>
      <c r="G855" s="22" t="n"/>
      <c r="H855" s="22" t="n"/>
      <c r="I855" s="22" t="n"/>
      <c r="J855" s="22" t="n"/>
      <c r="K855" s="22" t="n"/>
    </row>
    <row r="856">
      <c r="A856" s="324" t="n"/>
      <c r="B856" s="22" t="n"/>
      <c r="C856" s="22" t="n"/>
      <c r="D856" s="22" t="n"/>
      <c r="E856" s="22" t="n"/>
      <c r="F856" s="22" t="n"/>
      <c r="G856" s="22" t="n"/>
      <c r="H856" s="22" t="n"/>
      <c r="I856" s="22" t="n"/>
      <c r="J856" s="22" t="n"/>
      <c r="K856" s="22" t="n"/>
    </row>
    <row r="857">
      <c r="A857" s="324" t="n"/>
      <c r="B857" s="22" t="n"/>
      <c r="C857" s="22" t="n"/>
      <c r="D857" s="22" t="n"/>
      <c r="E857" s="22" t="n"/>
      <c r="F857" s="22" t="n"/>
      <c r="G857" s="22" t="n"/>
      <c r="H857" s="22" t="n"/>
      <c r="I857" s="22" t="n"/>
      <c r="J857" s="22" t="n"/>
      <c r="K857" s="22" t="n"/>
    </row>
    <row r="858">
      <c r="A858" s="324" t="n"/>
      <c r="B858" s="22" t="n"/>
      <c r="C858" s="22" t="n"/>
      <c r="D858" s="22" t="n"/>
      <c r="E858" s="22" t="n"/>
      <c r="F858" s="22" t="n"/>
      <c r="G858" s="22" t="n"/>
      <c r="H858" s="22" t="n"/>
      <c r="I858" s="22" t="n"/>
      <c r="J858" s="22" t="n"/>
      <c r="K858" s="22" t="n"/>
    </row>
    <row r="859">
      <c r="A859" s="324" t="n"/>
      <c r="B859" s="22" t="n"/>
      <c r="C859" s="22" t="n"/>
      <c r="D859" s="22" t="n"/>
      <c r="E859" s="22" t="n"/>
      <c r="F859" s="22" t="n"/>
      <c r="G859" s="22" t="n"/>
      <c r="H859" s="22" t="n"/>
      <c r="I859" s="22" t="n"/>
      <c r="J859" s="22" t="n"/>
      <c r="K859" s="22" t="n"/>
    </row>
    <row r="860">
      <c r="A860" s="324" t="n"/>
      <c r="B860" s="22" t="n"/>
      <c r="C860" s="22" t="n"/>
      <c r="D860" s="22" t="n"/>
      <c r="E860" s="22" t="n"/>
      <c r="F860" s="22" t="n"/>
      <c r="G860" s="22" t="n"/>
      <c r="H860" s="22" t="n"/>
      <c r="I860" s="22" t="n"/>
      <c r="J860" s="22" t="n"/>
      <c r="K860" s="22" t="n"/>
    </row>
    <row r="861">
      <c r="A861" s="324" t="n"/>
      <c r="B861" s="22" t="n"/>
      <c r="C861" s="22" t="n"/>
      <c r="D861" s="22" t="n"/>
      <c r="E861" s="22" t="n"/>
      <c r="F861" s="22" t="n"/>
      <c r="G861" s="22" t="n"/>
      <c r="H861" s="22" t="n"/>
      <c r="I861" s="22" t="n"/>
      <c r="J861" s="22" t="n"/>
      <c r="K861" s="22" t="n"/>
    </row>
    <row r="862">
      <c r="A862" s="324" t="n"/>
      <c r="B862" s="22" t="n"/>
      <c r="C862" s="22" t="n"/>
      <c r="D862" s="22" t="n"/>
      <c r="E862" s="22" t="n"/>
      <c r="F862" s="22" t="n"/>
      <c r="G862" s="22" t="n"/>
      <c r="H862" s="22" t="n"/>
      <c r="I862" s="22" t="n"/>
      <c r="J862" s="22" t="n"/>
      <c r="K862" s="22" t="n"/>
    </row>
    <row r="863">
      <c r="A863" s="324" t="n"/>
      <c r="B863" s="22" t="n"/>
      <c r="C863" s="22" t="n"/>
      <c r="D863" s="22" t="n"/>
      <c r="E863" s="22" t="n"/>
      <c r="F863" s="22" t="n"/>
      <c r="G863" s="22" t="n"/>
      <c r="H863" s="22" t="n"/>
      <c r="I863" s="22" t="n"/>
      <c r="J863" s="22" t="n"/>
      <c r="K863" s="22" t="n"/>
    </row>
    <row r="864">
      <c r="A864" s="324" t="n"/>
      <c r="B864" s="22" t="n"/>
      <c r="C864" s="22" t="n"/>
      <c r="D864" s="22" t="n"/>
      <c r="E864" s="22" t="n"/>
      <c r="F864" s="22" t="n"/>
      <c r="G864" s="22" t="n"/>
      <c r="H864" s="22" t="n"/>
      <c r="I864" s="22" t="n"/>
      <c r="J864" s="22" t="n"/>
      <c r="K864" s="22" t="n"/>
    </row>
    <row r="865">
      <c r="A865" s="324" t="n"/>
      <c r="B865" s="22" t="n"/>
      <c r="C865" s="22" t="n"/>
      <c r="D865" s="22" t="n"/>
      <c r="E865" s="22" t="n"/>
      <c r="F865" s="22" t="n"/>
      <c r="G865" s="22" t="n"/>
      <c r="H865" s="22" t="n"/>
      <c r="I865" s="22" t="n"/>
      <c r="J865" s="22" t="n"/>
      <c r="K865" s="22" t="n"/>
    </row>
    <row r="866">
      <c r="A866" s="324" t="n"/>
      <c r="B866" s="22" t="n"/>
      <c r="C866" s="22" t="n"/>
      <c r="D866" s="22" t="n"/>
      <c r="E866" s="22" t="n"/>
      <c r="F866" s="22" t="n"/>
      <c r="G866" s="22" t="n"/>
      <c r="H866" s="22" t="n"/>
      <c r="I866" s="22" t="n"/>
      <c r="J866" s="22" t="n"/>
      <c r="K866" s="22" t="n"/>
    </row>
    <row r="867">
      <c r="A867" s="324" t="n"/>
      <c r="B867" s="22" t="n"/>
      <c r="C867" s="22" t="n"/>
      <c r="D867" s="22" t="n"/>
      <c r="E867" s="22" t="n"/>
      <c r="F867" s="22" t="n"/>
      <c r="G867" s="22" t="n"/>
      <c r="H867" s="22" t="n"/>
      <c r="I867" s="22" t="n"/>
      <c r="J867" s="22" t="n"/>
      <c r="K867" s="22" t="n"/>
    </row>
    <row r="868">
      <c r="A868" s="324" t="n"/>
      <c r="B868" s="22" t="n"/>
      <c r="C868" s="22" t="n"/>
      <c r="D868" s="22" t="n"/>
      <c r="E868" s="22" t="n"/>
      <c r="F868" s="22" t="n"/>
      <c r="G868" s="22" t="n"/>
      <c r="H868" s="22" t="n"/>
      <c r="I868" s="22" t="n"/>
      <c r="J868" s="22" t="n"/>
      <c r="K868" s="22" t="n"/>
    </row>
    <row r="869">
      <c r="A869" s="324" t="n"/>
      <c r="B869" s="22" t="n"/>
      <c r="C869" s="22" t="n"/>
      <c r="D869" s="22" t="n"/>
      <c r="E869" s="22" t="n"/>
      <c r="F869" s="22" t="n"/>
      <c r="G869" s="22" t="n"/>
      <c r="H869" s="22" t="n"/>
      <c r="I869" s="22" t="n"/>
      <c r="J869" s="22" t="n"/>
      <c r="K869" s="22" t="n"/>
    </row>
    <row r="870">
      <c r="A870" s="324" t="n"/>
      <c r="B870" s="22" t="n"/>
      <c r="C870" s="22" t="n"/>
      <c r="D870" s="22" t="n"/>
      <c r="E870" s="22" t="n"/>
      <c r="F870" s="22" t="n"/>
      <c r="G870" s="22" t="n"/>
      <c r="H870" s="22" t="n"/>
      <c r="I870" s="22" t="n"/>
      <c r="J870" s="22" t="n"/>
      <c r="K870" s="22" t="n"/>
    </row>
    <row r="871">
      <c r="A871" s="324" t="n"/>
      <c r="B871" s="22" t="n"/>
      <c r="C871" s="22" t="n"/>
      <c r="D871" s="22" t="n"/>
      <c r="E871" s="22" t="n"/>
      <c r="F871" s="22" t="n"/>
      <c r="G871" s="22" t="n"/>
      <c r="H871" s="22" t="n"/>
      <c r="I871" s="22" t="n"/>
      <c r="J871" s="22" t="n"/>
      <c r="K871" s="22" t="n"/>
    </row>
    <row r="872">
      <c r="A872" s="324" t="n"/>
      <c r="B872" s="22" t="n"/>
      <c r="C872" s="22" t="n"/>
      <c r="D872" s="22" t="n"/>
      <c r="E872" s="22" t="n"/>
      <c r="F872" s="22" t="n"/>
      <c r="G872" s="22" t="n"/>
      <c r="H872" s="22" t="n"/>
      <c r="I872" s="22" t="n"/>
      <c r="J872" s="22" t="n"/>
      <c r="K872" s="22" t="n"/>
    </row>
    <row r="873">
      <c r="A873" s="324" t="n"/>
      <c r="B873" s="22" t="n"/>
      <c r="C873" s="22" t="n"/>
      <c r="D873" s="22" t="n"/>
      <c r="E873" s="22" t="n"/>
      <c r="F873" s="22" t="n"/>
      <c r="G873" s="22" t="n"/>
      <c r="H873" s="22" t="n"/>
      <c r="I873" s="22" t="n"/>
      <c r="J873" s="22" t="n"/>
      <c r="K873" s="22" t="n"/>
    </row>
    <row r="874">
      <c r="A874" s="324" t="n"/>
      <c r="B874" s="22" t="n"/>
      <c r="C874" s="22" t="n"/>
      <c r="D874" s="22" t="n"/>
      <c r="E874" s="22" t="n"/>
      <c r="F874" s="22" t="n"/>
      <c r="G874" s="22" t="n"/>
      <c r="H874" s="22" t="n"/>
      <c r="I874" s="22" t="n"/>
      <c r="J874" s="22" t="n"/>
      <c r="K874" s="22" t="n"/>
    </row>
    <row r="875">
      <c r="A875" s="324" t="n"/>
      <c r="B875" s="22" t="n"/>
      <c r="C875" s="22" t="n"/>
      <c r="D875" s="22" t="n"/>
      <c r="E875" s="22" t="n"/>
      <c r="F875" s="22" t="n"/>
      <c r="G875" s="22" t="n"/>
      <c r="H875" s="22" t="n"/>
      <c r="I875" s="22" t="n"/>
      <c r="J875" s="22" t="n"/>
      <c r="K875" s="22" t="n"/>
    </row>
    <row r="876">
      <c r="A876" s="324" t="n"/>
      <c r="B876" s="22" t="n"/>
      <c r="C876" s="22" t="n"/>
      <c r="D876" s="22" t="n"/>
      <c r="E876" s="22" t="n"/>
      <c r="F876" s="22" t="n"/>
      <c r="G876" s="22" t="n"/>
      <c r="H876" s="22" t="n"/>
      <c r="I876" s="22" t="n"/>
      <c r="J876" s="22" t="n"/>
      <c r="K876" s="22" t="n"/>
    </row>
    <row r="877">
      <c r="A877" s="324" t="n"/>
      <c r="B877" s="22" t="n"/>
      <c r="C877" s="22" t="n"/>
      <c r="D877" s="22" t="n"/>
      <c r="E877" s="22" t="n"/>
      <c r="F877" s="22" t="n"/>
      <c r="G877" s="22" t="n"/>
      <c r="H877" s="22" t="n"/>
      <c r="I877" s="22" t="n"/>
      <c r="J877" s="22" t="n"/>
      <c r="K877" s="22" t="n"/>
    </row>
    <row r="878">
      <c r="A878" s="324" t="n"/>
      <c r="B878" s="22" t="n"/>
      <c r="C878" s="22" t="n"/>
      <c r="D878" s="22" t="n"/>
      <c r="E878" s="22" t="n"/>
      <c r="F878" s="22" t="n"/>
      <c r="G878" s="22" t="n"/>
      <c r="H878" s="22" t="n"/>
      <c r="I878" s="22" t="n"/>
      <c r="J878" s="22" t="n"/>
      <c r="K878" s="22" t="n"/>
    </row>
    <row r="879">
      <c r="A879" s="324" t="n"/>
      <c r="B879" s="22" t="n"/>
      <c r="C879" s="22" t="n"/>
      <c r="D879" s="22" t="n"/>
      <c r="E879" s="22" t="n"/>
      <c r="F879" s="22" t="n"/>
      <c r="G879" s="22" t="n"/>
      <c r="H879" s="22" t="n"/>
      <c r="I879" s="22" t="n"/>
      <c r="J879" s="22" t="n"/>
      <c r="K879" s="22" t="n"/>
    </row>
    <row r="880">
      <c r="A880" s="324" t="n"/>
      <c r="B880" s="22" t="n"/>
      <c r="C880" s="22" t="n"/>
      <c r="D880" s="22" t="n"/>
      <c r="E880" s="22" t="n"/>
      <c r="F880" s="22" t="n"/>
      <c r="G880" s="22" t="n"/>
      <c r="H880" s="22" t="n"/>
      <c r="I880" s="22" t="n"/>
      <c r="J880" s="22" t="n"/>
      <c r="K880" s="22" t="n"/>
    </row>
    <row r="881">
      <c r="A881" s="324" t="n"/>
      <c r="B881" s="22" t="n"/>
      <c r="C881" s="22" t="n"/>
      <c r="D881" s="22" t="n"/>
      <c r="E881" s="22" t="n"/>
      <c r="F881" s="22" t="n"/>
      <c r="G881" s="22" t="n"/>
      <c r="H881" s="22" t="n"/>
      <c r="I881" s="22" t="n"/>
      <c r="J881" s="22" t="n"/>
      <c r="K881" s="22" t="n"/>
    </row>
    <row r="882">
      <c r="A882" s="324" t="n"/>
      <c r="B882" s="22" t="n"/>
      <c r="C882" s="22" t="n"/>
      <c r="D882" s="22" t="n"/>
      <c r="E882" s="22" t="n"/>
      <c r="F882" s="22" t="n"/>
      <c r="G882" s="22" t="n"/>
      <c r="H882" s="22" t="n"/>
      <c r="I882" s="22" t="n"/>
      <c r="J882" s="22" t="n"/>
      <c r="K882" s="22" t="n"/>
    </row>
    <row r="883">
      <c r="A883" s="324" t="n"/>
      <c r="B883" s="22" t="n"/>
      <c r="C883" s="22" t="n"/>
      <c r="D883" s="22" t="n"/>
      <c r="E883" s="22" t="n"/>
      <c r="F883" s="22" t="n"/>
      <c r="G883" s="22" t="n"/>
      <c r="H883" s="22" t="n"/>
      <c r="I883" s="22" t="n"/>
      <c r="J883" s="22" t="n"/>
      <c r="K883" s="22" t="n"/>
    </row>
    <row r="884">
      <c r="A884" s="324" t="n"/>
      <c r="B884" s="22" t="n"/>
      <c r="C884" s="22" t="n"/>
      <c r="D884" s="22" t="n"/>
      <c r="E884" s="22" t="n"/>
      <c r="F884" s="22" t="n"/>
      <c r="G884" s="22" t="n"/>
      <c r="H884" s="22" t="n"/>
      <c r="I884" s="22" t="n"/>
      <c r="J884" s="22" t="n"/>
      <c r="K884" s="22" t="n"/>
    </row>
    <row r="885">
      <c r="A885" s="324" t="n"/>
      <c r="B885" s="22" t="n"/>
      <c r="C885" s="22" t="n"/>
      <c r="D885" s="22" t="n"/>
      <c r="E885" s="22" t="n"/>
      <c r="F885" s="22" t="n"/>
      <c r="G885" s="22" t="n"/>
      <c r="H885" s="22" t="n"/>
      <c r="I885" s="22" t="n"/>
      <c r="J885" s="22" t="n"/>
      <c r="K885" s="22" t="n"/>
    </row>
    <row r="886">
      <c r="A886" s="324" t="n"/>
      <c r="B886" s="22" t="n"/>
      <c r="C886" s="22" t="n"/>
      <c r="D886" s="22" t="n"/>
      <c r="E886" s="22" t="n"/>
      <c r="F886" s="22" t="n"/>
      <c r="G886" s="22" t="n"/>
      <c r="H886" s="22" t="n"/>
      <c r="I886" s="22" t="n"/>
      <c r="J886" s="22" t="n"/>
      <c r="K886" s="22" t="n"/>
    </row>
    <row r="887">
      <c r="A887" s="324" t="n"/>
      <c r="B887" s="22" t="n"/>
      <c r="C887" s="22" t="n"/>
      <c r="D887" s="22" t="n"/>
      <c r="E887" s="22" t="n"/>
      <c r="F887" s="22" t="n"/>
      <c r="G887" s="22" t="n"/>
      <c r="H887" s="22" t="n"/>
      <c r="I887" s="22" t="n"/>
      <c r="J887" s="22" t="n"/>
      <c r="K887" s="22" t="n"/>
    </row>
    <row r="888">
      <c r="A888" s="324" t="n"/>
      <c r="B888" s="22" t="n"/>
      <c r="C888" s="22" t="n"/>
      <c r="D888" s="22" t="n"/>
      <c r="E888" s="22" t="n"/>
      <c r="F888" s="22" t="n"/>
      <c r="G888" s="22" t="n"/>
      <c r="H888" s="22" t="n"/>
      <c r="I888" s="22" t="n"/>
      <c r="J888" s="22" t="n"/>
      <c r="K888" s="22" t="n"/>
    </row>
    <row r="889">
      <c r="A889" s="324" t="n"/>
      <c r="B889" s="22" t="n"/>
      <c r="C889" s="22" t="n"/>
      <c r="D889" s="22" t="n"/>
      <c r="E889" s="22" t="n"/>
      <c r="F889" s="22" t="n"/>
      <c r="G889" s="22" t="n"/>
      <c r="H889" s="22" t="n"/>
      <c r="I889" s="22" t="n"/>
      <c r="J889" s="22" t="n"/>
      <c r="K889" s="22" t="n"/>
    </row>
    <row r="890">
      <c r="A890" s="324" t="n"/>
      <c r="B890" s="22" t="n"/>
      <c r="C890" s="22" t="n"/>
      <c r="D890" s="22" t="n"/>
      <c r="E890" s="22" t="n"/>
      <c r="F890" s="22" t="n"/>
      <c r="G890" s="22" t="n"/>
      <c r="H890" s="22" t="n"/>
      <c r="I890" s="22" t="n"/>
      <c r="J890" s="22" t="n"/>
      <c r="K890" s="22" t="n"/>
    </row>
    <row r="891">
      <c r="A891" s="324" t="n"/>
      <c r="B891" s="22" t="n"/>
      <c r="C891" s="22" t="n"/>
      <c r="D891" s="22" t="n"/>
      <c r="E891" s="22" t="n"/>
      <c r="F891" s="22" t="n"/>
      <c r="G891" s="22" t="n"/>
      <c r="H891" s="22" t="n"/>
      <c r="I891" s="22" t="n"/>
      <c r="J891" s="22" t="n"/>
      <c r="K891" s="22" t="n"/>
    </row>
    <row r="892">
      <c r="A892" s="324" t="n"/>
      <c r="B892" s="22" t="n"/>
      <c r="C892" s="22" t="n"/>
      <c r="D892" s="22" t="n"/>
      <c r="E892" s="22" t="n"/>
      <c r="F892" s="22" t="n"/>
      <c r="G892" s="22" t="n"/>
      <c r="H892" s="22" t="n"/>
      <c r="I892" s="22" t="n"/>
      <c r="J892" s="22" t="n"/>
      <c r="K892" s="22" t="n"/>
    </row>
    <row r="893">
      <c r="A893" s="324" t="n"/>
      <c r="B893" s="22" t="n"/>
      <c r="C893" s="22" t="n"/>
      <c r="D893" s="22" t="n"/>
      <c r="E893" s="22" t="n"/>
      <c r="F893" s="22" t="n"/>
      <c r="G893" s="22" t="n"/>
      <c r="H893" s="22" t="n"/>
      <c r="I893" s="22" t="n"/>
      <c r="J893" s="22" t="n"/>
      <c r="K893" s="22" t="n"/>
    </row>
    <row r="894">
      <c r="A894" s="324" t="n"/>
      <c r="B894" s="22" t="n"/>
      <c r="C894" s="22" t="n"/>
      <c r="D894" s="22" t="n"/>
      <c r="E894" s="22" t="n"/>
      <c r="F894" s="22" t="n"/>
      <c r="G894" s="22" t="n"/>
      <c r="H894" s="22" t="n"/>
      <c r="I894" s="22" t="n"/>
      <c r="J894" s="22" t="n"/>
      <c r="K894" s="22" t="n"/>
    </row>
    <row r="895">
      <c r="A895" s="324" t="n"/>
      <c r="B895" s="22" t="n"/>
      <c r="C895" s="22" t="n"/>
      <c r="D895" s="22" t="n"/>
      <c r="E895" s="22" t="n"/>
      <c r="F895" s="22" t="n"/>
      <c r="G895" s="22" t="n"/>
      <c r="H895" s="22" t="n"/>
      <c r="I895" s="22" t="n"/>
      <c r="J895" s="22" t="n"/>
      <c r="K895" s="22" t="n"/>
    </row>
    <row r="896">
      <c r="A896" s="324" t="n"/>
      <c r="B896" s="22" t="n"/>
      <c r="C896" s="22" t="n"/>
      <c r="D896" s="22" t="n"/>
      <c r="E896" s="22" t="n"/>
      <c r="F896" s="22" t="n"/>
      <c r="G896" s="22" t="n"/>
      <c r="H896" s="22" t="n"/>
      <c r="I896" s="22" t="n"/>
      <c r="J896" s="22" t="n"/>
      <c r="K896" s="22" t="n"/>
    </row>
    <row r="897">
      <c r="A897" s="324" t="n"/>
      <c r="B897" s="22" t="n"/>
      <c r="C897" s="22" t="n"/>
      <c r="D897" s="22" t="n"/>
      <c r="E897" s="22" t="n"/>
      <c r="F897" s="22" t="n"/>
      <c r="G897" s="22" t="n"/>
      <c r="H897" s="22" t="n"/>
      <c r="I897" s="22" t="n"/>
      <c r="J897" s="22" t="n"/>
      <c r="K897" s="22" t="n"/>
    </row>
    <row r="898">
      <c r="A898" s="324" t="n"/>
      <c r="B898" s="22" t="n"/>
      <c r="C898" s="22" t="n"/>
      <c r="D898" s="22" t="n"/>
      <c r="E898" s="22" t="n"/>
      <c r="F898" s="22" t="n"/>
      <c r="G898" s="22" t="n"/>
      <c r="H898" s="22" t="n"/>
      <c r="I898" s="22" t="n"/>
      <c r="J898" s="22" t="n"/>
      <c r="K898" s="22" t="n"/>
    </row>
    <row r="899">
      <c r="A899" s="324" t="n"/>
      <c r="B899" s="22" t="n"/>
      <c r="C899" s="22" t="n"/>
      <c r="D899" s="22" t="n"/>
      <c r="E899" s="22" t="n"/>
      <c r="F899" s="22" t="n"/>
      <c r="G899" s="22" t="n"/>
      <c r="H899" s="22" t="n"/>
      <c r="I899" s="22" t="n"/>
      <c r="J899" s="22" t="n"/>
      <c r="K899" s="22" t="n"/>
    </row>
    <row r="900">
      <c r="A900" s="324" t="n"/>
      <c r="B900" s="22" t="n"/>
      <c r="C900" s="22" t="n"/>
      <c r="D900" s="22" t="n"/>
      <c r="E900" s="22" t="n"/>
      <c r="F900" s="22" t="n"/>
      <c r="G900" s="22" t="n"/>
      <c r="H900" s="22" t="n"/>
      <c r="I900" s="22" t="n"/>
      <c r="J900" s="22" t="n"/>
      <c r="K900" s="22" t="n"/>
    </row>
    <row r="901">
      <c r="A901" s="324" t="n"/>
      <c r="B901" s="22" t="n"/>
      <c r="C901" s="22" t="n"/>
      <c r="D901" s="22" t="n"/>
      <c r="E901" s="22" t="n"/>
      <c r="F901" s="22" t="n"/>
      <c r="G901" s="22" t="n"/>
      <c r="H901" s="22" t="n"/>
      <c r="I901" s="22" t="n"/>
      <c r="J901" s="22" t="n"/>
      <c r="K901" s="22" t="n"/>
    </row>
    <row r="902">
      <c r="A902" s="324" t="n"/>
      <c r="B902" s="22" t="n"/>
      <c r="C902" s="22" t="n"/>
      <c r="D902" s="22" t="n"/>
      <c r="E902" s="22" t="n"/>
      <c r="F902" s="22" t="n"/>
      <c r="G902" s="22" t="n"/>
      <c r="H902" s="22" t="n"/>
      <c r="I902" s="22" t="n"/>
      <c r="J902" s="22" t="n"/>
      <c r="K902" s="22" t="n"/>
    </row>
    <row r="903">
      <c r="A903" s="324" t="n"/>
      <c r="B903" s="22" t="n"/>
      <c r="C903" s="22" t="n"/>
      <c r="D903" s="22" t="n"/>
      <c r="E903" s="22" t="n"/>
      <c r="F903" s="22" t="n"/>
      <c r="G903" s="22" t="n"/>
      <c r="H903" s="22" t="n"/>
      <c r="I903" s="22" t="n"/>
      <c r="J903" s="22" t="n"/>
      <c r="K903" s="22" t="n"/>
    </row>
    <row r="904">
      <c r="A904" s="324" t="n"/>
      <c r="B904" s="22" t="n"/>
      <c r="C904" s="22" t="n"/>
      <c r="D904" s="22" t="n"/>
      <c r="E904" s="22" t="n"/>
      <c r="F904" s="22" t="n"/>
      <c r="G904" s="22" t="n"/>
      <c r="H904" s="22" t="n"/>
      <c r="I904" s="22" t="n"/>
      <c r="J904" s="22" t="n"/>
      <c r="K904" s="22" t="n"/>
    </row>
    <row r="905">
      <c r="A905" s="324" t="n"/>
      <c r="B905" s="22" t="n"/>
      <c r="C905" s="22" t="n"/>
      <c r="D905" s="22" t="n"/>
      <c r="E905" s="22" t="n"/>
      <c r="F905" s="22" t="n"/>
      <c r="G905" s="22" t="n"/>
      <c r="H905" s="22" t="n"/>
      <c r="I905" s="22" t="n"/>
      <c r="J905" s="22" t="n"/>
      <c r="K905" s="22" t="n"/>
    </row>
    <row r="906">
      <c r="A906" s="324" t="n"/>
      <c r="B906" s="22" t="n"/>
      <c r="C906" s="22" t="n"/>
      <c r="D906" s="22" t="n"/>
      <c r="E906" s="22" t="n"/>
      <c r="F906" s="22" t="n"/>
      <c r="G906" s="22" t="n"/>
      <c r="H906" s="22" t="n"/>
      <c r="I906" s="22" t="n"/>
      <c r="J906" s="22" t="n"/>
      <c r="K906" s="22" t="n"/>
    </row>
    <row r="907">
      <c r="A907" s="324" t="n"/>
      <c r="B907" s="22" t="n"/>
      <c r="C907" s="22" t="n"/>
      <c r="D907" s="22" t="n"/>
      <c r="E907" s="22" t="n"/>
      <c r="F907" s="22" t="n"/>
      <c r="G907" s="22" t="n"/>
      <c r="H907" s="22" t="n"/>
      <c r="I907" s="22" t="n"/>
      <c r="J907" s="22" t="n"/>
      <c r="K907" s="22" t="n"/>
    </row>
    <row r="908">
      <c r="A908" s="324" t="n"/>
      <c r="B908" s="22" t="n"/>
      <c r="C908" s="22" t="n"/>
      <c r="D908" s="22" t="n"/>
      <c r="E908" s="22" t="n"/>
      <c r="F908" s="22" t="n"/>
      <c r="G908" s="22" t="n"/>
      <c r="H908" s="22" t="n"/>
      <c r="I908" s="22" t="n"/>
      <c r="J908" s="22" t="n"/>
      <c r="K908" s="22" t="n"/>
    </row>
    <row r="909">
      <c r="A909" s="324" t="n"/>
      <c r="B909" s="22" t="n"/>
      <c r="C909" s="22" t="n"/>
      <c r="D909" s="22" t="n"/>
      <c r="E909" s="22" t="n"/>
      <c r="F909" s="22" t="n"/>
      <c r="G909" s="22" t="n"/>
      <c r="H909" s="22" t="n"/>
      <c r="I909" s="22" t="n"/>
      <c r="J909" s="22" t="n"/>
      <c r="K909" s="22" t="n"/>
    </row>
    <row r="910">
      <c r="A910" s="324" t="n"/>
      <c r="B910" s="22" t="n"/>
      <c r="C910" s="22" t="n"/>
      <c r="D910" s="22" t="n"/>
      <c r="E910" s="22" t="n"/>
      <c r="F910" s="22" t="n"/>
      <c r="G910" s="22" t="n"/>
      <c r="H910" s="22" t="n"/>
      <c r="I910" s="22" t="n"/>
      <c r="J910" s="22" t="n"/>
      <c r="K910" s="22" t="n"/>
    </row>
    <row r="911">
      <c r="A911" s="324" t="n"/>
      <c r="B911" s="22" t="n"/>
      <c r="C911" s="22" t="n"/>
      <c r="D911" s="22" t="n"/>
      <c r="E911" s="22" t="n"/>
      <c r="F911" s="22" t="n"/>
      <c r="G911" s="22" t="n"/>
      <c r="H911" s="22" t="n"/>
      <c r="I911" s="22" t="n"/>
      <c r="J911" s="22" t="n"/>
      <c r="K911" s="22" t="n"/>
    </row>
    <row r="912">
      <c r="A912" s="324" t="n"/>
      <c r="B912" s="22" t="n"/>
      <c r="C912" s="22" t="n"/>
      <c r="D912" s="22" t="n"/>
      <c r="E912" s="22" t="n"/>
      <c r="F912" s="22" t="n"/>
      <c r="G912" s="22" t="n"/>
      <c r="H912" s="22" t="n"/>
      <c r="I912" s="22" t="n"/>
      <c r="J912" s="22" t="n"/>
      <c r="K912" s="22" t="n"/>
    </row>
    <row r="913">
      <c r="A913" s="324" t="n"/>
      <c r="B913" s="22" t="n"/>
      <c r="C913" s="22" t="n"/>
      <c r="D913" s="22" t="n"/>
      <c r="E913" s="22" t="n"/>
      <c r="F913" s="22" t="n"/>
      <c r="G913" s="22" t="n"/>
      <c r="H913" s="22" t="n"/>
      <c r="I913" s="22" t="n"/>
      <c r="J913" s="22" t="n"/>
      <c r="K913" s="22" t="n"/>
    </row>
    <row r="914">
      <c r="A914" s="324" t="n"/>
      <c r="B914" s="22" t="n"/>
      <c r="C914" s="22" t="n"/>
      <c r="D914" s="22" t="n"/>
      <c r="E914" s="22" t="n"/>
      <c r="F914" s="22" t="n"/>
      <c r="G914" s="22" t="n"/>
      <c r="H914" s="22" t="n"/>
      <c r="I914" s="22" t="n"/>
      <c r="J914" s="22" t="n"/>
      <c r="K914" s="22" t="n"/>
    </row>
    <row r="915">
      <c r="A915" s="324" t="n"/>
      <c r="B915" s="22" t="n"/>
      <c r="C915" s="22" t="n"/>
      <c r="D915" s="22" t="n"/>
      <c r="E915" s="22" t="n"/>
      <c r="F915" s="22" t="n"/>
      <c r="G915" s="22" t="n"/>
      <c r="H915" s="22" t="n"/>
      <c r="I915" s="22" t="n"/>
      <c r="J915" s="22" t="n"/>
      <c r="K915" s="22" t="n"/>
    </row>
    <row r="916">
      <c r="A916" s="324" t="n"/>
      <c r="B916" s="22" t="n"/>
      <c r="C916" s="22" t="n"/>
      <c r="D916" s="22" t="n"/>
      <c r="E916" s="22" t="n"/>
      <c r="F916" s="22" t="n"/>
      <c r="G916" s="22" t="n"/>
      <c r="H916" s="22" t="n"/>
      <c r="I916" s="22" t="n"/>
      <c r="J916" s="22" t="n"/>
      <c r="K916" s="22" t="n"/>
    </row>
    <row r="917">
      <c r="A917" s="324" t="n"/>
      <c r="B917" s="22" t="n"/>
      <c r="C917" s="22" t="n"/>
      <c r="D917" s="22" t="n"/>
      <c r="E917" s="22" t="n"/>
      <c r="F917" s="22" t="n"/>
      <c r="G917" s="22" t="n"/>
      <c r="H917" s="22" t="n"/>
      <c r="I917" s="22" t="n"/>
      <c r="J917" s="22" t="n"/>
      <c r="K917" s="22" t="n"/>
    </row>
    <row r="918">
      <c r="A918" s="324" t="n"/>
      <c r="B918" s="22" t="n"/>
      <c r="C918" s="22" t="n"/>
      <c r="D918" s="22" t="n"/>
      <c r="E918" s="22" t="n"/>
      <c r="F918" s="22" t="n"/>
      <c r="G918" s="22" t="n"/>
      <c r="H918" s="22" t="n"/>
      <c r="I918" s="22" t="n"/>
      <c r="J918" s="22" t="n"/>
      <c r="K918" s="22" t="n"/>
    </row>
    <row r="919">
      <c r="A919" s="324" t="n"/>
      <c r="B919" s="22" t="n"/>
      <c r="C919" s="22" t="n"/>
      <c r="D919" s="22" t="n"/>
      <c r="E919" s="22" t="n"/>
      <c r="F919" s="22" t="n"/>
      <c r="G919" s="22" t="n"/>
      <c r="H919" s="22" t="n"/>
      <c r="I919" s="22" t="n"/>
      <c r="J919" s="22" t="n"/>
      <c r="K919" s="22" t="n"/>
    </row>
    <row r="920">
      <c r="A920" s="324" t="n"/>
      <c r="B920" s="22" t="n"/>
      <c r="C920" s="22" t="n"/>
      <c r="D920" s="22" t="n"/>
      <c r="E920" s="22" t="n"/>
      <c r="F920" s="22" t="n"/>
      <c r="G920" s="22" t="n"/>
      <c r="H920" s="22" t="n"/>
      <c r="I920" s="22" t="n"/>
      <c r="J920" s="22" t="n"/>
      <c r="K920" s="22" t="n"/>
    </row>
    <row r="921">
      <c r="A921" s="324" t="n"/>
      <c r="B921" s="22" t="n"/>
      <c r="C921" s="22" t="n"/>
      <c r="D921" s="22" t="n"/>
      <c r="E921" s="22" t="n"/>
      <c r="F921" s="22" t="n"/>
      <c r="G921" s="22" t="n"/>
      <c r="H921" s="22" t="n"/>
      <c r="I921" s="22" t="n"/>
      <c r="J921" s="22" t="n"/>
      <c r="K921" s="22" t="n"/>
    </row>
    <row r="922">
      <c r="A922" s="324" t="n"/>
      <c r="B922" s="22" t="n"/>
      <c r="C922" s="22" t="n"/>
      <c r="D922" s="22" t="n"/>
      <c r="E922" s="22" t="n"/>
      <c r="F922" s="22" t="n"/>
      <c r="G922" s="22" t="n"/>
      <c r="H922" s="22" t="n"/>
      <c r="I922" s="22" t="n"/>
      <c r="J922" s="22" t="n"/>
      <c r="K922" s="22" t="n"/>
    </row>
    <row r="923">
      <c r="A923" s="324" t="n"/>
      <c r="B923" s="22" t="n"/>
      <c r="C923" s="22" t="n"/>
      <c r="D923" s="22" t="n"/>
      <c r="E923" s="22" t="n"/>
      <c r="F923" s="22" t="n"/>
      <c r="G923" s="22" t="n"/>
      <c r="H923" s="22" t="n"/>
      <c r="I923" s="22" t="n"/>
      <c r="J923" s="22" t="n"/>
      <c r="K923" s="22" t="n"/>
    </row>
    <row r="924">
      <c r="A924" s="324" t="n"/>
      <c r="B924" s="22" t="n"/>
      <c r="C924" s="22" t="n"/>
      <c r="D924" s="22" t="n"/>
      <c r="E924" s="22" t="n"/>
      <c r="F924" s="22" t="n"/>
      <c r="G924" s="22" t="n"/>
      <c r="H924" s="22" t="n"/>
      <c r="I924" s="22" t="n"/>
      <c r="J924" s="22" t="n"/>
      <c r="K924" s="22" t="n"/>
    </row>
    <row r="925">
      <c r="A925" s="324" t="n"/>
      <c r="B925" s="22" t="n"/>
      <c r="C925" s="22" t="n"/>
      <c r="D925" s="22" t="n"/>
      <c r="E925" s="22" t="n"/>
      <c r="F925" s="22" t="n"/>
      <c r="G925" s="22" t="n"/>
      <c r="H925" s="22" t="n"/>
      <c r="I925" s="22" t="n"/>
      <c r="J925" s="22" t="n"/>
      <c r="K925" s="22" t="n"/>
    </row>
    <row r="926">
      <c r="A926" s="324" t="n"/>
      <c r="B926" s="22" t="n"/>
      <c r="C926" s="22" t="n"/>
      <c r="D926" s="22" t="n"/>
      <c r="E926" s="22" t="n"/>
      <c r="F926" s="22" t="n"/>
      <c r="G926" s="22" t="n"/>
      <c r="H926" s="22" t="n"/>
      <c r="I926" s="22" t="n"/>
      <c r="J926" s="22" t="n"/>
      <c r="K926" s="22" t="n"/>
    </row>
    <row r="927">
      <c r="A927" s="324" t="n"/>
      <c r="B927" s="22" t="n"/>
      <c r="C927" s="22" t="n"/>
      <c r="D927" s="22" t="n"/>
      <c r="E927" s="22" t="n"/>
      <c r="F927" s="22" t="n"/>
      <c r="G927" s="22" t="n"/>
      <c r="H927" s="22" t="n"/>
      <c r="I927" s="22" t="n"/>
      <c r="J927" s="22" t="n"/>
      <c r="K927" s="22" t="n"/>
    </row>
    <row r="928">
      <c r="A928" s="324" t="n"/>
      <c r="B928" s="22" t="n"/>
      <c r="C928" s="22" t="n"/>
      <c r="D928" s="22" t="n"/>
      <c r="E928" s="22" t="n"/>
      <c r="F928" s="22" t="n"/>
      <c r="G928" s="22" t="n"/>
      <c r="H928" s="22" t="n"/>
      <c r="I928" s="22" t="n"/>
      <c r="J928" s="22" t="n"/>
      <c r="K928" s="22" t="n"/>
    </row>
    <row r="929">
      <c r="A929" s="324" t="n"/>
      <c r="B929" s="22" t="n"/>
      <c r="C929" s="22" t="n"/>
      <c r="D929" s="22" t="n"/>
      <c r="E929" s="22" t="n"/>
      <c r="F929" s="22" t="n"/>
      <c r="G929" s="22" t="n"/>
      <c r="H929" s="22" t="n"/>
      <c r="I929" s="22" t="n"/>
      <c r="J929" s="22" t="n"/>
      <c r="K929" s="22" t="n"/>
    </row>
    <row r="930">
      <c r="A930" s="324" t="n"/>
      <c r="B930" s="22" t="n"/>
      <c r="C930" s="22" t="n"/>
      <c r="D930" s="22" t="n"/>
      <c r="E930" s="22" t="n"/>
      <c r="F930" s="22" t="n"/>
      <c r="G930" s="22" t="n"/>
      <c r="H930" s="22" t="n"/>
      <c r="I930" s="22" t="n"/>
      <c r="J930" s="22" t="n"/>
      <c r="K930" s="22" t="n"/>
    </row>
    <row r="931">
      <c r="A931" s="324" t="n"/>
      <c r="B931" s="22" t="n"/>
      <c r="C931" s="22" t="n"/>
      <c r="D931" s="22" t="n"/>
      <c r="E931" s="22" t="n"/>
      <c r="F931" s="22" t="n"/>
      <c r="G931" s="22" t="n"/>
      <c r="H931" s="22" t="n"/>
      <c r="I931" s="22" t="n"/>
      <c r="J931" s="22" t="n"/>
      <c r="K931" s="22" t="n"/>
    </row>
    <row r="932">
      <c r="A932" s="324" t="n"/>
      <c r="B932" s="22" t="n"/>
      <c r="C932" s="22" t="n"/>
      <c r="D932" s="22" t="n"/>
      <c r="E932" s="22" t="n"/>
      <c r="F932" s="22" t="n"/>
      <c r="G932" s="22" t="n"/>
      <c r="H932" s="22" t="n"/>
      <c r="I932" s="22" t="n"/>
      <c r="J932" s="22" t="n"/>
      <c r="K932" s="22" t="n"/>
    </row>
    <row r="933">
      <c r="A933" s="324" t="n"/>
      <c r="B933" s="22" t="n"/>
      <c r="C933" s="22" t="n"/>
      <c r="D933" s="22" t="n"/>
      <c r="E933" s="22" t="n"/>
      <c r="F933" s="22" t="n"/>
      <c r="G933" s="22" t="n"/>
      <c r="H933" s="22" t="n"/>
      <c r="I933" s="22" t="n"/>
      <c r="J933" s="22" t="n"/>
      <c r="K933" s="22" t="n"/>
    </row>
    <row r="934">
      <c r="A934" s="324" t="n"/>
      <c r="B934" s="22" t="n"/>
      <c r="C934" s="22" t="n"/>
      <c r="D934" s="22" t="n"/>
      <c r="E934" s="22" t="n"/>
      <c r="F934" s="22" t="n"/>
      <c r="G934" s="22" t="n"/>
      <c r="H934" s="22" t="n"/>
      <c r="I934" s="22" t="n"/>
      <c r="J934" s="22" t="n"/>
      <c r="K934" s="22" t="n"/>
    </row>
    <row r="935">
      <c r="A935" s="324" t="n"/>
      <c r="B935" s="22" t="n"/>
      <c r="C935" s="22" t="n"/>
      <c r="D935" s="22" t="n"/>
      <c r="E935" s="22" t="n"/>
      <c r="F935" s="22" t="n"/>
      <c r="G935" s="22" t="n"/>
      <c r="H935" s="22" t="n"/>
      <c r="I935" s="22" t="n"/>
      <c r="J935" s="22" t="n"/>
      <c r="K935" s="22" t="n"/>
    </row>
    <row r="936">
      <c r="A936" s="324" t="n"/>
      <c r="B936" s="22" t="n"/>
      <c r="C936" s="22" t="n"/>
      <c r="D936" s="22" t="n"/>
      <c r="E936" s="22" t="n"/>
      <c r="F936" s="22" t="n"/>
      <c r="G936" s="22" t="n"/>
      <c r="H936" s="22" t="n"/>
      <c r="I936" s="22" t="n"/>
      <c r="J936" s="22" t="n"/>
      <c r="K936" s="22" t="n"/>
    </row>
    <row r="937">
      <c r="A937" s="324" t="n"/>
      <c r="B937" s="22" t="n"/>
      <c r="C937" s="22" t="n"/>
      <c r="D937" s="22" t="n"/>
      <c r="E937" s="22" t="n"/>
      <c r="F937" s="22" t="n"/>
      <c r="G937" s="22" t="n"/>
      <c r="H937" s="22" t="n"/>
      <c r="I937" s="22" t="n"/>
      <c r="J937" s="22" t="n"/>
      <c r="K937" s="22" t="n"/>
    </row>
    <row r="938">
      <c r="A938" s="324" t="n"/>
      <c r="B938" s="22" t="n"/>
      <c r="C938" s="22" t="n"/>
      <c r="D938" s="22" t="n"/>
      <c r="E938" s="22" t="n"/>
      <c r="F938" s="22" t="n"/>
      <c r="G938" s="22" t="n"/>
      <c r="H938" s="22" t="n"/>
      <c r="I938" s="22" t="n"/>
      <c r="J938" s="22" t="n"/>
      <c r="K938" s="22" t="n"/>
    </row>
    <row r="939">
      <c r="A939" s="324" t="n"/>
      <c r="B939" s="22" t="n"/>
      <c r="C939" s="22" t="n"/>
      <c r="D939" s="22" t="n"/>
      <c r="E939" s="22" t="n"/>
      <c r="F939" s="22" t="n"/>
      <c r="G939" s="22" t="n"/>
      <c r="H939" s="22" t="n"/>
      <c r="I939" s="22" t="n"/>
      <c r="J939" s="22" t="n"/>
      <c r="K939" s="22" t="n"/>
    </row>
    <row r="940">
      <c r="A940" s="324" t="n"/>
      <c r="B940" s="22" t="n"/>
      <c r="C940" s="22" t="n"/>
      <c r="D940" s="22" t="n"/>
      <c r="E940" s="22" t="n"/>
      <c r="F940" s="22" t="n"/>
      <c r="G940" s="22" t="n"/>
      <c r="H940" s="22" t="n"/>
      <c r="I940" s="22" t="n"/>
      <c r="J940" s="22" t="n"/>
      <c r="K940" s="22" t="n"/>
    </row>
    <row r="941">
      <c r="A941" s="324" t="n"/>
      <c r="B941" s="22" t="n"/>
      <c r="C941" s="22" t="n"/>
      <c r="D941" s="22" t="n"/>
      <c r="E941" s="22" t="n"/>
      <c r="F941" s="22" t="n"/>
      <c r="G941" s="22" t="n"/>
      <c r="H941" s="22" t="n"/>
      <c r="I941" s="22" t="n"/>
      <c r="J941" s="22" t="n"/>
      <c r="K941" s="22" t="n"/>
    </row>
    <row r="942">
      <c r="A942" s="324" t="n"/>
      <c r="B942" s="22" t="n"/>
      <c r="C942" s="22" t="n"/>
      <c r="D942" s="22" t="n"/>
      <c r="E942" s="22" t="n"/>
      <c r="F942" s="22" t="n"/>
      <c r="G942" s="22" t="n"/>
      <c r="H942" s="22" t="n"/>
      <c r="I942" s="22" t="n"/>
      <c r="J942" s="22" t="n"/>
      <c r="K942" s="22" t="n"/>
    </row>
    <row r="943">
      <c r="A943" s="324" t="n"/>
      <c r="B943" s="22" t="n"/>
      <c r="C943" s="22" t="n"/>
      <c r="D943" s="22" t="n"/>
      <c r="E943" s="22" t="n"/>
      <c r="F943" s="22" t="n"/>
      <c r="G943" s="22" t="n"/>
      <c r="H943" s="22" t="n"/>
      <c r="I943" s="22" t="n"/>
      <c r="J943" s="22" t="n"/>
      <c r="K943" s="22" t="n"/>
    </row>
    <row r="944">
      <c r="A944" s="324" t="n"/>
      <c r="B944" s="22" t="n"/>
      <c r="C944" s="22" t="n"/>
      <c r="D944" s="22" t="n"/>
      <c r="E944" s="22" t="n"/>
      <c r="F944" s="22" t="n"/>
      <c r="G944" s="22" t="n"/>
      <c r="H944" s="22" t="n"/>
      <c r="I944" s="22" t="n"/>
      <c r="J944" s="22" t="n"/>
      <c r="K944" s="22" t="n"/>
    </row>
    <row r="945">
      <c r="A945" s="324" t="n"/>
      <c r="B945" s="22" t="n"/>
      <c r="C945" s="22" t="n"/>
      <c r="D945" s="22" t="n"/>
      <c r="E945" s="22" t="n"/>
      <c r="F945" s="22" t="n"/>
      <c r="G945" s="22" t="n"/>
      <c r="H945" s="22" t="n"/>
      <c r="I945" s="22" t="n"/>
      <c r="J945" s="22" t="n"/>
      <c r="K945" s="22" t="n"/>
    </row>
    <row r="946">
      <c r="A946" s="324" t="n"/>
      <c r="B946" s="22" t="n"/>
      <c r="C946" s="22" t="n"/>
      <c r="D946" s="22" t="n"/>
      <c r="E946" s="22" t="n"/>
      <c r="F946" s="22" t="n"/>
      <c r="G946" s="22" t="n"/>
      <c r="H946" s="22" t="n"/>
      <c r="I946" s="22" t="n"/>
      <c r="J946" s="22" t="n"/>
      <c r="K946" s="22" t="n"/>
    </row>
    <row r="947">
      <c r="A947" s="324" t="n"/>
      <c r="B947" s="22" t="n"/>
      <c r="C947" s="22" t="n"/>
      <c r="D947" s="22" t="n"/>
      <c r="E947" s="22" t="n"/>
      <c r="F947" s="22" t="n"/>
      <c r="G947" s="22" t="n"/>
      <c r="H947" s="22" t="n"/>
      <c r="I947" s="22" t="n"/>
      <c r="J947" s="22" t="n"/>
      <c r="K947" s="22" t="n"/>
    </row>
    <row r="948">
      <c r="A948" s="324" t="n"/>
      <c r="B948" s="22" t="n"/>
      <c r="C948" s="22" t="n"/>
      <c r="D948" s="22" t="n"/>
      <c r="E948" s="22" t="n"/>
      <c r="F948" s="22" t="n"/>
      <c r="G948" s="22" t="n"/>
      <c r="H948" s="22" t="n"/>
      <c r="I948" s="22" t="n"/>
      <c r="J948" s="22" t="n"/>
      <c r="K948" s="22" t="n"/>
    </row>
    <row r="949">
      <c r="A949" s="324" t="n"/>
      <c r="B949" s="22" t="n"/>
      <c r="C949" s="22" t="n"/>
      <c r="D949" s="22" t="n"/>
      <c r="E949" s="22" t="n"/>
      <c r="F949" s="22" t="n"/>
      <c r="G949" s="22" t="n"/>
      <c r="H949" s="22" t="n"/>
      <c r="I949" s="22" t="n"/>
      <c r="J949" s="22" t="n"/>
      <c r="K949" s="22" t="n"/>
    </row>
    <row r="950">
      <c r="A950" s="324" t="n"/>
      <c r="B950" s="22" t="n"/>
      <c r="C950" s="22" t="n"/>
      <c r="D950" s="22" t="n"/>
      <c r="E950" s="22" t="n"/>
      <c r="F950" s="22" t="n"/>
      <c r="G950" s="22" t="n"/>
      <c r="H950" s="22" t="n"/>
      <c r="I950" s="22" t="n"/>
      <c r="J950" s="22" t="n"/>
      <c r="K950" s="22" t="n"/>
    </row>
    <row r="951">
      <c r="A951" s="324" t="n"/>
      <c r="B951" s="22" t="n"/>
      <c r="C951" s="22" t="n"/>
      <c r="D951" s="22" t="n"/>
      <c r="E951" s="22" t="n"/>
      <c r="F951" s="22" t="n"/>
      <c r="G951" s="22" t="n"/>
      <c r="H951" s="22" t="n"/>
      <c r="I951" s="22" t="n"/>
      <c r="J951" s="22" t="n"/>
      <c r="K951" s="22" t="n"/>
    </row>
    <row r="952">
      <c r="A952" s="324" t="n"/>
      <c r="B952" s="22" t="n"/>
      <c r="C952" s="22" t="n"/>
      <c r="D952" s="22" t="n"/>
      <c r="E952" s="22" t="n"/>
      <c r="F952" s="22" t="n"/>
      <c r="G952" s="22" t="n"/>
      <c r="H952" s="22" t="n"/>
      <c r="I952" s="22" t="n"/>
      <c r="J952" s="22" t="n"/>
      <c r="K952" s="22" t="n"/>
    </row>
    <row r="953">
      <c r="A953" s="324" t="n"/>
      <c r="B953" s="22" t="n"/>
      <c r="C953" s="22" t="n"/>
      <c r="D953" s="22" t="n"/>
      <c r="E953" s="22" t="n"/>
      <c r="F953" s="22" t="n"/>
      <c r="G953" s="22" t="n"/>
      <c r="H953" s="22" t="n"/>
      <c r="I953" s="22" t="n"/>
      <c r="J953" s="22" t="n"/>
      <c r="K953" s="22" t="n"/>
    </row>
    <row r="954">
      <c r="A954" s="324" t="n"/>
      <c r="B954" s="22" t="n"/>
      <c r="C954" s="22" t="n"/>
      <c r="D954" s="22" t="n"/>
      <c r="E954" s="22" t="n"/>
      <c r="F954" s="22" t="n"/>
      <c r="G954" s="22" t="n"/>
      <c r="H954" s="22" t="n"/>
      <c r="I954" s="22" t="n"/>
      <c r="J954" s="22" t="n"/>
      <c r="K954" s="22" t="n"/>
    </row>
    <row r="955">
      <c r="A955" s="324" t="n"/>
      <c r="B955" s="22" t="n"/>
      <c r="C955" s="22" t="n"/>
      <c r="D955" s="22" t="n"/>
      <c r="E955" s="22" t="n"/>
      <c r="F955" s="22" t="n"/>
      <c r="G955" s="22" t="n"/>
      <c r="H955" s="22" t="n"/>
      <c r="I955" s="22" t="n"/>
      <c r="J955" s="22" t="n"/>
      <c r="K955" s="22" t="n"/>
    </row>
    <row r="956">
      <c r="A956" s="324" t="n"/>
      <c r="B956" s="22" t="n"/>
      <c r="C956" s="22" t="n"/>
      <c r="D956" s="22" t="n"/>
      <c r="E956" s="22" t="n"/>
      <c r="F956" s="22" t="n"/>
      <c r="G956" s="22" t="n"/>
      <c r="H956" s="22" t="n"/>
      <c r="I956" s="22" t="n"/>
      <c r="J956" s="22" t="n"/>
      <c r="K956" s="22" t="n"/>
    </row>
    <row r="957">
      <c r="A957" s="324" t="n"/>
      <c r="B957" s="22" t="n"/>
      <c r="C957" s="22" t="n"/>
      <c r="D957" s="22" t="n"/>
      <c r="E957" s="22" t="n"/>
      <c r="F957" s="22" t="n"/>
      <c r="G957" s="22" t="n"/>
      <c r="H957" s="22" t="n"/>
      <c r="I957" s="22" t="n"/>
      <c r="J957" s="22" t="n"/>
      <c r="K957" s="22" t="n"/>
    </row>
    <row r="958">
      <c r="A958" s="324" t="n"/>
      <c r="B958" s="22" t="n"/>
      <c r="C958" s="22" t="n"/>
      <c r="D958" s="22" t="n"/>
      <c r="E958" s="22" t="n"/>
      <c r="F958" s="22" t="n"/>
      <c r="G958" s="22" t="n"/>
      <c r="H958" s="22" t="n"/>
      <c r="I958" s="22" t="n"/>
      <c r="J958" s="22" t="n"/>
      <c r="K958" s="22" t="n"/>
    </row>
    <row r="959">
      <c r="A959" s="324" t="n"/>
      <c r="B959" s="22" t="n"/>
      <c r="C959" s="22" t="n"/>
      <c r="D959" s="22" t="n"/>
      <c r="E959" s="22" t="n"/>
      <c r="F959" s="22" t="n"/>
      <c r="G959" s="22" t="n"/>
      <c r="H959" s="22" t="n"/>
      <c r="I959" s="22" t="n"/>
      <c r="J959" s="22" t="n"/>
      <c r="K959" s="22" t="n"/>
    </row>
    <row r="960">
      <c r="A960" s="324" t="n"/>
      <c r="B960" s="22" t="n"/>
      <c r="C960" s="22" t="n"/>
      <c r="D960" s="22" t="n"/>
      <c r="E960" s="22" t="n"/>
      <c r="F960" s="22" t="n"/>
      <c r="G960" s="22" t="n"/>
      <c r="H960" s="22" t="n"/>
      <c r="I960" s="22" t="n"/>
      <c r="J960" s="22" t="n"/>
      <c r="K960" s="22" t="n"/>
    </row>
    <row r="961">
      <c r="A961" s="324" t="n"/>
      <c r="B961" s="22" t="n"/>
      <c r="C961" s="22" t="n"/>
      <c r="D961" s="22" t="n"/>
      <c r="E961" s="22" t="n"/>
      <c r="F961" s="22" t="n"/>
      <c r="G961" s="22" t="n"/>
      <c r="H961" s="22" t="n"/>
      <c r="I961" s="22" t="n"/>
      <c r="J961" s="22" t="n"/>
      <c r="K961" s="22" t="n"/>
    </row>
    <row r="962">
      <c r="A962" s="324" t="n"/>
      <c r="B962" s="22" t="n"/>
      <c r="C962" s="22" t="n"/>
      <c r="D962" s="22" t="n"/>
      <c r="E962" s="22" t="n"/>
      <c r="F962" s="22" t="n"/>
      <c r="G962" s="22" t="n"/>
      <c r="H962" s="22" t="n"/>
      <c r="I962" s="22" t="n"/>
      <c r="J962" s="22" t="n"/>
      <c r="K962" s="22" t="n"/>
    </row>
    <row r="963">
      <c r="A963" s="324" t="n"/>
      <c r="B963" s="22" t="n"/>
      <c r="C963" s="22" t="n"/>
      <c r="D963" s="22" t="n"/>
      <c r="E963" s="22" t="n"/>
      <c r="F963" s="22" t="n"/>
      <c r="G963" s="22" t="n"/>
      <c r="H963" s="22" t="n"/>
      <c r="I963" s="22" t="n"/>
      <c r="J963" s="22" t="n"/>
      <c r="K963" s="22" t="n"/>
    </row>
    <row r="964">
      <c r="A964" s="324" t="n"/>
      <c r="B964" s="22" t="n"/>
      <c r="C964" s="22" t="n"/>
      <c r="D964" s="22" t="n"/>
      <c r="E964" s="22" t="n"/>
      <c r="F964" s="22" t="n"/>
      <c r="G964" s="22" t="n"/>
      <c r="H964" s="22" t="n"/>
      <c r="I964" s="22" t="n"/>
      <c r="J964" s="22" t="n"/>
      <c r="K964" s="22" t="n"/>
    </row>
    <row r="965">
      <c r="A965" s="324" t="n"/>
      <c r="B965" s="22" t="n"/>
      <c r="C965" s="22" t="n"/>
      <c r="D965" s="22" t="n"/>
      <c r="E965" s="22" t="n"/>
      <c r="F965" s="22" t="n"/>
      <c r="G965" s="22" t="n"/>
      <c r="H965" s="22" t="n"/>
      <c r="I965" s="22" t="n"/>
      <c r="J965" s="22" t="n"/>
      <c r="K965" s="22" t="n"/>
    </row>
    <row r="966">
      <c r="A966" s="324" t="n"/>
      <c r="B966" s="22" t="n"/>
      <c r="C966" s="22" t="n"/>
      <c r="D966" s="22" t="n"/>
      <c r="E966" s="22" t="n"/>
      <c r="F966" s="22" t="n"/>
      <c r="G966" s="22" t="n"/>
      <c r="H966" s="22" t="n"/>
      <c r="I966" s="22" t="n"/>
      <c r="J966" s="22" t="n"/>
      <c r="K966" s="22" t="n"/>
    </row>
    <row r="967">
      <c r="A967" s="324" t="n"/>
      <c r="B967" s="22" t="n"/>
      <c r="C967" s="22" t="n"/>
      <c r="D967" s="22" t="n"/>
      <c r="E967" s="22" t="n"/>
      <c r="F967" s="22" t="n"/>
      <c r="G967" s="22" t="n"/>
      <c r="H967" s="22" t="n"/>
      <c r="I967" s="22" t="n"/>
      <c r="J967" s="22" t="n"/>
      <c r="K967" s="22" t="n"/>
    </row>
    <row r="968">
      <c r="A968" s="324" t="n"/>
      <c r="B968" s="22" t="n"/>
      <c r="C968" s="22" t="n"/>
      <c r="D968" s="22" t="n"/>
      <c r="E968" s="22" t="n"/>
      <c r="F968" s="22" t="n"/>
      <c r="G968" s="22" t="n"/>
      <c r="H968" s="22" t="n"/>
      <c r="I968" s="22" t="n"/>
      <c r="J968" s="22" t="n"/>
      <c r="K968" s="22" t="n"/>
    </row>
    <row r="969">
      <c r="A969" s="324" t="n"/>
      <c r="B969" s="22" t="n"/>
      <c r="C969" s="22" t="n"/>
      <c r="D969" s="22" t="n"/>
      <c r="E969" s="22" t="n"/>
      <c r="F969" s="22" t="n"/>
      <c r="G969" s="22" t="n"/>
      <c r="H969" s="22" t="n"/>
      <c r="I969" s="22" t="n"/>
      <c r="J969" s="22" t="n"/>
      <c r="K969" s="22" t="n"/>
    </row>
    <row r="970">
      <c r="A970" s="324" t="n"/>
      <c r="B970" s="22" t="n"/>
      <c r="C970" s="22" t="n"/>
      <c r="D970" s="22" t="n"/>
      <c r="E970" s="22" t="n"/>
      <c r="F970" s="22" t="n"/>
      <c r="G970" s="22" t="n"/>
      <c r="H970" s="22" t="n"/>
      <c r="I970" s="22" t="n"/>
      <c r="J970" s="22" t="n"/>
      <c r="K970" s="22" t="n"/>
    </row>
    <row r="971">
      <c r="A971" s="324" t="n"/>
      <c r="B971" s="22" t="n"/>
      <c r="C971" s="22" t="n"/>
      <c r="D971" s="22" t="n"/>
      <c r="E971" s="22" t="n"/>
      <c r="F971" s="22" t="n"/>
      <c r="G971" s="22" t="n"/>
      <c r="H971" s="22" t="n"/>
      <c r="I971" s="22" t="n"/>
      <c r="J971" s="22" t="n"/>
      <c r="K971" s="22" t="n"/>
    </row>
    <row r="972">
      <c r="A972" s="324" t="n"/>
      <c r="B972" s="22" t="n"/>
      <c r="C972" s="22" t="n"/>
      <c r="D972" s="22" t="n"/>
      <c r="E972" s="22" t="n"/>
      <c r="F972" s="22" t="n"/>
      <c r="G972" s="22" t="n"/>
      <c r="H972" s="22" t="n"/>
      <c r="I972" s="22" t="n"/>
      <c r="J972" s="22" t="n"/>
      <c r="K972" s="22" t="n"/>
    </row>
    <row r="973">
      <c r="A973" s="324" t="n"/>
      <c r="B973" s="22" t="n"/>
      <c r="C973" s="22" t="n"/>
      <c r="D973" s="22" t="n"/>
      <c r="E973" s="22" t="n"/>
      <c r="F973" s="22" t="n"/>
      <c r="G973" s="22" t="n"/>
      <c r="H973" s="22" t="n"/>
      <c r="I973" s="22" t="n"/>
      <c r="J973" s="22" t="n"/>
      <c r="K973" s="22" t="n"/>
    </row>
    <row r="974">
      <c r="A974" s="324" t="n"/>
      <c r="B974" s="22" t="n"/>
      <c r="C974" s="22" t="n"/>
      <c r="D974" s="22" t="n"/>
      <c r="E974" s="22" t="n"/>
      <c r="F974" s="22" t="n"/>
      <c r="G974" s="22" t="n"/>
      <c r="H974" s="22" t="n"/>
      <c r="I974" s="22" t="n"/>
      <c r="J974" s="22" t="n"/>
      <c r="K974" s="22" t="n"/>
    </row>
    <row r="975">
      <c r="A975" s="324" t="n"/>
      <c r="B975" s="22" t="n"/>
      <c r="C975" s="22" t="n"/>
      <c r="D975" s="22" t="n"/>
      <c r="E975" s="22" t="n"/>
      <c r="F975" s="22" t="n"/>
      <c r="G975" s="22" t="n"/>
      <c r="H975" s="22" t="n"/>
      <c r="I975" s="22" t="n"/>
      <c r="J975" s="22" t="n"/>
      <c r="K975" s="22" t="n"/>
    </row>
    <row r="976">
      <c r="A976" s="324" t="n"/>
      <c r="B976" s="22" t="n"/>
      <c r="C976" s="22" t="n"/>
      <c r="D976" s="22" t="n"/>
      <c r="E976" s="22" t="n"/>
      <c r="F976" s="22" t="n"/>
      <c r="G976" s="22" t="n"/>
      <c r="H976" s="22" t="n"/>
      <c r="I976" s="22" t="n"/>
      <c r="J976" s="22" t="n"/>
      <c r="K976" s="22" t="n"/>
    </row>
    <row r="977">
      <c r="A977" s="324" t="n"/>
      <c r="B977" s="22" t="n"/>
      <c r="C977" s="22" t="n"/>
      <c r="D977" s="22" t="n"/>
      <c r="E977" s="22" t="n"/>
      <c r="F977" s="22" t="n"/>
      <c r="G977" s="22" t="n"/>
      <c r="H977" s="22" t="n"/>
      <c r="I977" s="22" t="n"/>
      <c r="J977" s="22" t="n"/>
      <c r="K977" s="22" t="n"/>
    </row>
    <row r="978">
      <c r="A978" s="324" t="n"/>
      <c r="B978" s="22" t="n"/>
      <c r="C978" s="22" t="n"/>
      <c r="D978" s="22" t="n"/>
      <c r="E978" s="22" t="n"/>
      <c r="F978" s="22" t="n"/>
      <c r="G978" s="22" t="n"/>
      <c r="H978" s="22" t="n"/>
      <c r="I978" s="22" t="n"/>
      <c r="J978" s="22" t="n"/>
      <c r="K978" s="22" t="n"/>
    </row>
    <row r="979">
      <c r="A979" s="324" t="n"/>
      <c r="B979" s="22" t="n"/>
      <c r="C979" s="22" t="n"/>
      <c r="D979" s="22" t="n"/>
      <c r="E979" s="22" t="n"/>
      <c r="F979" s="22" t="n"/>
      <c r="G979" s="22" t="n"/>
      <c r="H979" s="22" t="n"/>
      <c r="I979" s="22" t="n"/>
      <c r="J979" s="22" t="n"/>
      <c r="K979" s="22" t="n"/>
    </row>
    <row r="980">
      <c r="A980" s="324" t="n"/>
      <c r="B980" s="22" t="n"/>
      <c r="C980" s="22" t="n"/>
      <c r="D980" s="22" t="n"/>
      <c r="E980" s="22" t="n"/>
      <c r="F980" s="22" t="n"/>
      <c r="G980" s="22" t="n"/>
      <c r="H980" s="22" t="n"/>
      <c r="I980" s="22" t="n"/>
      <c r="J980" s="22" t="n"/>
      <c r="K980" s="22" t="n"/>
    </row>
    <row r="981">
      <c r="A981" s="324" t="n"/>
      <c r="B981" s="22" t="n"/>
      <c r="C981" s="22" t="n"/>
      <c r="D981" s="22" t="n"/>
      <c r="E981" s="22" t="n"/>
      <c r="F981" s="22" t="n"/>
      <c r="G981" s="22" t="n"/>
      <c r="H981" s="22" t="n"/>
      <c r="I981" s="22" t="n"/>
      <c r="J981" s="22" t="n"/>
      <c r="K981" s="22" t="n"/>
    </row>
    <row r="982">
      <c r="A982" s="324" t="n"/>
      <c r="B982" s="22" t="n"/>
      <c r="C982" s="22" t="n"/>
      <c r="D982" s="22" t="n"/>
      <c r="E982" s="22" t="n"/>
      <c r="F982" s="22" t="n"/>
      <c r="G982" s="22" t="n"/>
      <c r="H982" s="22" t="n"/>
      <c r="I982" s="22" t="n"/>
      <c r="J982" s="22" t="n"/>
      <c r="K982" s="22" t="n"/>
    </row>
    <row r="983">
      <c r="A983" s="324" t="n"/>
      <c r="B983" s="22" t="n"/>
      <c r="C983" s="22" t="n"/>
      <c r="D983" s="22" t="n"/>
      <c r="E983" s="22" t="n"/>
      <c r="F983" s="22" t="n"/>
      <c r="G983" s="22" t="n"/>
      <c r="H983" s="22" t="n"/>
      <c r="I983" s="22" t="n"/>
      <c r="J983" s="22" t="n"/>
      <c r="K983" s="22" t="n"/>
    </row>
    <row r="984">
      <c r="A984" s="324" t="n"/>
      <c r="B984" s="22" t="n"/>
      <c r="C984" s="22" t="n"/>
      <c r="D984" s="22" t="n"/>
      <c r="E984" s="22" t="n"/>
      <c r="F984" s="22" t="n"/>
      <c r="G984" s="22" t="n"/>
      <c r="H984" s="22" t="n"/>
      <c r="I984" s="22" t="n"/>
      <c r="J984" s="22" t="n"/>
      <c r="K984" s="22" t="n"/>
    </row>
    <row r="985">
      <c r="A985" s="324" t="n"/>
      <c r="B985" s="22" t="n"/>
      <c r="C985" s="22" t="n"/>
      <c r="D985" s="22" t="n"/>
      <c r="E985" s="22" t="n"/>
      <c r="F985" s="22" t="n"/>
      <c r="G985" s="22" t="n"/>
      <c r="H985" s="22" t="n"/>
      <c r="I985" s="22" t="n"/>
      <c r="J985" s="22" t="n"/>
      <c r="K985" s="22" t="n"/>
    </row>
    <row r="986">
      <c r="A986" s="324" t="n"/>
      <c r="B986" s="22" t="n"/>
      <c r="C986" s="22" t="n"/>
      <c r="D986" s="22" t="n"/>
      <c r="E986" s="22" t="n"/>
      <c r="F986" s="22" t="n"/>
      <c r="G986" s="22" t="n"/>
      <c r="H986" s="22" t="n"/>
      <c r="I986" s="22" t="n"/>
      <c r="J986" s="22" t="n"/>
      <c r="K986" s="22" t="n"/>
    </row>
    <row r="987">
      <c r="A987" s="324" t="n"/>
      <c r="B987" s="22" t="n"/>
      <c r="C987" s="22" t="n"/>
      <c r="D987" s="22" t="n"/>
      <c r="E987" s="22" t="n"/>
      <c r="F987" s="22" t="n"/>
      <c r="G987" s="22" t="n"/>
      <c r="H987" s="22" t="n"/>
      <c r="I987" s="22" t="n"/>
      <c r="J987" s="22" t="n"/>
      <c r="K987" s="22" t="n"/>
    </row>
    <row r="988">
      <c r="A988" s="324" t="n"/>
      <c r="B988" s="22" t="n"/>
      <c r="C988" s="22" t="n"/>
      <c r="D988" s="22" t="n"/>
      <c r="E988" s="22" t="n"/>
      <c r="F988" s="22" t="n"/>
      <c r="G988" s="22" t="n"/>
      <c r="H988" s="22" t="n"/>
      <c r="I988" s="22" t="n"/>
      <c r="J988" s="22" t="n"/>
      <c r="K988" s="22" t="n"/>
    </row>
    <row r="989">
      <c r="A989" s="324" t="n"/>
      <c r="B989" s="22" t="n"/>
      <c r="C989" s="22" t="n"/>
      <c r="D989" s="22" t="n"/>
      <c r="E989" s="22" t="n"/>
      <c r="F989" s="22" t="n"/>
      <c r="G989" s="22" t="n"/>
      <c r="H989" s="22" t="n"/>
      <c r="I989" s="22" t="n"/>
      <c r="J989" s="22" t="n"/>
      <c r="K989" s="22" t="n"/>
    </row>
    <row r="990">
      <c r="A990" s="324" t="n"/>
      <c r="B990" s="22" t="n"/>
      <c r="C990" s="22" t="n"/>
      <c r="D990" s="22" t="n"/>
      <c r="E990" s="22" t="n"/>
      <c r="F990" s="22" t="n"/>
      <c r="G990" s="22" t="n"/>
      <c r="H990" s="22" t="n"/>
      <c r="I990" s="22" t="n"/>
      <c r="J990" s="22" t="n"/>
      <c r="K990" s="22" t="n"/>
    </row>
    <row r="991">
      <c r="A991" s="324" t="n"/>
      <c r="B991" s="22" t="n"/>
      <c r="C991" s="22" t="n"/>
      <c r="D991" s="22" t="n"/>
      <c r="E991" s="22" t="n"/>
      <c r="F991" s="22" t="n"/>
      <c r="G991" s="22" t="n"/>
      <c r="H991" s="22" t="n"/>
      <c r="I991" s="22" t="n"/>
      <c r="J991" s="22" t="n"/>
      <c r="K991" s="22" t="n"/>
    </row>
    <row r="992">
      <c r="A992" s="324" t="n"/>
      <c r="B992" s="22" t="n"/>
      <c r="C992" s="22" t="n"/>
      <c r="D992" s="22" t="n"/>
      <c r="E992" s="22" t="n"/>
      <c r="F992" s="22" t="n"/>
      <c r="G992" s="22" t="n"/>
      <c r="H992" s="22" t="n"/>
      <c r="I992" s="22" t="n"/>
      <c r="J992" s="22" t="n"/>
      <c r="K992" s="22" t="n"/>
    </row>
    <row r="993">
      <c r="A993" s="324" t="n"/>
      <c r="B993" s="22" t="n"/>
      <c r="C993" s="22" t="n"/>
      <c r="D993" s="22" t="n"/>
      <c r="E993" s="22" t="n"/>
      <c r="F993" s="22" t="n"/>
      <c r="G993" s="22" t="n"/>
      <c r="H993" s="22" t="n"/>
      <c r="I993" s="22" t="n"/>
      <c r="J993" s="22" t="n"/>
      <c r="K993" s="22" t="n"/>
    </row>
    <row r="994">
      <c r="A994" s="324" t="n"/>
      <c r="B994" s="22" t="n"/>
      <c r="C994" s="22" t="n"/>
      <c r="D994" s="22" t="n"/>
      <c r="E994" s="22" t="n"/>
      <c r="F994" s="22" t="n"/>
      <c r="G994" s="22" t="n"/>
      <c r="H994" s="22" t="n"/>
      <c r="I994" s="22" t="n"/>
      <c r="J994" s="22" t="n"/>
      <c r="K994" s="22" t="n"/>
    </row>
    <row r="995">
      <c r="A995" s="324" t="n"/>
      <c r="B995" s="22" t="n"/>
      <c r="C995" s="22" t="n"/>
      <c r="D995" s="22" t="n"/>
      <c r="E995" s="22" t="n"/>
      <c r="F995" s="22" t="n"/>
      <c r="G995" s="22" t="n"/>
      <c r="H995" s="22" t="n"/>
      <c r="I995" s="22" t="n"/>
      <c r="J995" s="22" t="n"/>
      <c r="K995" s="22" t="n"/>
    </row>
    <row r="996">
      <c r="A996" s="324" t="n"/>
      <c r="B996" s="22" t="n"/>
      <c r="C996" s="22" t="n"/>
      <c r="D996" s="22" t="n"/>
      <c r="E996" s="22" t="n"/>
      <c r="F996" s="22" t="n"/>
      <c r="G996" s="22" t="n"/>
      <c r="H996" s="22" t="n"/>
      <c r="I996" s="22" t="n"/>
      <c r="J996" s="22" t="n"/>
      <c r="K996" s="22" t="n"/>
    </row>
    <row r="997">
      <c r="A997" s="324" t="n"/>
      <c r="B997" s="22" t="n"/>
      <c r="C997" s="22" t="n"/>
      <c r="D997" s="22" t="n"/>
      <c r="E997" s="22" t="n"/>
      <c r="F997" s="22" t="n"/>
      <c r="G997" s="22" t="n"/>
      <c r="H997" s="22" t="n"/>
      <c r="I997" s="22" t="n"/>
      <c r="J997" s="22" t="n"/>
      <c r="K997" s="22" t="n"/>
    </row>
    <row r="998">
      <c r="A998" s="324" t="n"/>
      <c r="B998" s="22" t="n"/>
      <c r="C998" s="22" t="n"/>
      <c r="D998" s="22" t="n"/>
      <c r="E998" s="22" t="n"/>
      <c r="F998" s="22" t="n"/>
      <c r="G998" s="22" t="n"/>
      <c r="H998" s="22" t="n"/>
      <c r="I998" s="22" t="n"/>
      <c r="J998" s="22" t="n"/>
      <c r="K998" s="22" t="n"/>
    </row>
    <row r="999">
      <c r="A999" s="324" t="n"/>
      <c r="B999" s="22" t="n"/>
      <c r="C999" s="22" t="n"/>
      <c r="D999" s="22" t="n"/>
      <c r="E999" s="22" t="n"/>
      <c r="F999" s="22" t="n"/>
      <c r="G999" s="22" t="n"/>
      <c r="H999" s="22" t="n"/>
      <c r="I999" s="22" t="n"/>
      <c r="J999" s="22" t="n"/>
      <c r="K999" s="22" t="n"/>
    </row>
    <row r="1000">
      <c r="A1000" s="324" t="n"/>
      <c r="B1000" s="22" t="n"/>
      <c r="C1000" s="22" t="n"/>
      <c r="D1000" s="22" t="n"/>
      <c r="E1000" s="22" t="n"/>
      <c r="F1000" s="22" t="n"/>
      <c r="G1000" s="22" t="n"/>
      <c r="H1000" s="22" t="n"/>
      <c r="I1000" s="22" t="n"/>
      <c r="J1000" s="22" t="n"/>
      <c r="K1000" s="22" t="n"/>
    </row>
    <row r="1001">
      <c r="A1001" s="324" t="n"/>
      <c r="B1001" s="22" t="n"/>
      <c r="C1001" s="22" t="n"/>
      <c r="D1001" s="22" t="n"/>
      <c r="E1001" s="22" t="n"/>
      <c r="F1001" s="22" t="n"/>
      <c r="G1001" s="22" t="n"/>
      <c r="H1001" s="22" t="n"/>
      <c r="I1001" s="22" t="n"/>
      <c r="J1001" s="22" t="n"/>
      <c r="K1001" s="22" t="n"/>
    </row>
    <row r="1002">
      <c r="A1002" s="324" t="n"/>
      <c r="B1002" s="22" t="n"/>
      <c r="C1002" s="22" t="n"/>
      <c r="D1002" s="22" t="n"/>
      <c r="E1002" s="22" t="n"/>
      <c r="F1002" s="22" t="n"/>
      <c r="G1002" s="22" t="n"/>
      <c r="H1002" s="22" t="n"/>
      <c r="I1002" s="22" t="n"/>
      <c r="J1002" s="22" t="n"/>
      <c r="K1002" s="22" t="n"/>
    </row>
    <row r="1003">
      <c r="A1003" s="324" t="n"/>
      <c r="B1003" s="22" t="n"/>
      <c r="C1003" s="22" t="n"/>
      <c r="D1003" s="22" t="n"/>
      <c r="E1003" s="22" t="n"/>
      <c r="F1003" s="22" t="n"/>
      <c r="G1003" s="22" t="n"/>
      <c r="H1003" s="22" t="n"/>
      <c r="I1003" s="22" t="n"/>
      <c r="J1003" s="22" t="n"/>
      <c r="K1003" s="22" t="n"/>
    </row>
    <row r="1004">
      <c r="A1004" s="324" t="n"/>
      <c r="B1004" s="22" t="n"/>
      <c r="C1004" s="22" t="n"/>
      <c r="D1004" s="22" t="n"/>
      <c r="E1004" s="22" t="n"/>
      <c r="F1004" s="22" t="n"/>
      <c r="G1004" s="22" t="n"/>
      <c r="H1004" s="22" t="n"/>
      <c r="I1004" s="22" t="n"/>
      <c r="J1004" s="22" t="n"/>
      <c r="K1004" s="22" t="n"/>
    </row>
    <row r="1005">
      <c r="A1005" s="324" t="n"/>
      <c r="B1005" s="22" t="n"/>
      <c r="C1005" s="22" t="n"/>
      <c r="D1005" s="22" t="n"/>
      <c r="E1005" s="22" t="n"/>
      <c r="F1005" s="22" t="n"/>
      <c r="G1005" s="22" t="n"/>
      <c r="H1005" s="22" t="n"/>
      <c r="I1005" s="22" t="n"/>
      <c r="J1005" s="22" t="n"/>
      <c r="K1005" s="22" t="n"/>
    </row>
    <row r="1006">
      <c r="A1006" s="324" t="n"/>
      <c r="B1006" s="22" t="n"/>
      <c r="C1006" s="22" t="n"/>
      <c r="D1006" s="22" t="n"/>
      <c r="E1006" s="22" t="n"/>
      <c r="F1006" s="22" t="n"/>
      <c r="G1006" s="22" t="n"/>
      <c r="H1006" s="22" t="n"/>
      <c r="I1006" s="22" t="n"/>
      <c r="J1006" s="22" t="n"/>
      <c r="K1006" s="22" t="n"/>
    </row>
    <row r="1007">
      <c r="A1007" s="324" t="n"/>
      <c r="B1007" s="22" t="n"/>
      <c r="C1007" s="22" t="n"/>
      <c r="D1007" s="22" t="n"/>
      <c r="E1007" s="22" t="n"/>
      <c r="F1007" s="22" t="n"/>
      <c r="G1007" s="22" t="n"/>
      <c r="H1007" s="22" t="n"/>
      <c r="I1007" s="22" t="n"/>
      <c r="J1007" s="22" t="n"/>
      <c r="K1007" s="22" t="n"/>
    </row>
    <row r="1008">
      <c r="A1008" s="324" t="n"/>
      <c r="B1008" s="22" t="n"/>
      <c r="C1008" s="22" t="n"/>
      <c r="D1008" s="22" t="n"/>
      <c r="E1008" s="22" t="n"/>
      <c r="F1008" s="22" t="n"/>
      <c r="G1008" s="22" t="n"/>
      <c r="H1008" s="22" t="n"/>
      <c r="I1008" s="22" t="n"/>
      <c r="J1008" s="22" t="n"/>
      <c r="K1008" s="22" t="n"/>
    </row>
    <row r="1009">
      <c r="A1009" s="324" t="n"/>
      <c r="B1009" s="22" t="n"/>
      <c r="C1009" s="22" t="n"/>
      <c r="D1009" s="22" t="n"/>
      <c r="E1009" s="22" t="n"/>
      <c r="F1009" s="22" t="n"/>
      <c r="G1009" s="22" t="n"/>
      <c r="H1009" s="22" t="n"/>
      <c r="I1009" s="22" t="n"/>
      <c r="J1009" s="22" t="n"/>
      <c r="K1009" s="22" t="n"/>
    </row>
    <row r="1010">
      <c r="A1010" s="324" t="n"/>
      <c r="B1010" s="22" t="n"/>
      <c r="C1010" s="22" t="n"/>
      <c r="D1010" s="22" t="n"/>
      <c r="E1010" s="22" t="n"/>
      <c r="F1010" s="22" t="n"/>
      <c r="G1010" s="22" t="n"/>
      <c r="H1010" s="22" t="n"/>
      <c r="I1010" s="22" t="n"/>
      <c r="J1010" s="22" t="n"/>
      <c r="K1010" s="22" t="n"/>
    </row>
    <row r="1011">
      <c r="A1011" s="324" t="n"/>
      <c r="B1011" s="22" t="n"/>
      <c r="C1011" s="22" t="n"/>
      <c r="D1011" s="22" t="n"/>
      <c r="E1011" s="22" t="n"/>
      <c r="F1011" s="22" t="n"/>
      <c r="G1011" s="22" t="n"/>
      <c r="H1011" s="22" t="n"/>
      <c r="I1011" s="22" t="n"/>
      <c r="J1011" s="22" t="n"/>
      <c r="K1011" s="22" t="n"/>
    </row>
    <row r="1012">
      <c r="A1012" s="324" t="n"/>
      <c r="B1012" s="22" t="n"/>
      <c r="C1012" s="22" t="n"/>
      <c r="D1012" s="22" t="n"/>
      <c r="E1012" s="22" t="n"/>
      <c r="F1012" s="22" t="n"/>
      <c r="G1012" s="22" t="n"/>
      <c r="H1012" s="22" t="n"/>
      <c r="I1012" s="22" t="n"/>
      <c r="J1012" s="22" t="n"/>
      <c r="K1012" s="22" t="n"/>
    </row>
    <row r="1013">
      <c r="A1013" s="324" t="n"/>
      <c r="B1013" s="22" t="n"/>
      <c r="C1013" s="22" t="n"/>
      <c r="D1013" s="22" t="n"/>
      <c r="E1013" s="22" t="n"/>
      <c r="F1013" s="22" t="n"/>
      <c r="G1013" s="22" t="n"/>
      <c r="H1013" s="22" t="n"/>
      <c r="I1013" s="22" t="n"/>
      <c r="J1013" s="22" t="n"/>
      <c r="K1013" s="22" t="n"/>
    </row>
    <row r="1014">
      <c r="A1014" s="324" t="n"/>
      <c r="B1014" s="22" t="n"/>
      <c r="C1014" s="22" t="n"/>
      <c r="D1014" s="22" t="n"/>
      <c r="E1014" s="22" t="n"/>
      <c r="F1014" s="22" t="n"/>
      <c r="G1014" s="22" t="n"/>
      <c r="H1014" s="22" t="n"/>
      <c r="I1014" s="22" t="n"/>
      <c r="J1014" s="22" t="n"/>
      <c r="K1014" s="22" t="n"/>
    </row>
    <row r="1015">
      <c r="A1015" s="324" t="n"/>
      <c r="B1015" s="22" t="n"/>
      <c r="C1015" s="22" t="n"/>
      <c r="D1015" s="22" t="n"/>
      <c r="E1015" s="22" t="n"/>
      <c r="F1015" s="22" t="n"/>
      <c r="G1015" s="22" t="n"/>
      <c r="H1015" s="22" t="n"/>
      <c r="I1015" s="22" t="n"/>
      <c r="J1015" s="22" t="n"/>
      <c r="K1015" s="22" t="n"/>
    </row>
    <row r="1016">
      <c r="A1016" s="324" t="n"/>
      <c r="B1016" s="22" t="n"/>
      <c r="C1016" s="22" t="n"/>
      <c r="D1016" s="22" t="n"/>
      <c r="E1016" s="22" t="n"/>
      <c r="F1016" s="22" t="n"/>
      <c r="G1016" s="22" t="n"/>
      <c r="H1016" s="22" t="n"/>
      <c r="I1016" s="22" t="n"/>
      <c r="J1016" s="22" t="n"/>
      <c r="K1016" s="22" t="n"/>
    </row>
    <row r="1017">
      <c r="A1017" s="324" t="n"/>
      <c r="B1017" s="22" t="n"/>
      <c r="C1017" s="22" t="n"/>
      <c r="D1017" s="22" t="n"/>
      <c r="E1017" s="22" t="n"/>
      <c r="F1017" s="22" t="n"/>
      <c r="G1017" s="22" t="n"/>
      <c r="H1017" s="22" t="n"/>
      <c r="I1017" s="22" t="n"/>
      <c r="J1017" s="22" t="n"/>
      <c r="K1017" s="22" t="n"/>
    </row>
    <row r="1018">
      <c r="A1018" s="324" t="n"/>
      <c r="B1018" s="22" t="n"/>
      <c r="C1018" s="22" t="n"/>
      <c r="D1018" s="22" t="n"/>
      <c r="E1018" s="22" t="n"/>
      <c r="F1018" s="22" t="n"/>
      <c r="G1018" s="22" t="n"/>
      <c r="H1018" s="22" t="n"/>
      <c r="I1018" s="22" t="n"/>
      <c r="J1018" s="22" t="n"/>
      <c r="K1018" s="22" t="n"/>
    </row>
    <row r="1019">
      <c r="A1019" s="324" t="n"/>
      <c r="B1019" s="22" t="n"/>
      <c r="C1019" s="22" t="n"/>
      <c r="D1019" s="22" t="n"/>
      <c r="E1019" s="22" t="n"/>
      <c r="F1019" s="22" t="n"/>
      <c r="G1019" s="22" t="n"/>
      <c r="H1019" s="22" t="n"/>
      <c r="I1019" s="22" t="n"/>
      <c r="J1019" s="22" t="n"/>
      <c r="K1019" s="22" t="n"/>
    </row>
    <row r="1020">
      <c r="A1020" s="324" t="n"/>
      <c r="B1020" s="22" t="n"/>
      <c r="C1020" s="22" t="n"/>
      <c r="D1020" s="22" t="n"/>
      <c r="E1020" s="22" t="n"/>
      <c r="F1020" s="22" t="n"/>
      <c r="G1020" s="22" t="n"/>
      <c r="H1020" s="22" t="n"/>
      <c r="I1020" s="22" t="n"/>
      <c r="J1020" s="22" t="n"/>
      <c r="K1020" s="22" t="n"/>
    </row>
    <row r="1021">
      <c r="A1021" s="324" t="n"/>
      <c r="B1021" s="22" t="n"/>
      <c r="C1021" s="22" t="n"/>
      <c r="D1021" s="22" t="n"/>
      <c r="E1021" s="22" t="n"/>
      <c r="F1021" s="22" t="n"/>
      <c r="G1021" s="22" t="n"/>
      <c r="H1021" s="22" t="n"/>
      <c r="I1021" s="22" t="n"/>
      <c r="J1021" s="22" t="n"/>
      <c r="K1021" s="22" t="n"/>
    </row>
    <row r="1022">
      <c r="A1022" s="324" t="n"/>
      <c r="B1022" s="22" t="n"/>
      <c r="C1022" s="22" t="n"/>
      <c r="D1022" s="22" t="n"/>
      <c r="E1022" s="22" t="n"/>
      <c r="F1022" s="22" t="n"/>
      <c r="G1022" s="22" t="n"/>
      <c r="H1022" s="22" t="n"/>
      <c r="I1022" s="22" t="n"/>
      <c r="J1022" s="22" t="n"/>
      <c r="K1022" s="22" t="n"/>
    </row>
    <row r="1023">
      <c r="A1023" s="324" t="n"/>
      <c r="B1023" s="22" t="n"/>
      <c r="C1023" s="22" t="n"/>
      <c r="D1023" s="22" t="n"/>
      <c r="E1023" s="22" t="n"/>
      <c r="F1023" s="22" t="n"/>
      <c r="G1023" s="22" t="n"/>
      <c r="H1023" s="22" t="n"/>
      <c r="I1023" s="22" t="n"/>
      <c r="J1023" s="22" t="n"/>
      <c r="K1023" s="22" t="n"/>
    </row>
    <row r="1024">
      <c r="A1024" s="324" t="n"/>
      <c r="B1024" s="22" t="n"/>
      <c r="C1024" s="22" t="n"/>
      <c r="D1024" s="22" t="n"/>
      <c r="E1024" s="22" t="n"/>
      <c r="F1024" s="22" t="n"/>
      <c r="G1024" s="22" t="n"/>
      <c r="H1024" s="22" t="n"/>
      <c r="I1024" s="22" t="n"/>
      <c r="J1024" s="22" t="n"/>
      <c r="K1024" s="22" t="n"/>
    </row>
    <row r="1025">
      <c r="A1025" s="324" t="n"/>
      <c r="B1025" s="22" t="n"/>
      <c r="C1025" s="22" t="n"/>
      <c r="D1025" s="22" t="n"/>
      <c r="E1025" s="22" t="n"/>
      <c r="F1025" s="22" t="n"/>
      <c r="G1025" s="22" t="n"/>
      <c r="H1025" s="22" t="n"/>
      <c r="I1025" s="22" t="n"/>
      <c r="J1025" s="22" t="n"/>
      <c r="K1025" s="22" t="n"/>
    </row>
    <row r="1026">
      <c r="A1026" s="324" t="n"/>
      <c r="B1026" s="22" t="n"/>
      <c r="C1026" s="22" t="n"/>
      <c r="D1026" s="22" t="n"/>
      <c r="E1026" s="22" t="n"/>
      <c r="F1026" s="22" t="n"/>
      <c r="G1026" s="22" t="n"/>
      <c r="H1026" s="22" t="n"/>
      <c r="I1026" s="22" t="n"/>
      <c r="J1026" s="22" t="n"/>
      <c r="K1026" s="22" t="n"/>
    </row>
    <row r="1027">
      <c r="A1027" s="324" t="n"/>
      <c r="B1027" s="22" t="n"/>
      <c r="C1027" s="22" t="n"/>
      <c r="D1027" s="22" t="n"/>
      <c r="E1027" s="22" t="n"/>
      <c r="F1027" s="22" t="n"/>
      <c r="G1027" s="22" t="n"/>
      <c r="H1027" s="22" t="n"/>
      <c r="I1027" s="22" t="n"/>
      <c r="J1027" s="22" t="n"/>
      <c r="K1027" s="22" t="n"/>
    </row>
    <row r="1028">
      <c r="A1028" s="324" t="n"/>
      <c r="B1028" s="22" t="n"/>
      <c r="C1028" s="22" t="n"/>
      <c r="D1028" s="22" t="n"/>
      <c r="E1028" s="22" t="n"/>
      <c r="F1028" s="22" t="n"/>
      <c r="G1028" s="22" t="n"/>
      <c r="H1028" s="22" t="n"/>
      <c r="I1028" s="22" t="n"/>
      <c r="J1028" s="22" t="n"/>
      <c r="K1028" s="22" t="n"/>
    </row>
    <row r="1029">
      <c r="A1029" s="324" t="n"/>
      <c r="B1029" s="22" t="n"/>
      <c r="C1029" s="22" t="n"/>
      <c r="D1029" s="22" t="n"/>
      <c r="E1029" s="22" t="n"/>
      <c r="F1029" s="22" t="n"/>
      <c r="G1029" s="22" t="n"/>
      <c r="H1029" s="22" t="n"/>
      <c r="I1029" s="22" t="n"/>
      <c r="J1029" s="22" t="n"/>
      <c r="K1029" s="22" t="n"/>
    </row>
    <row r="1030">
      <c r="A1030" s="324" t="n"/>
      <c r="B1030" s="22" t="n"/>
      <c r="C1030" s="22" t="n"/>
      <c r="D1030" s="22" t="n"/>
      <c r="E1030" s="22" t="n"/>
      <c r="F1030" s="22" t="n"/>
      <c r="G1030" s="22" t="n"/>
      <c r="H1030" s="22" t="n"/>
      <c r="I1030" s="22" t="n"/>
      <c r="J1030" s="22" t="n"/>
      <c r="K1030" s="22" t="n"/>
    </row>
    <row r="1031">
      <c r="A1031" s="324" t="n"/>
      <c r="B1031" s="22" t="n"/>
      <c r="C1031" s="22" t="n"/>
      <c r="D1031" s="22" t="n"/>
      <c r="E1031" s="22" t="n"/>
      <c r="F1031" s="22" t="n"/>
      <c r="G1031" s="22" t="n"/>
      <c r="H1031" s="22" t="n"/>
      <c r="I1031" s="22" t="n"/>
      <c r="J1031" s="22" t="n"/>
      <c r="K1031" s="22" t="n"/>
    </row>
    <row r="1032">
      <c r="A1032" s="324" t="n"/>
      <c r="B1032" s="22" t="n"/>
      <c r="C1032" s="22" t="n"/>
      <c r="D1032" s="22" t="n"/>
      <c r="E1032" s="22" t="n"/>
      <c r="F1032" s="22" t="n"/>
      <c r="G1032" s="22" t="n"/>
      <c r="H1032" s="22" t="n"/>
      <c r="I1032" s="22" t="n"/>
      <c r="J1032" s="22" t="n"/>
      <c r="K1032" s="22" t="n"/>
    </row>
    <row r="1033">
      <c r="A1033" s="324" t="n"/>
      <c r="B1033" s="22" t="n"/>
      <c r="C1033" s="22" t="n"/>
      <c r="D1033" s="22" t="n"/>
      <c r="E1033" s="22" t="n"/>
      <c r="F1033" s="22" t="n"/>
      <c r="G1033" s="22" t="n"/>
      <c r="H1033" s="22" t="n"/>
      <c r="I1033" s="22" t="n"/>
      <c r="J1033" s="22" t="n"/>
      <c r="K1033" s="22" t="n"/>
    </row>
    <row r="1034">
      <c r="A1034" s="324" t="n"/>
      <c r="B1034" s="22" t="n"/>
      <c r="C1034" s="22" t="n"/>
      <c r="D1034" s="22" t="n"/>
      <c r="E1034" s="22" t="n"/>
      <c r="F1034" s="22" t="n"/>
      <c r="G1034" s="22" t="n"/>
      <c r="H1034" s="22" t="n"/>
      <c r="I1034" s="22" t="n"/>
      <c r="J1034" s="22" t="n"/>
      <c r="K1034" s="22" t="n"/>
    </row>
    <row r="1035">
      <c r="A1035" s="324" t="n"/>
      <c r="B1035" s="22" t="n"/>
      <c r="C1035" s="22" t="n"/>
      <c r="D1035" s="22" t="n"/>
      <c r="E1035" s="22" t="n"/>
      <c r="F1035" s="22" t="n"/>
      <c r="G1035" s="22" t="n"/>
      <c r="H1035" s="22" t="n"/>
      <c r="I1035" s="22" t="n"/>
      <c r="J1035" s="22" t="n"/>
      <c r="K1035" s="22" t="n"/>
    </row>
    <row r="1036">
      <c r="A1036" s="324" t="n"/>
      <c r="B1036" s="22" t="n"/>
      <c r="C1036" s="22" t="n"/>
      <c r="D1036" s="22" t="n"/>
      <c r="E1036" s="22" t="n"/>
      <c r="F1036" s="22" t="n"/>
      <c r="G1036" s="22" t="n"/>
      <c r="H1036" s="22" t="n"/>
      <c r="I1036" s="22" t="n"/>
      <c r="J1036" s="22" t="n"/>
      <c r="K1036" s="22" t="n"/>
    </row>
    <row r="1037">
      <c r="A1037" s="324" t="n"/>
      <c r="B1037" s="22" t="n"/>
      <c r="C1037" s="22" t="n"/>
      <c r="D1037" s="22" t="n"/>
      <c r="E1037" s="22" t="n"/>
      <c r="F1037" s="22" t="n"/>
      <c r="G1037" s="22" t="n"/>
      <c r="H1037" s="22" t="n"/>
      <c r="I1037" s="22" t="n"/>
      <c r="J1037" s="22" t="n"/>
      <c r="K1037" s="22" t="n"/>
    </row>
    <row r="1038">
      <c r="A1038" s="324" t="n"/>
      <c r="B1038" s="22" t="n"/>
      <c r="C1038" s="22" t="n"/>
      <c r="D1038" s="22" t="n"/>
      <c r="E1038" s="22" t="n"/>
      <c r="F1038" s="22" t="n"/>
      <c r="G1038" s="22" t="n"/>
      <c r="H1038" s="22" t="n"/>
      <c r="I1038" s="22" t="n"/>
      <c r="J1038" s="22" t="n"/>
      <c r="K1038" s="22" t="n"/>
    </row>
    <row r="1039">
      <c r="A1039" s="324" t="n"/>
      <c r="B1039" s="22" t="n"/>
      <c r="C1039" s="22" t="n"/>
      <c r="D1039" s="22" t="n"/>
      <c r="E1039" s="22" t="n"/>
      <c r="F1039" s="22" t="n"/>
      <c r="G1039" s="22" t="n"/>
      <c r="H1039" s="22" t="n"/>
      <c r="I1039" s="22" t="n"/>
      <c r="J1039" s="22" t="n"/>
      <c r="K1039" s="22" t="n"/>
    </row>
    <row r="1040">
      <c r="A1040" s="324" t="n"/>
      <c r="B1040" s="22" t="n"/>
      <c r="C1040" s="22" t="n"/>
      <c r="D1040" s="22" t="n"/>
      <c r="E1040" s="22" t="n"/>
      <c r="F1040" s="22" t="n"/>
      <c r="G1040" s="22" t="n"/>
      <c r="H1040" s="22" t="n"/>
      <c r="I1040" s="22" t="n"/>
      <c r="J1040" s="22" t="n"/>
      <c r="K1040" s="22" t="n"/>
    </row>
    <row r="1041">
      <c r="A1041" s="324" t="n"/>
      <c r="B1041" s="22" t="n"/>
      <c r="C1041" s="22" t="n"/>
      <c r="D1041" s="22" t="n"/>
      <c r="E1041" s="22" t="n"/>
      <c r="F1041" s="22" t="n"/>
      <c r="G1041" s="22" t="n"/>
      <c r="H1041" s="22" t="n"/>
      <c r="I1041" s="22" t="n"/>
      <c r="J1041" s="22" t="n"/>
      <c r="K1041" s="22" t="n"/>
    </row>
    <row r="1042">
      <c r="A1042" s="324" t="n"/>
      <c r="B1042" s="22" t="n"/>
      <c r="C1042" s="22" t="n"/>
      <c r="D1042" s="22" t="n"/>
      <c r="E1042" s="22" t="n"/>
      <c r="F1042" s="22" t="n"/>
      <c r="G1042" s="22" t="n"/>
      <c r="H1042" s="22" t="n"/>
      <c r="I1042" s="22" t="n"/>
      <c r="J1042" s="22" t="n"/>
      <c r="K1042" s="22" t="n"/>
    </row>
    <row r="1043">
      <c r="A1043" s="324" t="n"/>
      <c r="B1043" s="22" t="n"/>
      <c r="C1043" s="22" t="n"/>
      <c r="D1043" s="22" t="n"/>
      <c r="E1043" s="22" t="n"/>
      <c r="F1043" s="22" t="n"/>
      <c r="G1043" s="22" t="n"/>
      <c r="H1043" s="22" t="n"/>
      <c r="I1043" s="22" t="n"/>
      <c r="J1043" s="22" t="n"/>
      <c r="K1043" s="22" t="n"/>
    </row>
    <row r="1044">
      <c r="A1044" s="324" t="n"/>
      <c r="B1044" s="22" t="n"/>
      <c r="C1044" s="22" t="n"/>
      <c r="D1044" s="22" t="n"/>
      <c r="E1044" s="22" t="n"/>
      <c r="F1044" s="22" t="n"/>
      <c r="G1044" s="22" t="n"/>
      <c r="H1044" s="22" t="n"/>
      <c r="I1044" s="22" t="n"/>
      <c r="J1044" s="22" t="n"/>
      <c r="K1044" s="22" t="n"/>
    </row>
    <row r="1045">
      <c r="A1045" s="324" t="n"/>
      <c r="B1045" s="22" t="n"/>
      <c r="C1045" s="22" t="n"/>
      <c r="D1045" s="22" t="n"/>
      <c r="E1045" s="22" t="n"/>
      <c r="F1045" s="22" t="n"/>
      <c r="G1045" s="22" t="n"/>
      <c r="H1045" s="22" t="n"/>
      <c r="I1045" s="22" t="n"/>
      <c r="J1045" s="22" t="n"/>
      <c r="K1045" s="22" t="n"/>
    </row>
    <row r="1046">
      <c r="A1046" s="324" t="n"/>
      <c r="B1046" s="22" t="n"/>
      <c r="C1046" s="22" t="n"/>
      <c r="D1046" s="22" t="n"/>
      <c r="E1046" s="22" t="n"/>
      <c r="F1046" s="22" t="n"/>
      <c r="G1046" s="22" t="n"/>
      <c r="H1046" s="22" t="n"/>
      <c r="I1046" s="22" t="n"/>
      <c r="J1046" s="22" t="n"/>
      <c r="K1046" s="22" t="n"/>
    </row>
    <row r="1047">
      <c r="A1047" s="324" t="n"/>
      <c r="B1047" s="22" t="n"/>
      <c r="C1047" s="22" t="n"/>
      <c r="D1047" s="22" t="n"/>
      <c r="E1047" s="22" t="n"/>
      <c r="F1047" s="22" t="n"/>
      <c r="G1047" s="22" t="n"/>
      <c r="H1047" s="22" t="n"/>
      <c r="I1047" s="22" t="n"/>
      <c r="J1047" s="22" t="n"/>
      <c r="K1047" s="22" t="n"/>
    </row>
    <row r="1048">
      <c r="A1048" s="324" t="n"/>
      <c r="B1048" s="22" t="n"/>
      <c r="C1048" s="22" t="n"/>
      <c r="D1048" s="22" t="n"/>
      <c r="E1048" s="22" t="n"/>
      <c r="F1048" s="22" t="n"/>
      <c r="G1048" s="22" t="n"/>
      <c r="H1048" s="22" t="n"/>
      <c r="I1048" s="22" t="n"/>
      <c r="J1048" s="22" t="n"/>
      <c r="K1048" s="22" t="n"/>
    </row>
    <row r="1049">
      <c r="A1049" s="324" t="n"/>
      <c r="B1049" s="22" t="n"/>
      <c r="C1049" s="22" t="n"/>
      <c r="D1049" s="22" t="n"/>
      <c r="E1049" s="22" t="n"/>
      <c r="F1049" s="22" t="n"/>
      <c r="G1049" s="22" t="n"/>
      <c r="H1049" s="22" t="n"/>
      <c r="I1049" s="22" t="n"/>
      <c r="J1049" s="22" t="n"/>
      <c r="K1049" s="22" t="n"/>
    </row>
    <row r="1050">
      <c r="A1050" s="324" t="n"/>
      <c r="B1050" s="22" t="n"/>
      <c r="C1050" s="22" t="n"/>
      <c r="D1050" s="22" t="n"/>
      <c r="E1050" s="22" t="n"/>
      <c r="F1050" s="22" t="n"/>
      <c r="G1050" s="22" t="n"/>
      <c r="H1050" s="22" t="n"/>
      <c r="I1050" s="22" t="n"/>
      <c r="J1050" s="22" t="n"/>
      <c r="K1050" s="22" t="n"/>
    </row>
    <row r="1051">
      <c r="A1051" s="324" t="n"/>
      <c r="B1051" s="22" t="n"/>
      <c r="C1051" s="22" t="n"/>
      <c r="D1051" s="22" t="n"/>
      <c r="E1051" s="22" t="n"/>
      <c r="F1051" s="22" t="n"/>
      <c r="G1051" s="22" t="n"/>
      <c r="H1051" s="22" t="n"/>
      <c r="I1051" s="22" t="n"/>
      <c r="J1051" s="22" t="n"/>
      <c r="K1051" s="22" t="n"/>
    </row>
    <row r="1052">
      <c r="A1052" s="324" t="n"/>
      <c r="B1052" s="22" t="n"/>
      <c r="C1052" s="22" t="n"/>
      <c r="D1052" s="22" t="n"/>
      <c r="E1052" s="22" t="n"/>
      <c r="F1052" s="22" t="n"/>
      <c r="G1052" s="22" t="n"/>
      <c r="H1052" s="22" t="n"/>
      <c r="I1052" s="22" t="n"/>
      <c r="J1052" s="22" t="n"/>
      <c r="K1052" s="22" t="n"/>
    </row>
    <row r="1053">
      <c r="A1053" s="324" t="n"/>
      <c r="B1053" s="22" t="n"/>
      <c r="C1053" s="22" t="n"/>
      <c r="D1053" s="22" t="n"/>
      <c r="E1053" s="22" t="n"/>
      <c r="F1053" s="22" t="n"/>
      <c r="G1053" s="22" t="n"/>
      <c r="H1053" s="22" t="n"/>
      <c r="I1053" s="22" t="n"/>
      <c r="J1053" s="22" t="n"/>
      <c r="K1053" s="22" t="n"/>
    </row>
    <row r="1054">
      <c r="A1054" s="324" t="n"/>
      <c r="B1054" s="22" t="n"/>
      <c r="C1054" s="22" t="n"/>
      <c r="D1054" s="22" t="n"/>
      <c r="E1054" s="22" t="n"/>
      <c r="F1054" s="22" t="n"/>
      <c r="G1054" s="22" t="n"/>
      <c r="H1054" s="22" t="n"/>
      <c r="I1054" s="22" t="n"/>
      <c r="J1054" s="22" t="n"/>
      <c r="K1054" s="22" t="n"/>
    </row>
    <row r="1055">
      <c r="A1055" s="324" t="n"/>
      <c r="B1055" s="22" t="n"/>
      <c r="C1055" s="22" t="n"/>
      <c r="D1055" s="22" t="n"/>
      <c r="E1055" s="22" t="n"/>
      <c r="F1055" s="22" t="n"/>
      <c r="G1055" s="22" t="n"/>
      <c r="H1055" s="22" t="n"/>
      <c r="I1055" s="22" t="n"/>
      <c r="J1055" s="22" t="n"/>
      <c r="K1055" s="22" t="n"/>
    </row>
    <row r="1056">
      <c r="A1056" s="324" t="n"/>
      <c r="B1056" s="22" t="n"/>
      <c r="C1056" s="22" t="n"/>
      <c r="D1056" s="22" t="n"/>
      <c r="E1056" s="22" t="n"/>
      <c r="F1056" s="22" t="n"/>
      <c r="G1056" s="22" t="n"/>
      <c r="H1056" s="22" t="n"/>
      <c r="I1056" s="22" t="n"/>
      <c r="J1056" s="22" t="n"/>
      <c r="K1056" s="22" t="n"/>
    </row>
    <row r="1057">
      <c r="A1057" s="324" t="n"/>
      <c r="B1057" s="22" t="n"/>
      <c r="C1057" s="22" t="n"/>
      <c r="D1057" s="22" t="n"/>
      <c r="E1057" s="22" t="n"/>
      <c r="F1057" s="22" t="n"/>
      <c r="G1057" s="22" t="n"/>
      <c r="H1057" s="22" t="n"/>
      <c r="I1057" s="22" t="n"/>
      <c r="J1057" s="22" t="n"/>
      <c r="K1057" s="22" t="n"/>
    </row>
    <row r="1058">
      <c r="A1058" s="324" t="n"/>
      <c r="B1058" s="22" t="n"/>
      <c r="C1058" s="22" t="n"/>
      <c r="D1058" s="22" t="n"/>
      <c r="E1058" s="22" t="n"/>
      <c r="F1058" s="22" t="n"/>
      <c r="G1058" s="22" t="n"/>
      <c r="H1058" s="22" t="n"/>
      <c r="I1058" s="22" t="n"/>
      <c r="J1058" s="22" t="n"/>
      <c r="K1058" s="22" t="n"/>
    </row>
    <row r="1059">
      <c r="A1059" s="324" t="n"/>
      <c r="B1059" s="22" t="n"/>
      <c r="C1059" s="22" t="n"/>
      <c r="D1059" s="22" t="n"/>
      <c r="E1059" s="22" t="n"/>
      <c r="F1059" s="22" t="n"/>
      <c r="G1059" s="22" t="n"/>
      <c r="H1059" s="22" t="n"/>
      <c r="I1059" s="22" t="n"/>
      <c r="J1059" s="22" t="n"/>
      <c r="K1059" s="22" t="n"/>
    </row>
    <row r="1060">
      <c r="A1060" s="324" t="n"/>
      <c r="B1060" s="22" t="n"/>
      <c r="C1060" s="22" t="n"/>
      <c r="D1060" s="22" t="n"/>
      <c r="E1060" s="22" t="n"/>
      <c r="F1060" s="22" t="n"/>
      <c r="G1060" s="22" t="n"/>
      <c r="H1060" s="22" t="n"/>
      <c r="I1060" s="22" t="n"/>
      <c r="J1060" s="22" t="n"/>
      <c r="K1060" s="22" t="n"/>
    </row>
    <row r="1061">
      <c r="A1061" s="324" t="n"/>
      <c r="B1061" s="22" t="n"/>
      <c r="C1061" s="22" t="n"/>
      <c r="D1061" s="22" t="n"/>
      <c r="E1061" s="22" t="n"/>
      <c r="F1061" s="22" t="n"/>
      <c r="G1061" s="22" t="n"/>
      <c r="H1061" s="22" t="n"/>
      <c r="I1061" s="22" t="n"/>
      <c r="J1061" s="22" t="n"/>
      <c r="K1061" s="22" t="n"/>
    </row>
    <row r="1062">
      <c r="A1062" s="324" t="n"/>
      <c r="B1062" s="22" t="n"/>
      <c r="C1062" s="22" t="n"/>
      <c r="D1062" s="22" t="n"/>
      <c r="E1062" s="22" t="n"/>
      <c r="F1062" s="22" t="n"/>
      <c r="G1062" s="22" t="n"/>
      <c r="H1062" s="22" t="n"/>
      <c r="I1062" s="22" t="n"/>
      <c r="J1062" s="22" t="n"/>
      <c r="K1062" s="22" t="n"/>
    </row>
    <row r="1063">
      <c r="A1063" s="324" t="n"/>
      <c r="B1063" s="22" t="n"/>
      <c r="C1063" s="22" t="n"/>
      <c r="D1063" s="22" t="n"/>
      <c r="E1063" s="22" t="n"/>
      <c r="F1063" s="22" t="n"/>
      <c r="G1063" s="22" t="n"/>
      <c r="H1063" s="22" t="n"/>
      <c r="I1063" s="22" t="n"/>
      <c r="J1063" s="22" t="n"/>
      <c r="K1063" s="22" t="n"/>
    </row>
    <row r="1064">
      <c r="A1064" s="324" t="n"/>
      <c r="B1064" s="22" t="n"/>
      <c r="C1064" s="22" t="n"/>
      <c r="D1064" s="22" t="n"/>
      <c r="E1064" s="22" t="n"/>
      <c r="F1064" s="22" t="n"/>
      <c r="G1064" s="22" t="n"/>
      <c r="H1064" s="22" t="n"/>
      <c r="I1064" s="22" t="n"/>
      <c r="J1064" s="22" t="n"/>
      <c r="K1064" s="22" t="n"/>
    </row>
    <row r="1065">
      <c r="A1065" s="324" t="n"/>
      <c r="B1065" s="22" t="n"/>
      <c r="C1065" s="22" t="n"/>
      <c r="D1065" s="22" t="n"/>
      <c r="E1065" s="22" t="n"/>
      <c r="F1065" s="22" t="n"/>
      <c r="G1065" s="22" t="n"/>
      <c r="H1065" s="22" t="n"/>
      <c r="I1065" s="22" t="n"/>
      <c r="J1065" s="22" t="n"/>
      <c r="K1065" s="22" t="n"/>
    </row>
    <row r="1066">
      <c r="A1066" s="324" t="n"/>
      <c r="B1066" s="22" t="n"/>
      <c r="C1066" s="22" t="n"/>
      <c r="D1066" s="22" t="n"/>
      <c r="E1066" s="22" t="n"/>
      <c r="F1066" s="22" t="n"/>
      <c r="G1066" s="22" t="n"/>
      <c r="H1066" s="22" t="n"/>
      <c r="I1066" s="22" t="n"/>
      <c r="J1066" s="22" t="n"/>
      <c r="K1066" s="22" t="n"/>
    </row>
    <row r="1067">
      <c r="A1067" s="324" t="n"/>
      <c r="B1067" s="22" t="n"/>
      <c r="C1067" s="22" t="n"/>
      <c r="D1067" s="22" t="n"/>
      <c r="E1067" s="22" t="n"/>
      <c r="F1067" s="22" t="n"/>
      <c r="G1067" s="22" t="n"/>
      <c r="H1067" s="22" t="n"/>
      <c r="I1067" s="22" t="n"/>
      <c r="J1067" s="22" t="n"/>
      <c r="K1067" s="22" t="n"/>
    </row>
    <row r="1068">
      <c r="A1068" s="324" t="n"/>
      <c r="B1068" s="22" t="n"/>
      <c r="C1068" s="22" t="n"/>
      <c r="D1068" s="22" t="n"/>
      <c r="E1068" s="22" t="n"/>
      <c r="F1068" s="22" t="n"/>
      <c r="G1068" s="22" t="n"/>
      <c r="H1068" s="22" t="n"/>
      <c r="I1068" s="22" t="n"/>
      <c r="J1068" s="22" t="n"/>
      <c r="K1068" s="22" t="n"/>
    </row>
    <row r="1069">
      <c r="A1069" s="324" t="n"/>
      <c r="B1069" s="22" t="n"/>
      <c r="C1069" s="22" t="n"/>
      <c r="D1069" s="22" t="n"/>
      <c r="E1069" s="22" t="n"/>
      <c r="F1069" s="22" t="n"/>
      <c r="G1069" s="22" t="n"/>
      <c r="H1069" s="22" t="n"/>
      <c r="I1069" s="22" t="n"/>
      <c r="J1069" s="22" t="n"/>
      <c r="K1069" s="22" t="n"/>
    </row>
    <row r="1070">
      <c r="A1070" s="324" t="n"/>
      <c r="B1070" s="22" t="n"/>
      <c r="C1070" s="22" t="n"/>
      <c r="D1070" s="22" t="n"/>
      <c r="E1070" s="22" t="n"/>
      <c r="F1070" s="22" t="n"/>
      <c r="G1070" s="22" t="n"/>
      <c r="H1070" s="22" t="n"/>
      <c r="I1070" s="22" t="n"/>
      <c r="J1070" s="22" t="n"/>
      <c r="K1070" s="22" t="n"/>
    </row>
    <row r="1071">
      <c r="A1071" s="324" t="n"/>
      <c r="B1071" s="22" t="n"/>
      <c r="C1071" s="22" t="n"/>
      <c r="D1071" s="22" t="n"/>
      <c r="E1071" s="22" t="n"/>
      <c r="F1071" s="22" t="n"/>
      <c r="G1071" s="22" t="n"/>
      <c r="H1071" s="22" t="n"/>
      <c r="I1071" s="22" t="n"/>
      <c r="J1071" s="22" t="n"/>
      <c r="K1071" s="22" t="n"/>
    </row>
    <row r="1072">
      <c r="A1072" s="324" t="n"/>
      <c r="B1072" s="22" t="n"/>
      <c r="C1072" s="22" t="n"/>
      <c r="D1072" s="22" t="n"/>
      <c r="E1072" s="22" t="n"/>
      <c r="F1072" s="22" t="n"/>
      <c r="G1072" s="22" t="n"/>
      <c r="H1072" s="22" t="n"/>
      <c r="I1072" s="22" t="n"/>
      <c r="J1072" s="22" t="n"/>
      <c r="K1072" s="22" t="n"/>
    </row>
    <row r="1073">
      <c r="A1073" s="324" t="n"/>
      <c r="B1073" s="22" t="n"/>
      <c r="C1073" s="22" t="n"/>
      <c r="D1073" s="22" t="n"/>
      <c r="E1073" s="22" t="n"/>
      <c r="F1073" s="22" t="n"/>
      <c r="G1073" s="22" t="n"/>
      <c r="H1073" s="22" t="n"/>
      <c r="I1073" s="22" t="n"/>
      <c r="J1073" s="22" t="n"/>
      <c r="K1073" s="22" t="n"/>
    </row>
    <row r="1074">
      <c r="A1074" s="324" t="n"/>
      <c r="B1074" s="22" t="n"/>
      <c r="C1074" s="22" t="n"/>
      <c r="D1074" s="22" t="n"/>
      <c r="E1074" s="22" t="n"/>
      <c r="F1074" s="22" t="n"/>
      <c r="G1074" s="22" t="n"/>
      <c r="H1074" s="22" t="n"/>
      <c r="I1074" s="22" t="n"/>
      <c r="J1074" s="22" t="n"/>
      <c r="K1074" s="22" t="n"/>
    </row>
    <row r="1075">
      <c r="A1075" s="324" t="n"/>
      <c r="B1075" s="22" t="n"/>
      <c r="C1075" s="22" t="n"/>
      <c r="D1075" s="22" t="n"/>
      <c r="E1075" s="22" t="n"/>
      <c r="F1075" s="22" t="n"/>
      <c r="G1075" s="22" t="n"/>
      <c r="H1075" s="22" t="n"/>
      <c r="I1075" s="22" t="n"/>
      <c r="J1075" s="22" t="n"/>
      <c r="K1075" s="22" t="n"/>
    </row>
    <row r="1076">
      <c r="A1076" s="324" t="n"/>
      <c r="B1076" s="22" t="n"/>
      <c r="C1076" s="22" t="n"/>
      <c r="D1076" s="22" t="n"/>
      <c r="E1076" s="22" t="n"/>
      <c r="F1076" s="22" t="n"/>
      <c r="G1076" s="22" t="n"/>
      <c r="H1076" s="22" t="n"/>
      <c r="I1076" s="22" t="n"/>
      <c r="J1076" s="22" t="n"/>
      <c r="K1076" s="22" t="n"/>
    </row>
    <row r="1077">
      <c r="A1077" s="324" t="n"/>
      <c r="B1077" s="22" t="n"/>
      <c r="C1077" s="22" t="n"/>
      <c r="D1077" s="22" t="n"/>
      <c r="E1077" s="22" t="n"/>
      <c r="F1077" s="22" t="n"/>
      <c r="G1077" s="22" t="n"/>
      <c r="H1077" s="22" t="n"/>
      <c r="I1077" s="22" t="n"/>
      <c r="J1077" s="22" t="n"/>
      <c r="K1077" s="22" t="n"/>
    </row>
    <row r="1078">
      <c r="A1078" s="324" t="n"/>
      <c r="B1078" s="22" t="n"/>
      <c r="C1078" s="22" t="n"/>
      <c r="D1078" s="22" t="n"/>
      <c r="E1078" s="22" t="n"/>
      <c r="F1078" s="22" t="n"/>
      <c r="G1078" s="22" t="n"/>
      <c r="H1078" s="22" t="n"/>
      <c r="I1078" s="22" t="n"/>
      <c r="J1078" s="22" t="n"/>
      <c r="K1078" s="22" t="n"/>
    </row>
    <row r="1079">
      <c r="A1079" s="324" t="n"/>
      <c r="B1079" s="22" t="n"/>
      <c r="C1079" s="22" t="n"/>
      <c r="D1079" s="22" t="n"/>
      <c r="E1079" s="22" t="n"/>
      <c r="F1079" s="22" t="n"/>
      <c r="G1079" s="22" t="n"/>
      <c r="H1079" s="22" t="n"/>
      <c r="I1079" s="22" t="n"/>
      <c r="J1079" s="22" t="n"/>
      <c r="K1079" s="22" t="n"/>
    </row>
    <row r="1080">
      <c r="A1080" s="324" t="n"/>
      <c r="B1080" s="22" t="n"/>
      <c r="C1080" s="22" t="n"/>
      <c r="D1080" s="22" t="n"/>
      <c r="E1080" s="22" t="n"/>
      <c r="F1080" s="22" t="n"/>
      <c r="G1080" s="22" t="n"/>
      <c r="H1080" s="22" t="n"/>
      <c r="I1080" s="22" t="n"/>
      <c r="J1080" s="22" t="n"/>
      <c r="K1080" s="22" t="n"/>
    </row>
    <row r="1081">
      <c r="A1081" s="324" t="n"/>
      <c r="B1081" s="22" t="n"/>
      <c r="C1081" s="22" t="n"/>
      <c r="D1081" s="22" t="n"/>
      <c r="E1081" s="22" t="n"/>
      <c r="F1081" s="22" t="n"/>
      <c r="G1081" s="22" t="n"/>
      <c r="H1081" s="22" t="n"/>
      <c r="I1081" s="22" t="n"/>
      <c r="J1081" s="22" t="n"/>
      <c r="K1081" s="22" t="n"/>
    </row>
    <row r="1082">
      <c r="A1082" s="324" t="n"/>
      <c r="B1082" s="22" t="n"/>
      <c r="C1082" s="22" t="n"/>
      <c r="D1082" s="22" t="n"/>
      <c r="E1082" s="22" t="n"/>
      <c r="F1082" s="22" t="n"/>
      <c r="G1082" s="22" t="n"/>
      <c r="H1082" s="22" t="n"/>
      <c r="I1082" s="22" t="n"/>
      <c r="J1082" s="22" t="n"/>
      <c r="K1082" s="22" t="n"/>
    </row>
    <row r="1083">
      <c r="A1083" s="324" t="n"/>
      <c r="B1083" s="22" t="n"/>
      <c r="C1083" s="22" t="n"/>
      <c r="D1083" s="22" t="n"/>
      <c r="E1083" s="22" t="n"/>
      <c r="F1083" s="22" t="n"/>
      <c r="G1083" s="22" t="n"/>
      <c r="H1083" s="22" t="n"/>
      <c r="I1083" s="22" t="n"/>
      <c r="J1083" s="22" t="n"/>
      <c r="K1083" s="22" t="n"/>
    </row>
    <row r="1084">
      <c r="A1084" s="324" t="n"/>
      <c r="B1084" s="22" t="n"/>
      <c r="C1084" s="22" t="n"/>
      <c r="D1084" s="22" t="n"/>
      <c r="E1084" s="22" t="n"/>
      <c r="F1084" s="22" t="n"/>
      <c r="G1084" s="22" t="n"/>
      <c r="H1084" s="22" t="n"/>
      <c r="I1084" s="22" t="n"/>
      <c r="J1084" s="22" t="n"/>
      <c r="K1084" s="22" t="n"/>
    </row>
    <row r="1085">
      <c r="A1085" s="324" t="n"/>
      <c r="B1085" s="22" t="n"/>
      <c r="C1085" s="22" t="n"/>
      <c r="D1085" s="22" t="n"/>
      <c r="E1085" s="22" t="n"/>
      <c r="F1085" s="22" t="n"/>
      <c r="G1085" s="22" t="n"/>
      <c r="H1085" s="22" t="n"/>
      <c r="I1085" s="22" t="n"/>
      <c r="J1085" s="22" t="n"/>
      <c r="K1085" s="22" t="n"/>
    </row>
    <row r="1086">
      <c r="A1086" s="324" t="n"/>
      <c r="B1086" s="22" t="n"/>
      <c r="C1086" s="22" t="n"/>
      <c r="D1086" s="22" t="n"/>
      <c r="E1086" s="22" t="n"/>
      <c r="F1086" s="22" t="n"/>
      <c r="G1086" s="22" t="n"/>
      <c r="H1086" s="22" t="n"/>
      <c r="I1086" s="22" t="n"/>
      <c r="J1086" s="22" t="n"/>
      <c r="K1086" s="22" t="n"/>
    </row>
    <row r="1087">
      <c r="A1087" s="324" t="n"/>
      <c r="B1087" s="22" t="n"/>
      <c r="C1087" s="22" t="n"/>
      <c r="D1087" s="22" t="n"/>
      <c r="E1087" s="22" t="n"/>
      <c r="F1087" s="22" t="n"/>
      <c r="G1087" s="22" t="n"/>
      <c r="H1087" s="22" t="n"/>
      <c r="I1087" s="22" t="n"/>
      <c r="J1087" s="22" t="n"/>
      <c r="K1087" s="22" t="n"/>
    </row>
    <row r="1088">
      <c r="A1088" s="324" t="n"/>
      <c r="B1088" s="22" t="n"/>
      <c r="C1088" s="22" t="n"/>
      <c r="D1088" s="22" t="n"/>
      <c r="E1088" s="22" t="n"/>
      <c r="F1088" s="22" t="n"/>
      <c r="G1088" s="22" t="n"/>
      <c r="H1088" s="22" t="n"/>
      <c r="I1088" s="22" t="n"/>
      <c r="J1088" s="22" t="n"/>
      <c r="K1088" s="22" t="n"/>
    </row>
    <row r="1089">
      <c r="A1089" s="324" t="n"/>
      <c r="B1089" s="22" t="n"/>
      <c r="C1089" s="22" t="n"/>
      <c r="D1089" s="22" t="n"/>
      <c r="E1089" s="22" t="n"/>
      <c r="F1089" s="22" t="n"/>
      <c r="G1089" s="22" t="n"/>
      <c r="H1089" s="22" t="n"/>
      <c r="I1089" s="22" t="n"/>
      <c r="J1089" s="22" t="n"/>
      <c r="K1089" s="22" t="n"/>
    </row>
    <row r="1090">
      <c r="A1090" s="324" t="n"/>
      <c r="B1090" s="22" t="n"/>
      <c r="C1090" s="22" t="n"/>
      <c r="D1090" s="22" t="n"/>
      <c r="E1090" s="22" t="n"/>
      <c r="F1090" s="22" t="n"/>
      <c r="G1090" s="22" t="n"/>
      <c r="H1090" s="22" t="n"/>
      <c r="I1090" s="22" t="n"/>
      <c r="J1090" s="22" t="n"/>
      <c r="K1090" s="22" t="n"/>
    </row>
    <row r="1091">
      <c r="A1091" s="324" t="n"/>
      <c r="B1091" s="22" t="n"/>
      <c r="C1091" s="22" t="n"/>
      <c r="D1091" s="22" t="n"/>
      <c r="E1091" s="22" t="n"/>
      <c r="F1091" s="22" t="n"/>
      <c r="G1091" s="22" t="n"/>
      <c r="H1091" s="22" t="n"/>
      <c r="I1091" s="22" t="n"/>
      <c r="J1091" s="22" t="n"/>
      <c r="K1091" s="22" t="n"/>
    </row>
    <row r="1092">
      <c r="A1092" s="324" t="n"/>
      <c r="B1092" s="22" t="n"/>
      <c r="C1092" s="22" t="n"/>
      <c r="D1092" s="22" t="n"/>
      <c r="E1092" s="22" t="n"/>
      <c r="F1092" s="22" t="n"/>
      <c r="G1092" s="22" t="n"/>
      <c r="H1092" s="22" t="n"/>
      <c r="I1092" s="22" t="n"/>
      <c r="J1092" s="22" t="n"/>
      <c r="K1092" s="22" t="n"/>
    </row>
    <row r="1093">
      <c r="A1093" s="324" t="n"/>
      <c r="B1093" s="22" t="n"/>
      <c r="C1093" s="22" t="n"/>
      <c r="D1093" s="22" t="n"/>
      <c r="E1093" s="22" t="n"/>
      <c r="F1093" s="22" t="n"/>
      <c r="G1093" s="22" t="n"/>
      <c r="H1093" s="22" t="n"/>
      <c r="I1093" s="22" t="n"/>
      <c r="J1093" s="22" t="n"/>
      <c r="K1093" s="22" t="n"/>
    </row>
    <row r="1094">
      <c r="A1094" s="324" t="n"/>
      <c r="B1094" s="22" t="n"/>
      <c r="C1094" s="22" t="n"/>
      <c r="D1094" s="22" t="n"/>
      <c r="E1094" s="22" t="n"/>
      <c r="F1094" s="22" t="n"/>
      <c r="G1094" s="22" t="n"/>
      <c r="H1094" s="22" t="n"/>
      <c r="I1094" s="22" t="n"/>
      <c r="J1094" s="22" t="n"/>
      <c r="K1094" s="22" t="n"/>
    </row>
    <row r="1095">
      <c r="A1095" s="324" t="n"/>
      <c r="B1095" s="22" t="n"/>
      <c r="C1095" s="22" t="n"/>
      <c r="D1095" s="22" t="n"/>
      <c r="E1095" s="22" t="n"/>
      <c r="F1095" s="22" t="n"/>
      <c r="G1095" s="22" t="n"/>
      <c r="H1095" s="22" t="n"/>
      <c r="I1095" s="22" t="n"/>
      <c r="J1095" s="22" t="n"/>
      <c r="K1095" s="22" t="n"/>
    </row>
    <row r="1096">
      <c r="A1096" s="324" t="n"/>
      <c r="B1096" s="22" t="n"/>
      <c r="C1096" s="22" t="n"/>
      <c r="D1096" s="22" t="n"/>
      <c r="E1096" s="22" t="n"/>
      <c r="F1096" s="22" t="n"/>
      <c r="G1096" s="22" t="n"/>
      <c r="H1096" s="22" t="n"/>
      <c r="I1096" s="22" t="n"/>
      <c r="J1096" s="22" t="n"/>
      <c r="K1096" s="22" t="n"/>
    </row>
    <row r="1097">
      <c r="A1097" s="324" t="n"/>
      <c r="B1097" s="22" t="n"/>
      <c r="C1097" s="22" t="n"/>
      <c r="D1097" s="22" t="n"/>
      <c r="E1097" s="22" t="n"/>
      <c r="F1097" s="22" t="n"/>
      <c r="G1097" s="22" t="n"/>
      <c r="H1097" s="22" t="n"/>
      <c r="I1097" s="22" t="n"/>
      <c r="J1097" s="22" t="n"/>
      <c r="K1097" s="22" t="n"/>
    </row>
    <row r="1098">
      <c r="A1098" s="324" t="n"/>
      <c r="B1098" s="22" t="n"/>
      <c r="C1098" s="22" t="n"/>
      <c r="D1098" s="22" t="n"/>
      <c r="E1098" s="22" t="n"/>
      <c r="F1098" s="22" t="n"/>
      <c r="G1098" s="22" t="n"/>
      <c r="H1098" s="22" t="n"/>
      <c r="I1098" s="22" t="n"/>
      <c r="J1098" s="22" t="n"/>
      <c r="K1098" s="22" t="n"/>
    </row>
    <row r="1099">
      <c r="A1099" s="324" t="n"/>
      <c r="B1099" s="22" t="n"/>
      <c r="C1099" s="22" t="n"/>
      <c r="D1099" s="22" t="n"/>
      <c r="E1099" s="22" t="n"/>
      <c r="F1099" s="22" t="n"/>
      <c r="G1099" s="22" t="n"/>
      <c r="H1099" s="22" t="n"/>
      <c r="I1099" s="22" t="n"/>
      <c r="J1099" s="22" t="n"/>
      <c r="K1099" s="22" t="n"/>
    </row>
    <row r="1100">
      <c r="A1100" s="324" t="n"/>
      <c r="B1100" s="22" t="n"/>
      <c r="C1100" s="22" t="n"/>
      <c r="D1100" s="22" t="n"/>
      <c r="E1100" s="22" t="n"/>
      <c r="F1100" s="22" t="n"/>
      <c r="G1100" s="22" t="n"/>
      <c r="H1100" s="22" t="n"/>
      <c r="I1100" s="22" t="n"/>
      <c r="J1100" s="22" t="n"/>
      <c r="K1100" s="22" t="n"/>
    </row>
    <row r="1101">
      <c r="A1101" s="324" t="n"/>
      <c r="B1101" s="22" t="n"/>
      <c r="C1101" s="22" t="n"/>
      <c r="D1101" s="22" t="n"/>
      <c r="E1101" s="22" t="n"/>
      <c r="F1101" s="22" t="n"/>
      <c r="G1101" s="22" t="n"/>
      <c r="H1101" s="22" t="n"/>
      <c r="I1101" s="22" t="n"/>
      <c r="J1101" s="22" t="n"/>
      <c r="K1101" s="22" t="n"/>
    </row>
    <row r="1102">
      <c r="A1102" s="324" t="n"/>
      <c r="B1102" s="22" t="n"/>
      <c r="C1102" s="22" t="n"/>
      <c r="D1102" s="22" t="n"/>
      <c r="E1102" s="22" t="n"/>
      <c r="F1102" s="22" t="n"/>
      <c r="G1102" s="22" t="n"/>
      <c r="H1102" s="22" t="n"/>
      <c r="I1102" s="22" t="n"/>
      <c r="J1102" s="22" t="n"/>
      <c r="K1102" s="22" t="n"/>
    </row>
    <row r="1103">
      <c r="A1103" s="324" t="n"/>
      <c r="B1103" s="22" t="n"/>
      <c r="C1103" s="22" t="n"/>
      <c r="D1103" s="22" t="n"/>
      <c r="E1103" s="22" t="n"/>
      <c r="F1103" s="22" t="n"/>
      <c r="G1103" s="22" t="n"/>
      <c r="H1103" s="22" t="n"/>
      <c r="I1103" s="22" t="n"/>
      <c r="J1103" s="22" t="n"/>
      <c r="K1103" s="22" t="n"/>
    </row>
    <row r="1104">
      <c r="A1104" s="324" t="n"/>
      <c r="B1104" s="22" t="n"/>
      <c r="C1104" s="22" t="n"/>
      <c r="D1104" s="22" t="n"/>
      <c r="E1104" s="22" t="n"/>
      <c r="F1104" s="22" t="n"/>
      <c r="G1104" s="22" t="n"/>
      <c r="H1104" s="22" t="n"/>
      <c r="I1104" s="22" t="n"/>
      <c r="J1104" s="22" t="n"/>
      <c r="K1104" s="22" t="n"/>
    </row>
    <row r="1105">
      <c r="A1105" s="324" t="n"/>
      <c r="B1105" s="22" t="n"/>
      <c r="C1105" s="22" t="n"/>
      <c r="D1105" s="22" t="n"/>
      <c r="E1105" s="22" t="n"/>
      <c r="F1105" s="22" t="n"/>
      <c r="G1105" s="22" t="n"/>
      <c r="H1105" s="22" t="n"/>
      <c r="I1105" s="22" t="n"/>
      <c r="J1105" s="22" t="n"/>
      <c r="K1105" s="22" t="n"/>
    </row>
    <row r="1106">
      <c r="A1106" s="324" t="n"/>
      <c r="B1106" s="22" t="n"/>
      <c r="C1106" s="22" t="n"/>
      <c r="D1106" s="22" t="n"/>
      <c r="E1106" s="22" t="n"/>
      <c r="F1106" s="22" t="n"/>
      <c r="G1106" s="22" t="n"/>
      <c r="H1106" s="22" t="n"/>
      <c r="I1106" s="22" t="n"/>
      <c r="J1106" s="22" t="n"/>
      <c r="K1106" s="22" t="n"/>
    </row>
    <row r="1107">
      <c r="A1107" s="324" t="n"/>
      <c r="B1107" s="22" t="n"/>
      <c r="C1107" s="22" t="n"/>
      <c r="D1107" s="22" t="n"/>
      <c r="E1107" s="22" t="n"/>
      <c r="F1107" s="22" t="n"/>
      <c r="G1107" s="22" t="n"/>
      <c r="H1107" s="22" t="n"/>
      <c r="I1107" s="22" t="n"/>
      <c r="J1107" s="22" t="n"/>
      <c r="K1107" s="22" t="n"/>
    </row>
    <row r="1108">
      <c r="A1108" s="324" t="n"/>
      <c r="B1108" s="22" t="n"/>
      <c r="C1108" s="22" t="n"/>
      <c r="D1108" s="22" t="n"/>
      <c r="E1108" s="22" t="n"/>
      <c r="F1108" s="22" t="n"/>
      <c r="G1108" s="22" t="n"/>
      <c r="H1108" s="22" t="n"/>
      <c r="I1108" s="22" t="n"/>
      <c r="J1108" s="22" t="n"/>
      <c r="K1108" s="22" t="n"/>
    </row>
    <row r="1109">
      <c r="A1109" s="324" t="n"/>
      <c r="B1109" s="22" t="n"/>
      <c r="C1109" s="22" t="n"/>
      <c r="D1109" s="22" t="n"/>
      <c r="E1109" s="22" t="n"/>
      <c r="F1109" s="22" t="n"/>
      <c r="G1109" s="22" t="n"/>
      <c r="H1109" s="22" t="n"/>
      <c r="I1109" s="22" t="n"/>
      <c r="J1109" s="22" t="n"/>
      <c r="K1109" s="22" t="n"/>
    </row>
    <row r="1110">
      <c r="A1110" s="324" t="n"/>
      <c r="B1110" s="22" t="n"/>
      <c r="C1110" s="22" t="n"/>
      <c r="D1110" s="22" t="n"/>
      <c r="E1110" s="22" t="n"/>
      <c r="F1110" s="22" t="n"/>
      <c r="G1110" s="22" t="n"/>
      <c r="H1110" s="22" t="n"/>
      <c r="I1110" s="22" t="n"/>
      <c r="J1110" s="22" t="n"/>
      <c r="K1110" s="22" t="n"/>
    </row>
    <row r="1111">
      <c r="A1111" s="324" t="n"/>
      <c r="B1111" s="22" t="n"/>
      <c r="C1111" s="22" t="n"/>
      <c r="D1111" s="22" t="n"/>
      <c r="E1111" s="22" t="n"/>
      <c r="F1111" s="22" t="n"/>
      <c r="G1111" s="22" t="n"/>
      <c r="H1111" s="22" t="n"/>
      <c r="I1111" s="22" t="n"/>
      <c r="J1111" s="22" t="n"/>
      <c r="K1111" s="22" t="n"/>
    </row>
    <row r="1112">
      <c r="A1112" s="324" t="n"/>
      <c r="B1112" s="22" t="n"/>
      <c r="C1112" s="22" t="n"/>
      <c r="D1112" s="22" t="n"/>
      <c r="E1112" s="22" t="n"/>
      <c r="F1112" s="22" t="n"/>
      <c r="G1112" s="22" t="n"/>
      <c r="H1112" s="22" t="n"/>
      <c r="I1112" s="22" t="n"/>
      <c r="J1112" s="22" t="n"/>
      <c r="K1112" s="22" t="n"/>
    </row>
    <row r="1113">
      <c r="A1113" s="324" t="n"/>
      <c r="B1113" s="22" t="n"/>
      <c r="C1113" s="22" t="n"/>
      <c r="D1113" s="22" t="n"/>
      <c r="E1113" s="22" t="n"/>
      <c r="F1113" s="22" t="n"/>
      <c r="G1113" s="22" t="n"/>
      <c r="H1113" s="22" t="n"/>
      <c r="I1113" s="22" t="n"/>
      <c r="J1113" s="22" t="n"/>
      <c r="K1113" s="22" t="n"/>
    </row>
    <row r="1114">
      <c r="A1114" s="324" t="n"/>
      <c r="B1114" s="22" t="n"/>
      <c r="C1114" s="22" t="n"/>
      <c r="D1114" s="22" t="n"/>
      <c r="E1114" s="22" t="n"/>
      <c r="F1114" s="22" t="n"/>
      <c r="G1114" s="22" t="n"/>
      <c r="H1114" s="22" t="n"/>
      <c r="I1114" s="22" t="n"/>
      <c r="J1114" s="22" t="n"/>
      <c r="K1114" s="22" t="n"/>
    </row>
    <row r="1115">
      <c r="A1115" s="324" t="n"/>
      <c r="B1115" s="22" t="n"/>
      <c r="C1115" s="22" t="n"/>
      <c r="D1115" s="22" t="n"/>
      <c r="E1115" s="22" t="n"/>
      <c r="F1115" s="22" t="n"/>
      <c r="G1115" s="22" t="n"/>
      <c r="H1115" s="22" t="n"/>
      <c r="I1115" s="22" t="n"/>
      <c r="J1115" s="22" t="n"/>
      <c r="K1115" s="22" t="n"/>
    </row>
    <row r="1116">
      <c r="A1116" s="324" t="n"/>
      <c r="B1116" s="22" t="n"/>
      <c r="C1116" s="22" t="n"/>
      <c r="D1116" s="22" t="n"/>
      <c r="E1116" s="22" t="n"/>
      <c r="F1116" s="22" t="n"/>
      <c r="G1116" s="22" t="n"/>
      <c r="H1116" s="22" t="n"/>
      <c r="I1116" s="22" t="n"/>
      <c r="J1116" s="22" t="n"/>
      <c r="K1116" s="22" t="n"/>
    </row>
    <row r="1117">
      <c r="A1117" s="324" t="n"/>
      <c r="B1117" s="22" t="n"/>
      <c r="C1117" s="22" t="n"/>
      <c r="D1117" s="22" t="n"/>
      <c r="E1117" s="22" t="n"/>
      <c r="F1117" s="22" t="n"/>
      <c r="G1117" s="22" t="n"/>
      <c r="H1117" s="22" t="n"/>
      <c r="I1117" s="22" t="n"/>
      <c r="J1117" s="22" t="n"/>
      <c r="K1117" s="22" t="n"/>
    </row>
    <row r="1118">
      <c r="A1118" s="324" t="n"/>
      <c r="B1118" s="22" t="n"/>
      <c r="C1118" s="22" t="n"/>
      <c r="D1118" s="22" t="n"/>
      <c r="E1118" s="22" t="n"/>
      <c r="F1118" s="22" t="n"/>
      <c r="G1118" s="22" t="n"/>
      <c r="H1118" s="22" t="n"/>
      <c r="I1118" s="22" t="n"/>
      <c r="J1118" s="22" t="n"/>
      <c r="K1118" s="22" t="n"/>
    </row>
    <row r="1119">
      <c r="A1119" s="324" t="n"/>
      <c r="B1119" s="22" t="n"/>
      <c r="C1119" s="22" t="n"/>
      <c r="D1119" s="22" t="n"/>
      <c r="E1119" s="22" t="n"/>
      <c r="F1119" s="22" t="n"/>
      <c r="G1119" s="22" t="n"/>
      <c r="H1119" s="22" t="n"/>
      <c r="I1119" s="22" t="n"/>
      <c r="J1119" s="22" t="n"/>
      <c r="K1119" s="22" t="n"/>
    </row>
    <row r="1120">
      <c r="A1120" s="324" t="n"/>
      <c r="B1120" s="22" t="n"/>
      <c r="C1120" s="22" t="n"/>
      <c r="D1120" s="22" t="n"/>
      <c r="E1120" s="22" t="n"/>
      <c r="F1120" s="22" t="n"/>
      <c r="G1120" s="22" t="n"/>
      <c r="H1120" s="22" t="n"/>
      <c r="I1120" s="22" t="n"/>
      <c r="J1120" s="22" t="n"/>
      <c r="K1120" s="22" t="n"/>
    </row>
    <row r="1121">
      <c r="A1121" s="324" t="n"/>
      <c r="B1121" s="22" t="n"/>
      <c r="C1121" s="22" t="n"/>
      <c r="D1121" s="22" t="n"/>
      <c r="E1121" s="22" t="n"/>
      <c r="F1121" s="22" t="n"/>
      <c r="G1121" s="22" t="n"/>
      <c r="H1121" s="22" t="n"/>
      <c r="I1121" s="22" t="n"/>
      <c r="J1121" s="22" t="n"/>
      <c r="K1121" s="22" t="n"/>
    </row>
    <row r="1122">
      <c r="A1122" s="324" t="n"/>
      <c r="B1122" s="22" t="n"/>
      <c r="C1122" s="22" t="n"/>
      <c r="D1122" s="22" t="n"/>
      <c r="E1122" s="22" t="n"/>
      <c r="F1122" s="22" t="n"/>
      <c r="G1122" s="22" t="n"/>
      <c r="H1122" s="22" t="n"/>
      <c r="I1122" s="22" t="n"/>
      <c r="J1122" s="22" t="n"/>
      <c r="K1122" s="22" t="n"/>
    </row>
    <row r="1123">
      <c r="A1123" s="324" t="n"/>
      <c r="B1123" s="22" t="n"/>
      <c r="C1123" s="22" t="n"/>
      <c r="D1123" s="22" t="n"/>
      <c r="E1123" s="22" t="n"/>
      <c r="F1123" s="22" t="n"/>
      <c r="G1123" s="22" t="n"/>
      <c r="H1123" s="22" t="n"/>
      <c r="I1123" s="22" t="n"/>
      <c r="J1123" s="22" t="n"/>
      <c r="K1123" s="22" t="n"/>
    </row>
    <row r="1124">
      <c r="A1124" s="324" t="n"/>
      <c r="B1124" s="22" t="n"/>
      <c r="C1124" s="22" t="n"/>
      <c r="D1124" s="22" t="n"/>
      <c r="E1124" s="22" t="n"/>
      <c r="F1124" s="22" t="n"/>
      <c r="G1124" s="22" t="n"/>
      <c r="H1124" s="22" t="n"/>
      <c r="I1124" s="22" t="n"/>
      <c r="J1124" s="22" t="n"/>
      <c r="K1124" s="22" t="n"/>
    </row>
    <row r="1125">
      <c r="A1125" s="324" t="n"/>
      <c r="B1125" s="22" t="n"/>
      <c r="C1125" s="22" t="n"/>
      <c r="D1125" s="22" t="n"/>
      <c r="E1125" s="22" t="n"/>
      <c r="F1125" s="22" t="n"/>
      <c r="G1125" s="22" t="n"/>
      <c r="H1125" s="22" t="n"/>
      <c r="I1125" s="22" t="n"/>
      <c r="J1125" s="22" t="n"/>
      <c r="K1125" s="22" t="n"/>
    </row>
    <row r="1126">
      <c r="A1126" s="324" t="n"/>
      <c r="B1126" s="22" t="n"/>
      <c r="C1126" s="22" t="n"/>
      <c r="D1126" s="22" t="n"/>
      <c r="E1126" s="22" t="n"/>
      <c r="F1126" s="22" t="n"/>
      <c r="G1126" s="22" t="n"/>
      <c r="H1126" s="22" t="n"/>
      <c r="I1126" s="22" t="n"/>
      <c r="J1126" s="22" t="n"/>
      <c r="K1126" s="22" t="n"/>
    </row>
    <row r="1127">
      <c r="A1127" s="324" t="n"/>
      <c r="B1127" s="22" t="n"/>
      <c r="C1127" s="22" t="n"/>
      <c r="D1127" s="22" t="n"/>
      <c r="E1127" s="22" t="n"/>
      <c r="F1127" s="22" t="n"/>
      <c r="G1127" s="22" t="n"/>
      <c r="H1127" s="22" t="n"/>
      <c r="I1127" s="22" t="n"/>
      <c r="J1127" s="22" t="n"/>
      <c r="K1127" s="22" t="n"/>
    </row>
    <row r="1128">
      <c r="A1128" s="324" t="n"/>
      <c r="B1128" s="22" t="n"/>
      <c r="C1128" s="22" t="n"/>
      <c r="D1128" s="22" t="n"/>
      <c r="E1128" s="22" t="n"/>
      <c r="F1128" s="22" t="n"/>
      <c r="G1128" s="22" t="n"/>
      <c r="H1128" s="22" t="n"/>
      <c r="I1128" s="22" t="n"/>
      <c r="J1128" s="22" t="n"/>
      <c r="K1128" s="22" t="n"/>
    </row>
    <row r="1129">
      <c r="A1129" s="324" t="n"/>
      <c r="B1129" s="22" t="n"/>
      <c r="C1129" s="22" t="n"/>
      <c r="D1129" s="22" t="n"/>
      <c r="E1129" s="22" t="n"/>
      <c r="F1129" s="22" t="n"/>
      <c r="G1129" s="22" t="n"/>
      <c r="H1129" s="22" t="n"/>
      <c r="I1129" s="22" t="n"/>
      <c r="J1129" s="22" t="n"/>
      <c r="K1129" s="22" t="n"/>
    </row>
    <row r="1130">
      <c r="A1130" s="324" t="n"/>
      <c r="B1130" s="22" t="n"/>
      <c r="C1130" s="22" t="n"/>
      <c r="D1130" s="22" t="n"/>
      <c r="E1130" s="22" t="n"/>
      <c r="F1130" s="22" t="n"/>
      <c r="G1130" s="22" t="n"/>
      <c r="H1130" s="22" t="n"/>
      <c r="I1130" s="22" t="n"/>
      <c r="J1130" s="22" t="n"/>
      <c r="K1130" s="22" t="n"/>
    </row>
    <row r="1131">
      <c r="A1131" s="324" t="n"/>
      <c r="B1131" s="22" t="n"/>
      <c r="C1131" s="22" t="n"/>
      <c r="D1131" s="22" t="n"/>
      <c r="E1131" s="22" t="n"/>
      <c r="F1131" s="22" t="n"/>
      <c r="G1131" s="22" t="n"/>
      <c r="H1131" s="22" t="n"/>
      <c r="I1131" s="22" t="n"/>
      <c r="J1131" s="22" t="n"/>
      <c r="K1131" s="22" t="n"/>
    </row>
    <row r="1132">
      <c r="A1132" s="324" t="n"/>
      <c r="B1132" s="22" t="n"/>
      <c r="C1132" s="22" t="n"/>
      <c r="D1132" s="22" t="n"/>
      <c r="E1132" s="22" t="n"/>
      <c r="F1132" s="22" t="n"/>
      <c r="G1132" s="22" t="n"/>
      <c r="H1132" s="22" t="n"/>
      <c r="I1132" s="22" t="n"/>
      <c r="J1132" s="22" t="n"/>
      <c r="K1132" s="22" t="n"/>
    </row>
    <row r="1133">
      <c r="A1133" s="324" t="n"/>
      <c r="B1133" s="22" t="n"/>
      <c r="C1133" s="22" t="n"/>
      <c r="D1133" s="22" t="n"/>
      <c r="E1133" s="22" t="n"/>
      <c r="F1133" s="22" t="n"/>
      <c r="G1133" s="22" t="n"/>
      <c r="H1133" s="22" t="n"/>
      <c r="I1133" s="22" t="n"/>
      <c r="J1133" s="22" t="n"/>
      <c r="K1133" s="22" t="n"/>
    </row>
    <row r="1134">
      <c r="A1134" s="324" t="n"/>
      <c r="B1134" s="22" t="n"/>
      <c r="C1134" s="22" t="n"/>
      <c r="D1134" s="22" t="n"/>
      <c r="E1134" s="22" t="n"/>
      <c r="F1134" s="22" t="n"/>
      <c r="G1134" s="22" t="n"/>
      <c r="H1134" s="22" t="n"/>
      <c r="I1134" s="22" t="n"/>
      <c r="J1134" s="22" t="n"/>
      <c r="K1134" s="22" t="n"/>
    </row>
    <row r="1135">
      <c r="A1135" s="324" t="n"/>
      <c r="B1135" s="22" t="n"/>
      <c r="C1135" s="22" t="n"/>
      <c r="D1135" s="22" t="n"/>
      <c r="E1135" s="22" t="n"/>
      <c r="F1135" s="22" t="n"/>
      <c r="G1135" s="22" t="n"/>
      <c r="H1135" s="22" t="n"/>
      <c r="I1135" s="22" t="n"/>
      <c r="J1135" s="22" t="n"/>
      <c r="K1135" s="22" t="n"/>
    </row>
    <row r="1136">
      <c r="A1136" s="324" t="n"/>
      <c r="B1136" s="22" t="n"/>
      <c r="C1136" s="22" t="n"/>
      <c r="D1136" s="22" t="n"/>
      <c r="E1136" s="22" t="n"/>
      <c r="F1136" s="22" t="n"/>
      <c r="G1136" s="22" t="n"/>
      <c r="H1136" s="22" t="n"/>
      <c r="I1136" s="22" t="n"/>
      <c r="J1136" s="22" t="n"/>
      <c r="K1136" s="22" t="n"/>
    </row>
    <row r="1137">
      <c r="A1137" s="324" t="n"/>
      <c r="B1137" s="22" t="n"/>
      <c r="C1137" s="22" t="n"/>
      <c r="D1137" s="22" t="n"/>
      <c r="E1137" s="22" t="n"/>
      <c r="F1137" s="22" t="n"/>
      <c r="G1137" s="22" t="n"/>
      <c r="H1137" s="22" t="n"/>
      <c r="I1137" s="22" t="n"/>
      <c r="J1137" s="22" t="n"/>
      <c r="K1137" s="22" t="n"/>
    </row>
    <row r="1138">
      <c r="A1138" s="324" t="n"/>
      <c r="B1138" s="22" t="n"/>
      <c r="C1138" s="22" t="n"/>
      <c r="D1138" s="22" t="n"/>
      <c r="E1138" s="22" t="n"/>
      <c r="F1138" s="22" t="n"/>
      <c r="G1138" s="22" t="n"/>
      <c r="H1138" s="22" t="n"/>
      <c r="I1138" s="22" t="n"/>
      <c r="J1138" s="22" t="n"/>
      <c r="K1138" s="22" t="n"/>
    </row>
    <row r="1139">
      <c r="A1139" s="324" t="n"/>
      <c r="B1139" s="22" t="n"/>
      <c r="C1139" s="22" t="n"/>
      <c r="D1139" s="22" t="n"/>
      <c r="E1139" s="22" t="n"/>
      <c r="F1139" s="22" t="n"/>
      <c r="G1139" s="22" t="n"/>
      <c r="H1139" s="22" t="n"/>
      <c r="I1139" s="22" t="n"/>
      <c r="J1139" s="22" t="n"/>
      <c r="K1139" s="22" t="n"/>
    </row>
    <row r="1140">
      <c r="A1140" s="324" t="n"/>
      <c r="B1140" s="22" t="n"/>
      <c r="C1140" s="22" t="n"/>
      <c r="D1140" s="22" t="n"/>
      <c r="E1140" s="22" t="n"/>
      <c r="F1140" s="22" t="n"/>
      <c r="G1140" s="22" t="n"/>
      <c r="H1140" s="22" t="n"/>
      <c r="I1140" s="22" t="n"/>
      <c r="J1140" s="22" t="n"/>
      <c r="K1140" s="22" t="n"/>
    </row>
    <row r="1141">
      <c r="A1141" s="324" t="n"/>
      <c r="B1141" s="22" t="n"/>
      <c r="C1141" s="22" t="n"/>
      <c r="D1141" s="22" t="n"/>
      <c r="E1141" s="22" t="n"/>
      <c r="F1141" s="22" t="n"/>
      <c r="G1141" s="22" t="n"/>
      <c r="H1141" s="22" t="n"/>
      <c r="I1141" s="22" t="n"/>
      <c r="J1141" s="22" t="n"/>
      <c r="K1141" s="22" t="n"/>
    </row>
    <row r="1142">
      <c r="A1142" s="324" t="n"/>
      <c r="B1142" s="22" t="n"/>
      <c r="C1142" s="22" t="n"/>
      <c r="D1142" s="22" t="n"/>
      <c r="E1142" s="22" t="n"/>
      <c r="F1142" s="22" t="n"/>
      <c r="G1142" s="22" t="n"/>
      <c r="H1142" s="22" t="n"/>
      <c r="I1142" s="22" t="n"/>
      <c r="J1142" s="22" t="n"/>
      <c r="K1142" s="22" t="n"/>
    </row>
    <row r="1143">
      <c r="A1143" s="324" t="n"/>
      <c r="B1143" s="22" t="n"/>
      <c r="C1143" s="22" t="n"/>
      <c r="D1143" s="22" t="n"/>
      <c r="E1143" s="22" t="n"/>
      <c r="F1143" s="22" t="n"/>
      <c r="G1143" s="22" t="n"/>
      <c r="H1143" s="22" t="n"/>
      <c r="I1143" s="22" t="n"/>
      <c r="J1143" s="22" t="n"/>
      <c r="K1143" s="22" t="n"/>
    </row>
    <row r="1144">
      <c r="A1144" s="324" t="n"/>
      <c r="B1144" s="22" t="n"/>
      <c r="C1144" s="22" t="n"/>
      <c r="D1144" s="22" t="n"/>
      <c r="E1144" s="22" t="n"/>
      <c r="F1144" s="22" t="n"/>
      <c r="G1144" s="22" t="n"/>
      <c r="H1144" s="22" t="n"/>
      <c r="I1144" s="22" t="n"/>
      <c r="J1144" s="22" t="n"/>
      <c r="K1144" s="22" t="n"/>
    </row>
    <row r="1145">
      <c r="A1145" s="324" t="n"/>
      <c r="B1145" s="22" t="n"/>
      <c r="C1145" s="22" t="n"/>
      <c r="D1145" s="22" t="n"/>
      <c r="E1145" s="22" t="n"/>
      <c r="F1145" s="22" t="n"/>
      <c r="G1145" s="22" t="n"/>
      <c r="H1145" s="22" t="n"/>
      <c r="I1145" s="22" t="n"/>
      <c r="J1145" s="22" t="n"/>
      <c r="K1145" s="22" t="n"/>
    </row>
    <row r="1146">
      <c r="A1146" s="324" t="n"/>
      <c r="B1146" s="22" t="n"/>
      <c r="C1146" s="22" t="n"/>
      <c r="D1146" s="22" t="n"/>
      <c r="E1146" s="22" t="n"/>
      <c r="F1146" s="22" t="n"/>
      <c r="G1146" s="22" t="n"/>
      <c r="H1146" s="22" t="n"/>
      <c r="I1146" s="22" t="n"/>
      <c r="J1146" s="22" t="n"/>
      <c r="K1146" s="22" t="n"/>
    </row>
    <row r="1147">
      <c r="A1147" s="324" t="n"/>
      <c r="B1147" s="22" t="n"/>
      <c r="C1147" s="22" t="n"/>
      <c r="D1147" s="22" t="n"/>
      <c r="E1147" s="22" t="n"/>
      <c r="F1147" s="22" t="n"/>
      <c r="G1147" s="22" t="n"/>
      <c r="H1147" s="22" t="n"/>
      <c r="I1147" s="22" t="n"/>
      <c r="J1147" s="22" t="n"/>
      <c r="K1147" s="22" t="n"/>
    </row>
    <row r="1148">
      <c r="A1148" s="324" t="n"/>
      <c r="B1148" s="22" t="n"/>
      <c r="C1148" s="22" t="n"/>
      <c r="D1148" s="22" t="n"/>
      <c r="E1148" s="22" t="n"/>
      <c r="F1148" s="22" t="n"/>
      <c r="G1148" s="22" t="n"/>
      <c r="H1148" s="22" t="n"/>
      <c r="I1148" s="22" t="n"/>
      <c r="J1148" s="22" t="n"/>
      <c r="K1148" s="22" t="n"/>
    </row>
    <row r="1149">
      <c r="A1149" s="324" t="n"/>
      <c r="B1149" s="22" t="n"/>
      <c r="C1149" s="22" t="n"/>
      <c r="D1149" s="22" t="n"/>
      <c r="E1149" s="22" t="n"/>
      <c r="F1149" s="22" t="n"/>
      <c r="G1149" s="22" t="n"/>
      <c r="H1149" s="22" t="n"/>
      <c r="I1149" s="22" t="n"/>
      <c r="J1149" s="22" t="n"/>
      <c r="K1149" s="22" t="n"/>
    </row>
    <row r="1150">
      <c r="A1150" s="324" t="n"/>
      <c r="B1150" s="22" t="n"/>
      <c r="C1150" s="22" t="n"/>
      <c r="D1150" s="22" t="n"/>
      <c r="E1150" s="22" t="n"/>
      <c r="F1150" s="22" t="n"/>
      <c r="G1150" s="22" t="n"/>
      <c r="H1150" s="22" t="n"/>
      <c r="I1150" s="22" t="n"/>
      <c r="J1150" s="22" t="n"/>
      <c r="K1150" s="22" t="n"/>
    </row>
    <row r="1151">
      <c r="A1151" s="324" t="n"/>
      <c r="B1151" s="22" t="n"/>
      <c r="C1151" s="22" t="n"/>
      <c r="D1151" s="22" t="n"/>
      <c r="E1151" s="22" t="n"/>
      <c r="F1151" s="22" t="n"/>
      <c r="G1151" s="22" t="n"/>
      <c r="H1151" s="22" t="n"/>
      <c r="I1151" s="22" t="n"/>
      <c r="J1151" s="22" t="n"/>
      <c r="K1151" s="22" t="n"/>
    </row>
    <row r="1152">
      <c r="A1152" s="324" t="n"/>
      <c r="B1152" s="22" t="n"/>
      <c r="C1152" s="22" t="n"/>
      <c r="D1152" s="22" t="n"/>
      <c r="E1152" s="22" t="n"/>
      <c r="F1152" s="22" t="n"/>
      <c r="G1152" s="22" t="n"/>
      <c r="H1152" s="22" t="n"/>
      <c r="I1152" s="22" t="n"/>
      <c r="J1152" s="22" t="n"/>
      <c r="K1152" s="22" t="n"/>
    </row>
    <row r="1153">
      <c r="A1153" s="324" t="n"/>
      <c r="B1153" s="22" t="n"/>
      <c r="C1153" s="22" t="n"/>
      <c r="D1153" s="22" t="n"/>
      <c r="E1153" s="22" t="n"/>
      <c r="F1153" s="22" t="n"/>
      <c r="G1153" s="22" t="n"/>
      <c r="H1153" s="22" t="n"/>
      <c r="I1153" s="22" t="n"/>
      <c r="J1153" s="22" t="n"/>
      <c r="K1153" s="22" t="n"/>
    </row>
    <row r="1154">
      <c r="A1154" s="324" t="n"/>
      <c r="B1154" s="22" t="n"/>
      <c r="C1154" s="22" t="n"/>
      <c r="D1154" s="22" t="n"/>
      <c r="E1154" s="22" t="n"/>
      <c r="F1154" s="22" t="n"/>
      <c r="G1154" s="22" t="n"/>
      <c r="H1154" s="22" t="n"/>
      <c r="I1154" s="22" t="n"/>
      <c r="J1154" s="22" t="n"/>
      <c r="K1154" s="22" t="n"/>
    </row>
    <row r="1155">
      <c r="A1155" s="324" t="n"/>
      <c r="B1155" s="22" t="n"/>
      <c r="C1155" s="22" t="n"/>
      <c r="D1155" s="22" t="n"/>
      <c r="E1155" s="22" t="n"/>
      <c r="F1155" s="22" t="n"/>
      <c r="G1155" s="22" t="n"/>
      <c r="H1155" s="22" t="n"/>
      <c r="I1155" s="22" t="n"/>
      <c r="J1155" s="22" t="n"/>
      <c r="K1155" s="22" t="n"/>
    </row>
    <row r="1156">
      <c r="A1156" s="324" t="n"/>
      <c r="B1156" s="22" t="n"/>
      <c r="C1156" s="22" t="n"/>
      <c r="D1156" s="22" t="n"/>
      <c r="E1156" s="22" t="n"/>
      <c r="F1156" s="22" t="n"/>
      <c r="G1156" s="22" t="n"/>
      <c r="H1156" s="22" t="n"/>
      <c r="I1156" s="22" t="n"/>
      <c r="J1156" s="22" t="n"/>
      <c r="K1156" s="22" t="n"/>
    </row>
    <row r="1157">
      <c r="A1157" s="324" t="n"/>
      <c r="B1157" s="22" t="n"/>
      <c r="C1157" s="22" t="n"/>
      <c r="D1157" s="22" t="n"/>
      <c r="E1157" s="22" t="n"/>
      <c r="F1157" s="22" t="n"/>
      <c r="G1157" s="22" t="n"/>
      <c r="H1157" s="22" t="n"/>
      <c r="I1157" s="22" t="n"/>
      <c r="J1157" s="22" t="n"/>
      <c r="K1157" s="22" t="n"/>
    </row>
    <row r="1158">
      <c r="A1158" s="324" t="n"/>
      <c r="B1158" s="22" t="n"/>
      <c r="C1158" s="22" t="n"/>
      <c r="D1158" s="22" t="n"/>
      <c r="E1158" s="22" t="n"/>
      <c r="F1158" s="22" t="n"/>
      <c r="G1158" s="22" t="n"/>
      <c r="H1158" s="22" t="n"/>
      <c r="I1158" s="22" t="n"/>
      <c r="J1158" s="22" t="n"/>
      <c r="K1158" s="22" t="n"/>
    </row>
    <row r="1159">
      <c r="A1159" s="324" t="n"/>
      <c r="B1159" s="22" t="n"/>
      <c r="C1159" s="22" t="n"/>
      <c r="D1159" s="22" t="n"/>
      <c r="E1159" s="22" t="n"/>
      <c r="F1159" s="22" t="n"/>
      <c r="G1159" s="22" t="n"/>
      <c r="H1159" s="22" t="n"/>
      <c r="I1159" s="22" t="n"/>
      <c r="J1159" s="22" t="n"/>
      <c r="K1159" s="22" t="n"/>
    </row>
    <row r="1160">
      <c r="A1160" s="324" t="n"/>
      <c r="B1160" s="22" t="n"/>
      <c r="C1160" s="22" t="n"/>
      <c r="D1160" s="22" t="n"/>
      <c r="E1160" s="22" t="n"/>
      <c r="F1160" s="22" t="n"/>
      <c r="G1160" s="22" t="n"/>
      <c r="H1160" s="22" t="n"/>
      <c r="I1160" s="22" t="n"/>
      <c r="J1160" s="22" t="n"/>
      <c r="K1160" s="22" t="n"/>
    </row>
    <row r="1161">
      <c r="A1161" s="324" t="n"/>
      <c r="B1161" s="22" t="n"/>
      <c r="C1161" s="22" t="n"/>
      <c r="D1161" s="22" t="n"/>
      <c r="E1161" s="22" t="n"/>
      <c r="F1161" s="22" t="n"/>
      <c r="G1161" s="22" t="n"/>
      <c r="H1161" s="22" t="n"/>
      <c r="I1161" s="22" t="n"/>
      <c r="J1161" s="22" t="n"/>
      <c r="K1161" s="22" t="n"/>
    </row>
    <row r="1162">
      <c r="A1162" s="324" t="n"/>
      <c r="B1162" s="22" t="n"/>
      <c r="C1162" s="22" t="n"/>
      <c r="D1162" s="22" t="n"/>
      <c r="E1162" s="22" t="n"/>
      <c r="F1162" s="22" t="n"/>
      <c r="G1162" s="22" t="n"/>
      <c r="H1162" s="22" t="n"/>
      <c r="I1162" s="22" t="n"/>
      <c r="J1162" s="22" t="n"/>
      <c r="K1162" s="22" t="n"/>
    </row>
    <row r="1163">
      <c r="A1163" s="324" t="n"/>
      <c r="B1163" s="22" t="n"/>
      <c r="C1163" s="22" t="n"/>
      <c r="D1163" s="22" t="n"/>
      <c r="E1163" s="22" t="n"/>
      <c r="F1163" s="22" t="n"/>
      <c r="G1163" s="22" t="n"/>
      <c r="H1163" s="22" t="n"/>
      <c r="I1163" s="22" t="n"/>
      <c r="J1163" s="22" t="n"/>
      <c r="K1163" s="22" t="n"/>
    </row>
    <row r="1164">
      <c r="A1164" s="324" t="n"/>
      <c r="B1164" s="22" t="n"/>
      <c r="C1164" s="22" t="n"/>
      <c r="D1164" s="22" t="n"/>
      <c r="E1164" s="22" t="n"/>
      <c r="F1164" s="22" t="n"/>
      <c r="G1164" s="22" t="n"/>
      <c r="H1164" s="22" t="n"/>
      <c r="I1164" s="22" t="n"/>
      <c r="J1164" s="22" t="n"/>
      <c r="K1164" s="22" t="n"/>
    </row>
    <row r="1165">
      <c r="A1165" s="324" t="n"/>
      <c r="B1165" s="22" t="n"/>
      <c r="C1165" s="22" t="n"/>
      <c r="D1165" s="22" t="n"/>
      <c r="E1165" s="22" t="n"/>
      <c r="F1165" s="22" t="n"/>
      <c r="G1165" s="22" t="n"/>
      <c r="H1165" s="22" t="n"/>
      <c r="I1165" s="22" t="n"/>
      <c r="J1165" s="22" t="n"/>
      <c r="K1165" s="22" t="n"/>
    </row>
    <row r="1166">
      <c r="A1166" s="324" t="n"/>
      <c r="B1166" s="22" t="n"/>
      <c r="C1166" s="22" t="n"/>
      <c r="D1166" s="22" t="n"/>
      <c r="E1166" s="22" t="n"/>
      <c r="F1166" s="22" t="n"/>
      <c r="G1166" s="22" t="n"/>
      <c r="H1166" s="22" t="n"/>
      <c r="I1166" s="22" t="n"/>
      <c r="J1166" s="22" t="n"/>
      <c r="K1166" s="22" t="n"/>
    </row>
    <row r="1167">
      <c r="A1167" s="324" t="n"/>
      <c r="B1167" s="22" t="n"/>
      <c r="C1167" s="22" t="n"/>
      <c r="D1167" s="22" t="n"/>
      <c r="E1167" s="22" t="n"/>
      <c r="F1167" s="22" t="n"/>
      <c r="G1167" s="22" t="n"/>
      <c r="H1167" s="22" t="n"/>
      <c r="I1167" s="22" t="n"/>
      <c r="J1167" s="22" t="n"/>
      <c r="K1167" s="22" t="n"/>
    </row>
    <row r="1168">
      <c r="A1168" s="324" t="n"/>
      <c r="B1168" s="22" t="n"/>
      <c r="C1168" s="22" t="n"/>
      <c r="D1168" s="22" t="n"/>
      <c r="E1168" s="22" t="n"/>
      <c r="F1168" s="22" t="n"/>
      <c r="G1168" s="22" t="n"/>
      <c r="H1168" s="22" t="n"/>
      <c r="I1168" s="22" t="n"/>
      <c r="J1168" s="22" t="n"/>
      <c r="K1168" s="22" t="n"/>
    </row>
    <row r="1169">
      <c r="A1169" s="324" t="n"/>
      <c r="B1169" s="22" t="n"/>
      <c r="C1169" s="22" t="n"/>
      <c r="D1169" s="22" t="n"/>
      <c r="E1169" s="22" t="n"/>
      <c r="F1169" s="22" t="n"/>
      <c r="G1169" s="22" t="n"/>
      <c r="H1169" s="22" t="n"/>
      <c r="I1169" s="22" t="n"/>
      <c r="J1169" s="22" t="n"/>
      <c r="K1169" s="22" t="n"/>
    </row>
    <row r="1170">
      <c r="A1170" s="324" t="n"/>
      <c r="B1170" s="22" t="n"/>
      <c r="C1170" s="22" t="n"/>
      <c r="D1170" s="22" t="n"/>
      <c r="E1170" s="22" t="n"/>
      <c r="F1170" s="22" t="n"/>
      <c r="G1170" s="22" t="n"/>
      <c r="H1170" s="22" t="n"/>
      <c r="I1170" s="22" t="n"/>
      <c r="J1170" s="22" t="n"/>
      <c r="K1170" s="22" t="n"/>
    </row>
    <row r="1171">
      <c r="A1171" s="324" t="n"/>
      <c r="B1171" s="22" t="n"/>
      <c r="C1171" s="22" t="n"/>
      <c r="D1171" s="22" t="n"/>
      <c r="E1171" s="22" t="n"/>
      <c r="F1171" s="22" t="n"/>
      <c r="G1171" s="22" t="n"/>
      <c r="H1171" s="22" t="n"/>
      <c r="I1171" s="22" t="n"/>
      <c r="J1171" s="22" t="n"/>
      <c r="K1171" s="22" t="n"/>
    </row>
    <row r="1172">
      <c r="A1172" s="324" t="n"/>
      <c r="B1172" s="22" t="n"/>
      <c r="C1172" s="22" t="n"/>
      <c r="D1172" s="22" t="n"/>
      <c r="E1172" s="22" t="n"/>
      <c r="F1172" s="22" t="n"/>
      <c r="G1172" s="22" t="n"/>
      <c r="H1172" s="22" t="n"/>
      <c r="I1172" s="22" t="n"/>
      <c r="J1172" s="22" t="n"/>
      <c r="K1172" s="22" t="n"/>
    </row>
    <row r="1173">
      <c r="A1173" s="324" t="n"/>
      <c r="B1173" s="22" t="n"/>
      <c r="C1173" s="22" t="n"/>
      <c r="D1173" s="22" t="n"/>
      <c r="E1173" s="22" t="n"/>
      <c r="F1173" s="22" t="n"/>
      <c r="G1173" s="22" t="n"/>
      <c r="H1173" s="22" t="n"/>
      <c r="I1173" s="22" t="n"/>
      <c r="J1173" s="22" t="n"/>
      <c r="K1173" s="22" t="n"/>
    </row>
    <row r="1174">
      <c r="A1174" s="324" t="n"/>
      <c r="B1174" s="22" t="n"/>
      <c r="C1174" s="22" t="n"/>
      <c r="D1174" s="22" t="n"/>
      <c r="E1174" s="22" t="n"/>
      <c r="F1174" s="22" t="n"/>
      <c r="G1174" s="22" t="n"/>
      <c r="H1174" s="22" t="n"/>
      <c r="I1174" s="22" t="n"/>
      <c r="J1174" s="22" t="n"/>
      <c r="K1174" s="22" t="n"/>
    </row>
    <row r="1175">
      <c r="A1175" s="324" t="n"/>
      <c r="B1175" s="22" t="n"/>
      <c r="C1175" s="22" t="n"/>
      <c r="D1175" s="22" t="n"/>
      <c r="E1175" s="22" t="n"/>
      <c r="F1175" s="22" t="n"/>
      <c r="G1175" s="22" t="n"/>
      <c r="H1175" s="22" t="n"/>
      <c r="I1175" s="22" t="n"/>
      <c r="J1175" s="22" t="n"/>
      <c r="K1175" s="22" t="n"/>
    </row>
    <row r="1176">
      <c r="A1176" s="324" t="n"/>
      <c r="B1176" s="22" t="n"/>
      <c r="C1176" s="22" t="n"/>
      <c r="D1176" s="22" t="n"/>
      <c r="E1176" s="22" t="n"/>
      <c r="F1176" s="22" t="n"/>
      <c r="G1176" s="22" t="n"/>
      <c r="H1176" s="22" t="n"/>
      <c r="I1176" s="22" t="n"/>
      <c r="J1176" s="22" t="n"/>
      <c r="K1176" s="22" t="n"/>
    </row>
    <row r="1177">
      <c r="A1177" s="324" t="n"/>
      <c r="B1177" s="22" t="n"/>
      <c r="C1177" s="22" t="n"/>
      <c r="D1177" s="22" t="n"/>
      <c r="E1177" s="22" t="n"/>
      <c r="F1177" s="22" t="n"/>
      <c r="G1177" s="22" t="n"/>
      <c r="H1177" s="22" t="n"/>
      <c r="I1177" s="22" t="n"/>
      <c r="J1177" s="22" t="n"/>
      <c r="K1177" s="22" t="n"/>
    </row>
    <row r="1178">
      <c r="A1178" s="324" t="n"/>
      <c r="B1178" s="22" t="n"/>
      <c r="C1178" s="22" t="n"/>
      <c r="D1178" s="22" t="n"/>
      <c r="E1178" s="22" t="n"/>
      <c r="F1178" s="22" t="n"/>
      <c r="G1178" s="22" t="n"/>
      <c r="H1178" s="22" t="n"/>
      <c r="I1178" s="22" t="n"/>
      <c r="J1178" s="22" t="n"/>
      <c r="K1178" s="22" t="n"/>
    </row>
    <row r="1179">
      <c r="A1179" s="324" t="n"/>
      <c r="B1179" s="22" t="n"/>
      <c r="C1179" s="22" t="n"/>
      <c r="D1179" s="22" t="n"/>
      <c r="E1179" s="22" t="n"/>
      <c r="F1179" s="22" t="n"/>
      <c r="G1179" s="22" t="n"/>
      <c r="H1179" s="22" t="n"/>
      <c r="I1179" s="22" t="n"/>
      <c r="J1179" s="22" t="n"/>
      <c r="K1179" s="22" t="n"/>
    </row>
    <row r="1180">
      <c r="A1180" s="324" t="n"/>
      <c r="B1180" s="22" t="n"/>
      <c r="C1180" s="22" t="n"/>
      <c r="D1180" s="22" t="n"/>
      <c r="E1180" s="22" t="n"/>
      <c r="F1180" s="22" t="n"/>
      <c r="G1180" s="22" t="n"/>
      <c r="H1180" s="22" t="n"/>
      <c r="I1180" s="22" t="n"/>
      <c r="J1180" s="22" t="n"/>
      <c r="K1180" s="22" t="n"/>
    </row>
    <row r="1181">
      <c r="A1181" s="324" t="n"/>
      <c r="B1181" s="22" t="n"/>
      <c r="C1181" s="22" t="n"/>
      <c r="D1181" s="22" t="n"/>
      <c r="E1181" s="22" t="n"/>
      <c r="F1181" s="22" t="n"/>
      <c r="G1181" s="22" t="n"/>
      <c r="H1181" s="22" t="n"/>
      <c r="I1181" s="22" t="n"/>
      <c r="J1181" s="22" t="n"/>
      <c r="K1181" s="22" t="n"/>
    </row>
    <row r="1182">
      <c r="A1182" s="324" t="n"/>
      <c r="B1182" s="22" t="n"/>
      <c r="C1182" s="22" t="n"/>
      <c r="D1182" s="22" t="n"/>
      <c r="E1182" s="22" t="n"/>
      <c r="F1182" s="22" t="n"/>
      <c r="G1182" s="22" t="n"/>
      <c r="H1182" s="22" t="n"/>
      <c r="I1182" s="22" t="n"/>
      <c r="J1182" s="22" t="n"/>
      <c r="K1182" s="22" t="n"/>
    </row>
    <row r="1183">
      <c r="A1183" s="324" t="n"/>
      <c r="B1183" s="22" t="n"/>
      <c r="C1183" s="22" t="n"/>
      <c r="D1183" s="22" t="n"/>
      <c r="E1183" s="22" t="n"/>
      <c r="F1183" s="22" t="n"/>
      <c r="G1183" s="22" t="n"/>
      <c r="H1183" s="22" t="n"/>
      <c r="I1183" s="22" t="n"/>
      <c r="J1183" s="22" t="n"/>
      <c r="K1183" s="22" t="n"/>
    </row>
    <row r="1184">
      <c r="A1184" s="324" t="n"/>
      <c r="B1184" s="22" t="n"/>
      <c r="C1184" s="22" t="n"/>
      <c r="D1184" s="22" t="n"/>
      <c r="E1184" s="22" t="n"/>
      <c r="F1184" s="22" t="n"/>
      <c r="G1184" s="22" t="n"/>
      <c r="H1184" s="22" t="n"/>
      <c r="I1184" s="22" t="n"/>
      <c r="J1184" s="22" t="n"/>
      <c r="K1184" s="22" t="n"/>
    </row>
    <row r="1185">
      <c r="A1185" s="324" t="n"/>
      <c r="B1185" s="22" t="n"/>
      <c r="C1185" s="22" t="n"/>
      <c r="D1185" s="22" t="n"/>
      <c r="E1185" s="22" t="n"/>
      <c r="F1185" s="22" t="n"/>
      <c r="G1185" s="22" t="n"/>
      <c r="H1185" s="22" t="n"/>
      <c r="I1185" s="22" t="n"/>
      <c r="J1185" s="22" t="n"/>
      <c r="K1185" s="22" t="n"/>
    </row>
    <row r="1186">
      <c r="A1186" s="324" t="n"/>
      <c r="B1186" s="22" t="n"/>
      <c r="C1186" s="22" t="n"/>
      <c r="D1186" s="22" t="n"/>
      <c r="E1186" s="22" t="n"/>
      <c r="F1186" s="22" t="n"/>
      <c r="G1186" s="22" t="n"/>
      <c r="H1186" s="22" t="n"/>
      <c r="I1186" s="22" t="n"/>
      <c r="J1186" s="22" t="n"/>
      <c r="K1186" s="22" t="n"/>
    </row>
    <row r="1187">
      <c r="A1187" s="324" t="n"/>
      <c r="B1187" s="22" t="n"/>
      <c r="C1187" s="22" t="n"/>
      <c r="D1187" s="22" t="n"/>
      <c r="E1187" s="22" t="n"/>
      <c r="F1187" s="22" t="n"/>
      <c r="G1187" s="22" t="n"/>
      <c r="H1187" s="22" t="n"/>
      <c r="I1187" s="22" t="n"/>
      <c r="J1187" s="22" t="n"/>
      <c r="K1187" s="22" t="n"/>
    </row>
    <row r="1188">
      <c r="A1188" s="324" t="n"/>
      <c r="B1188" s="22" t="n"/>
      <c r="C1188" s="22" t="n"/>
      <c r="D1188" s="22" t="n"/>
      <c r="E1188" s="22" t="n"/>
      <c r="F1188" s="22" t="n"/>
      <c r="G1188" s="22" t="n"/>
      <c r="H1188" s="22" t="n"/>
      <c r="I1188" s="22" t="n"/>
      <c r="J1188" s="22" t="n"/>
      <c r="K1188" s="22" t="n"/>
    </row>
    <row r="1189">
      <c r="A1189" s="324" t="n"/>
      <c r="B1189" s="22" t="n"/>
      <c r="C1189" s="22" t="n"/>
      <c r="D1189" s="22" t="n"/>
      <c r="E1189" s="22" t="n"/>
      <c r="F1189" s="22" t="n"/>
      <c r="G1189" s="22" t="n"/>
      <c r="H1189" s="22" t="n"/>
      <c r="I1189" s="22" t="n"/>
      <c r="J1189" s="22" t="n"/>
      <c r="K1189" s="22" t="n"/>
    </row>
    <row r="1190">
      <c r="A1190" s="324" t="n"/>
      <c r="B1190" s="22" t="n"/>
      <c r="C1190" s="22" t="n"/>
      <c r="D1190" s="22" t="n"/>
      <c r="E1190" s="22" t="n"/>
      <c r="F1190" s="22" t="n"/>
      <c r="G1190" s="22" t="n"/>
      <c r="H1190" s="22" t="n"/>
      <c r="I1190" s="22" t="n"/>
      <c r="J1190" s="22" t="n"/>
      <c r="K1190" s="22" t="n"/>
    </row>
    <row r="1191">
      <c r="A1191" s="324" t="n"/>
      <c r="B1191" s="22" t="n"/>
      <c r="C1191" s="22" t="n"/>
      <c r="D1191" s="22" t="n"/>
      <c r="E1191" s="22" t="n"/>
      <c r="F1191" s="22" t="n"/>
      <c r="G1191" s="22" t="n"/>
      <c r="H1191" s="22" t="n"/>
      <c r="I1191" s="22" t="n"/>
      <c r="J1191" s="22" t="n"/>
      <c r="K1191" s="22" t="n"/>
    </row>
    <row r="1192">
      <c r="A1192" s="324" t="n"/>
      <c r="B1192" s="22" t="n"/>
      <c r="C1192" s="22" t="n"/>
      <c r="D1192" s="22" t="n"/>
      <c r="E1192" s="22" t="n"/>
      <c r="F1192" s="22" t="n"/>
      <c r="G1192" s="22" t="n"/>
      <c r="H1192" s="22" t="n"/>
      <c r="I1192" s="22" t="n"/>
      <c r="J1192" s="22" t="n"/>
      <c r="K1192" s="22" t="n"/>
    </row>
    <row r="1193">
      <c r="A1193" s="324" t="n"/>
      <c r="B1193" s="22" t="n"/>
      <c r="C1193" s="22" t="n"/>
      <c r="D1193" s="22" t="n"/>
      <c r="E1193" s="22" t="n"/>
      <c r="F1193" s="22" t="n"/>
      <c r="G1193" s="22" t="n"/>
      <c r="H1193" s="22" t="n"/>
      <c r="I1193" s="22" t="n"/>
      <c r="J1193" s="22" t="n"/>
      <c r="K1193" s="22" t="n"/>
    </row>
    <row r="1194">
      <c r="A1194" s="324" t="n"/>
      <c r="B1194" s="22" t="n"/>
      <c r="C1194" s="22" t="n"/>
      <c r="D1194" s="22" t="n"/>
      <c r="E1194" s="22" t="n"/>
      <c r="F1194" s="22" t="n"/>
      <c r="G1194" s="22" t="n"/>
      <c r="H1194" s="22" t="n"/>
      <c r="I1194" s="22" t="n"/>
      <c r="J1194" s="22" t="n"/>
      <c r="K1194" s="22" t="n"/>
    </row>
    <row r="1195">
      <c r="A1195" s="324" t="n"/>
      <c r="B1195" s="22" t="n"/>
      <c r="C1195" s="22" t="n"/>
      <c r="D1195" s="22" t="n"/>
      <c r="E1195" s="22" t="n"/>
      <c r="F1195" s="22" t="n"/>
      <c r="G1195" s="22" t="n"/>
      <c r="H1195" s="22" t="n"/>
      <c r="I1195" s="22" t="n"/>
      <c r="J1195" s="22" t="n"/>
      <c r="K1195" s="22" t="n"/>
    </row>
    <row r="1196">
      <c r="A1196" s="324" t="n"/>
      <c r="B1196" s="22" t="n"/>
      <c r="C1196" s="22" t="n"/>
      <c r="D1196" s="22" t="n"/>
      <c r="E1196" s="22" t="n"/>
      <c r="F1196" s="22" t="n"/>
      <c r="G1196" s="22" t="n"/>
      <c r="H1196" s="22" t="n"/>
      <c r="I1196" s="22" t="n"/>
      <c r="J1196" s="22" t="n"/>
      <c r="K1196" s="22" t="n"/>
    </row>
    <row r="1197">
      <c r="A1197" s="324" t="n"/>
      <c r="B1197" s="22" t="n"/>
      <c r="C1197" s="22" t="n"/>
      <c r="D1197" s="22" t="n"/>
      <c r="E1197" s="22" t="n"/>
      <c r="F1197" s="22" t="n"/>
      <c r="G1197" s="22" t="n"/>
      <c r="H1197" s="22" t="n"/>
      <c r="I1197" s="22" t="n"/>
      <c r="J1197" s="22" t="n"/>
      <c r="K1197" s="22" t="n"/>
    </row>
    <row r="1198">
      <c r="A1198" s="324" t="n"/>
      <c r="B1198" s="22" t="n"/>
      <c r="C1198" s="22" t="n"/>
      <c r="D1198" s="22" t="n"/>
      <c r="E1198" s="22" t="n"/>
      <c r="F1198" s="22" t="n"/>
      <c r="G1198" s="22" t="n"/>
      <c r="H1198" s="22" t="n"/>
      <c r="I1198" s="22" t="n"/>
      <c r="J1198" s="22" t="n"/>
      <c r="K1198" s="22" t="n"/>
    </row>
    <row r="1199">
      <c r="A1199" s="324" t="n"/>
      <c r="B1199" s="22" t="n"/>
      <c r="C1199" s="22" t="n"/>
      <c r="D1199" s="22" t="n"/>
      <c r="E1199" s="22" t="n"/>
      <c r="F1199" s="22" t="n"/>
      <c r="G1199" s="22" t="n"/>
      <c r="H1199" s="22" t="n"/>
      <c r="I1199" s="22" t="n"/>
      <c r="J1199" s="22" t="n"/>
      <c r="K1199" s="22" t="n"/>
    </row>
    <row r="1200">
      <c r="A1200" s="324" t="n"/>
      <c r="B1200" s="22" t="n"/>
      <c r="C1200" s="22" t="n"/>
      <c r="D1200" s="22" t="n"/>
      <c r="E1200" s="22" t="n"/>
      <c r="F1200" s="22" t="n"/>
      <c r="G1200" s="22" t="n"/>
      <c r="H1200" s="22" t="n"/>
      <c r="I1200" s="22" t="n"/>
      <c r="J1200" s="22" t="n"/>
      <c r="K1200" s="22" t="n"/>
    </row>
    <row r="1201">
      <c r="A1201" s="324" t="n"/>
      <c r="B1201" s="22" t="n"/>
      <c r="C1201" s="22" t="n"/>
      <c r="D1201" s="22" t="n"/>
      <c r="E1201" s="22" t="n"/>
      <c r="F1201" s="22" t="n"/>
      <c r="G1201" s="22" t="n"/>
      <c r="H1201" s="22" t="n"/>
      <c r="I1201" s="22" t="n"/>
      <c r="J1201" s="22" t="n"/>
      <c r="K1201" s="22" t="n"/>
    </row>
    <row r="1202">
      <c r="A1202" s="324" t="n"/>
      <c r="B1202" s="22" t="n"/>
      <c r="C1202" s="22" t="n"/>
      <c r="D1202" s="22" t="n"/>
      <c r="E1202" s="22" t="n"/>
      <c r="F1202" s="22" t="n"/>
      <c r="G1202" s="22" t="n"/>
      <c r="H1202" s="22" t="n"/>
      <c r="I1202" s="22" t="n"/>
      <c r="J1202" s="22" t="n"/>
      <c r="K1202" s="22" t="n"/>
    </row>
    <row r="1203">
      <c r="A1203" s="324" t="n"/>
      <c r="B1203" s="22" t="n"/>
      <c r="C1203" s="22" t="n"/>
      <c r="D1203" s="22" t="n"/>
      <c r="E1203" s="22" t="n"/>
      <c r="F1203" s="22" t="n"/>
      <c r="G1203" s="22" t="n"/>
      <c r="H1203" s="22" t="n"/>
      <c r="I1203" s="22" t="n"/>
      <c r="J1203" s="22" t="n"/>
      <c r="K1203" s="22" t="n"/>
    </row>
    <row r="1204">
      <c r="A1204" s="324" t="n"/>
      <c r="B1204" s="22" t="n"/>
      <c r="C1204" s="22" t="n"/>
      <c r="D1204" s="22" t="n"/>
      <c r="E1204" s="22" t="n"/>
      <c r="F1204" s="22" t="n"/>
      <c r="G1204" s="22" t="n"/>
      <c r="H1204" s="22" t="n"/>
      <c r="I1204" s="22" t="n"/>
      <c r="J1204" s="22" t="n"/>
      <c r="K1204" s="22" t="n"/>
    </row>
    <row r="1205">
      <c r="A1205" s="324" t="n"/>
      <c r="B1205" s="22" t="n"/>
      <c r="C1205" s="22" t="n"/>
      <c r="D1205" s="22" t="n"/>
      <c r="E1205" s="22" t="n"/>
      <c r="F1205" s="22" t="n"/>
      <c r="G1205" s="22" t="n"/>
      <c r="H1205" s="22" t="n"/>
      <c r="I1205" s="22" t="n"/>
      <c r="J1205" s="22" t="n"/>
      <c r="K1205" s="22" t="n"/>
    </row>
    <row r="1206">
      <c r="A1206" s="324" t="n"/>
      <c r="B1206" s="22" t="n"/>
      <c r="C1206" s="22" t="n"/>
      <c r="D1206" s="22" t="n"/>
      <c r="E1206" s="22" t="n"/>
      <c r="F1206" s="22" t="n"/>
      <c r="G1206" s="22" t="n"/>
      <c r="H1206" s="22" t="n"/>
      <c r="I1206" s="22" t="n"/>
      <c r="J1206" s="22" t="n"/>
      <c r="K1206" s="22" t="n"/>
    </row>
    <row r="1207">
      <c r="A1207" s="324" t="n"/>
      <c r="B1207" s="22" t="n"/>
      <c r="C1207" s="22" t="n"/>
      <c r="D1207" s="22" t="n"/>
      <c r="E1207" s="22" t="n"/>
      <c r="F1207" s="22" t="n"/>
      <c r="G1207" s="22" t="n"/>
      <c r="H1207" s="22" t="n"/>
      <c r="I1207" s="22" t="n"/>
      <c r="J1207" s="22" t="n"/>
      <c r="K1207" s="22" t="n"/>
    </row>
    <row r="1208">
      <c r="A1208" s="324" t="n"/>
      <c r="B1208" s="22" t="n"/>
      <c r="C1208" s="22" t="n"/>
      <c r="D1208" s="22" t="n"/>
      <c r="E1208" s="22" t="n"/>
      <c r="F1208" s="22" t="n"/>
      <c r="G1208" s="22" t="n"/>
      <c r="H1208" s="22" t="n"/>
      <c r="I1208" s="22" t="n"/>
      <c r="J1208" s="22" t="n"/>
      <c r="K1208" s="22" t="n"/>
    </row>
    <row r="1209">
      <c r="A1209" s="324" t="n"/>
      <c r="B1209" s="22" t="n"/>
      <c r="C1209" s="22" t="n"/>
      <c r="D1209" s="22" t="n"/>
      <c r="E1209" s="22" t="n"/>
      <c r="F1209" s="22" t="n"/>
      <c r="G1209" s="22" t="n"/>
      <c r="H1209" s="22" t="n"/>
      <c r="I1209" s="22" t="n"/>
      <c r="J1209" s="22" t="n"/>
      <c r="K1209" s="22" t="n"/>
    </row>
    <row r="1210">
      <c r="A1210" s="324" t="n"/>
      <c r="B1210" s="22" t="n"/>
      <c r="C1210" s="22" t="n"/>
      <c r="D1210" s="22" t="n"/>
      <c r="E1210" s="22" t="n"/>
      <c r="F1210" s="22" t="n"/>
      <c r="G1210" s="22" t="n"/>
      <c r="H1210" s="22" t="n"/>
      <c r="I1210" s="22" t="n"/>
      <c r="J1210" s="22" t="n"/>
      <c r="K1210" s="22" t="n"/>
    </row>
    <row r="1211">
      <c r="A1211" s="324" t="n"/>
      <c r="B1211" s="22" t="n"/>
      <c r="C1211" s="22" t="n"/>
      <c r="D1211" s="22" t="n"/>
      <c r="E1211" s="22" t="n"/>
      <c r="F1211" s="22" t="n"/>
      <c r="G1211" s="22" t="n"/>
      <c r="H1211" s="22" t="n"/>
      <c r="I1211" s="22" t="n"/>
      <c r="J1211" s="22" t="n"/>
      <c r="K1211" s="22" t="n"/>
    </row>
    <row r="1212">
      <c r="A1212" s="324" t="n"/>
      <c r="B1212" s="22" t="n"/>
      <c r="C1212" s="22" t="n"/>
      <c r="D1212" s="22" t="n"/>
      <c r="E1212" s="22" t="n"/>
      <c r="F1212" s="22" t="n"/>
      <c r="G1212" s="22" t="n"/>
      <c r="H1212" s="22" t="n"/>
      <c r="I1212" s="22" t="n"/>
      <c r="J1212" s="22" t="n"/>
      <c r="K1212" s="22" t="n"/>
    </row>
    <row r="1213">
      <c r="A1213" s="324" t="n"/>
      <c r="B1213" s="22" t="n"/>
      <c r="C1213" s="22" t="n"/>
      <c r="D1213" s="22" t="n"/>
      <c r="E1213" s="22" t="n"/>
      <c r="F1213" s="22" t="n"/>
      <c r="G1213" s="22" t="n"/>
      <c r="H1213" s="22" t="n"/>
      <c r="I1213" s="22" t="n"/>
      <c r="J1213" s="22" t="n"/>
      <c r="K1213" s="22" t="n"/>
    </row>
    <row r="1214">
      <c r="A1214" s="324" t="n"/>
      <c r="B1214" s="22" t="n"/>
      <c r="C1214" s="22" t="n"/>
      <c r="D1214" s="22" t="n"/>
      <c r="E1214" s="22" t="n"/>
      <c r="F1214" s="22" t="n"/>
      <c r="G1214" s="22" t="n"/>
      <c r="H1214" s="22" t="n"/>
      <c r="I1214" s="22" t="n"/>
      <c r="J1214" s="22" t="n"/>
      <c r="K1214" s="22" t="n"/>
    </row>
    <row r="1215">
      <c r="A1215" s="324" t="n"/>
      <c r="B1215" s="22" t="n"/>
      <c r="C1215" s="22" t="n"/>
      <c r="D1215" s="22" t="n"/>
      <c r="E1215" s="22" t="n"/>
      <c r="F1215" s="22" t="n"/>
      <c r="G1215" s="22" t="n"/>
      <c r="H1215" s="22" t="n"/>
      <c r="I1215" s="22" t="n"/>
      <c r="J1215" s="22" t="n"/>
      <c r="K1215" s="22" t="n"/>
    </row>
    <row r="1216">
      <c r="A1216" s="324" t="n"/>
      <c r="B1216" s="22" t="n"/>
      <c r="C1216" s="22" t="n"/>
      <c r="D1216" s="22" t="n"/>
      <c r="E1216" s="22" t="n"/>
      <c r="F1216" s="22" t="n"/>
      <c r="G1216" s="22" t="n"/>
      <c r="H1216" s="22" t="n"/>
      <c r="I1216" s="22" t="n"/>
      <c r="J1216" s="22" t="n"/>
      <c r="K1216" s="22" t="n"/>
    </row>
    <row r="1217">
      <c r="A1217" s="324" t="n"/>
      <c r="B1217" s="22" t="n"/>
      <c r="C1217" s="22" t="n"/>
      <c r="D1217" s="22" t="n"/>
      <c r="E1217" s="22" t="n"/>
      <c r="F1217" s="22" t="n"/>
      <c r="G1217" s="22" t="n"/>
      <c r="H1217" s="22" t="n"/>
      <c r="I1217" s="22" t="n"/>
      <c r="J1217" s="22" t="n"/>
      <c r="K1217" s="22" t="n"/>
    </row>
    <row r="1218">
      <c r="A1218" s="324" t="n"/>
      <c r="B1218" s="22" t="n"/>
      <c r="C1218" s="22" t="n"/>
      <c r="D1218" s="22" t="n"/>
      <c r="E1218" s="22" t="n"/>
      <c r="F1218" s="22" t="n"/>
      <c r="G1218" s="22" t="n"/>
      <c r="H1218" s="22" t="n"/>
      <c r="I1218" s="22" t="n"/>
      <c r="J1218" s="22" t="n"/>
      <c r="K1218" s="22" t="n"/>
    </row>
    <row r="1219">
      <c r="A1219" s="324" t="n"/>
      <c r="B1219" s="22" t="n"/>
      <c r="C1219" s="22" t="n"/>
      <c r="D1219" s="22" t="n"/>
      <c r="E1219" s="22" t="n"/>
      <c r="F1219" s="22" t="n"/>
      <c r="G1219" s="22" t="n"/>
      <c r="H1219" s="22" t="n"/>
      <c r="I1219" s="22" t="n"/>
      <c r="J1219" s="22" t="n"/>
      <c r="K1219" s="22" t="n"/>
    </row>
    <row r="1220">
      <c r="A1220" s="324" t="n"/>
      <c r="B1220" s="22" t="n"/>
      <c r="C1220" s="22" t="n"/>
      <c r="D1220" s="22" t="n"/>
      <c r="E1220" s="22" t="n"/>
      <c r="F1220" s="22" t="n"/>
      <c r="G1220" s="22" t="n"/>
      <c r="H1220" s="22" t="n"/>
      <c r="I1220" s="22" t="n"/>
      <c r="J1220" s="22" t="n"/>
      <c r="K1220" s="22" t="n"/>
    </row>
    <row r="1221">
      <c r="A1221" s="324" t="n"/>
      <c r="B1221" s="22" t="n"/>
      <c r="C1221" s="22" t="n"/>
      <c r="D1221" s="22" t="n"/>
      <c r="E1221" s="22" t="n"/>
      <c r="F1221" s="22" t="n"/>
      <c r="G1221" s="22" t="n"/>
      <c r="H1221" s="22" t="n"/>
      <c r="I1221" s="22" t="n"/>
      <c r="J1221" s="22" t="n"/>
      <c r="K1221" s="22" t="n"/>
    </row>
    <row r="1222">
      <c r="A1222" s="324" t="n"/>
      <c r="B1222" s="22" t="n"/>
      <c r="C1222" s="22" t="n"/>
      <c r="D1222" s="22" t="n"/>
      <c r="E1222" s="22" t="n"/>
      <c r="F1222" s="22" t="n"/>
      <c r="G1222" s="22" t="n"/>
      <c r="H1222" s="22" t="n"/>
      <c r="I1222" s="22" t="n"/>
      <c r="J1222" s="22" t="n"/>
      <c r="K1222" s="22" t="n"/>
    </row>
    <row r="1223">
      <c r="A1223" s="324" t="n"/>
      <c r="B1223" s="22" t="n"/>
      <c r="C1223" s="22" t="n"/>
      <c r="D1223" s="22" t="n"/>
      <c r="E1223" s="22" t="n"/>
      <c r="F1223" s="22" t="n"/>
      <c r="G1223" s="22" t="n"/>
      <c r="H1223" s="22" t="n"/>
      <c r="I1223" s="22" t="n"/>
      <c r="J1223" s="22" t="n"/>
      <c r="K1223" s="22" t="n"/>
    </row>
    <row r="1224">
      <c r="A1224" s="324" t="n"/>
      <c r="B1224" s="22" t="n"/>
      <c r="C1224" s="22" t="n"/>
      <c r="D1224" s="22" t="n"/>
      <c r="E1224" s="22" t="n"/>
      <c r="F1224" s="22" t="n"/>
      <c r="G1224" s="22" t="n"/>
      <c r="H1224" s="22" t="n"/>
      <c r="I1224" s="22" t="n"/>
      <c r="J1224" s="22" t="n"/>
      <c r="K1224" s="22" t="n"/>
    </row>
    <row r="1225">
      <c r="A1225" s="324" t="n"/>
      <c r="B1225" s="22" t="n"/>
      <c r="C1225" s="22" t="n"/>
      <c r="D1225" s="22" t="n"/>
      <c r="E1225" s="22" t="n"/>
      <c r="F1225" s="22" t="n"/>
      <c r="G1225" s="22" t="n"/>
      <c r="H1225" s="22" t="n"/>
      <c r="I1225" s="22" t="n"/>
      <c r="J1225" s="22" t="n"/>
      <c r="K1225" s="22" t="n"/>
    </row>
    <row r="1226">
      <c r="A1226" s="324" t="n"/>
      <c r="B1226" s="22" t="n"/>
      <c r="C1226" s="22" t="n"/>
      <c r="D1226" s="22" t="n"/>
      <c r="E1226" s="22" t="n"/>
      <c r="F1226" s="22" t="n"/>
      <c r="G1226" s="22" t="n"/>
      <c r="H1226" s="22" t="n"/>
      <c r="I1226" s="22" t="n"/>
      <c r="J1226" s="22" t="n"/>
      <c r="K1226" s="22" t="n"/>
    </row>
    <row r="1227">
      <c r="A1227" s="324" t="n"/>
      <c r="B1227" s="22" t="n"/>
      <c r="C1227" s="22" t="n"/>
      <c r="D1227" s="22" t="n"/>
      <c r="E1227" s="22" t="n"/>
      <c r="F1227" s="22" t="n"/>
      <c r="G1227" s="22" t="n"/>
      <c r="H1227" s="22" t="n"/>
      <c r="I1227" s="22" t="n"/>
      <c r="J1227" s="22" t="n"/>
      <c r="K1227" s="22" t="n"/>
    </row>
    <row r="1228">
      <c r="A1228" s="324" t="n"/>
      <c r="B1228" s="22" t="n"/>
      <c r="C1228" s="22" t="n"/>
      <c r="D1228" s="22" t="n"/>
      <c r="E1228" s="22" t="n"/>
      <c r="F1228" s="22" t="n"/>
      <c r="G1228" s="22" t="n"/>
      <c r="H1228" s="22" t="n"/>
      <c r="I1228" s="22" t="n"/>
      <c r="J1228" s="22" t="n"/>
      <c r="K1228" s="22" t="n"/>
    </row>
    <row r="1229">
      <c r="A1229" s="324" t="n"/>
      <c r="B1229" s="22" t="n"/>
      <c r="C1229" s="22" t="n"/>
      <c r="D1229" s="22" t="n"/>
      <c r="E1229" s="22" t="n"/>
      <c r="F1229" s="22" t="n"/>
      <c r="G1229" s="22" t="n"/>
      <c r="H1229" s="22" t="n"/>
      <c r="I1229" s="22" t="n"/>
      <c r="J1229" s="22" t="n"/>
      <c r="K1229" s="22" t="n"/>
    </row>
    <row r="1230">
      <c r="A1230" s="324" t="n"/>
      <c r="B1230" s="22" t="n"/>
      <c r="C1230" s="22" t="n"/>
      <c r="D1230" s="22" t="n"/>
      <c r="E1230" s="22" t="n"/>
      <c r="F1230" s="22" t="n"/>
      <c r="G1230" s="22" t="n"/>
      <c r="H1230" s="22" t="n"/>
      <c r="I1230" s="22" t="n"/>
      <c r="J1230" s="22" t="n"/>
      <c r="K1230" s="22" t="n"/>
    </row>
    <row r="1231">
      <c r="A1231" s="324" t="n"/>
      <c r="B1231" s="22" t="n"/>
      <c r="C1231" s="22" t="n"/>
      <c r="D1231" s="22" t="n"/>
      <c r="E1231" s="22" t="n"/>
      <c r="F1231" s="22" t="n"/>
      <c r="G1231" s="22" t="n"/>
      <c r="H1231" s="22" t="n"/>
      <c r="I1231" s="22" t="n"/>
      <c r="J1231" s="22" t="n"/>
      <c r="K1231" s="22" t="n"/>
    </row>
    <row r="1232">
      <c r="A1232" s="324" t="n"/>
      <c r="B1232" s="22" t="n"/>
      <c r="C1232" s="22" t="n"/>
      <c r="D1232" s="22" t="n"/>
      <c r="E1232" s="22" t="n"/>
      <c r="F1232" s="22" t="n"/>
      <c r="G1232" s="22" t="n"/>
      <c r="H1232" s="22" t="n"/>
      <c r="I1232" s="22" t="n"/>
      <c r="J1232" s="22" t="n"/>
      <c r="K1232" s="22" t="n"/>
    </row>
    <row r="1233">
      <c r="A1233" s="324" t="n"/>
      <c r="B1233" s="22" t="n"/>
      <c r="C1233" s="22" t="n"/>
      <c r="D1233" s="22" t="n"/>
      <c r="E1233" s="22" t="n"/>
      <c r="F1233" s="22" t="n"/>
      <c r="G1233" s="22" t="n"/>
      <c r="H1233" s="22" t="n"/>
      <c r="I1233" s="22" t="n"/>
      <c r="J1233" s="22" t="n"/>
      <c r="K1233" s="22" t="n"/>
    </row>
    <row r="1234">
      <c r="A1234" s="324" t="n"/>
      <c r="B1234" s="22" t="n"/>
      <c r="C1234" s="22" t="n"/>
      <c r="D1234" s="22" t="n"/>
      <c r="E1234" s="22" t="n"/>
      <c r="F1234" s="22" t="n"/>
      <c r="G1234" s="22" t="n"/>
      <c r="H1234" s="22" t="n"/>
      <c r="I1234" s="22" t="n"/>
      <c r="J1234" s="22" t="n"/>
      <c r="K1234" s="22" t="n"/>
    </row>
    <row r="1235">
      <c r="A1235" s="324" t="n"/>
      <c r="B1235" s="22" t="n"/>
      <c r="C1235" s="22" t="n"/>
      <c r="D1235" s="22" t="n"/>
      <c r="E1235" s="22" t="n"/>
      <c r="F1235" s="22" t="n"/>
      <c r="G1235" s="22" t="n"/>
      <c r="H1235" s="22" t="n"/>
      <c r="I1235" s="22" t="n"/>
      <c r="J1235" s="22" t="n"/>
      <c r="K1235" s="22" t="n"/>
    </row>
    <row r="1236">
      <c r="A1236" s="324" t="n"/>
      <c r="B1236" s="22" t="n"/>
      <c r="C1236" s="22" t="n"/>
      <c r="D1236" s="22" t="n"/>
      <c r="E1236" s="22" t="n"/>
      <c r="F1236" s="22" t="n"/>
      <c r="G1236" s="22" t="n"/>
      <c r="H1236" s="22" t="n"/>
      <c r="I1236" s="22" t="n"/>
      <c r="J1236" s="22" t="n"/>
      <c r="K1236" s="22" t="n"/>
    </row>
    <row r="1237">
      <c r="A1237" s="324" t="n"/>
      <c r="B1237" s="22" t="n"/>
      <c r="C1237" s="22" t="n"/>
      <c r="D1237" s="22" t="n"/>
      <c r="E1237" s="22" t="n"/>
      <c r="F1237" s="22" t="n"/>
      <c r="G1237" s="22" t="n"/>
      <c r="H1237" s="22" t="n"/>
      <c r="I1237" s="22" t="n"/>
      <c r="J1237" s="22" t="n"/>
      <c r="K1237" s="22" t="n"/>
    </row>
    <row r="1238">
      <c r="A1238" s="324" t="n"/>
      <c r="B1238" s="22" t="n"/>
      <c r="C1238" s="22" t="n"/>
      <c r="D1238" s="22" t="n"/>
      <c r="E1238" s="22" t="n"/>
      <c r="F1238" s="22" t="n"/>
      <c r="G1238" s="22" t="n"/>
      <c r="H1238" s="22" t="n"/>
      <c r="I1238" s="22" t="n"/>
      <c r="J1238" s="22" t="n"/>
      <c r="K1238" s="22" t="n"/>
    </row>
    <row r="1239">
      <c r="A1239" s="324" t="n"/>
      <c r="B1239" s="22" t="n"/>
      <c r="C1239" s="22" t="n"/>
      <c r="D1239" s="22" t="n"/>
      <c r="E1239" s="22" t="n"/>
      <c r="F1239" s="22" t="n"/>
      <c r="G1239" s="22" t="n"/>
      <c r="H1239" s="22" t="n"/>
      <c r="I1239" s="22" t="n"/>
      <c r="J1239" s="22" t="n"/>
      <c r="K1239" s="22" t="n"/>
    </row>
    <row r="1240">
      <c r="A1240" s="324" t="n"/>
      <c r="B1240" s="22" t="n"/>
      <c r="C1240" s="22" t="n"/>
      <c r="D1240" s="22" t="n"/>
      <c r="E1240" s="22" t="n"/>
      <c r="F1240" s="22" t="n"/>
      <c r="G1240" s="22" t="n"/>
      <c r="H1240" s="22" t="n"/>
      <c r="I1240" s="22" t="n"/>
      <c r="J1240" s="22" t="n"/>
      <c r="K1240" s="22" t="n"/>
    </row>
    <row r="1241">
      <c r="A1241" s="324" t="n"/>
      <c r="B1241" s="22" t="n"/>
      <c r="C1241" s="22" t="n"/>
      <c r="D1241" s="22" t="n"/>
      <c r="E1241" s="22" t="n"/>
      <c r="F1241" s="22" t="n"/>
      <c r="G1241" s="22" t="n"/>
      <c r="H1241" s="22" t="n"/>
      <c r="I1241" s="22" t="n"/>
      <c r="J1241" s="22" t="n"/>
      <c r="K1241" s="22" t="n"/>
    </row>
    <row r="1242">
      <c r="A1242" s="324" t="n"/>
      <c r="B1242" s="22" t="n"/>
      <c r="C1242" s="22" t="n"/>
      <c r="D1242" s="22" t="n"/>
      <c r="E1242" s="22" t="n"/>
      <c r="F1242" s="22" t="n"/>
      <c r="G1242" s="22" t="n"/>
      <c r="H1242" s="22" t="n"/>
      <c r="I1242" s="22" t="n"/>
      <c r="J1242" s="22" t="n"/>
      <c r="K1242" s="22" t="n"/>
    </row>
    <row r="1243">
      <c r="A1243" s="324" t="n"/>
      <c r="B1243" s="22" t="n"/>
      <c r="C1243" s="22" t="n"/>
      <c r="D1243" s="22" t="n"/>
      <c r="E1243" s="22" t="n"/>
      <c r="F1243" s="22" t="n"/>
      <c r="G1243" s="22" t="n"/>
      <c r="H1243" s="22" t="n"/>
      <c r="I1243" s="22" t="n"/>
      <c r="J1243" s="22" t="n"/>
      <c r="K1243" s="22" t="n"/>
    </row>
    <row r="1244">
      <c r="A1244" s="324" t="n"/>
      <c r="B1244" s="22" t="n"/>
      <c r="C1244" s="22" t="n"/>
      <c r="D1244" s="22" t="n"/>
      <c r="E1244" s="22" t="n"/>
      <c r="F1244" s="22" t="n"/>
      <c r="G1244" s="22" t="n"/>
      <c r="H1244" s="22" t="n"/>
      <c r="I1244" s="22" t="n"/>
      <c r="J1244" s="22" t="n"/>
      <c r="K1244" s="22" t="n"/>
    </row>
    <row r="1245">
      <c r="A1245" s="324" t="n"/>
      <c r="B1245" s="22" t="n"/>
      <c r="C1245" s="22" t="n"/>
      <c r="D1245" s="22" t="n"/>
      <c r="E1245" s="22" t="n"/>
      <c r="F1245" s="22" t="n"/>
      <c r="G1245" s="22" t="n"/>
      <c r="H1245" s="22" t="n"/>
      <c r="I1245" s="22" t="n"/>
      <c r="J1245" s="22" t="n"/>
      <c r="K1245" s="22" t="n"/>
    </row>
    <row r="1246">
      <c r="A1246" s="324" t="n"/>
      <c r="B1246" s="22" t="n"/>
      <c r="C1246" s="22" t="n"/>
      <c r="D1246" s="22" t="n"/>
      <c r="E1246" s="22" t="n"/>
      <c r="F1246" s="22" t="n"/>
      <c r="G1246" s="22" t="n"/>
      <c r="H1246" s="22" t="n"/>
      <c r="I1246" s="22" t="n"/>
      <c r="J1246" s="22" t="n"/>
      <c r="K1246" s="22" t="n"/>
    </row>
    <row r="1247">
      <c r="A1247" s="324" t="n"/>
      <c r="B1247" s="22" t="n"/>
      <c r="C1247" s="22" t="n"/>
      <c r="D1247" s="22" t="n"/>
      <c r="E1247" s="22" t="n"/>
      <c r="F1247" s="22" t="n"/>
      <c r="G1247" s="22" t="n"/>
      <c r="H1247" s="22" t="n"/>
      <c r="I1247" s="22" t="n"/>
      <c r="J1247" s="22" t="n"/>
      <c r="K1247" s="22" t="n"/>
    </row>
    <row r="1248">
      <c r="A1248" s="324" t="n"/>
      <c r="B1248" s="22" t="n"/>
      <c r="C1248" s="22" t="n"/>
      <c r="D1248" s="22" t="n"/>
      <c r="E1248" s="22" t="n"/>
      <c r="F1248" s="22" t="n"/>
      <c r="G1248" s="22" t="n"/>
      <c r="H1248" s="22" t="n"/>
      <c r="I1248" s="22" t="n"/>
      <c r="J1248" s="22" t="n"/>
      <c r="K1248" s="22" t="n"/>
    </row>
    <row r="1249">
      <c r="A1249" s="324" t="n"/>
      <c r="B1249" s="22" t="n"/>
      <c r="C1249" s="22" t="n"/>
      <c r="D1249" s="22" t="n"/>
      <c r="E1249" s="22" t="n"/>
      <c r="F1249" s="22" t="n"/>
      <c r="G1249" s="22" t="n"/>
      <c r="H1249" s="22" t="n"/>
      <c r="I1249" s="22" t="n"/>
      <c r="J1249" s="22" t="n"/>
      <c r="K1249" s="22" t="n"/>
    </row>
    <row r="1250">
      <c r="A1250" s="324" t="n"/>
      <c r="B1250" s="22" t="n"/>
      <c r="C1250" s="22" t="n"/>
      <c r="D1250" s="22" t="n"/>
      <c r="E1250" s="22" t="n"/>
      <c r="F1250" s="22" t="n"/>
      <c r="G1250" s="22" t="n"/>
      <c r="H1250" s="22" t="n"/>
      <c r="I1250" s="22" t="n"/>
      <c r="J1250" s="22" t="n"/>
      <c r="K1250" s="22" t="n"/>
    </row>
    <row r="1251">
      <c r="A1251" s="324" t="n"/>
      <c r="B1251" s="22" t="n"/>
      <c r="C1251" s="22" t="n"/>
      <c r="D1251" s="22" t="n"/>
      <c r="E1251" s="22" t="n"/>
      <c r="F1251" s="22" t="n"/>
      <c r="G1251" s="22" t="n"/>
      <c r="H1251" s="22" t="n"/>
      <c r="I1251" s="22" t="n"/>
      <c r="J1251" s="22" t="n"/>
      <c r="K1251" s="22" t="n"/>
    </row>
    <row r="1252">
      <c r="A1252" s="324" t="n"/>
      <c r="B1252" s="22" t="n"/>
      <c r="C1252" s="22" t="n"/>
      <c r="D1252" s="22" t="n"/>
      <c r="E1252" s="22" t="n"/>
      <c r="F1252" s="22" t="n"/>
      <c r="G1252" s="22" t="n"/>
      <c r="H1252" s="22" t="n"/>
      <c r="I1252" s="22" t="n"/>
      <c r="J1252" s="22" t="n"/>
      <c r="K1252" s="22" t="n"/>
    </row>
    <row r="1253">
      <c r="A1253" s="324" t="n"/>
      <c r="B1253" s="22" t="n"/>
      <c r="C1253" s="22" t="n"/>
      <c r="D1253" s="22" t="n"/>
      <c r="E1253" s="22" t="n"/>
      <c r="F1253" s="22" t="n"/>
      <c r="G1253" s="22" t="n"/>
      <c r="H1253" s="22" t="n"/>
      <c r="I1253" s="22" t="n"/>
      <c r="J1253" s="22" t="n"/>
      <c r="K1253" s="22" t="n"/>
    </row>
    <row r="1254">
      <c r="A1254" s="324" t="n"/>
      <c r="B1254" s="22" t="n"/>
      <c r="C1254" s="22" t="n"/>
      <c r="D1254" s="22" t="n"/>
      <c r="E1254" s="22" t="n"/>
      <c r="F1254" s="22" t="n"/>
      <c r="G1254" s="22" t="n"/>
      <c r="H1254" s="22" t="n"/>
      <c r="I1254" s="22" t="n"/>
      <c r="J1254" s="22" t="n"/>
      <c r="K1254" s="22" t="n"/>
    </row>
    <row r="1255">
      <c r="A1255" s="324" t="n"/>
      <c r="B1255" s="22" t="n"/>
      <c r="C1255" s="22" t="n"/>
      <c r="D1255" s="22" t="n"/>
      <c r="E1255" s="22" t="n"/>
      <c r="F1255" s="22" t="n"/>
      <c r="G1255" s="22" t="n"/>
      <c r="H1255" s="22" t="n"/>
      <c r="I1255" s="22" t="n"/>
      <c r="J1255" s="22" t="n"/>
      <c r="K1255" s="22" t="n"/>
    </row>
    <row r="1256">
      <c r="A1256" s="324" t="n"/>
      <c r="B1256" s="22" t="n"/>
      <c r="C1256" s="22" t="n"/>
      <c r="D1256" s="22" t="n"/>
      <c r="E1256" s="22" t="n"/>
      <c r="F1256" s="22" t="n"/>
      <c r="G1256" s="22" t="n"/>
      <c r="H1256" s="22" t="n"/>
      <c r="I1256" s="22" t="n"/>
      <c r="J1256" s="22" t="n"/>
      <c r="K1256" s="22" t="n"/>
    </row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  <row r="4027"/>
    <row r="4028"/>
    <row r="4029"/>
    <row r="4030"/>
    <row r="4031"/>
    <row r="4032"/>
    <row r="4033"/>
    <row r="4034"/>
    <row r="4035"/>
    <row r="4036"/>
    <row r="4037"/>
    <row r="4038"/>
    <row r="4039"/>
    <row r="4040"/>
    <row r="4041"/>
    <row r="4042"/>
    <row r="4043"/>
    <row r="4044"/>
    <row r="4045"/>
    <row r="4046"/>
    <row r="4047"/>
    <row r="4048"/>
    <row r="4049"/>
    <row r="4050"/>
    <row r="4051"/>
    <row r="4052"/>
    <row r="4053"/>
    <row r="4054"/>
    <row r="4055"/>
    <row r="4056"/>
    <row r="4057"/>
    <row r="4058"/>
    <row r="4059"/>
    <row r="4060"/>
    <row r="4061"/>
    <row r="4062"/>
    <row r="4063"/>
    <row r="4064"/>
    <row r="4065"/>
    <row r="4066"/>
    <row r="4067"/>
    <row r="4068"/>
    <row r="4069"/>
    <row r="4070"/>
    <row r="4071"/>
    <row r="4072"/>
    <row r="4073"/>
    <row r="4074"/>
    <row r="4075"/>
    <row r="4076"/>
    <row r="4077"/>
    <row r="4078"/>
    <row r="4079"/>
    <row r="4080"/>
    <row r="4081"/>
    <row r="4082"/>
    <row r="4083"/>
    <row r="4084"/>
    <row r="4085"/>
    <row r="4086"/>
    <row r="4087"/>
    <row r="4088"/>
    <row r="4089"/>
    <row r="4090"/>
    <row r="4091"/>
    <row r="4092"/>
    <row r="4093"/>
    <row r="4094"/>
    <row r="4095"/>
    <row r="4096"/>
    <row r="4097"/>
    <row r="4098"/>
    <row r="4099"/>
    <row r="4100"/>
    <row r="4101"/>
    <row r="4102"/>
    <row r="4103"/>
    <row r="4104"/>
    <row r="4105"/>
    <row r="4106"/>
    <row r="4107"/>
    <row r="4108"/>
    <row r="4109"/>
    <row r="4110"/>
    <row r="4111"/>
    <row r="4112"/>
    <row r="4113"/>
    <row r="4114"/>
    <row r="4115"/>
    <row r="4116"/>
    <row r="4117"/>
    <row r="4118"/>
    <row r="4119"/>
    <row r="4120"/>
    <row r="4121"/>
    <row r="4122"/>
    <row r="4123"/>
    <row r="4124"/>
    <row r="4125"/>
    <row r="4126"/>
    <row r="4127"/>
    <row r="4128"/>
    <row r="4129"/>
    <row r="4130"/>
    <row r="4131"/>
    <row r="4132"/>
    <row r="4133"/>
    <row r="4134"/>
    <row r="4135"/>
    <row r="4136"/>
    <row r="4137"/>
    <row r="4138"/>
    <row r="4139"/>
    <row r="4140"/>
    <row r="4141"/>
    <row r="4142"/>
    <row r="4143"/>
    <row r="4144"/>
    <row r="4145"/>
    <row r="4146"/>
    <row r="4147"/>
    <row r="4148"/>
    <row r="4149"/>
    <row r="4150"/>
    <row r="4151"/>
    <row r="4152"/>
    <row r="4153"/>
    <row r="4154"/>
    <row r="4155"/>
    <row r="4156"/>
    <row r="4157"/>
    <row r="4158"/>
    <row r="4159"/>
    <row r="4160"/>
    <row r="4161"/>
    <row r="4162"/>
    <row r="4163"/>
    <row r="4164"/>
    <row r="4165"/>
    <row r="4166"/>
    <row r="4167"/>
    <row r="4168"/>
    <row r="4169"/>
    <row r="4170"/>
    <row r="4171"/>
    <row r="4172"/>
    <row r="4173"/>
    <row r="4174"/>
    <row r="4175"/>
    <row r="4176"/>
    <row r="4177"/>
    <row r="4178"/>
    <row r="4179"/>
    <row r="4180"/>
    <row r="4181"/>
    <row r="4182"/>
    <row r="4183"/>
    <row r="4184"/>
    <row r="4185"/>
    <row r="4186"/>
    <row r="4187"/>
    <row r="4188"/>
    <row r="4189"/>
    <row r="4190"/>
    <row r="4191"/>
    <row r="4192"/>
    <row r="4193"/>
    <row r="4194"/>
    <row r="4195"/>
    <row r="4196"/>
    <row r="4197"/>
    <row r="4198"/>
    <row r="4199"/>
    <row r="4200"/>
    <row r="4201"/>
    <row r="4202"/>
    <row r="4203"/>
    <row r="4204"/>
    <row r="4205"/>
    <row r="4206"/>
    <row r="4207"/>
    <row r="4208"/>
    <row r="4209"/>
    <row r="4210"/>
    <row r="4211"/>
    <row r="4212"/>
    <row r="4213"/>
    <row r="4214"/>
    <row r="4215"/>
    <row r="4216"/>
    <row r="4217"/>
    <row r="4218"/>
    <row r="4219"/>
    <row r="4220"/>
    <row r="4221"/>
    <row r="4222"/>
    <row r="4223"/>
    <row r="4224"/>
    <row r="4225"/>
    <row r="4226"/>
    <row r="4227"/>
    <row r="4228"/>
    <row r="4229"/>
    <row r="4230"/>
    <row r="4231"/>
    <row r="4232"/>
    <row r="4233"/>
    <row r="4234"/>
    <row r="4235"/>
    <row r="4236"/>
    <row r="4237"/>
    <row r="4238"/>
    <row r="4239"/>
    <row r="4240"/>
    <row r="4241"/>
    <row r="4242"/>
    <row r="4243"/>
    <row r="4244"/>
    <row r="4245"/>
    <row r="4246"/>
    <row r="4247"/>
    <row r="4248"/>
    <row r="4249"/>
    <row r="4250"/>
    <row r="4251"/>
    <row r="4252"/>
    <row r="4253"/>
    <row r="4254"/>
    <row r="4255"/>
    <row r="4256"/>
    <row r="4257"/>
    <row r="4258"/>
    <row r="4259"/>
    <row r="4260"/>
    <row r="4261"/>
    <row r="4262"/>
    <row r="4263"/>
    <row r="4264"/>
    <row r="4265"/>
    <row r="4266"/>
    <row r="4267"/>
    <row r="4268"/>
    <row r="4269"/>
    <row r="4270"/>
    <row r="4271"/>
    <row r="4272"/>
    <row r="4273"/>
    <row r="4274"/>
    <row r="4275"/>
    <row r="4276"/>
    <row r="4277"/>
    <row r="4278"/>
    <row r="4279"/>
    <row r="4280"/>
    <row r="4281"/>
    <row r="4282"/>
    <row r="4283"/>
    <row r="4284"/>
    <row r="4285"/>
    <row r="4286"/>
    <row r="4287"/>
    <row r="4288"/>
    <row r="4289"/>
    <row r="4290"/>
    <row r="4291"/>
    <row r="4292"/>
    <row r="4293"/>
    <row r="4294"/>
    <row r="4295"/>
    <row r="4296"/>
    <row r="4297"/>
    <row r="4298"/>
    <row r="4299"/>
    <row r="4300"/>
    <row r="4301"/>
    <row r="4302"/>
    <row r="4303"/>
    <row r="4304"/>
    <row r="4305"/>
    <row r="4306"/>
    <row r="4307"/>
    <row r="4308"/>
    <row r="4309"/>
    <row r="4310"/>
    <row r="4311"/>
    <row r="4312"/>
    <row r="4313"/>
    <row r="4314"/>
    <row r="4315"/>
    <row r="4316"/>
    <row r="4317"/>
    <row r="4318"/>
    <row r="4319"/>
    <row r="4320"/>
    <row r="4321"/>
    <row r="4322"/>
    <row r="4323"/>
    <row r="4324"/>
    <row r="4325"/>
    <row r="4326"/>
    <row r="4327"/>
    <row r="4328"/>
    <row r="4329"/>
    <row r="4330"/>
    <row r="4331"/>
    <row r="4332"/>
    <row r="4333"/>
    <row r="4334"/>
    <row r="4335"/>
    <row r="4336"/>
    <row r="4337"/>
    <row r="4338"/>
    <row r="4339"/>
    <row r="4340"/>
    <row r="4341"/>
    <row r="4342"/>
    <row r="4343"/>
    <row r="4344"/>
    <row r="4345"/>
    <row r="4346"/>
    <row r="4347"/>
    <row r="4348"/>
    <row r="4349"/>
    <row r="4350"/>
    <row r="4351"/>
    <row r="4352"/>
    <row r="4353"/>
    <row r="4354"/>
    <row r="4355"/>
    <row r="4356"/>
    <row r="4357"/>
    <row r="4358"/>
    <row r="4359"/>
    <row r="4360"/>
    <row r="4361"/>
    <row r="4362"/>
    <row r="4363"/>
    <row r="4364"/>
    <row r="4365"/>
    <row r="4366"/>
    <row r="4367"/>
    <row r="4368"/>
    <row r="4369"/>
    <row r="4370"/>
    <row r="4371"/>
    <row r="4372"/>
    <row r="4373"/>
    <row r="4374"/>
    <row r="4375"/>
    <row r="4376"/>
    <row r="4377"/>
    <row r="4378"/>
    <row r="4379"/>
    <row r="4380"/>
    <row r="4381"/>
    <row r="4382"/>
    <row r="4383"/>
    <row r="4384"/>
    <row r="4385"/>
    <row r="4386"/>
    <row r="4387"/>
    <row r="4388"/>
    <row r="4389"/>
    <row r="4390"/>
    <row r="4391"/>
    <row r="4392"/>
    <row r="4393"/>
    <row r="4394"/>
    <row r="4395"/>
    <row r="4396"/>
    <row r="4397"/>
    <row r="4398"/>
    <row r="4399"/>
    <row r="4400"/>
    <row r="4401"/>
    <row r="4402"/>
    <row r="4403"/>
    <row r="4404"/>
    <row r="4405"/>
    <row r="4406"/>
    <row r="4407"/>
    <row r="4408"/>
    <row r="4409"/>
    <row r="4410"/>
    <row r="4411"/>
    <row r="4412"/>
    <row r="4413"/>
    <row r="4414"/>
    <row r="4415"/>
    <row r="4416"/>
    <row r="4417"/>
    <row r="4418"/>
    <row r="4419"/>
    <row r="4420"/>
    <row r="4421"/>
    <row r="4422"/>
    <row r="4423"/>
    <row r="4424"/>
    <row r="4425"/>
    <row r="4426"/>
    <row r="4427"/>
    <row r="4428"/>
    <row r="4429"/>
    <row r="4430"/>
    <row r="4431"/>
    <row r="4432"/>
    <row r="4433"/>
    <row r="4434"/>
    <row r="4435"/>
    <row r="4436"/>
    <row r="4437"/>
    <row r="4438"/>
    <row r="4439"/>
    <row r="4440"/>
    <row r="4441"/>
    <row r="4442"/>
    <row r="4443"/>
    <row r="4444"/>
    <row r="4445"/>
    <row r="4446"/>
    <row r="4447"/>
    <row r="4448"/>
    <row r="4449"/>
    <row r="4450"/>
    <row r="4451"/>
    <row r="4452"/>
    <row r="4453"/>
    <row r="4454"/>
    <row r="4455"/>
    <row r="4456"/>
    <row r="4457"/>
    <row r="4458"/>
    <row r="4459"/>
    <row r="4460"/>
    <row r="4461"/>
    <row r="4462"/>
    <row r="4463"/>
    <row r="4464"/>
    <row r="4465"/>
    <row r="4466"/>
    <row r="4467"/>
    <row r="4468"/>
    <row r="4469"/>
    <row r="4470"/>
    <row r="4471"/>
    <row r="4472"/>
    <row r="4473"/>
    <row r="4474"/>
    <row r="4475"/>
    <row r="4476"/>
    <row r="4477"/>
    <row r="4478"/>
    <row r="4479"/>
    <row r="4480"/>
    <row r="4481"/>
    <row r="4482"/>
    <row r="4483"/>
    <row r="4484"/>
    <row r="4485"/>
    <row r="4486"/>
    <row r="4487"/>
    <row r="4488"/>
    <row r="4489"/>
    <row r="4490"/>
    <row r="4491"/>
    <row r="4492"/>
    <row r="4493"/>
    <row r="4494"/>
    <row r="4495"/>
    <row r="4496"/>
    <row r="4497"/>
    <row r="4498"/>
    <row r="4499"/>
    <row r="4500"/>
    <row r="4501"/>
    <row r="4502"/>
    <row r="4503"/>
    <row r="4504"/>
    <row r="4505"/>
    <row r="4506"/>
    <row r="4507"/>
    <row r="4508"/>
    <row r="4509"/>
    <row r="4510"/>
    <row r="4511"/>
    <row r="4512"/>
    <row r="4513"/>
    <row r="4514"/>
    <row r="4515"/>
    <row r="4516"/>
    <row r="4517"/>
    <row r="4518"/>
    <row r="4519"/>
    <row r="4520"/>
    <row r="4521"/>
    <row r="4522"/>
    <row r="4523"/>
    <row r="4524"/>
    <row r="4525"/>
    <row r="4526"/>
    <row r="4527"/>
    <row r="4528"/>
    <row r="4529"/>
    <row r="4530"/>
    <row r="4531"/>
    <row r="4532"/>
    <row r="4533"/>
    <row r="4534"/>
    <row r="4535"/>
    <row r="4536"/>
    <row r="4537"/>
    <row r="4538"/>
    <row r="4539"/>
    <row r="4540"/>
    <row r="4541"/>
    <row r="4542"/>
    <row r="4543"/>
    <row r="4544"/>
    <row r="4545"/>
    <row r="4546"/>
    <row r="4547"/>
    <row r="4548"/>
    <row r="4549"/>
    <row r="4550"/>
    <row r="4551"/>
    <row r="4552"/>
    <row r="4553"/>
    <row r="4554"/>
    <row r="4555"/>
    <row r="4556"/>
    <row r="4557"/>
    <row r="4558"/>
    <row r="4559"/>
    <row r="4560"/>
    <row r="4561"/>
    <row r="4562"/>
    <row r="4563"/>
    <row r="4564"/>
    <row r="4565"/>
    <row r="4566"/>
    <row r="4567"/>
    <row r="4568"/>
    <row r="4569"/>
    <row r="4570"/>
    <row r="4571"/>
    <row r="4572"/>
    <row r="4573"/>
    <row r="4574"/>
    <row r="4575"/>
    <row r="4576"/>
    <row r="4577"/>
    <row r="4578"/>
    <row r="4579"/>
    <row r="4580"/>
    <row r="4581"/>
    <row r="4582"/>
    <row r="4583"/>
    <row r="4584"/>
    <row r="4585"/>
    <row r="4586"/>
    <row r="4587"/>
    <row r="4588"/>
    <row r="4589"/>
    <row r="4590"/>
    <row r="4591"/>
    <row r="4592"/>
    <row r="4593"/>
    <row r="4594"/>
    <row r="4595"/>
    <row r="4596"/>
    <row r="4597"/>
    <row r="4598"/>
    <row r="4599"/>
    <row r="4600"/>
    <row r="4601"/>
    <row r="4602"/>
    <row r="4603"/>
    <row r="4604"/>
    <row r="4605"/>
    <row r="4606"/>
    <row r="4607"/>
    <row r="4608"/>
    <row r="4609"/>
    <row r="4610"/>
    <row r="4611"/>
    <row r="4612"/>
    <row r="4613"/>
    <row r="4614"/>
    <row r="4615"/>
    <row r="4616"/>
    <row r="4617"/>
    <row r="4618"/>
    <row r="4619"/>
    <row r="4620"/>
    <row r="4621"/>
    <row r="4622"/>
    <row r="4623"/>
    <row r="4624"/>
    <row r="4625"/>
    <row r="4626"/>
    <row r="4627"/>
    <row r="4628"/>
    <row r="4629"/>
    <row r="4630"/>
    <row r="4631"/>
    <row r="4632"/>
    <row r="4633"/>
    <row r="4634"/>
    <row r="4635"/>
    <row r="4636"/>
    <row r="4637"/>
    <row r="4638"/>
    <row r="4639"/>
    <row r="4640"/>
    <row r="4641"/>
    <row r="4642"/>
    <row r="4643"/>
    <row r="4644"/>
    <row r="4645"/>
    <row r="4646"/>
    <row r="4647"/>
    <row r="4648"/>
    <row r="4649"/>
    <row r="4650"/>
    <row r="4651"/>
    <row r="4652"/>
    <row r="4653"/>
    <row r="4654"/>
    <row r="4655"/>
    <row r="4656"/>
    <row r="4657"/>
    <row r="4658"/>
    <row r="4659"/>
    <row r="4660"/>
    <row r="4661"/>
    <row r="4662"/>
    <row r="4663"/>
    <row r="4664"/>
    <row r="4665"/>
    <row r="4666"/>
    <row r="4667"/>
    <row r="4668"/>
    <row r="4669"/>
    <row r="4670"/>
    <row r="4671"/>
    <row r="4672"/>
    <row r="4673"/>
    <row r="4674"/>
    <row r="4675"/>
    <row r="4676"/>
    <row r="4677"/>
    <row r="4678"/>
    <row r="4679"/>
    <row r="4680"/>
    <row r="4681"/>
    <row r="4682"/>
    <row r="4683"/>
    <row r="4684"/>
    <row r="4685"/>
    <row r="4686"/>
    <row r="4687"/>
    <row r="4688"/>
    <row r="4689"/>
    <row r="4690"/>
    <row r="4691"/>
    <row r="4692"/>
    <row r="4693"/>
    <row r="4694"/>
    <row r="4695"/>
    <row r="4696"/>
    <row r="4697"/>
    <row r="4698"/>
    <row r="4699"/>
    <row r="4700"/>
    <row r="4701"/>
    <row r="4702"/>
    <row r="4703"/>
    <row r="4704"/>
    <row r="4705"/>
    <row r="4706"/>
    <row r="4707"/>
    <row r="4708"/>
    <row r="4709"/>
    <row r="4710"/>
    <row r="4711"/>
    <row r="4712"/>
    <row r="4713"/>
    <row r="4714"/>
    <row r="4715"/>
    <row r="4716"/>
    <row r="4717"/>
    <row r="4718"/>
    <row r="4719"/>
    <row r="4720"/>
    <row r="4721"/>
    <row r="4722"/>
    <row r="4723"/>
    <row r="4724"/>
    <row r="4725"/>
    <row r="4726"/>
    <row r="4727"/>
    <row r="4728"/>
    <row r="4729"/>
    <row r="4730"/>
    <row r="4731"/>
    <row r="4732"/>
    <row r="4733"/>
    <row r="4734"/>
    <row r="4735"/>
    <row r="4736"/>
    <row r="4737"/>
    <row r="4738"/>
    <row r="4739"/>
    <row r="4740"/>
    <row r="4741"/>
    <row r="4742"/>
    <row r="4743"/>
    <row r="4744"/>
    <row r="4745"/>
    <row r="4746"/>
    <row r="4747"/>
    <row r="4748"/>
    <row r="4749"/>
    <row r="4750"/>
    <row r="4751"/>
    <row r="4752"/>
    <row r="4753"/>
    <row r="4754"/>
    <row r="4755"/>
    <row r="4756"/>
    <row r="4757"/>
    <row r="4758"/>
    <row r="4759"/>
    <row r="4760"/>
    <row r="4761"/>
    <row r="4762"/>
    <row r="4763"/>
    <row r="4764"/>
    <row r="4765"/>
    <row r="4766"/>
    <row r="4767"/>
    <row r="4768"/>
    <row r="4769"/>
    <row r="4770"/>
    <row r="4771"/>
    <row r="4772"/>
    <row r="4773"/>
    <row r="4774"/>
    <row r="4775"/>
    <row r="4776"/>
    <row r="4777"/>
    <row r="4778"/>
    <row r="4779"/>
    <row r="4780"/>
    <row r="4781"/>
    <row r="4782"/>
    <row r="4783"/>
    <row r="4784"/>
    <row r="4785"/>
    <row r="4786"/>
    <row r="4787"/>
    <row r="4788"/>
    <row r="4789"/>
    <row r="4790"/>
    <row r="4791"/>
    <row r="4792"/>
    <row r="4793"/>
    <row r="4794"/>
    <row r="4795"/>
    <row r="4796"/>
    <row r="4797"/>
    <row r="4798"/>
    <row r="4799"/>
    <row r="4800"/>
    <row r="4801"/>
    <row r="4802"/>
    <row r="4803"/>
    <row r="4804"/>
    <row r="4805"/>
    <row r="4806"/>
    <row r="4807"/>
    <row r="4808"/>
    <row r="4809"/>
    <row r="4810"/>
    <row r="4811"/>
    <row r="4812"/>
    <row r="4813"/>
    <row r="4814"/>
    <row r="4815"/>
    <row r="4816"/>
    <row r="4817"/>
    <row r="4818"/>
    <row r="4819"/>
    <row r="4820"/>
    <row r="4821"/>
    <row r="4822"/>
    <row r="4823"/>
    <row r="4824"/>
    <row r="4825"/>
    <row r="4826"/>
    <row r="4827"/>
    <row r="4828"/>
    <row r="4829"/>
    <row r="4830"/>
    <row r="4831"/>
    <row r="4832"/>
    <row r="4833"/>
    <row r="4834"/>
    <row r="4835"/>
    <row r="4836"/>
    <row r="4837"/>
    <row r="4838"/>
    <row r="4839"/>
    <row r="4840"/>
    <row r="4841"/>
    <row r="4842"/>
    <row r="4843"/>
    <row r="4844"/>
    <row r="4845"/>
    <row r="4846"/>
    <row r="4847"/>
    <row r="4848"/>
    <row r="4849"/>
    <row r="4850"/>
    <row r="4851"/>
    <row r="4852"/>
    <row r="4853"/>
    <row r="4854"/>
    <row r="4855"/>
    <row r="4856"/>
    <row r="4857"/>
    <row r="4858"/>
    <row r="4859"/>
    <row r="4860"/>
    <row r="4861"/>
    <row r="4862"/>
    <row r="4863"/>
    <row r="4864"/>
    <row r="4865"/>
    <row r="4866"/>
    <row r="4867"/>
    <row r="4868"/>
    <row r="4869"/>
    <row r="4870"/>
    <row r="4871"/>
    <row r="4872"/>
    <row r="4873"/>
    <row r="4874"/>
    <row r="4875"/>
    <row r="4876"/>
    <row r="4877"/>
    <row r="4878"/>
    <row r="4879"/>
    <row r="4880"/>
    <row r="4881"/>
    <row r="4882"/>
    <row r="4883"/>
    <row r="4884"/>
    <row r="4885"/>
    <row r="4886"/>
    <row r="4887"/>
    <row r="4888"/>
    <row r="4889"/>
    <row r="4890"/>
    <row r="4891"/>
    <row r="4892"/>
    <row r="4893"/>
    <row r="4894"/>
    <row r="4895"/>
    <row r="4896"/>
    <row r="4897"/>
    <row r="4898"/>
    <row r="4899"/>
    <row r="4900"/>
    <row r="4901"/>
    <row r="4902"/>
    <row r="4903"/>
    <row r="4904"/>
    <row r="4905"/>
    <row r="4906"/>
    <row r="4907"/>
    <row r="4908"/>
    <row r="4909"/>
    <row r="4910"/>
    <row r="4911"/>
    <row r="4912"/>
    <row r="4913"/>
    <row r="4914"/>
    <row r="4915"/>
    <row r="4916"/>
    <row r="4917"/>
    <row r="4918"/>
    <row r="4919"/>
    <row r="4920"/>
    <row r="4921"/>
    <row r="4922"/>
    <row r="4923"/>
    <row r="4924"/>
    <row r="4925"/>
    <row r="4926"/>
    <row r="4927"/>
    <row r="4928"/>
    <row r="4929"/>
    <row r="4930"/>
    <row r="4931"/>
    <row r="4932"/>
    <row r="4933"/>
    <row r="4934"/>
    <row r="4935"/>
    <row r="4936"/>
    <row r="4937"/>
    <row r="4938"/>
    <row r="4939"/>
    <row r="4940"/>
    <row r="4941"/>
    <row r="4942"/>
    <row r="4943"/>
    <row r="4944"/>
    <row r="4945"/>
    <row r="4946"/>
    <row r="4947"/>
    <row r="4948"/>
    <row r="4949"/>
    <row r="4950"/>
    <row r="4951"/>
    <row r="4952"/>
    <row r="4953"/>
    <row r="4954"/>
    <row r="4955"/>
    <row r="4956"/>
    <row r="4957"/>
    <row r="4958"/>
    <row r="4959"/>
    <row r="4960"/>
    <row r="4961"/>
    <row r="4962"/>
    <row r="4963"/>
    <row r="4964"/>
    <row r="4965"/>
    <row r="4966"/>
    <row r="4967"/>
    <row r="4968"/>
    <row r="4969"/>
    <row r="4970"/>
    <row r="4971"/>
    <row r="4972"/>
    <row r="4973"/>
    <row r="4974"/>
    <row r="4975"/>
    <row r="4976"/>
    <row r="4977"/>
    <row r="4978"/>
    <row r="4979"/>
    <row r="4980"/>
    <row r="4981"/>
    <row r="4982"/>
    <row r="4983"/>
    <row r="4984"/>
    <row r="4985"/>
    <row r="4986"/>
    <row r="4987"/>
    <row r="4988"/>
    <row r="4989"/>
    <row r="4990"/>
    <row r="4991"/>
    <row r="4992"/>
    <row r="4993"/>
    <row r="4994"/>
    <row r="4995"/>
    <row r="4996"/>
    <row r="4997"/>
    <row r="4998"/>
    <row r="4999"/>
    <row r="5000"/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5000"/>
  <sheetViews>
    <sheetView zoomScale="110" workbookViewId="0">
      <pane ySplit="1" topLeftCell="A2" activePane="bottomLeft" state="frozen"/>
      <selection pane="bottomLeft" activeCell="A1" sqref="A1"/>
    </sheetView>
  </sheetViews>
  <sheetFormatPr baseColWidth="8" defaultRowHeight="18"/>
  <cols>
    <col width="24" customWidth="1" min="1" max="1"/>
    <col width="9" customWidth="1" min="2" max="2"/>
    <col width="30" customWidth="1" min="3" max="3"/>
    <col width="20" customWidth="1" min="4" max="4"/>
    <col width="32" customWidth="1" min="5" max="5"/>
    <col width="24" customWidth="1" min="6" max="6"/>
    <col width="56" customWidth="1" min="7" max="7"/>
    <col width="42" customWidth="1" min="8" max="8"/>
    <col width="16" customWidth="1" min="9" max="9"/>
    <col width="16" customWidth="1" min="10" max="10"/>
    <col width="34" customWidth="1" min="11" max="11"/>
    <col width="14" customWidth="1" min="12" max="12"/>
    <col width="14" customWidth="1" min="13" max="13"/>
  </cols>
  <sheetData>
    <row r="1" ht="30" customHeight="1">
      <c r="A1" s="548" t="inlineStr">
        <is>
          <t>issue_id</t>
        </is>
      </c>
      <c r="B1" s="548" t="inlineStr">
        <is>
          <t>severity</t>
        </is>
      </c>
      <c r="C1" s="548" t="inlineStr">
        <is>
          <t>rule_id</t>
        </is>
      </c>
      <c r="D1" s="548" t="inlineStr">
        <is>
          <t>section</t>
        </is>
      </c>
      <c r="E1" s="548" t="inlineStr">
        <is>
          <t>normalized_path</t>
        </is>
      </c>
      <c r="F1" s="548" t="inlineStr">
        <is>
          <t>business_row_key</t>
        </is>
      </c>
      <c r="G1" s="548" t="inlineStr">
        <is>
          <t>message</t>
        </is>
      </c>
      <c r="H1" s="548" t="inlineStr">
        <is>
          <t>suggested_action</t>
        </is>
      </c>
      <c r="I1" s="548" t="inlineStr">
        <is>
          <t>occurrence_count</t>
        </is>
      </c>
      <c r="J1" s="548" t="inlineStr">
        <is>
          <t>promotion_blocking</t>
        </is>
      </c>
      <c r="K1" s="548" t="inlineStr">
        <is>
          <t>detail_ref</t>
        </is>
      </c>
      <c r="L1" s="322" t="n"/>
      <c r="M1" s="322" t="n"/>
    </row>
    <row r="2">
      <c r="A2" s="22" t="n"/>
      <c r="B2" s="22" t="n"/>
      <c r="C2" s="22" t="n"/>
      <c r="D2" s="331" t="n"/>
      <c r="E2" s="331" t="n"/>
      <c r="F2" s="22" t="n"/>
      <c r="G2" s="22" t="n"/>
      <c r="H2" s="22" t="n"/>
      <c r="I2" s="22" t="n"/>
      <c r="J2" s="324" t="n"/>
      <c r="K2" s="22" t="n"/>
      <c r="L2" s="22" t="n"/>
      <c r="M2" s="22" t="n"/>
    </row>
    <row r="3">
      <c r="A3" s="22" t="n"/>
      <c r="B3" s="22" t="n"/>
      <c r="C3" s="22" t="n"/>
      <c r="D3" s="331" t="n"/>
      <c r="E3" s="331" t="n"/>
      <c r="F3" s="22" t="n"/>
      <c r="G3" s="22" t="n"/>
      <c r="H3" s="22" t="n"/>
      <c r="I3" s="22" t="n"/>
      <c r="J3" s="324" t="n"/>
      <c r="K3" s="22" t="n"/>
      <c r="L3" s="22" t="n"/>
      <c r="M3" s="22" t="n"/>
    </row>
    <row r="4">
      <c r="A4" s="22" t="n"/>
      <c r="B4" s="22" t="n"/>
      <c r="C4" s="22" t="n"/>
      <c r="D4" s="331" t="n"/>
      <c r="E4" s="331" t="n"/>
      <c r="F4" s="22" t="n"/>
      <c r="G4" s="22" t="n"/>
      <c r="H4" s="22" t="n"/>
      <c r="I4" s="22" t="n"/>
      <c r="J4" s="324" t="n"/>
      <c r="K4" s="22" t="n"/>
      <c r="L4" s="22" t="n"/>
      <c r="M4" s="22" t="n"/>
    </row>
    <row r="5">
      <c r="A5" s="22" t="n"/>
      <c r="B5" s="22" t="n"/>
      <c r="C5" s="22" t="n"/>
      <c r="D5" s="331" t="n"/>
      <c r="E5" s="331" t="n"/>
      <c r="F5" s="22" t="n"/>
      <c r="G5" s="22" t="n"/>
      <c r="H5" s="22" t="n"/>
      <c r="I5" s="22" t="n"/>
      <c r="J5" s="324" t="n"/>
      <c r="K5" s="22" t="n"/>
      <c r="L5" s="22" t="n"/>
      <c r="M5" s="22" t="n"/>
    </row>
    <row r="6">
      <c r="A6" s="22" t="n"/>
      <c r="B6" s="22" t="n"/>
      <c r="C6" s="22" t="n"/>
      <c r="D6" s="331" t="n"/>
      <c r="E6" s="331" t="n"/>
      <c r="F6" s="22" t="n"/>
      <c r="G6" s="22" t="n"/>
      <c r="H6" s="22" t="n"/>
      <c r="I6" s="22" t="n"/>
      <c r="J6" s="324" t="n"/>
      <c r="K6" s="22" t="n"/>
      <c r="L6" s="22" t="n"/>
      <c r="M6" s="22" t="n"/>
    </row>
    <row r="7">
      <c r="A7" s="22" t="n"/>
      <c r="B7" s="22" t="n"/>
      <c r="C7" s="22" t="n"/>
      <c r="D7" s="331" t="n"/>
      <c r="E7" s="331" t="n"/>
      <c r="F7" s="22" t="n"/>
      <c r="G7" s="22" t="n"/>
      <c r="H7" s="22" t="n"/>
      <c r="I7" s="22" t="n"/>
      <c r="J7" s="324" t="n"/>
      <c r="K7" s="22" t="n"/>
      <c r="L7" s="22" t="n"/>
      <c r="M7" s="22" t="n"/>
    </row>
    <row r="8">
      <c r="A8" s="22" t="n"/>
      <c r="B8" s="22" t="n"/>
      <c r="C8" s="22" t="n"/>
      <c r="D8" s="331" t="n"/>
      <c r="E8" s="331" t="n"/>
      <c r="F8" s="22" t="n"/>
      <c r="G8" s="22" t="n"/>
      <c r="H8" s="22" t="n"/>
      <c r="I8" s="22" t="n"/>
      <c r="J8" s="324" t="n"/>
      <c r="K8" s="22" t="n"/>
      <c r="L8" s="22" t="n"/>
      <c r="M8" s="22" t="n"/>
    </row>
    <row r="9">
      <c r="A9" s="22" t="n"/>
      <c r="B9" s="22" t="n"/>
      <c r="C9" s="22" t="n"/>
      <c r="D9" s="331" t="n"/>
      <c r="E9" s="331" t="n"/>
      <c r="F9" s="22" t="n"/>
      <c r="G9" s="22" t="n"/>
      <c r="H9" s="22" t="n"/>
      <c r="I9" s="22" t="n"/>
      <c r="J9" s="324" t="n"/>
      <c r="K9" s="22" t="n"/>
      <c r="L9" s="22" t="n"/>
      <c r="M9" s="22" t="n"/>
    </row>
    <row r="10">
      <c r="A10" s="22" t="n"/>
      <c r="B10" s="22" t="n"/>
      <c r="C10" s="22" t="n"/>
      <c r="D10" s="331" t="n"/>
      <c r="E10" s="331" t="n"/>
      <c r="F10" s="22" t="n"/>
      <c r="G10" s="22" t="n"/>
      <c r="H10" s="22" t="n"/>
      <c r="I10" s="22" t="n"/>
      <c r="J10" s="324" t="n"/>
      <c r="K10" s="22" t="n"/>
      <c r="L10" s="22" t="n"/>
      <c r="M10" s="22" t="n"/>
    </row>
    <row r="11">
      <c r="A11" s="22" t="n"/>
      <c r="B11" s="22" t="n"/>
      <c r="C11" s="22" t="n"/>
      <c r="D11" s="331" t="n"/>
      <c r="E11" s="331" t="n"/>
      <c r="F11" s="22" t="n"/>
      <c r="G11" s="22" t="n"/>
      <c r="H11" s="22" t="n"/>
      <c r="I11" s="22" t="n"/>
      <c r="J11" s="324" t="n"/>
      <c r="K11" s="22" t="n"/>
      <c r="L11" s="22" t="n"/>
      <c r="M11" s="22" t="n"/>
    </row>
    <row r="12">
      <c r="A12" s="22" t="n"/>
      <c r="B12" s="22" t="n"/>
      <c r="C12" s="22" t="n"/>
      <c r="D12" s="331" t="n"/>
      <c r="E12" s="331" t="n"/>
      <c r="F12" s="22" t="n"/>
      <c r="G12" s="22" t="n"/>
      <c r="H12" s="22" t="n"/>
      <c r="I12" s="22" t="n"/>
      <c r="J12" s="324" t="n"/>
      <c r="K12" s="22" t="n"/>
      <c r="L12" s="22" t="n"/>
      <c r="M12" s="22" t="n"/>
    </row>
    <row r="13">
      <c r="A13" s="22" t="n"/>
      <c r="B13" s="22" t="n"/>
      <c r="C13" s="22" t="n"/>
      <c r="D13" s="331" t="n"/>
      <c r="E13" s="331" t="n"/>
      <c r="F13" s="22" t="n"/>
      <c r="G13" s="22" t="n"/>
      <c r="H13" s="22" t="n"/>
      <c r="I13" s="22" t="n"/>
      <c r="J13" s="324" t="n"/>
      <c r="K13" s="22" t="n"/>
      <c r="L13" s="22" t="n"/>
      <c r="M13" s="22" t="n"/>
    </row>
    <row r="14">
      <c r="A14" s="22" t="n"/>
      <c r="B14" s="22" t="n"/>
      <c r="C14" s="22" t="n"/>
      <c r="D14" s="331" t="n"/>
      <c r="E14" s="331" t="n"/>
      <c r="F14" s="22" t="n"/>
      <c r="G14" s="22" t="n"/>
      <c r="H14" s="22" t="n"/>
      <c r="I14" s="22" t="n"/>
      <c r="J14" s="324" t="n"/>
      <c r="K14" s="22" t="n"/>
      <c r="L14" s="22" t="n"/>
      <c r="M14" s="22" t="n"/>
    </row>
    <row r="15">
      <c r="A15" s="22" t="n"/>
      <c r="B15" s="22" t="n"/>
      <c r="C15" s="22" t="n"/>
      <c r="D15" s="331" t="n"/>
      <c r="E15" s="331" t="n"/>
      <c r="F15" s="22" t="n"/>
      <c r="G15" s="22" t="n"/>
      <c r="H15" s="22" t="n"/>
      <c r="I15" s="22" t="n"/>
      <c r="J15" s="324" t="n"/>
      <c r="K15" s="22" t="n"/>
      <c r="L15" s="22" t="n"/>
      <c r="M15" s="22" t="n"/>
    </row>
    <row r="16">
      <c r="A16" s="22" t="n"/>
      <c r="B16" s="22" t="n"/>
      <c r="C16" s="22" t="n"/>
      <c r="D16" s="331" t="n"/>
      <c r="E16" s="331" t="n"/>
      <c r="F16" s="22" t="n"/>
      <c r="G16" s="22" t="n"/>
      <c r="H16" s="22" t="n"/>
      <c r="I16" s="22" t="n"/>
      <c r="J16" s="324" t="n"/>
      <c r="K16" s="22" t="n"/>
      <c r="L16" s="22" t="n"/>
      <c r="M16" s="22" t="n"/>
    </row>
    <row r="17">
      <c r="A17" s="22" t="n"/>
      <c r="B17" s="22" t="n"/>
      <c r="C17" s="22" t="n"/>
      <c r="D17" s="331" t="n"/>
      <c r="E17" s="331" t="n"/>
      <c r="F17" s="22" t="n"/>
      <c r="G17" s="22" t="n"/>
      <c r="H17" s="22" t="n"/>
      <c r="I17" s="22" t="n"/>
      <c r="J17" s="324" t="n"/>
      <c r="K17" s="22" t="n"/>
      <c r="L17" s="22" t="n"/>
      <c r="M17" s="22" t="n"/>
    </row>
    <row r="18">
      <c r="A18" s="22" t="n"/>
      <c r="B18" s="22" t="n"/>
      <c r="C18" s="22" t="n"/>
      <c r="D18" s="331" t="n"/>
      <c r="E18" s="331" t="n"/>
      <c r="F18" s="22" t="n"/>
      <c r="G18" s="22" t="n"/>
      <c r="H18" s="22" t="n"/>
      <c r="I18" s="22" t="n"/>
      <c r="J18" s="324" t="n"/>
      <c r="K18" s="22" t="n"/>
      <c r="L18" s="22" t="n"/>
      <c r="M18" s="22" t="n"/>
    </row>
    <row r="19">
      <c r="A19" s="22" t="n"/>
      <c r="B19" s="22" t="n"/>
      <c r="C19" s="22" t="n"/>
      <c r="D19" s="331" t="n"/>
      <c r="E19" s="331" t="n"/>
      <c r="F19" s="22" t="n"/>
      <c r="G19" s="22" t="n"/>
      <c r="H19" s="22" t="n"/>
      <c r="I19" s="22" t="n"/>
      <c r="J19" s="324" t="n"/>
      <c r="K19" s="22" t="n"/>
      <c r="L19" s="22" t="n"/>
      <c r="M19" s="22" t="n"/>
    </row>
    <row r="20">
      <c r="A20" s="22" t="n"/>
      <c r="B20" s="22" t="n"/>
      <c r="C20" s="22" t="n"/>
      <c r="D20" s="331" t="n"/>
      <c r="E20" s="331" t="n"/>
      <c r="F20" s="22" t="n"/>
      <c r="G20" s="22" t="n"/>
      <c r="H20" s="22" t="n"/>
      <c r="I20" s="22" t="n"/>
      <c r="J20" s="324" t="n"/>
      <c r="K20" s="22" t="n"/>
      <c r="L20" s="22" t="n"/>
      <c r="M20" s="22" t="n"/>
    </row>
    <row r="21">
      <c r="A21" s="22" t="n"/>
      <c r="B21" s="22" t="n"/>
      <c r="C21" s="22" t="n"/>
      <c r="D21" s="331" t="n"/>
      <c r="E21" s="331" t="n"/>
      <c r="F21" s="22" t="n"/>
      <c r="G21" s="22" t="n"/>
      <c r="H21" s="22" t="n"/>
      <c r="I21" s="22" t="n"/>
      <c r="J21" s="324" t="n"/>
      <c r="K21" s="22" t="n"/>
      <c r="L21" s="22" t="n"/>
      <c r="M21" s="22" t="n"/>
    </row>
    <row r="22">
      <c r="A22" s="22" t="n"/>
      <c r="B22" s="22" t="n"/>
      <c r="C22" s="22" t="n"/>
      <c r="D22" s="331" t="n"/>
      <c r="E22" s="331" t="n"/>
      <c r="F22" s="22" t="n"/>
      <c r="G22" s="22" t="n"/>
      <c r="H22" s="22" t="n"/>
      <c r="I22" s="22" t="n"/>
      <c r="J22" s="324" t="n"/>
      <c r="K22" s="22" t="n"/>
      <c r="L22" s="22" t="n"/>
      <c r="M22" s="22" t="n"/>
    </row>
    <row r="23">
      <c r="A23" s="22" t="n"/>
      <c r="B23" s="22" t="n"/>
      <c r="C23" s="22" t="n"/>
      <c r="D23" s="331" t="n"/>
      <c r="E23" s="331" t="n"/>
      <c r="F23" s="22" t="n"/>
      <c r="G23" s="22" t="n"/>
      <c r="H23" s="22" t="n"/>
      <c r="I23" s="22" t="n"/>
      <c r="J23" s="324" t="n"/>
      <c r="K23" s="22" t="n"/>
      <c r="L23" s="22" t="n"/>
      <c r="M23" s="22" t="n"/>
    </row>
    <row r="24">
      <c r="A24" s="22" t="n"/>
      <c r="B24" s="22" t="n"/>
      <c r="C24" s="22" t="n"/>
      <c r="D24" s="331" t="n"/>
      <c r="E24" s="331" t="n"/>
      <c r="F24" s="22" t="n"/>
      <c r="G24" s="22" t="n"/>
      <c r="H24" s="22" t="n"/>
      <c r="I24" s="22" t="n"/>
      <c r="J24" s="324" t="n"/>
      <c r="K24" s="22" t="n"/>
      <c r="L24" s="22" t="n"/>
      <c r="M24" s="22" t="n"/>
    </row>
    <row r="25">
      <c r="A25" s="22" t="n"/>
      <c r="B25" s="22" t="n"/>
      <c r="C25" s="22" t="n"/>
      <c r="D25" s="331" t="n"/>
      <c r="E25" s="331" t="n"/>
      <c r="F25" s="22" t="n"/>
      <c r="G25" s="22" t="n"/>
      <c r="H25" s="22" t="n"/>
      <c r="I25" s="22" t="n"/>
      <c r="J25" s="324" t="n"/>
      <c r="K25" s="22" t="n"/>
      <c r="L25" s="22" t="n"/>
      <c r="M25" s="22" t="n"/>
    </row>
    <row r="26">
      <c r="A26" s="22" t="n"/>
      <c r="B26" s="22" t="n"/>
      <c r="C26" s="22" t="n"/>
      <c r="D26" s="331" t="n"/>
      <c r="E26" s="331" t="n"/>
      <c r="F26" s="22" t="n"/>
      <c r="G26" s="22" t="n"/>
      <c r="H26" s="22" t="n"/>
      <c r="I26" s="22" t="n"/>
      <c r="J26" s="324" t="n"/>
      <c r="K26" s="22" t="n"/>
      <c r="L26" s="22" t="n"/>
      <c r="M26" s="22" t="n"/>
    </row>
    <row r="27">
      <c r="A27" s="22" t="n"/>
      <c r="B27" s="22" t="n"/>
      <c r="C27" s="22" t="n"/>
      <c r="D27" s="331" t="n"/>
      <c r="E27" s="331" t="n"/>
      <c r="F27" s="22" t="n"/>
      <c r="G27" s="22" t="n"/>
      <c r="H27" s="22" t="n"/>
      <c r="I27" s="22" t="n"/>
      <c r="J27" s="324" t="n"/>
      <c r="K27" s="22" t="n"/>
      <c r="L27" s="22" t="n"/>
      <c r="M27" s="22" t="n"/>
    </row>
    <row r="28">
      <c r="A28" s="22" t="n"/>
      <c r="B28" s="22" t="n"/>
      <c r="C28" s="22" t="n"/>
      <c r="D28" s="331" t="n"/>
      <c r="E28" s="331" t="n"/>
      <c r="F28" s="22" t="n"/>
      <c r="G28" s="22" t="n"/>
      <c r="H28" s="22" t="n"/>
      <c r="I28" s="22" t="n"/>
      <c r="J28" s="324" t="n"/>
      <c r="K28" s="22" t="n"/>
      <c r="L28" s="22" t="n"/>
      <c r="M28" s="22" t="n"/>
    </row>
    <row r="29">
      <c r="A29" s="22" t="n"/>
      <c r="B29" s="22" t="n"/>
      <c r="C29" s="22" t="n"/>
      <c r="D29" s="331" t="n"/>
      <c r="E29" s="331" t="n"/>
      <c r="F29" s="22" t="n"/>
      <c r="G29" s="22" t="n"/>
      <c r="H29" s="22" t="n"/>
      <c r="I29" s="22" t="n"/>
      <c r="J29" s="324" t="n"/>
      <c r="K29" s="22" t="n"/>
      <c r="L29" s="22" t="n"/>
      <c r="M29" s="22" t="n"/>
    </row>
    <row r="30">
      <c r="A30" s="22" t="n"/>
      <c r="B30" s="22" t="n"/>
      <c r="C30" s="22" t="n"/>
      <c r="D30" s="331" t="n"/>
      <c r="E30" s="331" t="n"/>
      <c r="F30" s="22" t="n"/>
      <c r="G30" s="22" t="n"/>
      <c r="H30" s="22" t="n"/>
      <c r="I30" s="22" t="n"/>
      <c r="J30" s="324" t="n"/>
      <c r="K30" s="22" t="n"/>
      <c r="L30" s="22" t="n"/>
      <c r="M30" s="22" t="n"/>
    </row>
    <row r="31">
      <c r="A31" s="22" t="n"/>
      <c r="B31" s="22" t="n"/>
      <c r="C31" s="22" t="n"/>
      <c r="D31" s="331" t="n"/>
      <c r="E31" s="331" t="n"/>
      <c r="F31" s="22" t="n"/>
      <c r="G31" s="22" t="n"/>
      <c r="H31" s="22" t="n"/>
      <c r="I31" s="22" t="n"/>
      <c r="J31" s="324" t="n"/>
      <c r="K31" s="22" t="n"/>
      <c r="L31" s="22" t="n"/>
      <c r="M31" s="22" t="n"/>
    </row>
    <row r="32">
      <c r="A32" s="22" t="n"/>
      <c r="B32" s="22" t="n"/>
      <c r="C32" s="22" t="n"/>
      <c r="D32" s="331" t="n"/>
      <c r="E32" s="331" t="n"/>
      <c r="F32" s="22" t="n"/>
      <c r="G32" s="22" t="n"/>
      <c r="H32" s="22" t="n"/>
      <c r="I32" s="22" t="n"/>
      <c r="J32" s="324" t="n"/>
      <c r="K32" s="22" t="n"/>
      <c r="L32" s="22" t="n"/>
      <c r="M32" s="22" t="n"/>
    </row>
    <row r="33">
      <c r="A33" s="22" t="n"/>
      <c r="B33" s="22" t="n"/>
      <c r="C33" s="22" t="n"/>
      <c r="D33" s="331" t="n"/>
      <c r="E33" s="331" t="n"/>
      <c r="F33" s="22" t="n"/>
      <c r="G33" s="22" t="n"/>
      <c r="H33" s="22" t="n"/>
      <c r="I33" s="22" t="n"/>
      <c r="J33" s="324" t="n"/>
      <c r="K33" s="22" t="n"/>
      <c r="L33" s="22" t="n"/>
      <c r="M33" s="22" t="n"/>
    </row>
    <row r="34">
      <c r="A34" s="22" t="n"/>
      <c r="B34" s="22" t="n"/>
      <c r="C34" s="22" t="n"/>
      <c r="D34" s="331" t="n"/>
      <c r="E34" s="331" t="n"/>
      <c r="F34" s="22" t="n"/>
      <c r="G34" s="22" t="n"/>
      <c r="H34" s="22" t="n"/>
      <c r="I34" s="22" t="n"/>
      <c r="J34" s="324" t="n"/>
      <c r="K34" s="22" t="n"/>
      <c r="L34" s="22" t="n"/>
      <c r="M34" s="22" t="n"/>
    </row>
    <row r="35">
      <c r="A35" s="22" t="n"/>
      <c r="B35" s="22" t="n"/>
      <c r="C35" s="22" t="n"/>
      <c r="D35" s="331" t="n"/>
      <c r="E35" s="331" t="n"/>
      <c r="F35" s="22" t="n"/>
      <c r="G35" s="22" t="n"/>
      <c r="H35" s="22" t="n"/>
      <c r="I35" s="22" t="n"/>
      <c r="J35" s="324" t="n"/>
      <c r="K35" s="22" t="n"/>
      <c r="L35" s="22" t="n"/>
      <c r="M35" s="22" t="n"/>
    </row>
    <row r="36">
      <c r="A36" s="22" t="n"/>
      <c r="B36" s="22" t="n"/>
      <c r="C36" s="22" t="n"/>
      <c r="D36" s="331" t="n"/>
      <c r="E36" s="331" t="n"/>
      <c r="F36" s="22" t="n"/>
      <c r="G36" s="22" t="n"/>
      <c r="H36" s="22" t="n"/>
      <c r="I36" s="22" t="n"/>
      <c r="J36" s="324" t="n"/>
      <c r="K36" s="22" t="n"/>
      <c r="L36" s="22" t="n"/>
      <c r="M36" s="22" t="n"/>
    </row>
    <row r="37">
      <c r="A37" s="22" t="n"/>
      <c r="B37" s="22" t="n"/>
      <c r="C37" s="22" t="n"/>
      <c r="D37" s="331" t="n"/>
      <c r="E37" s="331" t="n"/>
      <c r="F37" s="22" t="n"/>
      <c r="G37" s="22" t="n"/>
      <c r="H37" s="22" t="n"/>
      <c r="I37" s="22" t="n"/>
      <c r="J37" s="324" t="n"/>
      <c r="K37" s="22" t="n"/>
      <c r="L37" s="22" t="n"/>
      <c r="M37" s="22" t="n"/>
    </row>
    <row r="38">
      <c r="A38" s="22" t="n"/>
      <c r="B38" s="22" t="n"/>
      <c r="C38" s="22" t="n"/>
      <c r="D38" s="331" t="n"/>
      <c r="E38" s="331" t="n"/>
      <c r="F38" s="22" t="n"/>
      <c r="G38" s="22" t="n"/>
      <c r="H38" s="22" t="n"/>
      <c r="I38" s="22" t="n"/>
      <c r="J38" s="324" t="n"/>
      <c r="K38" s="22" t="n"/>
      <c r="L38" s="22" t="n"/>
      <c r="M38" s="22" t="n"/>
    </row>
    <row r="39">
      <c r="A39" s="22" t="n"/>
      <c r="B39" s="22" t="n"/>
      <c r="C39" s="22" t="n"/>
      <c r="D39" s="331" t="n"/>
      <c r="E39" s="331" t="n"/>
      <c r="F39" s="22" t="n"/>
      <c r="G39" s="22" t="n"/>
      <c r="H39" s="22" t="n"/>
      <c r="I39" s="22" t="n"/>
      <c r="J39" s="324" t="n"/>
      <c r="K39" s="22" t="n"/>
      <c r="L39" s="22" t="n"/>
      <c r="M39" s="22" t="n"/>
    </row>
    <row r="40">
      <c r="A40" s="22" t="n"/>
      <c r="B40" s="22" t="n"/>
      <c r="C40" s="22" t="n"/>
      <c r="D40" s="331" t="n"/>
      <c r="E40" s="331" t="n"/>
      <c r="F40" s="22" t="n"/>
      <c r="G40" s="22" t="n"/>
      <c r="H40" s="22" t="n"/>
      <c r="I40" s="22" t="n"/>
      <c r="J40" s="324" t="n"/>
      <c r="K40" s="22" t="n"/>
      <c r="L40" s="22" t="n"/>
      <c r="M40" s="22" t="n"/>
    </row>
    <row r="41">
      <c r="A41" s="22" t="n"/>
      <c r="B41" s="22" t="n"/>
      <c r="C41" s="22" t="n"/>
      <c r="D41" s="331" t="n"/>
      <c r="E41" s="331" t="n"/>
      <c r="F41" s="22" t="n"/>
      <c r="G41" s="22" t="n"/>
      <c r="H41" s="22" t="n"/>
      <c r="I41" s="22" t="n"/>
      <c r="J41" s="324" t="n"/>
      <c r="K41" s="22" t="n"/>
      <c r="L41" s="22" t="n"/>
      <c r="M41" s="22" t="n"/>
    </row>
    <row r="42">
      <c r="A42" s="22" t="n"/>
      <c r="B42" s="22" t="n"/>
      <c r="C42" s="22" t="n"/>
      <c r="D42" s="331" t="n"/>
      <c r="E42" s="331" t="n"/>
      <c r="F42" s="22" t="n"/>
      <c r="G42" s="22" t="n"/>
      <c r="H42" s="22" t="n"/>
      <c r="I42" s="22" t="n"/>
      <c r="J42" s="324" t="n"/>
      <c r="K42" s="22" t="n"/>
      <c r="L42" s="22" t="n"/>
      <c r="M42" s="22" t="n"/>
    </row>
    <row r="43">
      <c r="A43" s="22" t="n"/>
      <c r="B43" s="22" t="n"/>
      <c r="C43" s="22" t="n"/>
      <c r="D43" s="331" t="n"/>
      <c r="E43" s="331" t="n"/>
      <c r="F43" s="22" t="n"/>
      <c r="G43" s="22" t="n"/>
      <c r="H43" s="22" t="n"/>
      <c r="I43" s="22" t="n"/>
      <c r="J43" s="324" t="n"/>
      <c r="K43" s="22" t="n"/>
      <c r="L43" s="22" t="n"/>
      <c r="M43" s="22" t="n"/>
    </row>
    <row r="44">
      <c r="A44" s="22" t="n"/>
      <c r="B44" s="22" t="n"/>
      <c r="C44" s="22" t="n"/>
      <c r="D44" s="331" t="n"/>
      <c r="E44" s="331" t="n"/>
      <c r="F44" s="22" t="n"/>
      <c r="G44" s="22" t="n"/>
      <c r="H44" s="22" t="n"/>
      <c r="I44" s="22" t="n"/>
      <c r="J44" s="324" t="n"/>
      <c r="K44" s="22" t="n"/>
      <c r="L44" s="22" t="n"/>
      <c r="M44" s="22" t="n"/>
    </row>
    <row r="45">
      <c r="A45" s="22" t="n"/>
      <c r="B45" s="22" t="n"/>
      <c r="C45" s="22" t="n"/>
      <c r="D45" s="331" t="n"/>
      <c r="E45" s="331" t="n"/>
      <c r="F45" s="22" t="n"/>
      <c r="G45" s="22" t="n"/>
      <c r="H45" s="22" t="n"/>
      <c r="I45" s="22" t="n"/>
      <c r="J45" s="324" t="n"/>
      <c r="K45" s="22" t="n"/>
      <c r="L45" s="22" t="n"/>
      <c r="M45" s="22" t="n"/>
    </row>
    <row r="46">
      <c r="A46" s="22" t="n"/>
      <c r="B46" s="22" t="n"/>
      <c r="C46" s="22" t="n"/>
      <c r="D46" s="331" t="n"/>
      <c r="E46" s="331" t="n"/>
      <c r="F46" s="22" t="n"/>
      <c r="G46" s="22" t="n"/>
      <c r="H46" s="22" t="n"/>
      <c r="I46" s="22" t="n"/>
      <c r="J46" s="324" t="n"/>
      <c r="K46" s="22" t="n"/>
      <c r="L46" s="22" t="n"/>
      <c r="M46" s="22" t="n"/>
    </row>
    <row r="47">
      <c r="A47" s="22" t="n"/>
      <c r="B47" s="22" t="n"/>
      <c r="C47" s="22" t="n"/>
      <c r="D47" s="331" t="n"/>
      <c r="E47" s="331" t="n"/>
      <c r="F47" s="22" t="n"/>
      <c r="G47" s="22" t="n"/>
      <c r="H47" s="22" t="n"/>
      <c r="I47" s="22" t="n"/>
      <c r="J47" s="324" t="n"/>
      <c r="K47" s="22" t="n"/>
      <c r="L47" s="22" t="n"/>
      <c r="M47" s="22" t="n"/>
    </row>
    <row r="48">
      <c r="A48" s="22" t="n"/>
      <c r="B48" s="22" t="n"/>
      <c r="C48" s="22" t="n"/>
      <c r="D48" s="331" t="n"/>
      <c r="E48" s="331" t="n"/>
      <c r="F48" s="22" t="n"/>
      <c r="G48" s="22" t="n"/>
      <c r="H48" s="22" t="n"/>
      <c r="I48" s="22" t="n"/>
      <c r="J48" s="324" t="n"/>
      <c r="K48" s="22" t="n"/>
      <c r="L48" s="22" t="n"/>
      <c r="M48" s="22" t="n"/>
    </row>
    <row r="49">
      <c r="A49" s="22" t="n"/>
      <c r="B49" s="22" t="n"/>
      <c r="C49" s="22" t="n"/>
      <c r="D49" s="331" t="n"/>
      <c r="E49" s="331" t="n"/>
      <c r="F49" s="22" t="n"/>
      <c r="G49" s="22" t="n"/>
      <c r="H49" s="22" t="n"/>
      <c r="I49" s="22" t="n"/>
      <c r="J49" s="324" t="n"/>
      <c r="K49" s="22" t="n"/>
      <c r="L49" s="22" t="n"/>
      <c r="M49" s="22" t="n"/>
    </row>
    <row r="50">
      <c r="A50" s="22" t="n"/>
      <c r="B50" s="22" t="n"/>
      <c r="C50" s="22" t="n"/>
      <c r="D50" s="331" t="n"/>
      <c r="E50" s="331" t="n"/>
      <c r="F50" s="22" t="n"/>
      <c r="G50" s="22" t="n"/>
      <c r="H50" s="22" t="n"/>
      <c r="I50" s="22" t="n"/>
      <c r="J50" s="324" t="n"/>
      <c r="K50" s="22" t="n"/>
      <c r="L50" s="22" t="n"/>
      <c r="M50" s="22" t="n"/>
    </row>
    <row r="51">
      <c r="A51" s="22" t="n"/>
      <c r="B51" s="22" t="n"/>
      <c r="C51" s="22" t="n"/>
      <c r="D51" s="331" t="n"/>
      <c r="E51" s="331" t="n"/>
      <c r="F51" s="22" t="n"/>
      <c r="G51" s="22" t="n"/>
      <c r="H51" s="22" t="n"/>
      <c r="I51" s="22" t="n"/>
      <c r="J51" s="324" t="n"/>
      <c r="K51" s="22" t="n"/>
      <c r="L51" s="22" t="n"/>
      <c r="M51" s="22" t="n"/>
    </row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  <row r="4027"/>
    <row r="4028"/>
    <row r="4029"/>
    <row r="4030"/>
    <row r="4031"/>
    <row r="4032"/>
    <row r="4033"/>
    <row r="4034"/>
    <row r="4035"/>
    <row r="4036"/>
    <row r="4037"/>
    <row r="4038"/>
    <row r="4039"/>
    <row r="4040"/>
    <row r="4041"/>
    <row r="4042"/>
    <row r="4043"/>
    <row r="4044"/>
    <row r="4045"/>
    <row r="4046"/>
    <row r="4047"/>
    <row r="4048"/>
    <row r="4049"/>
    <row r="4050"/>
    <row r="4051"/>
    <row r="4052"/>
    <row r="4053"/>
    <row r="4054"/>
    <row r="4055"/>
    <row r="4056"/>
    <row r="4057"/>
    <row r="4058"/>
    <row r="4059"/>
    <row r="4060"/>
    <row r="4061"/>
    <row r="4062"/>
    <row r="4063"/>
    <row r="4064"/>
    <row r="4065"/>
    <row r="4066"/>
    <row r="4067"/>
    <row r="4068"/>
    <row r="4069"/>
    <row r="4070"/>
    <row r="4071"/>
    <row r="4072"/>
    <row r="4073"/>
    <row r="4074"/>
    <row r="4075"/>
    <row r="4076"/>
    <row r="4077"/>
    <row r="4078"/>
    <row r="4079"/>
    <row r="4080"/>
    <row r="4081"/>
    <row r="4082"/>
    <row r="4083"/>
    <row r="4084"/>
    <row r="4085"/>
    <row r="4086"/>
    <row r="4087"/>
    <row r="4088"/>
    <row r="4089"/>
    <row r="4090"/>
    <row r="4091"/>
    <row r="4092"/>
    <row r="4093"/>
    <row r="4094"/>
    <row r="4095"/>
    <row r="4096"/>
    <row r="4097"/>
    <row r="4098"/>
    <row r="4099"/>
    <row r="4100"/>
    <row r="4101"/>
    <row r="4102"/>
    <row r="4103"/>
    <row r="4104"/>
    <row r="4105"/>
    <row r="4106"/>
    <row r="4107"/>
    <row r="4108"/>
    <row r="4109"/>
    <row r="4110"/>
    <row r="4111"/>
    <row r="4112"/>
    <row r="4113"/>
    <row r="4114"/>
    <row r="4115"/>
    <row r="4116"/>
    <row r="4117"/>
    <row r="4118"/>
    <row r="4119"/>
    <row r="4120"/>
    <row r="4121"/>
    <row r="4122"/>
    <row r="4123"/>
    <row r="4124"/>
    <row r="4125"/>
    <row r="4126"/>
    <row r="4127"/>
    <row r="4128"/>
    <row r="4129"/>
    <row r="4130"/>
    <row r="4131"/>
    <row r="4132"/>
    <row r="4133"/>
    <row r="4134"/>
    <row r="4135"/>
    <row r="4136"/>
    <row r="4137"/>
    <row r="4138"/>
    <row r="4139"/>
    <row r="4140"/>
    <row r="4141"/>
    <row r="4142"/>
    <row r="4143"/>
    <row r="4144"/>
    <row r="4145"/>
    <row r="4146"/>
    <row r="4147"/>
    <row r="4148"/>
    <row r="4149"/>
    <row r="4150"/>
    <row r="4151"/>
    <row r="4152"/>
    <row r="4153"/>
    <row r="4154"/>
    <row r="4155"/>
    <row r="4156"/>
    <row r="4157"/>
    <row r="4158"/>
    <row r="4159"/>
    <row r="4160"/>
    <row r="4161"/>
    <row r="4162"/>
    <row r="4163"/>
    <row r="4164"/>
    <row r="4165"/>
    <row r="4166"/>
    <row r="4167"/>
    <row r="4168"/>
    <row r="4169"/>
    <row r="4170"/>
    <row r="4171"/>
    <row r="4172"/>
    <row r="4173"/>
    <row r="4174"/>
    <row r="4175"/>
    <row r="4176"/>
    <row r="4177"/>
    <row r="4178"/>
    <row r="4179"/>
    <row r="4180"/>
    <row r="4181"/>
    <row r="4182"/>
    <row r="4183"/>
    <row r="4184"/>
    <row r="4185"/>
    <row r="4186"/>
    <row r="4187"/>
    <row r="4188"/>
    <row r="4189"/>
    <row r="4190"/>
    <row r="4191"/>
    <row r="4192"/>
    <row r="4193"/>
    <row r="4194"/>
    <row r="4195"/>
    <row r="4196"/>
    <row r="4197"/>
    <row r="4198"/>
    <row r="4199"/>
    <row r="4200"/>
    <row r="4201"/>
    <row r="4202"/>
    <row r="4203"/>
    <row r="4204"/>
    <row r="4205"/>
    <row r="4206"/>
    <row r="4207"/>
    <row r="4208"/>
    <row r="4209"/>
    <row r="4210"/>
    <row r="4211"/>
    <row r="4212"/>
    <row r="4213"/>
    <row r="4214"/>
    <row r="4215"/>
    <row r="4216"/>
    <row r="4217"/>
    <row r="4218"/>
    <row r="4219"/>
    <row r="4220"/>
    <row r="4221"/>
    <row r="4222"/>
    <row r="4223"/>
    <row r="4224"/>
    <row r="4225"/>
    <row r="4226"/>
    <row r="4227"/>
    <row r="4228"/>
    <row r="4229"/>
    <row r="4230"/>
    <row r="4231"/>
    <row r="4232"/>
    <row r="4233"/>
    <row r="4234"/>
    <row r="4235"/>
    <row r="4236"/>
    <row r="4237"/>
    <row r="4238"/>
    <row r="4239"/>
    <row r="4240"/>
    <row r="4241"/>
    <row r="4242"/>
    <row r="4243"/>
    <row r="4244"/>
    <row r="4245"/>
    <row r="4246"/>
    <row r="4247"/>
    <row r="4248"/>
    <row r="4249"/>
    <row r="4250"/>
    <row r="4251"/>
    <row r="4252"/>
    <row r="4253"/>
    <row r="4254"/>
    <row r="4255"/>
    <row r="4256"/>
    <row r="4257"/>
    <row r="4258"/>
    <row r="4259"/>
    <row r="4260"/>
    <row r="4261"/>
    <row r="4262"/>
    <row r="4263"/>
    <row r="4264"/>
    <row r="4265"/>
    <row r="4266"/>
    <row r="4267"/>
    <row r="4268"/>
    <row r="4269"/>
    <row r="4270"/>
    <row r="4271"/>
    <row r="4272"/>
    <row r="4273"/>
    <row r="4274"/>
    <row r="4275"/>
    <row r="4276"/>
    <row r="4277"/>
    <row r="4278"/>
    <row r="4279"/>
    <row r="4280"/>
    <row r="4281"/>
    <row r="4282"/>
    <row r="4283"/>
    <row r="4284"/>
    <row r="4285"/>
    <row r="4286"/>
    <row r="4287"/>
    <row r="4288"/>
    <row r="4289"/>
    <row r="4290"/>
    <row r="4291"/>
    <row r="4292"/>
    <row r="4293"/>
    <row r="4294"/>
    <row r="4295"/>
    <row r="4296"/>
    <row r="4297"/>
    <row r="4298"/>
    <row r="4299"/>
    <row r="4300"/>
    <row r="4301"/>
    <row r="4302"/>
    <row r="4303"/>
    <row r="4304"/>
    <row r="4305"/>
    <row r="4306"/>
    <row r="4307"/>
    <row r="4308"/>
    <row r="4309"/>
    <row r="4310"/>
    <row r="4311"/>
    <row r="4312"/>
    <row r="4313"/>
    <row r="4314"/>
    <row r="4315"/>
    <row r="4316"/>
    <row r="4317"/>
    <row r="4318"/>
    <row r="4319"/>
    <row r="4320"/>
    <row r="4321"/>
    <row r="4322"/>
    <row r="4323"/>
    <row r="4324"/>
    <row r="4325"/>
    <row r="4326"/>
    <row r="4327"/>
    <row r="4328"/>
    <row r="4329"/>
    <row r="4330"/>
    <row r="4331"/>
    <row r="4332"/>
    <row r="4333"/>
    <row r="4334"/>
    <row r="4335"/>
    <row r="4336"/>
    <row r="4337"/>
    <row r="4338"/>
    <row r="4339"/>
    <row r="4340"/>
    <row r="4341"/>
    <row r="4342"/>
    <row r="4343"/>
    <row r="4344"/>
    <row r="4345"/>
    <row r="4346"/>
    <row r="4347"/>
    <row r="4348"/>
    <row r="4349"/>
    <row r="4350"/>
    <row r="4351"/>
    <row r="4352"/>
    <row r="4353"/>
    <row r="4354"/>
    <row r="4355"/>
    <row r="4356"/>
    <row r="4357"/>
    <row r="4358"/>
    <row r="4359"/>
    <row r="4360"/>
    <row r="4361"/>
    <row r="4362"/>
    <row r="4363"/>
    <row r="4364"/>
    <row r="4365"/>
    <row r="4366"/>
    <row r="4367"/>
    <row r="4368"/>
    <row r="4369"/>
    <row r="4370"/>
    <row r="4371"/>
    <row r="4372"/>
    <row r="4373"/>
    <row r="4374"/>
    <row r="4375"/>
    <row r="4376"/>
    <row r="4377"/>
    <row r="4378"/>
    <row r="4379"/>
    <row r="4380"/>
    <row r="4381"/>
    <row r="4382"/>
    <row r="4383"/>
    <row r="4384"/>
    <row r="4385"/>
    <row r="4386"/>
    <row r="4387"/>
    <row r="4388"/>
    <row r="4389"/>
    <row r="4390"/>
    <row r="4391"/>
    <row r="4392"/>
    <row r="4393"/>
    <row r="4394"/>
    <row r="4395"/>
    <row r="4396"/>
    <row r="4397"/>
    <row r="4398"/>
    <row r="4399"/>
    <row r="4400"/>
    <row r="4401"/>
    <row r="4402"/>
    <row r="4403"/>
    <row r="4404"/>
    <row r="4405"/>
    <row r="4406"/>
    <row r="4407"/>
    <row r="4408"/>
    <row r="4409"/>
    <row r="4410"/>
    <row r="4411"/>
    <row r="4412"/>
    <row r="4413"/>
    <row r="4414"/>
    <row r="4415"/>
    <row r="4416"/>
    <row r="4417"/>
    <row r="4418"/>
    <row r="4419"/>
    <row r="4420"/>
    <row r="4421"/>
    <row r="4422"/>
    <row r="4423"/>
    <row r="4424"/>
    <row r="4425"/>
    <row r="4426"/>
    <row r="4427"/>
    <row r="4428"/>
    <row r="4429"/>
    <row r="4430"/>
    <row r="4431"/>
    <row r="4432"/>
    <row r="4433"/>
    <row r="4434"/>
    <row r="4435"/>
    <row r="4436"/>
    <row r="4437"/>
    <row r="4438"/>
    <row r="4439"/>
    <row r="4440"/>
    <row r="4441"/>
    <row r="4442"/>
    <row r="4443"/>
    <row r="4444"/>
    <row r="4445"/>
    <row r="4446"/>
    <row r="4447"/>
    <row r="4448"/>
    <row r="4449"/>
    <row r="4450"/>
    <row r="4451"/>
    <row r="4452"/>
    <row r="4453"/>
    <row r="4454"/>
    <row r="4455"/>
    <row r="4456"/>
    <row r="4457"/>
    <row r="4458"/>
    <row r="4459"/>
    <row r="4460"/>
    <row r="4461"/>
    <row r="4462"/>
    <row r="4463"/>
    <row r="4464"/>
    <row r="4465"/>
    <row r="4466"/>
    <row r="4467"/>
    <row r="4468"/>
    <row r="4469"/>
    <row r="4470"/>
    <row r="4471"/>
    <row r="4472"/>
    <row r="4473"/>
    <row r="4474"/>
    <row r="4475"/>
    <row r="4476"/>
    <row r="4477"/>
    <row r="4478"/>
    <row r="4479"/>
    <row r="4480"/>
    <row r="4481"/>
    <row r="4482"/>
    <row r="4483"/>
    <row r="4484"/>
    <row r="4485"/>
    <row r="4486"/>
    <row r="4487"/>
    <row r="4488"/>
    <row r="4489"/>
    <row r="4490"/>
    <row r="4491"/>
    <row r="4492"/>
    <row r="4493"/>
    <row r="4494"/>
    <row r="4495"/>
    <row r="4496"/>
    <row r="4497"/>
    <row r="4498"/>
    <row r="4499"/>
    <row r="4500"/>
    <row r="4501"/>
    <row r="4502"/>
    <row r="4503"/>
    <row r="4504"/>
    <row r="4505"/>
    <row r="4506"/>
    <row r="4507"/>
    <row r="4508"/>
    <row r="4509"/>
    <row r="4510"/>
    <row r="4511"/>
    <row r="4512"/>
    <row r="4513"/>
    <row r="4514"/>
    <row r="4515"/>
    <row r="4516"/>
    <row r="4517"/>
    <row r="4518"/>
    <row r="4519"/>
    <row r="4520"/>
    <row r="4521"/>
    <row r="4522"/>
    <row r="4523"/>
    <row r="4524"/>
    <row r="4525"/>
    <row r="4526"/>
    <row r="4527"/>
    <row r="4528"/>
    <row r="4529"/>
    <row r="4530"/>
    <row r="4531"/>
    <row r="4532"/>
    <row r="4533"/>
    <row r="4534"/>
    <row r="4535"/>
    <row r="4536"/>
    <row r="4537"/>
    <row r="4538"/>
    <row r="4539"/>
    <row r="4540"/>
    <row r="4541"/>
    <row r="4542"/>
    <row r="4543"/>
    <row r="4544"/>
    <row r="4545"/>
    <row r="4546"/>
    <row r="4547"/>
    <row r="4548"/>
    <row r="4549"/>
    <row r="4550"/>
    <row r="4551"/>
    <row r="4552"/>
    <row r="4553"/>
    <row r="4554"/>
    <row r="4555"/>
    <row r="4556"/>
    <row r="4557"/>
    <row r="4558"/>
    <row r="4559"/>
    <row r="4560"/>
    <row r="4561"/>
    <row r="4562"/>
    <row r="4563"/>
    <row r="4564"/>
    <row r="4565"/>
    <row r="4566"/>
    <row r="4567"/>
    <row r="4568"/>
    <row r="4569"/>
    <row r="4570"/>
    <row r="4571"/>
    <row r="4572"/>
    <row r="4573"/>
    <row r="4574"/>
    <row r="4575"/>
    <row r="4576"/>
    <row r="4577"/>
    <row r="4578"/>
    <row r="4579"/>
    <row r="4580"/>
    <row r="4581"/>
    <row r="4582"/>
    <row r="4583"/>
    <row r="4584"/>
    <row r="4585"/>
    <row r="4586"/>
    <row r="4587"/>
    <row r="4588"/>
    <row r="4589"/>
    <row r="4590"/>
    <row r="4591"/>
    <row r="4592"/>
    <row r="4593"/>
    <row r="4594"/>
    <row r="4595"/>
    <row r="4596"/>
    <row r="4597"/>
    <row r="4598"/>
    <row r="4599"/>
    <row r="4600"/>
    <row r="4601"/>
    <row r="4602"/>
    <row r="4603"/>
    <row r="4604"/>
    <row r="4605"/>
    <row r="4606"/>
    <row r="4607"/>
    <row r="4608"/>
    <row r="4609"/>
    <row r="4610"/>
    <row r="4611"/>
    <row r="4612"/>
    <row r="4613"/>
    <row r="4614"/>
    <row r="4615"/>
    <row r="4616"/>
    <row r="4617"/>
    <row r="4618"/>
    <row r="4619"/>
    <row r="4620"/>
    <row r="4621"/>
    <row r="4622"/>
    <row r="4623"/>
    <row r="4624"/>
    <row r="4625"/>
    <row r="4626"/>
    <row r="4627"/>
    <row r="4628"/>
    <row r="4629"/>
    <row r="4630"/>
    <row r="4631"/>
    <row r="4632"/>
    <row r="4633"/>
    <row r="4634"/>
    <row r="4635"/>
    <row r="4636"/>
    <row r="4637"/>
    <row r="4638"/>
    <row r="4639"/>
    <row r="4640"/>
    <row r="4641"/>
    <row r="4642"/>
    <row r="4643"/>
    <row r="4644"/>
    <row r="4645"/>
    <row r="4646"/>
    <row r="4647"/>
    <row r="4648"/>
    <row r="4649"/>
    <row r="4650"/>
    <row r="4651"/>
    <row r="4652"/>
    <row r="4653"/>
    <row r="4654"/>
    <row r="4655"/>
    <row r="4656"/>
    <row r="4657"/>
    <row r="4658"/>
    <row r="4659"/>
    <row r="4660"/>
    <row r="4661"/>
    <row r="4662"/>
    <row r="4663"/>
    <row r="4664"/>
    <row r="4665"/>
    <row r="4666"/>
    <row r="4667"/>
    <row r="4668"/>
    <row r="4669"/>
    <row r="4670"/>
    <row r="4671"/>
    <row r="4672"/>
    <row r="4673"/>
    <row r="4674"/>
    <row r="4675"/>
    <row r="4676"/>
    <row r="4677"/>
    <row r="4678"/>
    <row r="4679"/>
    <row r="4680"/>
    <row r="4681"/>
    <row r="4682"/>
    <row r="4683"/>
    <row r="4684"/>
    <row r="4685"/>
    <row r="4686"/>
    <row r="4687"/>
    <row r="4688"/>
    <row r="4689"/>
    <row r="4690"/>
    <row r="4691"/>
    <row r="4692"/>
    <row r="4693"/>
    <row r="4694"/>
    <row r="4695"/>
    <row r="4696"/>
    <row r="4697"/>
    <row r="4698"/>
    <row r="4699"/>
    <row r="4700"/>
    <row r="4701"/>
    <row r="4702"/>
    <row r="4703"/>
    <row r="4704"/>
    <row r="4705"/>
    <row r="4706"/>
    <row r="4707"/>
    <row r="4708"/>
    <row r="4709"/>
    <row r="4710"/>
    <row r="4711"/>
    <row r="4712"/>
    <row r="4713"/>
    <row r="4714"/>
    <row r="4715"/>
    <row r="4716"/>
    <row r="4717"/>
    <row r="4718"/>
    <row r="4719"/>
    <row r="4720"/>
    <row r="4721"/>
    <row r="4722"/>
    <row r="4723"/>
    <row r="4724"/>
    <row r="4725"/>
    <row r="4726"/>
    <row r="4727"/>
    <row r="4728"/>
    <row r="4729"/>
    <row r="4730"/>
    <row r="4731"/>
    <row r="4732"/>
    <row r="4733"/>
    <row r="4734"/>
    <row r="4735"/>
    <row r="4736"/>
    <row r="4737"/>
    <row r="4738"/>
    <row r="4739"/>
    <row r="4740"/>
    <row r="4741"/>
    <row r="4742"/>
    <row r="4743"/>
    <row r="4744"/>
    <row r="4745"/>
    <row r="4746"/>
    <row r="4747"/>
    <row r="4748"/>
    <row r="4749"/>
    <row r="4750"/>
    <row r="4751"/>
    <row r="4752"/>
    <row r="4753"/>
    <row r="4754"/>
    <row r="4755"/>
    <row r="4756"/>
    <row r="4757"/>
    <row r="4758"/>
    <row r="4759"/>
    <row r="4760"/>
    <row r="4761"/>
    <row r="4762"/>
    <row r="4763"/>
    <row r="4764"/>
    <row r="4765"/>
    <row r="4766"/>
    <row r="4767"/>
    <row r="4768"/>
    <row r="4769"/>
    <row r="4770"/>
    <row r="4771"/>
    <row r="4772"/>
    <row r="4773"/>
    <row r="4774"/>
    <row r="4775"/>
    <row r="4776"/>
    <row r="4777"/>
    <row r="4778"/>
    <row r="4779"/>
    <row r="4780"/>
    <row r="4781"/>
    <row r="4782"/>
    <row r="4783"/>
    <row r="4784"/>
    <row r="4785"/>
    <row r="4786"/>
    <row r="4787"/>
    <row r="4788"/>
    <row r="4789"/>
    <row r="4790"/>
    <row r="4791"/>
    <row r="4792"/>
    <row r="4793"/>
    <row r="4794"/>
    <row r="4795"/>
    <row r="4796"/>
    <row r="4797"/>
    <row r="4798"/>
    <row r="4799"/>
    <row r="4800"/>
    <row r="4801"/>
    <row r="4802"/>
    <row r="4803"/>
    <row r="4804"/>
    <row r="4805"/>
    <row r="4806"/>
    <row r="4807"/>
    <row r="4808"/>
    <row r="4809"/>
    <row r="4810"/>
    <row r="4811"/>
    <row r="4812"/>
    <row r="4813"/>
    <row r="4814"/>
    <row r="4815"/>
    <row r="4816"/>
    <row r="4817"/>
    <row r="4818"/>
    <row r="4819"/>
    <row r="4820"/>
    <row r="4821"/>
    <row r="4822"/>
    <row r="4823"/>
    <row r="4824"/>
    <row r="4825"/>
    <row r="4826"/>
    <row r="4827"/>
    <row r="4828"/>
    <row r="4829"/>
    <row r="4830"/>
    <row r="4831"/>
    <row r="4832"/>
    <row r="4833"/>
    <row r="4834"/>
    <row r="4835"/>
    <row r="4836"/>
    <row r="4837"/>
    <row r="4838"/>
    <row r="4839"/>
    <row r="4840"/>
    <row r="4841"/>
    <row r="4842"/>
    <row r="4843"/>
    <row r="4844"/>
    <row r="4845"/>
    <row r="4846"/>
    <row r="4847"/>
    <row r="4848"/>
    <row r="4849"/>
    <row r="4850"/>
    <row r="4851"/>
    <row r="4852"/>
    <row r="4853"/>
    <row r="4854"/>
    <row r="4855"/>
    <row r="4856"/>
    <row r="4857"/>
    <row r="4858"/>
    <row r="4859"/>
    <row r="4860"/>
    <row r="4861"/>
    <row r="4862"/>
    <row r="4863"/>
    <row r="4864"/>
    <row r="4865"/>
    <row r="4866"/>
    <row r="4867"/>
    <row r="4868"/>
    <row r="4869"/>
    <row r="4870"/>
    <row r="4871"/>
    <row r="4872"/>
    <row r="4873"/>
    <row r="4874"/>
    <row r="4875"/>
    <row r="4876"/>
    <row r="4877"/>
    <row r="4878"/>
    <row r="4879"/>
    <row r="4880"/>
    <row r="4881"/>
    <row r="4882"/>
    <row r="4883"/>
    <row r="4884"/>
    <row r="4885"/>
    <row r="4886"/>
    <row r="4887"/>
    <row r="4888"/>
    <row r="4889"/>
    <row r="4890"/>
    <row r="4891"/>
    <row r="4892"/>
    <row r="4893"/>
    <row r="4894"/>
    <row r="4895"/>
    <row r="4896"/>
    <row r="4897"/>
    <row r="4898"/>
    <row r="4899"/>
    <row r="4900"/>
    <row r="4901"/>
    <row r="4902"/>
    <row r="4903"/>
    <row r="4904"/>
    <row r="4905"/>
    <row r="4906"/>
    <row r="4907"/>
    <row r="4908"/>
    <row r="4909"/>
    <row r="4910"/>
    <row r="4911"/>
    <row r="4912"/>
    <row r="4913"/>
    <row r="4914"/>
    <row r="4915"/>
    <row r="4916"/>
    <row r="4917"/>
    <row r="4918"/>
    <row r="4919"/>
    <row r="4920"/>
    <row r="4921"/>
    <row r="4922"/>
    <row r="4923"/>
    <row r="4924"/>
    <row r="4925"/>
    <row r="4926"/>
    <row r="4927"/>
    <row r="4928"/>
    <row r="4929"/>
    <row r="4930"/>
    <row r="4931"/>
    <row r="4932"/>
    <row r="4933"/>
    <row r="4934"/>
    <row r="4935"/>
    <row r="4936"/>
    <row r="4937"/>
    <row r="4938"/>
    <row r="4939"/>
    <row r="4940"/>
    <row r="4941"/>
    <row r="4942"/>
    <row r="4943"/>
    <row r="4944"/>
    <row r="4945"/>
    <row r="4946"/>
    <row r="4947"/>
    <row r="4948"/>
    <row r="4949"/>
    <row r="4950"/>
    <row r="4951"/>
    <row r="4952"/>
    <row r="4953"/>
    <row r="4954"/>
    <row r="4955"/>
    <row r="4956"/>
    <row r="4957"/>
    <row r="4958"/>
    <row r="4959"/>
    <row r="4960"/>
    <row r="4961"/>
    <row r="4962"/>
    <row r="4963"/>
    <row r="4964"/>
    <row r="4965"/>
    <row r="4966"/>
    <row r="4967"/>
    <row r="4968"/>
    <row r="4969"/>
    <row r="4970"/>
    <row r="4971"/>
    <row r="4972"/>
    <row r="4973"/>
    <row r="4974"/>
    <row r="4975"/>
    <row r="4976"/>
    <row r="4977"/>
    <row r="4978"/>
    <row r="4979"/>
    <row r="4980"/>
    <row r="4981"/>
    <row r="4982"/>
    <row r="4983"/>
    <row r="4984"/>
    <row r="4985"/>
    <row r="4986"/>
    <row r="4987"/>
    <row r="4988"/>
    <row r="4989"/>
    <row r="4990"/>
    <row r="4991"/>
    <row r="4992"/>
    <row r="4993"/>
    <row r="4994"/>
    <row r="4995"/>
    <row r="4996"/>
    <row r="4997"/>
    <row r="4998"/>
    <row r="4999"/>
    <row r="5000"/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5000"/>
  <sheetViews>
    <sheetView zoomScale="110" workbookViewId="0">
      <pane ySplit="1" topLeftCell="A2" activePane="bottomLeft" state="frozen"/>
      <selection pane="bottomLeft" activeCell="A1" sqref="A1"/>
    </sheetView>
  </sheetViews>
  <sheetFormatPr baseColWidth="8" defaultRowHeight="18"/>
  <cols>
    <col width="34" customWidth="1" min="1" max="1"/>
    <col width="12" customWidth="1" min="2" max="2"/>
    <col width="18" customWidth="1" min="3" max="3"/>
    <col width="18" customWidth="1" min="4" max="4"/>
    <col width="16" customWidth="1" min="5" max="5"/>
    <col width="16" customWidth="1" min="6" max="6"/>
    <col width="34" customWidth="1" min="7" max="7"/>
    <col width="60" customWidth="1" min="8" max="8"/>
    <col width="3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</cols>
  <sheetData>
    <row r="1" ht="30" customHeight="1">
      <c r="A1" s="548" t="inlineStr">
        <is>
          <t>rule_id</t>
        </is>
      </c>
      <c r="B1" s="548" t="inlineStr">
        <is>
          <t>status</t>
        </is>
      </c>
      <c r="C1" s="548" t="inlineStr">
        <is>
          <t>unique_issue_count</t>
        </is>
      </c>
      <c r="D1" s="548" t="inlineStr">
        <is>
          <t>occurrence_count</t>
        </is>
      </c>
      <c r="E1" s="548" t="inlineStr">
        <is>
          <t>blocking_count</t>
        </is>
      </c>
      <c r="F1" s="548" t="inlineStr">
        <is>
          <t>actionable_count</t>
        </is>
      </c>
      <c r="G1" s="548" t="inlineStr">
        <is>
          <t>affected_sections</t>
        </is>
      </c>
      <c r="H1" s="548" t="inlineStr">
        <is>
          <t>interpretation</t>
        </is>
      </c>
      <c r="I1" s="548" t="inlineStr">
        <is>
          <t>detail_ref</t>
        </is>
      </c>
      <c r="J1" s="322" t="n"/>
      <c r="K1" s="322" t="n"/>
      <c r="L1" s="322" t="n"/>
      <c r="M1" s="322" t="n"/>
      <c r="N1" s="322" t="n"/>
      <c r="O1" s="322" t="n"/>
      <c r="P1" s="322" t="n"/>
      <c r="Q1" s="322" t="n"/>
      <c r="R1" s="322" t="n"/>
      <c r="S1" s="322" t="n"/>
      <c r="T1" s="322" t="n"/>
      <c r="U1" s="322" t="n"/>
      <c r="V1" s="322" t="n"/>
      <c r="W1" s="322" t="n"/>
      <c r="X1" s="322" t="n"/>
    </row>
    <row r="2">
      <c r="A2" s="324" t="n"/>
      <c r="B2" s="22" t="n"/>
      <c r="C2" s="22" t="n"/>
      <c r="D2" s="22" t="n"/>
      <c r="E2" s="22" t="n"/>
      <c r="F2" s="22" t="n"/>
      <c r="G2" s="22" t="n"/>
      <c r="H2" s="22" t="n"/>
      <c r="I2" s="22" t="n"/>
      <c r="J2" s="22" t="n"/>
      <c r="K2" s="22" t="n"/>
      <c r="L2" s="22" t="n"/>
      <c r="M2" s="22" t="n"/>
      <c r="N2" s="22" t="n"/>
      <c r="O2" s="22" t="n"/>
      <c r="P2" s="22" t="n"/>
      <c r="Q2" s="22" t="n"/>
      <c r="R2" s="22" t="n"/>
      <c r="S2" s="22" t="n"/>
      <c r="T2" s="22" t="n"/>
      <c r="U2" s="22" t="n"/>
      <c r="V2" s="22" t="n"/>
      <c r="W2" s="22" t="n"/>
      <c r="X2" s="22" t="n"/>
    </row>
    <row r="3">
      <c r="A3" s="324" t="n"/>
      <c r="B3" s="22" t="n"/>
      <c r="C3" s="22" t="n"/>
      <c r="D3" s="22" t="n"/>
      <c r="E3" s="22" t="n"/>
      <c r="F3" s="22" t="n"/>
      <c r="G3" s="22" t="n"/>
      <c r="H3" s="22" t="n"/>
      <c r="I3" s="22" t="n"/>
      <c r="J3" s="22" t="n"/>
      <c r="K3" s="22" t="n"/>
      <c r="L3" s="22" t="n"/>
      <c r="M3" s="22" t="n"/>
      <c r="N3" s="22" t="n"/>
      <c r="O3" s="22" t="n"/>
      <c r="P3" s="22" t="n"/>
      <c r="Q3" s="22" t="n"/>
      <c r="R3" s="22" t="n"/>
      <c r="S3" s="22" t="n"/>
      <c r="T3" s="22" t="n"/>
      <c r="U3" s="22" t="n"/>
      <c r="V3" s="22" t="n"/>
      <c r="W3" s="22" t="n"/>
      <c r="X3" s="22" t="n"/>
    </row>
    <row r="4">
      <c r="A4" s="324" t="n"/>
      <c r="B4" s="22" t="n"/>
      <c r="C4" s="22" t="n"/>
      <c r="D4" s="22" t="n"/>
      <c r="E4" s="22" t="n"/>
      <c r="F4" s="22" t="n"/>
      <c r="G4" s="22" t="n"/>
      <c r="H4" s="22" t="n"/>
      <c r="I4" s="22" t="n"/>
      <c r="J4" s="22" t="n"/>
      <c r="K4" s="22" t="n"/>
      <c r="L4" s="22" t="n"/>
      <c r="M4" s="22" t="n"/>
      <c r="N4" s="22" t="n"/>
      <c r="O4" s="22" t="n"/>
      <c r="P4" s="22" t="n"/>
      <c r="Q4" s="22" t="n"/>
      <c r="R4" s="22" t="n"/>
      <c r="S4" s="22" t="n"/>
      <c r="T4" s="22" t="n"/>
      <c r="U4" s="22" t="n"/>
      <c r="V4" s="22" t="n"/>
      <c r="W4" s="22" t="n"/>
      <c r="X4" s="22" t="n"/>
    </row>
    <row r="5">
      <c r="A5" s="324" t="n"/>
      <c r="B5" s="22" t="n"/>
      <c r="C5" s="22" t="n"/>
      <c r="D5" s="22" t="n"/>
      <c r="E5" s="22" t="n"/>
      <c r="F5" s="22" t="n"/>
      <c r="G5" s="22" t="n"/>
      <c r="H5" s="22" t="n"/>
      <c r="I5" s="22" t="n"/>
      <c r="J5" s="22" t="n"/>
      <c r="K5" s="22" t="n"/>
      <c r="L5" s="22" t="n"/>
      <c r="M5" s="22" t="n"/>
      <c r="N5" s="22" t="n"/>
      <c r="O5" s="22" t="n"/>
      <c r="P5" s="22" t="n"/>
      <c r="Q5" s="22" t="n"/>
      <c r="R5" s="22" t="n"/>
      <c r="S5" s="22" t="n"/>
      <c r="T5" s="22" t="n"/>
      <c r="U5" s="22" t="n"/>
      <c r="V5" s="22" t="n"/>
      <c r="W5" s="22" t="n"/>
      <c r="X5" s="22" t="n"/>
    </row>
    <row r="6">
      <c r="A6" s="324" t="n"/>
      <c r="B6" s="22" t="n"/>
      <c r="C6" s="22" t="n"/>
      <c r="D6" s="22" t="n"/>
      <c r="E6" s="22" t="n"/>
      <c r="F6" s="22" t="n"/>
      <c r="G6" s="22" t="n"/>
      <c r="H6" s="22" t="n"/>
      <c r="I6" s="22" t="n"/>
      <c r="J6" s="22" t="n"/>
      <c r="K6" s="22" t="n"/>
      <c r="L6" s="22" t="n"/>
      <c r="M6" s="22" t="n"/>
      <c r="N6" s="22" t="n"/>
      <c r="O6" s="22" t="n"/>
      <c r="P6" s="22" t="n"/>
      <c r="Q6" s="22" t="n"/>
      <c r="R6" s="22" t="n"/>
      <c r="S6" s="22" t="n"/>
      <c r="T6" s="22" t="n"/>
      <c r="U6" s="22" t="n"/>
      <c r="V6" s="22" t="n"/>
      <c r="W6" s="22" t="n"/>
      <c r="X6" s="22" t="n"/>
    </row>
    <row r="7">
      <c r="A7" s="324" t="n"/>
      <c r="B7" s="22" t="n"/>
      <c r="C7" s="22" t="n"/>
      <c r="D7" s="22" t="n"/>
      <c r="E7" s="22" t="n"/>
      <c r="F7" s="22" t="n"/>
      <c r="G7" s="22" t="n"/>
      <c r="H7" s="22" t="n"/>
      <c r="I7" s="22" t="n"/>
      <c r="J7" s="22" t="n"/>
      <c r="K7" s="22" t="n"/>
      <c r="L7" s="22" t="n"/>
      <c r="M7" s="22" t="n"/>
      <c r="N7" s="22" t="n"/>
      <c r="O7" s="22" t="n"/>
      <c r="P7" s="22" t="n"/>
      <c r="Q7" s="22" t="n"/>
      <c r="R7" s="22" t="n"/>
      <c r="S7" s="22" t="n"/>
      <c r="T7" s="22" t="n"/>
      <c r="U7" s="22" t="n"/>
      <c r="V7" s="22" t="n"/>
      <c r="W7" s="22" t="n"/>
      <c r="X7" s="22" t="n"/>
    </row>
    <row r="8">
      <c r="A8" s="324" t="n"/>
      <c r="B8" s="22" t="n"/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  <c r="T8" s="22" t="n"/>
      <c r="U8" s="22" t="n"/>
      <c r="V8" s="22" t="n"/>
      <c r="W8" s="22" t="n"/>
      <c r="X8" s="22" t="n"/>
    </row>
    <row r="9">
      <c r="A9" s="324" t="n"/>
      <c r="B9" s="22" t="n"/>
      <c r="C9" s="22" t="n"/>
      <c r="D9" s="22" t="n"/>
      <c r="E9" s="22" t="n"/>
      <c r="F9" s="22" t="n"/>
      <c r="G9" s="22" t="n"/>
      <c r="H9" s="22" t="n"/>
      <c r="I9" s="22" t="n"/>
      <c r="J9" s="22" t="n"/>
      <c r="K9" s="22" t="n"/>
      <c r="L9" s="22" t="n"/>
      <c r="M9" s="22" t="n"/>
      <c r="N9" s="22" t="n"/>
      <c r="O9" s="22" t="n"/>
      <c r="P9" s="22" t="n"/>
      <c r="Q9" s="22" t="n"/>
      <c r="R9" s="22" t="n"/>
      <c r="S9" s="22" t="n"/>
      <c r="T9" s="22" t="n"/>
      <c r="U9" s="22" t="n"/>
      <c r="V9" s="22" t="n"/>
      <c r="W9" s="22" t="n"/>
      <c r="X9" s="22" t="n"/>
    </row>
    <row r="10">
      <c r="A10" s="324" t="n"/>
      <c r="B10" s="22" t="n"/>
      <c r="C10" s="22" t="n"/>
      <c r="D10" s="22" t="n"/>
      <c r="E10" s="22" t="n"/>
      <c r="F10" s="22" t="n"/>
      <c r="G10" s="22" t="n"/>
      <c r="H10" s="22" t="n"/>
      <c r="I10" s="22" t="n"/>
      <c r="J10" s="22" t="n"/>
      <c r="K10" s="22" t="n"/>
      <c r="L10" s="22" t="n"/>
      <c r="M10" s="22" t="n"/>
      <c r="N10" s="22" t="n"/>
      <c r="O10" s="22" t="n"/>
      <c r="P10" s="22" t="n"/>
      <c r="Q10" s="22" t="n"/>
      <c r="R10" s="22" t="n"/>
      <c r="S10" s="22" t="n"/>
      <c r="T10" s="22" t="n"/>
      <c r="U10" s="22" t="n"/>
      <c r="V10" s="22" t="n"/>
      <c r="W10" s="22" t="n"/>
      <c r="X10" s="22" t="n"/>
    </row>
    <row r="11">
      <c r="A11" s="324" t="n"/>
      <c r="B11" s="22" t="n"/>
      <c r="C11" s="22" t="n"/>
      <c r="D11" s="22" t="n"/>
      <c r="E11" s="22" t="n"/>
      <c r="F11" s="22" t="n"/>
      <c r="G11" s="22" t="n"/>
      <c r="H11" s="22" t="n"/>
      <c r="I11" s="22" t="n"/>
      <c r="J11" s="22" t="n"/>
      <c r="K11" s="22" t="n"/>
      <c r="L11" s="22" t="n"/>
      <c r="M11" s="22" t="n"/>
      <c r="N11" s="22" t="n"/>
      <c r="O11" s="22" t="n"/>
      <c r="P11" s="22" t="n"/>
      <c r="Q11" s="22" t="n"/>
      <c r="R11" s="22" t="n"/>
      <c r="S11" s="22" t="n"/>
      <c r="T11" s="22" t="n"/>
      <c r="U11" s="22" t="n"/>
      <c r="V11" s="22" t="n"/>
      <c r="W11" s="22" t="n"/>
      <c r="X11" s="22" t="n"/>
    </row>
    <row r="12">
      <c r="A12" s="324" t="n"/>
      <c r="B12" s="22" t="n"/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22" t="n"/>
      <c r="R12" s="22" t="n"/>
      <c r="S12" s="22" t="n"/>
      <c r="T12" s="22" t="n"/>
      <c r="U12" s="22" t="n"/>
      <c r="V12" s="22" t="n"/>
      <c r="W12" s="22" t="n"/>
      <c r="X12" s="22" t="n"/>
    </row>
    <row r="13">
      <c r="A13" s="324" t="n"/>
      <c r="B13" s="22" t="n"/>
      <c r="C13" s="22" t="n"/>
      <c r="D13" s="22" t="n"/>
      <c r="E13" s="22" t="n"/>
      <c r="F13" s="22" t="n"/>
      <c r="G13" s="22" t="n"/>
      <c r="H13" s="22" t="n"/>
      <c r="I13" s="22" t="n"/>
      <c r="J13" s="22" t="n"/>
      <c r="K13" s="22" t="n"/>
      <c r="L13" s="22" t="n"/>
      <c r="M13" s="22" t="n"/>
      <c r="N13" s="22" t="n"/>
      <c r="O13" s="22" t="n"/>
      <c r="P13" s="22" t="n"/>
      <c r="Q13" s="22" t="n"/>
      <c r="R13" s="22" t="n"/>
      <c r="S13" s="22" t="n"/>
      <c r="T13" s="22" t="n"/>
      <c r="U13" s="22" t="n"/>
      <c r="V13" s="22" t="n"/>
      <c r="W13" s="22" t="n"/>
      <c r="X13" s="22" t="n"/>
    </row>
    <row r="14">
      <c r="A14" s="324" t="n"/>
      <c r="B14" s="22" t="n"/>
      <c r="C14" s="22" t="n"/>
      <c r="D14" s="22" t="n"/>
      <c r="E14" s="22" t="n"/>
      <c r="F14" s="22" t="n"/>
      <c r="G14" s="22" t="n"/>
      <c r="H14" s="22" t="n"/>
      <c r="I14" s="22" t="n"/>
      <c r="J14" s="22" t="n"/>
      <c r="K14" s="22" t="n"/>
      <c r="L14" s="22" t="n"/>
      <c r="M14" s="22" t="n"/>
      <c r="N14" s="22" t="n"/>
      <c r="O14" s="22" t="n"/>
      <c r="P14" s="22" t="n"/>
      <c r="Q14" s="22" t="n"/>
      <c r="R14" s="22" t="n"/>
      <c r="S14" s="22" t="n"/>
      <c r="T14" s="22" t="n"/>
      <c r="U14" s="22" t="n"/>
      <c r="V14" s="22" t="n"/>
      <c r="W14" s="22" t="n"/>
      <c r="X14" s="22" t="n"/>
    </row>
    <row r="15">
      <c r="A15" s="324" t="n"/>
      <c r="B15" s="22" t="n"/>
      <c r="C15" s="22" t="n"/>
      <c r="D15" s="22" t="n"/>
      <c r="E15" s="22" t="n"/>
      <c r="F15" s="22" t="n"/>
      <c r="G15" s="22" t="n"/>
      <c r="H15" s="22" t="n"/>
      <c r="I15" s="22" t="n"/>
      <c r="J15" s="22" t="n"/>
      <c r="K15" s="22" t="n"/>
      <c r="L15" s="22" t="n"/>
      <c r="M15" s="22" t="n"/>
      <c r="N15" s="22" t="n"/>
      <c r="O15" s="22" t="n"/>
      <c r="P15" s="22" t="n"/>
      <c r="Q15" s="22" t="n"/>
      <c r="R15" s="22" t="n"/>
      <c r="S15" s="22" t="n"/>
      <c r="T15" s="22" t="n"/>
      <c r="U15" s="22" t="n"/>
      <c r="V15" s="22" t="n"/>
      <c r="W15" s="22" t="n"/>
      <c r="X15" s="22" t="n"/>
    </row>
    <row r="16">
      <c r="A16" s="324" t="n"/>
      <c r="B16" s="22" t="n"/>
      <c r="C16" s="22" t="n"/>
      <c r="D16" s="22" t="n"/>
      <c r="E16" s="22" t="n"/>
      <c r="F16" s="22" t="n"/>
      <c r="G16" s="22" t="n"/>
      <c r="H16" s="22" t="n"/>
      <c r="I16" s="22" t="n"/>
      <c r="J16" s="22" t="n"/>
      <c r="K16" s="22" t="n"/>
      <c r="L16" s="22" t="n"/>
      <c r="M16" s="22" t="n"/>
      <c r="N16" s="22" t="n"/>
      <c r="O16" s="22" t="n"/>
      <c r="P16" s="22" t="n"/>
      <c r="Q16" s="22" t="n"/>
      <c r="R16" s="22" t="n"/>
      <c r="S16" s="22" t="n"/>
      <c r="T16" s="22" t="n"/>
      <c r="U16" s="22" t="n"/>
      <c r="V16" s="22" t="n"/>
      <c r="W16" s="22" t="n"/>
      <c r="X16" s="22" t="n"/>
    </row>
    <row r="17">
      <c r="A17" s="324" t="n"/>
      <c r="B17" s="22" t="n"/>
      <c r="C17" s="22" t="n"/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2" t="n"/>
      <c r="R17" s="22" t="n"/>
      <c r="S17" s="22" t="n"/>
      <c r="T17" s="22" t="n"/>
      <c r="U17" s="22" t="n"/>
      <c r="V17" s="22" t="n"/>
      <c r="W17" s="22" t="n"/>
      <c r="X17" s="22" t="n"/>
    </row>
    <row r="18">
      <c r="A18" s="324" t="n"/>
      <c r="B18" s="22" t="n"/>
      <c r="C18" s="22" t="n"/>
      <c r="D18" s="22" t="n"/>
      <c r="E18" s="22" t="n"/>
      <c r="F18" s="22" t="n"/>
      <c r="G18" s="22" t="n"/>
      <c r="H18" s="22" t="n"/>
      <c r="I18" s="22" t="n"/>
      <c r="J18" s="22" t="n"/>
      <c r="K18" s="22" t="n"/>
      <c r="L18" s="22" t="n"/>
      <c r="M18" s="22" t="n"/>
      <c r="N18" s="22" t="n"/>
      <c r="O18" s="22" t="n"/>
      <c r="P18" s="22" t="n"/>
      <c r="Q18" s="22" t="n"/>
      <c r="R18" s="22" t="n"/>
      <c r="S18" s="22" t="n"/>
      <c r="T18" s="22" t="n"/>
      <c r="U18" s="22" t="n"/>
      <c r="V18" s="22" t="n"/>
      <c r="W18" s="22" t="n"/>
      <c r="X18" s="22" t="n"/>
    </row>
    <row r="19">
      <c r="A19" s="324" t="n"/>
      <c r="B19" s="22" t="n"/>
      <c r="C19" s="22" t="n"/>
      <c r="D19" s="22" t="n"/>
      <c r="E19" s="22" t="n"/>
      <c r="F19" s="22" t="n"/>
      <c r="G19" s="22" t="n"/>
      <c r="H19" s="22" t="n"/>
      <c r="I19" s="22" t="n"/>
      <c r="J19" s="22" t="n"/>
      <c r="K19" s="22" t="n"/>
      <c r="L19" s="22" t="n"/>
      <c r="M19" s="22" t="n"/>
      <c r="N19" s="22" t="n"/>
      <c r="O19" s="22" t="n"/>
      <c r="P19" s="22" t="n"/>
      <c r="Q19" s="22" t="n"/>
      <c r="R19" s="22" t="n"/>
      <c r="S19" s="22" t="n"/>
      <c r="T19" s="22" t="n"/>
      <c r="U19" s="22" t="n"/>
      <c r="V19" s="22" t="n"/>
      <c r="W19" s="22" t="n"/>
      <c r="X19" s="22" t="n"/>
    </row>
    <row r="20">
      <c r="A20" s="324" t="n"/>
      <c r="B20" s="22" t="n"/>
      <c r="C20" s="22" t="n"/>
      <c r="D20" s="22" t="n"/>
      <c r="E20" s="22" t="n"/>
      <c r="F20" s="22" t="n"/>
      <c r="G20" s="22" t="n"/>
      <c r="H20" s="22" t="n"/>
      <c r="I20" s="22" t="n"/>
      <c r="J20" s="22" t="n"/>
      <c r="K20" s="22" t="n"/>
      <c r="L20" s="22" t="n"/>
      <c r="M20" s="22" t="n"/>
      <c r="N20" s="22" t="n"/>
      <c r="O20" s="22" t="n"/>
      <c r="P20" s="22" t="n"/>
      <c r="Q20" s="22" t="n"/>
      <c r="R20" s="22" t="n"/>
      <c r="S20" s="22" t="n"/>
      <c r="T20" s="22" t="n"/>
      <c r="U20" s="22" t="n"/>
      <c r="V20" s="22" t="n"/>
      <c r="W20" s="22" t="n"/>
      <c r="X20" s="22" t="n"/>
    </row>
    <row r="21">
      <c r="A21" s="324" t="n"/>
      <c r="B21" s="22" t="n"/>
      <c r="C21" s="22" t="n"/>
      <c r="D21" s="22" t="n"/>
      <c r="E21" s="22" t="n"/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2" t="n"/>
      <c r="P21" s="22" t="n"/>
      <c r="Q21" s="22" t="n"/>
      <c r="R21" s="22" t="n"/>
      <c r="S21" s="22" t="n"/>
      <c r="T21" s="22" t="n"/>
      <c r="U21" s="22" t="n"/>
      <c r="V21" s="22" t="n"/>
      <c r="W21" s="22" t="n"/>
      <c r="X21" s="22" t="n"/>
    </row>
    <row r="22">
      <c r="A22" s="324" t="n"/>
      <c r="B22" s="22" t="n"/>
      <c r="C22" s="22" t="n"/>
      <c r="D22" s="22" t="n"/>
      <c r="E22" s="22" t="n"/>
      <c r="F22" s="22" t="n"/>
      <c r="G22" s="22" t="n"/>
      <c r="H22" s="22" t="n"/>
      <c r="I22" s="22" t="n"/>
      <c r="J22" s="22" t="n"/>
      <c r="K22" s="22" t="n"/>
      <c r="L22" s="22" t="n"/>
      <c r="M22" s="22" t="n"/>
      <c r="N22" s="22" t="n"/>
      <c r="O22" s="22" t="n"/>
      <c r="P22" s="22" t="n"/>
      <c r="Q22" s="22" t="n"/>
      <c r="R22" s="22" t="n"/>
      <c r="S22" s="22" t="n"/>
      <c r="T22" s="22" t="n"/>
      <c r="U22" s="22" t="n"/>
      <c r="V22" s="22" t="n"/>
      <c r="W22" s="22" t="n"/>
      <c r="X22" s="22" t="n"/>
    </row>
    <row r="23">
      <c r="A23" s="324" t="n"/>
      <c r="B23" s="22" t="n"/>
      <c r="C23" s="22" t="n"/>
      <c r="D23" s="22" t="n"/>
      <c r="E23" s="22" t="n"/>
      <c r="F23" s="22" t="n"/>
      <c r="G23" s="22" t="n"/>
      <c r="H23" s="22" t="n"/>
      <c r="I23" s="22" t="n"/>
      <c r="J23" s="22" t="n"/>
      <c r="K23" s="22" t="n"/>
      <c r="L23" s="22" t="n"/>
      <c r="M23" s="22" t="n"/>
      <c r="N23" s="22" t="n"/>
      <c r="O23" s="22" t="n"/>
      <c r="P23" s="22" t="n"/>
      <c r="Q23" s="22" t="n"/>
      <c r="R23" s="22" t="n"/>
      <c r="S23" s="22" t="n"/>
      <c r="T23" s="22" t="n"/>
      <c r="U23" s="22" t="n"/>
      <c r="V23" s="22" t="n"/>
      <c r="W23" s="22" t="n"/>
      <c r="X23" s="22" t="n"/>
    </row>
    <row r="24">
      <c r="A24" s="324" t="n"/>
      <c r="B24" s="22" t="n"/>
      <c r="C24" s="22" t="n"/>
      <c r="D24" s="22" t="n"/>
      <c r="E24" s="22" t="n"/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22" t="n"/>
      <c r="P24" s="22" t="n"/>
      <c r="Q24" s="22" t="n"/>
      <c r="R24" s="22" t="n"/>
      <c r="S24" s="22" t="n"/>
      <c r="T24" s="22" t="n"/>
      <c r="U24" s="22" t="n"/>
      <c r="V24" s="22" t="n"/>
      <c r="W24" s="22" t="n"/>
      <c r="X24" s="22" t="n"/>
    </row>
    <row r="25">
      <c r="A25" s="324" t="n"/>
      <c r="B25" s="22" t="n"/>
      <c r="C25" s="22" t="n"/>
      <c r="D25" s="22" t="n"/>
      <c r="E25" s="22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2" t="n"/>
      <c r="P25" s="22" t="n"/>
      <c r="Q25" s="22" t="n"/>
      <c r="R25" s="22" t="n"/>
      <c r="S25" s="22" t="n"/>
      <c r="T25" s="22" t="n"/>
      <c r="U25" s="22" t="n"/>
      <c r="V25" s="22" t="n"/>
      <c r="W25" s="22" t="n"/>
      <c r="X25" s="22" t="n"/>
    </row>
    <row r="26">
      <c r="A26" s="324" t="n"/>
      <c r="B26" s="22" t="n"/>
      <c r="C26" s="22" t="n"/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2" t="n"/>
      <c r="R26" s="22" t="n"/>
      <c r="S26" s="22" t="n"/>
      <c r="T26" s="22" t="n"/>
      <c r="U26" s="22" t="n"/>
      <c r="V26" s="22" t="n"/>
      <c r="W26" s="22" t="n"/>
      <c r="X26" s="22" t="n"/>
    </row>
    <row r="27">
      <c r="A27" s="324" t="n"/>
      <c r="B27" s="22" t="n"/>
      <c r="C27" s="22" t="n"/>
      <c r="D27" s="22" t="n"/>
      <c r="E27" s="22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2" t="n"/>
      <c r="O27" s="22" t="n"/>
      <c r="P27" s="22" t="n"/>
      <c r="Q27" s="22" t="n"/>
      <c r="R27" s="22" t="n"/>
      <c r="S27" s="22" t="n"/>
      <c r="T27" s="22" t="n"/>
      <c r="U27" s="22" t="n"/>
      <c r="V27" s="22" t="n"/>
      <c r="W27" s="22" t="n"/>
      <c r="X27" s="22" t="n"/>
    </row>
    <row r="28">
      <c r="A28" s="324" t="n"/>
      <c r="B28" s="22" t="n"/>
      <c r="C28" s="22" t="n"/>
      <c r="D28" s="22" t="n"/>
      <c r="E28" s="22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2" t="n"/>
      <c r="P28" s="22" t="n"/>
      <c r="Q28" s="22" t="n"/>
      <c r="R28" s="22" t="n"/>
      <c r="S28" s="22" t="n"/>
      <c r="T28" s="22" t="n"/>
      <c r="U28" s="22" t="n"/>
      <c r="V28" s="22" t="n"/>
      <c r="W28" s="22" t="n"/>
      <c r="X28" s="22" t="n"/>
    </row>
    <row r="29">
      <c r="A29" s="324" t="n"/>
      <c r="B29" s="22" t="n"/>
      <c r="C29" s="22" t="n"/>
      <c r="D29" s="22" t="n"/>
      <c r="E29" s="22" t="n"/>
      <c r="F29" s="22" t="n"/>
      <c r="G29" s="22" t="n"/>
      <c r="H29" s="22" t="n"/>
      <c r="I29" s="22" t="n"/>
      <c r="J29" s="22" t="n"/>
      <c r="K29" s="22" t="n"/>
      <c r="L29" s="22" t="n"/>
      <c r="M29" s="22" t="n"/>
      <c r="N29" s="22" t="n"/>
      <c r="O29" s="22" t="n"/>
      <c r="P29" s="22" t="n"/>
      <c r="Q29" s="22" t="n"/>
      <c r="R29" s="22" t="n"/>
      <c r="S29" s="22" t="n"/>
      <c r="T29" s="22" t="n"/>
      <c r="U29" s="22" t="n"/>
      <c r="V29" s="22" t="n"/>
      <c r="W29" s="22" t="n"/>
      <c r="X29" s="22" t="n"/>
    </row>
    <row r="30">
      <c r="A30" s="324" t="n"/>
      <c r="B30" s="22" t="n"/>
      <c r="C30" s="22" t="n"/>
      <c r="D30" s="22" t="n"/>
      <c r="E30" s="22" t="n"/>
      <c r="F30" s="22" t="n"/>
      <c r="G30" s="22" t="n"/>
      <c r="H30" s="22" t="n"/>
      <c r="I30" s="22" t="n"/>
      <c r="J30" s="22" t="n"/>
      <c r="K30" s="22" t="n"/>
      <c r="L30" s="22" t="n"/>
      <c r="M30" s="22" t="n"/>
      <c r="N30" s="22" t="n"/>
      <c r="O30" s="22" t="n"/>
      <c r="P30" s="22" t="n"/>
      <c r="Q30" s="22" t="n"/>
      <c r="R30" s="22" t="n"/>
      <c r="S30" s="22" t="n"/>
      <c r="T30" s="22" t="n"/>
      <c r="U30" s="22" t="n"/>
      <c r="V30" s="22" t="n"/>
      <c r="W30" s="22" t="n"/>
      <c r="X30" s="22" t="n"/>
    </row>
    <row r="31">
      <c r="A31" s="324" t="n"/>
      <c r="B31" s="22" t="n"/>
      <c r="C31" s="22" t="n"/>
      <c r="D31" s="22" t="n"/>
      <c r="E31" s="22" t="n"/>
      <c r="F31" s="22" t="n"/>
      <c r="G31" s="22" t="n"/>
      <c r="H31" s="22" t="n"/>
      <c r="I31" s="22" t="n"/>
      <c r="J31" s="22" t="n"/>
      <c r="K31" s="22" t="n"/>
      <c r="L31" s="22" t="n"/>
      <c r="M31" s="22" t="n"/>
      <c r="N31" s="22" t="n"/>
      <c r="O31" s="22" t="n"/>
      <c r="P31" s="22" t="n"/>
      <c r="Q31" s="22" t="n"/>
      <c r="R31" s="22" t="n"/>
      <c r="S31" s="22" t="n"/>
      <c r="T31" s="22" t="n"/>
      <c r="U31" s="22" t="n"/>
      <c r="V31" s="22" t="n"/>
      <c r="W31" s="22" t="n"/>
      <c r="X31" s="22" t="n"/>
    </row>
    <row r="32">
      <c r="A32" s="324" t="n"/>
      <c r="B32" s="22" t="n"/>
      <c r="C32" s="22" t="n"/>
      <c r="D32" s="22" t="n"/>
      <c r="E32" s="22" t="n"/>
      <c r="F32" s="22" t="n"/>
      <c r="G32" s="22" t="n"/>
      <c r="H32" s="22" t="n"/>
      <c r="I32" s="22" t="n"/>
      <c r="J32" s="22" t="n"/>
      <c r="K32" s="22" t="n"/>
      <c r="L32" s="22" t="n"/>
      <c r="M32" s="22" t="n"/>
      <c r="N32" s="22" t="n"/>
      <c r="O32" s="22" t="n"/>
      <c r="P32" s="22" t="n"/>
      <c r="Q32" s="22" t="n"/>
      <c r="R32" s="22" t="n"/>
      <c r="S32" s="22" t="n"/>
      <c r="T32" s="22" t="n"/>
      <c r="U32" s="22" t="n"/>
      <c r="V32" s="22" t="n"/>
      <c r="W32" s="22" t="n"/>
      <c r="X32" s="22" t="n"/>
    </row>
    <row r="33">
      <c r="A33" s="324" t="n"/>
      <c r="B33" s="22" t="n"/>
      <c r="C33" s="22" t="n"/>
      <c r="D33" s="22" t="n"/>
      <c r="E33" s="22" t="n"/>
      <c r="F33" s="22" t="n"/>
      <c r="G33" s="22" t="n"/>
      <c r="H33" s="22" t="n"/>
      <c r="I33" s="22" t="n"/>
      <c r="J33" s="22" t="n"/>
      <c r="K33" s="22" t="n"/>
      <c r="L33" s="22" t="n"/>
      <c r="M33" s="22" t="n"/>
      <c r="N33" s="22" t="n"/>
      <c r="O33" s="22" t="n"/>
      <c r="P33" s="22" t="n"/>
      <c r="Q33" s="22" t="n"/>
      <c r="R33" s="22" t="n"/>
      <c r="S33" s="22" t="n"/>
      <c r="T33" s="22" t="n"/>
      <c r="U33" s="22" t="n"/>
      <c r="V33" s="22" t="n"/>
      <c r="W33" s="22" t="n"/>
      <c r="X33" s="22" t="n"/>
    </row>
    <row r="34">
      <c r="A34" s="324" t="n"/>
      <c r="B34" s="22" t="n"/>
      <c r="C34" s="22" t="n"/>
      <c r="D34" s="22" t="n"/>
      <c r="E34" s="22" t="n"/>
      <c r="F34" s="22" t="n"/>
      <c r="G34" s="22" t="n"/>
      <c r="H34" s="22" t="n"/>
      <c r="I34" s="22" t="n"/>
      <c r="J34" s="22" t="n"/>
      <c r="K34" s="22" t="n"/>
      <c r="L34" s="22" t="n"/>
      <c r="M34" s="22" t="n"/>
      <c r="N34" s="22" t="n"/>
      <c r="O34" s="22" t="n"/>
      <c r="P34" s="22" t="n"/>
      <c r="Q34" s="22" t="n"/>
      <c r="R34" s="22" t="n"/>
      <c r="S34" s="22" t="n"/>
      <c r="T34" s="22" t="n"/>
      <c r="U34" s="22" t="n"/>
      <c r="V34" s="22" t="n"/>
      <c r="W34" s="22" t="n"/>
      <c r="X34" s="22" t="n"/>
    </row>
    <row r="35">
      <c r="A35" s="324" t="n"/>
      <c r="B35" s="22" t="n"/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2" t="n"/>
      <c r="R35" s="22" t="n"/>
      <c r="S35" s="22" t="n"/>
      <c r="T35" s="22" t="n"/>
      <c r="U35" s="22" t="n"/>
      <c r="V35" s="22" t="n"/>
      <c r="W35" s="22" t="n"/>
      <c r="X35" s="22" t="n"/>
    </row>
    <row r="36">
      <c r="A36" s="324" t="n"/>
      <c r="B36" s="22" t="n"/>
      <c r="C36" s="22" t="n"/>
      <c r="D36" s="22" t="n"/>
      <c r="E36" s="22" t="n"/>
      <c r="F36" s="22" t="n"/>
      <c r="G36" s="22" t="n"/>
      <c r="H36" s="22" t="n"/>
      <c r="I36" s="22" t="n"/>
      <c r="J36" s="22" t="n"/>
      <c r="K36" s="22" t="n"/>
      <c r="L36" s="22" t="n"/>
      <c r="M36" s="22" t="n"/>
      <c r="N36" s="22" t="n"/>
      <c r="O36" s="22" t="n"/>
      <c r="P36" s="22" t="n"/>
      <c r="Q36" s="22" t="n"/>
      <c r="R36" s="22" t="n"/>
      <c r="S36" s="22" t="n"/>
      <c r="T36" s="22" t="n"/>
      <c r="U36" s="22" t="n"/>
      <c r="V36" s="22" t="n"/>
      <c r="W36" s="22" t="n"/>
      <c r="X36" s="22" t="n"/>
    </row>
    <row r="37">
      <c r="A37" s="324" t="n"/>
      <c r="B37" s="22" t="n"/>
      <c r="C37" s="22" t="n"/>
      <c r="D37" s="22" t="n"/>
      <c r="E37" s="22" t="n"/>
      <c r="F37" s="22" t="n"/>
      <c r="G37" s="22" t="n"/>
      <c r="H37" s="22" t="n"/>
      <c r="I37" s="22" t="n"/>
      <c r="J37" s="22" t="n"/>
      <c r="K37" s="22" t="n"/>
      <c r="L37" s="22" t="n"/>
      <c r="M37" s="22" t="n"/>
      <c r="N37" s="22" t="n"/>
      <c r="O37" s="22" t="n"/>
      <c r="P37" s="22" t="n"/>
      <c r="Q37" s="22" t="n"/>
      <c r="R37" s="22" t="n"/>
      <c r="S37" s="22" t="n"/>
      <c r="T37" s="22" t="n"/>
      <c r="U37" s="22" t="n"/>
      <c r="V37" s="22" t="n"/>
      <c r="W37" s="22" t="n"/>
      <c r="X37" s="22" t="n"/>
    </row>
    <row r="38">
      <c r="A38" s="324" t="n"/>
      <c r="B38" s="22" t="n"/>
      <c r="C38" s="22" t="n"/>
      <c r="D38" s="22" t="n"/>
      <c r="E38" s="22" t="n"/>
      <c r="F38" s="22" t="n"/>
      <c r="G38" s="22" t="n"/>
      <c r="H38" s="22" t="n"/>
      <c r="I38" s="22" t="n"/>
      <c r="J38" s="22" t="n"/>
      <c r="K38" s="22" t="n"/>
      <c r="L38" s="22" t="n"/>
      <c r="M38" s="22" t="n"/>
      <c r="N38" s="22" t="n"/>
      <c r="O38" s="22" t="n"/>
      <c r="P38" s="22" t="n"/>
      <c r="Q38" s="22" t="n"/>
      <c r="R38" s="22" t="n"/>
      <c r="S38" s="22" t="n"/>
      <c r="T38" s="22" t="n"/>
      <c r="U38" s="22" t="n"/>
      <c r="V38" s="22" t="n"/>
      <c r="W38" s="22" t="n"/>
      <c r="X38" s="22" t="n"/>
    </row>
    <row r="39">
      <c r="A39" s="324" t="n"/>
      <c r="B39" s="22" t="n"/>
      <c r="C39" s="22" t="n"/>
      <c r="D39" s="22" t="n"/>
      <c r="E39" s="22" t="n"/>
      <c r="F39" s="22" t="n"/>
      <c r="G39" s="22" t="n"/>
      <c r="H39" s="22" t="n"/>
      <c r="I39" s="22" t="n"/>
      <c r="J39" s="22" t="n"/>
      <c r="K39" s="22" t="n"/>
      <c r="L39" s="22" t="n"/>
      <c r="M39" s="22" t="n"/>
      <c r="N39" s="22" t="n"/>
      <c r="O39" s="22" t="n"/>
      <c r="P39" s="22" t="n"/>
      <c r="Q39" s="22" t="n"/>
      <c r="R39" s="22" t="n"/>
      <c r="S39" s="22" t="n"/>
      <c r="T39" s="22" t="n"/>
      <c r="U39" s="22" t="n"/>
      <c r="V39" s="22" t="n"/>
      <c r="W39" s="22" t="n"/>
      <c r="X39" s="22" t="n"/>
    </row>
    <row r="40">
      <c r="A40" s="324" t="n"/>
      <c r="B40" s="22" t="n"/>
      <c r="C40" s="22" t="n"/>
      <c r="D40" s="22" t="n"/>
      <c r="E40" s="22" t="n"/>
      <c r="F40" s="22" t="n"/>
      <c r="G40" s="22" t="n"/>
      <c r="H40" s="22" t="n"/>
      <c r="I40" s="22" t="n"/>
      <c r="J40" s="22" t="n"/>
      <c r="K40" s="22" t="n"/>
      <c r="L40" s="22" t="n"/>
      <c r="M40" s="22" t="n"/>
      <c r="N40" s="22" t="n"/>
      <c r="O40" s="22" t="n"/>
      <c r="P40" s="22" t="n"/>
      <c r="Q40" s="22" t="n"/>
      <c r="R40" s="22" t="n"/>
      <c r="S40" s="22" t="n"/>
      <c r="T40" s="22" t="n"/>
      <c r="U40" s="22" t="n"/>
      <c r="V40" s="22" t="n"/>
      <c r="W40" s="22" t="n"/>
      <c r="X40" s="22" t="n"/>
    </row>
    <row r="41">
      <c r="A41" s="324" t="n"/>
      <c r="B41" s="22" t="n"/>
      <c r="C41" s="22" t="n"/>
      <c r="D41" s="22" t="n"/>
      <c r="E41" s="22" t="n"/>
      <c r="F41" s="22" t="n"/>
      <c r="G41" s="22" t="n"/>
      <c r="H41" s="22" t="n"/>
      <c r="I41" s="22" t="n"/>
      <c r="J41" s="22" t="n"/>
      <c r="K41" s="22" t="n"/>
      <c r="L41" s="22" t="n"/>
      <c r="M41" s="22" t="n"/>
      <c r="N41" s="22" t="n"/>
      <c r="O41" s="22" t="n"/>
      <c r="P41" s="22" t="n"/>
      <c r="Q41" s="22" t="n"/>
      <c r="R41" s="22" t="n"/>
      <c r="S41" s="22" t="n"/>
      <c r="T41" s="22" t="n"/>
      <c r="U41" s="22" t="n"/>
      <c r="V41" s="22" t="n"/>
      <c r="W41" s="22" t="n"/>
      <c r="X41" s="22" t="n"/>
    </row>
    <row r="42">
      <c r="A42" s="324" t="n"/>
      <c r="B42" s="22" t="n"/>
      <c r="C42" s="22" t="n"/>
      <c r="D42" s="22" t="n"/>
      <c r="E42" s="22" t="n"/>
      <c r="F42" s="22" t="n"/>
      <c r="G42" s="22" t="n"/>
      <c r="H42" s="22" t="n"/>
      <c r="I42" s="22" t="n"/>
      <c r="J42" s="22" t="n"/>
      <c r="K42" s="22" t="n"/>
      <c r="L42" s="22" t="n"/>
      <c r="M42" s="22" t="n"/>
      <c r="N42" s="22" t="n"/>
      <c r="O42" s="22" t="n"/>
      <c r="P42" s="22" t="n"/>
      <c r="Q42" s="22" t="n"/>
      <c r="R42" s="22" t="n"/>
      <c r="S42" s="22" t="n"/>
      <c r="T42" s="22" t="n"/>
      <c r="U42" s="22" t="n"/>
      <c r="V42" s="22" t="n"/>
      <c r="W42" s="22" t="n"/>
      <c r="X42" s="22" t="n"/>
    </row>
    <row r="43">
      <c r="A43" s="324" t="n"/>
      <c r="B43" s="22" t="n"/>
      <c r="C43" s="22" t="n"/>
      <c r="D43" s="22" t="n"/>
      <c r="E43" s="22" t="n"/>
      <c r="F43" s="22" t="n"/>
      <c r="G43" s="22" t="n"/>
      <c r="H43" s="22" t="n"/>
      <c r="I43" s="22" t="n"/>
      <c r="J43" s="22" t="n"/>
      <c r="K43" s="22" t="n"/>
      <c r="L43" s="22" t="n"/>
      <c r="M43" s="22" t="n"/>
      <c r="N43" s="22" t="n"/>
      <c r="O43" s="22" t="n"/>
      <c r="P43" s="22" t="n"/>
      <c r="Q43" s="22" t="n"/>
      <c r="R43" s="22" t="n"/>
      <c r="S43" s="22" t="n"/>
      <c r="T43" s="22" t="n"/>
      <c r="U43" s="22" t="n"/>
      <c r="V43" s="22" t="n"/>
      <c r="W43" s="22" t="n"/>
      <c r="X43" s="22" t="n"/>
    </row>
    <row r="44">
      <c r="A44" s="324" t="n"/>
      <c r="B44" s="22" t="n"/>
      <c r="C44" s="22" t="n"/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2" t="n"/>
      <c r="R44" s="22" t="n"/>
      <c r="S44" s="22" t="n"/>
      <c r="T44" s="22" t="n"/>
      <c r="U44" s="22" t="n"/>
      <c r="V44" s="22" t="n"/>
      <c r="W44" s="22" t="n"/>
      <c r="X44" s="22" t="n"/>
    </row>
    <row r="45">
      <c r="A45" s="324" t="n"/>
      <c r="B45" s="22" t="n"/>
      <c r="C45" s="22" t="n"/>
      <c r="D45" s="22" t="n"/>
      <c r="E45" s="22" t="n"/>
      <c r="F45" s="22" t="n"/>
      <c r="G45" s="22" t="n"/>
      <c r="H45" s="22" t="n"/>
      <c r="I45" s="22" t="n"/>
      <c r="J45" s="22" t="n"/>
      <c r="K45" s="22" t="n"/>
      <c r="L45" s="22" t="n"/>
      <c r="M45" s="22" t="n"/>
      <c r="N45" s="22" t="n"/>
      <c r="O45" s="22" t="n"/>
      <c r="P45" s="22" t="n"/>
      <c r="Q45" s="22" t="n"/>
      <c r="R45" s="22" t="n"/>
      <c r="S45" s="22" t="n"/>
      <c r="T45" s="22" t="n"/>
      <c r="U45" s="22" t="n"/>
      <c r="V45" s="22" t="n"/>
      <c r="W45" s="22" t="n"/>
      <c r="X45" s="22" t="n"/>
    </row>
    <row r="46">
      <c r="A46" s="324" t="n"/>
      <c r="B46" s="22" t="n"/>
      <c r="C46" s="22" t="n"/>
      <c r="D46" s="22" t="n"/>
      <c r="E46" s="22" t="n"/>
      <c r="F46" s="22" t="n"/>
      <c r="G46" s="22" t="n"/>
      <c r="H46" s="22" t="n"/>
      <c r="I46" s="22" t="n"/>
      <c r="J46" s="22" t="n"/>
      <c r="K46" s="22" t="n"/>
      <c r="L46" s="22" t="n"/>
      <c r="M46" s="22" t="n"/>
      <c r="N46" s="22" t="n"/>
      <c r="O46" s="22" t="n"/>
      <c r="P46" s="22" t="n"/>
      <c r="Q46" s="22" t="n"/>
      <c r="R46" s="22" t="n"/>
      <c r="S46" s="22" t="n"/>
      <c r="T46" s="22" t="n"/>
      <c r="U46" s="22" t="n"/>
      <c r="V46" s="22" t="n"/>
      <c r="W46" s="22" t="n"/>
      <c r="X46" s="22" t="n"/>
    </row>
    <row r="47">
      <c r="A47" s="324" t="n"/>
      <c r="B47" s="22" t="n"/>
      <c r="C47" s="22" t="n"/>
      <c r="D47" s="22" t="n"/>
      <c r="E47" s="22" t="n"/>
      <c r="F47" s="22" t="n"/>
      <c r="G47" s="22" t="n"/>
      <c r="H47" s="22" t="n"/>
      <c r="I47" s="22" t="n"/>
      <c r="J47" s="22" t="n"/>
      <c r="K47" s="22" t="n"/>
      <c r="L47" s="22" t="n"/>
      <c r="M47" s="22" t="n"/>
      <c r="N47" s="22" t="n"/>
      <c r="O47" s="22" t="n"/>
      <c r="P47" s="22" t="n"/>
      <c r="Q47" s="22" t="n"/>
      <c r="R47" s="22" t="n"/>
      <c r="S47" s="22" t="n"/>
      <c r="T47" s="22" t="n"/>
      <c r="U47" s="22" t="n"/>
      <c r="V47" s="22" t="n"/>
      <c r="W47" s="22" t="n"/>
      <c r="X47" s="22" t="n"/>
    </row>
    <row r="48">
      <c r="A48" s="324" t="n"/>
      <c r="B48" s="22" t="n"/>
      <c r="C48" s="22" t="n"/>
      <c r="D48" s="22" t="n"/>
      <c r="E48" s="22" t="n"/>
      <c r="F48" s="22" t="n"/>
      <c r="G48" s="22" t="n"/>
      <c r="H48" s="22" t="n"/>
      <c r="I48" s="22" t="n"/>
      <c r="J48" s="22" t="n"/>
      <c r="K48" s="22" t="n"/>
      <c r="L48" s="22" t="n"/>
      <c r="M48" s="22" t="n"/>
      <c r="N48" s="22" t="n"/>
      <c r="O48" s="22" t="n"/>
      <c r="P48" s="22" t="n"/>
      <c r="Q48" s="22" t="n"/>
      <c r="R48" s="22" t="n"/>
      <c r="S48" s="22" t="n"/>
      <c r="T48" s="22" t="n"/>
      <c r="U48" s="22" t="n"/>
      <c r="V48" s="22" t="n"/>
      <c r="W48" s="22" t="n"/>
      <c r="X48" s="22" t="n"/>
    </row>
    <row r="49">
      <c r="A49" s="324" t="n"/>
      <c r="B49" s="22" t="n"/>
      <c r="C49" s="22" t="n"/>
      <c r="D49" s="22" t="n"/>
      <c r="E49" s="22" t="n"/>
      <c r="F49" s="22" t="n"/>
      <c r="G49" s="22" t="n"/>
      <c r="H49" s="22" t="n"/>
      <c r="I49" s="22" t="n"/>
      <c r="J49" s="22" t="n"/>
      <c r="K49" s="22" t="n"/>
      <c r="L49" s="22" t="n"/>
      <c r="M49" s="22" t="n"/>
      <c r="N49" s="22" t="n"/>
      <c r="O49" s="22" t="n"/>
      <c r="P49" s="22" t="n"/>
      <c r="Q49" s="22" t="n"/>
      <c r="R49" s="22" t="n"/>
      <c r="S49" s="22" t="n"/>
      <c r="T49" s="22" t="n"/>
      <c r="U49" s="22" t="n"/>
      <c r="V49" s="22" t="n"/>
      <c r="W49" s="22" t="n"/>
      <c r="X49" s="22" t="n"/>
    </row>
    <row r="50">
      <c r="A50" s="324" t="n"/>
      <c r="B50" s="22" t="n"/>
      <c r="C50" s="22" t="n"/>
      <c r="D50" s="22" t="n"/>
      <c r="E50" s="22" t="n"/>
      <c r="F50" s="22" t="n"/>
      <c r="G50" s="22" t="n"/>
      <c r="H50" s="22" t="n"/>
      <c r="I50" s="22" t="n"/>
      <c r="J50" s="22" t="n"/>
      <c r="K50" s="22" t="n"/>
      <c r="L50" s="22" t="n"/>
      <c r="M50" s="22" t="n"/>
      <c r="N50" s="22" t="n"/>
      <c r="O50" s="22" t="n"/>
      <c r="P50" s="22" t="n"/>
      <c r="Q50" s="22" t="n"/>
      <c r="R50" s="22" t="n"/>
      <c r="S50" s="22" t="n"/>
      <c r="T50" s="22" t="n"/>
      <c r="U50" s="22" t="n"/>
      <c r="V50" s="22" t="n"/>
      <c r="W50" s="22" t="n"/>
      <c r="X50" s="22" t="n"/>
    </row>
    <row r="51">
      <c r="A51" s="324" t="n"/>
      <c r="B51" s="22" t="n"/>
      <c r="C51" s="22" t="n"/>
      <c r="D51" s="22" t="n"/>
      <c r="E51" s="22" t="n"/>
      <c r="F51" s="22" t="n"/>
      <c r="G51" s="22" t="n"/>
      <c r="H51" s="22" t="n"/>
      <c r="I51" s="22" t="n"/>
      <c r="J51" s="22" t="n"/>
      <c r="K51" s="22" t="n"/>
      <c r="L51" s="22" t="n"/>
      <c r="M51" s="22" t="n"/>
      <c r="N51" s="22" t="n"/>
      <c r="O51" s="22" t="n"/>
      <c r="P51" s="22" t="n"/>
      <c r="Q51" s="22" t="n"/>
      <c r="R51" s="22" t="n"/>
      <c r="S51" s="22" t="n"/>
      <c r="T51" s="22" t="n"/>
      <c r="U51" s="22" t="n"/>
      <c r="V51" s="22" t="n"/>
      <c r="W51" s="22" t="n"/>
      <c r="X51" s="22" t="n"/>
    </row>
    <row r="52">
      <c r="A52" s="324" t="n"/>
      <c r="B52" s="22" t="n"/>
      <c r="C52" s="22" t="n"/>
      <c r="D52" s="22" t="n"/>
      <c r="E52" s="22" t="n"/>
      <c r="F52" s="22" t="n"/>
      <c r="G52" s="22" t="n"/>
      <c r="H52" s="22" t="n"/>
      <c r="I52" s="22" t="n"/>
      <c r="J52" s="22" t="n"/>
      <c r="K52" s="22" t="n"/>
      <c r="L52" s="22" t="n"/>
      <c r="M52" s="22" t="n"/>
      <c r="N52" s="22" t="n"/>
      <c r="O52" s="22" t="n"/>
      <c r="P52" s="22" t="n"/>
      <c r="Q52" s="22" t="n"/>
      <c r="R52" s="22" t="n"/>
      <c r="S52" s="22" t="n"/>
      <c r="T52" s="22" t="n"/>
      <c r="U52" s="22" t="n"/>
      <c r="V52" s="22" t="n"/>
      <c r="W52" s="22" t="n"/>
      <c r="X52" s="22" t="n"/>
    </row>
    <row r="53">
      <c r="A53" s="324" t="n"/>
      <c r="B53" s="22" t="n"/>
      <c r="C53" s="22" t="n"/>
      <c r="D53" s="22" t="n"/>
      <c r="E53" s="22" t="n"/>
      <c r="F53" s="22" t="n"/>
      <c r="G53" s="22" t="n"/>
      <c r="H53" s="22" t="n"/>
      <c r="I53" s="22" t="n"/>
      <c r="J53" s="22" t="n"/>
      <c r="K53" s="22" t="n"/>
      <c r="L53" s="22" t="n"/>
      <c r="M53" s="22" t="n"/>
      <c r="N53" s="22" t="n"/>
      <c r="O53" s="22" t="n"/>
      <c r="P53" s="22" t="n"/>
      <c r="Q53" s="22" t="n"/>
      <c r="R53" s="22" t="n"/>
      <c r="S53" s="22" t="n"/>
      <c r="T53" s="22" t="n"/>
      <c r="U53" s="22" t="n"/>
      <c r="V53" s="22" t="n"/>
      <c r="W53" s="22" t="n"/>
      <c r="X53" s="22" t="n"/>
    </row>
    <row r="54">
      <c r="A54" s="324" t="n"/>
      <c r="B54" s="22" t="n"/>
      <c r="C54" s="22" t="n"/>
      <c r="D54" s="22" t="n"/>
      <c r="E54" s="22" t="n"/>
      <c r="F54" s="22" t="n"/>
      <c r="G54" s="22" t="n"/>
      <c r="H54" s="22" t="n"/>
      <c r="I54" s="22" t="n"/>
      <c r="J54" s="22" t="n"/>
      <c r="K54" s="22" t="n"/>
      <c r="L54" s="22" t="n"/>
      <c r="M54" s="22" t="n"/>
      <c r="N54" s="22" t="n"/>
      <c r="O54" s="22" t="n"/>
      <c r="P54" s="22" t="n"/>
      <c r="Q54" s="22" t="n"/>
      <c r="R54" s="22" t="n"/>
      <c r="S54" s="22" t="n"/>
      <c r="T54" s="22" t="n"/>
      <c r="U54" s="22" t="n"/>
      <c r="V54" s="22" t="n"/>
      <c r="W54" s="22" t="n"/>
      <c r="X54" s="22" t="n"/>
    </row>
    <row r="55">
      <c r="A55" s="324" t="n"/>
      <c r="B55" s="22" t="n"/>
      <c r="C55" s="22" t="n"/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2" t="n"/>
      <c r="R55" s="22" t="n"/>
      <c r="S55" s="22" t="n"/>
      <c r="T55" s="22" t="n"/>
      <c r="U55" s="22" t="n"/>
      <c r="V55" s="22" t="n"/>
      <c r="W55" s="22" t="n"/>
      <c r="X55" s="22" t="n"/>
    </row>
    <row r="56">
      <c r="A56" s="324" t="n"/>
      <c r="B56" s="22" t="n"/>
      <c r="C56" s="22" t="n"/>
      <c r="D56" s="22" t="n"/>
      <c r="E56" s="22" t="n"/>
      <c r="F56" s="22" t="n"/>
      <c r="G56" s="22" t="n"/>
      <c r="H56" s="22" t="n"/>
      <c r="I56" s="22" t="n"/>
      <c r="J56" s="22" t="n"/>
      <c r="K56" s="22" t="n"/>
      <c r="L56" s="22" t="n"/>
      <c r="M56" s="22" t="n"/>
      <c r="N56" s="22" t="n"/>
      <c r="O56" s="22" t="n"/>
      <c r="P56" s="22" t="n"/>
      <c r="Q56" s="22" t="n"/>
      <c r="R56" s="22" t="n"/>
      <c r="S56" s="22" t="n"/>
      <c r="T56" s="22" t="n"/>
      <c r="U56" s="22" t="n"/>
      <c r="V56" s="22" t="n"/>
      <c r="W56" s="22" t="n"/>
      <c r="X56" s="22" t="n"/>
    </row>
    <row r="57">
      <c r="A57" s="324" t="n"/>
      <c r="B57" s="22" t="n"/>
      <c r="C57" s="22" t="n"/>
      <c r="D57" s="22" t="n"/>
      <c r="E57" s="22" t="n"/>
      <c r="F57" s="22" t="n"/>
      <c r="G57" s="22" t="n"/>
      <c r="H57" s="22" t="n"/>
      <c r="I57" s="22" t="n"/>
      <c r="J57" s="22" t="n"/>
      <c r="K57" s="22" t="n"/>
      <c r="L57" s="22" t="n"/>
      <c r="M57" s="22" t="n"/>
      <c r="N57" s="22" t="n"/>
      <c r="O57" s="22" t="n"/>
      <c r="P57" s="22" t="n"/>
      <c r="Q57" s="22" t="n"/>
      <c r="R57" s="22" t="n"/>
      <c r="S57" s="22" t="n"/>
      <c r="T57" s="22" t="n"/>
      <c r="U57" s="22" t="n"/>
      <c r="V57" s="22" t="n"/>
      <c r="W57" s="22" t="n"/>
      <c r="X57" s="22" t="n"/>
    </row>
    <row r="58">
      <c r="A58" s="324" t="n"/>
      <c r="B58" s="22" t="n"/>
      <c r="C58" s="22" t="n"/>
      <c r="D58" s="22" t="n"/>
      <c r="E58" s="22" t="n"/>
      <c r="F58" s="22" t="n"/>
      <c r="G58" s="22" t="n"/>
      <c r="H58" s="22" t="n"/>
      <c r="I58" s="22" t="n"/>
      <c r="J58" s="22" t="n"/>
      <c r="K58" s="22" t="n"/>
      <c r="L58" s="22" t="n"/>
      <c r="M58" s="22" t="n"/>
      <c r="N58" s="22" t="n"/>
      <c r="O58" s="22" t="n"/>
      <c r="P58" s="22" t="n"/>
      <c r="Q58" s="22" t="n"/>
      <c r="R58" s="22" t="n"/>
      <c r="S58" s="22" t="n"/>
      <c r="T58" s="22" t="n"/>
      <c r="U58" s="22" t="n"/>
      <c r="V58" s="22" t="n"/>
      <c r="W58" s="22" t="n"/>
      <c r="X58" s="22" t="n"/>
    </row>
    <row r="59">
      <c r="A59" s="324" t="n"/>
      <c r="B59" s="22" t="n"/>
      <c r="C59" s="22" t="n"/>
      <c r="D59" s="22" t="n"/>
      <c r="E59" s="22" t="n"/>
      <c r="F59" s="22" t="n"/>
      <c r="G59" s="22" t="n"/>
      <c r="H59" s="22" t="n"/>
      <c r="I59" s="22" t="n"/>
      <c r="J59" s="22" t="n"/>
      <c r="K59" s="22" t="n"/>
      <c r="L59" s="22" t="n"/>
      <c r="M59" s="22" t="n"/>
      <c r="N59" s="22" t="n"/>
      <c r="O59" s="22" t="n"/>
      <c r="P59" s="22" t="n"/>
      <c r="Q59" s="22" t="n"/>
      <c r="R59" s="22" t="n"/>
      <c r="S59" s="22" t="n"/>
      <c r="T59" s="22" t="n"/>
      <c r="U59" s="22" t="n"/>
      <c r="V59" s="22" t="n"/>
      <c r="W59" s="22" t="n"/>
      <c r="X59" s="22" t="n"/>
    </row>
    <row r="60">
      <c r="A60" s="324" t="n"/>
      <c r="B60" s="22" t="n"/>
      <c r="C60" s="22" t="n"/>
      <c r="D60" s="22" t="n"/>
      <c r="E60" s="22" t="n"/>
      <c r="F60" s="22" t="n"/>
      <c r="G60" s="22" t="n"/>
      <c r="H60" s="22" t="n"/>
      <c r="I60" s="22" t="n"/>
      <c r="J60" s="22" t="n"/>
      <c r="K60" s="22" t="n"/>
      <c r="L60" s="22" t="n"/>
      <c r="M60" s="22" t="n"/>
      <c r="N60" s="22" t="n"/>
      <c r="O60" s="22" t="n"/>
      <c r="P60" s="22" t="n"/>
      <c r="Q60" s="22" t="n"/>
      <c r="R60" s="22" t="n"/>
      <c r="S60" s="22" t="n"/>
      <c r="T60" s="22" t="n"/>
      <c r="U60" s="22" t="n"/>
      <c r="V60" s="22" t="n"/>
      <c r="W60" s="22" t="n"/>
      <c r="X60" s="22" t="n"/>
    </row>
    <row r="61">
      <c r="A61" s="324" t="n"/>
      <c r="B61" s="22" t="n"/>
      <c r="C61" s="22" t="n"/>
      <c r="D61" s="22" t="n"/>
      <c r="E61" s="22" t="n"/>
      <c r="F61" s="22" t="n"/>
      <c r="G61" s="22" t="n"/>
      <c r="H61" s="22" t="n"/>
      <c r="I61" s="22" t="n"/>
      <c r="J61" s="22" t="n"/>
      <c r="K61" s="22" t="n"/>
      <c r="L61" s="22" t="n"/>
      <c r="M61" s="22" t="n"/>
      <c r="N61" s="22" t="n"/>
      <c r="O61" s="22" t="n"/>
      <c r="P61" s="22" t="n"/>
      <c r="Q61" s="22" t="n"/>
      <c r="R61" s="22" t="n"/>
      <c r="S61" s="22" t="n"/>
      <c r="T61" s="22" t="n"/>
      <c r="U61" s="22" t="n"/>
      <c r="V61" s="22" t="n"/>
      <c r="W61" s="22" t="n"/>
      <c r="X61" s="22" t="n"/>
    </row>
    <row r="62">
      <c r="A62" s="324" t="n"/>
      <c r="B62" s="22" t="n"/>
      <c r="C62" s="22" t="n"/>
      <c r="D62" s="22" t="n"/>
      <c r="E62" s="22" t="n"/>
      <c r="F62" s="22" t="n"/>
      <c r="G62" s="22" t="n"/>
      <c r="H62" s="22" t="n"/>
      <c r="I62" s="22" t="n"/>
      <c r="J62" s="22" t="n"/>
      <c r="K62" s="22" t="n"/>
      <c r="L62" s="22" t="n"/>
      <c r="M62" s="22" t="n"/>
      <c r="N62" s="22" t="n"/>
      <c r="O62" s="22" t="n"/>
      <c r="P62" s="22" t="n"/>
      <c r="Q62" s="22" t="n"/>
      <c r="R62" s="22" t="n"/>
      <c r="S62" s="22" t="n"/>
      <c r="T62" s="22" t="n"/>
      <c r="U62" s="22" t="n"/>
      <c r="V62" s="22" t="n"/>
      <c r="W62" s="22" t="n"/>
      <c r="X62" s="22" t="n"/>
    </row>
    <row r="63">
      <c r="A63" s="324" t="n"/>
      <c r="B63" s="22" t="n"/>
      <c r="C63" s="22" t="n"/>
      <c r="D63" s="22" t="n"/>
      <c r="E63" s="22" t="n"/>
      <c r="F63" s="22" t="n"/>
      <c r="G63" s="22" t="n"/>
      <c r="H63" s="22" t="n"/>
      <c r="I63" s="22" t="n"/>
      <c r="J63" s="22" t="n"/>
      <c r="K63" s="22" t="n"/>
      <c r="L63" s="22" t="n"/>
      <c r="M63" s="22" t="n"/>
      <c r="N63" s="22" t="n"/>
      <c r="O63" s="22" t="n"/>
      <c r="P63" s="22" t="n"/>
      <c r="Q63" s="22" t="n"/>
      <c r="R63" s="22" t="n"/>
      <c r="S63" s="22" t="n"/>
      <c r="T63" s="22" t="n"/>
      <c r="U63" s="22" t="n"/>
      <c r="V63" s="22" t="n"/>
      <c r="W63" s="22" t="n"/>
      <c r="X63" s="22" t="n"/>
    </row>
    <row r="64">
      <c r="A64" s="324" t="n"/>
      <c r="B64" s="22" t="n"/>
      <c r="C64" s="22" t="n"/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2" t="n"/>
      <c r="R64" s="22" t="n"/>
      <c r="S64" s="22" t="n"/>
      <c r="T64" s="22" t="n"/>
      <c r="U64" s="22" t="n"/>
      <c r="V64" s="22" t="n"/>
      <c r="W64" s="22" t="n"/>
      <c r="X64" s="22" t="n"/>
    </row>
    <row r="65">
      <c r="A65" s="324" t="n"/>
      <c r="B65" s="22" t="n"/>
      <c r="C65" s="22" t="n"/>
      <c r="D65" s="22" t="n"/>
      <c r="E65" s="22" t="n"/>
      <c r="F65" s="22" t="n"/>
      <c r="G65" s="22" t="n"/>
      <c r="H65" s="22" t="n"/>
      <c r="I65" s="22" t="n"/>
      <c r="J65" s="22" t="n"/>
      <c r="K65" s="22" t="n"/>
      <c r="L65" s="22" t="n"/>
      <c r="M65" s="22" t="n"/>
      <c r="N65" s="22" t="n"/>
      <c r="O65" s="22" t="n"/>
      <c r="P65" s="22" t="n"/>
      <c r="Q65" s="22" t="n"/>
      <c r="R65" s="22" t="n"/>
      <c r="S65" s="22" t="n"/>
      <c r="T65" s="22" t="n"/>
      <c r="U65" s="22" t="n"/>
      <c r="V65" s="22" t="n"/>
      <c r="W65" s="22" t="n"/>
      <c r="X65" s="22" t="n"/>
    </row>
    <row r="66">
      <c r="A66" s="324" t="n"/>
      <c r="B66" s="22" t="n"/>
      <c r="C66" s="22" t="n"/>
      <c r="D66" s="22" t="n"/>
      <c r="E66" s="22" t="n"/>
      <c r="F66" s="22" t="n"/>
      <c r="G66" s="22" t="n"/>
      <c r="H66" s="22" t="n"/>
      <c r="I66" s="22" t="n"/>
      <c r="J66" s="22" t="n"/>
      <c r="K66" s="22" t="n"/>
      <c r="L66" s="22" t="n"/>
      <c r="M66" s="22" t="n"/>
      <c r="N66" s="22" t="n"/>
      <c r="O66" s="22" t="n"/>
      <c r="P66" s="22" t="n"/>
      <c r="Q66" s="22" t="n"/>
      <c r="R66" s="22" t="n"/>
      <c r="S66" s="22" t="n"/>
      <c r="T66" s="22" t="n"/>
      <c r="U66" s="22" t="n"/>
      <c r="V66" s="22" t="n"/>
      <c r="W66" s="22" t="n"/>
      <c r="X66" s="22" t="n"/>
    </row>
    <row r="67">
      <c r="A67" s="324" t="n"/>
      <c r="B67" s="22" t="n"/>
      <c r="C67" s="22" t="n"/>
      <c r="D67" s="22" t="n"/>
      <c r="E67" s="22" t="n"/>
      <c r="F67" s="22" t="n"/>
      <c r="G67" s="22" t="n"/>
      <c r="H67" s="22" t="n"/>
      <c r="I67" s="22" t="n"/>
      <c r="J67" s="22" t="n"/>
      <c r="K67" s="22" t="n"/>
      <c r="L67" s="22" t="n"/>
      <c r="M67" s="22" t="n"/>
      <c r="N67" s="22" t="n"/>
      <c r="O67" s="22" t="n"/>
      <c r="P67" s="22" t="n"/>
      <c r="Q67" s="22" t="n"/>
      <c r="R67" s="22" t="n"/>
      <c r="S67" s="22" t="n"/>
      <c r="T67" s="22" t="n"/>
      <c r="U67" s="22" t="n"/>
      <c r="V67" s="22" t="n"/>
      <c r="W67" s="22" t="n"/>
      <c r="X67" s="22" t="n"/>
    </row>
    <row r="68">
      <c r="A68" s="324" t="n"/>
      <c r="B68" s="22" t="n"/>
      <c r="C68" s="22" t="n"/>
      <c r="D68" s="22" t="n"/>
      <c r="E68" s="22" t="n"/>
      <c r="F68" s="22" t="n"/>
      <c r="G68" s="22" t="n"/>
      <c r="H68" s="22" t="n"/>
      <c r="I68" s="22" t="n"/>
      <c r="J68" s="22" t="n"/>
      <c r="K68" s="22" t="n"/>
      <c r="L68" s="22" t="n"/>
      <c r="M68" s="22" t="n"/>
      <c r="N68" s="22" t="n"/>
      <c r="O68" s="22" t="n"/>
      <c r="P68" s="22" t="n"/>
      <c r="Q68" s="22" t="n"/>
      <c r="R68" s="22" t="n"/>
      <c r="S68" s="22" t="n"/>
      <c r="T68" s="22" t="n"/>
      <c r="U68" s="22" t="n"/>
      <c r="V68" s="22" t="n"/>
      <c r="W68" s="22" t="n"/>
      <c r="X68" s="22" t="n"/>
    </row>
    <row r="69">
      <c r="A69" s="324" t="n"/>
      <c r="B69" s="22" t="n"/>
      <c r="C69" s="22" t="n"/>
      <c r="D69" s="22" t="n"/>
      <c r="E69" s="22" t="n"/>
      <c r="F69" s="22" t="n"/>
      <c r="G69" s="22" t="n"/>
      <c r="H69" s="22" t="n"/>
      <c r="I69" s="22" t="n"/>
      <c r="J69" s="22" t="n"/>
      <c r="K69" s="22" t="n"/>
      <c r="L69" s="22" t="n"/>
      <c r="M69" s="22" t="n"/>
      <c r="N69" s="22" t="n"/>
      <c r="O69" s="22" t="n"/>
      <c r="P69" s="22" t="n"/>
      <c r="Q69" s="22" t="n"/>
      <c r="R69" s="22" t="n"/>
      <c r="S69" s="22" t="n"/>
      <c r="T69" s="22" t="n"/>
      <c r="U69" s="22" t="n"/>
      <c r="V69" s="22" t="n"/>
      <c r="W69" s="22" t="n"/>
      <c r="X69" s="22" t="n"/>
    </row>
    <row r="70">
      <c r="A70" s="324" t="n"/>
      <c r="B70" s="22" t="n"/>
      <c r="C70" s="22" t="n"/>
      <c r="D70" s="22" t="n"/>
      <c r="E70" s="22" t="n"/>
      <c r="F70" s="22" t="n"/>
      <c r="G70" s="22" t="n"/>
      <c r="H70" s="22" t="n"/>
      <c r="I70" s="22" t="n"/>
      <c r="J70" s="22" t="n"/>
      <c r="K70" s="22" t="n"/>
      <c r="L70" s="22" t="n"/>
      <c r="M70" s="22" t="n"/>
      <c r="N70" s="22" t="n"/>
      <c r="O70" s="22" t="n"/>
      <c r="P70" s="22" t="n"/>
      <c r="Q70" s="22" t="n"/>
      <c r="R70" s="22" t="n"/>
      <c r="S70" s="22" t="n"/>
      <c r="T70" s="22" t="n"/>
      <c r="U70" s="22" t="n"/>
      <c r="V70" s="22" t="n"/>
      <c r="W70" s="22" t="n"/>
      <c r="X70" s="22" t="n"/>
    </row>
    <row r="71">
      <c r="A71" s="324" t="n"/>
      <c r="B71" s="22" t="n"/>
      <c r="C71" s="22" t="n"/>
      <c r="D71" s="22" t="n"/>
      <c r="E71" s="22" t="n"/>
      <c r="F71" s="22" t="n"/>
      <c r="G71" s="22" t="n"/>
      <c r="H71" s="22" t="n"/>
      <c r="I71" s="22" t="n"/>
      <c r="J71" s="22" t="n"/>
      <c r="K71" s="22" t="n"/>
      <c r="L71" s="22" t="n"/>
      <c r="M71" s="22" t="n"/>
      <c r="N71" s="22" t="n"/>
      <c r="O71" s="22" t="n"/>
      <c r="P71" s="22" t="n"/>
      <c r="Q71" s="22" t="n"/>
      <c r="R71" s="22" t="n"/>
      <c r="S71" s="22" t="n"/>
      <c r="T71" s="22" t="n"/>
      <c r="U71" s="22" t="n"/>
      <c r="V71" s="22" t="n"/>
      <c r="W71" s="22" t="n"/>
      <c r="X71" s="22" t="n"/>
    </row>
    <row r="72">
      <c r="A72" s="324" t="n"/>
      <c r="B72" s="22" t="n"/>
      <c r="C72" s="22" t="n"/>
      <c r="D72" s="22" t="n"/>
      <c r="E72" s="22" t="n"/>
      <c r="F72" s="22" t="n"/>
      <c r="G72" s="22" t="n"/>
      <c r="H72" s="22" t="n"/>
      <c r="I72" s="22" t="n"/>
      <c r="J72" s="22" t="n"/>
      <c r="K72" s="22" t="n"/>
      <c r="L72" s="22" t="n"/>
      <c r="M72" s="22" t="n"/>
      <c r="N72" s="22" t="n"/>
      <c r="O72" s="22" t="n"/>
      <c r="P72" s="22" t="n"/>
      <c r="Q72" s="22" t="n"/>
      <c r="R72" s="22" t="n"/>
      <c r="S72" s="22" t="n"/>
      <c r="T72" s="22" t="n"/>
      <c r="U72" s="22" t="n"/>
      <c r="V72" s="22" t="n"/>
      <c r="W72" s="22" t="n"/>
      <c r="X72" s="22" t="n"/>
    </row>
    <row r="73">
      <c r="A73" s="324" t="n"/>
      <c r="B73" s="22" t="n"/>
      <c r="C73" s="22" t="n"/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2" t="n"/>
      <c r="R73" s="22" t="n"/>
      <c r="S73" s="22" t="n"/>
      <c r="T73" s="22" t="n"/>
      <c r="U73" s="22" t="n"/>
      <c r="V73" s="22" t="n"/>
      <c r="W73" s="22" t="n"/>
      <c r="X73" s="22" t="n"/>
    </row>
    <row r="74">
      <c r="A74" s="324" t="n"/>
      <c r="B74" s="22" t="n"/>
      <c r="C74" s="22" t="n"/>
      <c r="D74" s="22" t="n"/>
      <c r="E74" s="22" t="n"/>
      <c r="F74" s="22" t="n"/>
      <c r="G74" s="22" t="n"/>
      <c r="H74" s="22" t="n"/>
      <c r="I74" s="22" t="n"/>
      <c r="J74" s="22" t="n"/>
      <c r="K74" s="22" t="n"/>
      <c r="L74" s="22" t="n"/>
      <c r="M74" s="22" t="n"/>
      <c r="N74" s="22" t="n"/>
      <c r="O74" s="22" t="n"/>
      <c r="P74" s="22" t="n"/>
      <c r="Q74" s="22" t="n"/>
      <c r="R74" s="22" t="n"/>
      <c r="S74" s="22" t="n"/>
      <c r="T74" s="22" t="n"/>
      <c r="U74" s="22" t="n"/>
      <c r="V74" s="22" t="n"/>
      <c r="W74" s="22" t="n"/>
      <c r="X74" s="22" t="n"/>
    </row>
    <row r="75">
      <c r="A75" s="324" t="n"/>
      <c r="B75" s="22" t="n"/>
      <c r="C75" s="22" t="n"/>
      <c r="D75" s="22" t="n"/>
      <c r="E75" s="22" t="n"/>
      <c r="F75" s="22" t="n"/>
      <c r="G75" s="22" t="n"/>
      <c r="H75" s="22" t="n"/>
      <c r="I75" s="22" t="n"/>
      <c r="J75" s="22" t="n"/>
      <c r="K75" s="22" t="n"/>
      <c r="L75" s="22" t="n"/>
      <c r="M75" s="22" t="n"/>
      <c r="N75" s="22" t="n"/>
      <c r="O75" s="22" t="n"/>
      <c r="P75" s="22" t="n"/>
      <c r="Q75" s="22" t="n"/>
      <c r="R75" s="22" t="n"/>
      <c r="S75" s="22" t="n"/>
      <c r="T75" s="22" t="n"/>
      <c r="U75" s="22" t="n"/>
      <c r="V75" s="22" t="n"/>
      <c r="W75" s="22" t="n"/>
      <c r="X75" s="22" t="n"/>
    </row>
    <row r="76">
      <c r="A76" s="324" t="n"/>
      <c r="B76" s="22" t="n"/>
      <c r="C76" s="22" t="n"/>
      <c r="D76" s="22" t="n"/>
      <c r="E76" s="22" t="n"/>
      <c r="F76" s="22" t="n"/>
      <c r="G76" s="22" t="n"/>
      <c r="H76" s="22" t="n"/>
      <c r="I76" s="22" t="n"/>
      <c r="J76" s="22" t="n"/>
      <c r="K76" s="22" t="n"/>
      <c r="L76" s="22" t="n"/>
      <c r="M76" s="22" t="n"/>
      <c r="N76" s="22" t="n"/>
      <c r="O76" s="22" t="n"/>
      <c r="P76" s="22" t="n"/>
      <c r="Q76" s="22" t="n"/>
      <c r="R76" s="22" t="n"/>
      <c r="S76" s="22" t="n"/>
      <c r="T76" s="22" t="n"/>
      <c r="U76" s="22" t="n"/>
      <c r="V76" s="22" t="n"/>
      <c r="W76" s="22" t="n"/>
      <c r="X76" s="22" t="n"/>
    </row>
    <row r="77">
      <c r="A77" s="324" t="n"/>
      <c r="B77" s="22" t="n"/>
      <c r="C77" s="22" t="n"/>
      <c r="D77" s="22" t="n"/>
      <c r="E77" s="22" t="n"/>
      <c r="F77" s="22" t="n"/>
      <c r="G77" s="22" t="n"/>
      <c r="H77" s="22" t="n"/>
      <c r="I77" s="22" t="n"/>
      <c r="J77" s="22" t="n"/>
      <c r="K77" s="22" t="n"/>
      <c r="L77" s="22" t="n"/>
      <c r="M77" s="22" t="n"/>
      <c r="N77" s="22" t="n"/>
      <c r="O77" s="22" t="n"/>
      <c r="P77" s="22" t="n"/>
      <c r="Q77" s="22" t="n"/>
      <c r="R77" s="22" t="n"/>
      <c r="S77" s="22" t="n"/>
      <c r="T77" s="22" t="n"/>
      <c r="U77" s="22" t="n"/>
      <c r="V77" s="22" t="n"/>
      <c r="W77" s="22" t="n"/>
      <c r="X77" s="22" t="n"/>
    </row>
    <row r="78">
      <c r="A78" s="324" t="n"/>
      <c r="B78" s="22" t="n"/>
      <c r="C78" s="22" t="n"/>
      <c r="D78" s="22" t="n"/>
      <c r="E78" s="22" t="n"/>
      <c r="F78" s="22" t="n"/>
      <c r="G78" s="22" t="n"/>
      <c r="H78" s="22" t="n"/>
      <c r="I78" s="22" t="n"/>
      <c r="J78" s="22" t="n"/>
      <c r="K78" s="22" t="n"/>
      <c r="L78" s="22" t="n"/>
      <c r="M78" s="22" t="n"/>
      <c r="N78" s="22" t="n"/>
      <c r="O78" s="22" t="n"/>
      <c r="P78" s="22" t="n"/>
      <c r="Q78" s="22" t="n"/>
      <c r="R78" s="22" t="n"/>
      <c r="S78" s="22" t="n"/>
      <c r="T78" s="22" t="n"/>
      <c r="U78" s="22" t="n"/>
      <c r="V78" s="22" t="n"/>
      <c r="W78" s="22" t="n"/>
      <c r="X78" s="22" t="n"/>
    </row>
    <row r="79">
      <c r="A79" s="324" t="n"/>
      <c r="B79" s="22" t="n"/>
      <c r="C79" s="22" t="n"/>
      <c r="D79" s="22" t="n"/>
      <c r="E79" s="22" t="n"/>
      <c r="F79" s="22" t="n"/>
      <c r="G79" s="22" t="n"/>
      <c r="H79" s="22" t="n"/>
      <c r="I79" s="22" t="n"/>
      <c r="J79" s="22" t="n"/>
      <c r="K79" s="22" t="n"/>
      <c r="L79" s="22" t="n"/>
      <c r="M79" s="22" t="n"/>
      <c r="N79" s="22" t="n"/>
      <c r="O79" s="22" t="n"/>
      <c r="P79" s="22" t="n"/>
      <c r="Q79" s="22" t="n"/>
      <c r="R79" s="22" t="n"/>
      <c r="S79" s="22" t="n"/>
      <c r="T79" s="22" t="n"/>
      <c r="U79" s="22" t="n"/>
      <c r="V79" s="22" t="n"/>
      <c r="W79" s="22" t="n"/>
      <c r="X79" s="22" t="n"/>
    </row>
    <row r="80">
      <c r="A80" s="324" t="n"/>
      <c r="B80" s="22" t="n"/>
      <c r="C80" s="22" t="n"/>
      <c r="D80" s="22" t="n"/>
      <c r="E80" s="22" t="n"/>
      <c r="F80" s="22" t="n"/>
      <c r="G80" s="22" t="n"/>
      <c r="H80" s="22" t="n"/>
      <c r="I80" s="22" t="n"/>
      <c r="J80" s="22" t="n"/>
      <c r="K80" s="22" t="n"/>
      <c r="L80" s="22" t="n"/>
      <c r="M80" s="22" t="n"/>
      <c r="N80" s="22" t="n"/>
      <c r="O80" s="22" t="n"/>
      <c r="P80" s="22" t="n"/>
      <c r="Q80" s="22" t="n"/>
      <c r="R80" s="22" t="n"/>
      <c r="S80" s="22" t="n"/>
      <c r="T80" s="22" t="n"/>
      <c r="U80" s="22" t="n"/>
      <c r="V80" s="22" t="n"/>
      <c r="W80" s="22" t="n"/>
      <c r="X80" s="22" t="n"/>
    </row>
    <row r="81">
      <c r="A81" s="324" t="n"/>
      <c r="B81" s="22" t="n"/>
      <c r="C81" s="22" t="n"/>
      <c r="D81" s="22" t="n"/>
      <c r="E81" s="22" t="n"/>
      <c r="F81" s="22" t="n"/>
      <c r="G81" s="22" t="n"/>
      <c r="H81" s="22" t="n"/>
      <c r="I81" s="22" t="n"/>
      <c r="J81" s="22" t="n"/>
      <c r="K81" s="22" t="n"/>
      <c r="L81" s="22" t="n"/>
      <c r="M81" s="22" t="n"/>
      <c r="N81" s="22" t="n"/>
      <c r="O81" s="22" t="n"/>
      <c r="P81" s="22" t="n"/>
      <c r="Q81" s="22" t="n"/>
      <c r="R81" s="22" t="n"/>
      <c r="S81" s="22" t="n"/>
      <c r="T81" s="22" t="n"/>
      <c r="U81" s="22" t="n"/>
      <c r="V81" s="22" t="n"/>
      <c r="W81" s="22" t="n"/>
      <c r="X81" s="22" t="n"/>
    </row>
    <row r="82">
      <c r="A82" s="324" t="n"/>
      <c r="B82" s="22" t="n"/>
      <c r="C82" s="22" t="n"/>
      <c r="D82" s="22" t="n"/>
      <c r="E82" s="22" t="n"/>
      <c r="F82" s="22" t="n"/>
      <c r="G82" s="22" t="n"/>
      <c r="H82" s="22" t="n"/>
      <c r="I82" s="22" t="n"/>
      <c r="J82" s="22" t="n"/>
      <c r="K82" s="22" t="n"/>
      <c r="L82" s="22" t="n"/>
      <c r="M82" s="22" t="n"/>
      <c r="N82" s="22" t="n"/>
      <c r="O82" s="22" t="n"/>
      <c r="P82" s="22" t="n"/>
      <c r="Q82" s="22" t="n"/>
      <c r="R82" s="22" t="n"/>
      <c r="S82" s="22" t="n"/>
      <c r="T82" s="22" t="n"/>
      <c r="U82" s="22" t="n"/>
      <c r="V82" s="22" t="n"/>
      <c r="W82" s="22" t="n"/>
      <c r="X82" s="22" t="n"/>
    </row>
    <row r="83">
      <c r="A83" s="324" t="n"/>
      <c r="B83" s="22" t="n"/>
      <c r="C83" s="22" t="n"/>
      <c r="D83" s="22" t="n"/>
      <c r="E83" s="22" t="n"/>
      <c r="F83" s="22" t="n"/>
      <c r="G83" s="22" t="n"/>
      <c r="H83" s="22" t="n"/>
      <c r="I83" s="22" t="n"/>
      <c r="J83" s="22" t="n"/>
      <c r="K83" s="22" t="n"/>
      <c r="L83" s="22" t="n"/>
      <c r="M83" s="22" t="n"/>
      <c r="N83" s="22" t="n"/>
      <c r="O83" s="22" t="n"/>
      <c r="P83" s="22" t="n"/>
      <c r="Q83" s="22" t="n"/>
      <c r="R83" s="22" t="n"/>
      <c r="S83" s="22" t="n"/>
      <c r="T83" s="22" t="n"/>
      <c r="U83" s="22" t="n"/>
      <c r="V83" s="22" t="n"/>
      <c r="W83" s="22" t="n"/>
      <c r="X83" s="22" t="n"/>
    </row>
    <row r="84">
      <c r="A84" s="324" t="n"/>
      <c r="B84" s="22" t="n"/>
      <c r="C84" s="22" t="n"/>
      <c r="D84" s="22" t="n"/>
      <c r="E84" s="22" t="n"/>
      <c r="F84" s="22" t="n"/>
      <c r="G84" s="22" t="n"/>
      <c r="H84" s="22" t="n"/>
      <c r="I84" s="22" t="n"/>
      <c r="J84" s="22" t="n"/>
      <c r="K84" s="22" t="n"/>
      <c r="L84" s="22" t="n"/>
      <c r="M84" s="22" t="n"/>
      <c r="N84" s="22" t="n"/>
      <c r="O84" s="22" t="n"/>
      <c r="P84" s="22" t="n"/>
      <c r="Q84" s="22" t="n"/>
      <c r="R84" s="22" t="n"/>
      <c r="S84" s="22" t="n"/>
      <c r="T84" s="22" t="n"/>
      <c r="U84" s="22" t="n"/>
      <c r="V84" s="22" t="n"/>
      <c r="W84" s="22" t="n"/>
      <c r="X84" s="22" t="n"/>
    </row>
    <row r="85">
      <c r="A85" s="324" t="n"/>
      <c r="B85" s="22" t="n"/>
      <c r="C85" s="22" t="n"/>
      <c r="D85" s="22" t="n"/>
      <c r="E85" s="22" t="n"/>
      <c r="F85" s="22" t="n"/>
      <c r="G85" s="22" t="n"/>
      <c r="H85" s="22" t="n"/>
      <c r="I85" s="22" t="n"/>
      <c r="J85" s="22" t="n"/>
      <c r="K85" s="22" t="n"/>
      <c r="L85" s="22" t="n"/>
      <c r="M85" s="22" t="n"/>
      <c r="N85" s="22" t="n"/>
      <c r="O85" s="22" t="n"/>
      <c r="P85" s="22" t="n"/>
      <c r="Q85" s="22" t="n"/>
      <c r="R85" s="22" t="n"/>
      <c r="S85" s="22" t="n"/>
      <c r="T85" s="22" t="n"/>
      <c r="U85" s="22" t="n"/>
      <c r="V85" s="22" t="n"/>
      <c r="W85" s="22" t="n"/>
      <c r="X85" s="22" t="n"/>
    </row>
    <row r="86">
      <c r="A86" s="324" t="n"/>
      <c r="B86" s="22" t="n"/>
      <c r="C86" s="22" t="n"/>
      <c r="D86" s="22" t="n"/>
      <c r="E86" s="22" t="n"/>
      <c r="F86" s="22" t="n"/>
      <c r="G86" s="22" t="n"/>
      <c r="H86" s="22" t="n"/>
      <c r="I86" s="22" t="n"/>
      <c r="J86" s="22" t="n"/>
      <c r="K86" s="22" t="n"/>
      <c r="L86" s="22" t="n"/>
      <c r="M86" s="22" t="n"/>
      <c r="N86" s="22" t="n"/>
      <c r="O86" s="22" t="n"/>
      <c r="P86" s="22" t="n"/>
      <c r="Q86" s="22" t="n"/>
      <c r="R86" s="22" t="n"/>
      <c r="S86" s="22" t="n"/>
      <c r="T86" s="22" t="n"/>
      <c r="U86" s="22" t="n"/>
      <c r="V86" s="22" t="n"/>
      <c r="W86" s="22" t="n"/>
      <c r="X86" s="22" t="n"/>
    </row>
    <row r="87">
      <c r="A87" s="324" t="n"/>
      <c r="B87" s="22" t="n"/>
      <c r="C87" s="22" t="n"/>
      <c r="D87" s="22" t="n"/>
      <c r="E87" s="22" t="n"/>
      <c r="F87" s="22" t="n"/>
      <c r="G87" s="22" t="n"/>
      <c r="H87" s="22" t="n"/>
      <c r="I87" s="22" t="n"/>
      <c r="J87" s="22" t="n"/>
      <c r="K87" s="22" t="n"/>
      <c r="L87" s="22" t="n"/>
      <c r="M87" s="22" t="n"/>
      <c r="N87" s="22" t="n"/>
      <c r="O87" s="22" t="n"/>
      <c r="P87" s="22" t="n"/>
      <c r="Q87" s="22" t="n"/>
      <c r="R87" s="22" t="n"/>
      <c r="S87" s="22" t="n"/>
      <c r="T87" s="22" t="n"/>
      <c r="U87" s="22" t="n"/>
      <c r="V87" s="22" t="n"/>
      <c r="W87" s="22" t="n"/>
      <c r="X87" s="22" t="n"/>
    </row>
    <row r="88">
      <c r="A88" s="324" t="n"/>
      <c r="B88" s="22" t="n"/>
      <c r="C88" s="22" t="n"/>
      <c r="D88" s="22" t="n"/>
      <c r="E88" s="22" t="n"/>
      <c r="F88" s="22" t="n"/>
      <c r="G88" s="22" t="n"/>
      <c r="H88" s="22" t="n"/>
      <c r="I88" s="22" t="n"/>
      <c r="J88" s="22" t="n"/>
      <c r="K88" s="22" t="n"/>
      <c r="L88" s="22" t="n"/>
      <c r="M88" s="22" t="n"/>
      <c r="N88" s="22" t="n"/>
      <c r="O88" s="22" t="n"/>
      <c r="P88" s="22" t="n"/>
      <c r="Q88" s="22" t="n"/>
      <c r="R88" s="22" t="n"/>
      <c r="S88" s="22" t="n"/>
      <c r="T88" s="22" t="n"/>
      <c r="U88" s="22" t="n"/>
      <c r="V88" s="22" t="n"/>
      <c r="W88" s="22" t="n"/>
      <c r="X88" s="22" t="n"/>
    </row>
    <row r="89">
      <c r="A89" s="324" t="n"/>
      <c r="B89" s="22" t="n"/>
      <c r="C89" s="22" t="n"/>
      <c r="D89" s="22" t="n"/>
      <c r="E89" s="22" t="n"/>
      <c r="F89" s="22" t="n"/>
      <c r="G89" s="22" t="n"/>
      <c r="H89" s="22" t="n"/>
      <c r="I89" s="22" t="n"/>
      <c r="J89" s="22" t="n"/>
      <c r="K89" s="22" t="n"/>
      <c r="L89" s="22" t="n"/>
      <c r="M89" s="22" t="n"/>
      <c r="N89" s="22" t="n"/>
      <c r="O89" s="22" t="n"/>
      <c r="P89" s="22" t="n"/>
      <c r="Q89" s="22" t="n"/>
      <c r="R89" s="22" t="n"/>
      <c r="S89" s="22" t="n"/>
      <c r="T89" s="22" t="n"/>
      <c r="U89" s="22" t="n"/>
      <c r="V89" s="22" t="n"/>
      <c r="W89" s="22" t="n"/>
      <c r="X89" s="22" t="n"/>
    </row>
    <row r="90">
      <c r="A90" s="324" t="n"/>
      <c r="B90" s="22" t="n"/>
      <c r="C90" s="22" t="n"/>
      <c r="D90" s="22" t="n"/>
      <c r="E90" s="22" t="n"/>
      <c r="F90" s="22" t="n"/>
      <c r="G90" s="22" t="n"/>
      <c r="H90" s="22" t="n"/>
      <c r="I90" s="22" t="n"/>
      <c r="J90" s="22" t="n"/>
      <c r="K90" s="22" t="n"/>
      <c r="L90" s="22" t="n"/>
      <c r="M90" s="22" t="n"/>
      <c r="N90" s="22" t="n"/>
      <c r="O90" s="22" t="n"/>
      <c r="P90" s="22" t="n"/>
      <c r="Q90" s="22" t="n"/>
      <c r="R90" s="22" t="n"/>
      <c r="S90" s="22" t="n"/>
      <c r="T90" s="22" t="n"/>
      <c r="U90" s="22" t="n"/>
      <c r="V90" s="22" t="n"/>
      <c r="W90" s="22" t="n"/>
      <c r="X90" s="22" t="n"/>
    </row>
    <row r="91">
      <c r="A91" s="324" t="n"/>
      <c r="B91" s="22" t="n"/>
      <c r="C91" s="22" t="n"/>
      <c r="D91" s="22" t="n"/>
      <c r="E91" s="22" t="n"/>
      <c r="F91" s="22" t="n"/>
      <c r="G91" s="22" t="n"/>
      <c r="H91" s="22" t="n"/>
      <c r="I91" s="22" t="n"/>
      <c r="J91" s="22" t="n"/>
      <c r="K91" s="22" t="n"/>
      <c r="L91" s="22" t="n"/>
      <c r="M91" s="22" t="n"/>
      <c r="N91" s="22" t="n"/>
      <c r="O91" s="22" t="n"/>
      <c r="P91" s="22" t="n"/>
      <c r="Q91" s="22" t="n"/>
      <c r="R91" s="22" t="n"/>
      <c r="S91" s="22" t="n"/>
      <c r="T91" s="22" t="n"/>
      <c r="U91" s="22" t="n"/>
      <c r="V91" s="22" t="n"/>
      <c r="W91" s="22" t="n"/>
      <c r="X91" s="22" t="n"/>
    </row>
    <row r="92">
      <c r="A92" s="324" t="n"/>
      <c r="B92" s="22" t="n"/>
      <c r="C92" s="22" t="n"/>
      <c r="D92" s="22" t="n"/>
      <c r="E92" s="22" t="n"/>
      <c r="F92" s="22" t="n"/>
      <c r="G92" s="22" t="n"/>
      <c r="H92" s="22" t="n"/>
      <c r="I92" s="22" t="n"/>
      <c r="J92" s="22" t="n"/>
      <c r="K92" s="22" t="n"/>
      <c r="L92" s="22" t="n"/>
      <c r="M92" s="22" t="n"/>
      <c r="N92" s="22" t="n"/>
      <c r="O92" s="22" t="n"/>
      <c r="P92" s="22" t="n"/>
      <c r="Q92" s="22" t="n"/>
      <c r="R92" s="22" t="n"/>
      <c r="S92" s="22" t="n"/>
      <c r="T92" s="22" t="n"/>
      <c r="U92" s="22" t="n"/>
      <c r="V92" s="22" t="n"/>
      <c r="W92" s="22" t="n"/>
      <c r="X92" s="22" t="n"/>
    </row>
    <row r="93">
      <c r="A93" s="324" t="n"/>
      <c r="B93" s="22" t="n"/>
      <c r="C93" s="22" t="n"/>
      <c r="D93" s="22" t="n"/>
      <c r="E93" s="22" t="n"/>
      <c r="F93" s="22" t="n"/>
      <c r="G93" s="22" t="n"/>
      <c r="H93" s="22" t="n"/>
      <c r="I93" s="22" t="n"/>
      <c r="J93" s="22" t="n"/>
      <c r="K93" s="22" t="n"/>
      <c r="L93" s="22" t="n"/>
      <c r="M93" s="22" t="n"/>
      <c r="N93" s="22" t="n"/>
      <c r="O93" s="22" t="n"/>
      <c r="P93" s="22" t="n"/>
      <c r="Q93" s="22" t="n"/>
      <c r="R93" s="22" t="n"/>
      <c r="S93" s="22" t="n"/>
      <c r="T93" s="22" t="n"/>
      <c r="U93" s="22" t="n"/>
      <c r="V93" s="22" t="n"/>
      <c r="W93" s="22" t="n"/>
      <c r="X93" s="22" t="n"/>
    </row>
    <row r="94">
      <c r="A94" s="324" t="n"/>
      <c r="B94" s="22" t="n"/>
      <c r="C94" s="22" t="n"/>
      <c r="D94" s="22" t="n"/>
      <c r="E94" s="22" t="n"/>
      <c r="F94" s="22" t="n"/>
      <c r="G94" s="22" t="n"/>
      <c r="H94" s="22" t="n"/>
      <c r="I94" s="22" t="n"/>
      <c r="J94" s="22" t="n"/>
      <c r="K94" s="22" t="n"/>
      <c r="L94" s="22" t="n"/>
      <c r="M94" s="22" t="n"/>
      <c r="N94" s="22" t="n"/>
      <c r="O94" s="22" t="n"/>
      <c r="P94" s="22" t="n"/>
      <c r="Q94" s="22" t="n"/>
      <c r="R94" s="22" t="n"/>
      <c r="S94" s="22" t="n"/>
      <c r="T94" s="22" t="n"/>
      <c r="U94" s="22" t="n"/>
      <c r="V94" s="22" t="n"/>
      <c r="W94" s="22" t="n"/>
      <c r="X94" s="22" t="n"/>
    </row>
    <row r="95">
      <c r="A95" s="324" t="n"/>
      <c r="B95" s="22" t="n"/>
      <c r="C95" s="22" t="n"/>
      <c r="D95" s="22" t="n"/>
      <c r="E95" s="22" t="n"/>
      <c r="F95" s="22" t="n"/>
      <c r="G95" s="22" t="n"/>
      <c r="H95" s="22" t="n"/>
      <c r="I95" s="22" t="n"/>
      <c r="J95" s="22" t="n"/>
      <c r="K95" s="22" t="n"/>
      <c r="L95" s="22" t="n"/>
      <c r="M95" s="22" t="n"/>
      <c r="N95" s="22" t="n"/>
      <c r="O95" s="22" t="n"/>
      <c r="P95" s="22" t="n"/>
      <c r="Q95" s="22" t="n"/>
      <c r="R95" s="22" t="n"/>
      <c r="S95" s="22" t="n"/>
      <c r="T95" s="22" t="n"/>
      <c r="U95" s="22" t="n"/>
      <c r="V95" s="22" t="n"/>
      <c r="W95" s="22" t="n"/>
      <c r="X95" s="22" t="n"/>
    </row>
    <row r="96">
      <c r="A96" s="324" t="n"/>
      <c r="B96" s="22" t="n"/>
      <c r="C96" s="22" t="n"/>
      <c r="D96" s="22" t="n"/>
      <c r="E96" s="22" t="n"/>
      <c r="F96" s="22" t="n"/>
      <c r="G96" s="22" t="n"/>
      <c r="H96" s="22" t="n"/>
      <c r="I96" s="22" t="n"/>
      <c r="J96" s="22" t="n"/>
      <c r="K96" s="22" t="n"/>
      <c r="L96" s="22" t="n"/>
      <c r="M96" s="22" t="n"/>
      <c r="N96" s="22" t="n"/>
      <c r="O96" s="22" t="n"/>
      <c r="P96" s="22" t="n"/>
      <c r="Q96" s="22" t="n"/>
      <c r="R96" s="22" t="n"/>
      <c r="S96" s="22" t="n"/>
      <c r="T96" s="22" t="n"/>
      <c r="U96" s="22" t="n"/>
      <c r="V96" s="22" t="n"/>
      <c r="W96" s="22" t="n"/>
      <c r="X96" s="22" t="n"/>
    </row>
    <row r="97">
      <c r="A97" s="324" t="n"/>
      <c r="B97" s="22" t="n"/>
      <c r="C97" s="22" t="n"/>
      <c r="D97" s="22" t="n"/>
      <c r="E97" s="22" t="n"/>
      <c r="F97" s="22" t="n"/>
      <c r="G97" s="22" t="n"/>
      <c r="H97" s="22" t="n"/>
      <c r="I97" s="22" t="n"/>
      <c r="J97" s="22" t="n"/>
      <c r="K97" s="22" t="n"/>
      <c r="L97" s="22" t="n"/>
      <c r="M97" s="22" t="n"/>
      <c r="N97" s="22" t="n"/>
      <c r="O97" s="22" t="n"/>
      <c r="P97" s="22" t="n"/>
      <c r="Q97" s="22" t="n"/>
      <c r="R97" s="22" t="n"/>
      <c r="S97" s="22" t="n"/>
      <c r="T97" s="22" t="n"/>
      <c r="U97" s="22" t="n"/>
      <c r="V97" s="22" t="n"/>
      <c r="W97" s="22" t="n"/>
      <c r="X97" s="22" t="n"/>
    </row>
    <row r="98">
      <c r="A98" s="324" t="n"/>
      <c r="B98" s="22" t="n"/>
      <c r="C98" s="22" t="n"/>
      <c r="D98" s="22" t="n"/>
      <c r="E98" s="22" t="n"/>
      <c r="F98" s="22" t="n"/>
      <c r="G98" s="22" t="n"/>
      <c r="H98" s="22" t="n"/>
      <c r="I98" s="22" t="n"/>
      <c r="J98" s="22" t="n"/>
      <c r="K98" s="22" t="n"/>
      <c r="L98" s="22" t="n"/>
      <c r="M98" s="22" t="n"/>
      <c r="N98" s="22" t="n"/>
      <c r="O98" s="22" t="n"/>
      <c r="P98" s="22" t="n"/>
      <c r="Q98" s="22" t="n"/>
      <c r="R98" s="22" t="n"/>
      <c r="S98" s="22" t="n"/>
      <c r="T98" s="22" t="n"/>
      <c r="U98" s="22" t="n"/>
      <c r="V98" s="22" t="n"/>
      <c r="W98" s="22" t="n"/>
      <c r="X98" s="22" t="n"/>
    </row>
    <row r="99">
      <c r="A99" s="324" t="n"/>
      <c r="B99" s="22" t="n"/>
      <c r="C99" s="22" t="n"/>
      <c r="D99" s="22" t="n"/>
      <c r="E99" s="22" t="n"/>
      <c r="F99" s="22" t="n"/>
      <c r="G99" s="22" t="n"/>
      <c r="H99" s="22" t="n"/>
      <c r="I99" s="22" t="n"/>
      <c r="J99" s="22" t="n"/>
      <c r="K99" s="22" t="n"/>
      <c r="L99" s="22" t="n"/>
      <c r="M99" s="22" t="n"/>
      <c r="N99" s="22" t="n"/>
      <c r="O99" s="22" t="n"/>
      <c r="P99" s="22" t="n"/>
      <c r="Q99" s="22" t="n"/>
      <c r="R99" s="22" t="n"/>
      <c r="S99" s="22" t="n"/>
      <c r="T99" s="22" t="n"/>
      <c r="U99" s="22" t="n"/>
      <c r="V99" s="22" t="n"/>
      <c r="W99" s="22" t="n"/>
      <c r="X99" s="22" t="n"/>
    </row>
    <row r="100">
      <c r="A100" s="324" t="n"/>
      <c r="B100" s="22" t="n"/>
      <c r="C100" s="22" t="n"/>
      <c r="D100" s="22" t="n"/>
      <c r="E100" s="22" t="n"/>
      <c r="F100" s="22" t="n"/>
      <c r="G100" s="22" t="n"/>
      <c r="H100" s="22" t="n"/>
      <c r="I100" s="22" t="n"/>
      <c r="J100" s="22" t="n"/>
      <c r="K100" s="22" t="n"/>
      <c r="L100" s="22" t="n"/>
      <c r="M100" s="22" t="n"/>
      <c r="N100" s="22" t="n"/>
      <c r="O100" s="22" t="n"/>
      <c r="P100" s="22" t="n"/>
      <c r="Q100" s="22" t="n"/>
      <c r="R100" s="22" t="n"/>
      <c r="S100" s="22" t="n"/>
      <c r="T100" s="22" t="n"/>
      <c r="U100" s="22" t="n"/>
      <c r="V100" s="22" t="n"/>
      <c r="W100" s="22" t="n"/>
      <c r="X100" s="22" t="n"/>
    </row>
    <row r="101">
      <c r="A101" s="324" t="n"/>
      <c r="B101" s="22" t="n"/>
      <c r="C101" s="22" t="n"/>
      <c r="D101" s="22" t="n"/>
      <c r="E101" s="22" t="n"/>
      <c r="F101" s="22" t="n"/>
      <c r="G101" s="22" t="n"/>
      <c r="H101" s="22" t="n"/>
      <c r="I101" s="22" t="n"/>
      <c r="J101" s="22" t="n"/>
      <c r="K101" s="22" t="n"/>
      <c r="L101" s="22" t="n"/>
      <c r="M101" s="22" t="n"/>
      <c r="N101" s="22" t="n"/>
      <c r="O101" s="22" t="n"/>
      <c r="P101" s="22" t="n"/>
      <c r="Q101" s="22" t="n"/>
      <c r="R101" s="22" t="n"/>
      <c r="S101" s="22" t="n"/>
      <c r="T101" s="22" t="n"/>
      <c r="U101" s="22" t="n"/>
      <c r="V101" s="22" t="n"/>
      <c r="W101" s="22" t="n"/>
      <c r="X101" s="22" t="n"/>
    </row>
    <row r="102">
      <c r="A102" s="324" t="n"/>
      <c r="B102" s="22" t="n"/>
      <c r="C102" s="22" t="n"/>
      <c r="D102" s="22" t="n"/>
      <c r="E102" s="22" t="n"/>
      <c r="F102" s="22" t="n"/>
      <c r="G102" s="22" t="n"/>
      <c r="H102" s="22" t="n"/>
      <c r="I102" s="22" t="n"/>
      <c r="J102" s="22" t="n"/>
      <c r="K102" s="22" t="n"/>
      <c r="L102" s="22" t="n"/>
      <c r="M102" s="22" t="n"/>
      <c r="N102" s="22" t="n"/>
      <c r="O102" s="22" t="n"/>
      <c r="P102" s="22" t="n"/>
      <c r="Q102" s="22" t="n"/>
      <c r="R102" s="22" t="n"/>
      <c r="S102" s="22" t="n"/>
      <c r="T102" s="22" t="n"/>
      <c r="U102" s="22" t="n"/>
      <c r="V102" s="22" t="n"/>
      <c r="W102" s="22" t="n"/>
      <c r="X102" s="22" t="n"/>
    </row>
    <row r="103">
      <c r="A103" s="324" t="n"/>
      <c r="B103" s="22" t="n"/>
      <c r="C103" s="22" t="n"/>
      <c r="D103" s="22" t="n"/>
      <c r="E103" s="22" t="n"/>
      <c r="F103" s="22" t="n"/>
      <c r="G103" s="22" t="n"/>
      <c r="H103" s="22" t="n"/>
      <c r="I103" s="22" t="n"/>
      <c r="J103" s="22" t="n"/>
      <c r="K103" s="22" t="n"/>
      <c r="L103" s="22" t="n"/>
      <c r="M103" s="22" t="n"/>
      <c r="N103" s="22" t="n"/>
      <c r="O103" s="22" t="n"/>
      <c r="P103" s="22" t="n"/>
      <c r="Q103" s="22" t="n"/>
      <c r="R103" s="22" t="n"/>
      <c r="S103" s="22" t="n"/>
      <c r="T103" s="22" t="n"/>
      <c r="U103" s="22" t="n"/>
      <c r="V103" s="22" t="n"/>
      <c r="W103" s="22" t="n"/>
      <c r="X103" s="22" t="n"/>
    </row>
    <row r="104">
      <c r="A104" s="324" t="n"/>
      <c r="B104" s="22" t="n"/>
      <c r="C104" s="22" t="n"/>
      <c r="D104" s="22" t="n"/>
      <c r="E104" s="22" t="n"/>
      <c r="F104" s="22" t="n"/>
      <c r="G104" s="22" t="n"/>
      <c r="H104" s="22" t="n"/>
      <c r="I104" s="22" t="n"/>
      <c r="J104" s="22" t="n"/>
      <c r="K104" s="22" t="n"/>
      <c r="L104" s="22" t="n"/>
      <c r="M104" s="22" t="n"/>
      <c r="N104" s="22" t="n"/>
      <c r="O104" s="22" t="n"/>
      <c r="P104" s="22" t="n"/>
      <c r="Q104" s="22" t="n"/>
      <c r="R104" s="22" t="n"/>
      <c r="S104" s="22" t="n"/>
      <c r="T104" s="22" t="n"/>
      <c r="U104" s="22" t="n"/>
      <c r="V104" s="22" t="n"/>
      <c r="W104" s="22" t="n"/>
      <c r="X104" s="22" t="n"/>
    </row>
    <row r="105">
      <c r="A105" s="324" t="n"/>
      <c r="B105" s="22" t="n"/>
      <c r="C105" s="22" t="n"/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2" t="n"/>
      <c r="R105" s="22" t="n"/>
      <c r="S105" s="22" t="n"/>
      <c r="T105" s="22" t="n"/>
      <c r="U105" s="22" t="n"/>
      <c r="V105" s="22" t="n"/>
      <c r="W105" s="22" t="n"/>
      <c r="X105" s="22" t="n"/>
    </row>
    <row r="106">
      <c r="A106" s="324" t="n"/>
      <c r="B106" s="22" t="n"/>
      <c r="C106" s="22" t="n"/>
      <c r="D106" s="22" t="n"/>
      <c r="E106" s="22" t="n"/>
      <c r="F106" s="22" t="n"/>
      <c r="G106" s="22" t="n"/>
      <c r="H106" s="22" t="n"/>
      <c r="I106" s="22" t="n"/>
      <c r="J106" s="22" t="n"/>
      <c r="K106" s="22" t="n"/>
      <c r="L106" s="22" t="n"/>
      <c r="M106" s="22" t="n"/>
      <c r="N106" s="22" t="n"/>
      <c r="O106" s="22" t="n"/>
      <c r="P106" s="22" t="n"/>
      <c r="Q106" s="22" t="n"/>
      <c r="R106" s="22" t="n"/>
      <c r="S106" s="22" t="n"/>
      <c r="T106" s="22" t="n"/>
      <c r="U106" s="22" t="n"/>
      <c r="V106" s="22" t="n"/>
      <c r="W106" s="22" t="n"/>
      <c r="X106" s="22" t="n"/>
    </row>
    <row r="107">
      <c r="A107" s="324" t="n"/>
      <c r="B107" s="22" t="n"/>
      <c r="C107" s="22" t="n"/>
      <c r="D107" s="22" t="n"/>
      <c r="E107" s="22" t="n"/>
      <c r="F107" s="22" t="n"/>
      <c r="G107" s="22" t="n"/>
      <c r="H107" s="22" t="n"/>
      <c r="I107" s="22" t="n"/>
      <c r="J107" s="22" t="n"/>
      <c r="K107" s="22" t="n"/>
      <c r="L107" s="22" t="n"/>
      <c r="M107" s="22" t="n"/>
      <c r="N107" s="22" t="n"/>
      <c r="O107" s="22" t="n"/>
      <c r="P107" s="22" t="n"/>
      <c r="Q107" s="22" t="n"/>
      <c r="R107" s="22" t="n"/>
      <c r="S107" s="22" t="n"/>
      <c r="T107" s="22" t="n"/>
      <c r="U107" s="22" t="n"/>
      <c r="V107" s="22" t="n"/>
      <c r="W107" s="22" t="n"/>
      <c r="X107" s="22" t="n"/>
    </row>
    <row r="108">
      <c r="A108" s="324" t="n"/>
      <c r="B108" s="22" t="n"/>
      <c r="C108" s="22" t="n"/>
      <c r="D108" s="22" t="n"/>
      <c r="E108" s="22" t="n"/>
      <c r="F108" s="22" t="n"/>
      <c r="G108" s="22" t="n"/>
      <c r="H108" s="22" t="n"/>
      <c r="I108" s="22" t="n"/>
      <c r="J108" s="22" t="n"/>
      <c r="K108" s="22" t="n"/>
      <c r="L108" s="22" t="n"/>
      <c r="M108" s="22" t="n"/>
      <c r="N108" s="22" t="n"/>
      <c r="O108" s="22" t="n"/>
      <c r="P108" s="22" t="n"/>
      <c r="Q108" s="22" t="n"/>
      <c r="R108" s="22" t="n"/>
      <c r="S108" s="22" t="n"/>
      <c r="T108" s="22" t="n"/>
      <c r="U108" s="22" t="n"/>
      <c r="V108" s="22" t="n"/>
      <c r="W108" s="22" t="n"/>
      <c r="X108" s="22" t="n"/>
    </row>
    <row r="109">
      <c r="A109" s="324" t="n"/>
      <c r="B109" s="22" t="n"/>
      <c r="C109" s="22" t="n"/>
      <c r="D109" s="22" t="n"/>
      <c r="E109" s="22" t="n"/>
      <c r="F109" s="22" t="n"/>
      <c r="G109" s="22" t="n"/>
      <c r="H109" s="22" t="n"/>
      <c r="I109" s="22" t="n"/>
      <c r="J109" s="22" t="n"/>
      <c r="K109" s="22" t="n"/>
      <c r="L109" s="22" t="n"/>
      <c r="M109" s="22" t="n"/>
      <c r="N109" s="22" t="n"/>
      <c r="O109" s="22" t="n"/>
      <c r="P109" s="22" t="n"/>
      <c r="Q109" s="22" t="n"/>
      <c r="R109" s="22" t="n"/>
      <c r="S109" s="22" t="n"/>
      <c r="T109" s="22" t="n"/>
      <c r="U109" s="22" t="n"/>
      <c r="V109" s="22" t="n"/>
      <c r="W109" s="22" t="n"/>
      <c r="X109" s="22" t="n"/>
    </row>
    <row r="110">
      <c r="A110" s="324" t="n"/>
      <c r="B110" s="22" t="n"/>
      <c r="C110" s="22" t="n"/>
      <c r="D110" s="22" t="n"/>
      <c r="E110" s="22" t="n"/>
      <c r="F110" s="22" t="n"/>
      <c r="G110" s="22" t="n"/>
      <c r="H110" s="22" t="n"/>
      <c r="I110" s="22" t="n"/>
      <c r="J110" s="22" t="n"/>
      <c r="K110" s="22" t="n"/>
      <c r="L110" s="22" t="n"/>
      <c r="M110" s="22" t="n"/>
      <c r="N110" s="22" t="n"/>
      <c r="O110" s="22" t="n"/>
      <c r="P110" s="22" t="n"/>
      <c r="Q110" s="22" t="n"/>
      <c r="R110" s="22" t="n"/>
      <c r="S110" s="22" t="n"/>
      <c r="T110" s="22" t="n"/>
      <c r="U110" s="22" t="n"/>
      <c r="V110" s="22" t="n"/>
      <c r="W110" s="22" t="n"/>
      <c r="X110" s="22" t="n"/>
    </row>
    <row r="111">
      <c r="A111" s="324" t="n"/>
      <c r="B111" s="22" t="n"/>
      <c r="C111" s="22" t="n"/>
      <c r="D111" s="22" t="n"/>
      <c r="E111" s="22" t="n"/>
      <c r="F111" s="22" t="n"/>
      <c r="G111" s="22" t="n"/>
      <c r="H111" s="22" t="n"/>
      <c r="I111" s="22" t="n"/>
      <c r="J111" s="22" t="n"/>
      <c r="K111" s="22" t="n"/>
      <c r="L111" s="22" t="n"/>
      <c r="M111" s="22" t="n"/>
      <c r="N111" s="22" t="n"/>
      <c r="O111" s="22" t="n"/>
      <c r="P111" s="22" t="n"/>
      <c r="Q111" s="22" t="n"/>
      <c r="R111" s="22" t="n"/>
      <c r="S111" s="22" t="n"/>
      <c r="T111" s="22" t="n"/>
      <c r="U111" s="22" t="n"/>
      <c r="V111" s="22" t="n"/>
      <c r="W111" s="22" t="n"/>
      <c r="X111" s="22" t="n"/>
    </row>
    <row r="112">
      <c r="A112" s="324" t="n"/>
      <c r="B112" s="22" t="n"/>
      <c r="C112" s="22" t="n"/>
      <c r="D112" s="22" t="n"/>
      <c r="E112" s="22" t="n"/>
      <c r="F112" s="22" t="n"/>
      <c r="G112" s="22" t="n"/>
      <c r="H112" s="22" t="n"/>
      <c r="I112" s="22" t="n"/>
      <c r="J112" s="22" t="n"/>
      <c r="K112" s="22" t="n"/>
      <c r="L112" s="22" t="n"/>
      <c r="M112" s="22" t="n"/>
      <c r="N112" s="22" t="n"/>
      <c r="O112" s="22" t="n"/>
      <c r="P112" s="22" t="n"/>
      <c r="Q112" s="22" t="n"/>
      <c r="R112" s="22" t="n"/>
      <c r="S112" s="22" t="n"/>
      <c r="T112" s="22" t="n"/>
      <c r="U112" s="22" t="n"/>
      <c r="V112" s="22" t="n"/>
      <c r="W112" s="22" t="n"/>
      <c r="X112" s="22" t="n"/>
    </row>
    <row r="113">
      <c r="A113" s="324" t="n"/>
      <c r="B113" s="22" t="n"/>
      <c r="C113" s="22" t="n"/>
      <c r="D113" s="22" t="n"/>
      <c r="E113" s="22" t="n"/>
      <c r="F113" s="22" t="n"/>
      <c r="G113" s="22" t="n"/>
      <c r="H113" s="22" t="n"/>
      <c r="I113" s="22" t="n"/>
      <c r="J113" s="22" t="n"/>
      <c r="K113" s="22" t="n"/>
      <c r="L113" s="22" t="n"/>
      <c r="M113" s="22" t="n"/>
      <c r="N113" s="22" t="n"/>
      <c r="O113" s="22" t="n"/>
      <c r="P113" s="22" t="n"/>
      <c r="Q113" s="22" t="n"/>
      <c r="R113" s="22" t="n"/>
      <c r="S113" s="22" t="n"/>
      <c r="T113" s="22" t="n"/>
      <c r="U113" s="22" t="n"/>
      <c r="V113" s="22" t="n"/>
      <c r="W113" s="22" t="n"/>
      <c r="X113" s="22" t="n"/>
    </row>
    <row r="114">
      <c r="A114" s="324" t="n"/>
      <c r="B114" s="22" t="n"/>
      <c r="C114" s="22" t="n"/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2" t="n"/>
      <c r="R114" s="22" t="n"/>
      <c r="S114" s="22" t="n"/>
      <c r="T114" s="22" t="n"/>
      <c r="U114" s="22" t="n"/>
      <c r="V114" s="22" t="n"/>
      <c r="W114" s="22" t="n"/>
      <c r="X114" s="22" t="n"/>
    </row>
    <row r="115">
      <c r="A115" s="324" t="n"/>
      <c r="B115" s="22" t="n"/>
      <c r="C115" s="22" t="n"/>
      <c r="D115" s="22" t="n"/>
      <c r="E115" s="22" t="n"/>
      <c r="F115" s="22" t="n"/>
      <c r="G115" s="22" t="n"/>
      <c r="H115" s="22" t="n"/>
      <c r="I115" s="22" t="n"/>
      <c r="J115" s="22" t="n"/>
      <c r="K115" s="22" t="n"/>
      <c r="L115" s="22" t="n"/>
      <c r="M115" s="22" t="n"/>
      <c r="N115" s="22" t="n"/>
      <c r="O115" s="22" t="n"/>
      <c r="P115" s="22" t="n"/>
      <c r="Q115" s="22" t="n"/>
      <c r="R115" s="22" t="n"/>
      <c r="S115" s="22" t="n"/>
      <c r="T115" s="22" t="n"/>
      <c r="U115" s="22" t="n"/>
      <c r="V115" s="22" t="n"/>
      <c r="W115" s="22" t="n"/>
      <c r="X115" s="22" t="n"/>
    </row>
    <row r="116">
      <c r="A116" s="324" t="n"/>
      <c r="B116" s="22" t="n"/>
      <c r="C116" s="22" t="n"/>
      <c r="D116" s="22" t="n"/>
      <c r="E116" s="22" t="n"/>
      <c r="F116" s="22" t="n"/>
      <c r="G116" s="22" t="n"/>
      <c r="H116" s="22" t="n"/>
      <c r="I116" s="22" t="n"/>
      <c r="J116" s="22" t="n"/>
      <c r="K116" s="22" t="n"/>
      <c r="L116" s="22" t="n"/>
      <c r="M116" s="22" t="n"/>
      <c r="N116" s="22" t="n"/>
      <c r="O116" s="22" t="n"/>
      <c r="P116" s="22" t="n"/>
      <c r="Q116" s="22" t="n"/>
      <c r="R116" s="22" t="n"/>
      <c r="S116" s="22" t="n"/>
      <c r="T116" s="22" t="n"/>
      <c r="U116" s="22" t="n"/>
      <c r="V116" s="22" t="n"/>
      <c r="W116" s="22" t="n"/>
      <c r="X116" s="22" t="n"/>
    </row>
    <row r="117">
      <c r="A117" s="324" t="n"/>
      <c r="B117" s="22" t="n"/>
      <c r="C117" s="22" t="n"/>
      <c r="D117" s="22" t="n"/>
      <c r="E117" s="22" t="n"/>
      <c r="F117" s="22" t="n"/>
      <c r="G117" s="22" t="n"/>
      <c r="H117" s="22" t="n"/>
      <c r="I117" s="22" t="n"/>
      <c r="J117" s="22" t="n"/>
      <c r="K117" s="22" t="n"/>
      <c r="L117" s="22" t="n"/>
      <c r="M117" s="22" t="n"/>
      <c r="N117" s="22" t="n"/>
      <c r="O117" s="22" t="n"/>
      <c r="P117" s="22" t="n"/>
      <c r="Q117" s="22" t="n"/>
      <c r="R117" s="22" t="n"/>
      <c r="S117" s="22" t="n"/>
      <c r="T117" s="22" t="n"/>
      <c r="U117" s="22" t="n"/>
      <c r="V117" s="22" t="n"/>
      <c r="W117" s="22" t="n"/>
      <c r="X117" s="22" t="n"/>
    </row>
    <row r="118">
      <c r="A118" s="324" t="n"/>
      <c r="B118" s="22" t="n"/>
      <c r="C118" s="22" t="n"/>
      <c r="D118" s="22" t="n"/>
      <c r="E118" s="22" t="n"/>
      <c r="F118" s="22" t="n"/>
      <c r="G118" s="22" t="n"/>
      <c r="H118" s="22" t="n"/>
      <c r="I118" s="22" t="n"/>
      <c r="J118" s="22" t="n"/>
      <c r="K118" s="22" t="n"/>
      <c r="L118" s="22" t="n"/>
      <c r="M118" s="22" t="n"/>
      <c r="N118" s="22" t="n"/>
      <c r="O118" s="22" t="n"/>
      <c r="P118" s="22" t="n"/>
      <c r="Q118" s="22" t="n"/>
      <c r="R118" s="22" t="n"/>
      <c r="S118" s="22" t="n"/>
      <c r="T118" s="22" t="n"/>
      <c r="U118" s="22" t="n"/>
      <c r="V118" s="22" t="n"/>
      <c r="W118" s="22" t="n"/>
      <c r="X118" s="22" t="n"/>
    </row>
    <row r="119">
      <c r="A119" s="324" t="n"/>
      <c r="B119" s="22" t="n"/>
      <c r="C119" s="22" t="n"/>
      <c r="D119" s="22" t="n"/>
      <c r="E119" s="22" t="n"/>
      <c r="F119" s="22" t="n"/>
      <c r="G119" s="22" t="n"/>
      <c r="H119" s="22" t="n"/>
      <c r="I119" s="22" t="n"/>
      <c r="J119" s="22" t="n"/>
      <c r="K119" s="22" t="n"/>
      <c r="L119" s="22" t="n"/>
      <c r="M119" s="22" t="n"/>
      <c r="N119" s="22" t="n"/>
      <c r="O119" s="22" t="n"/>
      <c r="P119" s="22" t="n"/>
      <c r="Q119" s="22" t="n"/>
      <c r="R119" s="22" t="n"/>
      <c r="S119" s="22" t="n"/>
      <c r="T119" s="22" t="n"/>
      <c r="U119" s="22" t="n"/>
      <c r="V119" s="22" t="n"/>
      <c r="W119" s="22" t="n"/>
      <c r="X119" s="22" t="n"/>
    </row>
    <row r="120">
      <c r="A120" s="324" t="n"/>
      <c r="B120" s="22" t="n"/>
      <c r="C120" s="22" t="n"/>
      <c r="D120" s="22" t="n"/>
      <c r="E120" s="22" t="n"/>
      <c r="F120" s="22" t="n"/>
      <c r="G120" s="22" t="n"/>
      <c r="H120" s="22" t="n"/>
      <c r="I120" s="22" t="n"/>
      <c r="J120" s="22" t="n"/>
      <c r="K120" s="22" t="n"/>
      <c r="L120" s="22" t="n"/>
      <c r="M120" s="22" t="n"/>
      <c r="N120" s="22" t="n"/>
      <c r="O120" s="22" t="n"/>
      <c r="P120" s="22" t="n"/>
      <c r="Q120" s="22" t="n"/>
      <c r="R120" s="22" t="n"/>
      <c r="S120" s="22" t="n"/>
      <c r="T120" s="22" t="n"/>
      <c r="U120" s="22" t="n"/>
      <c r="V120" s="22" t="n"/>
      <c r="W120" s="22" t="n"/>
      <c r="X120" s="22" t="n"/>
    </row>
    <row r="121">
      <c r="A121" s="324" t="n"/>
      <c r="B121" s="22" t="n"/>
      <c r="C121" s="22" t="n"/>
      <c r="D121" s="22" t="n"/>
      <c r="E121" s="22" t="n"/>
      <c r="F121" s="22" t="n"/>
      <c r="G121" s="22" t="n"/>
      <c r="H121" s="22" t="n"/>
      <c r="I121" s="22" t="n"/>
      <c r="J121" s="22" t="n"/>
      <c r="K121" s="22" t="n"/>
      <c r="L121" s="22" t="n"/>
      <c r="M121" s="22" t="n"/>
      <c r="N121" s="22" t="n"/>
      <c r="O121" s="22" t="n"/>
      <c r="P121" s="22" t="n"/>
      <c r="Q121" s="22" t="n"/>
      <c r="R121" s="22" t="n"/>
      <c r="S121" s="22" t="n"/>
      <c r="T121" s="22" t="n"/>
      <c r="U121" s="22" t="n"/>
      <c r="V121" s="22" t="n"/>
      <c r="W121" s="22" t="n"/>
      <c r="X121" s="22" t="n"/>
    </row>
    <row r="122">
      <c r="A122" s="324" t="n"/>
      <c r="B122" s="22" t="n"/>
      <c r="C122" s="22" t="n"/>
      <c r="D122" s="22" t="n"/>
      <c r="E122" s="22" t="n"/>
      <c r="F122" s="22" t="n"/>
      <c r="G122" s="22" t="n"/>
      <c r="H122" s="22" t="n"/>
      <c r="I122" s="22" t="n"/>
      <c r="J122" s="22" t="n"/>
      <c r="K122" s="22" t="n"/>
      <c r="L122" s="22" t="n"/>
      <c r="M122" s="22" t="n"/>
      <c r="N122" s="22" t="n"/>
      <c r="O122" s="22" t="n"/>
      <c r="P122" s="22" t="n"/>
      <c r="Q122" s="22" t="n"/>
      <c r="R122" s="22" t="n"/>
      <c r="S122" s="22" t="n"/>
      <c r="T122" s="22" t="n"/>
      <c r="U122" s="22" t="n"/>
      <c r="V122" s="22" t="n"/>
      <c r="W122" s="22" t="n"/>
      <c r="X122" s="22" t="n"/>
    </row>
    <row r="123">
      <c r="A123" s="324" t="n"/>
      <c r="B123" s="22" t="n"/>
      <c r="C123" s="22" t="n"/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2" t="n"/>
      <c r="R123" s="22" t="n"/>
      <c r="S123" s="22" t="n"/>
      <c r="T123" s="22" t="n"/>
      <c r="U123" s="22" t="n"/>
      <c r="V123" s="22" t="n"/>
      <c r="W123" s="22" t="n"/>
      <c r="X123" s="22" t="n"/>
    </row>
    <row r="124">
      <c r="A124" s="324" t="n"/>
      <c r="B124" s="22" t="n"/>
      <c r="C124" s="22" t="n"/>
      <c r="D124" s="22" t="n"/>
      <c r="E124" s="22" t="n"/>
      <c r="F124" s="22" t="n"/>
      <c r="G124" s="22" t="n"/>
      <c r="H124" s="22" t="n"/>
      <c r="I124" s="22" t="n"/>
      <c r="J124" s="22" t="n"/>
      <c r="K124" s="22" t="n"/>
      <c r="L124" s="22" t="n"/>
      <c r="M124" s="22" t="n"/>
      <c r="N124" s="22" t="n"/>
      <c r="O124" s="22" t="n"/>
      <c r="P124" s="22" t="n"/>
      <c r="Q124" s="22" t="n"/>
      <c r="R124" s="22" t="n"/>
      <c r="S124" s="22" t="n"/>
      <c r="T124" s="22" t="n"/>
      <c r="U124" s="22" t="n"/>
      <c r="V124" s="22" t="n"/>
      <c r="W124" s="22" t="n"/>
      <c r="X124" s="22" t="n"/>
    </row>
    <row r="125">
      <c r="A125" s="324" t="n"/>
      <c r="B125" s="22" t="n"/>
      <c r="C125" s="22" t="n"/>
      <c r="D125" s="22" t="n"/>
      <c r="E125" s="22" t="n"/>
      <c r="F125" s="22" t="n"/>
      <c r="G125" s="22" t="n"/>
      <c r="H125" s="22" t="n"/>
      <c r="I125" s="22" t="n"/>
      <c r="J125" s="22" t="n"/>
      <c r="K125" s="22" t="n"/>
      <c r="L125" s="22" t="n"/>
      <c r="M125" s="22" t="n"/>
      <c r="N125" s="22" t="n"/>
      <c r="O125" s="22" t="n"/>
      <c r="P125" s="22" t="n"/>
      <c r="Q125" s="22" t="n"/>
      <c r="R125" s="22" t="n"/>
      <c r="S125" s="22" t="n"/>
      <c r="T125" s="22" t="n"/>
      <c r="U125" s="22" t="n"/>
      <c r="V125" s="22" t="n"/>
      <c r="W125" s="22" t="n"/>
      <c r="X125" s="22" t="n"/>
    </row>
    <row r="126">
      <c r="A126" s="324" t="n"/>
      <c r="B126" s="22" t="n"/>
      <c r="C126" s="22" t="n"/>
      <c r="D126" s="22" t="n"/>
      <c r="E126" s="22" t="n"/>
      <c r="F126" s="22" t="n"/>
      <c r="G126" s="22" t="n"/>
      <c r="H126" s="22" t="n"/>
      <c r="I126" s="22" t="n"/>
      <c r="J126" s="22" t="n"/>
      <c r="K126" s="22" t="n"/>
      <c r="L126" s="22" t="n"/>
      <c r="M126" s="22" t="n"/>
      <c r="N126" s="22" t="n"/>
      <c r="O126" s="22" t="n"/>
      <c r="P126" s="22" t="n"/>
      <c r="Q126" s="22" t="n"/>
      <c r="R126" s="22" t="n"/>
      <c r="S126" s="22" t="n"/>
      <c r="T126" s="22" t="n"/>
      <c r="U126" s="22" t="n"/>
      <c r="V126" s="22" t="n"/>
      <c r="W126" s="22" t="n"/>
      <c r="X126" s="22" t="n"/>
    </row>
    <row r="127">
      <c r="A127" s="324" t="n"/>
      <c r="B127" s="22" t="n"/>
      <c r="C127" s="22" t="n"/>
      <c r="D127" s="22" t="n"/>
      <c r="E127" s="22" t="n"/>
      <c r="F127" s="22" t="n"/>
      <c r="G127" s="22" t="n"/>
      <c r="H127" s="22" t="n"/>
      <c r="I127" s="22" t="n"/>
      <c r="J127" s="22" t="n"/>
      <c r="K127" s="22" t="n"/>
      <c r="L127" s="22" t="n"/>
      <c r="M127" s="22" t="n"/>
      <c r="N127" s="22" t="n"/>
      <c r="O127" s="22" t="n"/>
      <c r="P127" s="22" t="n"/>
      <c r="Q127" s="22" t="n"/>
      <c r="R127" s="22" t="n"/>
      <c r="S127" s="22" t="n"/>
      <c r="T127" s="22" t="n"/>
      <c r="U127" s="22" t="n"/>
      <c r="V127" s="22" t="n"/>
      <c r="W127" s="22" t="n"/>
      <c r="X127" s="22" t="n"/>
    </row>
    <row r="128">
      <c r="A128" s="324" t="n"/>
      <c r="B128" s="22" t="n"/>
      <c r="C128" s="22" t="n"/>
      <c r="D128" s="22" t="n"/>
      <c r="E128" s="22" t="n"/>
      <c r="F128" s="22" t="n"/>
      <c r="G128" s="22" t="n"/>
      <c r="H128" s="22" t="n"/>
      <c r="I128" s="22" t="n"/>
      <c r="J128" s="22" t="n"/>
      <c r="K128" s="22" t="n"/>
      <c r="L128" s="22" t="n"/>
      <c r="M128" s="22" t="n"/>
      <c r="N128" s="22" t="n"/>
      <c r="O128" s="22" t="n"/>
      <c r="P128" s="22" t="n"/>
      <c r="Q128" s="22" t="n"/>
      <c r="R128" s="22" t="n"/>
      <c r="S128" s="22" t="n"/>
      <c r="T128" s="22" t="n"/>
      <c r="U128" s="22" t="n"/>
      <c r="V128" s="22" t="n"/>
      <c r="W128" s="22" t="n"/>
      <c r="X128" s="22" t="n"/>
    </row>
    <row r="129">
      <c r="A129" s="324" t="n"/>
      <c r="B129" s="22" t="n"/>
      <c r="C129" s="22" t="n"/>
      <c r="D129" s="22" t="n"/>
      <c r="E129" s="22" t="n"/>
      <c r="F129" s="22" t="n"/>
      <c r="G129" s="22" t="n"/>
      <c r="H129" s="22" t="n"/>
      <c r="I129" s="22" t="n"/>
      <c r="J129" s="22" t="n"/>
      <c r="K129" s="22" t="n"/>
      <c r="L129" s="22" t="n"/>
      <c r="M129" s="22" t="n"/>
      <c r="N129" s="22" t="n"/>
      <c r="O129" s="22" t="n"/>
      <c r="P129" s="22" t="n"/>
      <c r="Q129" s="22" t="n"/>
      <c r="R129" s="22" t="n"/>
      <c r="S129" s="22" t="n"/>
      <c r="T129" s="22" t="n"/>
      <c r="U129" s="22" t="n"/>
      <c r="V129" s="22" t="n"/>
      <c r="W129" s="22" t="n"/>
      <c r="X129" s="22" t="n"/>
    </row>
    <row r="130">
      <c r="A130" s="324" t="n"/>
      <c r="B130" s="22" t="n"/>
      <c r="C130" s="22" t="n"/>
      <c r="D130" s="22" t="n"/>
      <c r="E130" s="22" t="n"/>
      <c r="F130" s="22" t="n"/>
      <c r="G130" s="22" t="n"/>
      <c r="H130" s="22" t="n"/>
      <c r="I130" s="22" t="n"/>
      <c r="J130" s="22" t="n"/>
      <c r="K130" s="22" t="n"/>
      <c r="L130" s="22" t="n"/>
      <c r="M130" s="22" t="n"/>
      <c r="N130" s="22" t="n"/>
      <c r="O130" s="22" t="n"/>
      <c r="P130" s="22" t="n"/>
      <c r="Q130" s="22" t="n"/>
      <c r="R130" s="22" t="n"/>
      <c r="S130" s="22" t="n"/>
      <c r="T130" s="22" t="n"/>
      <c r="U130" s="22" t="n"/>
      <c r="V130" s="22" t="n"/>
      <c r="W130" s="22" t="n"/>
      <c r="X130" s="22" t="n"/>
    </row>
    <row r="131">
      <c r="A131" s="324" t="n"/>
      <c r="B131" s="22" t="n"/>
      <c r="C131" s="22" t="n"/>
      <c r="D131" s="22" t="n"/>
      <c r="E131" s="22" t="n"/>
      <c r="F131" s="22" t="n"/>
      <c r="G131" s="22" t="n"/>
      <c r="H131" s="22" t="n"/>
      <c r="I131" s="22" t="n"/>
      <c r="J131" s="22" t="n"/>
      <c r="K131" s="22" t="n"/>
      <c r="L131" s="22" t="n"/>
      <c r="M131" s="22" t="n"/>
      <c r="N131" s="22" t="n"/>
      <c r="O131" s="22" t="n"/>
      <c r="P131" s="22" t="n"/>
      <c r="Q131" s="22" t="n"/>
      <c r="R131" s="22" t="n"/>
      <c r="S131" s="22" t="n"/>
      <c r="T131" s="22" t="n"/>
      <c r="U131" s="22" t="n"/>
      <c r="V131" s="22" t="n"/>
      <c r="W131" s="22" t="n"/>
      <c r="X131" s="22" t="n"/>
    </row>
    <row r="132">
      <c r="A132" s="324" t="n"/>
      <c r="B132" s="22" t="n"/>
      <c r="C132" s="22" t="n"/>
      <c r="D132" s="22" t="n"/>
      <c r="E132" s="22" t="n"/>
      <c r="F132" s="22" t="n"/>
      <c r="G132" s="22" t="n"/>
      <c r="H132" s="22" t="n"/>
      <c r="I132" s="22" t="n"/>
      <c r="J132" s="22" t="n"/>
      <c r="K132" s="22" t="n"/>
      <c r="L132" s="22" t="n"/>
      <c r="M132" s="22" t="n"/>
      <c r="N132" s="22" t="n"/>
      <c r="O132" s="22" t="n"/>
      <c r="P132" s="22" t="n"/>
      <c r="Q132" s="22" t="n"/>
      <c r="R132" s="22" t="n"/>
      <c r="S132" s="22" t="n"/>
      <c r="T132" s="22" t="n"/>
      <c r="U132" s="22" t="n"/>
      <c r="V132" s="22" t="n"/>
      <c r="W132" s="22" t="n"/>
      <c r="X132" s="22" t="n"/>
    </row>
    <row r="133">
      <c r="A133" s="324" t="n"/>
      <c r="B133" s="22" t="n"/>
      <c r="C133" s="22" t="n"/>
      <c r="D133" s="22" t="n"/>
      <c r="E133" s="22" t="n"/>
      <c r="F133" s="22" t="n"/>
      <c r="G133" s="22" t="n"/>
      <c r="H133" s="22" t="n"/>
      <c r="I133" s="22" t="n"/>
      <c r="J133" s="22" t="n"/>
      <c r="K133" s="22" t="n"/>
      <c r="L133" s="22" t="n"/>
      <c r="M133" s="22" t="n"/>
      <c r="N133" s="22" t="n"/>
      <c r="O133" s="22" t="n"/>
      <c r="P133" s="22" t="n"/>
      <c r="Q133" s="22" t="n"/>
      <c r="R133" s="22" t="n"/>
      <c r="S133" s="22" t="n"/>
      <c r="T133" s="22" t="n"/>
      <c r="U133" s="22" t="n"/>
      <c r="V133" s="22" t="n"/>
      <c r="W133" s="22" t="n"/>
      <c r="X133" s="22" t="n"/>
    </row>
    <row r="134">
      <c r="A134" s="324" t="n"/>
      <c r="B134" s="22" t="n"/>
      <c r="C134" s="22" t="n"/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2" t="n"/>
      <c r="M134" s="22" t="n"/>
      <c r="N134" s="22" t="n"/>
      <c r="O134" s="22" t="n"/>
      <c r="P134" s="22" t="n"/>
      <c r="Q134" s="22" t="n"/>
      <c r="R134" s="22" t="n"/>
      <c r="S134" s="22" t="n"/>
      <c r="T134" s="22" t="n"/>
      <c r="U134" s="22" t="n"/>
      <c r="V134" s="22" t="n"/>
      <c r="W134" s="22" t="n"/>
      <c r="X134" s="22" t="n"/>
    </row>
    <row r="135">
      <c r="A135" s="324" t="n"/>
      <c r="B135" s="22" t="n"/>
      <c r="C135" s="22" t="n"/>
      <c r="D135" s="22" t="n"/>
      <c r="E135" s="22" t="n"/>
      <c r="F135" s="22" t="n"/>
      <c r="G135" s="22" t="n"/>
      <c r="H135" s="22" t="n"/>
      <c r="I135" s="22" t="n"/>
      <c r="J135" s="22" t="n"/>
      <c r="K135" s="22" t="n"/>
      <c r="L135" s="22" t="n"/>
      <c r="M135" s="22" t="n"/>
      <c r="N135" s="22" t="n"/>
      <c r="O135" s="22" t="n"/>
      <c r="P135" s="22" t="n"/>
      <c r="Q135" s="22" t="n"/>
      <c r="R135" s="22" t="n"/>
      <c r="S135" s="22" t="n"/>
      <c r="T135" s="22" t="n"/>
      <c r="U135" s="22" t="n"/>
      <c r="V135" s="22" t="n"/>
      <c r="W135" s="22" t="n"/>
      <c r="X135" s="22" t="n"/>
    </row>
    <row r="136">
      <c r="A136" s="324" t="n"/>
      <c r="B136" s="22" t="n"/>
      <c r="C136" s="22" t="n"/>
      <c r="D136" s="22" t="n"/>
      <c r="E136" s="22" t="n"/>
      <c r="F136" s="22" t="n"/>
      <c r="G136" s="22" t="n"/>
      <c r="H136" s="22" t="n"/>
      <c r="I136" s="22" t="n"/>
      <c r="J136" s="22" t="n"/>
      <c r="K136" s="22" t="n"/>
      <c r="L136" s="22" t="n"/>
      <c r="M136" s="22" t="n"/>
      <c r="N136" s="22" t="n"/>
      <c r="O136" s="22" t="n"/>
      <c r="P136" s="22" t="n"/>
      <c r="Q136" s="22" t="n"/>
      <c r="R136" s="22" t="n"/>
      <c r="S136" s="22" t="n"/>
      <c r="T136" s="22" t="n"/>
      <c r="U136" s="22" t="n"/>
      <c r="V136" s="22" t="n"/>
      <c r="W136" s="22" t="n"/>
      <c r="X136" s="22" t="n"/>
    </row>
    <row r="137">
      <c r="A137" s="324" t="n"/>
      <c r="B137" s="22" t="n"/>
      <c r="C137" s="22" t="n"/>
      <c r="D137" s="22" t="n"/>
      <c r="E137" s="22" t="n"/>
      <c r="F137" s="22" t="n"/>
      <c r="G137" s="22" t="n"/>
      <c r="H137" s="22" t="n"/>
      <c r="I137" s="22" t="n"/>
      <c r="J137" s="22" t="n"/>
      <c r="K137" s="22" t="n"/>
      <c r="L137" s="22" t="n"/>
      <c r="M137" s="22" t="n"/>
      <c r="N137" s="22" t="n"/>
      <c r="O137" s="22" t="n"/>
      <c r="P137" s="22" t="n"/>
      <c r="Q137" s="22" t="n"/>
      <c r="R137" s="22" t="n"/>
      <c r="S137" s="22" t="n"/>
      <c r="T137" s="22" t="n"/>
      <c r="U137" s="22" t="n"/>
      <c r="V137" s="22" t="n"/>
      <c r="W137" s="22" t="n"/>
      <c r="X137" s="22" t="n"/>
    </row>
    <row r="138">
      <c r="A138" s="324" t="n"/>
      <c r="B138" s="22" t="n"/>
      <c r="C138" s="22" t="n"/>
      <c r="D138" s="22" t="n"/>
      <c r="E138" s="22" t="n"/>
      <c r="F138" s="22" t="n"/>
      <c r="G138" s="22" t="n"/>
      <c r="H138" s="22" t="n"/>
      <c r="I138" s="22" t="n"/>
      <c r="J138" s="22" t="n"/>
      <c r="K138" s="22" t="n"/>
      <c r="L138" s="22" t="n"/>
      <c r="M138" s="22" t="n"/>
      <c r="N138" s="22" t="n"/>
      <c r="O138" s="22" t="n"/>
      <c r="P138" s="22" t="n"/>
      <c r="Q138" s="22" t="n"/>
      <c r="R138" s="22" t="n"/>
      <c r="S138" s="22" t="n"/>
      <c r="T138" s="22" t="n"/>
      <c r="U138" s="22" t="n"/>
      <c r="V138" s="22" t="n"/>
      <c r="W138" s="22" t="n"/>
      <c r="X138" s="22" t="n"/>
    </row>
    <row r="139">
      <c r="A139" s="324" t="n"/>
      <c r="B139" s="22" t="n"/>
      <c r="C139" s="22" t="n"/>
      <c r="D139" s="22" t="n"/>
      <c r="E139" s="22" t="n"/>
      <c r="F139" s="22" t="n"/>
      <c r="G139" s="22" t="n"/>
      <c r="H139" s="22" t="n"/>
      <c r="I139" s="22" t="n"/>
      <c r="J139" s="22" t="n"/>
      <c r="K139" s="22" t="n"/>
      <c r="L139" s="22" t="n"/>
      <c r="M139" s="22" t="n"/>
      <c r="N139" s="22" t="n"/>
      <c r="O139" s="22" t="n"/>
      <c r="P139" s="22" t="n"/>
      <c r="Q139" s="22" t="n"/>
      <c r="R139" s="22" t="n"/>
      <c r="S139" s="22" t="n"/>
      <c r="T139" s="22" t="n"/>
      <c r="U139" s="22" t="n"/>
      <c r="V139" s="22" t="n"/>
      <c r="W139" s="22" t="n"/>
      <c r="X139" s="22" t="n"/>
    </row>
    <row r="140">
      <c r="A140" s="324" t="n"/>
      <c r="B140" s="22" t="n"/>
      <c r="C140" s="22" t="n"/>
      <c r="D140" s="22" t="n"/>
      <c r="E140" s="22" t="n"/>
      <c r="F140" s="22" t="n"/>
      <c r="G140" s="22" t="n"/>
      <c r="H140" s="22" t="n"/>
      <c r="I140" s="22" t="n"/>
      <c r="J140" s="22" t="n"/>
      <c r="K140" s="22" t="n"/>
      <c r="L140" s="22" t="n"/>
      <c r="M140" s="22" t="n"/>
      <c r="N140" s="22" t="n"/>
      <c r="O140" s="22" t="n"/>
      <c r="P140" s="22" t="n"/>
      <c r="Q140" s="22" t="n"/>
      <c r="R140" s="22" t="n"/>
      <c r="S140" s="22" t="n"/>
      <c r="T140" s="22" t="n"/>
      <c r="U140" s="22" t="n"/>
      <c r="V140" s="22" t="n"/>
      <c r="W140" s="22" t="n"/>
      <c r="X140" s="22" t="n"/>
    </row>
    <row r="141">
      <c r="A141" s="324" t="n"/>
      <c r="B141" s="22" t="n"/>
      <c r="C141" s="22" t="n"/>
      <c r="D141" s="22" t="n"/>
      <c r="E141" s="22" t="n"/>
      <c r="F141" s="22" t="n"/>
      <c r="G141" s="22" t="n"/>
      <c r="H141" s="22" t="n"/>
      <c r="I141" s="22" t="n"/>
      <c r="J141" s="22" t="n"/>
      <c r="K141" s="22" t="n"/>
      <c r="L141" s="22" t="n"/>
      <c r="M141" s="22" t="n"/>
      <c r="N141" s="22" t="n"/>
      <c r="O141" s="22" t="n"/>
      <c r="P141" s="22" t="n"/>
      <c r="Q141" s="22" t="n"/>
      <c r="R141" s="22" t="n"/>
      <c r="S141" s="22" t="n"/>
      <c r="T141" s="22" t="n"/>
      <c r="U141" s="22" t="n"/>
      <c r="V141" s="22" t="n"/>
      <c r="W141" s="22" t="n"/>
      <c r="X141" s="22" t="n"/>
    </row>
    <row r="142">
      <c r="A142" s="324" t="n"/>
      <c r="B142" s="22" t="n"/>
      <c r="C142" s="22" t="n"/>
      <c r="D142" s="22" t="n"/>
      <c r="E142" s="22" t="n"/>
      <c r="F142" s="22" t="n"/>
      <c r="G142" s="22" t="n"/>
      <c r="H142" s="22" t="n"/>
      <c r="I142" s="22" t="n"/>
      <c r="J142" s="22" t="n"/>
      <c r="K142" s="22" t="n"/>
      <c r="L142" s="22" t="n"/>
      <c r="M142" s="22" t="n"/>
      <c r="N142" s="22" t="n"/>
      <c r="O142" s="22" t="n"/>
      <c r="P142" s="22" t="n"/>
      <c r="Q142" s="22" t="n"/>
      <c r="R142" s="22" t="n"/>
      <c r="S142" s="22" t="n"/>
      <c r="T142" s="22" t="n"/>
      <c r="U142" s="22" t="n"/>
      <c r="V142" s="22" t="n"/>
      <c r="W142" s="22" t="n"/>
      <c r="X142" s="22" t="n"/>
    </row>
    <row r="143">
      <c r="A143" s="324" t="n"/>
      <c r="B143" s="22" t="n"/>
      <c r="C143" s="22" t="n"/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2" t="n"/>
      <c r="M143" s="22" t="n"/>
      <c r="N143" s="22" t="n"/>
      <c r="O143" s="22" t="n"/>
      <c r="P143" s="22" t="n"/>
      <c r="Q143" s="22" t="n"/>
      <c r="R143" s="22" t="n"/>
      <c r="S143" s="22" t="n"/>
      <c r="T143" s="22" t="n"/>
      <c r="U143" s="22" t="n"/>
      <c r="V143" s="22" t="n"/>
      <c r="W143" s="22" t="n"/>
      <c r="X143" s="22" t="n"/>
    </row>
    <row r="144">
      <c r="A144" s="324" t="n"/>
      <c r="B144" s="22" t="n"/>
      <c r="C144" s="22" t="n"/>
      <c r="D144" s="22" t="n"/>
      <c r="E144" s="22" t="n"/>
      <c r="F144" s="22" t="n"/>
      <c r="G144" s="22" t="n"/>
      <c r="H144" s="22" t="n"/>
      <c r="I144" s="22" t="n"/>
      <c r="J144" s="22" t="n"/>
      <c r="K144" s="22" t="n"/>
      <c r="L144" s="22" t="n"/>
      <c r="M144" s="22" t="n"/>
      <c r="N144" s="22" t="n"/>
      <c r="O144" s="22" t="n"/>
      <c r="P144" s="22" t="n"/>
      <c r="Q144" s="22" t="n"/>
      <c r="R144" s="22" t="n"/>
      <c r="S144" s="22" t="n"/>
      <c r="T144" s="22" t="n"/>
      <c r="U144" s="22" t="n"/>
      <c r="V144" s="22" t="n"/>
      <c r="W144" s="22" t="n"/>
      <c r="X144" s="22" t="n"/>
    </row>
    <row r="145">
      <c r="A145" s="324" t="n"/>
      <c r="B145" s="22" t="n"/>
      <c r="C145" s="22" t="n"/>
      <c r="D145" s="22" t="n"/>
      <c r="E145" s="22" t="n"/>
      <c r="F145" s="22" t="n"/>
      <c r="G145" s="22" t="n"/>
      <c r="H145" s="22" t="n"/>
      <c r="I145" s="22" t="n"/>
      <c r="J145" s="22" t="n"/>
      <c r="K145" s="22" t="n"/>
      <c r="L145" s="22" t="n"/>
      <c r="M145" s="22" t="n"/>
      <c r="N145" s="22" t="n"/>
      <c r="O145" s="22" t="n"/>
      <c r="P145" s="22" t="n"/>
      <c r="Q145" s="22" t="n"/>
      <c r="R145" s="22" t="n"/>
      <c r="S145" s="22" t="n"/>
      <c r="T145" s="22" t="n"/>
      <c r="U145" s="22" t="n"/>
      <c r="V145" s="22" t="n"/>
      <c r="W145" s="22" t="n"/>
      <c r="X145" s="22" t="n"/>
    </row>
    <row r="146">
      <c r="A146" s="324" t="n"/>
      <c r="B146" s="22" t="n"/>
      <c r="C146" s="22" t="n"/>
      <c r="D146" s="22" t="n"/>
      <c r="E146" s="22" t="n"/>
      <c r="F146" s="22" t="n"/>
      <c r="G146" s="22" t="n"/>
      <c r="H146" s="22" t="n"/>
      <c r="I146" s="22" t="n"/>
      <c r="J146" s="22" t="n"/>
      <c r="K146" s="22" t="n"/>
      <c r="L146" s="22" t="n"/>
      <c r="M146" s="22" t="n"/>
      <c r="N146" s="22" t="n"/>
      <c r="O146" s="22" t="n"/>
      <c r="P146" s="22" t="n"/>
      <c r="Q146" s="22" t="n"/>
      <c r="R146" s="22" t="n"/>
      <c r="S146" s="22" t="n"/>
      <c r="T146" s="22" t="n"/>
      <c r="U146" s="22" t="n"/>
      <c r="V146" s="22" t="n"/>
      <c r="W146" s="22" t="n"/>
      <c r="X146" s="22" t="n"/>
    </row>
    <row r="147">
      <c r="A147" s="324" t="n"/>
      <c r="B147" s="22" t="n"/>
      <c r="C147" s="22" t="n"/>
      <c r="D147" s="22" t="n"/>
      <c r="E147" s="22" t="n"/>
      <c r="F147" s="22" t="n"/>
      <c r="G147" s="22" t="n"/>
      <c r="H147" s="22" t="n"/>
      <c r="I147" s="22" t="n"/>
      <c r="J147" s="22" t="n"/>
      <c r="K147" s="22" t="n"/>
      <c r="L147" s="22" t="n"/>
      <c r="M147" s="22" t="n"/>
      <c r="N147" s="22" t="n"/>
      <c r="O147" s="22" t="n"/>
      <c r="P147" s="22" t="n"/>
      <c r="Q147" s="22" t="n"/>
      <c r="R147" s="22" t="n"/>
      <c r="S147" s="22" t="n"/>
      <c r="T147" s="22" t="n"/>
      <c r="U147" s="22" t="n"/>
      <c r="V147" s="22" t="n"/>
      <c r="W147" s="22" t="n"/>
      <c r="X147" s="22" t="n"/>
    </row>
    <row r="148">
      <c r="A148" s="324" t="n"/>
      <c r="B148" s="22" t="n"/>
      <c r="C148" s="22" t="n"/>
      <c r="D148" s="22" t="n"/>
      <c r="E148" s="22" t="n"/>
      <c r="F148" s="22" t="n"/>
      <c r="G148" s="22" t="n"/>
      <c r="H148" s="22" t="n"/>
      <c r="I148" s="22" t="n"/>
      <c r="J148" s="22" t="n"/>
      <c r="K148" s="22" t="n"/>
      <c r="L148" s="22" t="n"/>
      <c r="M148" s="22" t="n"/>
      <c r="N148" s="22" t="n"/>
      <c r="O148" s="22" t="n"/>
      <c r="P148" s="22" t="n"/>
      <c r="Q148" s="22" t="n"/>
      <c r="R148" s="22" t="n"/>
      <c r="S148" s="22" t="n"/>
      <c r="T148" s="22" t="n"/>
      <c r="U148" s="22" t="n"/>
      <c r="V148" s="22" t="n"/>
      <c r="W148" s="22" t="n"/>
      <c r="X148" s="22" t="n"/>
    </row>
    <row r="149">
      <c r="A149" s="324" t="n"/>
      <c r="B149" s="22" t="n"/>
      <c r="C149" s="22" t="n"/>
      <c r="D149" s="22" t="n"/>
      <c r="E149" s="22" t="n"/>
      <c r="F149" s="22" t="n"/>
      <c r="G149" s="22" t="n"/>
      <c r="H149" s="22" t="n"/>
      <c r="I149" s="22" t="n"/>
      <c r="J149" s="22" t="n"/>
      <c r="K149" s="22" t="n"/>
      <c r="L149" s="22" t="n"/>
      <c r="M149" s="22" t="n"/>
      <c r="N149" s="22" t="n"/>
      <c r="O149" s="22" t="n"/>
      <c r="P149" s="22" t="n"/>
      <c r="Q149" s="22" t="n"/>
      <c r="R149" s="22" t="n"/>
      <c r="S149" s="22" t="n"/>
      <c r="T149" s="22" t="n"/>
      <c r="U149" s="22" t="n"/>
      <c r="V149" s="22" t="n"/>
      <c r="W149" s="22" t="n"/>
      <c r="X149" s="22" t="n"/>
    </row>
    <row r="150">
      <c r="A150" s="324" t="n"/>
      <c r="B150" s="22" t="n"/>
      <c r="C150" s="22" t="n"/>
      <c r="D150" s="22" t="n"/>
      <c r="E150" s="22" t="n"/>
      <c r="F150" s="22" t="n"/>
      <c r="G150" s="22" t="n"/>
      <c r="H150" s="22" t="n"/>
      <c r="I150" s="22" t="n"/>
      <c r="J150" s="22" t="n"/>
      <c r="K150" s="22" t="n"/>
      <c r="L150" s="22" t="n"/>
      <c r="M150" s="22" t="n"/>
      <c r="N150" s="22" t="n"/>
      <c r="O150" s="22" t="n"/>
      <c r="P150" s="22" t="n"/>
      <c r="Q150" s="22" t="n"/>
      <c r="R150" s="22" t="n"/>
      <c r="S150" s="22" t="n"/>
      <c r="T150" s="22" t="n"/>
      <c r="U150" s="22" t="n"/>
      <c r="V150" s="22" t="n"/>
      <c r="W150" s="22" t="n"/>
      <c r="X150" s="22" t="n"/>
    </row>
    <row r="151">
      <c r="A151" s="324" t="n"/>
      <c r="B151" s="22" t="n"/>
      <c r="C151" s="22" t="n"/>
      <c r="D151" s="22" t="n"/>
      <c r="E151" s="22" t="n"/>
      <c r="F151" s="22" t="n"/>
      <c r="G151" s="22" t="n"/>
      <c r="H151" s="22" t="n"/>
      <c r="I151" s="22" t="n"/>
      <c r="J151" s="22" t="n"/>
      <c r="K151" s="22" t="n"/>
      <c r="L151" s="22" t="n"/>
      <c r="M151" s="22" t="n"/>
      <c r="N151" s="22" t="n"/>
      <c r="O151" s="22" t="n"/>
      <c r="P151" s="22" t="n"/>
      <c r="Q151" s="22" t="n"/>
      <c r="R151" s="22" t="n"/>
      <c r="S151" s="22" t="n"/>
      <c r="T151" s="22" t="n"/>
      <c r="U151" s="22" t="n"/>
      <c r="V151" s="22" t="n"/>
      <c r="W151" s="22" t="n"/>
      <c r="X151" s="22" t="n"/>
    </row>
    <row r="152">
      <c r="A152" s="324" t="n"/>
      <c r="B152" s="22" t="n"/>
      <c r="C152" s="22" t="n"/>
      <c r="D152" s="22" t="n"/>
      <c r="E152" s="22" t="n"/>
      <c r="F152" s="22" t="n"/>
      <c r="G152" s="22" t="n"/>
      <c r="H152" s="22" t="n"/>
      <c r="I152" s="22" t="n"/>
      <c r="J152" s="22" t="n"/>
      <c r="K152" s="22" t="n"/>
      <c r="L152" s="22" t="n"/>
      <c r="M152" s="22" t="n"/>
      <c r="N152" s="22" t="n"/>
      <c r="O152" s="22" t="n"/>
      <c r="P152" s="22" t="n"/>
      <c r="Q152" s="22" t="n"/>
      <c r="R152" s="22" t="n"/>
      <c r="S152" s="22" t="n"/>
      <c r="T152" s="22" t="n"/>
      <c r="U152" s="22" t="n"/>
      <c r="V152" s="22" t="n"/>
      <c r="W152" s="22" t="n"/>
      <c r="X152" s="22" t="n"/>
    </row>
    <row r="153">
      <c r="A153" s="324" t="n"/>
      <c r="B153" s="22" t="n"/>
      <c r="C153" s="22" t="n"/>
      <c r="D153" s="22" t="n"/>
      <c r="E153" s="22" t="n"/>
      <c r="F153" s="22" t="n"/>
      <c r="G153" s="22" t="n"/>
      <c r="H153" s="22" t="n"/>
      <c r="I153" s="22" t="n"/>
      <c r="J153" s="22" t="n"/>
      <c r="K153" s="22" t="n"/>
      <c r="L153" s="22" t="n"/>
      <c r="M153" s="22" t="n"/>
      <c r="N153" s="22" t="n"/>
      <c r="O153" s="22" t="n"/>
      <c r="P153" s="22" t="n"/>
      <c r="Q153" s="22" t="n"/>
      <c r="R153" s="22" t="n"/>
      <c r="S153" s="22" t="n"/>
      <c r="T153" s="22" t="n"/>
      <c r="U153" s="22" t="n"/>
      <c r="V153" s="22" t="n"/>
      <c r="W153" s="22" t="n"/>
      <c r="X153" s="22" t="n"/>
    </row>
    <row r="154">
      <c r="A154" s="324" t="n"/>
      <c r="B154" s="22" t="n"/>
      <c r="C154" s="22" t="n"/>
      <c r="D154" s="22" t="n"/>
      <c r="E154" s="22" t="n"/>
      <c r="F154" s="22" t="n"/>
      <c r="G154" s="22" t="n"/>
      <c r="H154" s="22" t="n"/>
      <c r="I154" s="22" t="n"/>
      <c r="J154" s="22" t="n"/>
      <c r="K154" s="22" t="n"/>
      <c r="L154" s="22" t="n"/>
      <c r="M154" s="22" t="n"/>
      <c r="N154" s="22" t="n"/>
      <c r="O154" s="22" t="n"/>
      <c r="P154" s="22" t="n"/>
      <c r="Q154" s="22" t="n"/>
      <c r="R154" s="22" t="n"/>
      <c r="S154" s="22" t="n"/>
      <c r="T154" s="22" t="n"/>
      <c r="U154" s="22" t="n"/>
      <c r="V154" s="22" t="n"/>
      <c r="W154" s="22" t="n"/>
      <c r="X154" s="22" t="n"/>
    </row>
    <row r="155">
      <c r="A155" s="324" t="n"/>
      <c r="B155" s="22" t="n"/>
      <c r="C155" s="22" t="n"/>
      <c r="D155" s="22" t="n"/>
      <c r="E155" s="22" t="n"/>
      <c r="F155" s="22" t="n"/>
      <c r="G155" s="22" t="n"/>
      <c r="H155" s="22" t="n"/>
      <c r="I155" s="22" t="n"/>
      <c r="J155" s="22" t="n"/>
      <c r="K155" s="22" t="n"/>
      <c r="L155" s="22" t="n"/>
      <c r="M155" s="22" t="n"/>
      <c r="N155" s="22" t="n"/>
      <c r="O155" s="22" t="n"/>
      <c r="P155" s="22" t="n"/>
      <c r="Q155" s="22" t="n"/>
      <c r="R155" s="22" t="n"/>
      <c r="S155" s="22" t="n"/>
      <c r="T155" s="22" t="n"/>
      <c r="U155" s="22" t="n"/>
      <c r="V155" s="22" t="n"/>
      <c r="W155" s="22" t="n"/>
      <c r="X155" s="22" t="n"/>
    </row>
    <row r="156">
      <c r="A156" s="324" t="n"/>
      <c r="B156" s="22" t="n"/>
      <c r="C156" s="22" t="n"/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2" t="n"/>
      <c r="R156" s="22" t="n"/>
      <c r="S156" s="22" t="n"/>
      <c r="T156" s="22" t="n"/>
      <c r="U156" s="22" t="n"/>
      <c r="V156" s="22" t="n"/>
      <c r="W156" s="22" t="n"/>
      <c r="X156" s="22" t="n"/>
    </row>
    <row r="157">
      <c r="A157" s="324" t="n"/>
      <c r="B157" s="22" t="n"/>
      <c r="C157" s="22" t="n"/>
      <c r="D157" s="22" t="n"/>
      <c r="E157" s="22" t="n"/>
      <c r="F157" s="22" t="n"/>
      <c r="G157" s="22" t="n"/>
      <c r="H157" s="22" t="n"/>
      <c r="I157" s="22" t="n"/>
      <c r="J157" s="22" t="n"/>
      <c r="K157" s="22" t="n"/>
      <c r="L157" s="22" t="n"/>
      <c r="M157" s="22" t="n"/>
      <c r="N157" s="22" t="n"/>
      <c r="O157" s="22" t="n"/>
      <c r="P157" s="22" t="n"/>
      <c r="Q157" s="22" t="n"/>
      <c r="R157" s="22" t="n"/>
      <c r="S157" s="22" t="n"/>
      <c r="T157" s="22" t="n"/>
      <c r="U157" s="22" t="n"/>
      <c r="V157" s="22" t="n"/>
      <c r="W157" s="22" t="n"/>
      <c r="X157" s="22" t="n"/>
    </row>
    <row r="158">
      <c r="A158" s="324" t="n"/>
      <c r="B158" s="22" t="n"/>
      <c r="C158" s="22" t="n"/>
      <c r="D158" s="22" t="n"/>
      <c r="E158" s="22" t="n"/>
      <c r="F158" s="22" t="n"/>
      <c r="G158" s="22" t="n"/>
      <c r="H158" s="22" t="n"/>
      <c r="I158" s="22" t="n"/>
      <c r="J158" s="22" t="n"/>
      <c r="K158" s="22" t="n"/>
      <c r="L158" s="22" t="n"/>
      <c r="M158" s="22" t="n"/>
      <c r="N158" s="22" t="n"/>
      <c r="O158" s="22" t="n"/>
      <c r="P158" s="22" t="n"/>
      <c r="Q158" s="22" t="n"/>
      <c r="R158" s="22" t="n"/>
      <c r="S158" s="22" t="n"/>
      <c r="T158" s="22" t="n"/>
      <c r="U158" s="22" t="n"/>
      <c r="V158" s="22" t="n"/>
      <c r="W158" s="22" t="n"/>
      <c r="X158" s="22" t="n"/>
    </row>
    <row r="159">
      <c r="A159" s="324" t="n"/>
      <c r="B159" s="22" t="n"/>
      <c r="C159" s="22" t="n"/>
      <c r="D159" s="22" t="n"/>
      <c r="E159" s="22" t="n"/>
      <c r="F159" s="22" t="n"/>
      <c r="G159" s="22" t="n"/>
      <c r="H159" s="22" t="n"/>
      <c r="I159" s="22" t="n"/>
      <c r="J159" s="22" t="n"/>
      <c r="K159" s="22" t="n"/>
      <c r="L159" s="22" t="n"/>
      <c r="M159" s="22" t="n"/>
      <c r="N159" s="22" t="n"/>
      <c r="O159" s="22" t="n"/>
      <c r="P159" s="22" t="n"/>
      <c r="Q159" s="22" t="n"/>
      <c r="R159" s="22" t="n"/>
      <c r="S159" s="22" t="n"/>
      <c r="T159" s="22" t="n"/>
      <c r="U159" s="22" t="n"/>
      <c r="V159" s="22" t="n"/>
      <c r="W159" s="22" t="n"/>
      <c r="X159" s="22" t="n"/>
    </row>
    <row r="160">
      <c r="A160" s="324" t="n"/>
      <c r="B160" s="22" t="n"/>
      <c r="C160" s="22" t="n"/>
      <c r="D160" s="22" t="n"/>
      <c r="E160" s="22" t="n"/>
      <c r="F160" s="22" t="n"/>
      <c r="G160" s="22" t="n"/>
      <c r="H160" s="22" t="n"/>
      <c r="I160" s="22" t="n"/>
      <c r="J160" s="22" t="n"/>
      <c r="K160" s="22" t="n"/>
      <c r="L160" s="22" t="n"/>
      <c r="M160" s="22" t="n"/>
      <c r="N160" s="22" t="n"/>
      <c r="O160" s="22" t="n"/>
      <c r="P160" s="22" t="n"/>
      <c r="Q160" s="22" t="n"/>
      <c r="R160" s="22" t="n"/>
      <c r="S160" s="22" t="n"/>
      <c r="T160" s="22" t="n"/>
      <c r="U160" s="22" t="n"/>
      <c r="V160" s="22" t="n"/>
      <c r="W160" s="22" t="n"/>
      <c r="X160" s="22" t="n"/>
    </row>
    <row r="161">
      <c r="A161" s="324" t="n"/>
      <c r="B161" s="22" t="n"/>
      <c r="C161" s="22" t="n"/>
      <c r="D161" s="22" t="n"/>
      <c r="E161" s="22" t="n"/>
      <c r="F161" s="22" t="n"/>
      <c r="G161" s="22" t="n"/>
      <c r="H161" s="22" t="n"/>
      <c r="I161" s="22" t="n"/>
      <c r="J161" s="22" t="n"/>
      <c r="K161" s="22" t="n"/>
      <c r="L161" s="22" t="n"/>
      <c r="M161" s="22" t="n"/>
      <c r="N161" s="22" t="n"/>
      <c r="O161" s="22" t="n"/>
      <c r="P161" s="22" t="n"/>
      <c r="Q161" s="22" t="n"/>
      <c r="R161" s="22" t="n"/>
      <c r="S161" s="22" t="n"/>
      <c r="T161" s="22" t="n"/>
      <c r="U161" s="22" t="n"/>
      <c r="V161" s="22" t="n"/>
      <c r="W161" s="22" t="n"/>
      <c r="X161" s="22" t="n"/>
    </row>
    <row r="162">
      <c r="A162" s="324" t="n"/>
      <c r="B162" s="22" t="n"/>
      <c r="C162" s="22" t="n"/>
      <c r="D162" s="22" t="n"/>
      <c r="E162" s="22" t="n"/>
      <c r="F162" s="22" t="n"/>
      <c r="G162" s="22" t="n"/>
      <c r="H162" s="22" t="n"/>
      <c r="I162" s="22" t="n"/>
      <c r="J162" s="22" t="n"/>
      <c r="K162" s="22" t="n"/>
      <c r="L162" s="22" t="n"/>
      <c r="M162" s="22" t="n"/>
      <c r="N162" s="22" t="n"/>
      <c r="O162" s="22" t="n"/>
      <c r="P162" s="22" t="n"/>
      <c r="Q162" s="22" t="n"/>
      <c r="R162" s="22" t="n"/>
      <c r="S162" s="22" t="n"/>
      <c r="T162" s="22" t="n"/>
      <c r="U162" s="22" t="n"/>
      <c r="V162" s="22" t="n"/>
      <c r="W162" s="22" t="n"/>
      <c r="X162" s="22" t="n"/>
    </row>
    <row r="163">
      <c r="A163" s="324" t="n"/>
      <c r="B163" s="22" t="n"/>
      <c r="C163" s="22" t="n"/>
      <c r="D163" s="22" t="n"/>
      <c r="E163" s="22" t="n"/>
      <c r="F163" s="22" t="n"/>
      <c r="G163" s="22" t="n"/>
      <c r="H163" s="22" t="n"/>
      <c r="I163" s="22" t="n"/>
      <c r="J163" s="22" t="n"/>
      <c r="K163" s="22" t="n"/>
      <c r="L163" s="22" t="n"/>
      <c r="M163" s="22" t="n"/>
      <c r="N163" s="22" t="n"/>
      <c r="O163" s="22" t="n"/>
      <c r="P163" s="22" t="n"/>
      <c r="Q163" s="22" t="n"/>
      <c r="R163" s="22" t="n"/>
      <c r="S163" s="22" t="n"/>
      <c r="T163" s="22" t="n"/>
      <c r="U163" s="22" t="n"/>
      <c r="V163" s="22" t="n"/>
      <c r="W163" s="22" t="n"/>
      <c r="X163" s="22" t="n"/>
    </row>
    <row r="164">
      <c r="A164" s="324" t="n"/>
      <c r="B164" s="22" t="n"/>
      <c r="C164" s="22" t="n"/>
      <c r="D164" s="22" t="n"/>
      <c r="E164" s="22" t="n"/>
      <c r="F164" s="22" t="n"/>
      <c r="G164" s="22" t="n"/>
      <c r="H164" s="22" t="n"/>
      <c r="I164" s="22" t="n"/>
      <c r="J164" s="22" t="n"/>
      <c r="K164" s="22" t="n"/>
      <c r="L164" s="22" t="n"/>
      <c r="M164" s="22" t="n"/>
      <c r="N164" s="22" t="n"/>
      <c r="O164" s="22" t="n"/>
      <c r="P164" s="22" t="n"/>
      <c r="Q164" s="22" t="n"/>
      <c r="R164" s="22" t="n"/>
      <c r="S164" s="22" t="n"/>
      <c r="T164" s="22" t="n"/>
      <c r="U164" s="22" t="n"/>
      <c r="V164" s="22" t="n"/>
      <c r="W164" s="22" t="n"/>
      <c r="X164" s="22" t="n"/>
    </row>
    <row r="165">
      <c r="A165" s="324" t="n"/>
      <c r="B165" s="22" t="n"/>
      <c r="C165" s="22" t="n"/>
      <c r="D165" s="22" t="n"/>
      <c r="E165" s="22" t="n"/>
      <c r="F165" s="22" t="n"/>
      <c r="G165" s="22" t="n"/>
      <c r="H165" s="22" t="n"/>
      <c r="I165" s="22" t="n"/>
      <c r="J165" s="22" t="n"/>
      <c r="K165" s="22" t="n"/>
      <c r="L165" s="22" t="n"/>
      <c r="M165" s="22" t="n"/>
      <c r="N165" s="22" t="n"/>
      <c r="O165" s="22" t="n"/>
      <c r="P165" s="22" t="n"/>
      <c r="Q165" s="22" t="n"/>
      <c r="R165" s="22" t="n"/>
      <c r="S165" s="22" t="n"/>
      <c r="T165" s="22" t="n"/>
      <c r="U165" s="22" t="n"/>
      <c r="V165" s="22" t="n"/>
      <c r="W165" s="22" t="n"/>
      <c r="X165" s="22" t="n"/>
    </row>
    <row r="166">
      <c r="A166" s="324" t="n"/>
      <c r="B166" s="22" t="n"/>
      <c r="C166" s="22" t="n"/>
      <c r="D166" s="22" t="n"/>
      <c r="E166" s="22" t="n"/>
      <c r="F166" s="22" t="n"/>
      <c r="G166" s="22" t="n"/>
      <c r="H166" s="22" t="n"/>
      <c r="I166" s="22" t="n"/>
      <c r="J166" s="22" t="n"/>
      <c r="K166" s="22" t="n"/>
      <c r="L166" s="22" t="n"/>
      <c r="M166" s="22" t="n"/>
      <c r="N166" s="22" t="n"/>
      <c r="O166" s="22" t="n"/>
      <c r="P166" s="22" t="n"/>
      <c r="Q166" s="22" t="n"/>
      <c r="R166" s="22" t="n"/>
      <c r="S166" s="22" t="n"/>
      <c r="T166" s="22" t="n"/>
      <c r="U166" s="22" t="n"/>
      <c r="V166" s="22" t="n"/>
      <c r="W166" s="22" t="n"/>
      <c r="X166" s="22" t="n"/>
    </row>
    <row r="167">
      <c r="A167" s="324" t="n"/>
      <c r="B167" s="22" t="n"/>
      <c r="C167" s="22" t="n"/>
      <c r="D167" s="22" t="n"/>
      <c r="E167" s="22" t="n"/>
      <c r="F167" s="22" t="n"/>
      <c r="G167" s="22" t="n"/>
      <c r="H167" s="22" t="n"/>
      <c r="I167" s="22" t="n"/>
      <c r="J167" s="22" t="n"/>
      <c r="K167" s="22" t="n"/>
      <c r="L167" s="22" t="n"/>
      <c r="M167" s="22" t="n"/>
      <c r="N167" s="22" t="n"/>
      <c r="O167" s="22" t="n"/>
      <c r="P167" s="22" t="n"/>
      <c r="Q167" s="22" t="n"/>
      <c r="R167" s="22" t="n"/>
      <c r="S167" s="22" t="n"/>
      <c r="T167" s="22" t="n"/>
      <c r="U167" s="22" t="n"/>
      <c r="V167" s="22" t="n"/>
      <c r="W167" s="22" t="n"/>
      <c r="X167" s="22" t="n"/>
    </row>
    <row r="168">
      <c r="A168" s="324" t="n"/>
      <c r="B168" s="22" t="n"/>
      <c r="C168" s="22" t="n"/>
      <c r="D168" s="22" t="n"/>
      <c r="E168" s="22" t="n"/>
      <c r="F168" s="22" t="n"/>
      <c r="G168" s="22" t="n"/>
      <c r="H168" s="22" t="n"/>
      <c r="I168" s="22" t="n"/>
      <c r="J168" s="22" t="n"/>
      <c r="K168" s="22" t="n"/>
      <c r="L168" s="22" t="n"/>
      <c r="M168" s="22" t="n"/>
      <c r="N168" s="22" t="n"/>
      <c r="O168" s="22" t="n"/>
      <c r="P168" s="22" t="n"/>
      <c r="Q168" s="22" t="n"/>
      <c r="R168" s="22" t="n"/>
      <c r="S168" s="22" t="n"/>
      <c r="T168" s="22" t="n"/>
      <c r="U168" s="22" t="n"/>
      <c r="V168" s="22" t="n"/>
      <c r="W168" s="22" t="n"/>
      <c r="X168" s="22" t="n"/>
    </row>
    <row r="169">
      <c r="A169" s="324" t="n"/>
      <c r="B169" s="22" t="n"/>
      <c r="C169" s="22" t="n"/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2" t="n"/>
      <c r="R169" s="22" t="n"/>
      <c r="S169" s="22" t="n"/>
      <c r="T169" s="22" t="n"/>
      <c r="U169" s="22" t="n"/>
      <c r="V169" s="22" t="n"/>
      <c r="W169" s="22" t="n"/>
      <c r="X169" s="22" t="n"/>
    </row>
    <row r="170">
      <c r="A170" s="324" t="n"/>
      <c r="B170" s="22" t="n"/>
      <c r="C170" s="22" t="n"/>
      <c r="D170" s="22" t="n"/>
      <c r="E170" s="22" t="n"/>
      <c r="F170" s="22" t="n"/>
      <c r="G170" s="22" t="n"/>
      <c r="H170" s="22" t="n"/>
      <c r="I170" s="22" t="n"/>
      <c r="J170" s="22" t="n"/>
      <c r="K170" s="22" t="n"/>
      <c r="L170" s="22" t="n"/>
      <c r="M170" s="22" t="n"/>
      <c r="N170" s="22" t="n"/>
      <c r="O170" s="22" t="n"/>
      <c r="P170" s="22" t="n"/>
      <c r="Q170" s="22" t="n"/>
      <c r="R170" s="22" t="n"/>
      <c r="S170" s="22" t="n"/>
      <c r="T170" s="22" t="n"/>
      <c r="U170" s="22" t="n"/>
      <c r="V170" s="22" t="n"/>
      <c r="W170" s="22" t="n"/>
      <c r="X170" s="22" t="n"/>
    </row>
    <row r="171">
      <c r="A171" s="324" t="n"/>
      <c r="B171" s="22" t="n"/>
      <c r="C171" s="22" t="n"/>
      <c r="D171" s="22" t="n"/>
      <c r="E171" s="22" t="n"/>
      <c r="F171" s="22" t="n"/>
      <c r="G171" s="22" t="n"/>
      <c r="H171" s="22" t="n"/>
      <c r="I171" s="22" t="n"/>
      <c r="J171" s="22" t="n"/>
      <c r="K171" s="22" t="n"/>
      <c r="L171" s="22" t="n"/>
      <c r="M171" s="22" t="n"/>
      <c r="N171" s="22" t="n"/>
      <c r="O171" s="22" t="n"/>
      <c r="P171" s="22" t="n"/>
      <c r="Q171" s="22" t="n"/>
      <c r="R171" s="22" t="n"/>
      <c r="S171" s="22" t="n"/>
      <c r="T171" s="22" t="n"/>
      <c r="U171" s="22" t="n"/>
      <c r="V171" s="22" t="n"/>
      <c r="W171" s="22" t="n"/>
      <c r="X171" s="22" t="n"/>
    </row>
    <row r="172">
      <c r="A172" s="324" t="n"/>
      <c r="B172" s="22" t="n"/>
      <c r="C172" s="22" t="n"/>
      <c r="D172" s="22" t="n"/>
      <c r="E172" s="22" t="n"/>
      <c r="F172" s="22" t="n"/>
      <c r="G172" s="22" t="n"/>
      <c r="H172" s="22" t="n"/>
      <c r="I172" s="22" t="n"/>
      <c r="J172" s="22" t="n"/>
      <c r="K172" s="22" t="n"/>
      <c r="L172" s="22" t="n"/>
      <c r="M172" s="22" t="n"/>
      <c r="N172" s="22" t="n"/>
      <c r="O172" s="22" t="n"/>
      <c r="P172" s="22" t="n"/>
      <c r="Q172" s="22" t="n"/>
      <c r="R172" s="22" t="n"/>
      <c r="S172" s="22" t="n"/>
      <c r="T172" s="22" t="n"/>
      <c r="U172" s="22" t="n"/>
      <c r="V172" s="22" t="n"/>
      <c r="W172" s="22" t="n"/>
      <c r="X172" s="22" t="n"/>
    </row>
    <row r="173">
      <c r="A173" s="324" t="n"/>
      <c r="B173" s="22" t="n"/>
      <c r="C173" s="22" t="n"/>
      <c r="D173" s="22" t="n"/>
      <c r="E173" s="22" t="n"/>
      <c r="F173" s="22" t="n"/>
      <c r="G173" s="22" t="n"/>
      <c r="H173" s="22" t="n"/>
      <c r="I173" s="22" t="n"/>
      <c r="J173" s="22" t="n"/>
      <c r="K173" s="22" t="n"/>
      <c r="L173" s="22" t="n"/>
      <c r="M173" s="22" t="n"/>
      <c r="N173" s="22" t="n"/>
      <c r="O173" s="22" t="n"/>
      <c r="P173" s="22" t="n"/>
      <c r="Q173" s="22" t="n"/>
      <c r="R173" s="22" t="n"/>
      <c r="S173" s="22" t="n"/>
      <c r="T173" s="22" t="n"/>
      <c r="U173" s="22" t="n"/>
      <c r="V173" s="22" t="n"/>
      <c r="W173" s="22" t="n"/>
      <c r="X173" s="22" t="n"/>
    </row>
    <row r="174">
      <c r="A174" s="324" t="n"/>
      <c r="B174" s="22" t="n"/>
      <c r="C174" s="22" t="n"/>
      <c r="D174" s="22" t="n"/>
      <c r="E174" s="22" t="n"/>
      <c r="F174" s="22" t="n"/>
      <c r="G174" s="22" t="n"/>
      <c r="H174" s="22" t="n"/>
      <c r="I174" s="22" t="n"/>
      <c r="J174" s="22" t="n"/>
      <c r="K174" s="22" t="n"/>
      <c r="L174" s="22" t="n"/>
      <c r="M174" s="22" t="n"/>
      <c r="N174" s="22" t="n"/>
      <c r="O174" s="22" t="n"/>
      <c r="P174" s="22" t="n"/>
      <c r="Q174" s="22" t="n"/>
      <c r="R174" s="22" t="n"/>
      <c r="S174" s="22" t="n"/>
      <c r="T174" s="22" t="n"/>
      <c r="U174" s="22" t="n"/>
      <c r="V174" s="22" t="n"/>
      <c r="W174" s="22" t="n"/>
      <c r="X174" s="22" t="n"/>
    </row>
    <row r="175">
      <c r="A175" s="324" t="n"/>
      <c r="B175" s="22" t="n"/>
      <c r="C175" s="22" t="n"/>
      <c r="D175" s="22" t="n"/>
      <c r="E175" s="22" t="n"/>
      <c r="F175" s="22" t="n"/>
      <c r="G175" s="22" t="n"/>
      <c r="H175" s="22" t="n"/>
      <c r="I175" s="22" t="n"/>
      <c r="J175" s="22" t="n"/>
      <c r="K175" s="22" t="n"/>
      <c r="L175" s="22" t="n"/>
      <c r="M175" s="22" t="n"/>
      <c r="N175" s="22" t="n"/>
      <c r="O175" s="22" t="n"/>
      <c r="P175" s="22" t="n"/>
      <c r="Q175" s="22" t="n"/>
      <c r="R175" s="22" t="n"/>
      <c r="S175" s="22" t="n"/>
      <c r="T175" s="22" t="n"/>
      <c r="U175" s="22" t="n"/>
      <c r="V175" s="22" t="n"/>
      <c r="W175" s="22" t="n"/>
      <c r="X175" s="22" t="n"/>
    </row>
    <row r="176">
      <c r="A176" s="324" t="n"/>
      <c r="B176" s="22" t="n"/>
      <c r="C176" s="22" t="n"/>
      <c r="D176" s="22" t="n"/>
      <c r="E176" s="22" t="n"/>
      <c r="F176" s="22" t="n"/>
      <c r="G176" s="22" t="n"/>
      <c r="H176" s="22" t="n"/>
      <c r="I176" s="22" t="n"/>
      <c r="J176" s="22" t="n"/>
      <c r="K176" s="22" t="n"/>
      <c r="L176" s="22" t="n"/>
      <c r="M176" s="22" t="n"/>
      <c r="N176" s="22" t="n"/>
      <c r="O176" s="22" t="n"/>
      <c r="P176" s="22" t="n"/>
      <c r="Q176" s="22" t="n"/>
      <c r="R176" s="22" t="n"/>
      <c r="S176" s="22" t="n"/>
      <c r="T176" s="22" t="n"/>
      <c r="U176" s="22" t="n"/>
      <c r="V176" s="22" t="n"/>
      <c r="W176" s="22" t="n"/>
      <c r="X176" s="22" t="n"/>
    </row>
    <row r="177">
      <c r="A177" s="324" t="n"/>
      <c r="B177" s="22" t="n"/>
      <c r="C177" s="22" t="n"/>
      <c r="D177" s="22" t="n"/>
      <c r="E177" s="22" t="n"/>
      <c r="F177" s="22" t="n"/>
      <c r="G177" s="22" t="n"/>
      <c r="H177" s="22" t="n"/>
      <c r="I177" s="22" t="n"/>
      <c r="J177" s="22" t="n"/>
      <c r="K177" s="22" t="n"/>
      <c r="L177" s="22" t="n"/>
      <c r="M177" s="22" t="n"/>
      <c r="N177" s="22" t="n"/>
      <c r="O177" s="22" t="n"/>
      <c r="P177" s="22" t="n"/>
      <c r="Q177" s="22" t="n"/>
      <c r="R177" s="22" t="n"/>
      <c r="S177" s="22" t="n"/>
      <c r="T177" s="22" t="n"/>
      <c r="U177" s="22" t="n"/>
      <c r="V177" s="22" t="n"/>
      <c r="W177" s="22" t="n"/>
      <c r="X177" s="22" t="n"/>
    </row>
    <row r="178">
      <c r="A178" s="324" t="n"/>
      <c r="B178" s="22" t="n"/>
      <c r="C178" s="22" t="n"/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2" t="n"/>
      <c r="R178" s="22" t="n"/>
      <c r="S178" s="22" t="n"/>
      <c r="T178" s="22" t="n"/>
      <c r="U178" s="22" t="n"/>
      <c r="V178" s="22" t="n"/>
      <c r="W178" s="22" t="n"/>
      <c r="X178" s="22" t="n"/>
    </row>
    <row r="179">
      <c r="A179" s="324" t="n"/>
      <c r="B179" s="22" t="n"/>
      <c r="C179" s="22" t="n"/>
      <c r="D179" s="22" t="n"/>
      <c r="E179" s="22" t="n"/>
      <c r="F179" s="22" t="n"/>
      <c r="G179" s="22" t="n"/>
      <c r="H179" s="22" t="n"/>
      <c r="I179" s="22" t="n"/>
      <c r="J179" s="22" t="n"/>
      <c r="K179" s="22" t="n"/>
      <c r="L179" s="22" t="n"/>
      <c r="M179" s="22" t="n"/>
      <c r="N179" s="22" t="n"/>
      <c r="O179" s="22" t="n"/>
      <c r="P179" s="22" t="n"/>
      <c r="Q179" s="22" t="n"/>
      <c r="R179" s="22" t="n"/>
      <c r="S179" s="22" t="n"/>
      <c r="T179" s="22" t="n"/>
      <c r="U179" s="22" t="n"/>
      <c r="V179" s="22" t="n"/>
      <c r="W179" s="22" t="n"/>
      <c r="X179" s="22" t="n"/>
    </row>
    <row r="180">
      <c r="A180" s="324" t="n"/>
      <c r="B180" s="22" t="n"/>
      <c r="C180" s="22" t="n"/>
      <c r="D180" s="22" t="n"/>
      <c r="E180" s="22" t="n"/>
      <c r="F180" s="22" t="n"/>
      <c r="G180" s="22" t="n"/>
      <c r="H180" s="22" t="n"/>
      <c r="I180" s="22" t="n"/>
      <c r="J180" s="22" t="n"/>
      <c r="K180" s="22" t="n"/>
      <c r="L180" s="22" t="n"/>
      <c r="M180" s="22" t="n"/>
      <c r="N180" s="22" t="n"/>
      <c r="O180" s="22" t="n"/>
      <c r="P180" s="22" t="n"/>
      <c r="Q180" s="22" t="n"/>
      <c r="R180" s="22" t="n"/>
      <c r="S180" s="22" t="n"/>
      <c r="T180" s="22" t="n"/>
      <c r="U180" s="22" t="n"/>
      <c r="V180" s="22" t="n"/>
      <c r="W180" s="22" t="n"/>
      <c r="X180" s="22" t="n"/>
    </row>
    <row r="181">
      <c r="A181" s="324" t="n"/>
      <c r="B181" s="22" t="n"/>
      <c r="C181" s="22" t="n"/>
      <c r="D181" s="22" t="n"/>
      <c r="E181" s="22" t="n"/>
      <c r="F181" s="22" t="n"/>
      <c r="G181" s="22" t="n"/>
      <c r="H181" s="22" t="n"/>
      <c r="I181" s="22" t="n"/>
      <c r="J181" s="22" t="n"/>
      <c r="K181" s="22" t="n"/>
      <c r="L181" s="22" t="n"/>
      <c r="M181" s="22" t="n"/>
      <c r="N181" s="22" t="n"/>
      <c r="O181" s="22" t="n"/>
      <c r="P181" s="22" t="n"/>
      <c r="Q181" s="22" t="n"/>
      <c r="R181" s="22" t="n"/>
      <c r="S181" s="22" t="n"/>
      <c r="T181" s="22" t="n"/>
      <c r="U181" s="22" t="n"/>
      <c r="V181" s="22" t="n"/>
      <c r="W181" s="22" t="n"/>
      <c r="X181" s="22" t="n"/>
    </row>
    <row r="182">
      <c r="A182" s="324" t="n"/>
      <c r="B182" s="22" t="n"/>
      <c r="C182" s="22" t="n"/>
      <c r="D182" s="22" t="n"/>
      <c r="E182" s="22" t="n"/>
      <c r="F182" s="22" t="n"/>
      <c r="G182" s="22" t="n"/>
      <c r="H182" s="22" t="n"/>
      <c r="I182" s="22" t="n"/>
      <c r="J182" s="22" t="n"/>
      <c r="K182" s="22" t="n"/>
      <c r="L182" s="22" t="n"/>
      <c r="M182" s="22" t="n"/>
      <c r="N182" s="22" t="n"/>
      <c r="O182" s="22" t="n"/>
      <c r="P182" s="22" t="n"/>
      <c r="Q182" s="22" t="n"/>
      <c r="R182" s="22" t="n"/>
      <c r="S182" s="22" t="n"/>
      <c r="T182" s="22" t="n"/>
      <c r="U182" s="22" t="n"/>
      <c r="V182" s="22" t="n"/>
      <c r="W182" s="22" t="n"/>
      <c r="X182" s="22" t="n"/>
    </row>
    <row r="183">
      <c r="A183" s="324" t="n"/>
      <c r="B183" s="22" t="n"/>
      <c r="C183" s="22" t="n"/>
      <c r="D183" s="22" t="n"/>
      <c r="E183" s="22" t="n"/>
      <c r="F183" s="22" t="n"/>
      <c r="G183" s="22" t="n"/>
      <c r="H183" s="22" t="n"/>
      <c r="I183" s="22" t="n"/>
      <c r="J183" s="22" t="n"/>
      <c r="K183" s="22" t="n"/>
      <c r="L183" s="22" t="n"/>
      <c r="M183" s="22" t="n"/>
      <c r="N183" s="22" t="n"/>
      <c r="O183" s="22" t="n"/>
      <c r="P183" s="22" t="n"/>
      <c r="Q183" s="22" t="n"/>
      <c r="R183" s="22" t="n"/>
      <c r="S183" s="22" t="n"/>
      <c r="T183" s="22" t="n"/>
      <c r="U183" s="22" t="n"/>
      <c r="V183" s="22" t="n"/>
      <c r="W183" s="22" t="n"/>
      <c r="X183" s="22" t="n"/>
    </row>
    <row r="184">
      <c r="A184" s="324" t="n"/>
      <c r="B184" s="22" t="n"/>
      <c r="C184" s="22" t="n"/>
      <c r="D184" s="22" t="n"/>
      <c r="E184" s="22" t="n"/>
      <c r="F184" s="22" t="n"/>
      <c r="G184" s="22" t="n"/>
      <c r="H184" s="22" t="n"/>
      <c r="I184" s="22" t="n"/>
      <c r="J184" s="22" t="n"/>
      <c r="K184" s="22" t="n"/>
      <c r="L184" s="22" t="n"/>
      <c r="M184" s="22" t="n"/>
      <c r="N184" s="22" t="n"/>
      <c r="O184" s="22" t="n"/>
      <c r="P184" s="22" t="n"/>
      <c r="Q184" s="22" t="n"/>
      <c r="R184" s="22" t="n"/>
      <c r="S184" s="22" t="n"/>
      <c r="T184" s="22" t="n"/>
      <c r="U184" s="22" t="n"/>
      <c r="V184" s="22" t="n"/>
      <c r="W184" s="22" t="n"/>
      <c r="X184" s="22" t="n"/>
    </row>
    <row r="185">
      <c r="A185" s="324" t="n"/>
      <c r="B185" s="22" t="n"/>
      <c r="C185" s="22" t="n"/>
      <c r="D185" s="22" t="n"/>
      <c r="E185" s="22" t="n"/>
      <c r="F185" s="22" t="n"/>
      <c r="G185" s="22" t="n"/>
      <c r="H185" s="22" t="n"/>
      <c r="I185" s="22" t="n"/>
      <c r="J185" s="22" t="n"/>
      <c r="K185" s="22" t="n"/>
      <c r="L185" s="22" t="n"/>
      <c r="M185" s="22" t="n"/>
      <c r="N185" s="22" t="n"/>
      <c r="O185" s="22" t="n"/>
      <c r="P185" s="22" t="n"/>
      <c r="Q185" s="22" t="n"/>
      <c r="R185" s="22" t="n"/>
      <c r="S185" s="22" t="n"/>
      <c r="T185" s="22" t="n"/>
      <c r="U185" s="22" t="n"/>
      <c r="V185" s="22" t="n"/>
      <c r="W185" s="22" t="n"/>
      <c r="X185" s="22" t="n"/>
    </row>
    <row r="186">
      <c r="A186" s="324" t="n"/>
      <c r="B186" s="22" t="n"/>
      <c r="C186" s="22" t="n"/>
      <c r="D186" s="22" t="n"/>
      <c r="E186" s="22" t="n"/>
      <c r="F186" s="22" t="n"/>
      <c r="G186" s="22" t="n"/>
      <c r="H186" s="22" t="n"/>
      <c r="I186" s="22" t="n"/>
      <c r="J186" s="22" t="n"/>
      <c r="K186" s="22" t="n"/>
      <c r="L186" s="22" t="n"/>
      <c r="M186" s="22" t="n"/>
      <c r="N186" s="22" t="n"/>
      <c r="O186" s="22" t="n"/>
      <c r="P186" s="22" t="n"/>
      <c r="Q186" s="22" t="n"/>
      <c r="R186" s="22" t="n"/>
      <c r="S186" s="22" t="n"/>
      <c r="T186" s="22" t="n"/>
      <c r="U186" s="22" t="n"/>
      <c r="V186" s="22" t="n"/>
      <c r="W186" s="22" t="n"/>
      <c r="X186" s="22" t="n"/>
    </row>
    <row r="187">
      <c r="A187" s="324" t="n"/>
      <c r="B187" s="22" t="n"/>
      <c r="C187" s="22" t="n"/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2" t="n"/>
      <c r="R187" s="22" t="n"/>
      <c r="S187" s="22" t="n"/>
      <c r="T187" s="22" t="n"/>
      <c r="U187" s="22" t="n"/>
      <c r="V187" s="22" t="n"/>
      <c r="W187" s="22" t="n"/>
      <c r="X187" s="22" t="n"/>
    </row>
    <row r="188">
      <c r="A188" s="324" t="n"/>
      <c r="B188" s="22" t="n"/>
      <c r="C188" s="22" t="n"/>
      <c r="D188" s="22" t="n"/>
      <c r="E188" s="22" t="n"/>
      <c r="F188" s="22" t="n"/>
      <c r="G188" s="22" t="n"/>
      <c r="H188" s="22" t="n"/>
      <c r="I188" s="22" t="n"/>
      <c r="J188" s="22" t="n"/>
      <c r="K188" s="22" t="n"/>
      <c r="L188" s="22" t="n"/>
      <c r="M188" s="22" t="n"/>
      <c r="N188" s="22" t="n"/>
      <c r="O188" s="22" t="n"/>
      <c r="P188" s="22" t="n"/>
      <c r="Q188" s="22" t="n"/>
      <c r="R188" s="22" t="n"/>
      <c r="S188" s="22" t="n"/>
      <c r="T188" s="22" t="n"/>
      <c r="U188" s="22" t="n"/>
      <c r="V188" s="22" t="n"/>
      <c r="W188" s="22" t="n"/>
      <c r="X188" s="22" t="n"/>
    </row>
    <row r="189">
      <c r="A189" s="324" t="n"/>
      <c r="B189" s="22" t="n"/>
      <c r="C189" s="22" t="n"/>
      <c r="D189" s="22" t="n"/>
      <c r="E189" s="22" t="n"/>
      <c r="F189" s="22" t="n"/>
      <c r="G189" s="22" t="n"/>
      <c r="H189" s="22" t="n"/>
      <c r="I189" s="22" t="n"/>
      <c r="J189" s="22" t="n"/>
      <c r="K189" s="22" t="n"/>
      <c r="L189" s="22" t="n"/>
      <c r="M189" s="22" t="n"/>
      <c r="N189" s="22" t="n"/>
      <c r="O189" s="22" t="n"/>
      <c r="P189" s="22" t="n"/>
      <c r="Q189" s="22" t="n"/>
      <c r="R189" s="22" t="n"/>
      <c r="S189" s="22" t="n"/>
      <c r="T189" s="22" t="n"/>
      <c r="U189" s="22" t="n"/>
      <c r="V189" s="22" t="n"/>
      <c r="W189" s="22" t="n"/>
      <c r="X189" s="22" t="n"/>
    </row>
    <row r="190">
      <c r="A190" s="324" t="n"/>
      <c r="B190" s="22" t="n"/>
      <c r="C190" s="22" t="n"/>
      <c r="D190" s="22" t="n"/>
      <c r="E190" s="22" t="n"/>
      <c r="F190" s="22" t="n"/>
      <c r="G190" s="22" t="n"/>
      <c r="H190" s="22" t="n"/>
      <c r="I190" s="22" t="n"/>
      <c r="J190" s="22" t="n"/>
      <c r="K190" s="22" t="n"/>
      <c r="L190" s="22" t="n"/>
      <c r="M190" s="22" t="n"/>
      <c r="N190" s="22" t="n"/>
      <c r="O190" s="22" t="n"/>
      <c r="P190" s="22" t="n"/>
      <c r="Q190" s="22" t="n"/>
      <c r="R190" s="22" t="n"/>
      <c r="S190" s="22" t="n"/>
      <c r="T190" s="22" t="n"/>
      <c r="U190" s="22" t="n"/>
      <c r="V190" s="22" t="n"/>
      <c r="W190" s="22" t="n"/>
      <c r="X190" s="22" t="n"/>
    </row>
    <row r="191">
      <c r="A191" s="324" t="n"/>
      <c r="B191" s="22" t="n"/>
      <c r="C191" s="22" t="n"/>
      <c r="D191" s="22" t="n"/>
      <c r="E191" s="22" t="n"/>
      <c r="F191" s="22" t="n"/>
      <c r="G191" s="22" t="n"/>
      <c r="H191" s="22" t="n"/>
      <c r="I191" s="22" t="n"/>
      <c r="J191" s="22" t="n"/>
      <c r="K191" s="22" t="n"/>
      <c r="L191" s="22" t="n"/>
      <c r="M191" s="22" t="n"/>
      <c r="N191" s="22" t="n"/>
      <c r="O191" s="22" t="n"/>
      <c r="P191" s="22" t="n"/>
      <c r="Q191" s="22" t="n"/>
      <c r="R191" s="22" t="n"/>
      <c r="S191" s="22" t="n"/>
      <c r="T191" s="22" t="n"/>
      <c r="U191" s="22" t="n"/>
      <c r="V191" s="22" t="n"/>
      <c r="W191" s="22" t="n"/>
      <c r="X191" s="22" t="n"/>
    </row>
    <row r="192">
      <c r="A192" s="324" t="n"/>
      <c r="B192" s="22" t="n"/>
      <c r="C192" s="22" t="n"/>
      <c r="D192" s="22" t="n"/>
      <c r="E192" s="22" t="n"/>
      <c r="F192" s="22" t="n"/>
      <c r="G192" s="22" t="n"/>
      <c r="H192" s="22" t="n"/>
      <c r="I192" s="22" t="n"/>
      <c r="J192" s="22" t="n"/>
      <c r="K192" s="22" t="n"/>
      <c r="L192" s="22" t="n"/>
      <c r="M192" s="22" t="n"/>
      <c r="N192" s="22" t="n"/>
      <c r="O192" s="22" t="n"/>
      <c r="P192" s="22" t="n"/>
      <c r="Q192" s="22" t="n"/>
      <c r="R192" s="22" t="n"/>
      <c r="S192" s="22" t="n"/>
      <c r="T192" s="22" t="n"/>
      <c r="U192" s="22" t="n"/>
      <c r="V192" s="22" t="n"/>
      <c r="W192" s="22" t="n"/>
      <c r="X192" s="22" t="n"/>
    </row>
    <row r="193">
      <c r="A193" s="324" t="n"/>
      <c r="B193" s="22" t="n"/>
      <c r="C193" s="22" t="n"/>
      <c r="D193" s="22" t="n"/>
      <c r="E193" s="22" t="n"/>
      <c r="F193" s="22" t="n"/>
      <c r="G193" s="22" t="n"/>
      <c r="H193" s="22" t="n"/>
      <c r="I193" s="22" t="n"/>
      <c r="J193" s="22" t="n"/>
      <c r="K193" s="22" t="n"/>
      <c r="L193" s="22" t="n"/>
      <c r="M193" s="22" t="n"/>
      <c r="N193" s="22" t="n"/>
      <c r="O193" s="22" t="n"/>
      <c r="P193" s="22" t="n"/>
      <c r="Q193" s="22" t="n"/>
      <c r="R193" s="22" t="n"/>
      <c r="S193" s="22" t="n"/>
      <c r="T193" s="22" t="n"/>
      <c r="U193" s="22" t="n"/>
      <c r="V193" s="22" t="n"/>
      <c r="W193" s="22" t="n"/>
      <c r="X193" s="22" t="n"/>
    </row>
    <row r="194">
      <c r="A194" s="324" t="n"/>
      <c r="B194" s="22" t="n"/>
      <c r="C194" s="22" t="n"/>
      <c r="D194" s="22" t="n"/>
      <c r="E194" s="22" t="n"/>
      <c r="F194" s="22" t="n"/>
      <c r="G194" s="22" t="n"/>
      <c r="H194" s="22" t="n"/>
      <c r="I194" s="22" t="n"/>
      <c r="J194" s="22" t="n"/>
      <c r="K194" s="22" t="n"/>
      <c r="L194" s="22" t="n"/>
      <c r="M194" s="22" t="n"/>
      <c r="N194" s="22" t="n"/>
      <c r="O194" s="22" t="n"/>
      <c r="P194" s="22" t="n"/>
      <c r="Q194" s="22" t="n"/>
      <c r="R194" s="22" t="n"/>
      <c r="S194" s="22" t="n"/>
      <c r="T194" s="22" t="n"/>
      <c r="U194" s="22" t="n"/>
      <c r="V194" s="22" t="n"/>
      <c r="W194" s="22" t="n"/>
      <c r="X194" s="22" t="n"/>
    </row>
    <row r="195">
      <c r="A195" s="324" t="n"/>
      <c r="B195" s="22" t="n"/>
      <c r="C195" s="22" t="n"/>
      <c r="D195" s="22" t="n"/>
      <c r="E195" s="22" t="n"/>
      <c r="F195" s="22" t="n"/>
      <c r="G195" s="22" t="n"/>
      <c r="H195" s="22" t="n"/>
      <c r="I195" s="22" t="n"/>
      <c r="J195" s="22" t="n"/>
      <c r="K195" s="22" t="n"/>
      <c r="L195" s="22" t="n"/>
      <c r="M195" s="22" t="n"/>
      <c r="N195" s="22" t="n"/>
      <c r="O195" s="22" t="n"/>
      <c r="P195" s="22" t="n"/>
      <c r="Q195" s="22" t="n"/>
      <c r="R195" s="22" t="n"/>
      <c r="S195" s="22" t="n"/>
      <c r="T195" s="22" t="n"/>
      <c r="U195" s="22" t="n"/>
      <c r="V195" s="22" t="n"/>
      <c r="W195" s="22" t="n"/>
      <c r="X195" s="22" t="n"/>
    </row>
    <row r="196">
      <c r="A196" s="324" t="n"/>
      <c r="B196" s="22" t="n"/>
      <c r="C196" s="22" t="n"/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2" t="n"/>
      <c r="R196" s="22" t="n"/>
      <c r="S196" s="22" t="n"/>
      <c r="T196" s="22" t="n"/>
      <c r="U196" s="22" t="n"/>
      <c r="V196" s="22" t="n"/>
      <c r="W196" s="22" t="n"/>
      <c r="X196" s="22" t="n"/>
    </row>
    <row r="197">
      <c r="A197" s="324" t="n"/>
      <c r="B197" s="22" t="n"/>
      <c r="C197" s="22" t="n"/>
      <c r="D197" s="22" t="n"/>
      <c r="E197" s="22" t="n"/>
      <c r="F197" s="22" t="n"/>
      <c r="G197" s="22" t="n"/>
      <c r="H197" s="22" t="n"/>
      <c r="I197" s="22" t="n"/>
      <c r="J197" s="22" t="n"/>
      <c r="K197" s="22" t="n"/>
      <c r="L197" s="22" t="n"/>
      <c r="M197" s="22" t="n"/>
      <c r="N197" s="22" t="n"/>
      <c r="O197" s="22" t="n"/>
      <c r="P197" s="22" t="n"/>
      <c r="Q197" s="22" t="n"/>
      <c r="R197" s="22" t="n"/>
      <c r="S197" s="22" t="n"/>
      <c r="T197" s="22" t="n"/>
      <c r="U197" s="22" t="n"/>
      <c r="V197" s="22" t="n"/>
      <c r="W197" s="22" t="n"/>
      <c r="X197" s="22" t="n"/>
    </row>
    <row r="198">
      <c r="A198" s="324" t="n"/>
      <c r="B198" s="22" t="n"/>
      <c r="C198" s="22" t="n"/>
      <c r="D198" s="22" t="n"/>
      <c r="E198" s="22" t="n"/>
      <c r="F198" s="22" t="n"/>
      <c r="G198" s="22" t="n"/>
      <c r="H198" s="22" t="n"/>
      <c r="I198" s="22" t="n"/>
      <c r="J198" s="22" t="n"/>
      <c r="K198" s="22" t="n"/>
      <c r="L198" s="22" t="n"/>
      <c r="M198" s="22" t="n"/>
      <c r="N198" s="22" t="n"/>
      <c r="O198" s="22" t="n"/>
      <c r="P198" s="22" t="n"/>
      <c r="Q198" s="22" t="n"/>
      <c r="R198" s="22" t="n"/>
      <c r="S198" s="22" t="n"/>
      <c r="T198" s="22" t="n"/>
      <c r="U198" s="22" t="n"/>
      <c r="V198" s="22" t="n"/>
      <c r="W198" s="22" t="n"/>
      <c r="X198" s="22" t="n"/>
    </row>
    <row r="199">
      <c r="A199" s="324" t="n"/>
      <c r="B199" s="22" t="n"/>
      <c r="C199" s="22" t="n"/>
      <c r="D199" s="22" t="n"/>
      <c r="E199" s="22" t="n"/>
      <c r="F199" s="22" t="n"/>
      <c r="G199" s="22" t="n"/>
      <c r="H199" s="22" t="n"/>
      <c r="I199" s="22" t="n"/>
      <c r="J199" s="22" t="n"/>
      <c r="K199" s="22" t="n"/>
      <c r="L199" s="22" t="n"/>
      <c r="M199" s="22" t="n"/>
      <c r="N199" s="22" t="n"/>
      <c r="O199" s="22" t="n"/>
      <c r="P199" s="22" t="n"/>
      <c r="Q199" s="22" t="n"/>
      <c r="R199" s="22" t="n"/>
      <c r="S199" s="22" t="n"/>
      <c r="T199" s="22" t="n"/>
      <c r="U199" s="22" t="n"/>
      <c r="V199" s="22" t="n"/>
      <c r="W199" s="22" t="n"/>
      <c r="X199" s="22" t="n"/>
    </row>
    <row r="200">
      <c r="A200" s="324" t="n"/>
      <c r="B200" s="22" t="n"/>
      <c r="C200" s="22" t="n"/>
      <c r="D200" s="22" t="n"/>
      <c r="E200" s="22" t="n"/>
      <c r="F200" s="22" t="n"/>
      <c r="G200" s="22" t="n"/>
      <c r="H200" s="22" t="n"/>
      <c r="I200" s="22" t="n"/>
      <c r="J200" s="22" t="n"/>
      <c r="K200" s="22" t="n"/>
      <c r="L200" s="22" t="n"/>
      <c r="M200" s="22" t="n"/>
      <c r="N200" s="22" t="n"/>
      <c r="O200" s="22" t="n"/>
      <c r="P200" s="22" t="n"/>
      <c r="Q200" s="22" t="n"/>
      <c r="R200" s="22" t="n"/>
      <c r="S200" s="22" t="n"/>
      <c r="T200" s="22" t="n"/>
      <c r="U200" s="22" t="n"/>
      <c r="V200" s="22" t="n"/>
      <c r="W200" s="22" t="n"/>
      <c r="X200" s="22" t="n"/>
    </row>
    <row r="201">
      <c r="A201" s="324" t="n"/>
      <c r="B201" s="22" t="n"/>
      <c r="C201" s="22" t="n"/>
      <c r="D201" s="22" t="n"/>
      <c r="E201" s="22" t="n"/>
      <c r="F201" s="22" t="n"/>
      <c r="G201" s="22" t="n"/>
      <c r="H201" s="22" t="n"/>
      <c r="I201" s="22" t="n"/>
      <c r="J201" s="22" t="n"/>
      <c r="K201" s="22" t="n"/>
      <c r="L201" s="22" t="n"/>
      <c r="M201" s="22" t="n"/>
      <c r="N201" s="22" t="n"/>
      <c r="O201" s="22" t="n"/>
      <c r="P201" s="22" t="n"/>
      <c r="Q201" s="22" t="n"/>
      <c r="R201" s="22" t="n"/>
      <c r="S201" s="22" t="n"/>
      <c r="T201" s="22" t="n"/>
      <c r="U201" s="22" t="n"/>
      <c r="V201" s="22" t="n"/>
      <c r="W201" s="22" t="n"/>
      <c r="X201" s="22" t="n"/>
    </row>
    <row r="202">
      <c r="A202" s="324" t="n"/>
      <c r="B202" s="22" t="n"/>
      <c r="C202" s="22" t="n"/>
      <c r="D202" s="22" t="n"/>
      <c r="E202" s="22" t="n"/>
      <c r="F202" s="22" t="n"/>
      <c r="G202" s="22" t="n"/>
      <c r="H202" s="22" t="n"/>
      <c r="I202" s="22" t="n"/>
      <c r="J202" s="22" t="n"/>
      <c r="K202" s="22" t="n"/>
      <c r="L202" s="22" t="n"/>
      <c r="M202" s="22" t="n"/>
      <c r="N202" s="22" t="n"/>
      <c r="O202" s="22" t="n"/>
      <c r="P202" s="22" t="n"/>
      <c r="Q202" s="22" t="n"/>
      <c r="R202" s="22" t="n"/>
      <c r="S202" s="22" t="n"/>
      <c r="T202" s="22" t="n"/>
      <c r="U202" s="22" t="n"/>
      <c r="V202" s="22" t="n"/>
      <c r="W202" s="22" t="n"/>
      <c r="X202" s="22" t="n"/>
    </row>
    <row r="203">
      <c r="A203" s="324" t="n"/>
      <c r="B203" s="22" t="n"/>
      <c r="C203" s="22" t="n"/>
      <c r="D203" s="22" t="n"/>
      <c r="E203" s="22" t="n"/>
      <c r="F203" s="22" t="n"/>
      <c r="G203" s="22" t="n"/>
      <c r="H203" s="22" t="n"/>
      <c r="I203" s="22" t="n"/>
      <c r="J203" s="22" t="n"/>
      <c r="K203" s="22" t="n"/>
      <c r="L203" s="22" t="n"/>
      <c r="M203" s="22" t="n"/>
      <c r="N203" s="22" t="n"/>
      <c r="O203" s="22" t="n"/>
      <c r="P203" s="22" t="n"/>
      <c r="Q203" s="22" t="n"/>
      <c r="R203" s="22" t="n"/>
      <c r="S203" s="22" t="n"/>
      <c r="T203" s="22" t="n"/>
      <c r="U203" s="22" t="n"/>
      <c r="V203" s="22" t="n"/>
      <c r="W203" s="22" t="n"/>
      <c r="X203" s="22" t="n"/>
    </row>
    <row r="204">
      <c r="A204" s="324" t="n"/>
      <c r="B204" s="22" t="n"/>
      <c r="C204" s="22" t="n"/>
      <c r="D204" s="22" t="n"/>
      <c r="E204" s="22" t="n"/>
      <c r="F204" s="22" t="n"/>
      <c r="G204" s="22" t="n"/>
      <c r="H204" s="22" t="n"/>
      <c r="I204" s="22" t="n"/>
      <c r="J204" s="22" t="n"/>
      <c r="K204" s="22" t="n"/>
      <c r="L204" s="22" t="n"/>
      <c r="M204" s="22" t="n"/>
      <c r="N204" s="22" t="n"/>
      <c r="O204" s="22" t="n"/>
      <c r="P204" s="22" t="n"/>
      <c r="Q204" s="22" t="n"/>
      <c r="R204" s="22" t="n"/>
      <c r="S204" s="22" t="n"/>
      <c r="T204" s="22" t="n"/>
      <c r="U204" s="22" t="n"/>
      <c r="V204" s="22" t="n"/>
      <c r="W204" s="22" t="n"/>
      <c r="X204" s="22" t="n"/>
    </row>
    <row r="205">
      <c r="A205" s="324" t="n"/>
      <c r="B205" s="22" t="n"/>
      <c r="C205" s="22" t="n"/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2" t="n"/>
      <c r="R205" s="22" t="n"/>
      <c r="S205" s="22" t="n"/>
      <c r="T205" s="22" t="n"/>
      <c r="U205" s="22" t="n"/>
      <c r="V205" s="22" t="n"/>
      <c r="W205" s="22" t="n"/>
      <c r="X205" s="22" t="n"/>
    </row>
    <row r="206">
      <c r="A206" s="324" t="n"/>
      <c r="B206" s="22" t="n"/>
      <c r="C206" s="22" t="n"/>
      <c r="D206" s="22" t="n"/>
      <c r="E206" s="22" t="n"/>
      <c r="F206" s="22" t="n"/>
      <c r="G206" s="22" t="n"/>
      <c r="H206" s="22" t="n"/>
      <c r="I206" s="22" t="n"/>
      <c r="J206" s="22" t="n"/>
      <c r="K206" s="22" t="n"/>
      <c r="L206" s="22" t="n"/>
      <c r="M206" s="22" t="n"/>
      <c r="N206" s="22" t="n"/>
      <c r="O206" s="22" t="n"/>
      <c r="P206" s="22" t="n"/>
      <c r="Q206" s="22" t="n"/>
      <c r="R206" s="22" t="n"/>
      <c r="S206" s="22" t="n"/>
      <c r="T206" s="22" t="n"/>
      <c r="U206" s="22" t="n"/>
      <c r="V206" s="22" t="n"/>
      <c r="W206" s="22" t="n"/>
      <c r="X206" s="22" t="n"/>
    </row>
    <row r="207">
      <c r="A207" s="324" t="n"/>
      <c r="B207" s="22" t="n"/>
      <c r="C207" s="22" t="n"/>
      <c r="D207" s="22" t="n"/>
      <c r="E207" s="22" t="n"/>
      <c r="F207" s="22" t="n"/>
      <c r="G207" s="22" t="n"/>
      <c r="H207" s="22" t="n"/>
      <c r="I207" s="22" t="n"/>
      <c r="J207" s="22" t="n"/>
      <c r="K207" s="22" t="n"/>
      <c r="L207" s="22" t="n"/>
      <c r="M207" s="22" t="n"/>
      <c r="N207" s="22" t="n"/>
      <c r="O207" s="22" t="n"/>
      <c r="P207" s="22" t="n"/>
      <c r="Q207" s="22" t="n"/>
      <c r="R207" s="22" t="n"/>
      <c r="S207" s="22" t="n"/>
      <c r="T207" s="22" t="n"/>
      <c r="U207" s="22" t="n"/>
      <c r="V207" s="22" t="n"/>
      <c r="W207" s="22" t="n"/>
      <c r="X207" s="22" t="n"/>
    </row>
    <row r="208">
      <c r="A208" s="324" t="n"/>
      <c r="B208" s="22" t="n"/>
      <c r="C208" s="22" t="n"/>
      <c r="D208" s="22" t="n"/>
      <c r="E208" s="22" t="n"/>
      <c r="F208" s="22" t="n"/>
      <c r="G208" s="22" t="n"/>
      <c r="H208" s="22" t="n"/>
      <c r="I208" s="22" t="n"/>
      <c r="J208" s="22" t="n"/>
      <c r="K208" s="22" t="n"/>
      <c r="L208" s="22" t="n"/>
      <c r="M208" s="22" t="n"/>
      <c r="N208" s="22" t="n"/>
      <c r="O208" s="22" t="n"/>
      <c r="P208" s="22" t="n"/>
      <c r="Q208" s="22" t="n"/>
      <c r="R208" s="22" t="n"/>
      <c r="S208" s="22" t="n"/>
      <c r="T208" s="22" t="n"/>
      <c r="U208" s="22" t="n"/>
      <c r="V208" s="22" t="n"/>
      <c r="W208" s="22" t="n"/>
      <c r="X208" s="22" t="n"/>
    </row>
    <row r="209">
      <c r="A209" s="324" t="n"/>
      <c r="B209" s="22" t="n"/>
      <c r="C209" s="22" t="n"/>
      <c r="D209" s="22" t="n"/>
      <c r="E209" s="22" t="n"/>
      <c r="F209" s="22" t="n"/>
      <c r="G209" s="22" t="n"/>
      <c r="H209" s="22" t="n"/>
      <c r="I209" s="22" t="n"/>
      <c r="J209" s="22" t="n"/>
      <c r="K209" s="22" t="n"/>
      <c r="L209" s="22" t="n"/>
      <c r="M209" s="22" t="n"/>
      <c r="N209" s="22" t="n"/>
      <c r="O209" s="22" t="n"/>
      <c r="P209" s="22" t="n"/>
      <c r="Q209" s="22" t="n"/>
      <c r="R209" s="22" t="n"/>
      <c r="S209" s="22" t="n"/>
      <c r="T209" s="22" t="n"/>
      <c r="U209" s="22" t="n"/>
      <c r="V209" s="22" t="n"/>
      <c r="W209" s="22" t="n"/>
      <c r="X209" s="22" t="n"/>
    </row>
    <row r="210">
      <c r="A210" s="324" t="n"/>
      <c r="B210" s="22" t="n"/>
      <c r="C210" s="22" t="n"/>
      <c r="D210" s="22" t="n"/>
      <c r="E210" s="22" t="n"/>
      <c r="F210" s="22" t="n"/>
      <c r="G210" s="22" t="n"/>
      <c r="H210" s="22" t="n"/>
      <c r="I210" s="22" t="n"/>
      <c r="J210" s="22" t="n"/>
      <c r="K210" s="22" t="n"/>
      <c r="L210" s="22" t="n"/>
      <c r="M210" s="22" t="n"/>
      <c r="N210" s="22" t="n"/>
      <c r="O210" s="22" t="n"/>
      <c r="P210" s="22" t="n"/>
      <c r="Q210" s="22" t="n"/>
      <c r="R210" s="22" t="n"/>
      <c r="S210" s="22" t="n"/>
      <c r="T210" s="22" t="n"/>
      <c r="U210" s="22" t="n"/>
      <c r="V210" s="22" t="n"/>
      <c r="W210" s="22" t="n"/>
      <c r="X210" s="22" t="n"/>
    </row>
    <row r="211">
      <c r="A211" s="324" t="n"/>
      <c r="B211" s="22" t="n"/>
      <c r="C211" s="22" t="n"/>
      <c r="D211" s="22" t="n"/>
      <c r="E211" s="22" t="n"/>
      <c r="F211" s="22" t="n"/>
      <c r="G211" s="22" t="n"/>
      <c r="H211" s="22" t="n"/>
      <c r="I211" s="22" t="n"/>
      <c r="J211" s="22" t="n"/>
      <c r="K211" s="22" t="n"/>
      <c r="L211" s="22" t="n"/>
      <c r="M211" s="22" t="n"/>
      <c r="N211" s="22" t="n"/>
      <c r="O211" s="22" t="n"/>
      <c r="P211" s="22" t="n"/>
      <c r="Q211" s="22" t="n"/>
      <c r="R211" s="22" t="n"/>
      <c r="S211" s="22" t="n"/>
      <c r="T211" s="22" t="n"/>
      <c r="U211" s="22" t="n"/>
      <c r="V211" s="22" t="n"/>
      <c r="W211" s="22" t="n"/>
      <c r="X211" s="22" t="n"/>
    </row>
    <row r="212">
      <c r="A212" s="324" t="n"/>
      <c r="B212" s="22" t="n"/>
      <c r="C212" s="22" t="n"/>
      <c r="D212" s="22" t="n"/>
      <c r="E212" s="22" t="n"/>
      <c r="F212" s="22" t="n"/>
      <c r="G212" s="22" t="n"/>
      <c r="H212" s="22" t="n"/>
      <c r="I212" s="22" t="n"/>
      <c r="J212" s="22" t="n"/>
      <c r="K212" s="22" t="n"/>
      <c r="L212" s="22" t="n"/>
      <c r="M212" s="22" t="n"/>
      <c r="N212" s="22" t="n"/>
      <c r="O212" s="22" t="n"/>
      <c r="P212" s="22" t="n"/>
      <c r="Q212" s="22" t="n"/>
      <c r="R212" s="22" t="n"/>
      <c r="S212" s="22" t="n"/>
      <c r="T212" s="22" t="n"/>
      <c r="U212" s="22" t="n"/>
      <c r="V212" s="22" t="n"/>
      <c r="W212" s="22" t="n"/>
      <c r="X212" s="22" t="n"/>
    </row>
    <row r="213">
      <c r="A213" s="324" t="n"/>
      <c r="B213" s="22" t="n"/>
      <c r="C213" s="22" t="n"/>
      <c r="D213" s="22" t="n"/>
      <c r="E213" s="22" t="n"/>
      <c r="F213" s="22" t="n"/>
      <c r="G213" s="22" t="n"/>
      <c r="H213" s="22" t="n"/>
      <c r="I213" s="22" t="n"/>
      <c r="J213" s="22" t="n"/>
      <c r="K213" s="22" t="n"/>
      <c r="L213" s="22" t="n"/>
      <c r="M213" s="22" t="n"/>
      <c r="N213" s="22" t="n"/>
      <c r="O213" s="22" t="n"/>
      <c r="P213" s="22" t="n"/>
      <c r="Q213" s="22" t="n"/>
      <c r="R213" s="22" t="n"/>
      <c r="S213" s="22" t="n"/>
      <c r="T213" s="22" t="n"/>
      <c r="U213" s="22" t="n"/>
      <c r="V213" s="22" t="n"/>
      <c r="W213" s="22" t="n"/>
      <c r="X213" s="22" t="n"/>
    </row>
    <row r="214">
      <c r="A214" s="324" t="n"/>
      <c r="B214" s="22" t="n"/>
      <c r="C214" s="22" t="n"/>
      <c r="D214" s="22" t="n"/>
      <c r="E214" s="22" t="n"/>
      <c r="F214" s="22" t="n"/>
      <c r="G214" s="22" t="n"/>
      <c r="H214" s="22" t="n"/>
      <c r="I214" s="22" t="n"/>
      <c r="J214" s="22" t="n"/>
      <c r="K214" s="22" t="n"/>
      <c r="L214" s="22" t="n"/>
      <c r="M214" s="22" t="n"/>
      <c r="N214" s="22" t="n"/>
      <c r="O214" s="22" t="n"/>
      <c r="P214" s="22" t="n"/>
      <c r="Q214" s="22" t="n"/>
      <c r="R214" s="22" t="n"/>
      <c r="S214" s="22" t="n"/>
      <c r="T214" s="22" t="n"/>
      <c r="U214" s="22" t="n"/>
      <c r="V214" s="22" t="n"/>
      <c r="W214" s="22" t="n"/>
      <c r="X214" s="22" t="n"/>
    </row>
    <row r="215">
      <c r="A215" s="324" t="n"/>
      <c r="B215" s="22" t="n"/>
      <c r="C215" s="22" t="n"/>
      <c r="D215" s="22" t="n"/>
      <c r="E215" s="22" t="n"/>
      <c r="F215" s="22" t="n"/>
      <c r="G215" s="22" t="n"/>
      <c r="H215" s="22" t="n"/>
      <c r="I215" s="22" t="n"/>
      <c r="J215" s="22" t="n"/>
      <c r="K215" s="22" t="n"/>
      <c r="L215" s="22" t="n"/>
      <c r="M215" s="22" t="n"/>
      <c r="N215" s="22" t="n"/>
      <c r="O215" s="22" t="n"/>
      <c r="P215" s="22" t="n"/>
      <c r="Q215" s="22" t="n"/>
      <c r="R215" s="22" t="n"/>
      <c r="S215" s="22" t="n"/>
      <c r="T215" s="22" t="n"/>
      <c r="U215" s="22" t="n"/>
      <c r="V215" s="22" t="n"/>
      <c r="W215" s="22" t="n"/>
      <c r="X215" s="22" t="n"/>
    </row>
    <row r="216">
      <c r="A216" s="324" t="n"/>
      <c r="B216" s="22" t="n"/>
      <c r="C216" s="22" t="n"/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2" t="n"/>
      <c r="M216" s="22" t="n"/>
      <c r="N216" s="22" t="n"/>
      <c r="O216" s="22" t="n"/>
      <c r="P216" s="22" t="n"/>
      <c r="Q216" s="22" t="n"/>
      <c r="R216" s="22" t="n"/>
      <c r="S216" s="22" t="n"/>
      <c r="T216" s="22" t="n"/>
      <c r="U216" s="22" t="n"/>
      <c r="V216" s="22" t="n"/>
      <c r="W216" s="22" t="n"/>
      <c r="X216" s="22" t="n"/>
    </row>
    <row r="217">
      <c r="A217" s="324" t="n"/>
      <c r="B217" s="22" t="n"/>
      <c r="C217" s="22" t="n"/>
      <c r="D217" s="22" t="n"/>
      <c r="E217" s="22" t="n"/>
      <c r="F217" s="22" t="n"/>
      <c r="G217" s="22" t="n"/>
      <c r="H217" s="22" t="n"/>
      <c r="I217" s="22" t="n"/>
      <c r="J217" s="22" t="n"/>
      <c r="K217" s="22" t="n"/>
      <c r="L217" s="22" t="n"/>
      <c r="M217" s="22" t="n"/>
      <c r="N217" s="22" t="n"/>
      <c r="O217" s="22" t="n"/>
      <c r="P217" s="22" t="n"/>
      <c r="Q217" s="22" t="n"/>
      <c r="R217" s="22" t="n"/>
      <c r="S217" s="22" t="n"/>
      <c r="T217" s="22" t="n"/>
      <c r="U217" s="22" t="n"/>
      <c r="V217" s="22" t="n"/>
      <c r="W217" s="22" t="n"/>
      <c r="X217" s="22" t="n"/>
    </row>
    <row r="218">
      <c r="A218" s="324" t="n"/>
      <c r="B218" s="22" t="n"/>
      <c r="C218" s="22" t="n"/>
      <c r="D218" s="22" t="n"/>
      <c r="E218" s="22" t="n"/>
      <c r="F218" s="22" t="n"/>
      <c r="G218" s="22" t="n"/>
      <c r="H218" s="22" t="n"/>
      <c r="I218" s="22" t="n"/>
      <c r="J218" s="22" t="n"/>
      <c r="K218" s="22" t="n"/>
      <c r="L218" s="22" t="n"/>
      <c r="M218" s="22" t="n"/>
      <c r="N218" s="22" t="n"/>
      <c r="O218" s="22" t="n"/>
      <c r="P218" s="22" t="n"/>
      <c r="Q218" s="22" t="n"/>
      <c r="R218" s="22" t="n"/>
      <c r="S218" s="22" t="n"/>
      <c r="T218" s="22" t="n"/>
      <c r="U218" s="22" t="n"/>
      <c r="V218" s="22" t="n"/>
      <c r="W218" s="22" t="n"/>
      <c r="X218" s="22" t="n"/>
    </row>
    <row r="219">
      <c r="A219" s="324" t="n"/>
      <c r="B219" s="22" t="n"/>
      <c r="C219" s="22" t="n"/>
      <c r="D219" s="22" t="n"/>
      <c r="E219" s="22" t="n"/>
      <c r="F219" s="22" t="n"/>
      <c r="G219" s="22" t="n"/>
      <c r="H219" s="22" t="n"/>
      <c r="I219" s="22" t="n"/>
      <c r="J219" s="22" t="n"/>
      <c r="K219" s="22" t="n"/>
      <c r="L219" s="22" t="n"/>
      <c r="M219" s="22" t="n"/>
      <c r="N219" s="22" t="n"/>
      <c r="O219" s="22" t="n"/>
      <c r="P219" s="22" t="n"/>
      <c r="Q219" s="22" t="n"/>
      <c r="R219" s="22" t="n"/>
      <c r="S219" s="22" t="n"/>
      <c r="T219" s="22" t="n"/>
      <c r="U219" s="22" t="n"/>
      <c r="V219" s="22" t="n"/>
      <c r="W219" s="22" t="n"/>
      <c r="X219" s="22" t="n"/>
    </row>
    <row r="220">
      <c r="A220" s="324" t="n"/>
      <c r="B220" s="22" t="n"/>
      <c r="C220" s="22" t="n"/>
      <c r="D220" s="22" t="n"/>
      <c r="E220" s="22" t="n"/>
      <c r="F220" s="22" t="n"/>
      <c r="G220" s="22" t="n"/>
      <c r="H220" s="22" t="n"/>
      <c r="I220" s="22" t="n"/>
      <c r="J220" s="22" t="n"/>
      <c r="K220" s="22" t="n"/>
      <c r="L220" s="22" t="n"/>
      <c r="M220" s="22" t="n"/>
      <c r="N220" s="22" t="n"/>
      <c r="O220" s="22" t="n"/>
      <c r="P220" s="22" t="n"/>
      <c r="Q220" s="22" t="n"/>
      <c r="R220" s="22" t="n"/>
      <c r="S220" s="22" t="n"/>
      <c r="T220" s="22" t="n"/>
      <c r="U220" s="22" t="n"/>
      <c r="V220" s="22" t="n"/>
      <c r="W220" s="22" t="n"/>
      <c r="X220" s="22" t="n"/>
    </row>
    <row r="221">
      <c r="A221" s="324" t="n"/>
      <c r="B221" s="22" t="n"/>
      <c r="C221" s="22" t="n"/>
      <c r="D221" s="22" t="n"/>
      <c r="E221" s="22" t="n"/>
      <c r="F221" s="22" t="n"/>
      <c r="G221" s="22" t="n"/>
      <c r="H221" s="22" t="n"/>
      <c r="I221" s="22" t="n"/>
      <c r="J221" s="22" t="n"/>
      <c r="K221" s="22" t="n"/>
      <c r="L221" s="22" t="n"/>
      <c r="M221" s="22" t="n"/>
      <c r="N221" s="22" t="n"/>
      <c r="O221" s="22" t="n"/>
      <c r="P221" s="22" t="n"/>
      <c r="Q221" s="22" t="n"/>
      <c r="R221" s="22" t="n"/>
      <c r="S221" s="22" t="n"/>
      <c r="T221" s="22" t="n"/>
      <c r="U221" s="22" t="n"/>
      <c r="V221" s="22" t="n"/>
      <c r="W221" s="22" t="n"/>
      <c r="X221" s="22" t="n"/>
    </row>
    <row r="222">
      <c r="A222" s="324" t="n"/>
      <c r="B222" s="22" t="n"/>
      <c r="C222" s="22" t="n"/>
      <c r="D222" s="22" t="n"/>
      <c r="E222" s="22" t="n"/>
      <c r="F222" s="22" t="n"/>
      <c r="G222" s="22" t="n"/>
      <c r="H222" s="22" t="n"/>
      <c r="I222" s="22" t="n"/>
      <c r="J222" s="22" t="n"/>
      <c r="K222" s="22" t="n"/>
      <c r="L222" s="22" t="n"/>
      <c r="M222" s="22" t="n"/>
      <c r="N222" s="22" t="n"/>
      <c r="O222" s="22" t="n"/>
      <c r="P222" s="22" t="n"/>
      <c r="Q222" s="22" t="n"/>
      <c r="R222" s="22" t="n"/>
      <c r="S222" s="22" t="n"/>
      <c r="T222" s="22" t="n"/>
      <c r="U222" s="22" t="n"/>
      <c r="V222" s="22" t="n"/>
      <c r="W222" s="22" t="n"/>
      <c r="X222" s="22" t="n"/>
    </row>
    <row r="223">
      <c r="A223" s="324" t="n"/>
      <c r="B223" s="22" t="n"/>
      <c r="C223" s="22" t="n"/>
      <c r="D223" s="22" t="n"/>
      <c r="E223" s="22" t="n"/>
      <c r="F223" s="22" t="n"/>
      <c r="G223" s="22" t="n"/>
      <c r="H223" s="22" t="n"/>
      <c r="I223" s="22" t="n"/>
      <c r="J223" s="22" t="n"/>
      <c r="K223" s="22" t="n"/>
      <c r="L223" s="22" t="n"/>
      <c r="M223" s="22" t="n"/>
      <c r="N223" s="22" t="n"/>
      <c r="O223" s="22" t="n"/>
      <c r="P223" s="22" t="n"/>
      <c r="Q223" s="22" t="n"/>
      <c r="R223" s="22" t="n"/>
      <c r="S223" s="22" t="n"/>
      <c r="T223" s="22" t="n"/>
      <c r="U223" s="22" t="n"/>
      <c r="V223" s="22" t="n"/>
      <c r="W223" s="22" t="n"/>
      <c r="X223" s="22" t="n"/>
    </row>
    <row r="224">
      <c r="A224" s="324" t="n"/>
      <c r="B224" s="22" t="n"/>
      <c r="C224" s="22" t="n"/>
      <c r="D224" s="22" t="n"/>
      <c r="E224" s="22" t="n"/>
      <c r="F224" s="22" t="n"/>
      <c r="G224" s="22" t="n"/>
      <c r="H224" s="22" t="n"/>
      <c r="I224" s="22" t="n"/>
      <c r="J224" s="22" t="n"/>
      <c r="K224" s="22" t="n"/>
      <c r="L224" s="22" t="n"/>
      <c r="M224" s="22" t="n"/>
      <c r="N224" s="22" t="n"/>
      <c r="O224" s="22" t="n"/>
      <c r="P224" s="22" t="n"/>
      <c r="Q224" s="22" t="n"/>
      <c r="R224" s="22" t="n"/>
      <c r="S224" s="22" t="n"/>
      <c r="T224" s="22" t="n"/>
      <c r="U224" s="22" t="n"/>
      <c r="V224" s="22" t="n"/>
      <c r="W224" s="22" t="n"/>
      <c r="X224" s="22" t="n"/>
    </row>
    <row r="225">
      <c r="A225" s="324" t="n"/>
      <c r="B225" s="22" t="n"/>
      <c r="C225" s="22" t="n"/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2" t="n"/>
      <c r="M225" s="22" t="n"/>
      <c r="N225" s="22" t="n"/>
      <c r="O225" s="22" t="n"/>
      <c r="P225" s="22" t="n"/>
      <c r="Q225" s="22" t="n"/>
      <c r="R225" s="22" t="n"/>
      <c r="S225" s="22" t="n"/>
      <c r="T225" s="22" t="n"/>
      <c r="U225" s="22" t="n"/>
      <c r="V225" s="22" t="n"/>
      <c r="W225" s="22" t="n"/>
      <c r="X225" s="22" t="n"/>
    </row>
    <row r="226">
      <c r="A226" s="324" t="n"/>
      <c r="B226" s="22" t="n"/>
      <c r="C226" s="22" t="n"/>
      <c r="D226" s="22" t="n"/>
      <c r="E226" s="22" t="n"/>
      <c r="F226" s="22" t="n"/>
      <c r="G226" s="22" t="n"/>
      <c r="H226" s="22" t="n"/>
      <c r="I226" s="22" t="n"/>
      <c r="J226" s="22" t="n"/>
      <c r="K226" s="22" t="n"/>
      <c r="L226" s="22" t="n"/>
      <c r="M226" s="22" t="n"/>
      <c r="N226" s="22" t="n"/>
      <c r="O226" s="22" t="n"/>
      <c r="P226" s="22" t="n"/>
      <c r="Q226" s="22" t="n"/>
      <c r="R226" s="22" t="n"/>
      <c r="S226" s="22" t="n"/>
      <c r="T226" s="22" t="n"/>
      <c r="U226" s="22" t="n"/>
      <c r="V226" s="22" t="n"/>
      <c r="W226" s="22" t="n"/>
      <c r="X226" s="22" t="n"/>
    </row>
    <row r="227">
      <c r="A227" s="324" t="n"/>
      <c r="B227" s="22" t="n"/>
      <c r="C227" s="22" t="n"/>
      <c r="D227" s="22" t="n"/>
      <c r="E227" s="22" t="n"/>
      <c r="F227" s="22" t="n"/>
      <c r="G227" s="22" t="n"/>
      <c r="H227" s="22" t="n"/>
      <c r="I227" s="22" t="n"/>
      <c r="J227" s="22" t="n"/>
      <c r="K227" s="22" t="n"/>
      <c r="L227" s="22" t="n"/>
      <c r="M227" s="22" t="n"/>
      <c r="N227" s="22" t="n"/>
      <c r="O227" s="22" t="n"/>
      <c r="P227" s="22" t="n"/>
      <c r="Q227" s="22" t="n"/>
      <c r="R227" s="22" t="n"/>
      <c r="S227" s="22" t="n"/>
      <c r="T227" s="22" t="n"/>
      <c r="U227" s="22" t="n"/>
      <c r="V227" s="22" t="n"/>
      <c r="W227" s="22" t="n"/>
      <c r="X227" s="22" t="n"/>
    </row>
    <row r="228">
      <c r="A228" s="324" t="n"/>
      <c r="B228" s="22" t="n"/>
      <c r="C228" s="22" t="n"/>
      <c r="D228" s="22" t="n"/>
      <c r="E228" s="22" t="n"/>
      <c r="F228" s="22" t="n"/>
      <c r="G228" s="22" t="n"/>
      <c r="H228" s="22" t="n"/>
      <c r="I228" s="22" t="n"/>
      <c r="J228" s="22" t="n"/>
      <c r="K228" s="22" t="n"/>
      <c r="L228" s="22" t="n"/>
      <c r="M228" s="22" t="n"/>
      <c r="N228" s="22" t="n"/>
      <c r="O228" s="22" t="n"/>
      <c r="P228" s="22" t="n"/>
      <c r="Q228" s="22" t="n"/>
      <c r="R228" s="22" t="n"/>
      <c r="S228" s="22" t="n"/>
      <c r="T228" s="22" t="n"/>
      <c r="U228" s="22" t="n"/>
      <c r="V228" s="22" t="n"/>
      <c r="W228" s="22" t="n"/>
      <c r="X228" s="22" t="n"/>
    </row>
    <row r="229">
      <c r="A229" s="324" t="n"/>
      <c r="B229" s="22" t="n"/>
      <c r="C229" s="22" t="n"/>
      <c r="D229" s="22" t="n"/>
      <c r="E229" s="22" t="n"/>
      <c r="F229" s="22" t="n"/>
      <c r="G229" s="22" t="n"/>
      <c r="H229" s="22" t="n"/>
      <c r="I229" s="22" t="n"/>
      <c r="J229" s="22" t="n"/>
      <c r="K229" s="22" t="n"/>
      <c r="L229" s="22" t="n"/>
      <c r="M229" s="22" t="n"/>
      <c r="N229" s="22" t="n"/>
      <c r="O229" s="22" t="n"/>
      <c r="P229" s="22" t="n"/>
      <c r="Q229" s="22" t="n"/>
      <c r="R229" s="22" t="n"/>
      <c r="S229" s="22" t="n"/>
      <c r="T229" s="22" t="n"/>
      <c r="U229" s="22" t="n"/>
      <c r="V229" s="22" t="n"/>
      <c r="W229" s="22" t="n"/>
      <c r="X229" s="22" t="n"/>
    </row>
    <row r="230">
      <c r="A230" s="324" t="n"/>
      <c r="B230" s="22" t="n"/>
      <c r="C230" s="22" t="n"/>
      <c r="D230" s="22" t="n"/>
      <c r="E230" s="22" t="n"/>
      <c r="F230" s="22" t="n"/>
      <c r="G230" s="22" t="n"/>
      <c r="H230" s="22" t="n"/>
      <c r="I230" s="22" t="n"/>
      <c r="J230" s="22" t="n"/>
      <c r="K230" s="22" t="n"/>
      <c r="L230" s="22" t="n"/>
      <c r="M230" s="22" t="n"/>
      <c r="N230" s="22" t="n"/>
      <c r="O230" s="22" t="n"/>
      <c r="P230" s="22" t="n"/>
      <c r="Q230" s="22" t="n"/>
      <c r="R230" s="22" t="n"/>
      <c r="S230" s="22" t="n"/>
      <c r="T230" s="22" t="n"/>
      <c r="U230" s="22" t="n"/>
      <c r="V230" s="22" t="n"/>
      <c r="W230" s="22" t="n"/>
      <c r="X230" s="22" t="n"/>
    </row>
    <row r="231">
      <c r="A231" s="324" t="n"/>
      <c r="B231" s="22" t="n"/>
      <c r="C231" s="22" t="n"/>
      <c r="D231" s="22" t="n"/>
      <c r="E231" s="22" t="n"/>
      <c r="F231" s="22" t="n"/>
      <c r="G231" s="22" t="n"/>
      <c r="H231" s="22" t="n"/>
      <c r="I231" s="22" t="n"/>
      <c r="J231" s="22" t="n"/>
      <c r="K231" s="22" t="n"/>
      <c r="L231" s="22" t="n"/>
      <c r="M231" s="22" t="n"/>
      <c r="N231" s="22" t="n"/>
      <c r="O231" s="22" t="n"/>
      <c r="P231" s="22" t="n"/>
      <c r="Q231" s="22" t="n"/>
      <c r="R231" s="22" t="n"/>
      <c r="S231" s="22" t="n"/>
      <c r="T231" s="22" t="n"/>
      <c r="U231" s="22" t="n"/>
      <c r="V231" s="22" t="n"/>
      <c r="W231" s="22" t="n"/>
      <c r="X231" s="22" t="n"/>
    </row>
    <row r="232">
      <c r="A232" s="324" t="n"/>
      <c r="B232" s="22" t="n"/>
      <c r="C232" s="22" t="n"/>
      <c r="D232" s="22" t="n"/>
      <c r="E232" s="22" t="n"/>
      <c r="F232" s="22" t="n"/>
      <c r="G232" s="22" t="n"/>
      <c r="H232" s="22" t="n"/>
      <c r="I232" s="22" t="n"/>
      <c r="J232" s="22" t="n"/>
      <c r="K232" s="22" t="n"/>
      <c r="L232" s="22" t="n"/>
      <c r="M232" s="22" t="n"/>
      <c r="N232" s="22" t="n"/>
      <c r="O232" s="22" t="n"/>
      <c r="P232" s="22" t="n"/>
      <c r="Q232" s="22" t="n"/>
      <c r="R232" s="22" t="n"/>
      <c r="S232" s="22" t="n"/>
      <c r="T232" s="22" t="n"/>
      <c r="U232" s="22" t="n"/>
      <c r="V232" s="22" t="n"/>
      <c r="W232" s="22" t="n"/>
      <c r="X232" s="22" t="n"/>
    </row>
    <row r="233">
      <c r="A233" s="324" t="n"/>
      <c r="B233" s="22" t="n"/>
      <c r="C233" s="22" t="n"/>
      <c r="D233" s="22" t="n"/>
      <c r="E233" s="22" t="n"/>
      <c r="F233" s="22" t="n"/>
      <c r="G233" s="22" t="n"/>
      <c r="H233" s="22" t="n"/>
      <c r="I233" s="22" t="n"/>
      <c r="J233" s="22" t="n"/>
      <c r="K233" s="22" t="n"/>
      <c r="L233" s="22" t="n"/>
      <c r="M233" s="22" t="n"/>
      <c r="N233" s="22" t="n"/>
      <c r="O233" s="22" t="n"/>
      <c r="P233" s="22" t="n"/>
      <c r="Q233" s="22" t="n"/>
      <c r="R233" s="22" t="n"/>
      <c r="S233" s="22" t="n"/>
      <c r="T233" s="22" t="n"/>
      <c r="U233" s="22" t="n"/>
      <c r="V233" s="22" t="n"/>
      <c r="W233" s="22" t="n"/>
      <c r="X233" s="22" t="n"/>
    </row>
    <row r="234">
      <c r="A234" s="324" t="n"/>
      <c r="B234" s="22" t="n"/>
      <c r="C234" s="22" t="n"/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2" t="n"/>
      <c r="M234" s="22" t="n"/>
      <c r="N234" s="22" t="n"/>
      <c r="O234" s="22" t="n"/>
      <c r="P234" s="22" t="n"/>
      <c r="Q234" s="22" t="n"/>
      <c r="R234" s="22" t="n"/>
      <c r="S234" s="22" t="n"/>
      <c r="T234" s="22" t="n"/>
      <c r="U234" s="22" t="n"/>
      <c r="V234" s="22" t="n"/>
      <c r="W234" s="22" t="n"/>
      <c r="X234" s="22" t="n"/>
    </row>
    <row r="235">
      <c r="A235" s="324" t="n"/>
      <c r="B235" s="22" t="n"/>
      <c r="C235" s="22" t="n"/>
      <c r="D235" s="22" t="n"/>
      <c r="E235" s="22" t="n"/>
      <c r="F235" s="22" t="n"/>
      <c r="G235" s="22" t="n"/>
      <c r="H235" s="22" t="n"/>
      <c r="I235" s="22" t="n"/>
      <c r="J235" s="22" t="n"/>
      <c r="K235" s="22" t="n"/>
      <c r="L235" s="22" t="n"/>
      <c r="M235" s="22" t="n"/>
      <c r="N235" s="22" t="n"/>
      <c r="O235" s="22" t="n"/>
      <c r="P235" s="22" t="n"/>
      <c r="Q235" s="22" t="n"/>
      <c r="R235" s="22" t="n"/>
      <c r="S235" s="22" t="n"/>
      <c r="T235" s="22" t="n"/>
      <c r="U235" s="22" t="n"/>
      <c r="V235" s="22" t="n"/>
      <c r="W235" s="22" t="n"/>
      <c r="X235" s="22" t="n"/>
    </row>
    <row r="236">
      <c r="A236" s="324" t="n"/>
      <c r="B236" s="22" t="n"/>
      <c r="C236" s="22" t="n"/>
      <c r="D236" s="22" t="n"/>
      <c r="E236" s="22" t="n"/>
      <c r="F236" s="22" t="n"/>
      <c r="G236" s="22" t="n"/>
      <c r="H236" s="22" t="n"/>
      <c r="I236" s="22" t="n"/>
      <c r="J236" s="22" t="n"/>
      <c r="K236" s="22" t="n"/>
      <c r="L236" s="22" t="n"/>
      <c r="M236" s="22" t="n"/>
      <c r="N236" s="22" t="n"/>
      <c r="O236" s="22" t="n"/>
      <c r="P236" s="22" t="n"/>
      <c r="Q236" s="22" t="n"/>
      <c r="R236" s="22" t="n"/>
      <c r="S236" s="22" t="n"/>
      <c r="T236" s="22" t="n"/>
      <c r="U236" s="22" t="n"/>
      <c r="V236" s="22" t="n"/>
      <c r="W236" s="22" t="n"/>
      <c r="X236" s="22" t="n"/>
    </row>
    <row r="237">
      <c r="A237" s="324" t="n"/>
      <c r="B237" s="22" t="n"/>
      <c r="C237" s="22" t="n"/>
      <c r="D237" s="22" t="n"/>
      <c r="E237" s="22" t="n"/>
      <c r="F237" s="22" t="n"/>
      <c r="G237" s="22" t="n"/>
      <c r="H237" s="22" t="n"/>
      <c r="I237" s="22" t="n"/>
      <c r="J237" s="22" t="n"/>
      <c r="K237" s="22" t="n"/>
      <c r="L237" s="22" t="n"/>
      <c r="M237" s="22" t="n"/>
      <c r="N237" s="22" t="n"/>
      <c r="O237" s="22" t="n"/>
      <c r="P237" s="22" t="n"/>
      <c r="Q237" s="22" t="n"/>
      <c r="R237" s="22" t="n"/>
      <c r="S237" s="22" t="n"/>
      <c r="T237" s="22" t="n"/>
      <c r="U237" s="22" t="n"/>
      <c r="V237" s="22" t="n"/>
      <c r="W237" s="22" t="n"/>
      <c r="X237" s="22" t="n"/>
    </row>
    <row r="238">
      <c r="A238" s="324" t="n"/>
      <c r="B238" s="22" t="n"/>
      <c r="C238" s="22" t="n"/>
      <c r="D238" s="22" t="n"/>
      <c r="E238" s="22" t="n"/>
      <c r="F238" s="22" t="n"/>
      <c r="G238" s="22" t="n"/>
      <c r="H238" s="22" t="n"/>
      <c r="I238" s="22" t="n"/>
      <c r="J238" s="22" t="n"/>
      <c r="K238" s="22" t="n"/>
      <c r="L238" s="22" t="n"/>
      <c r="M238" s="22" t="n"/>
      <c r="N238" s="22" t="n"/>
      <c r="O238" s="22" t="n"/>
      <c r="P238" s="22" t="n"/>
      <c r="Q238" s="22" t="n"/>
      <c r="R238" s="22" t="n"/>
      <c r="S238" s="22" t="n"/>
      <c r="T238" s="22" t="n"/>
      <c r="U238" s="22" t="n"/>
      <c r="V238" s="22" t="n"/>
      <c r="W238" s="22" t="n"/>
      <c r="X238" s="22" t="n"/>
    </row>
    <row r="239">
      <c r="A239" s="324" t="n"/>
      <c r="B239" s="22" t="n"/>
      <c r="C239" s="22" t="n"/>
      <c r="D239" s="22" t="n"/>
      <c r="E239" s="22" t="n"/>
      <c r="F239" s="22" t="n"/>
      <c r="G239" s="22" t="n"/>
      <c r="H239" s="22" t="n"/>
      <c r="I239" s="22" t="n"/>
      <c r="J239" s="22" t="n"/>
      <c r="K239" s="22" t="n"/>
      <c r="L239" s="22" t="n"/>
      <c r="M239" s="22" t="n"/>
      <c r="N239" s="22" t="n"/>
      <c r="O239" s="22" t="n"/>
      <c r="P239" s="22" t="n"/>
      <c r="Q239" s="22" t="n"/>
      <c r="R239" s="22" t="n"/>
      <c r="S239" s="22" t="n"/>
      <c r="T239" s="22" t="n"/>
      <c r="U239" s="22" t="n"/>
      <c r="V239" s="22" t="n"/>
      <c r="W239" s="22" t="n"/>
      <c r="X239" s="22" t="n"/>
    </row>
    <row r="240">
      <c r="A240" s="324" t="n"/>
      <c r="B240" s="22" t="n"/>
      <c r="C240" s="22" t="n"/>
      <c r="D240" s="22" t="n"/>
      <c r="E240" s="22" t="n"/>
      <c r="F240" s="22" t="n"/>
      <c r="G240" s="22" t="n"/>
      <c r="H240" s="22" t="n"/>
      <c r="I240" s="22" t="n"/>
      <c r="J240" s="22" t="n"/>
      <c r="K240" s="22" t="n"/>
      <c r="L240" s="22" t="n"/>
      <c r="M240" s="22" t="n"/>
      <c r="N240" s="22" t="n"/>
      <c r="O240" s="22" t="n"/>
      <c r="P240" s="22" t="n"/>
      <c r="Q240" s="22" t="n"/>
      <c r="R240" s="22" t="n"/>
      <c r="S240" s="22" t="n"/>
      <c r="T240" s="22" t="n"/>
      <c r="U240" s="22" t="n"/>
      <c r="V240" s="22" t="n"/>
      <c r="W240" s="22" t="n"/>
      <c r="X240" s="22" t="n"/>
    </row>
    <row r="241">
      <c r="A241" s="324" t="n"/>
      <c r="B241" s="22" t="n"/>
      <c r="C241" s="22" t="n"/>
      <c r="D241" s="22" t="n"/>
      <c r="E241" s="22" t="n"/>
      <c r="F241" s="22" t="n"/>
      <c r="G241" s="22" t="n"/>
      <c r="H241" s="22" t="n"/>
      <c r="I241" s="22" t="n"/>
      <c r="J241" s="22" t="n"/>
      <c r="K241" s="22" t="n"/>
      <c r="L241" s="22" t="n"/>
      <c r="M241" s="22" t="n"/>
      <c r="N241" s="22" t="n"/>
      <c r="O241" s="22" t="n"/>
      <c r="P241" s="22" t="n"/>
      <c r="Q241" s="22" t="n"/>
      <c r="R241" s="22" t="n"/>
      <c r="S241" s="22" t="n"/>
      <c r="T241" s="22" t="n"/>
      <c r="U241" s="22" t="n"/>
      <c r="V241" s="22" t="n"/>
      <c r="W241" s="22" t="n"/>
      <c r="X241" s="22" t="n"/>
    </row>
    <row r="242">
      <c r="A242" s="324" t="n"/>
      <c r="B242" s="22" t="n"/>
      <c r="C242" s="22" t="n"/>
      <c r="D242" s="22" t="n"/>
      <c r="E242" s="22" t="n"/>
      <c r="F242" s="22" t="n"/>
      <c r="G242" s="22" t="n"/>
      <c r="H242" s="22" t="n"/>
      <c r="I242" s="22" t="n"/>
      <c r="J242" s="22" t="n"/>
      <c r="K242" s="22" t="n"/>
      <c r="L242" s="22" t="n"/>
      <c r="M242" s="22" t="n"/>
      <c r="N242" s="22" t="n"/>
      <c r="O242" s="22" t="n"/>
      <c r="P242" s="22" t="n"/>
      <c r="Q242" s="22" t="n"/>
      <c r="R242" s="22" t="n"/>
      <c r="S242" s="22" t="n"/>
      <c r="T242" s="22" t="n"/>
      <c r="U242" s="22" t="n"/>
      <c r="V242" s="22" t="n"/>
      <c r="W242" s="22" t="n"/>
      <c r="X242" s="22" t="n"/>
    </row>
    <row r="243">
      <c r="A243" s="324" t="n"/>
      <c r="B243" s="22" t="n"/>
      <c r="C243" s="22" t="n"/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2" t="n"/>
      <c r="M243" s="22" t="n"/>
      <c r="N243" s="22" t="n"/>
      <c r="O243" s="22" t="n"/>
      <c r="P243" s="22" t="n"/>
      <c r="Q243" s="22" t="n"/>
      <c r="R243" s="22" t="n"/>
      <c r="S243" s="22" t="n"/>
      <c r="T243" s="22" t="n"/>
      <c r="U243" s="22" t="n"/>
      <c r="V243" s="22" t="n"/>
      <c r="W243" s="22" t="n"/>
      <c r="X243" s="22" t="n"/>
    </row>
    <row r="244">
      <c r="A244" s="324" t="n"/>
      <c r="B244" s="22" t="n"/>
      <c r="C244" s="22" t="n"/>
      <c r="D244" s="22" t="n"/>
      <c r="E244" s="22" t="n"/>
      <c r="F244" s="22" t="n"/>
      <c r="G244" s="22" t="n"/>
      <c r="H244" s="22" t="n"/>
      <c r="I244" s="22" t="n"/>
      <c r="J244" s="22" t="n"/>
      <c r="K244" s="22" t="n"/>
      <c r="L244" s="22" t="n"/>
      <c r="M244" s="22" t="n"/>
      <c r="N244" s="22" t="n"/>
      <c r="O244" s="22" t="n"/>
      <c r="P244" s="22" t="n"/>
      <c r="Q244" s="22" t="n"/>
      <c r="R244" s="22" t="n"/>
      <c r="S244" s="22" t="n"/>
      <c r="T244" s="22" t="n"/>
      <c r="U244" s="22" t="n"/>
      <c r="V244" s="22" t="n"/>
      <c r="W244" s="22" t="n"/>
      <c r="X244" s="22" t="n"/>
    </row>
    <row r="245">
      <c r="A245" s="324" t="n"/>
      <c r="B245" s="22" t="n"/>
      <c r="C245" s="22" t="n"/>
      <c r="D245" s="22" t="n"/>
      <c r="E245" s="22" t="n"/>
      <c r="F245" s="22" t="n"/>
      <c r="G245" s="22" t="n"/>
      <c r="H245" s="22" t="n"/>
      <c r="I245" s="22" t="n"/>
      <c r="J245" s="22" t="n"/>
      <c r="K245" s="22" t="n"/>
      <c r="L245" s="22" t="n"/>
      <c r="M245" s="22" t="n"/>
      <c r="N245" s="22" t="n"/>
      <c r="O245" s="22" t="n"/>
      <c r="P245" s="22" t="n"/>
      <c r="Q245" s="22" t="n"/>
      <c r="R245" s="22" t="n"/>
      <c r="S245" s="22" t="n"/>
      <c r="T245" s="22" t="n"/>
      <c r="U245" s="22" t="n"/>
      <c r="V245" s="22" t="n"/>
      <c r="W245" s="22" t="n"/>
      <c r="X245" s="22" t="n"/>
    </row>
    <row r="246">
      <c r="A246" s="324" t="n"/>
      <c r="B246" s="22" t="n"/>
      <c r="C246" s="22" t="n"/>
      <c r="D246" s="22" t="n"/>
      <c r="E246" s="22" t="n"/>
      <c r="F246" s="22" t="n"/>
      <c r="G246" s="22" t="n"/>
      <c r="H246" s="22" t="n"/>
      <c r="I246" s="22" t="n"/>
      <c r="J246" s="22" t="n"/>
      <c r="K246" s="22" t="n"/>
      <c r="L246" s="22" t="n"/>
      <c r="M246" s="22" t="n"/>
      <c r="N246" s="22" t="n"/>
      <c r="O246" s="22" t="n"/>
      <c r="P246" s="22" t="n"/>
      <c r="Q246" s="22" t="n"/>
      <c r="R246" s="22" t="n"/>
      <c r="S246" s="22" t="n"/>
      <c r="T246" s="22" t="n"/>
      <c r="U246" s="22" t="n"/>
      <c r="V246" s="22" t="n"/>
      <c r="W246" s="22" t="n"/>
      <c r="X246" s="22" t="n"/>
    </row>
    <row r="247">
      <c r="A247" s="324" t="n"/>
      <c r="B247" s="22" t="n"/>
      <c r="C247" s="22" t="n"/>
      <c r="D247" s="22" t="n"/>
      <c r="E247" s="22" t="n"/>
      <c r="F247" s="22" t="n"/>
      <c r="G247" s="22" t="n"/>
      <c r="H247" s="22" t="n"/>
      <c r="I247" s="22" t="n"/>
      <c r="J247" s="22" t="n"/>
      <c r="K247" s="22" t="n"/>
      <c r="L247" s="22" t="n"/>
      <c r="M247" s="22" t="n"/>
      <c r="N247" s="22" t="n"/>
      <c r="O247" s="22" t="n"/>
      <c r="P247" s="22" t="n"/>
      <c r="Q247" s="22" t="n"/>
      <c r="R247" s="22" t="n"/>
      <c r="S247" s="22" t="n"/>
      <c r="T247" s="22" t="n"/>
      <c r="U247" s="22" t="n"/>
      <c r="V247" s="22" t="n"/>
      <c r="W247" s="22" t="n"/>
      <c r="X247" s="22" t="n"/>
    </row>
    <row r="248">
      <c r="A248" s="324" t="n"/>
      <c r="B248" s="22" t="n"/>
      <c r="C248" s="22" t="n"/>
      <c r="D248" s="22" t="n"/>
      <c r="E248" s="22" t="n"/>
      <c r="F248" s="22" t="n"/>
      <c r="G248" s="22" t="n"/>
      <c r="H248" s="22" t="n"/>
      <c r="I248" s="22" t="n"/>
      <c r="J248" s="22" t="n"/>
      <c r="K248" s="22" t="n"/>
      <c r="L248" s="22" t="n"/>
      <c r="M248" s="22" t="n"/>
      <c r="N248" s="22" t="n"/>
      <c r="O248" s="22" t="n"/>
      <c r="P248" s="22" t="n"/>
      <c r="Q248" s="22" t="n"/>
      <c r="R248" s="22" t="n"/>
      <c r="S248" s="22" t="n"/>
      <c r="T248" s="22" t="n"/>
      <c r="U248" s="22" t="n"/>
      <c r="V248" s="22" t="n"/>
      <c r="W248" s="22" t="n"/>
      <c r="X248" s="22" t="n"/>
    </row>
    <row r="249">
      <c r="A249" s="324" t="n"/>
      <c r="B249" s="22" t="n"/>
      <c r="C249" s="22" t="n"/>
      <c r="D249" s="22" t="n"/>
      <c r="E249" s="22" t="n"/>
      <c r="F249" s="22" t="n"/>
      <c r="G249" s="22" t="n"/>
      <c r="H249" s="22" t="n"/>
      <c r="I249" s="22" t="n"/>
      <c r="J249" s="22" t="n"/>
      <c r="K249" s="22" t="n"/>
      <c r="L249" s="22" t="n"/>
      <c r="M249" s="22" t="n"/>
      <c r="N249" s="22" t="n"/>
      <c r="O249" s="22" t="n"/>
      <c r="P249" s="22" t="n"/>
      <c r="Q249" s="22" t="n"/>
      <c r="R249" s="22" t="n"/>
      <c r="S249" s="22" t="n"/>
      <c r="T249" s="22" t="n"/>
      <c r="U249" s="22" t="n"/>
      <c r="V249" s="22" t="n"/>
      <c r="W249" s="22" t="n"/>
      <c r="X249" s="22" t="n"/>
    </row>
    <row r="250">
      <c r="A250" s="324" t="n"/>
      <c r="B250" s="22" t="n"/>
      <c r="C250" s="22" t="n"/>
      <c r="D250" s="22" t="n"/>
      <c r="E250" s="22" t="n"/>
      <c r="F250" s="22" t="n"/>
      <c r="G250" s="22" t="n"/>
      <c r="H250" s="22" t="n"/>
      <c r="I250" s="22" t="n"/>
      <c r="J250" s="22" t="n"/>
      <c r="K250" s="22" t="n"/>
      <c r="L250" s="22" t="n"/>
      <c r="M250" s="22" t="n"/>
      <c r="N250" s="22" t="n"/>
      <c r="O250" s="22" t="n"/>
      <c r="P250" s="22" t="n"/>
      <c r="Q250" s="22" t="n"/>
      <c r="R250" s="22" t="n"/>
      <c r="S250" s="22" t="n"/>
      <c r="T250" s="22" t="n"/>
      <c r="U250" s="22" t="n"/>
      <c r="V250" s="22" t="n"/>
      <c r="W250" s="22" t="n"/>
      <c r="X250" s="22" t="n"/>
    </row>
    <row r="251">
      <c r="A251" s="324" t="n"/>
      <c r="B251" s="22" t="n"/>
      <c r="C251" s="22" t="n"/>
      <c r="D251" s="22" t="n"/>
      <c r="E251" s="22" t="n"/>
      <c r="F251" s="22" t="n"/>
      <c r="G251" s="22" t="n"/>
      <c r="H251" s="22" t="n"/>
      <c r="I251" s="22" t="n"/>
      <c r="J251" s="22" t="n"/>
      <c r="K251" s="22" t="n"/>
      <c r="L251" s="22" t="n"/>
      <c r="M251" s="22" t="n"/>
      <c r="N251" s="22" t="n"/>
      <c r="O251" s="22" t="n"/>
      <c r="P251" s="22" t="n"/>
      <c r="Q251" s="22" t="n"/>
      <c r="R251" s="22" t="n"/>
      <c r="S251" s="22" t="n"/>
      <c r="T251" s="22" t="n"/>
      <c r="U251" s="22" t="n"/>
      <c r="V251" s="22" t="n"/>
      <c r="W251" s="22" t="n"/>
      <c r="X251" s="22" t="n"/>
    </row>
    <row r="252">
      <c r="A252" s="324" t="n"/>
      <c r="B252" s="22" t="n"/>
      <c r="C252" s="22" t="n"/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2" t="n"/>
      <c r="M252" s="22" t="n"/>
      <c r="N252" s="22" t="n"/>
      <c r="O252" s="22" t="n"/>
      <c r="P252" s="22" t="n"/>
      <c r="Q252" s="22" t="n"/>
      <c r="R252" s="22" t="n"/>
      <c r="S252" s="22" t="n"/>
      <c r="T252" s="22" t="n"/>
      <c r="U252" s="22" t="n"/>
      <c r="V252" s="22" t="n"/>
      <c r="W252" s="22" t="n"/>
      <c r="X252" s="22" t="n"/>
    </row>
    <row r="253">
      <c r="A253" s="324" t="n"/>
      <c r="B253" s="22" t="n"/>
      <c r="C253" s="22" t="n"/>
      <c r="D253" s="22" t="n"/>
      <c r="E253" s="22" t="n"/>
      <c r="F253" s="22" t="n"/>
      <c r="G253" s="22" t="n"/>
      <c r="H253" s="22" t="n"/>
      <c r="I253" s="22" t="n"/>
      <c r="J253" s="22" t="n"/>
      <c r="K253" s="22" t="n"/>
      <c r="L253" s="22" t="n"/>
      <c r="M253" s="22" t="n"/>
      <c r="N253" s="22" t="n"/>
      <c r="O253" s="22" t="n"/>
      <c r="P253" s="22" t="n"/>
      <c r="Q253" s="22" t="n"/>
      <c r="R253" s="22" t="n"/>
      <c r="S253" s="22" t="n"/>
      <c r="T253" s="22" t="n"/>
      <c r="U253" s="22" t="n"/>
      <c r="V253" s="22" t="n"/>
      <c r="W253" s="22" t="n"/>
      <c r="X253" s="22" t="n"/>
    </row>
    <row r="254">
      <c r="A254" s="324" t="n"/>
      <c r="B254" s="22" t="n"/>
      <c r="C254" s="22" t="n"/>
      <c r="D254" s="22" t="n"/>
      <c r="E254" s="22" t="n"/>
      <c r="F254" s="22" t="n"/>
      <c r="G254" s="22" t="n"/>
      <c r="H254" s="22" t="n"/>
      <c r="I254" s="22" t="n"/>
      <c r="J254" s="22" t="n"/>
      <c r="K254" s="22" t="n"/>
      <c r="L254" s="22" t="n"/>
      <c r="M254" s="22" t="n"/>
      <c r="N254" s="22" t="n"/>
      <c r="O254" s="22" t="n"/>
      <c r="P254" s="22" t="n"/>
      <c r="Q254" s="22" t="n"/>
      <c r="R254" s="22" t="n"/>
      <c r="S254" s="22" t="n"/>
      <c r="T254" s="22" t="n"/>
      <c r="U254" s="22" t="n"/>
      <c r="V254" s="22" t="n"/>
      <c r="W254" s="22" t="n"/>
      <c r="X254" s="22" t="n"/>
    </row>
    <row r="255">
      <c r="A255" s="324" t="n"/>
      <c r="B255" s="22" t="n"/>
      <c r="C255" s="22" t="n"/>
      <c r="D255" s="22" t="n"/>
      <c r="E255" s="22" t="n"/>
      <c r="F255" s="22" t="n"/>
      <c r="G255" s="22" t="n"/>
      <c r="H255" s="22" t="n"/>
      <c r="I255" s="22" t="n"/>
      <c r="J255" s="22" t="n"/>
      <c r="K255" s="22" t="n"/>
      <c r="L255" s="22" t="n"/>
      <c r="M255" s="22" t="n"/>
      <c r="N255" s="22" t="n"/>
      <c r="O255" s="22" t="n"/>
      <c r="P255" s="22" t="n"/>
      <c r="Q255" s="22" t="n"/>
      <c r="R255" s="22" t="n"/>
      <c r="S255" s="22" t="n"/>
      <c r="T255" s="22" t="n"/>
      <c r="U255" s="22" t="n"/>
      <c r="V255" s="22" t="n"/>
      <c r="W255" s="22" t="n"/>
      <c r="X255" s="22" t="n"/>
    </row>
    <row r="256">
      <c r="A256" s="324" t="n"/>
      <c r="B256" s="22" t="n"/>
      <c r="C256" s="22" t="n"/>
      <c r="D256" s="22" t="n"/>
      <c r="E256" s="22" t="n"/>
      <c r="F256" s="22" t="n"/>
      <c r="G256" s="22" t="n"/>
      <c r="H256" s="22" t="n"/>
      <c r="I256" s="22" t="n"/>
      <c r="J256" s="22" t="n"/>
      <c r="K256" s="22" t="n"/>
      <c r="L256" s="22" t="n"/>
      <c r="M256" s="22" t="n"/>
      <c r="N256" s="22" t="n"/>
      <c r="O256" s="22" t="n"/>
      <c r="P256" s="22" t="n"/>
      <c r="Q256" s="22" t="n"/>
      <c r="R256" s="22" t="n"/>
      <c r="S256" s="22" t="n"/>
      <c r="T256" s="22" t="n"/>
      <c r="U256" s="22" t="n"/>
      <c r="V256" s="22" t="n"/>
      <c r="W256" s="22" t="n"/>
      <c r="X256" s="22" t="n"/>
    </row>
    <row r="257">
      <c r="A257" s="324" t="n"/>
      <c r="B257" s="22" t="n"/>
      <c r="C257" s="22" t="n"/>
      <c r="D257" s="22" t="n"/>
      <c r="E257" s="22" t="n"/>
      <c r="F257" s="22" t="n"/>
      <c r="G257" s="22" t="n"/>
      <c r="H257" s="22" t="n"/>
      <c r="I257" s="22" t="n"/>
      <c r="J257" s="22" t="n"/>
      <c r="K257" s="22" t="n"/>
      <c r="L257" s="22" t="n"/>
      <c r="M257" s="22" t="n"/>
      <c r="N257" s="22" t="n"/>
      <c r="O257" s="22" t="n"/>
      <c r="P257" s="22" t="n"/>
      <c r="Q257" s="22" t="n"/>
      <c r="R257" s="22" t="n"/>
      <c r="S257" s="22" t="n"/>
      <c r="T257" s="22" t="n"/>
      <c r="U257" s="22" t="n"/>
      <c r="V257" s="22" t="n"/>
      <c r="W257" s="22" t="n"/>
      <c r="X257" s="22" t="n"/>
    </row>
    <row r="258">
      <c r="A258" s="324" t="n"/>
      <c r="B258" s="22" t="n"/>
      <c r="C258" s="22" t="n"/>
      <c r="D258" s="22" t="n"/>
      <c r="E258" s="22" t="n"/>
      <c r="F258" s="22" t="n"/>
      <c r="G258" s="22" t="n"/>
      <c r="H258" s="22" t="n"/>
      <c r="I258" s="22" t="n"/>
      <c r="J258" s="22" t="n"/>
      <c r="K258" s="22" t="n"/>
      <c r="L258" s="22" t="n"/>
      <c r="M258" s="22" t="n"/>
      <c r="N258" s="22" t="n"/>
      <c r="O258" s="22" t="n"/>
      <c r="P258" s="22" t="n"/>
      <c r="Q258" s="22" t="n"/>
      <c r="R258" s="22" t="n"/>
      <c r="S258" s="22" t="n"/>
      <c r="T258" s="22" t="n"/>
      <c r="U258" s="22" t="n"/>
      <c r="V258" s="22" t="n"/>
      <c r="W258" s="22" t="n"/>
      <c r="X258" s="22" t="n"/>
    </row>
    <row r="259">
      <c r="A259" s="324" t="n"/>
      <c r="B259" s="22" t="n"/>
      <c r="C259" s="22" t="n"/>
      <c r="D259" s="22" t="n"/>
      <c r="E259" s="22" t="n"/>
      <c r="F259" s="22" t="n"/>
      <c r="G259" s="22" t="n"/>
      <c r="H259" s="22" t="n"/>
      <c r="I259" s="22" t="n"/>
      <c r="J259" s="22" t="n"/>
      <c r="K259" s="22" t="n"/>
      <c r="L259" s="22" t="n"/>
      <c r="M259" s="22" t="n"/>
      <c r="N259" s="22" t="n"/>
      <c r="O259" s="22" t="n"/>
      <c r="P259" s="22" t="n"/>
      <c r="Q259" s="22" t="n"/>
      <c r="R259" s="22" t="n"/>
      <c r="S259" s="22" t="n"/>
      <c r="T259" s="22" t="n"/>
      <c r="U259" s="22" t="n"/>
      <c r="V259" s="22" t="n"/>
      <c r="W259" s="22" t="n"/>
      <c r="X259" s="22" t="n"/>
    </row>
    <row r="260">
      <c r="A260" s="324" t="n"/>
      <c r="B260" s="22" t="n"/>
      <c r="C260" s="22" t="n"/>
      <c r="D260" s="22" t="n"/>
      <c r="E260" s="22" t="n"/>
      <c r="F260" s="22" t="n"/>
      <c r="G260" s="22" t="n"/>
      <c r="H260" s="22" t="n"/>
      <c r="I260" s="22" t="n"/>
      <c r="J260" s="22" t="n"/>
      <c r="K260" s="22" t="n"/>
      <c r="L260" s="22" t="n"/>
      <c r="M260" s="22" t="n"/>
      <c r="N260" s="22" t="n"/>
      <c r="O260" s="22" t="n"/>
      <c r="P260" s="22" t="n"/>
      <c r="Q260" s="22" t="n"/>
      <c r="R260" s="22" t="n"/>
      <c r="S260" s="22" t="n"/>
      <c r="T260" s="22" t="n"/>
      <c r="U260" s="22" t="n"/>
      <c r="V260" s="22" t="n"/>
      <c r="W260" s="22" t="n"/>
      <c r="X260" s="22" t="n"/>
    </row>
    <row r="261">
      <c r="A261" s="324" t="n"/>
      <c r="B261" s="22" t="n"/>
      <c r="C261" s="22" t="n"/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2" t="n"/>
      <c r="M261" s="22" t="n"/>
      <c r="N261" s="22" t="n"/>
      <c r="O261" s="22" t="n"/>
      <c r="P261" s="22" t="n"/>
      <c r="Q261" s="22" t="n"/>
      <c r="R261" s="22" t="n"/>
      <c r="S261" s="22" t="n"/>
      <c r="T261" s="22" t="n"/>
      <c r="U261" s="22" t="n"/>
      <c r="V261" s="22" t="n"/>
      <c r="W261" s="22" t="n"/>
      <c r="X261" s="22" t="n"/>
    </row>
    <row r="262">
      <c r="A262" s="324" t="n"/>
      <c r="B262" s="22" t="n"/>
      <c r="C262" s="22" t="n"/>
      <c r="D262" s="22" t="n"/>
      <c r="E262" s="22" t="n"/>
      <c r="F262" s="22" t="n"/>
      <c r="G262" s="22" t="n"/>
      <c r="H262" s="22" t="n"/>
      <c r="I262" s="22" t="n"/>
      <c r="J262" s="22" t="n"/>
      <c r="K262" s="22" t="n"/>
      <c r="L262" s="22" t="n"/>
      <c r="M262" s="22" t="n"/>
      <c r="N262" s="22" t="n"/>
      <c r="O262" s="22" t="n"/>
      <c r="P262" s="22" t="n"/>
      <c r="Q262" s="22" t="n"/>
      <c r="R262" s="22" t="n"/>
      <c r="S262" s="22" t="n"/>
      <c r="T262" s="22" t="n"/>
      <c r="U262" s="22" t="n"/>
      <c r="V262" s="22" t="n"/>
      <c r="W262" s="22" t="n"/>
      <c r="X262" s="22" t="n"/>
    </row>
    <row r="263">
      <c r="A263" s="324" t="n"/>
      <c r="B263" s="22" t="n"/>
      <c r="C263" s="22" t="n"/>
      <c r="D263" s="22" t="n"/>
      <c r="E263" s="22" t="n"/>
      <c r="F263" s="22" t="n"/>
      <c r="G263" s="22" t="n"/>
      <c r="H263" s="22" t="n"/>
      <c r="I263" s="22" t="n"/>
      <c r="J263" s="22" t="n"/>
      <c r="K263" s="22" t="n"/>
      <c r="L263" s="22" t="n"/>
      <c r="M263" s="22" t="n"/>
      <c r="N263" s="22" t="n"/>
      <c r="O263" s="22" t="n"/>
      <c r="P263" s="22" t="n"/>
      <c r="Q263" s="22" t="n"/>
      <c r="R263" s="22" t="n"/>
      <c r="S263" s="22" t="n"/>
      <c r="T263" s="22" t="n"/>
      <c r="U263" s="22" t="n"/>
      <c r="V263" s="22" t="n"/>
      <c r="W263" s="22" t="n"/>
      <c r="X263" s="22" t="n"/>
    </row>
    <row r="264">
      <c r="A264" s="324" t="n"/>
      <c r="B264" s="22" t="n"/>
      <c r="C264" s="22" t="n"/>
      <c r="D264" s="22" t="n"/>
      <c r="E264" s="22" t="n"/>
      <c r="F264" s="22" t="n"/>
      <c r="G264" s="22" t="n"/>
      <c r="H264" s="22" t="n"/>
      <c r="I264" s="22" t="n"/>
      <c r="J264" s="22" t="n"/>
      <c r="K264" s="22" t="n"/>
      <c r="L264" s="22" t="n"/>
      <c r="M264" s="22" t="n"/>
      <c r="N264" s="22" t="n"/>
      <c r="O264" s="22" t="n"/>
      <c r="P264" s="22" t="n"/>
      <c r="Q264" s="22" t="n"/>
      <c r="R264" s="22" t="n"/>
      <c r="S264" s="22" t="n"/>
      <c r="T264" s="22" t="n"/>
      <c r="U264" s="22" t="n"/>
      <c r="V264" s="22" t="n"/>
      <c r="W264" s="22" t="n"/>
      <c r="X264" s="22" t="n"/>
    </row>
    <row r="265">
      <c r="A265" s="324" t="n"/>
      <c r="B265" s="22" t="n"/>
      <c r="C265" s="22" t="n"/>
      <c r="D265" s="22" t="n"/>
      <c r="E265" s="22" t="n"/>
      <c r="F265" s="22" t="n"/>
      <c r="G265" s="22" t="n"/>
      <c r="H265" s="22" t="n"/>
      <c r="I265" s="22" t="n"/>
      <c r="J265" s="22" t="n"/>
      <c r="K265" s="22" t="n"/>
      <c r="L265" s="22" t="n"/>
      <c r="M265" s="22" t="n"/>
      <c r="N265" s="22" t="n"/>
      <c r="O265" s="22" t="n"/>
      <c r="P265" s="22" t="n"/>
      <c r="Q265" s="22" t="n"/>
      <c r="R265" s="22" t="n"/>
      <c r="S265" s="22" t="n"/>
      <c r="T265" s="22" t="n"/>
      <c r="U265" s="22" t="n"/>
      <c r="V265" s="22" t="n"/>
      <c r="W265" s="22" t="n"/>
      <c r="X265" s="22" t="n"/>
    </row>
    <row r="266">
      <c r="A266" s="324" t="n"/>
      <c r="B266" s="22" t="n"/>
      <c r="C266" s="22" t="n"/>
      <c r="D266" s="22" t="n"/>
      <c r="E266" s="22" t="n"/>
      <c r="F266" s="22" t="n"/>
      <c r="G266" s="22" t="n"/>
      <c r="H266" s="22" t="n"/>
      <c r="I266" s="22" t="n"/>
      <c r="J266" s="22" t="n"/>
      <c r="K266" s="22" t="n"/>
      <c r="L266" s="22" t="n"/>
      <c r="M266" s="22" t="n"/>
      <c r="N266" s="22" t="n"/>
      <c r="O266" s="22" t="n"/>
      <c r="P266" s="22" t="n"/>
      <c r="Q266" s="22" t="n"/>
      <c r="R266" s="22" t="n"/>
      <c r="S266" s="22" t="n"/>
      <c r="T266" s="22" t="n"/>
      <c r="U266" s="22" t="n"/>
      <c r="V266" s="22" t="n"/>
      <c r="W266" s="22" t="n"/>
      <c r="X266" s="22" t="n"/>
    </row>
    <row r="267">
      <c r="A267" s="324" t="n"/>
      <c r="B267" s="22" t="n"/>
      <c r="C267" s="22" t="n"/>
      <c r="D267" s="22" t="n"/>
      <c r="E267" s="22" t="n"/>
      <c r="F267" s="22" t="n"/>
      <c r="G267" s="22" t="n"/>
      <c r="H267" s="22" t="n"/>
      <c r="I267" s="22" t="n"/>
      <c r="J267" s="22" t="n"/>
      <c r="K267" s="22" t="n"/>
      <c r="L267" s="22" t="n"/>
      <c r="M267" s="22" t="n"/>
      <c r="N267" s="22" t="n"/>
      <c r="O267" s="22" t="n"/>
      <c r="P267" s="22" t="n"/>
      <c r="Q267" s="22" t="n"/>
      <c r="R267" s="22" t="n"/>
      <c r="S267" s="22" t="n"/>
      <c r="T267" s="22" t="n"/>
      <c r="U267" s="22" t="n"/>
      <c r="V267" s="22" t="n"/>
      <c r="W267" s="22" t="n"/>
      <c r="X267" s="22" t="n"/>
    </row>
    <row r="268">
      <c r="A268" s="324" t="n"/>
      <c r="B268" s="22" t="n"/>
      <c r="C268" s="22" t="n"/>
      <c r="D268" s="22" t="n"/>
      <c r="E268" s="22" t="n"/>
      <c r="F268" s="22" t="n"/>
      <c r="G268" s="22" t="n"/>
      <c r="H268" s="22" t="n"/>
      <c r="I268" s="22" t="n"/>
      <c r="J268" s="22" t="n"/>
      <c r="K268" s="22" t="n"/>
      <c r="L268" s="22" t="n"/>
      <c r="M268" s="22" t="n"/>
      <c r="N268" s="22" t="n"/>
      <c r="O268" s="22" t="n"/>
      <c r="P268" s="22" t="n"/>
      <c r="Q268" s="22" t="n"/>
      <c r="R268" s="22" t="n"/>
      <c r="S268" s="22" t="n"/>
      <c r="T268" s="22" t="n"/>
      <c r="U268" s="22" t="n"/>
      <c r="V268" s="22" t="n"/>
      <c r="W268" s="22" t="n"/>
      <c r="X268" s="22" t="n"/>
    </row>
    <row r="269">
      <c r="A269" s="324" t="n"/>
      <c r="B269" s="22" t="n"/>
      <c r="C269" s="22" t="n"/>
      <c r="D269" s="22" t="n"/>
      <c r="E269" s="22" t="n"/>
      <c r="F269" s="22" t="n"/>
      <c r="G269" s="22" t="n"/>
      <c r="H269" s="22" t="n"/>
      <c r="I269" s="22" t="n"/>
      <c r="J269" s="22" t="n"/>
      <c r="K269" s="22" t="n"/>
      <c r="L269" s="22" t="n"/>
      <c r="M269" s="22" t="n"/>
      <c r="N269" s="22" t="n"/>
      <c r="O269" s="22" t="n"/>
      <c r="P269" s="22" t="n"/>
      <c r="Q269" s="22" t="n"/>
      <c r="R269" s="22" t="n"/>
      <c r="S269" s="22" t="n"/>
      <c r="T269" s="22" t="n"/>
      <c r="U269" s="22" t="n"/>
      <c r="V269" s="22" t="n"/>
      <c r="W269" s="22" t="n"/>
      <c r="X269" s="22" t="n"/>
    </row>
    <row r="270">
      <c r="A270" s="324" t="n"/>
      <c r="B270" s="22" t="n"/>
      <c r="C270" s="22" t="n"/>
      <c r="D270" s="22" t="n"/>
      <c r="E270" s="22" t="n"/>
      <c r="F270" s="22" t="n"/>
      <c r="G270" s="22" t="n"/>
      <c r="H270" s="22" t="n"/>
      <c r="I270" s="22" t="n"/>
      <c r="J270" s="22" t="n"/>
      <c r="K270" s="22" t="n"/>
      <c r="L270" s="22" t="n"/>
      <c r="M270" s="22" t="n"/>
      <c r="N270" s="22" t="n"/>
      <c r="O270" s="22" t="n"/>
      <c r="P270" s="22" t="n"/>
      <c r="Q270" s="22" t="n"/>
      <c r="R270" s="22" t="n"/>
      <c r="S270" s="22" t="n"/>
      <c r="T270" s="22" t="n"/>
      <c r="U270" s="22" t="n"/>
      <c r="V270" s="22" t="n"/>
      <c r="W270" s="22" t="n"/>
      <c r="X270" s="22" t="n"/>
    </row>
    <row r="271">
      <c r="A271" s="324" t="n"/>
      <c r="B271" s="22" t="n"/>
      <c r="C271" s="22" t="n"/>
      <c r="D271" s="22" t="n"/>
      <c r="E271" s="22" t="n"/>
      <c r="F271" s="22" t="n"/>
      <c r="G271" s="22" t="n"/>
      <c r="H271" s="22" t="n"/>
      <c r="I271" s="22" t="n"/>
      <c r="J271" s="22" t="n"/>
      <c r="K271" s="22" t="n"/>
      <c r="L271" s="22" t="n"/>
      <c r="M271" s="22" t="n"/>
      <c r="N271" s="22" t="n"/>
      <c r="O271" s="22" t="n"/>
      <c r="P271" s="22" t="n"/>
      <c r="Q271" s="22" t="n"/>
      <c r="R271" s="22" t="n"/>
      <c r="S271" s="22" t="n"/>
      <c r="T271" s="22" t="n"/>
      <c r="U271" s="22" t="n"/>
      <c r="V271" s="22" t="n"/>
      <c r="W271" s="22" t="n"/>
      <c r="X271" s="22" t="n"/>
    </row>
    <row r="272">
      <c r="A272" s="324" t="n"/>
      <c r="B272" s="22" t="n"/>
      <c r="C272" s="22" t="n"/>
      <c r="D272" s="22" t="n"/>
      <c r="E272" s="22" t="n"/>
      <c r="F272" s="22" t="n"/>
      <c r="G272" s="22" t="n"/>
      <c r="H272" s="22" t="n"/>
      <c r="I272" s="22" t="n"/>
      <c r="J272" s="22" t="n"/>
      <c r="K272" s="22" t="n"/>
      <c r="L272" s="22" t="n"/>
      <c r="M272" s="22" t="n"/>
      <c r="N272" s="22" t="n"/>
      <c r="O272" s="22" t="n"/>
      <c r="P272" s="22" t="n"/>
      <c r="Q272" s="22" t="n"/>
      <c r="R272" s="22" t="n"/>
      <c r="S272" s="22" t="n"/>
      <c r="T272" s="22" t="n"/>
      <c r="U272" s="22" t="n"/>
      <c r="V272" s="22" t="n"/>
      <c r="W272" s="22" t="n"/>
      <c r="X272" s="22" t="n"/>
    </row>
    <row r="273">
      <c r="A273" s="324" t="n"/>
      <c r="B273" s="22" t="n"/>
      <c r="C273" s="22" t="n"/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2" t="n"/>
      <c r="R273" s="22" t="n"/>
      <c r="S273" s="22" t="n"/>
      <c r="T273" s="22" t="n"/>
      <c r="U273" s="22" t="n"/>
      <c r="V273" s="22" t="n"/>
      <c r="W273" s="22" t="n"/>
      <c r="X273" s="22" t="n"/>
    </row>
    <row r="274">
      <c r="A274" s="324" t="n"/>
      <c r="B274" s="22" t="n"/>
      <c r="C274" s="22" t="n"/>
      <c r="D274" s="22" t="n"/>
      <c r="E274" s="22" t="n"/>
      <c r="F274" s="22" t="n"/>
      <c r="G274" s="22" t="n"/>
      <c r="H274" s="22" t="n"/>
      <c r="I274" s="22" t="n"/>
      <c r="J274" s="22" t="n"/>
      <c r="K274" s="22" t="n"/>
      <c r="L274" s="22" t="n"/>
      <c r="M274" s="22" t="n"/>
      <c r="N274" s="22" t="n"/>
      <c r="O274" s="22" t="n"/>
      <c r="P274" s="22" t="n"/>
      <c r="Q274" s="22" t="n"/>
      <c r="R274" s="22" t="n"/>
      <c r="S274" s="22" t="n"/>
      <c r="T274" s="22" t="n"/>
      <c r="U274" s="22" t="n"/>
      <c r="V274" s="22" t="n"/>
      <c r="W274" s="22" t="n"/>
      <c r="X274" s="22" t="n"/>
    </row>
    <row r="275">
      <c r="A275" s="324" t="n"/>
      <c r="B275" s="22" t="n"/>
      <c r="C275" s="22" t="n"/>
      <c r="D275" s="22" t="n"/>
      <c r="E275" s="22" t="n"/>
      <c r="F275" s="22" t="n"/>
      <c r="G275" s="22" t="n"/>
      <c r="H275" s="22" t="n"/>
      <c r="I275" s="22" t="n"/>
      <c r="J275" s="22" t="n"/>
      <c r="K275" s="22" t="n"/>
      <c r="L275" s="22" t="n"/>
      <c r="M275" s="22" t="n"/>
      <c r="N275" s="22" t="n"/>
      <c r="O275" s="22" t="n"/>
      <c r="P275" s="22" t="n"/>
      <c r="Q275" s="22" t="n"/>
      <c r="R275" s="22" t="n"/>
      <c r="S275" s="22" t="n"/>
      <c r="T275" s="22" t="n"/>
      <c r="U275" s="22" t="n"/>
      <c r="V275" s="22" t="n"/>
      <c r="W275" s="22" t="n"/>
      <c r="X275" s="22" t="n"/>
    </row>
    <row r="276">
      <c r="A276" s="324" t="n"/>
      <c r="B276" s="22" t="n"/>
      <c r="C276" s="22" t="n"/>
      <c r="D276" s="22" t="n"/>
      <c r="E276" s="22" t="n"/>
      <c r="F276" s="22" t="n"/>
      <c r="G276" s="22" t="n"/>
      <c r="H276" s="22" t="n"/>
      <c r="I276" s="22" t="n"/>
      <c r="J276" s="22" t="n"/>
      <c r="K276" s="22" t="n"/>
      <c r="L276" s="22" t="n"/>
      <c r="M276" s="22" t="n"/>
      <c r="N276" s="22" t="n"/>
      <c r="O276" s="22" t="n"/>
      <c r="P276" s="22" t="n"/>
      <c r="Q276" s="22" t="n"/>
      <c r="R276" s="22" t="n"/>
      <c r="S276" s="22" t="n"/>
      <c r="T276" s="22" t="n"/>
      <c r="U276" s="22" t="n"/>
      <c r="V276" s="22" t="n"/>
      <c r="W276" s="22" t="n"/>
      <c r="X276" s="22" t="n"/>
    </row>
    <row r="277">
      <c r="A277" s="324" t="n"/>
      <c r="B277" s="22" t="n"/>
      <c r="C277" s="22" t="n"/>
      <c r="D277" s="22" t="n"/>
      <c r="E277" s="22" t="n"/>
      <c r="F277" s="22" t="n"/>
      <c r="G277" s="22" t="n"/>
      <c r="H277" s="22" t="n"/>
      <c r="I277" s="22" t="n"/>
      <c r="J277" s="22" t="n"/>
      <c r="K277" s="22" t="n"/>
      <c r="L277" s="22" t="n"/>
      <c r="M277" s="22" t="n"/>
      <c r="N277" s="22" t="n"/>
      <c r="O277" s="22" t="n"/>
      <c r="P277" s="22" t="n"/>
      <c r="Q277" s="22" t="n"/>
      <c r="R277" s="22" t="n"/>
      <c r="S277" s="22" t="n"/>
      <c r="T277" s="22" t="n"/>
      <c r="U277" s="22" t="n"/>
      <c r="V277" s="22" t="n"/>
      <c r="W277" s="22" t="n"/>
      <c r="X277" s="22" t="n"/>
    </row>
    <row r="278">
      <c r="A278" s="324" t="n"/>
      <c r="B278" s="22" t="n"/>
      <c r="C278" s="22" t="n"/>
      <c r="D278" s="22" t="n"/>
      <c r="E278" s="22" t="n"/>
      <c r="F278" s="22" t="n"/>
      <c r="G278" s="22" t="n"/>
      <c r="H278" s="22" t="n"/>
      <c r="I278" s="22" t="n"/>
      <c r="J278" s="22" t="n"/>
      <c r="K278" s="22" t="n"/>
      <c r="L278" s="22" t="n"/>
      <c r="M278" s="22" t="n"/>
      <c r="N278" s="22" t="n"/>
      <c r="O278" s="22" t="n"/>
      <c r="P278" s="22" t="n"/>
      <c r="Q278" s="22" t="n"/>
      <c r="R278" s="22" t="n"/>
      <c r="S278" s="22" t="n"/>
      <c r="T278" s="22" t="n"/>
      <c r="U278" s="22" t="n"/>
      <c r="V278" s="22" t="n"/>
      <c r="W278" s="22" t="n"/>
      <c r="X278" s="22" t="n"/>
    </row>
    <row r="279">
      <c r="A279" s="324" t="n"/>
      <c r="B279" s="22" t="n"/>
      <c r="C279" s="22" t="n"/>
      <c r="D279" s="22" t="n"/>
      <c r="E279" s="22" t="n"/>
      <c r="F279" s="22" t="n"/>
      <c r="G279" s="22" t="n"/>
      <c r="H279" s="22" t="n"/>
      <c r="I279" s="22" t="n"/>
      <c r="J279" s="22" t="n"/>
      <c r="K279" s="22" t="n"/>
      <c r="L279" s="22" t="n"/>
      <c r="M279" s="22" t="n"/>
      <c r="N279" s="22" t="n"/>
      <c r="O279" s="22" t="n"/>
      <c r="P279" s="22" t="n"/>
      <c r="Q279" s="22" t="n"/>
      <c r="R279" s="22" t="n"/>
      <c r="S279" s="22" t="n"/>
      <c r="T279" s="22" t="n"/>
      <c r="U279" s="22" t="n"/>
      <c r="V279" s="22" t="n"/>
      <c r="W279" s="22" t="n"/>
      <c r="X279" s="22" t="n"/>
    </row>
    <row r="280">
      <c r="A280" s="324" t="n"/>
      <c r="B280" s="22" t="n"/>
      <c r="C280" s="22" t="n"/>
      <c r="D280" s="22" t="n"/>
      <c r="E280" s="22" t="n"/>
      <c r="F280" s="22" t="n"/>
      <c r="G280" s="22" t="n"/>
      <c r="H280" s="22" t="n"/>
      <c r="I280" s="22" t="n"/>
      <c r="J280" s="22" t="n"/>
      <c r="K280" s="22" t="n"/>
      <c r="L280" s="22" t="n"/>
      <c r="M280" s="22" t="n"/>
      <c r="N280" s="22" t="n"/>
      <c r="O280" s="22" t="n"/>
      <c r="P280" s="22" t="n"/>
      <c r="Q280" s="22" t="n"/>
      <c r="R280" s="22" t="n"/>
      <c r="S280" s="22" t="n"/>
      <c r="T280" s="22" t="n"/>
      <c r="U280" s="22" t="n"/>
      <c r="V280" s="22" t="n"/>
      <c r="W280" s="22" t="n"/>
      <c r="X280" s="22" t="n"/>
    </row>
    <row r="281">
      <c r="A281" s="324" t="n"/>
      <c r="B281" s="22" t="n"/>
      <c r="C281" s="22" t="n"/>
      <c r="D281" s="22" t="n"/>
      <c r="E281" s="22" t="n"/>
      <c r="F281" s="22" t="n"/>
      <c r="G281" s="22" t="n"/>
      <c r="H281" s="22" t="n"/>
      <c r="I281" s="22" t="n"/>
      <c r="J281" s="22" t="n"/>
      <c r="K281" s="22" t="n"/>
      <c r="L281" s="22" t="n"/>
      <c r="M281" s="22" t="n"/>
      <c r="N281" s="22" t="n"/>
      <c r="O281" s="22" t="n"/>
      <c r="P281" s="22" t="n"/>
      <c r="Q281" s="22" t="n"/>
      <c r="R281" s="22" t="n"/>
      <c r="S281" s="22" t="n"/>
      <c r="T281" s="22" t="n"/>
      <c r="U281" s="22" t="n"/>
      <c r="V281" s="22" t="n"/>
      <c r="W281" s="22" t="n"/>
      <c r="X281" s="22" t="n"/>
    </row>
    <row r="282">
      <c r="A282" s="324" t="n"/>
      <c r="B282" s="22" t="n"/>
      <c r="C282" s="22" t="n"/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2" t="n"/>
      <c r="R282" s="22" t="n"/>
      <c r="S282" s="22" t="n"/>
      <c r="T282" s="22" t="n"/>
      <c r="U282" s="22" t="n"/>
      <c r="V282" s="22" t="n"/>
      <c r="W282" s="22" t="n"/>
      <c r="X282" s="22" t="n"/>
    </row>
    <row r="283">
      <c r="A283" s="324" t="n"/>
      <c r="B283" s="22" t="n"/>
      <c r="C283" s="22" t="n"/>
      <c r="D283" s="22" t="n"/>
      <c r="E283" s="22" t="n"/>
      <c r="F283" s="22" t="n"/>
      <c r="G283" s="22" t="n"/>
      <c r="H283" s="22" t="n"/>
      <c r="I283" s="22" t="n"/>
      <c r="J283" s="22" t="n"/>
      <c r="K283" s="22" t="n"/>
      <c r="L283" s="22" t="n"/>
      <c r="M283" s="22" t="n"/>
      <c r="N283" s="22" t="n"/>
      <c r="O283" s="22" t="n"/>
      <c r="P283" s="22" t="n"/>
      <c r="Q283" s="22" t="n"/>
      <c r="R283" s="22" t="n"/>
      <c r="S283" s="22" t="n"/>
      <c r="T283" s="22" t="n"/>
      <c r="U283" s="22" t="n"/>
      <c r="V283" s="22" t="n"/>
      <c r="W283" s="22" t="n"/>
      <c r="X283" s="22" t="n"/>
    </row>
    <row r="284">
      <c r="A284" s="324" t="n"/>
      <c r="B284" s="22" t="n"/>
      <c r="C284" s="22" t="n"/>
      <c r="D284" s="22" t="n"/>
      <c r="E284" s="22" t="n"/>
      <c r="F284" s="22" t="n"/>
      <c r="G284" s="22" t="n"/>
      <c r="H284" s="22" t="n"/>
      <c r="I284" s="22" t="n"/>
      <c r="J284" s="22" t="n"/>
      <c r="K284" s="22" t="n"/>
      <c r="L284" s="22" t="n"/>
      <c r="M284" s="22" t="n"/>
      <c r="N284" s="22" t="n"/>
      <c r="O284" s="22" t="n"/>
      <c r="P284" s="22" t="n"/>
      <c r="Q284" s="22" t="n"/>
      <c r="R284" s="22" t="n"/>
      <c r="S284" s="22" t="n"/>
      <c r="T284" s="22" t="n"/>
      <c r="U284" s="22" t="n"/>
      <c r="V284" s="22" t="n"/>
      <c r="W284" s="22" t="n"/>
      <c r="X284" s="22" t="n"/>
    </row>
    <row r="285">
      <c r="A285" s="324" t="n"/>
      <c r="B285" s="22" t="n"/>
      <c r="C285" s="22" t="n"/>
      <c r="D285" s="22" t="n"/>
      <c r="E285" s="22" t="n"/>
      <c r="F285" s="22" t="n"/>
      <c r="G285" s="22" t="n"/>
      <c r="H285" s="22" t="n"/>
      <c r="I285" s="22" t="n"/>
      <c r="J285" s="22" t="n"/>
      <c r="K285" s="22" t="n"/>
      <c r="L285" s="22" t="n"/>
      <c r="M285" s="22" t="n"/>
      <c r="N285" s="22" t="n"/>
      <c r="O285" s="22" t="n"/>
      <c r="P285" s="22" t="n"/>
      <c r="Q285" s="22" t="n"/>
      <c r="R285" s="22" t="n"/>
      <c r="S285" s="22" t="n"/>
      <c r="T285" s="22" t="n"/>
      <c r="U285" s="22" t="n"/>
      <c r="V285" s="22" t="n"/>
      <c r="W285" s="22" t="n"/>
      <c r="X285" s="22" t="n"/>
    </row>
    <row r="286">
      <c r="A286" s="324" t="n"/>
      <c r="B286" s="22" t="n"/>
      <c r="C286" s="22" t="n"/>
      <c r="D286" s="22" t="n"/>
      <c r="E286" s="22" t="n"/>
      <c r="F286" s="22" t="n"/>
      <c r="G286" s="22" t="n"/>
      <c r="H286" s="22" t="n"/>
      <c r="I286" s="22" t="n"/>
      <c r="J286" s="22" t="n"/>
      <c r="K286" s="22" t="n"/>
      <c r="L286" s="22" t="n"/>
      <c r="M286" s="22" t="n"/>
      <c r="N286" s="22" t="n"/>
      <c r="O286" s="22" t="n"/>
      <c r="P286" s="22" t="n"/>
      <c r="Q286" s="22" t="n"/>
      <c r="R286" s="22" t="n"/>
      <c r="S286" s="22" t="n"/>
      <c r="T286" s="22" t="n"/>
      <c r="U286" s="22" t="n"/>
      <c r="V286" s="22" t="n"/>
      <c r="W286" s="22" t="n"/>
      <c r="X286" s="22" t="n"/>
    </row>
    <row r="287">
      <c r="A287" s="324" t="n"/>
      <c r="B287" s="22" t="n"/>
      <c r="C287" s="22" t="n"/>
      <c r="D287" s="22" t="n"/>
      <c r="E287" s="22" t="n"/>
      <c r="F287" s="22" t="n"/>
      <c r="G287" s="22" t="n"/>
      <c r="H287" s="22" t="n"/>
      <c r="I287" s="22" t="n"/>
      <c r="J287" s="22" t="n"/>
      <c r="K287" s="22" t="n"/>
      <c r="L287" s="22" t="n"/>
      <c r="M287" s="22" t="n"/>
      <c r="N287" s="22" t="n"/>
      <c r="O287" s="22" t="n"/>
      <c r="P287" s="22" t="n"/>
      <c r="Q287" s="22" t="n"/>
      <c r="R287" s="22" t="n"/>
      <c r="S287" s="22" t="n"/>
      <c r="T287" s="22" t="n"/>
      <c r="U287" s="22" t="n"/>
      <c r="V287" s="22" t="n"/>
      <c r="W287" s="22" t="n"/>
      <c r="X287" s="22" t="n"/>
    </row>
    <row r="288">
      <c r="A288" s="324" t="n"/>
      <c r="B288" s="22" t="n"/>
      <c r="C288" s="22" t="n"/>
      <c r="D288" s="22" t="n"/>
      <c r="E288" s="22" t="n"/>
      <c r="F288" s="22" t="n"/>
      <c r="G288" s="22" t="n"/>
      <c r="H288" s="22" t="n"/>
      <c r="I288" s="22" t="n"/>
      <c r="J288" s="22" t="n"/>
      <c r="K288" s="22" t="n"/>
      <c r="L288" s="22" t="n"/>
      <c r="M288" s="22" t="n"/>
      <c r="N288" s="22" t="n"/>
      <c r="O288" s="22" t="n"/>
      <c r="P288" s="22" t="n"/>
      <c r="Q288" s="22" t="n"/>
      <c r="R288" s="22" t="n"/>
      <c r="S288" s="22" t="n"/>
      <c r="T288" s="22" t="n"/>
      <c r="U288" s="22" t="n"/>
      <c r="V288" s="22" t="n"/>
      <c r="W288" s="22" t="n"/>
      <c r="X288" s="22" t="n"/>
    </row>
    <row r="289">
      <c r="A289" s="324" t="n"/>
      <c r="B289" s="22" t="n"/>
      <c r="C289" s="22" t="n"/>
      <c r="D289" s="22" t="n"/>
      <c r="E289" s="22" t="n"/>
      <c r="F289" s="22" t="n"/>
      <c r="G289" s="22" t="n"/>
      <c r="H289" s="22" t="n"/>
      <c r="I289" s="22" t="n"/>
      <c r="J289" s="22" t="n"/>
      <c r="K289" s="22" t="n"/>
      <c r="L289" s="22" t="n"/>
      <c r="M289" s="22" t="n"/>
      <c r="N289" s="22" t="n"/>
      <c r="O289" s="22" t="n"/>
      <c r="P289" s="22" t="n"/>
      <c r="Q289" s="22" t="n"/>
      <c r="R289" s="22" t="n"/>
      <c r="S289" s="22" t="n"/>
      <c r="T289" s="22" t="n"/>
      <c r="U289" s="22" t="n"/>
      <c r="V289" s="22" t="n"/>
      <c r="W289" s="22" t="n"/>
      <c r="X289" s="22" t="n"/>
    </row>
    <row r="290">
      <c r="A290" s="324" t="n"/>
      <c r="B290" s="22" t="n"/>
      <c r="C290" s="22" t="n"/>
      <c r="D290" s="22" t="n"/>
      <c r="E290" s="22" t="n"/>
      <c r="F290" s="22" t="n"/>
      <c r="G290" s="22" t="n"/>
      <c r="H290" s="22" t="n"/>
      <c r="I290" s="22" t="n"/>
      <c r="J290" s="22" t="n"/>
      <c r="K290" s="22" t="n"/>
      <c r="L290" s="22" t="n"/>
      <c r="M290" s="22" t="n"/>
      <c r="N290" s="22" t="n"/>
      <c r="O290" s="22" t="n"/>
      <c r="P290" s="22" t="n"/>
      <c r="Q290" s="22" t="n"/>
      <c r="R290" s="22" t="n"/>
      <c r="S290" s="22" t="n"/>
      <c r="T290" s="22" t="n"/>
      <c r="U290" s="22" t="n"/>
      <c r="V290" s="22" t="n"/>
      <c r="W290" s="22" t="n"/>
      <c r="X290" s="22" t="n"/>
    </row>
    <row r="291">
      <c r="A291" s="324" t="n"/>
      <c r="B291" s="22" t="n"/>
      <c r="C291" s="22" t="n"/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2" t="n"/>
      <c r="R291" s="22" t="n"/>
      <c r="S291" s="22" t="n"/>
      <c r="T291" s="22" t="n"/>
      <c r="U291" s="22" t="n"/>
      <c r="V291" s="22" t="n"/>
      <c r="W291" s="22" t="n"/>
      <c r="X291" s="22" t="n"/>
    </row>
    <row r="292">
      <c r="A292" s="324" t="n"/>
      <c r="B292" s="22" t="n"/>
      <c r="C292" s="22" t="n"/>
      <c r="D292" s="22" t="n"/>
      <c r="E292" s="22" t="n"/>
      <c r="F292" s="22" t="n"/>
      <c r="G292" s="22" t="n"/>
      <c r="H292" s="22" t="n"/>
      <c r="I292" s="22" t="n"/>
      <c r="J292" s="22" t="n"/>
      <c r="K292" s="22" t="n"/>
      <c r="L292" s="22" t="n"/>
      <c r="M292" s="22" t="n"/>
      <c r="N292" s="22" t="n"/>
      <c r="O292" s="22" t="n"/>
      <c r="P292" s="22" t="n"/>
      <c r="Q292" s="22" t="n"/>
      <c r="R292" s="22" t="n"/>
      <c r="S292" s="22" t="n"/>
      <c r="T292" s="22" t="n"/>
      <c r="U292" s="22" t="n"/>
      <c r="V292" s="22" t="n"/>
      <c r="W292" s="22" t="n"/>
      <c r="X292" s="22" t="n"/>
    </row>
    <row r="293">
      <c r="A293" s="324" t="n"/>
      <c r="B293" s="22" t="n"/>
      <c r="C293" s="22" t="n"/>
      <c r="D293" s="22" t="n"/>
      <c r="E293" s="22" t="n"/>
      <c r="F293" s="22" t="n"/>
      <c r="G293" s="22" t="n"/>
      <c r="H293" s="22" t="n"/>
      <c r="I293" s="22" t="n"/>
      <c r="J293" s="22" t="n"/>
      <c r="K293" s="22" t="n"/>
      <c r="L293" s="22" t="n"/>
      <c r="M293" s="22" t="n"/>
      <c r="N293" s="22" t="n"/>
      <c r="O293" s="22" t="n"/>
      <c r="P293" s="22" t="n"/>
      <c r="Q293" s="22" t="n"/>
      <c r="R293" s="22" t="n"/>
      <c r="S293" s="22" t="n"/>
      <c r="T293" s="22" t="n"/>
      <c r="U293" s="22" t="n"/>
      <c r="V293" s="22" t="n"/>
      <c r="W293" s="22" t="n"/>
      <c r="X293" s="22" t="n"/>
    </row>
    <row r="294">
      <c r="A294" s="324" t="n"/>
      <c r="B294" s="22" t="n"/>
      <c r="C294" s="22" t="n"/>
      <c r="D294" s="22" t="n"/>
      <c r="E294" s="22" t="n"/>
      <c r="F294" s="22" t="n"/>
      <c r="G294" s="22" t="n"/>
      <c r="H294" s="22" t="n"/>
      <c r="I294" s="22" t="n"/>
      <c r="J294" s="22" t="n"/>
      <c r="K294" s="22" t="n"/>
      <c r="L294" s="22" t="n"/>
      <c r="M294" s="22" t="n"/>
      <c r="N294" s="22" t="n"/>
      <c r="O294" s="22" t="n"/>
      <c r="P294" s="22" t="n"/>
      <c r="Q294" s="22" t="n"/>
      <c r="R294" s="22" t="n"/>
      <c r="S294" s="22" t="n"/>
      <c r="T294" s="22" t="n"/>
      <c r="U294" s="22" t="n"/>
      <c r="V294" s="22" t="n"/>
      <c r="W294" s="22" t="n"/>
      <c r="X294" s="22" t="n"/>
    </row>
    <row r="295">
      <c r="A295" s="324" t="n"/>
      <c r="B295" s="22" t="n"/>
      <c r="C295" s="22" t="n"/>
      <c r="D295" s="22" t="n"/>
      <c r="E295" s="22" t="n"/>
      <c r="F295" s="22" t="n"/>
      <c r="G295" s="22" t="n"/>
      <c r="H295" s="22" t="n"/>
      <c r="I295" s="22" t="n"/>
      <c r="J295" s="22" t="n"/>
      <c r="K295" s="22" t="n"/>
      <c r="L295" s="22" t="n"/>
      <c r="M295" s="22" t="n"/>
      <c r="N295" s="22" t="n"/>
      <c r="O295" s="22" t="n"/>
      <c r="P295" s="22" t="n"/>
      <c r="Q295" s="22" t="n"/>
      <c r="R295" s="22" t="n"/>
      <c r="S295" s="22" t="n"/>
      <c r="T295" s="22" t="n"/>
      <c r="U295" s="22" t="n"/>
      <c r="V295" s="22" t="n"/>
      <c r="W295" s="22" t="n"/>
      <c r="X295" s="22" t="n"/>
    </row>
    <row r="296">
      <c r="A296" s="324" t="n"/>
      <c r="B296" s="22" t="n"/>
      <c r="C296" s="22" t="n"/>
      <c r="D296" s="22" t="n"/>
      <c r="E296" s="22" t="n"/>
      <c r="F296" s="22" t="n"/>
      <c r="G296" s="22" t="n"/>
      <c r="H296" s="22" t="n"/>
      <c r="I296" s="22" t="n"/>
      <c r="J296" s="22" t="n"/>
      <c r="K296" s="22" t="n"/>
      <c r="L296" s="22" t="n"/>
      <c r="M296" s="22" t="n"/>
      <c r="N296" s="22" t="n"/>
      <c r="O296" s="22" t="n"/>
      <c r="P296" s="22" t="n"/>
      <c r="Q296" s="22" t="n"/>
      <c r="R296" s="22" t="n"/>
      <c r="S296" s="22" t="n"/>
      <c r="T296" s="22" t="n"/>
      <c r="U296" s="22" t="n"/>
      <c r="V296" s="22" t="n"/>
      <c r="W296" s="22" t="n"/>
      <c r="X296" s="22" t="n"/>
    </row>
    <row r="297">
      <c r="A297" s="324" t="n"/>
      <c r="B297" s="22" t="n"/>
      <c r="C297" s="22" t="n"/>
      <c r="D297" s="22" t="n"/>
      <c r="E297" s="22" t="n"/>
      <c r="F297" s="22" t="n"/>
      <c r="G297" s="22" t="n"/>
      <c r="H297" s="22" t="n"/>
      <c r="I297" s="22" t="n"/>
      <c r="J297" s="22" t="n"/>
      <c r="K297" s="22" t="n"/>
      <c r="L297" s="22" t="n"/>
      <c r="M297" s="22" t="n"/>
      <c r="N297" s="22" t="n"/>
      <c r="O297" s="22" t="n"/>
      <c r="P297" s="22" t="n"/>
      <c r="Q297" s="22" t="n"/>
      <c r="R297" s="22" t="n"/>
      <c r="S297" s="22" t="n"/>
      <c r="T297" s="22" t="n"/>
      <c r="U297" s="22" t="n"/>
      <c r="V297" s="22" t="n"/>
      <c r="W297" s="22" t="n"/>
      <c r="X297" s="22" t="n"/>
    </row>
    <row r="298">
      <c r="A298" s="324" t="n"/>
      <c r="B298" s="22" t="n"/>
      <c r="C298" s="22" t="n"/>
      <c r="D298" s="22" t="n"/>
      <c r="E298" s="22" t="n"/>
      <c r="F298" s="22" t="n"/>
      <c r="G298" s="22" t="n"/>
      <c r="H298" s="22" t="n"/>
      <c r="I298" s="22" t="n"/>
      <c r="J298" s="22" t="n"/>
      <c r="K298" s="22" t="n"/>
      <c r="L298" s="22" t="n"/>
      <c r="M298" s="22" t="n"/>
      <c r="N298" s="22" t="n"/>
      <c r="O298" s="22" t="n"/>
      <c r="P298" s="22" t="n"/>
      <c r="Q298" s="22" t="n"/>
      <c r="R298" s="22" t="n"/>
      <c r="S298" s="22" t="n"/>
      <c r="T298" s="22" t="n"/>
      <c r="U298" s="22" t="n"/>
      <c r="V298" s="22" t="n"/>
      <c r="W298" s="22" t="n"/>
      <c r="X298" s="22" t="n"/>
    </row>
    <row r="299">
      <c r="A299" s="324" t="n"/>
      <c r="B299" s="22" t="n"/>
      <c r="C299" s="22" t="n"/>
      <c r="D299" s="22" t="n"/>
      <c r="E299" s="22" t="n"/>
      <c r="F299" s="22" t="n"/>
      <c r="G299" s="22" t="n"/>
      <c r="H299" s="22" t="n"/>
      <c r="I299" s="22" t="n"/>
      <c r="J299" s="22" t="n"/>
      <c r="K299" s="22" t="n"/>
      <c r="L299" s="22" t="n"/>
      <c r="M299" s="22" t="n"/>
      <c r="N299" s="22" t="n"/>
      <c r="O299" s="22" t="n"/>
      <c r="P299" s="22" t="n"/>
      <c r="Q299" s="22" t="n"/>
      <c r="R299" s="22" t="n"/>
      <c r="S299" s="22" t="n"/>
      <c r="T299" s="22" t="n"/>
      <c r="U299" s="22" t="n"/>
      <c r="V299" s="22" t="n"/>
      <c r="W299" s="22" t="n"/>
      <c r="X299" s="22" t="n"/>
    </row>
    <row r="300">
      <c r="A300" s="324" t="n"/>
      <c r="B300" s="22" t="n"/>
      <c r="C300" s="22" t="n"/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2" t="n"/>
      <c r="R300" s="22" t="n"/>
      <c r="S300" s="22" t="n"/>
      <c r="T300" s="22" t="n"/>
      <c r="U300" s="22" t="n"/>
      <c r="V300" s="22" t="n"/>
      <c r="W300" s="22" t="n"/>
      <c r="X300" s="22" t="n"/>
    </row>
    <row r="301">
      <c r="A301" s="324" t="n"/>
      <c r="B301" s="22" t="n"/>
      <c r="C301" s="22" t="n"/>
      <c r="D301" s="22" t="n"/>
      <c r="E301" s="22" t="n"/>
      <c r="F301" s="22" t="n"/>
      <c r="G301" s="22" t="n"/>
      <c r="H301" s="22" t="n"/>
      <c r="I301" s="22" t="n"/>
      <c r="J301" s="22" t="n"/>
      <c r="K301" s="22" t="n"/>
      <c r="L301" s="22" t="n"/>
      <c r="M301" s="22" t="n"/>
      <c r="N301" s="22" t="n"/>
      <c r="O301" s="22" t="n"/>
      <c r="P301" s="22" t="n"/>
      <c r="Q301" s="22" t="n"/>
      <c r="R301" s="22" t="n"/>
      <c r="S301" s="22" t="n"/>
      <c r="T301" s="22" t="n"/>
      <c r="U301" s="22" t="n"/>
      <c r="V301" s="22" t="n"/>
      <c r="W301" s="22" t="n"/>
      <c r="X301" s="22" t="n"/>
    </row>
    <row r="302">
      <c r="A302" s="324" t="n"/>
      <c r="B302" s="22" t="n"/>
      <c r="C302" s="22" t="n"/>
      <c r="D302" s="22" t="n"/>
      <c r="E302" s="22" t="n"/>
      <c r="F302" s="22" t="n"/>
      <c r="G302" s="22" t="n"/>
      <c r="H302" s="22" t="n"/>
      <c r="I302" s="22" t="n"/>
      <c r="J302" s="22" t="n"/>
      <c r="K302" s="22" t="n"/>
      <c r="L302" s="22" t="n"/>
      <c r="M302" s="22" t="n"/>
      <c r="N302" s="22" t="n"/>
      <c r="O302" s="22" t="n"/>
      <c r="P302" s="22" t="n"/>
      <c r="Q302" s="22" t="n"/>
      <c r="R302" s="22" t="n"/>
      <c r="S302" s="22" t="n"/>
      <c r="T302" s="22" t="n"/>
      <c r="U302" s="22" t="n"/>
      <c r="V302" s="22" t="n"/>
      <c r="W302" s="22" t="n"/>
      <c r="X302" s="22" t="n"/>
    </row>
    <row r="303">
      <c r="A303" s="324" t="n"/>
      <c r="B303" s="22" t="n"/>
      <c r="C303" s="22" t="n"/>
      <c r="D303" s="22" t="n"/>
      <c r="E303" s="22" t="n"/>
      <c r="F303" s="22" t="n"/>
      <c r="G303" s="22" t="n"/>
      <c r="H303" s="22" t="n"/>
      <c r="I303" s="22" t="n"/>
      <c r="J303" s="22" t="n"/>
      <c r="K303" s="22" t="n"/>
      <c r="L303" s="22" t="n"/>
      <c r="M303" s="22" t="n"/>
      <c r="N303" s="22" t="n"/>
      <c r="O303" s="22" t="n"/>
      <c r="P303" s="22" t="n"/>
      <c r="Q303" s="22" t="n"/>
      <c r="R303" s="22" t="n"/>
      <c r="S303" s="22" t="n"/>
      <c r="T303" s="22" t="n"/>
      <c r="U303" s="22" t="n"/>
      <c r="V303" s="22" t="n"/>
      <c r="W303" s="22" t="n"/>
      <c r="X303" s="22" t="n"/>
    </row>
    <row r="304">
      <c r="A304" s="324" t="n"/>
      <c r="B304" s="22" t="n"/>
      <c r="C304" s="22" t="n"/>
      <c r="D304" s="22" t="n"/>
      <c r="E304" s="22" t="n"/>
      <c r="F304" s="22" t="n"/>
      <c r="G304" s="22" t="n"/>
      <c r="H304" s="22" t="n"/>
      <c r="I304" s="22" t="n"/>
      <c r="J304" s="22" t="n"/>
      <c r="K304" s="22" t="n"/>
      <c r="L304" s="22" t="n"/>
      <c r="M304" s="22" t="n"/>
      <c r="N304" s="22" t="n"/>
      <c r="O304" s="22" t="n"/>
      <c r="P304" s="22" t="n"/>
      <c r="Q304" s="22" t="n"/>
      <c r="R304" s="22" t="n"/>
      <c r="S304" s="22" t="n"/>
      <c r="T304" s="22" t="n"/>
      <c r="U304" s="22" t="n"/>
      <c r="V304" s="22" t="n"/>
      <c r="W304" s="22" t="n"/>
      <c r="X304" s="22" t="n"/>
    </row>
    <row r="305">
      <c r="A305" s="324" t="n"/>
      <c r="B305" s="22" t="n"/>
      <c r="C305" s="22" t="n"/>
      <c r="D305" s="22" t="n"/>
      <c r="E305" s="22" t="n"/>
      <c r="F305" s="22" t="n"/>
      <c r="G305" s="22" t="n"/>
      <c r="H305" s="22" t="n"/>
      <c r="I305" s="22" t="n"/>
      <c r="J305" s="22" t="n"/>
      <c r="K305" s="22" t="n"/>
      <c r="L305" s="22" t="n"/>
      <c r="M305" s="22" t="n"/>
      <c r="N305" s="22" t="n"/>
      <c r="O305" s="22" t="n"/>
      <c r="P305" s="22" t="n"/>
      <c r="Q305" s="22" t="n"/>
      <c r="R305" s="22" t="n"/>
      <c r="S305" s="22" t="n"/>
      <c r="T305" s="22" t="n"/>
      <c r="U305" s="22" t="n"/>
      <c r="V305" s="22" t="n"/>
      <c r="W305" s="22" t="n"/>
      <c r="X305" s="22" t="n"/>
    </row>
    <row r="306">
      <c r="A306" s="324" t="n"/>
      <c r="B306" s="22" t="n"/>
      <c r="C306" s="22" t="n"/>
      <c r="D306" s="22" t="n"/>
      <c r="E306" s="22" t="n"/>
      <c r="F306" s="22" t="n"/>
      <c r="G306" s="22" t="n"/>
      <c r="H306" s="22" t="n"/>
      <c r="I306" s="22" t="n"/>
      <c r="J306" s="22" t="n"/>
      <c r="K306" s="22" t="n"/>
      <c r="L306" s="22" t="n"/>
      <c r="M306" s="22" t="n"/>
      <c r="N306" s="22" t="n"/>
      <c r="O306" s="22" t="n"/>
      <c r="P306" s="22" t="n"/>
      <c r="Q306" s="22" t="n"/>
      <c r="R306" s="22" t="n"/>
      <c r="S306" s="22" t="n"/>
      <c r="T306" s="22" t="n"/>
      <c r="U306" s="22" t="n"/>
      <c r="V306" s="22" t="n"/>
      <c r="W306" s="22" t="n"/>
      <c r="X306" s="22" t="n"/>
    </row>
    <row r="307">
      <c r="A307" s="324" t="n"/>
      <c r="B307" s="22" t="n"/>
      <c r="C307" s="22" t="n"/>
      <c r="D307" s="22" t="n"/>
      <c r="E307" s="22" t="n"/>
      <c r="F307" s="22" t="n"/>
      <c r="G307" s="22" t="n"/>
      <c r="H307" s="22" t="n"/>
      <c r="I307" s="22" t="n"/>
      <c r="J307" s="22" t="n"/>
      <c r="K307" s="22" t="n"/>
      <c r="L307" s="22" t="n"/>
      <c r="M307" s="22" t="n"/>
      <c r="N307" s="22" t="n"/>
      <c r="O307" s="22" t="n"/>
      <c r="P307" s="22" t="n"/>
      <c r="Q307" s="22" t="n"/>
      <c r="R307" s="22" t="n"/>
      <c r="S307" s="22" t="n"/>
      <c r="T307" s="22" t="n"/>
      <c r="U307" s="22" t="n"/>
      <c r="V307" s="22" t="n"/>
      <c r="W307" s="22" t="n"/>
      <c r="X307" s="22" t="n"/>
    </row>
    <row r="308">
      <c r="A308" s="324" t="n"/>
      <c r="B308" s="22" t="n"/>
      <c r="C308" s="22" t="n"/>
      <c r="D308" s="22" t="n"/>
      <c r="E308" s="22" t="n"/>
      <c r="F308" s="22" t="n"/>
      <c r="G308" s="22" t="n"/>
      <c r="H308" s="22" t="n"/>
      <c r="I308" s="22" t="n"/>
      <c r="J308" s="22" t="n"/>
      <c r="K308" s="22" t="n"/>
      <c r="L308" s="22" t="n"/>
      <c r="M308" s="22" t="n"/>
      <c r="N308" s="22" t="n"/>
      <c r="O308" s="22" t="n"/>
      <c r="P308" s="22" t="n"/>
      <c r="Q308" s="22" t="n"/>
      <c r="R308" s="22" t="n"/>
      <c r="S308" s="22" t="n"/>
      <c r="T308" s="22" t="n"/>
      <c r="U308" s="22" t="n"/>
      <c r="V308" s="22" t="n"/>
      <c r="W308" s="22" t="n"/>
      <c r="X308" s="22" t="n"/>
    </row>
    <row r="309">
      <c r="A309" s="324" t="n"/>
      <c r="B309" s="22" t="n"/>
      <c r="C309" s="22" t="n"/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2" t="n"/>
      <c r="R309" s="22" t="n"/>
      <c r="S309" s="22" t="n"/>
      <c r="T309" s="22" t="n"/>
      <c r="U309" s="22" t="n"/>
      <c r="V309" s="22" t="n"/>
      <c r="W309" s="22" t="n"/>
      <c r="X309" s="22" t="n"/>
    </row>
    <row r="310">
      <c r="A310" s="324" t="n"/>
      <c r="B310" s="22" t="n"/>
      <c r="C310" s="22" t="n"/>
      <c r="D310" s="22" t="n"/>
      <c r="E310" s="22" t="n"/>
      <c r="F310" s="22" t="n"/>
      <c r="G310" s="22" t="n"/>
      <c r="H310" s="22" t="n"/>
      <c r="I310" s="22" t="n"/>
      <c r="J310" s="22" t="n"/>
      <c r="K310" s="22" t="n"/>
      <c r="L310" s="22" t="n"/>
      <c r="M310" s="22" t="n"/>
      <c r="N310" s="22" t="n"/>
      <c r="O310" s="22" t="n"/>
      <c r="P310" s="22" t="n"/>
      <c r="Q310" s="22" t="n"/>
      <c r="R310" s="22" t="n"/>
      <c r="S310" s="22" t="n"/>
      <c r="T310" s="22" t="n"/>
      <c r="U310" s="22" t="n"/>
      <c r="V310" s="22" t="n"/>
      <c r="W310" s="22" t="n"/>
      <c r="X310" s="22" t="n"/>
    </row>
    <row r="311">
      <c r="A311" s="324" t="n"/>
      <c r="B311" s="22" t="n"/>
      <c r="C311" s="22" t="n"/>
      <c r="D311" s="22" t="n"/>
      <c r="E311" s="22" t="n"/>
      <c r="F311" s="22" t="n"/>
      <c r="G311" s="22" t="n"/>
      <c r="H311" s="22" t="n"/>
      <c r="I311" s="22" t="n"/>
      <c r="J311" s="22" t="n"/>
      <c r="K311" s="22" t="n"/>
      <c r="L311" s="22" t="n"/>
      <c r="M311" s="22" t="n"/>
      <c r="N311" s="22" t="n"/>
      <c r="O311" s="22" t="n"/>
      <c r="P311" s="22" t="n"/>
      <c r="Q311" s="22" t="n"/>
      <c r="R311" s="22" t="n"/>
      <c r="S311" s="22" t="n"/>
      <c r="T311" s="22" t="n"/>
      <c r="U311" s="22" t="n"/>
      <c r="V311" s="22" t="n"/>
      <c r="W311" s="22" t="n"/>
      <c r="X311" s="22" t="n"/>
    </row>
    <row r="312">
      <c r="A312" s="324" t="n"/>
      <c r="B312" s="22" t="n"/>
      <c r="C312" s="22" t="n"/>
      <c r="D312" s="22" t="n"/>
      <c r="E312" s="22" t="n"/>
      <c r="F312" s="22" t="n"/>
      <c r="G312" s="22" t="n"/>
      <c r="H312" s="22" t="n"/>
      <c r="I312" s="22" t="n"/>
      <c r="J312" s="22" t="n"/>
      <c r="K312" s="22" t="n"/>
      <c r="L312" s="22" t="n"/>
      <c r="M312" s="22" t="n"/>
      <c r="N312" s="22" t="n"/>
      <c r="O312" s="22" t="n"/>
      <c r="P312" s="22" t="n"/>
      <c r="Q312" s="22" t="n"/>
      <c r="R312" s="22" t="n"/>
      <c r="S312" s="22" t="n"/>
      <c r="T312" s="22" t="n"/>
      <c r="U312" s="22" t="n"/>
      <c r="V312" s="22" t="n"/>
      <c r="W312" s="22" t="n"/>
      <c r="X312" s="22" t="n"/>
    </row>
    <row r="313">
      <c r="A313" s="324" t="n"/>
      <c r="B313" s="22" t="n"/>
      <c r="C313" s="22" t="n"/>
      <c r="D313" s="22" t="n"/>
      <c r="E313" s="22" t="n"/>
      <c r="F313" s="22" t="n"/>
      <c r="G313" s="22" t="n"/>
      <c r="H313" s="22" t="n"/>
      <c r="I313" s="22" t="n"/>
      <c r="J313" s="22" t="n"/>
      <c r="K313" s="22" t="n"/>
      <c r="L313" s="22" t="n"/>
      <c r="M313" s="22" t="n"/>
      <c r="N313" s="22" t="n"/>
      <c r="O313" s="22" t="n"/>
      <c r="P313" s="22" t="n"/>
      <c r="Q313" s="22" t="n"/>
      <c r="R313" s="22" t="n"/>
      <c r="S313" s="22" t="n"/>
      <c r="T313" s="22" t="n"/>
      <c r="U313" s="22" t="n"/>
      <c r="V313" s="22" t="n"/>
      <c r="W313" s="22" t="n"/>
      <c r="X313" s="22" t="n"/>
    </row>
    <row r="314">
      <c r="A314" s="324" t="n"/>
      <c r="B314" s="22" t="n"/>
      <c r="C314" s="22" t="n"/>
      <c r="D314" s="22" t="n"/>
      <c r="E314" s="22" t="n"/>
      <c r="F314" s="22" t="n"/>
      <c r="G314" s="22" t="n"/>
      <c r="H314" s="22" t="n"/>
      <c r="I314" s="22" t="n"/>
      <c r="J314" s="22" t="n"/>
      <c r="K314" s="22" t="n"/>
      <c r="L314" s="22" t="n"/>
      <c r="M314" s="22" t="n"/>
      <c r="N314" s="22" t="n"/>
      <c r="O314" s="22" t="n"/>
      <c r="P314" s="22" t="n"/>
      <c r="Q314" s="22" t="n"/>
      <c r="R314" s="22" t="n"/>
      <c r="S314" s="22" t="n"/>
      <c r="T314" s="22" t="n"/>
      <c r="U314" s="22" t="n"/>
      <c r="V314" s="22" t="n"/>
      <c r="W314" s="22" t="n"/>
      <c r="X314" s="22" t="n"/>
    </row>
    <row r="315">
      <c r="A315" s="324" t="n"/>
      <c r="B315" s="22" t="n"/>
      <c r="C315" s="22" t="n"/>
      <c r="D315" s="22" t="n"/>
      <c r="E315" s="22" t="n"/>
      <c r="F315" s="22" t="n"/>
      <c r="G315" s="22" t="n"/>
      <c r="H315" s="22" t="n"/>
      <c r="I315" s="22" t="n"/>
      <c r="J315" s="22" t="n"/>
      <c r="K315" s="22" t="n"/>
      <c r="L315" s="22" t="n"/>
      <c r="M315" s="22" t="n"/>
      <c r="N315" s="22" t="n"/>
      <c r="O315" s="22" t="n"/>
      <c r="P315" s="22" t="n"/>
      <c r="Q315" s="22" t="n"/>
      <c r="R315" s="22" t="n"/>
      <c r="S315" s="22" t="n"/>
      <c r="T315" s="22" t="n"/>
      <c r="U315" s="22" t="n"/>
      <c r="V315" s="22" t="n"/>
      <c r="W315" s="22" t="n"/>
      <c r="X315" s="22" t="n"/>
    </row>
    <row r="316">
      <c r="A316" s="324" t="n"/>
      <c r="B316" s="22" t="n"/>
      <c r="C316" s="22" t="n"/>
      <c r="D316" s="22" t="n"/>
      <c r="E316" s="22" t="n"/>
      <c r="F316" s="22" t="n"/>
      <c r="G316" s="22" t="n"/>
      <c r="H316" s="22" t="n"/>
      <c r="I316" s="22" t="n"/>
      <c r="J316" s="22" t="n"/>
      <c r="K316" s="22" t="n"/>
      <c r="L316" s="22" t="n"/>
      <c r="M316" s="22" t="n"/>
      <c r="N316" s="22" t="n"/>
      <c r="O316" s="22" t="n"/>
      <c r="P316" s="22" t="n"/>
      <c r="Q316" s="22" t="n"/>
      <c r="R316" s="22" t="n"/>
      <c r="S316" s="22" t="n"/>
      <c r="T316" s="22" t="n"/>
      <c r="U316" s="22" t="n"/>
      <c r="V316" s="22" t="n"/>
      <c r="W316" s="22" t="n"/>
      <c r="X316" s="22" t="n"/>
    </row>
    <row r="317">
      <c r="A317" s="324" t="n"/>
      <c r="B317" s="22" t="n"/>
      <c r="C317" s="22" t="n"/>
      <c r="D317" s="22" t="n"/>
      <c r="E317" s="22" t="n"/>
      <c r="F317" s="22" t="n"/>
      <c r="G317" s="22" t="n"/>
      <c r="H317" s="22" t="n"/>
      <c r="I317" s="22" t="n"/>
      <c r="J317" s="22" t="n"/>
      <c r="K317" s="22" t="n"/>
      <c r="L317" s="22" t="n"/>
      <c r="M317" s="22" t="n"/>
      <c r="N317" s="22" t="n"/>
      <c r="O317" s="22" t="n"/>
      <c r="P317" s="22" t="n"/>
      <c r="Q317" s="22" t="n"/>
      <c r="R317" s="22" t="n"/>
      <c r="S317" s="22" t="n"/>
      <c r="T317" s="22" t="n"/>
      <c r="U317" s="22" t="n"/>
      <c r="V317" s="22" t="n"/>
      <c r="W317" s="22" t="n"/>
      <c r="X317" s="22" t="n"/>
    </row>
    <row r="318">
      <c r="A318" s="324" t="n"/>
      <c r="B318" s="22" t="n"/>
      <c r="C318" s="22" t="n"/>
      <c r="D318" s="22" t="n"/>
      <c r="E318" s="22" t="n"/>
      <c r="F318" s="22" t="n"/>
      <c r="G318" s="22" t="n"/>
      <c r="H318" s="22" t="n"/>
      <c r="I318" s="22" t="n"/>
      <c r="J318" s="22" t="n"/>
      <c r="K318" s="22" t="n"/>
      <c r="L318" s="22" t="n"/>
      <c r="M318" s="22" t="n"/>
      <c r="N318" s="22" t="n"/>
      <c r="O318" s="22" t="n"/>
      <c r="P318" s="22" t="n"/>
      <c r="Q318" s="22" t="n"/>
      <c r="R318" s="22" t="n"/>
      <c r="S318" s="22" t="n"/>
      <c r="T318" s="22" t="n"/>
      <c r="U318" s="22" t="n"/>
      <c r="V318" s="22" t="n"/>
      <c r="W318" s="22" t="n"/>
      <c r="X318" s="22" t="n"/>
    </row>
    <row r="319">
      <c r="A319" s="324" t="n"/>
      <c r="B319" s="22" t="n"/>
      <c r="C319" s="22" t="n"/>
      <c r="D319" s="22" t="n"/>
      <c r="E319" s="22" t="n"/>
      <c r="F319" s="22" t="n"/>
      <c r="G319" s="22" t="n"/>
      <c r="H319" s="22" t="n"/>
      <c r="I319" s="22" t="n"/>
      <c r="J319" s="22" t="n"/>
      <c r="K319" s="22" t="n"/>
      <c r="L319" s="22" t="n"/>
      <c r="M319" s="22" t="n"/>
      <c r="N319" s="22" t="n"/>
      <c r="O319" s="22" t="n"/>
      <c r="P319" s="22" t="n"/>
      <c r="Q319" s="22" t="n"/>
      <c r="R319" s="22" t="n"/>
      <c r="S319" s="22" t="n"/>
      <c r="T319" s="22" t="n"/>
      <c r="U319" s="22" t="n"/>
      <c r="V319" s="22" t="n"/>
      <c r="W319" s="22" t="n"/>
      <c r="X319" s="22" t="n"/>
    </row>
    <row r="320">
      <c r="A320" s="324" t="n"/>
      <c r="B320" s="22" t="n"/>
      <c r="C320" s="22" t="n"/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2" t="n"/>
      <c r="M320" s="22" t="n"/>
      <c r="N320" s="22" t="n"/>
      <c r="O320" s="22" t="n"/>
      <c r="P320" s="22" t="n"/>
      <c r="Q320" s="22" t="n"/>
      <c r="R320" s="22" t="n"/>
      <c r="S320" s="22" t="n"/>
      <c r="T320" s="22" t="n"/>
      <c r="U320" s="22" t="n"/>
      <c r="V320" s="22" t="n"/>
      <c r="W320" s="22" t="n"/>
      <c r="X320" s="22" t="n"/>
    </row>
    <row r="321">
      <c r="A321" s="324" t="n"/>
      <c r="B321" s="22" t="n"/>
      <c r="C321" s="22" t="n"/>
      <c r="D321" s="22" t="n"/>
      <c r="E321" s="22" t="n"/>
      <c r="F321" s="22" t="n"/>
      <c r="G321" s="22" t="n"/>
      <c r="H321" s="22" t="n"/>
      <c r="I321" s="22" t="n"/>
      <c r="J321" s="22" t="n"/>
      <c r="K321" s="22" t="n"/>
      <c r="L321" s="22" t="n"/>
      <c r="M321" s="22" t="n"/>
      <c r="N321" s="22" t="n"/>
      <c r="O321" s="22" t="n"/>
      <c r="P321" s="22" t="n"/>
      <c r="Q321" s="22" t="n"/>
      <c r="R321" s="22" t="n"/>
      <c r="S321" s="22" t="n"/>
      <c r="T321" s="22" t="n"/>
      <c r="U321" s="22" t="n"/>
      <c r="V321" s="22" t="n"/>
      <c r="W321" s="22" t="n"/>
      <c r="X321" s="22" t="n"/>
    </row>
    <row r="322">
      <c r="A322" s="324" t="n"/>
      <c r="B322" s="22" t="n"/>
      <c r="C322" s="22" t="n"/>
      <c r="D322" s="22" t="n"/>
      <c r="E322" s="22" t="n"/>
      <c r="F322" s="22" t="n"/>
      <c r="G322" s="22" t="n"/>
      <c r="H322" s="22" t="n"/>
      <c r="I322" s="22" t="n"/>
      <c r="J322" s="22" t="n"/>
      <c r="K322" s="22" t="n"/>
      <c r="L322" s="22" t="n"/>
      <c r="M322" s="22" t="n"/>
      <c r="N322" s="22" t="n"/>
      <c r="O322" s="22" t="n"/>
      <c r="P322" s="22" t="n"/>
      <c r="Q322" s="22" t="n"/>
      <c r="R322" s="22" t="n"/>
      <c r="S322" s="22" t="n"/>
      <c r="T322" s="22" t="n"/>
      <c r="U322" s="22" t="n"/>
      <c r="V322" s="22" t="n"/>
      <c r="W322" s="22" t="n"/>
      <c r="X322" s="22" t="n"/>
    </row>
    <row r="323">
      <c r="A323" s="324" t="n"/>
      <c r="B323" s="22" t="n"/>
      <c r="C323" s="22" t="n"/>
      <c r="D323" s="22" t="n"/>
      <c r="E323" s="22" t="n"/>
      <c r="F323" s="22" t="n"/>
      <c r="G323" s="22" t="n"/>
      <c r="H323" s="22" t="n"/>
      <c r="I323" s="22" t="n"/>
      <c r="J323" s="22" t="n"/>
      <c r="K323" s="22" t="n"/>
      <c r="L323" s="22" t="n"/>
      <c r="M323" s="22" t="n"/>
      <c r="N323" s="22" t="n"/>
      <c r="O323" s="22" t="n"/>
      <c r="P323" s="22" t="n"/>
      <c r="Q323" s="22" t="n"/>
      <c r="R323" s="22" t="n"/>
      <c r="S323" s="22" t="n"/>
      <c r="T323" s="22" t="n"/>
      <c r="U323" s="22" t="n"/>
      <c r="V323" s="22" t="n"/>
      <c r="W323" s="22" t="n"/>
      <c r="X323" s="22" t="n"/>
    </row>
    <row r="324">
      <c r="A324" s="324" t="n"/>
      <c r="B324" s="22" t="n"/>
      <c r="C324" s="22" t="n"/>
      <c r="D324" s="22" t="n"/>
      <c r="E324" s="22" t="n"/>
      <c r="F324" s="22" t="n"/>
      <c r="G324" s="22" t="n"/>
      <c r="H324" s="22" t="n"/>
      <c r="I324" s="22" t="n"/>
      <c r="J324" s="22" t="n"/>
      <c r="K324" s="22" t="n"/>
      <c r="L324" s="22" t="n"/>
      <c r="M324" s="22" t="n"/>
      <c r="N324" s="22" t="n"/>
      <c r="O324" s="22" t="n"/>
      <c r="P324" s="22" t="n"/>
      <c r="Q324" s="22" t="n"/>
      <c r="R324" s="22" t="n"/>
      <c r="S324" s="22" t="n"/>
      <c r="T324" s="22" t="n"/>
      <c r="U324" s="22" t="n"/>
      <c r="V324" s="22" t="n"/>
      <c r="W324" s="22" t="n"/>
      <c r="X324" s="22" t="n"/>
    </row>
    <row r="325">
      <c r="A325" s="324" t="n"/>
      <c r="B325" s="22" t="n"/>
      <c r="C325" s="22" t="n"/>
      <c r="D325" s="22" t="n"/>
      <c r="E325" s="22" t="n"/>
      <c r="F325" s="22" t="n"/>
      <c r="G325" s="22" t="n"/>
      <c r="H325" s="22" t="n"/>
      <c r="I325" s="22" t="n"/>
      <c r="J325" s="22" t="n"/>
      <c r="K325" s="22" t="n"/>
      <c r="L325" s="22" t="n"/>
      <c r="M325" s="22" t="n"/>
      <c r="N325" s="22" t="n"/>
      <c r="O325" s="22" t="n"/>
      <c r="P325" s="22" t="n"/>
      <c r="Q325" s="22" t="n"/>
      <c r="R325" s="22" t="n"/>
      <c r="S325" s="22" t="n"/>
      <c r="T325" s="22" t="n"/>
      <c r="U325" s="22" t="n"/>
      <c r="V325" s="22" t="n"/>
      <c r="W325" s="22" t="n"/>
      <c r="X325" s="22" t="n"/>
    </row>
    <row r="326">
      <c r="A326" s="324" t="n"/>
      <c r="B326" s="22" t="n"/>
      <c r="C326" s="22" t="n"/>
      <c r="D326" s="22" t="n"/>
      <c r="E326" s="22" t="n"/>
      <c r="F326" s="22" t="n"/>
      <c r="G326" s="22" t="n"/>
      <c r="H326" s="22" t="n"/>
      <c r="I326" s="22" t="n"/>
      <c r="J326" s="22" t="n"/>
      <c r="K326" s="22" t="n"/>
      <c r="L326" s="22" t="n"/>
      <c r="M326" s="22" t="n"/>
      <c r="N326" s="22" t="n"/>
      <c r="O326" s="22" t="n"/>
      <c r="P326" s="22" t="n"/>
      <c r="Q326" s="22" t="n"/>
      <c r="R326" s="22" t="n"/>
      <c r="S326" s="22" t="n"/>
      <c r="T326" s="22" t="n"/>
      <c r="U326" s="22" t="n"/>
      <c r="V326" s="22" t="n"/>
      <c r="W326" s="22" t="n"/>
      <c r="X326" s="22" t="n"/>
    </row>
    <row r="327">
      <c r="A327" s="324" t="n"/>
      <c r="B327" s="22" t="n"/>
      <c r="C327" s="22" t="n"/>
      <c r="D327" s="22" t="n"/>
      <c r="E327" s="22" t="n"/>
      <c r="F327" s="22" t="n"/>
      <c r="G327" s="22" t="n"/>
      <c r="H327" s="22" t="n"/>
      <c r="I327" s="22" t="n"/>
      <c r="J327" s="22" t="n"/>
      <c r="K327" s="22" t="n"/>
      <c r="L327" s="22" t="n"/>
      <c r="M327" s="22" t="n"/>
      <c r="N327" s="22" t="n"/>
      <c r="O327" s="22" t="n"/>
      <c r="P327" s="22" t="n"/>
      <c r="Q327" s="22" t="n"/>
      <c r="R327" s="22" t="n"/>
      <c r="S327" s="22" t="n"/>
      <c r="T327" s="22" t="n"/>
      <c r="U327" s="22" t="n"/>
      <c r="V327" s="22" t="n"/>
      <c r="W327" s="22" t="n"/>
      <c r="X327" s="22" t="n"/>
    </row>
    <row r="328">
      <c r="A328" s="324" t="n"/>
      <c r="B328" s="22" t="n"/>
      <c r="C328" s="22" t="n"/>
      <c r="D328" s="22" t="n"/>
      <c r="E328" s="22" t="n"/>
      <c r="F328" s="22" t="n"/>
      <c r="G328" s="22" t="n"/>
      <c r="H328" s="22" t="n"/>
      <c r="I328" s="22" t="n"/>
      <c r="J328" s="22" t="n"/>
      <c r="K328" s="22" t="n"/>
      <c r="L328" s="22" t="n"/>
      <c r="M328" s="22" t="n"/>
      <c r="N328" s="22" t="n"/>
      <c r="O328" s="22" t="n"/>
      <c r="P328" s="22" t="n"/>
      <c r="Q328" s="22" t="n"/>
      <c r="R328" s="22" t="n"/>
      <c r="S328" s="22" t="n"/>
      <c r="T328" s="22" t="n"/>
      <c r="U328" s="22" t="n"/>
      <c r="V328" s="22" t="n"/>
      <c r="W328" s="22" t="n"/>
      <c r="X328" s="22" t="n"/>
    </row>
    <row r="329">
      <c r="A329" s="324" t="n"/>
      <c r="B329" s="22" t="n"/>
      <c r="C329" s="22" t="n"/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2" t="n"/>
      <c r="M329" s="22" t="n"/>
      <c r="N329" s="22" t="n"/>
      <c r="O329" s="22" t="n"/>
      <c r="P329" s="22" t="n"/>
      <c r="Q329" s="22" t="n"/>
      <c r="R329" s="22" t="n"/>
      <c r="S329" s="22" t="n"/>
      <c r="T329" s="22" t="n"/>
      <c r="U329" s="22" t="n"/>
      <c r="V329" s="22" t="n"/>
      <c r="W329" s="22" t="n"/>
      <c r="X329" s="22" t="n"/>
    </row>
    <row r="330">
      <c r="A330" s="324" t="n"/>
      <c r="B330" s="22" t="n"/>
      <c r="C330" s="22" t="n"/>
      <c r="D330" s="22" t="n"/>
      <c r="E330" s="22" t="n"/>
      <c r="F330" s="22" t="n"/>
      <c r="G330" s="22" t="n"/>
      <c r="H330" s="22" t="n"/>
      <c r="I330" s="22" t="n"/>
      <c r="J330" s="22" t="n"/>
      <c r="K330" s="22" t="n"/>
      <c r="L330" s="22" t="n"/>
      <c r="M330" s="22" t="n"/>
      <c r="N330" s="22" t="n"/>
      <c r="O330" s="22" t="n"/>
      <c r="P330" s="22" t="n"/>
      <c r="Q330" s="22" t="n"/>
      <c r="R330" s="22" t="n"/>
      <c r="S330" s="22" t="n"/>
      <c r="T330" s="22" t="n"/>
      <c r="U330" s="22" t="n"/>
      <c r="V330" s="22" t="n"/>
      <c r="W330" s="22" t="n"/>
      <c r="X330" s="22" t="n"/>
    </row>
    <row r="331">
      <c r="A331" s="324" t="n"/>
      <c r="B331" s="22" t="n"/>
      <c r="C331" s="22" t="n"/>
      <c r="D331" s="22" t="n"/>
      <c r="E331" s="22" t="n"/>
      <c r="F331" s="22" t="n"/>
      <c r="G331" s="22" t="n"/>
      <c r="H331" s="22" t="n"/>
      <c r="I331" s="22" t="n"/>
      <c r="J331" s="22" t="n"/>
      <c r="K331" s="22" t="n"/>
      <c r="L331" s="22" t="n"/>
      <c r="M331" s="22" t="n"/>
      <c r="N331" s="22" t="n"/>
      <c r="O331" s="22" t="n"/>
      <c r="P331" s="22" t="n"/>
      <c r="Q331" s="22" t="n"/>
      <c r="R331" s="22" t="n"/>
      <c r="S331" s="22" t="n"/>
      <c r="T331" s="22" t="n"/>
      <c r="U331" s="22" t="n"/>
      <c r="V331" s="22" t="n"/>
      <c r="W331" s="22" t="n"/>
      <c r="X331" s="22" t="n"/>
    </row>
    <row r="332">
      <c r="A332" s="324" t="n"/>
      <c r="B332" s="22" t="n"/>
      <c r="C332" s="22" t="n"/>
      <c r="D332" s="22" t="n"/>
      <c r="E332" s="22" t="n"/>
      <c r="F332" s="22" t="n"/>
      <c r="G332" s="22" t="n"/>
      <c r="H332" s="22" t="n"/>
      <c r="I332" s="22" t="n"/>
      <c r="J332" s="22" t="n"/>
      <c r="K332" s="22" t="n"/>
      <c r="L332" s="22" t="n"/>
      <c r="M332" s="22" t="n"/>
      <c r="N332" s="22" t="n"/>
      <c r="O332" s="22" t="n"/>
      <c r="P332" s="22" t="n"/>
      <c r="Q332" s="22" t="n"/>
      <c r="R332" s="22" t="n"/>
      <c r="S332" s="22" t="n"/>
      <c r="T332" s="22" t="n"/>
      <c r="U332" s="22" t="n"/>
      <c r="V332" s="22" t="n"/>
      <c r="W332" s="22" t="n"/>
      <c r="X332" s="22" t="n"/>
    </row>
    <row r="333">
      <c r="A333" s="324" t="n"/>
      <c r="B333" s="22" t="n"/>
      <c r="C333" s="22" t="n"/>
      <c r="D333" s="22" t="n"/>
      <c r="E333" s="22" t="n"/>
      <c r="F333" s="22" t="n"/>
      <c r="G333" s="22" t="n"/>
      <c r="H333" s="22" t="n"/>
      <c r="I333" s="22" t="n"/>
      <c r="J333" s="22" t="n"/>
      <c r="K333" s="22" t="n"/>
      <c r="L333" s="22" t="n"/>
      <c r="M333" s="22" t="n"/>
      <c r="N333" s="22" t="n"/>
      <c r="O333" s="22" t="n"/>
      <c r="P333" s="22" t="n"/>
      <c r="Q333" s="22" t="n"/>
      <c r="R333" s="22" t="n"/>
      <c r="S333" s="22" t="n"/>
      <c r="T333" s="22" t="n"/>
      <c r="U333" s="22" t="n"/>
      <c r="V333" s="22" t="n"/>
      <c r="W333" s="22" t="n"/>
      <c r="X333" s="22" t="n"/>
    </row>
    <row r="334">
      <c r="A334" s="324" t="n"/>
      <c r="B334" s="22" t="n"/>
      <c r="C334" s="22" t="n"/>
      <c r="D334" s="22" t="n"/>
      <c r="E334" s="22" t="n"/>
      <c r="F334" s="22" t="n"/>
      <c r="G334" s="22" t="n"/>
      <c r="H334" s="22" t="n"/>
      <c r="I334" s="22" t="n"/>
      <c r="J334" s="22" t="n"/>
      <c r="K334" s="22" t="n"/>
      <c r="L334" s="22" t="n"/>
      <c r="M334" s="22" t="n"/>
      <c r="N334" s="22" t="n"/>
      <c r="O334" s="22" t="n"/>
      <c r="P334" s="22" t="n"/>
      <c r="Q334" s="22" t="n"/>
      <c r="R334" s="22" t="n"/>
      <c r="S334" s="22" t="n"/>
      <c r="T334" s="22" t="n"/>
      <c r="U334" s="22" t="n"/>
      <c r="V334" s="22" t="n"/>
      <c r="W334" s="22" t="n"/>
      <c r="X334" s="22" t="n"/>
    </row>
    <row r="335">
      <c r="A335" s="324" t="n"/>
      <c r="B335" s="22" t="n"/>
      <c r="C335" s="22" t="n"/>
      <c r="D335" s="22" t="n"/>
      <c r="E335" s="22" t="n"/>
      <c r="F335" s="22" t="n"/>
      <c r="G335" s="22" t="n"/>
      <c r="H335" s="22" t="n"/>
      <c r="I335" s="22" t="n"/>
      <c r="J335" s="22" t="n"/>
      <c r="K335" s="22" t="n"/>
      <c r="L335" s="22" t="n"/>
      <c r="M335" s="22" t="n"/>
      <c r="N335" s="22" t="n"/>
      <c r="O335" s="22" t="n"/>
      <c r="P335" s="22" t="n"/>
      <c r="Q335" s="22" t="n"/>
      <c r="R335" s="22" t="n"/>
      <c r="S335" s="22" t="n"/>
      <c r="T335" s="22" t="n"/>
      <c r="U335" s="22" t="n"/>
      <c r="V335" s="22" t="n"/>
      <c r="W335" s="22" t="n"/>
      <c r="X335" s="22" t="n"/>
    </row>
    <row r="336">
      <c r="A336" s="324" t="n"/>
      <c r="B336" s="22" t="n"/>
      <c r="C336" s="22" t="n"/>
      <c r="D336" s="22" t="n"/>
      <c r="E336" s="22" t="n"/>
      <c r="F336" s="22" t="n"/>
      <c r="G336" s="22" t="n"/>
      <c r="H336" s="22" t="n"/>
      <c r="I336" s="22" t="n"/>
      <c r="J336" s="22" t="n"/>
      <c r="K336" s="22" t="n"/>
      <c r="L336" s="22" t="n"/>
      <c r="M336" s="22" t="n"/>
      <c r="N336" s="22" t="n"/>
      <c r="O336" s="22" t="n"/>
      <c r="P336" s="22" t="n"/>
      <c r="Q336" s="22" t="n"/>
      <c r="R336" s="22" t="n"/>
      <c r="S336" s="22" t="n"/>
      <c r="T336" s="22" t="n"/>
      <c r="U336" s="22" t="n"/>
      <c r="V336" s="22" t="n"/>
      <c r="W336" s="22" t="n"/>
      <c r="X336" s="22" t="n"/>
    </row>
    <row r="337">
      <c r="A337" s="324" t="n"/>
      <c r="B337" s="22" t="n"/>
      <c r="C337" s="22" t="n"/>
      <c r="D337" s="22" t="n"/>
      <c r="E337" s="22" t="n"/>
      <c r="F337" s="22" t="n"/>
      <c r="G337" s="22" t="n"/>
      <c r="H337" s="22" t="n"/>
      <c r="I337" s="22" t="n"/>
      <c r="J337" s="22" t="n"/>
      <c r="K337" s="22" t="n"/>
      <c r="L337" s="22" t="n"/>
      <c r="M337" s="22" t="n"/>
      <c r="N337" s="22" t="n"/>
      <c r="O337" s="22" t="n"/>
      <c r="P337" s="22" t="n"/>
      <c r="Q337" s="22" t="n"/>
      <c r="R337" s="22" t="n"/>
      <c r="S337" s="22" t="n"/>
      <c r="T337" s="22" t="n"/>
      <c r="U337" s="22" t="n"/>
      <c r="V337" s="22" t="n"/>
      <c r="W337" s="22" t="n"/>
      <c r="X337" s="22" t="n"/>
    </row>
    <row r="338">
      <c r="A338" s="324" t="n"/>
      <c r="B338" s="22" t="n"/>
      <c r="C338" s="22" t="n"/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2" t="n"/>
      <c r="M338" s="22" t="n"/>
      <c r="N338" s="22" t="n"/>
      <c r="O338" s="22" t="n"/>
      <c r="P338" s="22" t="n"/>
      <c r="Q338" s="22" t="n"/>
      <c r="R338" s="22" t="n"/>
      <c r="S338" s="22" t="n"/>
      <c r="T338" s="22" t="n"/>
      <c r="U338" s="22" t="n"/>
      <c r="V338" s="22" t="n"/>
      <c r="W338" s="22" t="n"/>
      <c r="X338" s="22" t="n"/>
    </row>
    <row r="339">
      <c r="A339" s="324" t="n"/>
      <c r="B339" s="22" t="n"/>
      <c r="C339" s="22" t="n"/>
      <c r="D339" s="22" t="n"/>
      <c r="E339" s="22" t="n"/>
      <c r="F339" s="22" t="n"/>
      <c r="G339" s="22" t="n"/>
      <c r="H339" s="22" t="n"/>
      <c r="I339" s="22" t="n"/>
      <c r="J339" s="22" t="n"/>
      <c r="K339" s="22" t="n"/>
      <c r="L339" s="22" t="n"/>
      <c r="M339" s="22" t="n"/>
      <c r="N339" s="22" t="n"/>
      <c r="O339" s="22" t="n"/>
      <c r="P339" s="22" t="n"/>
      <c r="Q339" s="22" t="n"/>
      <c r="R339" s="22" t="n"/>
      <c r="S339" s="22" t="n"/>
      <c r="T339" s="22" t="n"/>
      <c r="U339" s="22" t="n"/>
      <c r="V339" s="22" t="n"/>
      <c r="W339" s="22" t="n"/>
      <c r="X339" s="22" t="n"/>
    </row>
    <row r="340">
      <c r="A340" s="324" t="n"/>
      <c r="B340" s="22" t="n"/>
      <c r="C340" s="22" t="n"/>
      <c r="D340" s="22" t="n"/>
      <c r="E340" s="22" t="n"/>
      <c r="F340" s="22" t="n"/>
      <c r="G340" s="22" t="n"/>
      <c r="H340" s="22" t="n"/>
      <c r="I340" s="22" t="n"/>
      <c r="J340" s="22" t="n"/>
      <c r="K340" s="22" t="n"/>
      <c r="L340" s="22" t="n"/>
      <c r="M340" s="22" t="n"/>
      <c r="N340" s="22" t="n"/>
      <c r="O340" s="22" t="n"/>
      <c r="P340" s="22" t="n"/>
      <c r="Q340" s="22" t="n"/>
      <c r="R340" s="22" t="n"/>
      <c r="S340" s="22" t="n"/>
      <c r="T340" s="22" t="n"/>
      <c r="U340" s="22" t="n"/>
      <c r="V340" s="22" t="n"/>
      <c r="W340" s="22" t="n"/>
      <c r="X340" s="22" t="n"/>
    </row>
    <row r="341">
      <c r="A341" s="324" t="n"/>
      <c r="B341" s="22" t="n"/>
      <c r="C341" s="22" t="n"/>
      <c r="D341" s="22" t="n"/>
      <c r="E341" s="22" t="n"/>
      <c r="F341" s="22" t="n"/>
      <c r="G341" s="22" t="n"/>
      <c r="H341" s="22" t="n"/>
      <c r="I341" s="22" t="n"/>
      <c r="J341" s="22" t="n"/>
      <c r="K341" s="22" t="n"/>
      <c r="L341" s="22" t="n"/>
      <c r="M341" s="22" t="n"/>
      <c r="N341" s="22" t="n"/>
      <c r="O341" s="22" t="n"/>
      <c r="P341" s="22" t="n"/>
      <c r="Q341" s="22" t="n"/>
      <c r="R341" s="22" t="n"/>
      <c r="S341" s="22" t="n"/>
      <c r="T341" s="22" t="n"/>
      <c r="U341" s="22" t="n"/>
      <c r="V341" s="22" t="n"/>
      <c r="W341" s="22" t="n"/>
      <c r="X341" s="22" t="n"/>
    </row>
    <row r="342">
      <c r="A342" s="324" t="n"/>
      <c r="B342" s="22" t="n"/>
      <c r="C342" s="22" t="n"/>
      <c r="D342" s="22" t="n"/>
      <c r="E342" s="22" t="n"/>
      <c r="F342" s="22" t="n"/>
      <c r="G342" s="22" t="n"/>
      <c r="H342" s="22" t="n"/>
      <c r="I342" s="22" t="n"/>
      <c r="J342" s="22" t="n"/>
      <c r="K342" s="22" t="n"/>
      <c r="L342" s="22" t="n"/>
      <c r="M342" s="22" t="n"/>
      <c r="N342" s="22" t="n"/>
      <c r="O342" s="22" t="n"/>
      <c r="P342" s="22" t="n"/>
      <c r="Q342" s="22" t="n"/>
      <c r="R342" s="22" t="n"/>
      <c r="S342" s="22" t="n"/>
      <c r="T342" s="22" t="n"/>
      <c r="U342" s="22" t="n"/>
      <c r="V342" s="22" t="n"/>
      <c r="W342" s="22" t="n"/>
      <c r="X342" s="22" t="n"/>
    </row>
    <row r="343">
      <c r="A343" s="324" t="n"/>
      <c r="B343" s="22" t="n"/>
      <c r="C343" s="22" t="n"/>
      <c r="D343" s="22" t="n"/>
      <c r="E343" s="22" t="n"/>
      <c r="F343" s="22" t="n"/>
      <c r="G343" s="22" t="n"/>
      <c r="H343" s="22" t="n"/>
      <c r="I343" s="22" t="n"/>
      <c r="J343" s="22" t="n"/>
      <c r="K343" s="22" t="n"/>
      <c r="L343" s="22" t="n"/>
      <c r="M343" s="22" t="n"/>
      <c r="N343" s="22" t="n"/>
      <c r="O343" s="22" t="n"/>
      <c r="P343" s="22" t="n"/>
      <c r="Q343" s="22" t="n"/>
      <c r="R343" s="22" t="n"/>
      <c r="S343" s="22" t="n"/>
      <c r="T343" s="22" t="n"/>
      <c r="U343" s="22" t="n"/>
      <c r="V343" s="22" t="n"/>
      <c r="W343" s="22" t="n"/>
      <c r="X343" s="22" t="n"/>
    </row>
    <row r="344">
      <c r="A344" s="324" t="n"/>
      <c r="B344" s="22" t="n"/>
      <c r="C344" s="22" t="n"/>
      <c r="D344" s="22" t="n"/>
      <c r="E344" s="22" t="n"/>
      <c r="F344" s="22" t="n"/>
      <c r="G344" s="22" t="n"/>
      <c r="H344" s="22" t="n"/>
      <c r="I344" s="22" t="n"/>
      <c r="J344" s="22" t="n"/>
      <c r="K344" s="22" t="n"/>
      <c r="L344" s="22" t="n"/>
      <c r="M344" s="22" t="n"/>
      <c r="N344" s="22" t="n"/>
      <c r="O344" s="22" t="n"/>
      <c r="P344" s="22" t="n"/>
      <c r="Q344" s="22" t="n"/>
      <c r="R344" s="22" t="n"/>
      <c r="S344" s="22" t="n"/>
      <c r="T344" s="22" t="n"/>
      <c r="U344" s="22" t="n"/>
      <c r="V344" s="22" t="n"/>
      <c r="W344" s="22" t="n"/>
      <c r="X344" s="22" t="n"/>
    </row>
    <row r="345">
      <c r="A345" s="324" t="n"/>
      <c r="B345" s="22" t="n"/>
      <c r="C345" s="22" t="n"/>
      <c r="D345" s="22" t="n"/>
      <c r="E345" s="22" t="n"/>
      <c r="F345" s="22" t="n"/>
      <c r="G345" s="22" t="n"/>
      <c r="H345" s="22" t="n"/>
      <c r="I345" s="22" t="n"/>
      <c r="J345" s="22" t="n"/>
      <c r="K345" s="22" t="n"/>
      <c r="L345" s="22" t="n"/>
      <c r="M345" s="22" t="n"/>
      <c r="N345" s="22" t="n"/>
      <c r="O345" s="22" t="n"/>
      <c r="P345" s="22" t="n"/>
      <c r="Q345" s="22" t="n"/>
      <c r="R345" s="22" t="n"/>
      <c r="S345" s="22" t="n"/>
      <c r="T345" s="22" t="n"/>
      <c r="U345" s="22" t="n"/>
      <c r="V345" s="22" t="n"/>
      <c r="W345" s="22" t="n"/>
      <c r="X345" s="22" t="n"/>
    </row>
    <row r="346">
      <c r="A346" s="324" t="n"/>
      <c r="B346" s="22" t="n"/>
      <c r="C346" s="22" t="n"/>
      <c r="D346" s="22" t="n"/>
      <c r="E346" s="22" t="n"/>
      <c r="F346" s="22" t="n"/>
      <c r="G346" s="22" t="n"/>
      <c r="H346" s="22" t="n"/>
      <c r="I346" s="22" t="n"/>
      <c r="J346" s="22" t="n"/>
      <c r="K346" s="22" t="n"/>
      <c r="L346" s="22" t="n"/>
      <c r="M346" s="22" t="n"/>
      <c r="N346" s="22" t="n"/>
      <c r="O346" s="22" t="n"/>
      <c r="P346" s="22" t="n"/>
      <c r="Q346" s="22" t="n"/>
      <c r="R346" s="22" t="n"/>
      <c r="S346" s="22" t="n"/>
      <c r="T346" s="22" t="n"/>
      <c r="U346" s="22" t="n"/>
      <c r="V346" s="22" t="n"/>
      <c r="W346" s="22" t="n"/>
      <c r="X346" s="22" t="n"/>
    </row>
    <row r="347">
      <c r="A347" s="324" t="n"/>
      <c r="B347" s="22" t="n"/>
      <c r="C347" s="22" t="n"/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2" t="n"/>
      <c r="M347" s="22" t="n"/>
      <c r="N347" s="22" t="n"/>
      <c r="O347" s="22" t="n"/>
      <c r="P347" s="22" t="n"/>
      <c r="Q347" s="22" t="n"/>
      <c r="R347" s="22" t="n"/>
      <c r="S347" s="22" t="n"/>
      <c r="T347" s="22" t="n"/>
      <c r="U347" s="22" t="n"/>
      <c r="V347" s="22" t="n"/>
      <c r="W347" s="22" t="n"/>
      <c r="X347" s="22" t="n"/>
    </row>
    <row r="348">
      <c r="A348" s="324" t="n"/>
      <c r="B348" s="22" t="n"/>
      <c r="C348" s="22" t="n"/>
      <c r="D348" s="22" t="n"/>
      <c r="E348" s="22" t="n"/>
      <c r="F348" s="22" t="n"/>
      <c r="G348" s="22" t="n"/>
      <c r="H348" s="22" t="n"/>
      <c r="I348" s="22" t="n"/>
      <c r="J348" s="22" t="n"/>
      <c r="K348" s="22" t="n"/>
      <c r="L348" s="22" t="n"/>
      <c r="M348" s="22" t="n"/>
      <c r="N348" s="22" t="n"/>
      <c r="O348" s="22" t="n"/>
      <c r="P348" s="22" t="n"/>
      <c r="Q348" s="22" t="n"/>
      <c r="R348" s="22" t="n"/>
      <c r="S348" s="22" t="n"/>
      <c r="T348" s="22" t="n"/>
      <c r="U348" s="22" t="n"/>
      <c r="V348" s="22" t="n"/>
      <c r="W348" s="22" t="n"/>
      <c r="X348" s="22" t="n"/>
    </row>
    <row r="349">
      <c r="A349" s="324" t="n"/>
      <c r="B349" s="22" t="n"/>
      <c r="C349" s="22" t="n"/>
      <c r="D349" s="22" t="n"/>
      <c r="E349" s="22" t="n"/>
      <c r="F349" s="22" t="n"/>
      <c r="G349" s="22" t="n"/>
      <c r="H349" s="22" t="n"/>
      <c r="I349" s="22" t="n"/>
      <c r="J349" s="22" t="n"/>
      <c r="K349" s="22" t="n"/>
      <c r="L349" s="22" t="n"/>
      <c r="M349" s="22" t="n"/>
      <c r="N349" s="22" t="n"/>
      <c r="O349" s="22" t="n"/>
      <c r="P349" s="22" t="n"/>
      <c r="Q349" s="22" t="n"/>
      <c r="R349" s="22" t="n"/>
      <c r="S349" s="22" t="n"/>
      <c r="T349" s="22" t="n"/>
      <c r="U349" s="22" t="n"/>
      <c r="V349" s="22" t="n"/>
      <c r="W349" s="22" t="n"/>
      <c r="X349" s="22" t="n"/>
    </row>
    <row r="350">
      <c r="A350" s="324" t="n"/>
      <c r="B350" s="22" t="n"/>
      <c r="C350" s="22" t="n"/>
      <c r="D350" s="22" t="n"/>
      <c r="E350" s="22" t="n"/>
      <c r="F350" s="22" t="n"/>
      <c r="G350" s="22" t="n"/>
      <c r="H350" s="22" t="n"/>
      <c r="I350" s="22" t="n"/>
      <c r="J350" s="22" t="n"/>
      <c r="K350" s="22" t="n"/>
      <c r="L350" s="22" t="n"/>
      <c r="M350" s="22" t="n"/>
      <c r="N350" s="22" t="n"/>
      <c r="O350" s="22" t="n"/>
      <c r="P350" s="22" t="n"/>
      <c r="Q350" s="22" t="n"/>
      <c r="R350" s="22" t="n"/>
      <c r="S350" s="22" t="n"/>
      <c r="T350" s="22" t="n"/>
      <c r="U350" s="22" t="n"/>
      <c r="V350" s="22" t="n"/>
      <c r="W350" s="22" t="n"/>
      <c r="X350" s="22" t="n"/>
    </row>
    <row r="351">
      <c r="A351" s="324" t="n"/>
      <c r="B351" s="22" t="n"/>
      <c r="C351" s="22" t="n"/>
      <c r="D351" s="22" t="n"/>
      <c r="E351" s="22" t="n"/>
      <c r="F351" s="22" t="n"/>
      <c r="G351" s="22" t="n"/>
      <c r="H351" s="22" t="n"/>
      <c r="I351" s="22" t="n"/>
      <c r="J351" s="22" t="n"/>
      <c r="K351" s="22" t="n"/>
      <c r="L351" s="22" t="n"/>
      <c r="M351" s="22" t="n"/>
      <c r="N351" s="22" t="n"/>
      <c r="O351" s="22" t="n"/>
      <c r="P351" s="22" t="n"/>
      <c r="Q351" s="22" t="n"/>
      <c r="R351" s="22" t="n"/>
      <c r="S351" s="22" t="n"/>
      <c r="T351" s="22" t="n"/>
      <c r="U351" s="22" t="n"/>
      <c r="V351" s="22" t="n"/>
      <c r="W351" s="22" t="n"/>
      <c r="X351" s="22" t="n"/>
    </row>
    <row r="352">
      <c r="A352" s="324" t="n"/>
      <c r="B352" s="22" t="n"/>
      <c r="C352" s="22" t="n"/>
      <c r="D352" s="22" t="n"/>
      <c r="E352" s="22" t="n"/>
      <c r="F352" s="22" t="n"/>
      <c r="G352" s="22" t="n"/>
      <c r="H352" s="22" t="n"/>
      <c r="I352" s="22" t="n"/>
      <c r="J352" s="22" t="n"/>
      <c r="K352" s="22" t="n"/>
      <c r="L352" s="22" t="n"/>
      <c r="M352" s="22" t="n"/>
      <c r="N352" s="22" t="n"/>
      <c r="O352" s="22" t="n"/>
      <c r="P352" s="22" t="n"/>
      <c r="Q352" s="22" t="n"/>
      <c r="R352" s="22" t="n"/>
      <c r="S352" s="22" t="n"/>
      <c r="T352" s="22" t="n"/>
      <c r="U352" s="22" t="n"/>
      <c r="V352" s="22" t="n"/>
      <c r="W352" s="22" t="n"/>
      <c r="X352" s="22" t="n"/>
    </row>
    <row r="353">
      <c r="A353" s="324" t="n"/>
      <c r="B353" s="22" t="n"/>
      <c r="C353" s="22" t="n"/>
      <c r="D353" s="22" t="n"/>
      <c r="E353" s="22" t="n"/>
      <c r="F353" s="22" t="n"/>
      <c r="G353" s="22" t="n"/>
      <c r="H353" s="22" t="n"/>
      <c r="I353" s="22" t="n"/>
      <c r="J353" s="22" t="n"/>
      <c r="K353" s="22" t="n"/>
      <c r="L353" s="22" t="n"/>
      <c r="M353" s="22" t="n"/>
      <c r="N353" s="22" t="n"/>
      <c r="O353" s="22" t="n"/>
      <c r="P353" s="22" t="n"/>
      <c r="Q353" s="22" t="n"/>
      <c r="R353" s="22" t="n"/>
      <c r="S353" s="22" t="n"/>
      <c r="T353" s="22" t="n"/>
      <c r="U353" s="22" t="n"/>
      <c r="V353" s="22" t="n"/>
      <c r="W353" s="22" t="n"/>
      <c r="X353" s="22" t="n"/>
    </row>
    <row r="354">
      <c r="A354" s="324" t="n"/>
      <c r="B354" s="22" t="n"/>
      <c r="C354" s="22" t="n"/>
      <c r="D354" s="22" t="n"/>
      <c r="E354" s="22" t="n"/>
      <c r="F354" s="22" t="n"/>
      <c r="G354" s="22" t="n"/>
      <c r="H354" s="22" t="n"/>
      <c r="I354" s="22" t="n"/>
      <c r="J354" s="22" t="n"/>
      <c r="K354" s="22" t="n"/>
      <c r="L354" s="22" t="n"/>
      <c r="M354" s="22" t="n"/>
      <c r="N354" s="22" t="n"/>
      <c r="O354" s="22" t="n"/>
      <c r="P354" s="22" t="n"/>
      <c r="Q354" s="22" t="n"/>
      <c r="R354" s="22" t="n"/>
      <c r="S354" s="22" t="n"/>
      <c r="T354" s="22" t="n"/>
      <c r="U354" s="22" t="n"/>
      <c r="V354" s="22" t="n"/>
      <c r="W354" s="22" t="n"/>
      <c r="X354" s="22" t="n"/>
    </row>
    <row r="355">
      <c r="A355" s="324" t="n"/>
      <c r="B355" s="22" t="n"/>
      <c r="C355" s="22" t="n"/>
      <c r="D355" s="22" t="n"/>
      <c r="E355" s="22" t="n"/>
      <c r="F355" s="22" t="n"/>
      <c r="G355" s="22" t="n"/>
      <c r="H355" s="22" t="n"/>
      <c r="I355" s="22" t="n"/>
      <c r="J355" s="22" t="n"/>
      <c r="K355" s="22" t="n"/>
      <c r="L355" s="22" t="n"/>
      <c r="M355" s="22" t="n"/>
      <c r="N355" s="22" t="n"/>
      <c r="O355" s="22" t="n"/>
      <c r="P355" s="22" t="n"/>
      <c r="Q355" s="22" t="n"/>
      <c r="R355" s="22" t="n"/>
      <c r="S355" s="22" t="n"/>
      <c r="T355" s="22" t="n"/>
      <c r="U355" s="22" t="n"/>
      <c r="V355" s="22" t="n"/>
      <c r="W355" s="22" t="n"/>
      <c r="X355" s="22" t="n"/>
    </row>
    <row r="356">
      <c r="A356" s="324" t="n"/>
      <c r="B356" s="22" t="n"/>
      <c r="C356" s="22" t="n"/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2" t="n"/>
      <c r="M356" s="22" t="n"/>
      <c r="N356" s="22" t="n"/>
      <c r="O356" s="22" t="n"/>
      <c r="P356" s="22" t="n"/>
      <c r="Q356" s="22" t="n"/>
      <c r="R356" s="22" t="n"/>
      <c r="S356" s="22" t="n"/>
      <c r="T356" s="22" t="n"/>
      <c r="U356" s="22" t="n"/>
      <c r="V356" s="22" t="n"/>
      <c r="W356" s="22" t="n"/>
      <c r="X356" s="22" t="n"/>
    </row>
    <row r="357">
      <c r="A357" s="324" t="n"/>
      <c r="B357" s="22" t="n"/>
      <c r="C357" s="22" t="n"/>
      <c r="D357" s="22" t="n"/>
      <c r="E357" s="22" t="n"/>
      <c r="F357" s="22" t="n"/>
      <c r="G357" s="22" t="n"/>
      <c r="H357" s="22" t="n"/>
      <c r="I357" s="22" t="n"/>
      <c r="J357" s="22" t="n"/>
      <c r="K357" s="22" t="n"/>
      <c r="L357" s="22" t="n"/>
      <c r="M357" s="22" t="n"/>
      <c r="N357" s="22" t="n"/>
      <c r="O357" s="22" t="n"/>
      <c r="P357" s="22" t="n"/>
      <c r="Q357" s="22" t="n"/>
      <c r="R357" s="22" t="n"/>
      <c r="S357" s="22" t="n"/>
      <c r="T357" s="22" t="n"/>
      <c r="U357" s="22" t="n"/>
      <c r="V357" s="22" t="n"/>
      <c r="W357" s="22" t="n"/>
      <c r="X357" s="22" t="n"/>
    </row>
    <row r="358">
      <c r="A358" s="324" t="n"/>
      <c r="B358" s="22" t="n"/>
      <c r="C358" s="22" t="n"/>
      <c r="D358" s="22" t="n"/>
      <c r="E358" s="22" t="n"/>
      <c r="F358" s="22" t="n"/>
      <c r="G358" s="22" t="n"/>
      <c r="H358" s="22" t="n"/>
      <c r="I358" s="22" t="n"/>
      <c r="J358" s="22" t="n"/>
      <c r="K358" s="22" t="n"/>
      <c r="L358" s="22" t="n"/>
      <c r="M358" s="22" t="n"/>
      <c r="N358" s="22" t="n"/>
      <c r="O358" s="22" t="n"/>
      <c r="P358" s="22" t="n"/>
      <c r="Q358" s="22" t="n"/>
      <c r="R358" s="22" t="n"/>
      <c r="S358" s="22" t="n"/>
      <c r="T358" s="22" t="n"/>
      <c r="U358" s="22" t="n"/>
      <c r="V358" s="22" t="n"/>
      <c r="W358" s="22" t="n"/>
      <c r="X358" s="22" t="n"/>
    </row>
    <row r="359">
      <c r="A359" s="324" t="n"/>
      <c r="B359" s="22" t="n"/>
      <c r="C359" s="22" t="n"/>
      <c r="D359" s="22" t="n"/>
      <c r="E359" s="22" t="n"/>
      <c r="F359" s="22" t="n"/>
      <c r="G359" s="22" t="n"/>
      <c r="H359" s="22" t="n"/>
      <c r="I359" s="22" t="n"/>
      <c r="J359" s="22" t="n"/>
      <c r="K359" s="22" t="n"/>
      <c r="L359" s="22" t="n"/>
      <c r="M359" s="22" t="n"/>
      <c r="N359" s="22" t="n"/>
      <c r="O359" s="22" t="n"/>
      <c r="P359" s="22" t="n"/>
      <c r="Q359" s="22" t="n"/>
      <c r="R359" s="22" t="n"/>
      <c r="S359" s="22" t="n"/>
      <c r="T359" s="22" t="n"/>
      <c r="U359" s="22" t="n"/>
      <c r="V359" s="22" t="n"/>
      <c r="W359" s="22" t="n"/>
      <c r="X359" s="22" t="n"/>
    </row>
    <row r="360">
      <c r="A360" s="324" t="n"/>
      <c r="B360" s="22" t="n"/>
      <c r="C360" s="22" t="n"/>
      <c r="D360" s="22" t="n"/>
      <c r="E360" s="22" t="n"/>
      <c r="F360" s="22" t="n"/>
      <c r="G360" s="22" t="n"/>
      <c r="H360" s="22" t="n"/>
      <c r="I360" s="22" t="n"/>
      <c r="J360" s="22" t="n"/>
      <c r="K360" s="22" t="n"/>
      <c r="L360" s="22" t="n"/>
      <c r="M360" s="22" t="n"/>
      <c r="N360" s="22" t="n"/>
      <c r="O360" s="22" t="n"/>
      <c r="P360" s="22" t="n"/>
      <c r="Q360" s="22" t="n"/>
      <c r="R360" s="22" t="n"/>
      <c r="S360" s="22" t="n"/>
      <c r="T360" s="22" t="n"/>
      <c r="U360" s="22" t="n"/>
      <c r="V360" s="22" t="n"/>
      <c r="W360" s="22" t="n"/>
      <c r="X360" s="22" t="n"/>
    </row>
    <row r="361">
      <c r="A361" s="324" t="n"/>
      <c r="B361" s="22" t="n"/>
      <c r="C361" s="22" t="n"/>
      <c r="D361" s="22" t="n"/>
      <c r="E361" s="22" t="n"/>
      <c r="F361" s="22" t="n"/>
      <c r="G361" s="22" t="n"/>
      <c r="H361" s="22" t="n"/>
      <c r="I361" s="22" t="n"/>
      <c r="J361" s="22" t="n"/>
      <c r="K361" s="22" t="n"/>
      <c r="L361" s="22" t="n"/>
      <c r="M361" s="22" t="n"/>
      <c r="N361" s="22" t="n"/>
      <c r="O361" s="22" t="n"/>
      <c r="P361" s="22" t="n"/>
      <c r="Q361" s="22" t="n"/>
      <c r="R361" s="22" t="n"/>
      <c r="S361" s="22" t="n"/>
      <c r="T361" s="22" t="n"/>
      <c r="U361" s="22" t="n"/>
      <c r="V361" s="22" t="n"/>
      <c r="W361" s="22" t="n"/>
      <c r="X361" s="22" t="n"/>
    </row>
    <row r="362">
      <c r="A362" s="324" t="n"/>
      <c r="B362" s="22" t="n"/>
      <c r="C362" s="22" t="n"/>
      <c r="D362" s="22" t="n"/>
      <c r="E362" s="22" t="n"/>
      <c r="F362" s="22" t="n"/>
      <c r="G362" s="22" t="n"/>
      <c r="H362" s="22" t="n"/>
      <c r="I362" s="22" t="n"/>
      <c r="J362" s="22" t="n"/>
      <c r="K362" s="22" t="n"/>
      <c r="L362" s="22" t="n"/>
      <c r="M362" s="22" t="n"/>
      <c r="N362" s="22" t="n"/>
      <c r="O362" s="22" t="n"/>
      <c r="P362" s="22" t="n"/>
      <c r="Q362" s="22" t="n"/>
      <c r="R362" s="22" t="n"/>
      <c r="S362" s="22" t="n"/>
      <c r="T362" s="22" t="n"/>
      <c r="U362" s="22" t="n"/>
      <c r="V362" s="22" t="n"/>
      <c r="W362" s="22" t="n"/>
      <c r="X362" s="22" t="n"/>
    </row>
    <row r="363">
      <c r="A363" s="324" t="n"/>
      <c r="B363" s="22" t="n"/>
      <c r="C363" s="22" t="n"/>
      <c r="D363" s="22" t="n"/>
      <c r="E363" s="22" t="n"/>
      <c r="F363" s="22" t="n"/>
      <c r="G363" s="22" t="n"/>
      <c r="H363" s="22" t="n"/>
      <c r="I363" s="22" t="n"/>
      <c r="J363" s="22" t="n"/>
      <c r="K363" s="22" t="n"/>
      <c r="L363" s="22" t="n"/>
      <c r="M363" s="22" t="n"/>
      <c r="N363" s="22" t="n"/>
      <c r="O363" s="22" t="n"/>
      <c r="P363" s="22" t="n"/>
      <c r="Q363" s="22" t="n"/>
      <c r="R363" s="22" t="n"/>
      <c r="S363" s="22" t="n"/>
      <c r="T363" s="22" t="n"/>
      <c r="U363" s="22" t="n"/>
      <c r="V363" s="22" t="n"/>
      <c r="W363" s="22" t="n"/>
      <c r="X363" s="22" t="n"/>
    </row>
    <row r="364">
      <c r="A364" s="324" t="n"/>
      <c r="B364" s="22" t="n"/>
      <c r="C364" s="22" t="n"/>
      <c r="D364" s="22" t="n"/>
      <c r="E364" s="22" t="n"/>
      <c r="F364" s="22" t="n"/>
      <c r="G364" s="22" t="n"/>
      <c r="H364" s="22" t="n"/>
      <c r="I364" s="22" t="n"/>
      <c r="J364" s="22" t="n"/>
      <c r="K364" s="22" t="n"/>
      <c r="L364" s="22" t="n"/>
      <c r="M364" s="22" t="n"/>
      <c r="N364" s="22" t="n"/>
      <c r="O364" s="22" t="n"/>
      <c r="P364" s="22" t="n"/>
      <c r="Q364" s="22" t="n"/>
      <c r="R364" s="22" t="n"/>
      <c r="S364" s="22" t="n"/>
      <c r="T364" s="22" t="n"/>
      <c r="U364" s="22" t="n"/>
      <c r="V364" s="22" t="n"/>
      <c r="W364" s="22" t="n"/>
      <c r="X364" s="22" t="n"/>
    </row>
    <row r="365">
      <c r="A365" s="324" t="n"/>
      <c r="B365" s="22" t="n"/>
      <c r="C365" s="22" t="n"/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2" t="n"/>
      <c r="M365" s="22" t="n"/>
      <c r="N365" s="22" t="n"/>
      <c r="O365" s="22" t="n"/>
      <c r="P365" s="22" t="n"/>
      <c r="Q365" s="22" t="n"/>
      <c r="R365" s="22" t="n"/>
      <c r="S365" s="22" t="n"/>
      <c r="T365" s="22" t="n"/>
      <c r="U365" s="22" t="n"/>
      <c r="V365" s="22" t="n"/>
      <c r="W365" s="22" t="n"/>
      <c r="X365" s="22" t="n"/>
    </row>
    <row r="366">
      <c r="A366" s="324" t="n"/>
      <c r="B366" s="22" t="n"/>
      <c r="C366" s="22" t="n"/>
      <c r="D366" s="22" t="n"/>
      <c r="E366" s="22" t="n"/>
      <c r="F366" s="22" t="n"/>
      <c r="G366" s="22" t="n"/>
      <c r="H366" s="22" t="n"/>
      <c r="I366" s="22" t="n"/>
      <c r="J366" s="22" t="n"/>
      <c r="K366" s="22" t="n"/>
      <c r="L366" s="22" t="n"/>
      <c r="M366" s="22" t="n"/>
      <c r="N366" s="22" t="n"/>
      <c r="O366" s="22" t="n"/>
      <c r="P366" s="22" t="n"/>
      <c r="Q366" s="22" t="n"/>
      <c r="R366" s="22" t="n"/>
      <c r="S366" s="22" t="n"/>
      <c r="T366" s="22" t="n"/>
      <c r="U366" s="22" t="n"/>
      <c r="V366" s="22" t="n"/>
      <c r="W366" s="22" t="n"/>
      <c r="X366" s="22" t="n"/>
    </row>
    <row r="367">
      <c r="A367" s="324" t="n"/>
      <c r="B367" s="22" t="n"/>
      <c r="C367" s="22" t="n"/>
      <c r="D367" s="22" t="n"/>
      <c r="E367" s="22" t="n"/>
      <c r="F367" s="22" t="n"/>
      <c r="G367" s="22" t="n"/>
      <c r="H367" s="22" t="n"/>
      <c r="I367" s="22" t="n"/>
      <c r="J367" s="22" t="n"/>
      <c r="K367" s="22" t="n"/>
      <c r="L367" s="22" t="n"/>
      <c r="M367" s="22" t="n"/>
      <c r="N367" s="22" t="n"/>
      <c r="O367" s="22" t="n"/>
      <c r="P367" s="22" t="n"/>
      <c r="Q367" s="22" t="n"/>
      <c r="R367" s="22" t="n"/>
      <c r="S367" s="22" t="n"/>
      <c r="T367" s="22" t="n"/>
      <c r="U367" s="22" t="n"/>
      <c r="V367" s="22" t="n"/>
      <c r="W367" s="22" t="n"/>
      <c r="X367" s="22" t="n"/>
    </row>
    <row r="368">
      <c r="A368" s="324" t="n"/>
      <c r="B368" s="22" t="n"/>
      <c r="C368" s="22" t="n"/>
      <c r="D368" s="22" t="n"/>
      <c r="E368" s="22" t="n"/>
      <c r="F368" s="22" t="n"/>
      <c r="G368" s="22" t="n"/>
      <c r="H368" s="22" t="n"/>
      <c r="I368" s="22" t="n"/>
      <c r="J368" s="22" t="n"/>
      <c r="K368" s="22" t="n"/>
      <c r="L368" s="22" t="n"/>
      <c r="M368" s="22" t="n"/>
      <c r="N368" s="22" t="n"/>
      <c r="O368" s="22" t="n"/>
      <c r="P368" s="22" t="n"/>
      <c r="Q368" s="22" t="n"/>
      <c r="R368" s="22" t="n"/>
      <c r="S368" s="22" t="n"/>
      <c r="T368" s="22" t="n"/>
      <c r="U368" s="22" t="n"/>
      <c r="V368" s="22" t="n"/>
      <c r="W368" s="22" t="n"/>
      <c r="X368" s="22" t="n"/>
    </row>
    <row r="369">
      <c r="A369" s="324" t="n"/>
      <c r="B369" s="22" t="n"/>
      <c r="C369" s="22" t="n"/>
      <c r="D369" s="22" t="n"/>
      <c r="E369" s="22" t="n"/>
      <c r="F369" s="22" t="n"/>
      <c r="G369" s="22" t="n"/>
      <c r="H369" s="22" t="n"/>
      <c r="I369" s="22" t="n"/>
      <c r="J369" s="22" t="n"/>
      <c r="K369" s="22" t="n"/>
      <c r="L369" s="22" t="n"/>
      <c r="M369" s="22" t="n"/>
      <c r="N369" s="22" t="n"/>
      <c r="O369" s="22" t="n"/>
      <c r="P369" s="22" t="n"/>
      <c r="Q369" s="22" t="n"/>
      <c r="R369" s="22" t="n"/>
      <c r="S369" s="22" t="n"/>
      <c r="T369" s="22" t="n"/>
      <c r="U369" s="22" t="n"/>
      <c r="V369" s="22" t="n"/>
      <c r="W369" s="22" t="n"/>
      <c r="X369" s="22" t="n"/>
    </row>
    <row r="370">
      <c r="A370" s="324" t="n"/>
      <c r="B370" s="22" t="n"/>
      <c r="C370" s="22" t="n"/>
      <c r="D370" s="22" t="n"/>
      <c r="E370" s="22" t="n"/>
      <c r="F370" s="22" t="n"/>
      <c r="G370" s="22" t="n"/>
      <c r="H370" s="22" t="n"/>
      <c r="I370" s="22" t="n"/>
      <c r="J370" s="22" t="n"/>
      <c r="K370" s="22" t="n"/>
      <c r="L370" s="22" t="n"/>
      <c r="M370" s="22" t="n"/>
      <c r="N370" s="22" t="n"/>
      <c r="O370" s="22" t="n"/>
      <c r="P370" s="22" t="n"/>
      <c r="Q370" s="22" t="n"/>
      <c r="R370" s="22" t="n"/>
      <c r="S370" s="22" t="n"/>
      <c r="T370" s="22" t="n"/>
      <c r="U370" s="22" t="n"/>
      <c r="V370" s="22" t="n"/>
      <c r="W370" s="22" t="n"/>
      <c r="X370" s="22" t="n"/>
    </row>
    <row r="371">
      <c r="A371" s="324" t="n"/>
      <c r="B371" s="22" t="n"/>
      <c r="C371" s="22" t="n"/>
      <c r="D371" s="22" t="n"/>
      <c r="E371" s="22" t="n"/>
      <c r="F371" s="22" t="n"/>
      <c r="G371" s="22" t="n"/>
      <c r="H371" s="22" t="n"/>
      <c r="I371" s="22" t="n"/>
      <c r="J371" s="22" t="n"/>
      <c r="K371" s="22" t="n"/>
      <c r="L371" s="22" t="n"/>
      <c r="M371" s="22" t="n"/>
      <c r="N371" s="22" t="n"/>
      <c r="O371" s="22" t="n"/>
      <c r="P371" s="22" t="n"/>
      <c r="Q371" s="22" t="n"/>
      <c r="R371" s="22" t="n"/>
      <c r="S371" s="22" t="n"/>
      <c r="T371" s="22" t="n"/>
      <c r="U371" s="22" t="n"/>
      <c r="V371" s="22" t="n"/>
      <c r="W371" s="22" t="n"/>
      <c r="X371" s="22" t="n"/>
    </row>
    <row r="372">
      <c r="A372" s="324" t="n"/>
      <c r="B372" s="22" t="n"/>
      <c r="C372" s="22" t="n"/>
      <c r="D372" s="22" t="n"/>
      <c r="E372" s="22" t="n"/>
      <c r="F372" s="22" t="n"/>
      <c r="G372" s="22" t="n"/>
      <c r="H372" s="22" t="n"/>
      <c r="I372" s="22" t="n"/>
      <c r="J372" s="22" t="n"/>
      <c r="K372" s="22" t="n"/>
      <c r="L372" s="22" t="n"/>
      <c r="M372" s="22" t="n"/>
      <c r="N372" s="22" t="n"/>
      <c r="O372" s="22" t="n"/>
      <c r="P372" s="22" t="n"/>
      <c r="Q372" s="22" t="n"/>
      <c r="R372" s="22" t="n"/>
      <c r="S372" s="22" t="n"/>
      <c r="T372" s="22" t="n"/>
      <c r="U372" s="22" t="n"/>
      <c r="V372" s="22" t="n"/>
      <c r="W372" s="22" t="n"/>
      <c r="X372" s="22" t="n"/>
    </row>
    <row r="373">
      <c r="A373" s="324" t="n"/>
      <c r="B373" s="22" t="n"/>
      <c r="C373" s="22" t="n"/>
      <c r="D373" s="22" t="n"/>
      <c r="E373" s="22" t="n"/>
      <c r="F373" s="22" t="n"/>
      <c r="G373" s="22" t="n"/>
      <c r="H373" s="22" t="n"/>
      <c r="I373" s="22" t="n"/>
      <c r="J373" s="22" t="n"/>
      <c r="K373" s="22" t="n"/>
      <c r="L373" s="22" t="n"/>
      <c r="M373" s="22" t="n"/>
      <c r="N373" s="22" t="n"/>
      <c r="O373" s="22" t="n"/>
      <c r="P373" s="22" t="n"/>
      <c r="Q373" s="22" t="n"/>
      <c r="R373" s="22" t="n"/>
      <c r="S373" s="22" t="n"/>
      <c r="T373" s="22" t="n"/>
      <c r="U373" s="22" t="n"/>
      <c r="V373" s="22" t="n"/>
      <c r="W373" s="22" t="n"/>
      <c r="X373" s="22" t="n"/>
    </row>
    <row r="374">
      <c r="A374" s="324" t="n"/>
      <c r="B374" s="22" t="n"/>
      <c r="C374" s="22" t="n"/>
      <c r="D374" s="22" t="n"/>
      <c r="E374" s="22" t="n"/>
      <c r="F374" s="22" t="n"/>
      <c r="G374" s="22" t="n"/>
      <c r="H374" s="22" t="n"/>
      <c r="I374" s="22" t="n"/>
      <c r="J374" s="22" t="n"/>
      <c r="K374" s="22" t="n"/>
      <c r="L374" s="22" t="n"/>
      <c r="M374" s="22" t="n"/>
      <c r="N374" s="22" t="n"/>
      <c r="O374" s="22" t="n"/>
      <c r="P374" s="22" t="n"/>
      <c r="Q374" s="22" t="n"/>
      <c r="R374" s="22" t="n"/>
      <c r="S374" s="22" t="n"/>
      <c r="T374" s="22" t="n"/>
      <c r="U374" s="22" t="n"/>
      <c r="V374" s="22" t="n"/>
      <c r="W374" s="22" t="n"/>
      <c r="X374" s="22" t="n"/>
    </row>
    <row r="375">
      <c r="A375" s="324" t="n"/>
      <c r="B375" s="22" t="n"/>
      <c r="C375" s="22" t="n"/>
      <c r="D375" s="22" t="n"/>
      <c r="E375" s="22" t="n"/>
      <c r="F375" s="22" t="n"/>
      <c r="G375" s="22" t="n"/>
      <c r="H375" s="22" t="n"/>
      <c r="I375" s="22" t="n"/>
      <c r="J375" s="22" t="n"/>
      <c r="K375" s="22" t="n"/>
      <c r="L375" s="22" t="n"/>
      <c r="M375" s="22" t="n"/>
      <c r="N375" s="22" t="n"/>
      <c r="O375" s="22" t="n"/>
      <c r="P375" s="22" t="n"/>
      <c r="Q375" s="22" t="n"/>
      <c r="R375" s="22" t="n"/>
      <c r="S375" s="22" t="n"/>
      <c r="T375" s="22" t="n"/>
      <c r="U375" s="22" t="n"/>
      <c r="V375" s="22" t="n"/>
      <c r="W375" s="22" t="n"/>
      <c r="X375" s="22" t="n"/>
    </row>
    <row r="376">
      <c r="A376" s="324" t="n"/>
      <c r="B376" s="22" t="n"/>
      <c r="C376" s="22" t="n"/>
      <c r="D376" s="22" t="n"/>
      <c r="E376" s="22" t="n"/>
      <c r="F376" s="22" t="n"/>
      <c r="G376" s="22" t="n"/>
      <c r="H376" s="22" t="n"/>
      <c r="I376" s="22" t="n"/>
      <c r="J376" s="22" t="n"/>
      <c r="K376" s="22" t="n"/>
      <c r="L376" s="22" t="n"/>
      <c r="M376" s="22" t="n"/>
      <c r="N376" s="22" t="n"/>
      <c r="O376" s="22" t="n"/>
      <c r="P376" s="22" t="n"/>
      <c r="Q376" s="22" t="n"/>
      <c r="R376" s="22" t="n"/>
      <c r="S376" s="22" t="n"/>
      <c r="T376" s="22" t="n"/>
      <c r="U376" s="22" t="n"/>
      <c r="V376" s="22" t="n"/>
      <c r="W376" s="22" t="n"/>
      <c r="X376" s="22" t="n"/>
    </row>
    <row r="377">
      <c r="A377" s="324" t="n"/>
      <c r="B377" s="22" t="n"/>
      <c r="C377" s="22" t="n"/>
      <c r="D377" s="22" t="n"/>
      <c r="E377" s="22" t="n"/>
      <c r="F377" s="22" t="n"/>
      <c r="G377" s="22" t="n"/>
      <c r="H377" s="22" t="n"/>
      <c r="I377" s="22" t="n"/>
      <c r="J377" s="22" t="n"/>
      <c r="K377" s="22" t="n"/>
      <c r="L377" s="22" t="n"/>
      <c r="M377" s="22" t="n"/>
      <c r="N377" s="22" t="n"/>
      <c r="O377" s="22" t="n"/>
      <c r="P377" s="22" t="n"/>
      <c r="Q377" s="22" t="n"/>
      <c r="R377" s="22" t="n"/>
      <c r="S377" s="22" t="n"/>
      <c r="T377" s="22" t="n"/>
      <c r="U377" s="22" t="n"/>
      <c r="V377" s="22" t="n"/>
      <c r="W377" s="22" t="n"/>
      <c r="X377" s="22" t="n"/>
    </row>
    <row r="378">
      <c r="A378" s="324" t="n"/>
      <c r="B378" s="22" t="n"/>
      <c r="C378" s="22" t="n"/>
      <c r="D378" s="22" t="n"/>
      <c r="E378" s="22" t="n"/>
      <c r="F378" s="22" t="n"/>
      <c r="G378" s="22" t="n"/>
      <c r="H378" s="22" t="n"/>
      <c r="I378" s="22" t="n"/>
      <c r="J378" s="22" t="n"/>
      <c r="K378" s="22" t="n"/>
      <c r="L378" s="22" t="n"/>
      <c r="M378" s="22" t="n"/>
      <c r="N378" s="22" t="n"/>
      <c r="O378" s="22" t="n"/>
      <c r="P378" s="22" t="n"/>
      <c r="Q378" s="22" t="n"/>
      <c r="R378" s="22" t="n"/>
      <c r="S378" s="22" t="n"/>
      <c r="T378" s="22" t="n"/>
      <c r="U378" s="22" t="n"/>
      <c r="V378" s="22" t="n"/>
      <c r="W378" s="22" t="n"/>
      <c r="X378" s="22" t="n"/>
    </row>
    <row r="379">
      <c r="A379" s="324" t="n"/>
      <c r="B379" s="22" t="n"/>
      <c r="C379" s="22" t="n"/>
      <c r="D379" s="22" t="n"/>
      <c r="E379" s="22" t="n"/>
      <c r="F379" s="22" t="n"/>
      <c r="G379" s="22" t="n"/>
      <c r="H379" s="22" t="n"/>
      <c r="I379" s="22" t="n"/>
      <c r="J379" s="22" t="n"/>
      <c r="K379" s="22" t="n"/>
      <c r="L379" s="22" t="n"/>
      <c r="M379" s="22" t="n"/>
      <c r="N379" s="22" t="n"/>
      <c r="O379" s="22" t="n"/>
      <c r="P379" s="22" t="n"/>
      <c r="Q379" s="22" t="n"/>
      <c r="R379" s="22" t="n"/>
      <c r="S379" s="22" t="n"/>
      <c r="T379" s="22" t="n"/>
      <c r="U379" s="22" t="n"/>
      <c r="V379" s="22" t="n"/>
      <c r="W379" s="22" t="n"/>
      <c r="X379" s="22" t="n"/>
    </row>
    <row r="380">
      <c r="A380" s="324" t="n"/>
      <c r="B380" s="22" t="n"/>
      <c r="C380" s="22" t="n"/>
      <c r="D380" s="22" t="n"/>
      <c r="E380" s="22" t="n"/>
      <c r="F380" s="22" t="n"/>
      <c r="G380" s="22" t="n"/>
      <c r="H380" s="22" t="n"/>
      <c r="I380" s="22" t="n"/>
      <c r="J380" s="22" t="n"/>
      <c r="K380" s="22" t="n"/>
      <c r="L380" s="22" t="n"/>
      <c r="M380" s="22" t="n"/>
      <c r="N380" s="22" t="n"/>
      <c r="O380" s="22" t="n"/>
      <c r="P380" s="22" t="n"/>
      <c r="Q380" s="22" t="n"/>
      <c r="R380" s="22" t="n"/>
      <c r="S380" s="22" t="n"/>
      <c r="T380" s="22" t="n"/>
      <c r="U380" s="22" t="n"/>
      <c r="V380" s="22" t="n"/>
      <c r="W380" s="22" t="n"/>
      <c r="X380" s="22" t="n"/>
    </row>
    <row r="381">
      <c r="A381" s="324" t="n"/>
      <c r="B381" s="22" t="n"/>
      <c r="C381" s="22" t="n"/>
      <c r="D381" s="22" t="n"/>
      <c r="E381" s="22" t="n"/>
      <c r="F381" s="22" t="n"/>
      <c r="G381" s="22" t="n"/>
      <c r="H381" s="22" t="n"/>
      <c r="I381" s="22" t="n"/>
      <c r="J381" s="22" t="n"/>
      <c r="K381" s="22" t="n"/>
      <c r="L381" s="22" t="n"/>
      <c r="M381" s="22" t="n"/>
      <c r="N381" s="22" t="n"/>
      <c r="O381" s="22" t="n"/>
      <c r="P381" s="22" t="n"/>
      <c r="Q381" s="22" t="n"/>
      <c r="R381" s="22" t="n"/>
      <c r="S381" s="22" t="n"/>
      <c r="T381" s="22" t="n"/>
      <c r="U381" s="22" t="n"/>
      <c r="V381" s="22" t="n"/>
      <c r="W381" s="22" t="n"/>
      <c r="X381" s="22" t="n"/>
    </row>
    <row r="382">
      <c r="A382" s="324" t="n"/>
      <c r="B382" s="22" t="n"/>
      <c r="C382" s="22" t="n"/>
      <c r="D382" s="22" t="n"/>
      <c r="E382" s="22" t="n"/>
      <c r="F382" s="22" t="n"/>
      <c r="G382" s="22" t="n"/>
      <c r="H382" s="22" t="n"/>
      <c r="I382" s="22" t="n"/>
      <c r="J382" s="22" t="n"/>
      <c r="K382" s="22" t="n"/>
      <c r="L382" s="22" t="n"/>
      <c r="M382" s="22" t="n"/>
      <c r="N382" s="22" t="n"/>
      <c r="O382" s="22" t="n"/>
      <c r="P382" s="22" t="n"/>
      <c r="Q382" s="22" t="n"/>
      <c r="R382" s="22" t="n"/>
      <c r="S382" s="22" t="n"/>
      <c r="T382" s="22" t="n"/>
      <c r="U382" s="22" t="n"/>
      <c r="V382" s="22" t="n"/>
      <c r="W382" s="22" t="n"/>
      <c r="X382" s="22" t="n"/>
    </row>
    <row r="383">
      <c r="A383" s="324" t="n"/>
      <c r="B383" s="22" t="n"/>
      <c r="C383" s="22" t="n"/>
      <c r="D383" s="22" t="n"/>
      <c r="E383" s="22" t="n"/>
      <c r="F383" s="22" t="n"/>
      <c r="G383" s="22" t="n"/>
      <c r="H383" s="22" t="n"/>
      <c r="I383" s="22" t="n"/>
      <c r="J383" s="22" t="n"/>
      <c r="K383" s="22" t="n"/>
      <c r="L383" s="22" t="n"/>
      <c r="M383" s="22" t="n"/>
      <c r="N383" s="22" t="n"/>
      <c r="O383" s="22" t="n"/>
      <c r="P383" s="22" t="n"/>
      <c r="Q383" s="22" t="n"/>
      <c r="R383" s="22" t="n"/>
      <c r="S383" s="22" t="n"/>
      <c r="T383" s="22" t="n"/>
      <c r="U383" s="22" t="n"/>
      <c r="V383" s="22" t="n"/>
      <c r="W383" s="22" t="n"/>
      <c r="X383" s="22" t="n"/>
    </row>
    <row r="384">
      <c r="A384" s="324" t="n"/>
      <c r="B384" s="22" t="n"/>
      <c r="C384" s="22" t="n"/>
      <c r="D384" s="22" t="n"/>
      <c r="E384" s="22" t="n"/>
      <c r="F384" s="22" t="n"/>
      <c r="G384" s="22" t="n"/>
      <c r="H384" s="22" t="n"/>
      <c r="I384" s="22" t="n"/>
      <c r="J384" s="22" t="n"/>
      <c r="K384" s="22" t="n"/>
      <c r="L384" s="22" t="n"/>
      <c r="M384" s="22" t="n"/>
      <c r="N384" s="22" t="n"/>
      <c r="O384" s="22" t="n"/>
      <c r="P384" s="22" t="n"/>
      <c r="Q384" s="22" t="n"/>
      <c r="R384" s="22" t="n"/>
      <c r="S384" s="22" t="n"/>
      <c r="T384" s="22" t="n"/>
      <c r="U384" s="22" t="n"/>
      <c r="V384" s="22" t="n"/>
      <c r="W384" s="22" t="n"/>
      <c r="X384" s="22" t="n"/>
    </row>
    <row r="385">
      <c r="A385" s="324" t="n"/>
      <c r="B385" s="22" t="n"/>
      <c r="C385" s="22" t="n"/>
      <c r="D385" s="22" t="n"/>
      <c r="E385" s="22" t="n"/>
      <c r="F385" s="22" t="n"/>
      <c r="G385" s="22" t="n"/>
      <c r="H385" s="22" t="n"/>
      <c r="I385" s="22" t="n"/>
      <c r="J385" s="22" t="n"/>
      <c r="K385" s="22" t="n"/>
      <c r="L385" s="22" t="n"/>
      <c r="M385" s="22" t="n"/>
      <c r="N385" s="22" t="n"/>
      <c r="O385" s="22" t="n"/>
      <c r="P385" s="22" t="n"/>
      <c r="Q385" s="22" t="n"/>
      <c r="R385" s="22" t="n"/>
      <c r="S385" s="22" t="n"/>
      <c r="T385" s="22" t="n"/>
      <c r="U385" s="22" t="n"/>
      <c r="V385" s="22" t="n"/>
      <c r="W385" s="22" t="n"/>
      <c r="X385" s="22" t="n"/>
    </row>
    <row r="386">
      <c r="A386" s="324" t="n"/>
      <c r="B386" s="22" t="n"/>
      <c r="C386" s="22" t="n"/>
      <c r="D386" s="22" t="n"/>
      <c r="E386" s="22" t="n"/>
      <c r="F386" s="22" t="n"/>
      <c r="G386" s="22" t="n"/>
      <c r="H386" s="22" t="n"/>
      <c r="I386" s="22" t="n"/>
      <c r="J386" s="22" t="n"/>
      <c r="K386" s="22" t="n"/>
      <c r="L386" s="22" t="n"/>
      <c r="M386" s="22" t="n"/>
      <c r="N386" s="22" t="n"/>
      <c r="O386" s="22" t="n"/>
      <c r="P386" s="22" t="n"/>
      <c r="Q386" s="22" t="n"/>
      <c r="R386" s="22" t="n"/>
      <c r="S386" s="22" t="n"/>
      <c r="T386" s="22" t="n"/>
      <c r="U386" s="22" t="n"/>
      <c r="V386" s="22" t="n"/>
      <c r="W386" s="22" t="n"/>
      <c r="X386" s="22" t="n"/>
    </row>
    <row r="387">
      <c r="A387" s="324" t="n"/>
      <c r="B387" s="22" t="n"/>
      <c r="C387" s="22" t="n"/>
      <c r="D387" s="22" t="n"/>
      <c r="E387" s="22" t="n"/>
      <c r="F387" s="22" t="n"/>
      <c r="G387" s="22" t="n"/>
      <c r="H387" s="22" t="n"/>
      <c r="I387" s="22" t="n"/>
      <c r="J387" s="22" t="n"/>
      <c r="K387" s="22" t="n"/>
      <c r="L387" s="22" t="n"/>
      <c r="M387" s="22" t="n"/>
      <c r="N387" s="22" t="n"/>
      <c r="O387" s="22" t="n"/>
      <c r="P387" s="22" t="n"/>
      <c r="Q387" s="22" t="n"/>
      <c r="R387" s="22" t="n"/>
      <c r="S387" s="22" t="n"/>
      <c r="T387" s="22" t="n"/>
      <c r="U387" s="22" t="n"/>
      <c r="V387" s="22" t="n"/>
      <c r="W387" s="22" t="n"/>
      <c r="X387" s="22" t="n"/>
    </row>
    <row r="388">
      <c r="A388" s="324" t="n"/>
      <c r="B388" s="22" t="n"/>
      <c r="C388" s="22" t="n"/>
      <c r="D388" s="22" t="n"/>
      <c r="E388" s="22" t="n"/>
      <c r="F388" s="22" t="n"/>
      <c r="G388" s="22" t="n"/>
      <c r="H388" s="22" t="n"/>
      <c r="I388" s="22" t="n"/>
      <c r="J388" s="22" t="n"/>
      <c r="K388" s="22" t="n"/>
      <c r="L388" s="22" t="n"/>
      <c r="M388" s="22" t="n"/>
      <c r="N388" s="22" t="n"/>
      <c r="O388" s="22" t="n"/>
      <c r="P388" s="22" t="n"/>
      <c r="Q388" s="22" t="n"/>
      <c r="R388" s="22" t="n"/>
      <c r="S388" s="22" t="n"/>
      <c r="T388" s="22" t="n"/>
      <c r="U388" s="22" t="n"/>
      <c r="V388" s="22" t="n"/>
      <c r="W388" s="22" t="n"/>
      <c r="X388" s="22" t="n"/>
    </row>
    <row r="389">
      <c r="A389" s="324" t="n"/>
      <c r="B389" s="22" t="n"/>
      <c r="C389" s="22" t="n"/>
      <c r="D389" s="22" t="n"/>
      <c r="E389" s="22" t="n"/>
      <c r="F389" s="22" t="n"/>
      <c r="G389" s="22" t="n"/>
      <c r="H389" s="22" t="n"/>
      <c r="I389" s="22" t="n"/>
      <c r="J389" s="22" t="n"/>
      <c r="K389" s="22" t="n"/>
      <c r="L389" s="22" t="n"/>
      <c r="M389" s="22" t="n"/>
      <c r="N389" s="22" t="n"/>
      <c r="O389" s="22" t="n"/>
      <c r="P389" s="22" t="n"/>
      <c r="Q389" s="22" t="n"/>
      <c r="R389" s="22" t="n"/>
      <c r="S389" s="22" t="n"/>
      <c r="T389" s="22" t="n"/>
      <c r="U389" s="22" t="n"/>
      <c r="V389" s="22" t="n"/>
      <c r="W389" s="22" t="n"/>
      <c r="X389" s="22" t="n"/>
    </row>
    <row r="390">
      <c r="A390" s="324" t="n"/>
      <c r="B390" s="22" t="n"/>
      <c r="C390" s="22" t="n"/>
      <c r="D390" s="22" t="n"/>
      <c r="E390" s="22" t="n"/>
      <c r="F390" s="22" t="n"/>
      <c r="G390" s="22" t="n"/>
      <c r="H390" s="22" t="n"/>
      <c r="I390" s="22" t="n"/>
      <c r="J390" s="22" t="n"/>
      <c r="K390" s="22" t="n"/>
      <c r="L390" s="22" t="n"/>
      <c r="M390" s="22" t="n"/>
      <c r="N390" s="22" t="n"/>
      <c r="O390" s="22" t="n"/>
      <c r="P390" s="22" t="n"/>
      <c r="Q390" s="22" t="n"/>
      <c r="R390" s="22" t="n"/>
      <c r="S390" s="22" t="n"/>
      <c r="T390" s="22" t="n"/>
      <c r="U390" s="22" t="n"/>
      <c r="V390" s="22" t="n"/>
      <c r="W390" s="22" t="n"/>
      <c r="X390" s="22" t="n"/>
    </row>
    <row r="391">
      <c r="A391" s="324" t="n"/>
      <c r="B391" s="22" t="n"/>
      <c r="C391" s="22" t="n"/>
      <c r="D391" s="22" t="n"/>
      <c r="E391" s="22" t="n"/>
      <c r="F391" s="22" t="n"/>
      <c r="G391" s="22" t="n"/>
      <c r="H391" s="22" t="n"/>
      <c r="I391" s="22" t="n"/>
      <c r="J391" s="22" t="n"/>
      <c r="K391" s="22" t="n"/>
      <c r="L391" s="22" t="n"/>
      <c r="M391" s="22" t="n"/>
      <c r="N391" s="22" t="n"/>
      <c r="O391" s="22" t="n"/>
      <c r="P391" s="22" t="n"/>
      <c r="Q391" s="22" t="n"/>
      <c r="R391" s="22" t="n"/>
      <c r="S391" s="22" t="n"/>
      <c r="T391" s="22" t="n"/>
      <c r="U391" s="22" t="n"/>
      <c r="V391" s="22" t="n"/>
      <c r="W391" s="22" t="n"/>
      <c r="X391" s="22" t="n"/>
    </row>
    <row r="392">
      <c r="A392" s="324" t="n"/>
      <c r="B392" s="22" t="n"/>
      <c r="C392" s="22" t="n"/>
      <c r="D392" s="22" t="n"/>
      <c r="E392" s="22" t="n"/>
      <c r="F392" s="22" t="n"/>
      <c r="G392" s="22" t="n"/>
      <c r="H392" s="22" t="n"/>
      <c r="I392" s="22" t="n"/>
      <c r="J392" s="22" t="n"/>
      <c r="K392" s="22" t="n"/>
      <c r="L392" s="22" t="n"/>
      <c r="M392" s="22" t="n"/>
      <c r="N392" s="22" t="n"/>
      <c r="O392" s="22" t="n"/>
      <c r="P392" s="22" t="n"/>
      <c r="Q392" s="22" t="n"/>
      <c r="R392" s="22" t="n"/>
      <c r="S392" s="22" t="n"/>
      <c r="T392" s="22" t="n"/>
      <c r="U392" s="22" t="n"/>
      <c r="V392" s="22" t="n"/>
      <c r="W392" s="22" t="n"/>
      <c r="X392" s="22" t="n"/>
    </row>
    <row r="393">
      <c r="A393" s="324" t="n"/>
      <c r="B393" s="22" t="n"/>
      <c r="C393" s="22" t="n"/>
      <c r="D393" s="22" t="n"/>
      <c r="E393" s="22" t="n"/>
      <c r="F393" s="22" t="n"/>
      <c r="G393" s="22" t="n"/>
      <c r="H393" s="22" t="n"/>
      <c r="I393" s="22" t="n"/>
      <c r="J393" s="22" t="n"/>
      <c r="K393" s="22" t="n"/>
      <c r="L393" s="22" t="n"/>
      <c r="M393" s="22" t="n"/>
      <c r="N393" s="22" t="n"/>
      <c r="O393" s="22" t="n"/>
      <c r="P393" s="22" t="n"/>
      <c r="Q393" s="22" t="n"/>
      <c r="R393" s="22" t="n"/>
      <c r="S393" s="22" t="n"/>
      <c r="T393" s="22" t="n"/>
      <c r="U393" s="22" t="n"/>
      <c r="V393" s="22" t="n"/>
      <c r="W393" s="22" t="n"/>
      <c r="X393" s="22" t="n"/>
    </row>
    <row r="394">
      <c r="A394" s="324" t="n"/>
      <c r="B394" s="22" t="n"/>
      <c r="C394" s="22" t="n"/>
      <c r="D394" s="22" t="n"/>
      <c r="E394" s="22" t="n"/>
      <c r="F394" s="22" t="n"/>
      <c r="G394" s="22" t="n"/>
      <c r="H394" s="22" t="n"/>
      <c r="I394" s="22" t="n"/>
      <c r="J394" s="22" t="n"/>
      <c r="K394" s="22" t="n"/>
      <c r="L394" s="22" t="n"/>
      <c r="M394" s="22" t="n"/>
      <c r="N394" s="22" t="n"/>
      <c r="O394" s="22" t="n"/>
      <c r="P394" s="22" t="n"/>
      <c r="Q394" s="22" t="n"/>
      <c r="R394" s="22" t="n"/>
      <c r="S394" s="22" t="n"/>
      <c r="T394" s="22" t="n"/>
      <c r="U394" s="22" t="n"/>
      <c r="V394" s="22" t="n"/>
      <c r="W394" s="22" t="n"/>
      <c r="X394" s="22" t="n"/>
    </row>
    <row r="395">
      <c r="A395" s="324" t="n"/>
      <c r="B395" s="22" t="n"/>
      <c r="C395" s="22" t="n"/>
      <c r="D395" s="22" t="n"/>
      <c r="E395" s="22" t="n"/>
      <c r="F395" s="22" t="n"/>
      <c r="G395" s="22" t="n"/>
      <c r="H395" s="22" t="n"/>
      <c r="I395" s="22" t="n"/>
      <c r="J395" s="22" t="n"/>
      <c r="K395" s="22" t="n"/>
      <c r="L395" s="22" t="n"/>
      <c r="M395" s="22" t="n"/>
      <c r="N395" s="22" t="n"/>
      <c r="O395" s="22" t="n"/>
      <c r="P395" s="22" t="n"/>
      <c r="Q395" s="22" t="n"/>
      <c r="R395" s="22" t="n"/>
      <c r="S395" s="22" t="n"/>
      <c r="T395" s="22" t="n"/>
      <c r="U395" s="22" t="n"/>
      <c r="V395" s="22" t="n"/>
      <c r="W395" s="22" t="n"/>
      <c r="X395" s="22" t="n"/>
    </row>
    <row r="396">
      <c r="A396" s="324" t="n"/>
      <c r="B396" s="22" t="n"/>
      <c r="C396" s="22" t="n"/>
      <c r="D396" s="22" t="n"/>
      <c r="E396" s="22" t="n"/>
      <c r="F396" s="22" t="n"/>
      <c r="G396" s="22" t="n"/>
      <c r="H396" s="22" t="n"/>
      <c r="I396" s="22" t="n"/>
      <c r="J396" s="22" t="n"/>
      <c r="K396" s="22" t="n"/>
      <c r="L396" s="22" t="n"/>
      <c r="M396" s="22" t="n"/>
      <c r="N396" s="22" t="n"/>
      <c r="O396" s="22" t="n"/>
      <c r="P396" s="22" t="n"/>
      <c r="Q396" s="22" t="n"/>
      <c r="R396" s="22" t="n"/>
      <c r="S396" s="22" t="n"/>
      <c r="T396" s="22" t="n"/>
      <c r="U396" s="22" t="n"/>
      <c r="V396" s="22" t="n"/>
      <c r="W396" s="22" t="n"/>
      <c r="X396" s="22" t="n"/>
    </row>
    <row r="397">
      <c r="A397" s="324" t="n"/>
      <c r="B397" s="22" t="n"/>
      <c r="C397" s="22" t="n"/>
      <c r="D397" s="22" t="n"/>
      <c r="E397" s="22" t="n"/>
      <c r="F397" s="22" t="n"/>
      <c r="G397" s="22" t="n"/>
      <c r="H397" s="22" t="n"/>
      <c r="I397" s="22" t="n"/>
      <c r="J397" s="22" t="n"/>
      <c r="K397" s="22" t="n"/>
      <c r="L397" s="22" t="n"/>
      <c r="M397" s="22" t="n"/>
      <c r="N397" s="22" t="n"/>
      <c r="O397" s="22" t="n"/>
      <c r="P397" s="22" t="n"/>
      <c r="Q397" s="22" t="n"/>
      <c r="R397" s="22" t="n"/>
      <c r="S397" s="22" t="n"/>
      <c r="T397" s="22" t="n"/>
      <c r="U397" s="22" t="n"/>
      <c r="V397" s="22" t="n"/>
      <c r="W397" s="22" t="n"/>
      <c r="X397" s="22" t="n"/>
    </row>
    <row r="398">
      <c r="A398" s="324" t="n"/>
      <c r="B398" s="22" t="n"/>
      <c r="C398" s="22" t="n"/>
      <c r="D398" s="22" t="n"/>
      <c r="E398" s="22" t="n"/>
      <c r="F398" s="22" t="n"/>
      <c r="G398" s="22" t="n"/>
      <c r="H398" s="22" t="n"/>
      <c r="I398" s="22" t="n"/>
      <c r="J398" s="22" t="n"/>
      <c r="K398" s="22" t="n"/>
      <c r="L398" s="22" t="n"/>
      <c r="M398" s="22" t="n"/>
      <c r="N398" s="22" t="n"/>
      <c r="O398" s="22" t="n"/>
      <c r="P398" s="22" t="n"/>
      <c r="Q398" s="22" t="n"/>
      <c r="R398" s="22" t="n"/>
      <c r="S398" s="22" t="n"/>
      <c r="T398" s="22" t="n"/>
      <c r="U398" s="22" t="n"/>
      <c r="V398" s="22" t="n"/>
      <c r="W398" s="22" t="n"/>
      <c r="X398" s="22" t="n"/>
    </row>
    <row r="399">
      <c r="A399" s="324" t="n"/>
      <c r="B399" s="22" t="n"/>
      <c r="C399" s="22" t="n"/>
      <c r="D399" s="22" t="n"/>
      <c r="E399" s="22" t="n"/>
      <c r="F399" s="22" t="n"/>
      <c r="G399" s="22" t="n"/>
      <c r="H399" s="22" t="n"/>
      <c r="I399" s="22" t="n"/>
      <c r="J399" s="22" t="n"/>
      <c r="K399" s="22" t="n"/>
      <c r="L399" s="22" t="n"/>
      <c r="M399" s="22" t="n"/>
      <c r="N399" s="22" t="n"/>
      <c r="O399" s="22" t="n"/>
      <c r="P399" s="22" t="n"/>
      <c r="Q399" s="22" t="n"/>
      <c r="R399" s="22" t="n"/>
      <c r="S399" s="22" t="n"/>
      <c r="T399" s="22" t="n"/>
      <c r="U399" s="22" t="n"/>
      <c r="V399" s="22" t="n"/>
      <c r="W399" s="22" t="n"/>
      <c r="X399" s="22" t="n"/>
    </row>
    <row r="400">
      <c r="A400" s="324" t="n"/>
      <c r="B400" s="22" t="n"/>
      <c r="C400" s="22" t="n"/>
      <c r="D400" s="22" t="n"/>
      <c r="E400" s="22" t="n"/>
      <c r="F400" s="22" t="n"/>
      <c r="G400" s="22" t="n"/>
      <c r="H400" s="22" t="n"/>
      <c r="I400" s="22" t="n"/>
      <c r="J400" s="22" t="n"/>
      <c r="K400" s="22" t="n"/>
      <c r="L400" s="22" t="n"/>
      <c r="M400" s="22" t="n"/>
      <c r="N400" s="22" t="n"/>
      <c r="O400" s="22" t="n"/>
      <c r="P400" s="22" t="n"/>
      <c r="Q400" s="22" t="n"/>
      <c r="R400" s="22" t="n"/>
      <c r="S400" s="22" t="n"/>
      <c r="T400" s="22" t="n"/>
      <c r="U400" s="22" t="n"/>
      <c r="V400" s="22" t="n"/>
      <c r="W400" s="22" t="n"/>
      <c r="X400" s="22" t="n"/>
    </row>
    <row r="401">
      <c r="A401" s="324" t="n"/>
      <c r="B401" s="22" t="n"/>
      <c r="C401" s="22" t="n"/>
      <c r="D401" s="22" t="n"/>
      <c r="E401" s="22" t="n"/>
      <c r="F401" s="22" t="n"/>
      <c r="G401" s="22" t="n"/>
      <c r="H401" s="22" t="n"/>
      <c r="I401" s="22" t="n"/>
      <c r="J401" s="22" t="n"/>
      <c r="K401" s="22" t="n"/>
      <c r="L401" s="22" t="n"/>
      <c r="M401" s="22" t="n"/>
      <c r="N401" s="22" t="n"/>
      <c r="O401" s="22" t="n"/>
      <c r="P401" s="22" t="n"/>
      <c r="Q401" s="22" t="n"/>
      <c r="R401" s="22" t="n"/>
      <c r="S401" s="22" t="n"/>
      <c r="T401" s="22" t="n"/>
      <c r="U401" s="22" t="n"/>
      <c r="V401" s="22" t="n"/>
      <c r="W401" s="22" t="n"/>
      <c r="X401" s="22" t="n"/>
    </row>
    <row r="402">
      <c r="A402" s="324" t="n"/>
      <c r="B402" s="22" t="n"/>
      <c r="C402" s="22" t="n"/>
      <c r="D402" s="22" t="n"/>
      <c r="E402" s="22" t="n"/>
      <c r="F402" s="22" t="n"/>
      <c r="G402" s="22" t="n"/>
      <c r="H402" s="22" t="n"/>
      <c r="I402" s="22" t="n"/>
      <c r="J402" s="22" t="n"/>
      <c r="K402" s="22" t="n"/>
      <c r="L402" s="22" t="n"/>
      <c r="M402" s="22" t="n"/>
      <c r="N402" s="22" t="n"/>
      <c r="O402" s="22" t="n"/>
      <c r="P402" s="22" t="n"/>
      <c r="Q402" s="22" t="n"/>
      <c r="R402" s="22" t="n"/>
      <c r="S402" s="22" t="n"/>
      <c r="T402" s="22" t="n"/>
      <c r="U402" s="22" t="n"/>
      <c r="V402" s="22" t="n"/>
      <c r="W402" s="22" t="n"/>
      <c r="X402" s="22" t="n"/>
    </row>
    <row r="403">
      <c r="A403" s="324" t="n"/>
      <c r="B403" s="22" t="n"/>
      <c r="C403" s="22" t="n"/>
      <c r="D403" s="22" t="n"/>
      <c r="E403" s="22" t="n"/>
      <c r="F403" s="22" t="n"/>
      <c r="G403" s="22" t="n"/>
      <c r="H403" s="22" t="n"/>
      <c r="I403" s="22" t="n"/>
      <c r="J403" s="22" t="n"/>
      <c r="K403" s="22" t="n"/>
      <c r="L403" s="22" t="n"/>
      <c r="M403" s="22" t="n"/>
      <c r="N403" s="22" t="n"/>
      <c r="O403" s="22" t="n"/>
      <c r="P403" s="22" t="n"/>
      <c r="Q403" s="22" t="n"/>
      <c r="R403" s="22" t="n"/>
      <c r="S403" s="22" t="n"/>
      <c r="T403" s="22" t="n"/>
      <c r="U403" s="22" t="n"/>
      <c r="V403" s="22" t="n"/>
      <c r="W403" s="22" t="n"/>
      <c r="X403" s="22" t="n"/>
    </row>
    <row r="404">
      <c r="A404" s="324" t="n"/>
      <c r="B404" s="22" t="n"/>
      <c r="C404" s="22" t="n"/>
      <c r="D404" s="22" t="n"/>
      <c r="E404" s="22" t="n"/>
      <c r="F404" s="22" t="n"/>
      <c r="G404" s="22" t="n"/>
      <c r="H404" s="22" t="n"/>
      <c r="I404" s="22" t="n"/>
      <c r="J404" s="22" t="n"/>
      <c r="K404" s="22" t="n"/>
      <c r="L404" s="22" t="n"/>
      <c r="M404" s="22" t="n"/>
      <c r="N404" s="22" t="n"/>
      <c r="O404" s="22" t="n"/>
      <c r="P404" s="22" t="n"/>
      <c r="Q404" s="22" t="n"/>
      <c r="R404" s="22" t="n"/>
      <c r="S404" s="22" t="n"/>
      <c r="T404" s="22" t="n"/>
      <c r="U404" s="22" t="n"/>
      <c r="V404" s="22" t="n"/>
      <c r="W404" s="22" t="n"/>
      <c r="X404" s="22" t="n"/>
    </row>
    <row r="405">
      <c r="A405" s="324" t="n"/>
      <c r="B405" s="22" t="n"/>
      <c r="C405" s="22" t="n"/>
      <c r="D405" s="22" t="n"/>
      <c r="E405" s="22" t="n"/>
      <c r="F405" s="22" t="n"/>
      <c r="G405" s="22" t="n"/>
      <c r="H405" s="22" t="n"/>
      <c r="I405" s="22" t="n"/>
      <c r="J405" s="22" t="n"/>
      <c r="K405" s="22" t="n"/>
      <c r="L405" s="22" t="n"/>
      <c r="M405" s="22" t="n"/>
      <c r="N405" s="22" t="n"/>
      <c r="O405" s="22" t="n"/>
      <c r="P405" s="22" t="n"/>
      <c r="Q405" s="22" t="n"/>
      <c r="R405" s="22" t="n"/>
      <c r="S405" s="22" t="n"/>
      <c r="T405" s="22" t="n"/>
      <c r="U405" s="22" t="n"/>
      <c r="V405" s="22" t="n"/>
      <c r="W405" s="22" t="n"/>
      <c r="X405" s="22" t="n"/>
    </row>
    <row r="406">
      <c r="A406" s="324" t="n"/>
      <c r="B406" s="22" t="n"/>
      <c r="C406" s="22" t="n"/>
      <c r="D406" s="22" t="n"/>
      <c r="E406" s="22" t="n"/>
      <c r="F406" s="22" t="n"/>
      <c r="G406" s="22" t="n"/>
      <c r="H406" s="22" t="n"/>
      <c r="I406" s="22" t="n"/>
      <c r="J406" s="22" t="n"/>
      <c r="K406" s="22" t="n"/>
      <c r="L406" s="22" t="n"/>
      <c r="M406" s="22" t="n"/>
      <c r="N406" s="22" t="n"/>
      <c r="O406" s="22" t="n"/>
      <c r="P406" s="22" t="n"/>
      <c r="Q406" s="22" t="n"/>
      <c r="R406" s="22" t="n"/>
      <c r="S406" s="22" t="n"/>
      <c r="T406" s="22" t="n"/>
      <c r="U406" s="22" t="n"/>
      <c r="V406" s="22" t="n"/>
      <c r="W406" s="22" t="n"/>
      <c r="X406" s="22" t="n"/>
    </row>
    <row r="407">
      <c r="A407" s="324" t="n"/>
      <c r="B407" s="22" t="n"/>
      <c r="C407" s="22" t="n"/>
      <c r="D407" s="22" t="n"/>
      <c r="E407" s="22" t="n"/>
      <c r="F407" s="22" t="n"/>
      <c r="G407" s="22" t="n"/>
      <c r="H407" s="22" t="n"/>
      <c r="I407" s="22" t="n"/>
      <c r="J407" s="22" t="n"/>
      <c r="K407" s="22" t="n"/>
      <c r="L407" s="22" t="n"/>
      <c r="M407" s="22" t="n"/>
      <c r="N407" s="22" t="n"/>
      <c r="O407" s="22" t="n"/>
      <c r="P407" s="22" t="n"/>
      <c r="Q407" s="22" t="n"/>
      <c r="R407" s="22" t="n"/>
      <c r="S407" s="22" t="n"/>
      <c r="T407" s="22" t="n"/>
      <c r="U407" s="22" t="n"/>
      <c r="V407" s="22" t="n"/>
      <c r="W407" s="22" t="n"/>
      <c r="X407" s="22" t="n"/>
    </row>
    <row r="408">
      <c r="A408" s="324" t="n"/>
      <c r="B408" s="22" t="n"/>
      <c r="C408" s="22" t="n"/>
      <c r="D408" s="22" t="n"/>
      <c r="E408" s="22" t="n"/>
      <c r="F408" s="22" t="n"/>
      <c r="G408" s="22" t="n"/>
      <c r="H408" s="22" t="n"/>
      <c r="I408" s="22" t="n"/>
      <c r="J408" s="22" t="n"/>
      <c r="K408" s="22" t="n"/>
      <c r="L408" s="22" t="n"/>
      <c r="M408" s="22" t="n"/>
      <c r="N408" s="22" t="n"/>
      <c r="O408" s="22" t="n"/>
      <c r="P408" s="22" t="n"/>
      <c r="Q408" s="22" t="n"/>
      <c r="R408" s="22" t="n"/>
      <c r="S408" s="22" t="n"/>
      <c r="T408" s="22" t="n"/>
      <c r="U408" s="22" t="n"/>
      <c r="V408" s="22" t="n"/>
      <c r="W408" s="22" t="n"/>
      <c r="X408" s="22" t="n"/>
    </row>
    <row r="409">
      <c r="A409" s="324" t="n"/>
      <c r="B409" s="22" t="n"/>
      <c r="C409" s="22" t="n"/>
      <c r="D409" s="22" t="n"/>
      <c r="E409" s="22" t="n"/>
      <c r="F409" s="22" t="n"/>
      <c r="G409" s="22" t="n"/>
      <c r="H409" s="22" t="n"/>
      <c r="I409" s="22" t="n"/>
      <c r="J409" s="22" t="n"/>
      <c r="K409" s="22" t="n"/>
      <c r="L409" s="22" t="n"/>
      <c r="M409" s="22" t="n"/>
      <c r="N409" s="22" t="n"/>
      <c r="O409" s="22" t="n"/>
      <c r="P409" s="22" t="n"/>
      <c r="Q409" s="22" t="n"/>
      <c r="R409" s="22" t="n"/>
      <c r="S409" s="22" t="n"/>
      <c r="T409" s="22" t="n"/>
      <c r="U409" s="22" t="n"/>
      <c r="V409" s="22" t="n"/>
      <c r="W409" s="22" t="n"/>
      <c r="X409" s="22" t="n"/>
    </row>
    <row r="410">
      <c r="A410" s="324" t="n"/>
      <c r="B410" s="22" t="n"/>
      <c r="C410" s="22" t="n"/>
      <c r="D410" s="22" t="n"/>
      <c r="E410" s="22" t="n"/>
      <c r="F410" s="22" t="n"/>
      <c r="G410" s="22" t="n"/>
      <c r="H410" s="22" t="n"/>
      <c r="I410" s="22" t="n"/>
      <c r="J410" s="22" t="n"/>
      <c r="K410" s="22" t="n"/>
      <c r="L410" s="22" t="n"/>
      <c r="M410" s="22" t="n"/>
      <c r="N410" s="22" t="n"/>
      <c r="O410" s="22" t="n"/>
      <c r="P410" s="22" t="n"/>
      <c r="Q410" s="22" t="n"/>
      <c r="R410" s="22" t="n"/>
      <c r="S410" s="22" t="n"/>
      <c r="T410" s="22" t="n"/>
      <c r="U410" s="22" t="n"/>
      <c r="V410" s="22" t="n"/>
      <c r="W410" s="22" t="n"/>
      <c r="X410" s="22" t="n"/>
    </row>
    <row r="411">
      <c r="A411" s="324" t="n"/>
      <c r="B411" s="22" t="n"/>
      <c r="C411" s="22" t="n"/>
      <c r="D411" s="22" t="n"/>
      <c r="E411" s="22" t="n"/>
      <c r="F411" s="22" t="n"/>
      <c r="G411" s="22" t="n"/>
      <c r="H411" s="22" t="n"/>
      <c r="I411" s="22" t="n"/>
      <c r="J411" s="22" t="n"/>
      <c r="K411" s="22" t="n"/>
      <c r="L411" s="22" t="n"/>
      <c r="M411" s="22" t="n"/>
      <c r="N411" s="22" t="n"/>
      <c r="O411" s="22" t="n"/>
      <c r="P411" s="22" t="n"/>
      <c r="Q411" s="22" t="n"/>
      <c r="R411" s="22" t="n"/>
      <c r="S411" s="22" t="n"/>
      <c r="T411" s="22" t="n"/>
      <c r="U411" s="22" t="n"/>
      <c r="V411" s="22" t="n"/>
      <c r="W411" s="22" t="n"/>
      <c r="X411" s="22" t="n"/>
    </row>
    <row r="412">
      <c r="A412" s="324" t="n"/>
      <c r="B412" s="22" t="n"/>
      <c r="C412" s="22" t="n"/>
      <c r="D412" s="22" t="n"/>
      <c r="E412" s="22" t="n"/>
      <c r="F412" s="22" t="n"/>
      <c r="G412" s="22" t="n"/>
      <c r="H412" s="22" t="n"/>
      <c r="I412" s="22" t="n"/>
      <c r="J412" s="22" t="n"/>
      <c r="K412" s="22" t="n"/>
      <c r="L412" s="22" t="n"/>
      <c r="M412" s="22" t="n"/>
      <c r="N412" s="22" t="n"/>
      <c r="O412" s="22" t="n"/>
      <c r="P412" s="22" t="n"/>
      <c r="Q412" s="22" t="n"/>
      <c r="R412" s="22" t="n"/>
      <c r="S412" s="22" t="n"/>
      <c r="T412" s="22" t="n"/>
      <c r="U412" s="22" t="n"/>
      <c r="V412" s="22" t="n"/>
      <c r="W412" s="22" t="n"/>
      <c r="X412" s="22" t="n"/>
    </row>
    <row r="413">
      <c r="A413" s="324" t="n"/>
      <c r="B413" s="22" t="n"/>
      <c r="C413" s="22" t="n"/>
      <c r="D413" s="22" t="n"/>
      <c r="E413" s="22" t="n"/>
      <c r="F413" s="22" t="n"/>
      <c r="G413" s="22" t="n"/>
      <c r="H413" s="22" t="n"/>
      <c r="I413" s="22" t="n"/>
      <c r="J413" s="22" t="n"/>
      <c r="K413" s="22" t="n"/>
      <c r="L413" s="22" t="n"/>
      <c r="M413" s="22" t="n"/>
      <c r="N413" s="22" t="n"/>
      <c r="O413" s="22" t="n"/>
      <c r="P413" s="22" t="n"/>
      <c r="Q413" s="22" t="n"/>
      <c r="R413" s="22" t="n"/>
      <c r="S413" s="22" t="n"/>
      <c r="T413" s="22" t="n"/>
      <c r="U413" s="22" t="n"/>
      <c r="V413" s="22" t="n"/>
      <c r="W413" s="22" t="n"/>
      <c r="X413" s="22" t="n"/>
    </row>
    <row r="414">
      <c r="A414" s="324" t="n"/>
      <c r="B414" s="22" t="n"/>
      <c r="C414" s="22" t="n"/>
      <c r="D414" s="22" t="n"/>
      <c r="E414" s="22" t="n"/>
      <c r="F414" s="22" t="n"/>
      <c r="G414" s="22" t="n"/>
      <c r="H414" s="22" t="n"/>
      <c r="I414" s="22" t="n"/>
      <c r="J414" s="22" t="n"/>
      <c r="K414" s="22" t="n"/>
      <c r="L414" s="22" t="n"/>
      <c r="M414" s="22" t="n"/>
      <c r="N414" s="22" t="n"/>
      <c r="O414" s="22" t="n"/>
      <c r="P414" s="22" t="n"/>
      <c r="Q414" s="22" t="n"/>
      <c r="R414" s="22" t="n"/>
      <c r="S414" s="22" t="n"/>
      <c r="T414" s="22" t="n"/>
      <c r="U414" s="22" t="n"/>
      <c r="V414" s="22" t="n"/>
      <c r="W414" s="22" t="n"/>
      <c r="X414" s="22" t="n"/>
    </row>
    <row r="415">
      <c r="A415" s="324" t="n"/>
      <c r="B415" s="22" t="n"/>
      <c r="C415" s="22" t="n"/>
      <c r="D415" s="22" t="n"/>
      <c r="E415" s="22" t="n"/>
      <c r="F415" s="22" t="n"/>
      <c r="G415" s="22" t="n"/>
      <c r="H415" s="22" t="n"/>
      <c r="I415" s="22" t="n"/>
      <c r="J415" s="22" t="n"/>
      <c r="K415" s="22" t="n"/>
      <c r="L415" s="22" t="n"/>
      <c r="M415" s="22" t="n"/>
      <c r="N415" s="22" t="n"/>
      <c r="O415" s="22" t="n"/>
      <c r="P415" s="22" t="n"/>
      <c r="Q415" s="22" t="n"/>
      <c r="R415" s="22" t="n"/>
      <c r="S415" s="22" t="n"/>
      <c r="T415" s="22" t="n"/>
      <c r="U415" s="22" t="n"/>
      <c r="V415" s="22" t="n"/>
      <c r="W415" s="22" t="n"/>
      <c r="X415" s="22" t="n"/>
    </row>
    <row r="416">
      <c r="A416" s="324" t="n"/>
      <c r="B416" s="22" t="n"/>
      <c r="C416" s="22" t="n"/>
      <c r="D416" s="22" t="n"/>
      <c r="E416" s="22" t="n"/>
      <c r="F416" s="22" t="n"/>
      <c r="G416" s="22" t="n"/>
      <c r="H416" s="22" t="n"/>
      <c r="I416" s="22" t="n"/>
      <c r="J416" s="22" t="n"/>
      <c r="K416" s="22" t="n"/>
      <c r="L416" s="22" t="n"/>
      <c r="M416" s="22" t="n"/>
      <c r="N416" s="22" t="n"/>
      <c r="O416" s="22" t="n"/>
      <c r="P416" s="22" t="n"/>
      <c r="Q416" s="22" t="n"/>
      <c r="R416" s="22" t="n"/>
      <c r="S416" s="22" t="n"/>
      <c r="T416" s="22" t="n"/>
      <c r="U416" s="22" t="n"/>
      <c r="V416" s="22" t="n"/>
      <c r="W416" s="22" t="n"/>
      <c r="X416" s="22" t="n"/>
    </row>
    <row r="417">
      <c r="A417" s="324" t="n"/>
      <c r="B417" s="22" t="n"/>
      <c r="C417" s="22" t="n"/>
      <c r="D417" s="22" t="n"/>
      <c r="E417" s="22" t="n"/>
      <c r="F417" s="22" t="n"/>
      <c r="G417" s="22" t="n"/>
      <c r="H417" s="22" t="n"/>
      <c r="I417" s="22" t="n"/>
      <c r="J417" s="22" t="n"/>
      <c r="K417" s="22" t="n"/>
      <c r="L417" s="22" t="n"/>
      <c r="M417" s="22" t="n"/>
      <c r="N417" s="22" t="n"/>
      <c r="O417" s="22" t="n"/>
      <c r="P417" s="22" t="n"/>
      <c r="Q417" s="22" t="n"/>
      <c r="R417" s="22" t="n"/>
      <c r="S417" s="22" t="n"/>
      <c r="T417" s="22" t="n"/>
      <c r="U417" s="22" t="n"/>
      <c r="V417" s="22" t="n"/>
      <c r="W417" s="22" t="n"/>
      <c r="X417" s="22" t="n"/>
    </row>
    <row r="418">
      <c r="A418" s="324" t="n"/>
      <c r="B418" s="22" t="n"/>
      <c r="C418" s="22" t="n"/>
      <c r="D418" s="22" t="n"/>
      <c r="E418" s="22" t="n"/>
      <c r="F418" s="22" t="n"/>
      <c r="G418" s="22" t="n"/>
      <c r="H418" s="22" t="n"/>
      <c r="I418" s="22" t="n"/>
      <c r="J418" s="22" t="n"/>
      <c r="K418" s="22" t="n"/>
      <c r="L418" s="22" t="n"/>
      <c r="M418" s="22" t="n"/>
      <c r="N418" s="22" t="n"/>
      <c r="O418" s="22" t="n"/>
      <c r="P418" s="22" t="n"/>
      <c r="Q418" s="22" t="n"/>
      <c r="R418" s="22" t="n"/>
      <c r="S418" s="22" t="n"/>
      <c r="T418" s="22" t="n"/>
      <c r="U418" s="22" t="n"/>
      <c r="V418" s="22" t="n"/>
      <c r="W418" s="22" t="n"/>
      <c r="X418" s="22" t="n"/>
    </row>
    <row r="419">
      <c r="A419" s="324" t="n"/>
      <c r="B419" s="22" t="n"/>
      <c r="C419" s="22" t="n"/>
      <c r="D419" s="22" t="n"/>
      <c r="E419" s="22" t="n"/>
      <c r="F419" s="22" t="n"/>
      <c r="G419" s="22" t="n"/>
      <c r="H419" s="22" t="n"/>
      <c r="I419" s="22" t="n"/>
      <c r="J419" s="22" t="n"/>
      <c r="K419" s="22" t="n"/>
      <c r="L419" s="22" t="n"/>
      <c r="M419" s="22" t="n"/>
      <c r="N419" s="22" t="n"/>
      <c r="O419" s="22" t="n"/>
      <c r="P419" s="22" t="n"/>
      <c r="Q419" s="22" t="n"/>
      <c r="R419" s="22" t="n"/>
      <c r="S419" s="22" t="n"/>
      <c r="T419" s="22" t="n"/>
      <c r="U419" s="22" t="n"/>
      <c r="V419" s="22" t="n"/>
      <c r="W419" s="22" t="n"/>
      <c r="X419" s="22" t="n"/>
    </row>
    <row r="420">
      <c r="A420" s="324" t="n"/>
      <c r="B420" s="22" t="n"/>
      <c r="C420" s="22" t="n"/>
      <c r="D420" s="22" t="n"/>
      <c r="E420" s="22" t="n"/>
      <c r="F420" s="22" t="n"/>
      <c r="G420" s="22" t="n"/>
      <c r="H420" s="22" t="n"/>
      <c r="I420" s="22" t="n"/>
      <c r="J420" s="22" t="n"/>
      <c r="K420" s="22" t="n"/>
      <c r="L420" s="22" t="n"/>
      <c r="M420" s="22" t="n"/>
      <c r="N420" s="22" t="n"/>
      <c r="O420" s="22" t="n"/>
      <c r="P420" s="22" t="n"/>
      <c r="Q420" s="22" t="n"/>
      <c r="R420" s="22" t="n"/>
      <c r="S420" s="22" t="n"/>
      <c r="T420" s="22" t="n"/>
      <c r="U420" s="22" t="n"/>
      <c r="V420" s="22" t="n"/>
      <c r="W420" s="22" t="n"/>
      <c r="X420" s="22" t="n"/>
    </row>
    <row r="421">
      <c r="A421" s="324" t="n"/>
      <c r="B421" s="22" t="n"/>
      <c r="C421" s="22" t="n"/>
      <c r="D421" s="22" t="n"/>
      <c r="E421" s="22" t="n"/>
      <c r="F421" s="22" t="n"/>
      <c r="G421" s="22" t="n"/>
      <c r="H421" s="22" t="n"/>
      <c r="I421" s="22" t="n"/>
      <c r="J421" s="22" t="n"/>
      <c r="K421" s="22" t="n"/>
      <c r="L421" s="22" t="n"/>
      <c r="M421" s="22" t="n"/>
      <c r="N421" s="22" t="n"/>
      <c r="O421" s="22" t="n"/>
      <c r="P421" s="22" t="n"/>
      <c r="Q421" s="22" t="n"/>
      <c r="R421" s="22" t="n"/>
      <c r="S421" s="22" t="n"/>
      <c r="T421" s="22" t="n"/>
      <c r="U421" s="22" t="n"/>
      <c r="V421" s="22" t="n"/>
      <c r="W421" s="22" t="n"/>
      <c r="X421" s="22" t="n"/>
    </row>
    <row r="422">
      <c r="A422" s="324" t="n"/>
      <c r="B422" s="22" t="n"/>
      <c r="C422" s="22" t="n"/>
      <c r="D422" s="22" t="n"/>
      <c r="E422" s="22" t="n"/>
      <c r="F422" s="22" t="n"/>
      <c r="G422" s="22" t="n"/>
      <c r="H422" s="22" t="n"/>
      <c r="I422" s="22" t="n"/>
      <c r="J422" s="22" t="n"/>
      <c r="K422" s="22" t="n"/>
      <c r="L422" s="22" t="n"/>
      <c r="M422" s="22" t="n"/>
      <c r="N422" s="22" t="n"/>
      <c r="O422" s="22" t="n"/>
      <c r="P422" s="22" t="n"/>
      <c r="Q422" s="22" t="n"/>
      <c r="R422" s="22" t="n"/>
      <c r="S422" s="22" t="n"/>
      <c r="T422" s="22" t="n"/>
      <c r="U422" s="22" t="n"/>
      <c r="V422" s="22" t="n"/>
      <c r="W422" s="22" t="n"/>
      <c r="X422" s="22" t="n"/>
    </row>
    <row r="423">
      <c r="A423" s="324" t="n"/>
      <c r="B423" s="22" t="n"/>
      <c r="C423" s="22" t="n"/>
      <c r="D423" s="22" t="n"/>
      <c r="E423" s="22" t="n"/>
      <c r="F423" s="22" t="n"/>
      <c r="G423" s="22" t="n"/>
      <c r="H423" s="22" t="n"/>
      <c r="I423" s="22" t="n"/>
      <c r="J423" s="22" t="n"/>
      <c r="K423" s="22" t="n"/>
      <c r="L423" s="22" t="n"/>
      <c r="M423" s="22" t="n"/>
      <c r="N423" s="22" t="n"/>
      <c r="O423" s="22" t="n"/>
      <c r="P423" s="22" t="n"/>
      <c r="Q423" s="22" t="n"/>
      <c r="R423" s="22" t="n"/>
      <c r="S423" s="22" t="n"/>
      <c r="T423" s="22" t="n"/>
      <c r="U423" s="22" t="n"/>
      <c r="V423" s="22" t="n"/>
      <c r="W423" s="22" t="n"/>
      <c r="X423" s="22" t="n"/>
    </row>
    <row r="424">
      <c r="A424" s="324" t="n"/>
      <c r="B424" s="22" t="n"/>
      <c r="C424" s="22" t="n"/>
      <c r="D424" s="22" t="n"/>
      <c r="E424" s="22" t="n"/>
      <c r="F424" s="22" t="n"/>
      <c r="G424" s="22" t="n"/>
      <c r="H424" s="22" t="n"/>
      <c r="I424" s="22" t="n"/>
      <c r="J424" s="22" t="n"/>
      <c r="K424" s="22" t="n"/>
      <c r="L424" s="22" t="n"/>
      <c r="M424" s="22" t="n"/>
      <c r="N424" s="22" t="n"/>
      <c r="O424" s="22" t="n"/>
      <c r="P424" s="22" t="n"/>
      <c r="Q424" s="22" t="n"/>
      <c r="R424" s="22" t="n"/>
      <c r="S424" s="22" t="n"/>
      <c r="T424" s="22" t="n"/>
      <c r="U424" s="22" t="n"/>
      <c r="V424" s="22" t="n"/>
      <c r="W424" s="22" t="n"/>
      <c r="X424" s="22" t="n"/>
    </row>
    <row r="425">
      <c r="A425" s="324" t="n"/>
      <c r="B425" s="22" t="n"/>
      <c r="C425" s="22" t="n"/>
      <c r="D425" s="22" t="n"/>
      <c r="E425" s="22" t="n"/>
      <c r="F425" s="22" t="n"/>
      <c r="G425" s="22" t="n"/>
      <c r="H425" s="22" t="n"/>
      <c r="I425" s="22" t="n"/>
      <c r="J425" s="22" t="n"/>
      <c r="K425" s="22" t="n"/>
      <c r="L425" s="22" t="n"/>
      <c r="M425" s="22" t="n"/>
      <c r="N425" s="22" t="n"/>
      <c r="O425" s="22" t="n"/>
      <c r="P425" s="22" t="n"/>
      <c r="Q425" s="22" t="n"/>
      <c r="R425" s="22" t="n"/>
      <c r="S425" s="22" t="n"/>
      <c r="T425" s="22" t="n"/>
      <c r="U425" s="22" t="n"/>
      <c r="V425" s="22" t="n"/>
      <c r="W425" s="22" t="n"/>
      <c r="X425" s="22" t="n"/>
    </row>
    <row r="426">
      <c r="A426" s="324" t="n"/>
      <c r="B426" s="22" t="n"/>
      <c r="C426" s="22" t="n"/>
      <c r="D426" s="22" t="n"/>
      <c r="E426" s="22" t="n"/>
      <c r="F426" s="22" t="n"/>
      <c r="G426" s="22" t="n"/>
      <c r="H426" s="22" t="n"/>
      <c r="I426" s="22" t="n"/>
      <c r="J426" s="22" t="n"/>
      <c r="K426" s="22" t="n"/>
      <c r="L426" s="22" t="n"/>
      <c r="M426" s="22" t="n"/>
      <c r="N426" s="22" t="n"/>
      <c r="O426" s="22" t="n"/>
      <c r="P426" s="22" t="n"/>
      <c r="Q426" s="22" t="n"/>
      <c r="R426" s="22" t="n"/>
      <c r="S426" s="22" t="n"/>
      <c r="T426" s="22" t="n"/>
      <c r="U426" s="22" t="n"/>
      <c r="V426" s="22" t="n"/>
      <c r="W426" s="22" t="n"/>
      <c r="X426" s="22" t="n"/>
    </row>
    <row r="427">
      <c r="A427" s="324" t="n"/>
      <c r="B427" s="22" t="n"/>
      <c r="C427" s="22" t="n"/>
      <c r="D427" s="22" t="n"/>
      <c r="E427" s="22" t="n"/>
      <c r="F427" s="22" t="n"/>
      <c r="G427" s="22" t="n"/>
      <c r="H427" s="22" t="n"/>
      <c r="I427" s="22" t="n"/>
      <c r="J427" s="22" t="n"/>
      <c r="K427" s="22" t="n"/>
      <c r="L427" s="22" t="n"/>
      <c r="M427" s="22" t="n"/>
      <c r="N427" s="22" t="n"/>
      <c r="O427" s="22" t="n"/>
      <c r="P427" s="22" t="n"/>
      <c r="Q427" s="22" t="n"/>
      <c r="R427" s="22" t="n"/>
      <c r="S427" s="22" t="n"/>
      <c r="T427" s="22" t="n"/>
      <c r="U427" s="22" t="n"/>
      <c r="V427" s="22" t="n"/>
      <c r="W427" s="22" t="n"/>
      <c r="X427" s="22" t="n"/>
    </row>
    <row r="428">
      <c r="A428" s="324" t="n"/>
      <c r="B428" s="22" t="n"/>
      <c r="C428" s="22" t="n"/>
      <c r="D428" s="22" t="n"/>
      <c r="E428" s="22" t="n"/>
      <c r="F428" s="22" t="n"/>
      <c r="G428" s="22" t="n"/>
      <c r="H428" s="22" t="n"/>
      <c r="I428" s="22" t="n"/>
      <c r="J428" s="22" t="n"/>
      <c r="K428" s="22" t="n"/>
      <c r="L428" s="22" t="n"/>
      <c r="M428" s="22" t="n"/>
      <c r="N428" s="22" t="n"/>
      <c r="O428" s="22" t="n"/>
      <c r="P428" s="22" t="n"/>
      <c r="Q428" s="22" t="n"/>
      <c r="R428" s="22" t="n"/>
      <c r="S428" s="22" t="n"/>
      <c r="T428" s="22" t="n"/>
      <c r="U428" s="22" t="n"/>
      <c r="V428" s="22" t="n"/>
      <c r="W428" s="22" t="n"/>
      <c r="X428" s="22" t="n"/>
    </row>
    <row r="429">
      <c r="A429" s="324" t="n"/>
      <c r="B429" s="22" t="n"/>
      <c r="C429" s="22" t="n"/>
      <c r="D429" s="22" t="n"/>
      <c r="E429" s="22" t="n"/>
      <c r="F429" s="22" t="n"/>
      <c r="G429" s="22" t="n"/>
      <c r="H429" s="22" t="n"/>
      <c r="I429" s="22" t="n"/>
      <c r="J429" s="22" t="n"/>
      <c r="K429" s="22" t="n"/>
      <c r="L429" s="22" t="n"/>
      <c r="M429" s="22" t="n"/>
      <c r="N429" s="22" t="n"/>
      <c r="O429" s="22" t="n"/>
      <c r="P429" s="22" t="n"/>
      <c r="Q429" s="22" t="n"/>
      <c r="R429" s="22" t="n"/>
      <c r="S429" s="22" t="n"/>
      <c r="T429" s="22" t="n"/>
      <c r="U429" s="22" t="n"/>
      <c r="V429" s="22" t="n"/>
      <c r="W429" s="22" t="n"/>
      <c r="X429" s="22" t="n"/>
    </row>
    <row r="430">
      <c r="A430" s="324" t="n"/>
      <c r="B430" s="22" t="n"/>
      <c r="C430" s="22" t="n"/>
      <c r="D430" s="22" t="n"/>
      <c r="E430" s="22" t="n"/>
      <c r="F430" s="22" t="n"/>
      <c r="G430" s="22" t="n"/>
      <c r="H430" s="22" t="n"/>
      <c r="I430" s="22" t="n"/>
      <c r="J430" s="22" t="n"/>
      <c r="K430" s="22" t="n"/>
      <c r="L430" s="22" t="n"/>
      <c r="M430" s="22" t="n"/>
      <c r="N430" s="22" t="n"/>
      <c r="O430" s="22" t="n"/>
      <c r="P430" s="22" t="n"/>
      <c r="Q430" s="22" t="n"/>
      <c r="R430" s="22" t="n"/>
      <c r="S430" s="22" t="n"/>
      <c r="T430" s="22" t="n"/>
      <c r="U430" s="22" t="n"/>
      <c r="V430" s="22" t="n"/>
      <c r="W430" s="22" t="n"/>
      <c r="X430" s="22" t="n"/>
    </row>
    <row r="431">
      <c r="A431" s="324" t="n"/>
      <c r="B431" s="22" t="n"/>
      <c r="C431" s="22" t="n"/>
      <c r="D431" s="22" t="n"/>
      <c r="E431" s="22" t="n"/>
      <c r="F431" s="22" t="n"/>
      <c r="G431" s="22" t="n"/>
      <c r="H431" s="22" t="n"/>
      <c r="I431" s="22" t="n"/>
      <c r="J431" s="22" t="n"/>
      <c r="K431" s="22" t="n"/>
      <c r="L431" s="22" t="n"/>
      <c r="M431" s="22" t="n"/>
      <c r="N431" s="22" t="n"/>
      <c r="O431" s="22" t="n"/>
      <c r="P431" s="22" t="n"/>
      <c r="Q431" s="22" t="n"/>
      <c r="R431" s="22" t="n"/>
      <c r="S431" s="22" t="n"/>
      <c r="T431" s="22" t="n"/>
      <c r="U431" s="22" t="n"/>
      <c r="V431" s="22" t="n"/>
      <c r="W431" s="22" t="n"/>
      <c r="X431" s="22" t="n"/>
    </row>
    <row r="432">
      <c r="A432" s="324" t="n"/>
      <c r="B432" s="22" t="n"/>
      <c r="C432" s="22" t="n"/>
      <c r="D432" s="22" t="n"/>
      <c r="E432" s="22" t="n"/>
      <c r="F432" s="22" t="n"/>
      <c r="G432" s="22" t="n"/>
      <c r="H432" s="22" t="n"/>
      <c r="I432" s="22" t="n"/>
      <c r="J432" s="22" t="n"/>
      <c r="K432" s="22" t="n"/>
      <c r="L432" s="22" t="n"/>
      <c r="M432" s="22" t="n"/>
      <c r="N432" s="22" t="n"/>
      <c r="O432" s="22" t="n"/>
      <c r="P432" s="22" t="n"/>
      <c r="Q432" s="22" t="n"/>
      <c r="R432" s="22" t="n"/>
      <c r="S432" s="22" t="n"/>
      <c r="T432" s="22" t="n"/>
      <c r="U432" s="22" t="n"/>
      <c r="V432" s="22" t="n"/>
      <c r="W432" s="22" t="n"/>
      <c r="X432" s="22" t="n"/>
    </row>
    <row r="433">
      <c r="A433" s="324" t="n"/>
      <c r="B433" s="22" t="n"/>
      <c r="C433" s="22" t="n"/>
      <c r="D433" s="22" t="n"/>
      <c r="E433" s="22" t="n"/>
      <c r="F433" s="22" t="n"/>
      <c r="G433" s="22" t="n"/>
      <c r="H433" s="22" t="n"/>
      <c r="I433" s="22" t="n"/>
      <c r="J433" s="22" t="n"/>
      <c r="K433" s="22" t="n"/>
      <c r="L433" s="22" t="n"/>
      <c r="M433" s="22" t="n"/>
      <c r="N433" s="22" t="n"/>
      <c r="O433" s="22" t="n"/>
      <c r="P433" s="22" t="n"/>
      <c r="Q433" s="22" t="n"/>
      <c r="R433" s="22" t="n"/>
      <c r="S433" s="22" t="n"/>
      <c r="T433" s="22" t="n"/>
      <c r="U433" s="22" t="n"/>
      <c r="V433" s="22" t="n"/>
      <c r="W433" s="22" t="n"/>
      <c r="X433" s="22" t="n"/>
    </row>
    <row r="434">
      <c r="A434" s="324" t="n"/>
      <c r="B434" s="22" t="n"/>
      <c r="C434" s="22" t="n"/>
      <c r="D434" s="22" t="n"/>
      <c r="E434" s="22" t="n"/>
      <c r="F434" s="22" t="n"/>
      <c r="G434" s="22" t="n"/>
      <c r="H434" s="22" t="n"/>
      <c r="I434" s="22" t="n"/>
      <c r="J434" s="22" t="n"/>
      <c r="K434" s="22" t="n"/>
      <c r="L434" s="22" t="n"/>
      <c r="M434" s="22" t="n"/>
      <c r="N434" s="22" t="n"/>
      <c r="O434" s="22" t="n"/>
      <c r="P434" s="22" t="n"/>
      <c r="Q434" s="22" t="n"/>
      <c r="R434" s="22" t="n"/>
      <c r="S434" s="22" t="n"/>
      <c r="T434" s="22" t="n"/>
      <c r="U434" s="22" t="n"/>
      <c r="V434" s="22" t="n"/>
      <c r="W434" s="22" t="n"/>
      <c r="X434" s="22" t="n"/>
    </row>
    <row r="435">
      <c r="A435" s="324" t="n"/>
      <c r="B435" s="22" t="n"/>
      <c r="C435" s="22" t="n"/>
      <c r="D435" s="22" t="n"/>
      <c r="E435" s="22" t="n"/>
      <c r="F435" s="22" t="n"/>
      <c r="G435" s="22" t="n"/>
      <c r="H435" s="22" t="n"/>
      <c r="I435" s="22" t="n"/>
      <c r="J435" s="22" t="n"/>
      <c r="K435" s="22" t="n"/>
      <c r="L435" s="22" t="n"/>
      <c r="M435" s="22" t="n"/>
      <c r="N435" s="22" t="n"/>
      <c r="O435" s="22" t="n"/>
      <c r="P435" s="22" t="n"/>
      <c r="Q435" s="22" t="n"/>
      <c r="R435" s="22" t="n"/>
      <c r="S435" s="22" t="n"/>
      <c r="T435" s="22" t="n"/>
      <c r="U435" s="22" t="n"/>
      <c r="V435" s="22" t="n"/>
      <c r="W435" s="22" t="n"/>
      <c r="X435" s="22" t="n"/>
    </row>
    <row r="436">
      <c r="A436" s="324" t="n"/>
      <c r="B436" s="22" t="n"/>
      <c r="C436" s="22" t="n"/>
      <c r="D436" s="22" t="n"/>
      <c r="E436" s="22" t="n"/>
      <c r="F436" s="22" t="n"/>
      <c r="G436" s="22" t="n"/>
      <c r="H436" s="22" t="n"/>
      <c r="I436" s="22" t="n"/>
      <c r="J436" s="22" t="n"/>
      <c r="K436" s="22" t="n"/>
      <c r="L436" s="22" t="n"/>
      <c r="M436" s="22" t="n"/>
      <c r="N436" s="22" t="n"/>
      <c r="O436" s="22" t="n"/>
      <c r="P436" s="22" t="n"/>
      <c r="Q436" s="22" t="n"/>
      <c r="R436" s="22" t="n"/>
      <c r="S436" s="22" t="n"/>
      <c r="T436" s="22" t="n"/>
      <c r="U436" s="22" t="n"/>
      <c r="V436" s="22" t="n"/>
      <c r="W436" s="22" t="n"/>
      <c r="X436" s="22" t="n"/>
    </row>
    <row r="437">
      <c r="A437" s="324" t="n"/>
      <c r="B437" s="22" t="n"/>
      <c r="C437" s="22" t="n"/>
      <c r="D437" s="22" t="n"/>
      <c r="E437" s="22" t="n"/>
      <c r="F437" s="22" t="n"/>
      <c r="G437" s="22" t="n"/>
      <c r="H437" s="22" t="n"/>
      <c r="I437" s="22" t="n"/>
      <c r="J437" s="22" t="n"/>
      <c r="K437" s="22" t="n"/>
      <c r="L437" s="22" t="n"/>
      <c r="M437" s="22" t="n"/>
      <c r="N437" s="22" t="n"/>
      <c r="O437" s="22" t="n"/>
      <c r="P437" s="22" t="n"/>
      <c r="Q437" s="22" t="n"/>
      <c r="R437" s="22" t="n"/>
      <c r="S437" s="22" t="n"/>
      <c r="T437" s="22" t="n"/>
      <c r="U437" s="22" t="n"/>
      <c r="V437" s="22" t="n"/>
      <c r="W437" s="22" t="n"/>
      <c r="X437" s="22" t="n"/>
    </row>
    <row r="438">
      <c r="A438" s="324" t="n"/>
      <c r="B438" s="22" t="n"/>
      <c r="C438" s="22" t="n"/>
      <c r="D438" s="22" t="n"/>
      <c r="E438" s="22" t="n"/>
      <c r="F438" s="22" t="n"/>
      <c r="G438" s="22" t="n"/>
      <c r="H438" s="22" t="n"/>
      <c r="I438" s="22" t="n"/>
      <c r="J438" s="22" t="n"/>
      <c r="K438" s="22" t="n"/>
      <c r="L438" s="22" t="n"/>
      <c r="M438" s="22" t="n"/>
      <c r="N438" s="22" t="n"/>
      <c r="O438" s="22" t="n"/>
      <c r="P438" s="22" t="n"/>
      <c r="Q438" s="22" t="n"/>
      <c r="R438" s="22" t="n"/>
      <c r="S438" s="22" t="n"/>
      <c r="T438" s="22" t="n"/>
      <c r="U438" s="22" t="n"/>
      <c r="V438" s="22" t="n"/>
      <c r="W438" s="22" t="n"/>
      <c r="X438" s="22" t="n"/>
    </row>
    <row r="439">
      <c r="A439" s="324" t="n"/>
      <c r="B439" s="22" t="n"/>
      <c r="C439" s="22" t="n"/>
      <c r="D439" s="22" t="n"/>
      <c r="E439" s="22" t="n"/>
      <c r="F439" s="22" t="n"/>
      <c r="G439" s="22" t="n"/>
      <c r="H439" s="22" t="n"/>
      <c r="I439" s="22" t="n"/>
      <c r="J439" s="22" t="n"/>
      <c r="K439" s="22" t="n"/>
      <c r="L439" s="22" t="n"/>
      <c r="M439" s="22" t="n"/>
      <c r="N439" s="22" t="n"/>
      <c r="O439" s="22" t="n"/>
      <c r="P439" s="22" t="n"/>
      <c r="Q439" s="22" t="n"/>
      <c r="R439" s="22" t="n"/>
      <c r="S439" s="22" t="n"/>
      <c r="T439" s="22" t="n"/>
      <c r="U439" s="22" t="n"/>
      <c r="V439" s="22" t="n"/>
      <c r="W439" s="22" t="n"/>
      <c r="X439" s="22" t="n"/>
    </row>
    <row r="440">
      <c r="A440" s="324" t="n"/>
      <c r="B440" s="22" t="n"/>
      <c r="C440" s="22" t="n"/>
      <c r="D440" s="22" t="n"/>
      <c r="E440" s="22" t="n"/>
      <c r="F440" s="22" t="n"/>
      <c r="G440" s="22" t="n"/>
      <c r="H440" s="22" t="n"/>
      <c r="I440" s="22" t="n"/>
      <c r="J440" s="22" t="n"/>
      <c r="K440" s="22" t="n"/>
      <c r="L440" s="22" t="n"/>
      <c r="M440" s="22" t="n"/>
      <c r="N440" s="22" t="n"/>
      <c r="O440" s="22" t="n"/>
      <c r="P440" s="22" t="n"/>
      <c r="Q440" s="22" t="n"/>
      <c r="R440" s="22" t="n"/>
      <c r="S440" s="22" t="n"/>
      <c r="T440" s="22" t="n"/>
      <c r="U440" s="22" t="n"/>
      <c r="V440" s="22" t="n"/>
      <c r="W440" s="22" t="n"/>
      <c r="X440" s="22" t="n"/>
    </row>
    <row r="441">
      <c r="A441" s="324" t="n"/>
      <c r="B441" s="22" t="n"/>
      <c r="C441" s="22" t="n"/>
      <c r="D441" s="22" t="n"/>
      <c r="E441" s="22" t="n"/>
      <c r="F441" s="22" t="n"/>
      <c r="G441" s="22" t="n"/>
      <c r="H441" s="22" t="n"/>
      <c r="I441" s="22" t="n"/>
      <c r="J441" s="22" t="n"/>
      <c r="K441" s="22" t="n"/>
      <c r="L441" s="22" t="n"/>
      <c r="M441" s="22" t="n"/>
      <c r="N441" s="22" t="n"/>
      <c r="O441" s="22" t="n"/>
      <c r="P441" s="22" t="n"/>
      <c r="Q441" s="22" t="n"/>
      <c r="R441" s="22" t="n"/>
      <c r="S441" s="22" t="n"/>
      <c r="T441" s="22" t="n"/>
      <c r="U441" s="22" t="n"/>
      <c r="V441" s="22" t="n"/>
      <c r="W441" s="22" t="n"/>
      <c r="X441" s="22" t="n"/>
    </row>
    <row r="442">
      <c r="A442" s="324" t="n"/>
      <c r="B442" s="22" t="n"/>
      <c r="C442" s="22" t="n"/>
      <c r="D442" s="22" t="n"/>
      <c r="E442" s="22" t="n"/>
      <c r="F442" s="22" t="n"/>
      <c r="G442" s="22" t="n"/>
      <c r="H442" s="22" t="n"/>
      <c r="I442" s="22" t="n"/>
      <c r="J442" s="22" t="n"/>
      <c r="K442" s="22" t="n"/>
      <c r="L442" s="22" t="n"/>
      <c r="M442" s="22" t="n"/>
      <c r="N442" s="22" t="n"/>
      <c r="O442" s="22" t="n"/>
      <c r="P442" s="22" t="n"/>
      <c r="Q442" s="22" t="n"/>
      <c r="R442" s="22" t="n"/>
      <c r="S442" s="22" t="n"/>
      <c r="T442" s="22" t="n"/>
      <c r="U442" s="22" t="n"/>
      <c r="V442" s="22" t="n"/>
      <c r="W442" s="22" t="n"/>
      <c r="X442" s="22" t="n"/>
    </row>
    <row r="443">
      <c r="A443" s="324" t="n"/>
      <c r="B443" s="22" t="n"/>
      <c r="C443" s="22" t="n"/>
      <c r="D443" s="22" t="n"/>
      <c r="E443" s="22" t="n"/>
      <c r="F443" s="22" t="n"/>
      <c r="G443" s="22" t="n"/>
      <c r="H443" s="22" t="n"/>
      <c r="I443" s="22" t="n"/>
      <c r="J443" s="22" t="n"/>
      <c r="K443" s="22" t="n"/>
      <c r="L443" s="22" t="n"/>
      <c r="M443" s="22" t="n"/>
      <c r="N443" s="22" t="n"/>
      <c r="O443" s="22" t="n"/>
      <c r="P443" s="22" t="n"/>
      <c r="Q443" s="22" t="n"/>
      <c r="R443" s="22" t="n"/>
      <c r="S443" s="22" t="n"/>
      <c r="T443" s="22" t="n"/>
      <c r="U443" s="22" t="n"/>
      <c r="V443" s="22" t="n"/>
      <c r="W443" s="22" t="n"/>
      <c r="X443" s="22" t="n"/>
    </row>
    <row r="444">
      <c r="A444" s="324" t="n"/>
      <c r="B444" s="22" t="n"/>
      <c r="C444" s="22" t="n"/>
      <c r="D444" s="22" t="n"/>
      <c r="E444" s="22" t="n"/>
      <c r="F444" s="22" t="n"/>
      <c r="G444" s="22" t="n"/>
      <c r="H444" s="22" t="n"/>
      <c r="I444" s="22" t="n"/>
      <c r="J444" s="22" t="n"/>
      <c r="K444" s="22" t="n"/>
      <c r="L444" s="22" t="n"/>
      <c r="M444" s="22" t="n"/>
      <c r="N444" s="22" t="n"/>
      <c r="O444" s="22" t="n"/>
      <c r="P444" s="22" t="n"/>
      <c r="Q444" s="22" t="n"/>
      <c r="R444" s="22" t="n"/>
      <c r="S444" s="22" t="n"/>
      <c r="T444" s="22" t="n"/>
      <c r="U444" s="22" t="n"/>
      <c r="V444" s="22" t="n"/>
      <c r="W444" s="22" t="n"/>
      <c r="X444" s="22" t="n"/>
    </row>
    <row r="445">
      <c r="A445" s="324" t="n"/>
      <c r="B445" s="22" t="n"/>
      <c r="C445" s="22" t="n"/>
      <c r="D445" s="22" t="n"/>
      <c r="E445" s="22" t="n"/>
      <c r="F445" s="22" t="n"/>
      <c r="G445" s="22" t="n"/>
      <c r="H445" s="22" t="n"/>
      <c r="I445" s="22" t="n"/>
      <c r="J445" s="22" t="n"/>
      <c r="K445" s="22" t="n"/>
      <c r="L445" s="22" t="n"/>
      <c r="M445" s="22" t="n"/>
      <c r="N445" s="22" t="n"/>
      <c r="O445" s="22" t="n"/>
      <c r="P445" s="22" t="n"/>
      <c r="Q445" s="22" t="n"/>
      <c r="R445" s="22" t="n"/>
      <c r="S445" s="22" t="n"/>
      <c r="T445" s="22" t="n"/>
      <c r="U445" s="22" t="n"/>
      <c r="V445" s="22" t="n"/>
      <c r="W445" s="22" t="n"/>
      <c r="X445" s="22" t="n"/>
    </row>
    <row r="446">
      <c r="A446" s="324" t="n"/>
      <c r="B446" s="22" t="n"/>
      <c r="C446" s="22" t="n"/>
      <c r="D446" s="22" t="n"/>
      <c r="E446" s="22" t="n"/>
      <c r="F446" s="22" t="n"/>
      <c r="G446" s="22" t="n"/>
      <c r="H446" s="22" t="n"/>
      <c r="I446" s="22" t="n"/>
      <c r="J446" s="22" t="n"/>
      <c r="K446" s="22" t="n"/>
      <c r="L446" s="22" t="n"/>
      <c r="M446" s="22" t="n"/>
      <c r="N446" s="22" t="n"/>
      <c r="O446" s="22" t="n"/>
      <c r="P446" s="22" t="n"/>
      <c r="Q446" s="22" t="n"/>
      <c r="R446" s="22" t="n"/>
      <c r="S446" s="22" t="n"/>
      <c r="T446" s="22" t="n"/>
      <c r="U446" s="22" t="n"/>
      <c r="V446" s="22" t="n"/>
      <c r="W446" s="22" t="n"/>
      <c r="X446" s="22" t="n"/>
    </row>
    <row r="447">
      <c r="A447" s="324" t="n"/>
      <c r="B447" s="22" t="n"/>
      <c r="C447" s="22" t="n"/>
      <c r="D447" s="22" t="n"/>
      <c r="E447" s="22" t="n"/>
      <c r="F447" s="22" t="n"/>
      <c r="G447" s="22" t="n"/>
      <c r="H447" s="22" t="n"/>
      <c r="I447" s="22" t="n"/>
      <c r="J447" s="22" t="n"/>
      <c r="K447" s="22" t="n"/>
      <c r="L447" s="22" t="n"/>
      <c r="M447" s="22" t="n"/>
      <c r="N447" s="22" t="n"/>
      <c r="O447" s="22" t="n"/>
      <c r="P447" s="22" t="n"/>
      <c r="Q447" s="22" t="n"/>
      <c r="R447" s="22" t="n"/>
      <c r="S447" s="22" t="n"/>
      <c r="T447" s="22" t="n"/>
      <c r="U447" s="22" t="n"/>
      <c r="V447" s="22" t="n"/>
      <c r="W447" s="22" t="n"/>
      <c r="X447" s="22" t="n"/>
    </row>
    <row r="448">
      <c r="A448" s="324" t="n"/>
      <c r="B448" s="22" t="n"/>
      <c r="C448" s="22" t="n"/>
      <c r="D448" s="22" t="n"/>
      <c r="E448" s="22" t="n"/>
      <c r="F448" s="22" t="n"/>
      <c r="G448" s="22" t="n"/>
      <c r="H448" s="22" t="n"/>
      <c r="I448" s="22" t="n"/>
      <c r="J448" s="22" t="n"/>
      <c r="K448" s="22" t="n"/>
      <c r="L448" s="22" t="n"/>
      <c r="M448" s="22" t="n"/>
      <c r="N448" s="22" t="n"/>
      <c r="O448" s="22" t="n"/>
      <c r="P448" s="22" t="n"/>
      <c r="Q448" s="22" t="n"/>
      <c r="R448" s="22" t="n"/>
      <c r="S448" s="22" t="n"/>
      <c r="T448" s="22" t="n"/>
      <c r="U448" s="22" t="n"/>
      <c r="V448" s="22" t="n"/>
      <c r="W448" s="22" t="n"/>
      <c r="X448" s="22" t="n"/>
    </row>
    <row r="449">
      <c r="A449" s="324" t="n"/>
      <c r="B449" s="22" t="n"/>
      <c r="C449" s="22" t="n"/>
      <c r="D449" s="22" t="n"/>
      <c r="E449" s="22" t="n"/>
      <c r="F449" s="22" t="n"/>
      <c r="G449" s="22" t="n"/>
      <c r="H449" s="22" t="n"/>
      <c r="I449" s="22" t="n"/>
      <c r="J449" s="22" t="n"/>
      <c r="K449" s="22" t="n"/>
      <c r="L449" s="22" t="n"/>
      <c r="M449" s="22" t="n"/>
      <c r="N449" s="22" t="n"/>
      <c r="O449" s="22" t="n"/>
      <c r="P449" s="22" t="n"/>
      <c r="Q449" s="22" t="n"/>
      <c r="R449" s="22" t="n"/>
      <c r="S449" s="22" t="n"/>
      <c r="T449" s="22" t="n"/>
      <c r="U449" s="22" t="n"/>
      <c r="V449" s="22" t="n"/>
      <c r="W449" s="22" t="n"/>
      <c r="X449" s="22" t="n"/>
    </row>
    <row r="450">
      <c r="A450" s="324" t="n"/>
      <c r="B450" s="22" t="n"/>
      <c r="C450" s="22" t="n"/>
      <c r="D450" s="22" t="n"/>
      <c r="E450" s="22" t="n"/>
      <c r="F450" s="22" t="n"/>
      <c r="G450" s="22" t="n"/>
      <c r="H450" s="22" t="n"/>
      <c r="I450" s="22" t="n"/>
      <c r="J450" s="22" t="n"/>
      <c r="K450" s="22" t="n"/>
      <c r="L450" s="22" t="n"/>
      <c r="M450" s="22" t="n"/>
      <c r="N450" s="22" t="n"/>
      <c r="O450" s="22" t="n"/>
      <c r="P450" s="22" t="n"/>
      <c r="Q450" s="22" t="n"/>
      <c r="R450" s="22" t="n"/>
      <c r="S450" s="22" t="n"/>
      <c r="T450" s="22" t="n"/>
      <c r="U450" s="22" t="n"/>
      <c r="V450" s="22" t="n"/>
      <c r="W450" s="22" t="n"/>
      <c r="X450" s="22" t="n"/>
    </row>
    <row r="451">
      <c r="A451" s="324" t="n"/>
      <c r="B451" s="22" t="n"/>
      <c r="C451" s="22" t="n"/>
      <c r="D451" s="22" t="n"/>
      <c r="E451" s="22" t="n"/>
      <c r="F451" s="22" t="n"/>
      <c r="G451" s="22" t="n"/>
      <c r="H451" s="22" t="n"/>
      <c r="I451" s="22" t="n"/>
      <c r="J451" s="22" t="n"/>
      <c r="K451" s="22" t="n"/>
      <c r="L451" s="22" t="n"/>
      <c r="M451" s="22" t="n"/>
      <c r="N451" s="22" t="n"/>
      <c r="O451" s="22" t="n"/>
      <c r="P451" s="22" t="n"/>
      <c r="Q451" s="22" t="n"/>
      <c r="R451" s="22" t="n"/>
      <c r="S451" s="22" t="n"/>
      <c r="T451" s="22" t="n"/>
      <c r="U451" s="22" t="n"/>
      <c r="V451" s="22" t="n"/>
      <c r="W451" s="22" t="n"/>
      <c r="X451" s="22" t="n"/>
    </row>
    <row r="452">
      <c r="A452" s="324" t="n"/>
      <c r="B452" s="22" t="n"/>
      <c r="C452" s="22" t="n"/>
      <c r="D452" s="22" t="n"/>
      <c r="E452" s="22" t="n"/>
      <c r="F452" s="22" t="n"/>
      <c r="G452" s="22" t="n"/>
      <c r="H452" s="22" t="n"/>
      <c r="I452" s="22" t="n"/>
      <c r="J452" s="22" t="n"/>
      <c r="K452" s="22" t="n"/>
      <c r="L452" s="22" t="n"/>
      <c r="M452" s="22" t="n"/>
      <c r="N452" s="22" t="n"/>
      <c r="O452" s="22" t="n"/>
      <c r="P452" s="22" t="n"/>
      <c r="Q452" s="22" t="n"/>
      <c r="R452" s="22" t="n"/>
      <c r="S452" s="22" t="n"/>
      <c r="T452" s="22" t="n"/>
      <c r="U452" s="22" t="n"/>
      <c r="V452" s="22" t="n"/>
      <c r="W452" s="22" t="n"/>
      <c r="X452" s="22" t="n"/>
    </row>
    <row r="453">
      <c r="A453" s="324" t="n"/>
      <c r="B453" s="22" t="n"/>
      <c r="C453" s="22" t="n"/>
      <c r="D453" s="22" t="n"/>
      <c r="E453" s="22" t="n"/>
      <c r="F453" s="22" t="n"/>
      <c r="G453" s="22" t="n"/>
      <c r="H453" s="22" t="n"/>
      <c r="I453" s="22" t="n"/>
      <c r="J453" s="22" t="n"/>
      <c r="K453" s="22" t="n"/>
      <c r="L453" s="22" t="n"/>
      <c r="M453" s="22" t="n"/>
      <c r="N453" s="22" t="n"/>
      <c r="O453" s="22" t="n"/>
      <c r="P453" s="22" t="n"/>
      <c r="Q453" s="22" t="n"/>
      <c r="R453" s="22" t="n"/>
      <c r="S453" s="22" t="n"/>
      <c r="T453" s="22" t="n"/>
      <c r="U453" s="22" t="n"/>
      <c r="V453" s="22" t="n"/>
      <c r="W453" s="22" t="n"/>
      <c r="X453" s="22" t="n"/>
    </row>
    <row r="454">
      <c r="A454" s="324" t="n"/>
      <c r="B454" s="22" t="n"/>
      <c r="C454" s="22" t="n"/>
      <c r="D454" s="22" t="n"/>
      <c r="E454" s="22" t="n"/>
      <c r="F454" s="22" t="n"/>
      <c r="G454" s="22" t="n"/>
      <c r="H454" s="22" t="n"/>
      <c r="I454" s="22" t="n"/>
      <c r="J454" s="22" t="n"/>
      <c r="K454" s="22" t="n"/>
      <c r="L454" s="22" t="n"/>
      <c r="M454" s="22" t="n"/>
      <c r="N454" s="22" t="n"/>
      <c r="O454" s="22" t="n"/>
      <c r="P454" s="22" t="n"/>
      <c r="Q454" s="22" t="n"/>
      <c r="R454" s="22" t="n"/>
      <c r="S454" s="22" t="n"/>
      <c r="T454" s="22" t="n"/>
      <c r="U454" s="22" t="n"/>
      <c r="V454" s="22" t="n"/>
      <c r="W454" s="22" t="n"/>
      <c r="X454" s="22" t="n"/>
    </row>
    <row r="455">
      <c r="A455" s="324" t="n"/>
      <c r="B455" s="22" t="n"/>
      <c r="C455" s="22" t="n"/>
      <c r="D455" s="22" t="n"/>
      <c r="E455" s="22" t="n"/>
      <c r="F455" s="22" t="n"/>
      <c r="G455" s="22" t="n"/>
      <c r="H455" s="22" t="n"/>
      <c r="I455" s="22" t="n"/>
      <c r="J455" s="22" t="n"/>
      <c r="K455" s="22" t="n"/>
      <c r="L455" s="22" t="n"/>
      <c r="M455" s="22" t="n"/>
      <c r="N455" s="22" t="n"/>
      <c r="O455" s="22" t="n"/>
      <c r="P455" s="22" t="n"/>
      <c r="Q455" s="22" t="n"/>
      <c r="R455" s="22" t="n"/>
      <c r="S455" s="22" t="n"/>
      <c r="T455" s="22" t="n"/>
      <c r="U455" s="22" t="n"/>
      <c r="V455" s="22" t="n"/>
      <c r="W455" s="22" t="n"/>
      <c r="X455" s="22" t="n"/>
    </row>
    <row r="456">
      <c r="A456" s="324" t="n"/>
      <c r="B456" s="22" t="n"/>
      <c r="C456" s="22" t="n"/>
      <c r="D456" s="22" t="n"/>
      <c r="E456" s="22" t="n"/>
      <c r="F456" s="22" t="n"/>
      <c r="G456" s="22" t="n"/>
      <c r="H456" s="22" t="n"/>
      <c r="I456" s="22" t="n"/>
      <c r="J456" s="22" t="n"/>
      <c r="K456" s="22" t="n"/>
      <c r="L456" s="22" t="n"/>
      <c r="M456" s="22" t="n"/>
      <c r="N456" s="22" t="n"/>
      <c r="O456" s="22" t="n"/>
      <c r="P456" s="22" t="n"/>
      <c r="Q456" s="22" t="n"/>
      <c r="R456" s="22" t="n"/>
      <c r="S456" s="22" t="n"/>
      <c r="T456" s="22" t="n"/>
      <c r="U456" s="22" t="n"/>
      <c r="V456" s="22" t="n"/>
      <c r="W456" s="22" t="n"/>
      <c r="X456" s="22" t="n"/>
    </row>
    <row r="457">
      <c r="A457" s="324" t="n"/>
      <c r="B457" s="22" t="n"/>
      <c r="C457" s="22" t="n"/>
      <c r="D457" s="22" t="n"/>
      <c r="E457" s="22" t="n"/>
      <c r="F457" s="22" t="n"/>
      <c r="G457" s="22" t="n"/>
      <c r="H457" s="22" t="n"/>
      <c r="I457" s="22" t="n"/>
      <c r="J457" s="22" t="n"/>
      <c r="K457" s="22" t="n"/>
      <c r="L457" s="22" t="n"/>
      <c r="M457" s="22" t="n"/>
      <c r="N457" s="22" t="n"/>
      <c r="O457" s="22" t="n"/>
      <c r="P457" s="22" t="n"/>
      <c r="Q457" s="22" t="n"/>
      <c r="R457" s="22" t="n"/>
      <c r="S457" s="22" t="n"/>
      <c r="T457" s="22" t="n"/>
      <c r="U457" s="22" t="n"/>
      <c r="V457" s="22" t="n"/>
      <c r="W457" s="22" t="n"/>
      <c r="X457" s="22" t="n"/>
    </row>
    <row r="458">
      <c r="A458" s="324" t="n"/>
      <c r="B458" s="22" t="n"/>
      <c r="C458" s="22" t="n"/>
      <c r="D458" s="22" t="n"/>
      <c r="E458" s="22" t="n"/>
      <c r="F458" s="22" t="n"/>
      <c r="G458" s="22" t="n"/>
      <c r="H458" s="22" t="n"/>
      <c r="I458" s="22" t="n"/>
      <c r="J458" s="22" t="n"/>
      <c r="K458" s="22" t="n"/>
      <c r="L458" s="22" t="n"/>
      <c r="M458" s="22" t="n"/>
      <c r="N458" s="22" t="n"/>
      <c r="O458" s="22" t="n"/>
      <c r="P458" s="22" t="n"/>
      <c r="Q458" s="22" t="n"/>
      <c r="R458" s="22" t="n"/>
      <c r="S458" s="22" t="n"/>
      <c r="T458" s="22" t="n"/>
      <c r="U458" s="22" t="n"/>
      <c r="V458" s="22" t="n"/>
      <c r="W458" s="22" t="n"/>
      <c r="X458" s="22" t="n"/>
    </row>
    <row r="459">
      <c r="A459" s="324" t="n"/>
      <c r="B459" s="22" t="n"/>
      <c r="C459" s="22" t="n"/>
      <c r="D459" s="22" t="n"/>
      <c r="E459" s="22" t="n"/>
      <c r="F459" s="22" t="n"/>
      <c r="G459" s="22" t="n"/>
      <c r="H459" s="22" t="n"/>
      <c r="I459" s="22" t="n"/>
      <c r="J459" s="22" t="n"/>
      <c r="K459" s="22" t="n"/>
      <c r="L459" s="22" t="n"/>
      <c r="M459" s="22" t="n"/>
      <c r="N459" s="22" t="n"/>
      <c r="O459" s="22" t="n"/>
      <c r="P459" s="22" t="n"/>
      <c r="Q459" s="22" t="n"/>
      <c r="R459" s="22" t="n"/>
      <c r="S459" s="22" t="n"/>
      <c r="T459" s="22" t="n"/>
      <c r="U459" s="22" t="n"/>
      <c r="V459" s="22" t="n"/>
      <c r="W459" s="22" t="n"/>
      <c r="X459" s="22" t="n"/>
    </row>
    <row r="460">
      <c r="A460" s="324" t="n"/>
      <c r="B460" s="22" t="n"/>
      <c r="C460" s="22" t="n"/>
      <c r="D460" s="22" t="n"/>
      <c r="E460" s="22" t="n"/>
      <c r="F460" s="22" t="n"/>
      <c r="G460" s="22" t="n"/>
      <c r="H460" s="22" t="n"/>
      <c r="I460" s="22" t="n"/>
      <c r="J460" s="22" t="n"/>
      <c r="K460" s="22" t="n"/>
      <c r="L460" s="22" t="n"/>
      <c r="M460" s="22" t="n"/>
      <c r="N460" s="22" t="n"/>
      <c r="O460" s="22" t="n"/>
      <c r="P460" s="22" t="n"/>
      <c r="Q460" s="22" t="n"/>
      <c r="R460" s="22" t="n"/>
      <c r="S460" s="22" t="n"/>
      <c r="T460" s="22" t="n"/>
      <c r="U460" s="22" t="n"/>
      <c r="V460" s="22" t="n"/>
      <c r="W460" s="22" t="n"/>
      <c r="X460" s="22" t="n"/>
    </row>
    <row r="461">
      <c r="A461" s="324" t="n"/>
      <c r="B461" s="22" t="n"/>
      <c r="C461" s="22" t="n"/>
      <c r="D461" s="22" t="n"/>
      <c r="E461" s="22" t="n"/>
      <c r="F461" s="22" t="n"/>
      <c r="G461" s="22" t="n"/>
      <c r="H461" s="22" t="n"/>
      <c r="I461" s="22" t="n"/>
      <c r="J461" s="22" t="n"/>
      <c r="K461" s="22" t="n"/>
      <c r="L461" s="22" t="n"/>
      <c r="M461" s="22" t="n"/>
      <c r="N461" s="22" t="n"/>
      <c r="O461" s="22" t="n"/>
      <c r="P461" s="22" t="n"/>
      <c r="Q461" s="22" t="n"/>
      <c r="R461" s="22" t="n"/>
      <c r="S461" s="22" t="n"/>
      <c r="T461" s="22" t="n"/>
      <c r="U461" s="22" t="n"/>
      <c r="V461" s="22" t="n"/>
      <c r="W461" s="22" t="n"/>
      <c r="X461" s="22" t="n"/>
    </row>
    <row r="462">
      <c r="A462" s="324" t="n"/>
      <c r="B462" s="22" t="n"/>
      <c r="C462" s="22" t="n"/>
      <c r="D462" s="22" t="n"/>
      <c r="E462" s="22" t="n"/>
      <c r="F462" s="22" t="n"/>
      <c r="G462" s="22" t="n"/>
      <c r="H462" s="22" t="n"/>
      <c r="I462" s="22" t="n"/>
      <c r="J462" s="22" t="n"/>
      <c r="K462" s="22" t="n"/>
      <c r="L462" s="22" t="n"/>
      <c r="M462" s="22" t="n"/>
      <c r="N462" s="22" t="n"/>
      <c r="O462" s="22" t="n"/>
      <c r="P462" s="22" t="n"/>
      <c r="Q462" s="22" t="n"/>
      <c r="R462" s="22" t="n"/>
      <c r="S462" s="22" t="n"/>
      <c r="T462" s="22" t="n"/>
      <c r="U462" s="22" t="n"/>
      <c r="V462" s="22" t="n"/>
      <c r="W462" s="22" t="n"/>
      <c r="X462" s="22" t="n"/>
    </row>
    <row r="463">
      <c r="A463" s="324" t="n"/>
      <c r="B463" s="22" t="n"/>
      <c r="C463" s="22" t="n"/>
      <c r="D463" s="22" t="n"/>
      <c r="E463" s="22" t="n"/>
      <c r="F463" s="22" t="n"/>
      <c r="G463" s="22" t="n"/>
      <c r="H463" s="22" t="n"/>
      <c r="I463" s="22" t="n"/>
      <c r="J463" s="22" t="n"/>
      <c r="K463" s="22" t="n"/>
      <c r="L463" s="22" t="n"/>
      <c r="M463" s="22" t="n"/>
      <c r="N463" s="22" t="n"/>
      <c r="O463" s="22" t="n"/>
      <c r="P463" s="22" t="n"/>
      <c r="Q463" s="22" t="n"/>
      <c r="R463" s="22" t="n"/>
      <c r="S463" s="22" t="n"/>
      <c r="T463" s="22" t="n"/>
      <c r="U463" s="22" t="n"/>
      <c r="V463" s="22" t="n"/>
      <c r="W463" s="22" t="n"/>
      <c r="X463" s="22" t="n"/>
    </row>
    <row r="464">
      <c r="A464" s="324" t="n"/>
      <c r="B464" s="22" t="n"/>
      <c r="C464" s="22" t="n"/>
      <c r="D464" s="22" t="n"/>
      <c r="E464" s="22" t="n"/>
      <c r="F464" s="22" t="n"/>
      <c r="G464" s="22" t="n"/>
      <c r="H464" s="22" t="n"/>
      <c r="I464" s="22" t="n"/>
      <c r="J464" s="22" t="n"/>
      <c r="K464" s="22" t="n"/>
      <c r="L464" s="22" t="n"/>
      <c r="M464" s="22" t="n"/>
      <c r="N464" s="22" t="n"/>
      <c r="O464" s="22" t="n"/>
      <c r="P464" s="22" t="n"/>
      <c r="Q464" s="22" t="n"/>
      <c r="R464" s="22" t="n"/>
      <c r="S464" s="22" t="n"/>
      <c r="T464" s="22" t="n"/>
      <c r="U464" s="22" t="n"/>
      <c r="V464" s="22" t="n"/>
      <c r="W464" s="22" t="n"/>
      <c r="X464" s="22" t="n"/>
    </row>
    <row r="465">
      <c r="A465" s="324" t="n"/>
      <c r="B465" s="22" t="n"/>
      <c r="C465" s="22" t="n"/>
      <c r="D465" s="22" t="n"/>
      <c r="E465" s="22" t="n"/>
      <c r="F465" s="22" t="n"/>
      <c r="G465" s="22" t="n"/>
      <c r="H465" s="22" t="n"/>
      <c r="I465" s="22" t="n"/>
      <c r="J465" s="22" t="n"/>
      <c r="K465" s="22" t="n"/>
      <c r="L465" s="22" t="n"/>
      <c r="M465" s="22" t="n"/>
      <c r="N465" s="22" t="n"/>
      <c r="O465" s="22" t="n"/>
      <c r="P465" s="22" t="n"/>
      <c r="Q465" s="22" t="n"/>
      <c r="R465" s="22" t="n"/>
      <c r="S465" s="22" t="n"/>
      <c r="T465" s="22" t="n"/>
      <c r="U465" s="22" t="n"/>
      <c r="V465" s="22" t="n"/>
      <c r="W465" s="22" t="n"/>
      <c r="X465" s="22" t="n"/>
    </row>
    <row r="466">
      <c r="A466" s="324" t="n"/>
      <c r="B466" s="22" t="n"/>
      <c r="C466" s="22" t="n"/>
      <c r="D466" s="22" t="n"/>
      <c r="E466" s="22" t="n"/>
      <c r="F466" s="22" t="n"/>
      <c r="G466" s="22" t="n"/>
      <c r="H466" s="22" t="n"/>
      <c r="I466" s="22" t="n"/>
      <c r="J466" s="22" t="n"/>
      <c r="K466" s="22" t="n"/>
      <c r="L466" s="22" t="n"/>
      <c r="M466" s="22" t="n"/>
      <c r="N466" s="22" t="n"/>
      <c r="O466" s="22" t="n"/>
      <c r="P466" s="22" t="n"/>
      <c r="Q466" s="22" t="n"/>
      <c r="R466" s="22" t="n"/>
      <c r="S466" s="22" t="n"/>
      <c r="T466" s="22" t="n"/>
      <c r="U466" s="22" t="n"/>
      <c r="V466" s="22" t="n"/>
      <c r="W466" s="22" t="n"/>
      <c r="X466" s="22" t="n"/>
    </row>
    <row r="467">
      <c r="A467" s="324" t="n"/>
      <c r="B467" s="22" t="n"/>
      <c r="C467" s="22" t="n"/>
      <c r="D467" s="22" t="n"/>
      <c r="E467" s="22" t="n"/>
      <c r="F467" s="22" t="n"/>
      <c r="G467" s="22" t="n"/>
      <c r="H467" s="22" t="n"/>
      <c r="I467" s="22" t="n"/>
      <c r="J467" s="22" t="n"/>
      <c r="K467" s="22" t="n"/>
      <c r="L467" s="22" t="n"/>
      <c r="M467" s="22" t="n"/>
      <c r="N467" s="22" t="n"/>
      <c r="O467" s="22" t="n"/>
      <c r="P467" s="22" t="n"/>
      <c r="Q467" s="22" t="n"/>
      <c r="R467" s="22" t="n"/>
      <c r="S467" s="22" t="n"/>
      <c r="T467" s="22" t="n"/>
      <c r="U467" s="22" t="n"/>
      <c r="V467" s="22" t="n"/>
      <c r="W467" s="22" t="n"/>
      <c r="X467" s="22" t="n"/>
    </row>
    <row r="468">
      <c r="A468" s="324" t="n"/>
      <c r="B468" s="22" t="n"/>
      <c r="C468" s="22" t="n"/>
      <c r="D468" s="22" t="n"/>
      <c r="E468" s="22" t="n"/>
      <c r="F468" s="22" t="n"/>
      <c r="G468" s="22" t="n"/>
      <c r="H468" s="22" t="n"/>
      <c r="I468" s="22" t="n"/>
      <c r="J468" s="22" t="n"/>
      <c r="K468" s="22" t="n"/>
      <c r="L468" s="22" t="n"/>
      <c r="M468" s="22" t="n"/>
      <c r="N468" s="22" t="n"/>
      <c r="O468" s="22" t="n"/>
      <c r="P468" s="22" t="n"/>
      <c r="Q468" s="22" t="n"/>
      <c r="R468" s="22" t="n"/>
      <c r="S468" s="22" t="n"/>
      <c r="T468" s="22" t="n"/>
      <c r="U468" s="22" t="n"/>
      <c r="V468" s="22" t="n"/>
      <c r="W468" s="22" t="n"/>
      <c r="X468" s="22" t="n"/>
    </row>
    <row r="469">
      <c r="A469" s="324" t="n"/>
      <c r="B469" s="22" t="n"/>
      <c r="C469" s="22" t="n"/>
      <c r="D469" s="22" t="n"/>
      <c r="E469" s="22" t="n"/>
      <c r="F469" s="22" t="n"/>
      <c r="G469" s="22" t="n"/>
      <c r="H469" s="22" t="n"/>
      <c r="I469" s="22" t="n"/>
      <c r="J469" s="22" t="n"/>
      <c r="K469" s="22" t="n"/>
      <c r="L469" s="22" t="n"/>
      <c r="M469" s="22" t="n"/>
      <c r="N469" s="22" t="n"/>
      <c r="O469" s="22" t="n"/>
      <c r="P469" s="22" t="n"/>
      <c r="Q469" s="22" t="n"/>
      <c r="R469" s="22" t="n"/>
      <c r="S469" s="22" t="n"/>
      <c r="T469" s="22" t="n"/>
      <c r="U469" s="22" t="n"/>
      <c r="V469" s="22" t="n"/>
      <c r="W469" s="22" t="n"/>
      <c r="X469" s="22" t="n"/>
    </row>
    <row r="470">
      <c r="A470" s="324" t="n"/>
      <c r="B470" s="22" t="n"/>
      <c r="C470" s="22" t="n"/>
      <c r="D470" s="22" t="n"/>
      <c r="E470" s="22" t="n"/>
      <c r="F470" s="22" t="n"/>
      <c r="G470" s="22" t="n"/>
      <c r="H470" s="22" t="n"/>
      <c r="I470" s="22" t="n"/>
      <c r="J470" s="22" t="n"/>
      <c r="K470" s="22" t="n"/>
      <c r="L470" s="22" t="n"/>
      <c r="M470" s="22" t="n"/>
      <c r="N470" s="22" t="n"/>
      <c r="O470" s="22" t="n"/>
      <c r="P470" s="22" t="n"/>
      <c r="Q470" s="22" t="n"/>
      <c r="R470" s="22" t="n"/>
      <c r="S470" s="22" t="n"/>
      <c r="T470" s="22" t="n"/>
      <c r="U470" s="22" t="n"/>
      <c r="V470" s="22" t="n"/>
      <c r="W470" s="22" t="n"/>
      <c r="X470" s="22" t="n"/>
    </row>
    <row r="471">
      <c r="A471" s="324" t="n"/>
      <c r="B471" s="22" t="n"/>
      <c r="C471" s="22" t="n"/>
      <c r="D471" s="22" t="n"/>
      <c r="E471" s="22" t="n"/>
      <c r="F471" s="22" t="n"/>
      <c r="G471" s="22" t="n"/>
      <c r="H471" s="22" t="n"/>
      <c r="I471" s="22" t="n"/>
      <c r="J471" s="22" t="n"/>
      <c r="K471" s="22" t="n"/>
      <c r="L471" s="22" t="n"/>
      <c r="M471" s="22" t="n"/>
      <c r="N471" s="22" t="n"/>
      <c r="O471" s="22" t="n"/>
      <c r="P471" s="22" t="n"/>
      <c r="Q471" s="22" t="n"/>
      <c r="R471" s="22" t="n"/>
      <c r="S471" s="22" t="n"/>
      <c r="T471" s="22" t="n"/>
      <c r="U471" s="22" t="n"/>
      <c r="V471" s="22" t="n"/>
      <c r="W471" s="22" t="n"/>
      <c r="X471" s="22" t="n"/>
    </row>
    <row r="472">
      <c r="A472" s="324" t="n"/>
      <c r="B472" s="22" t="n"/>
      <c r="C472" s="22" t="n"/>
      <c r="D472" s="22" t="n"/>
      <c r="E472" s="22" t="n"/>
      <c r="F472" s="22" t="n"/>
      <c r="G472" s="22" t="n"/>
      <c r="H472" s="22" t="n"/>
      <c r="I472" s="22" t="n"/>
      <c r="J472" s="22" t="n"/>
      <c r="K472" s="22" t="n"/>
      <c r="L472" s="22" t="n"/>
      <c r="M472" s="22" t="n"/>
      <c r="N472" s="22" t="n"/>
      <c r="O472" s="22" t="n"/>
      <c r="P472" s="22" t="n"/>
      <c r="Q472" s="22" t="n"/>
      <c r="R472" s="22" t="n"/>
      <c r="S472" s="22" t="n"/>
      <c r="T472" s="22" t="n"/>
      <c r="U472" s="22" t="n"/>
      <c r="V472" s="22" t="n"/>
      <c r="W472" s="22" t="n"/>
      <c r="X472" s="22" t="n"/>
    </row>
    <row r="473">
      <c r="A473" s="324" t="n"/>
      <c r="B473" s="22" t="n"/>
      <c r="C473" s="22" t="n"/>
      <c r="D473" s="22" t="n"/>
      <c r="E473" s="22" t="n"/>
      <c r="F473" s="22" t="n"/>
      <c r="G473" s="22" t="n"/>
      <c r="H473" s="22" t="n"/>
      <c r="I473" s="22" t="n"/>
      <c r="J473" s="22" t="n"/>
      <c r="K473" s="22" t="n"/>
      <c r="L473" s="22" t="n"/>
      <c r="M473" s="22" t="n"/>
      <c r="N473" s="22" t="n"/>
      <c r="O473" s="22" t="n"/>
      <c r="P473" s="22" t="n"/>
      <c r="Q473" s="22" t="n"/>
      <c r="R473" s="22" t="n"/>
      <c r="S473" s="22" t="n"/>
      <c r="T473" s="22" t="n"/>
      <c r="U473" s="22" t="n"/>
      <c r="V473" s="22" t="n"/>
      <c r="W473" s="22" t="n"/>
      <c r="X473" s="22" t="n"/>
    </row>
    <row r="474">
      <c r="A474" s="324" t="n"/>
      <c r="B474" s="22" t="n"/>
      <c r="C474" s="22" t="n"/>
      <c r="D474" s="22" t="n"/>
      <c r="E474" s="22" t="n"/>
      <c r="F474" s="22" t="n"/>
      <c r="G474" s="22" t="n"/>
      <c r="H474" s="22" t="n"/>
      <c r="I474" s="22" t="n"/>
      <c r="J474" s="22" t="n"/>
      <c r="K474" s="22" t="n"/>
      <c r="L474" s="22" t="n"/>
      <c r="M474" s="22" t="n"/>
      <c r="N474" s="22" t="n"/>
      <c r="O474" s="22" t="n"/>
      <c r="P474" s="22" t="n"/>
      <c r="Q474" s="22" t="n"/>
      <c r="R474" s="22" t="n"/>
      <c r="S474" s="22" t="n"/>
      <c r="T474" s="22" t="n"/>
      <c r="U474" s="22" t="n"/>
      <c r="V474" s="22" t="n"/>
      <c r="W474" s="22" t="n"/>
      <c r="X474" s="22" t="n"/>
    </row>
    <row r="475">
      <c r="A475" s="324" t="n"/>
      <c r="B475" s="22" t="n"/>
      <c r="C475" s="22" t="n"/>
      <c r="D475" s="22" t="n"/>
      <c r="E475" s="22" t="n"/>
      <c r="F475" s="22" t="n"/>
      <c r="G475" s="22" t="n"/>
      <c r="H475" s="22" t="n"/>
      <c r="I475" s="22" t="n"/>
      <c r="J475" s="22" t="n"/>
      <c r="K475" s="22" t="n"/>
      <c r="L475" s="22" t="n"/>
      <c r="M475" s="22" t="n"/>
      <c r="N475" s="22" t="n"/>
      <c r="O475" s="22" t="n"/>
      <c r="P475" s="22" t="n"/>
      <c r="Q475" s="22" t="n"/>
      <c r="R475" s="22" t="n"/>
      <c r="S475" s="22" t="n"/>
      <c r="T475" s="22" t="n"/>
      <c r="U475" s="22" t="n"/>
      <c r="V475" s="22" t="n"/>
      <c r="W475" s="22" t="n"/>
      <c r="X475" s="22" t="n"/>
    </row>
    <row r="476">
      <c r="A476" s="324" t="n"/>
      <c r="B476" s="22" t="n"/>
      <c r="C476" s="22" t="n"/>
      <c r="D476" s="22" t="n"/>
      <c r="E476" s="22" t="n"/>
      <c r="F476" s="22" t="n"/>
      <c r="G476" s="22" t="n"/>
      <c r="H476" s="22" t="n"/>
      <c r="I476" s="22" t="n"/>
      <c r="J476" s="22" t="n"/>
      <c r="K476" s="22" t="n"/>
      <c r="L476" s="22" t="n"/>
      <c r="M476" s="22" t="n"/>
      <c r="N476" s="22" t="n"/>
      <c r="O476" s="22" t="n"/>
      <c r="P476" s="22" t="n"/>
      <c r="Q476" s="22" t="n"/>
      <c r="R476" s="22" t="n"/>
      <c r="S476" s="22" t="n"/>
      <c r="T476" s="22" t="n"/>
      <c r="U476" s="22" t="n"/>
      <c r="V476" s="22" t="n"/>
      <c r="W476" s="22" t="n"/>
      <c r="X476" s="22" t="n"/>
    </row>
    <row r="477">
      <c r="A477" s="324" t="n"/>
      <c r="B477" s="22" t="n"/>
      <c r="C477" s="22" t="n"/>
      <c r="D477" s="22" t="n"/>
      <c r="E477" s="22" t="n"/>
      <c r="F477" s="22" t="n"/>
      <c r="G477" s="22" t="n"/>
      <c r="H477" s="22" t="n"/>
      <c r="I477" s="22" t="n"/>
      <c r="J477" s="22" t="n"/>
      <c r="K477" s="22" t="n"/>
      <c r="L477" s="22" t="n"/>
      <c r="M477" s="22" t="n"/>
      <c r="N477" s="22" t="n"/>
      <c r="O477" s="22" t="n"/>
      <c r="P477" s="22" t="n"/>
      <c r="Q477" s="22" t="n"/>
      <c r="R477" s="22" t="n"/>
      <c r="S477" s="22" t="n"/>
      <c r="T477" s="22" t="n"/>
      <c r="U477" s="22" t="n"/>
      <c r="V477" s="22" t="n"/>
      <c r="W477" s="22" t="n"/>
      <c r="X477" s="22" t="n"/>
    </row>
    <row r="478">
      <c r="A478" s="324" t="n"/>
      <c r="B478" s="22" t="n"/>
      <c r="C478" s="22" t="n"/>
      <c r="D478" s="22" t="n"/>
      <c r="E478" s="22" t="n"/>
      <c r="F478" s="22" t="n"/>
      <c r="G478" s="22" t="n"/>
      <c r="H478" s="22" t="n"/>
      <c r="I478" s="22" t="n"/>
      <c r="J478" s="22" t="n"/>
      <c r="K478" s="22" t="n"/>
      <c r="L478" s="22" t="n"/>
      <c r="M478" s="22" t="n"/>
      <c r="N478" s="22" t="n"/>
      <c r="O478" s="22" t="n"/>
      <c r="P478" s="22" t="n"/>
      <c r="Q478" s="22" t="n"/>
      <c r="R478" s="22" t="n"/>
      <c r="S478" s="22" t="n"/>
      <c r="T478" s="22" t="n"/>
      <c r="U478" s="22" t="n"/>
      <c r="V478" s="22" t="n"/>
      <c r="W478" s="22" t="n"/>
      <c r="X478" s="22" t="n"/>
    </row>
    <row r="479">
      <c r="A479" s="324" t="n"/>
      <c r="B479" s="22" t="n"/>
      <c r="C479" s="22" t="n"/>
      <c r="D479" s="22" t="n"/>
      <c r="E479" s="22" t="n"/>
      <c r="F479" s="22" t="n"/>
      <c r="G479" s="22" t="n"/>
      <c r="H479" s="22" t="n"/>
      <c r="I479" s="22" t="n"/>
      <c r="J479" s="22" t="n"/>
      <c r="K479" s="22" t="n"/>
      <c r="L479" s="22" t="n"/>
      <c r="M479" s="22" t="n"/>
      <c r="N479" s="22" t="n"/>
      <c r="O479" s="22" t="n"/>
      <c r="P479" s="22" t="n"/>
      <c r="Q479" s="22" t="n"/>
      <c r="R479" s="22" t="n"/>
      <c r="S479" s="22" t="n"/>
      <c r="T479" s="22" t="n"/>
      <c r="U479" s="22" t="n"/>
      <c r="V479" s="22" t="n"/>
      <c r="W479" s="22" t="n"/>
      <c r="X479" s="22" t="n"/>
    </row>
    <row r="480">
      <c r="A480" s="324" t="n"/>
      <c r="B480" s="22" t="n"/>
      <c r="C480" s="22" t="n"/>
      <c r="D480" s="22" t="n"/>
      <c r="E480" s="22" t="n"/>
      <c r="F480" s="22" t="n"/>
      <c r="G480" s="22" t="n"/>
      <c r="H480" s="22" t="n"/>
      <c r="I480" s="22" t="n"/>
      <c r="J480" s="22" t="n"/>
      <c r="K480" s="22" t="n"/>
      <c r="L480" s="22" t="n"/>
      <c r="M480" s="22" t="n"/>
      <c r="N480" s="22" t="n"/>
      <c r="O480" s="22" t="n"/>
      <c r="P480" s="22" t="n"/>
      <c r="Q480" s="22" t="n"/>
      <c r="R480" s="22" t="n"/>
      <c r="S480" s="22" t="n"/>
      <c r="T480" s="22" t="n"/>
      <c r="U480" s="22" t="n"/>
      <c r="V480" s="22" t="n"/>
      <c r="W480" s="22" t="n"/>
      <c r="X480" s="22" t="n"/>
    </row>
    <row r="481">
      <c r="A481" s="324" t="n"/>
      <c r="B481" s="22" t="n"/>
      <c r="C481" s="22" t="n"/>
      <c r="D481" s="22" t="n"/>
      <c r="E481" s="22" t="n"/>
      <c r="F481" s="22" t="n"/>
      <c r="G481" s="22" t="n"/>
      <c r="H481" s="22" t="n"/>
      <c r="I481" s="22" t="n"/>
      <c r="J481" s="22" t="n"/>
      <c r="K481" s="22" t="n"/>
      <c r="L481" s="22" t="n"/>
      <c r="M481" s="22" t="n"/>
      <c r="N481" s="22" t="n"/>
      <c r="O481" s="22" t="n"/>
      <c r="P481" s="22" t="n"/>
      <c r="Q481" s="22" t="n"/>
      <c r="R481" s="22" t="n"/>
      <c r="S481" s="22" t="n"/>
      <c r="T481" s="22" t="n"/>
      <c r="U481" s="22" t="n"/>
      <c r="V481" s="22" t="n"/>
      <c r="W481" s="22" t="n"/>
      <c r="X481" s="22" t="n"/>
    </row>
    <row r="482">
      <c r="A482" s="324" t="n"/>
      <c r="B482" s="22" t="n"/>
      <c r="C482" s="22" t="n"/>
      <c r="D482" s="22" t="n"/>
      <c r="E482" s="22" t="n"/>
      <c r="F482" s="22" t="n"/>
      <c r="G482" s="22" t="n"/>
      <c r="H482" s="22" t="n"/>
      <c r="I482" s="22" t="n"/>
      <c r="J482" s="22" t="n"/>
      <c r="K482" s="22" t="n"/>
      <c r="L482" s="22" t="n"/>
      <c r="M482" s="22" t="n"/>
      <c r="N482" s="22" t="n"/>
      <c r="O482" s="22" t="n"/>
      <c r="P482" s="22" t="n"/>
      <c r="Q482" s="22" t="n"/>
      <c r="R482" s="22" t="n"/>
      <c r="S482" s="22" t="n"/>
      <c r="T482" s="22" t="n"/>
      <c r="U482" s="22" t="n"/>
      <c r="V482" s="22" t="n"/>
      <c r="W482" s="22" t="n"/>
      <c r="X482" s="22" t="n"/>
    </row>
    <row r="483">
      <c r="A483" s="324" t="n"/>
      <c r="B483" s="22" t="n"/>
      <c r="C483" s="22" t="n"/>
      <c r="D483" s="22" t="n"/>
      <c r="E483" s="22" t="n"/>
      <c r="F483" s="22" t="n"/>
      <c r="G483" s="22" t="n"/>
      <c r="H483" s="22" t="n"/>
      <c r="I483" s="22" t="n"/>
      <c r="J483" s="22" t="n"/>
      <c r="K483" s="22" t="n"/>
      <c r="L483" s="22" t="n"/>
      <c r="M483" s="22" t="n"/>
      <c r="N483" s="22" t="n"/>
      <c r="O483" s="22" t="n"/>
      <c r="P483" s="22" t="n"/>
      <c r="Q483" s="22" t="n"/>
      <c r="R483" s="22" t="n"/>
      <c r="S483" s="22" t="n"/>
      <c r="T483" s="22" t="n"/>
      <c r="U483" s="22" t="n"/>
      <c r="V483" s="22" t="n"/>
      <c r="W483" s="22" t="n"/>
      <c r="X483" s="22" t="n"/>
    </row>
    <row r="484">
      <c r="A484" s="324" t="n"/>
      <c r="B484" s="22" t="n"/>
      <c r="C484" s="22" t="n"/>
      <c r="D484" s="22" t="n"/>
      <c r="E484" s="22" t="n"/>
      <c r="F484" s="22" t="n"/>
      <c r="G484" s="22" t="n"/>
      <c r="H484" s="22" t="n"/>
      <c r="I484" s="22" t="n"/>
      <c r="J484" s="22" t="n"/>
      <c r="K484" s="22" t="n"/>
      <c r="L484" s="22" t="n"/>
      <c r="M484" s="22" t="n"/>
      <c r="N484" s="22" t="n"/>
      <c r="O484" s="22" t="n"/>
      <c r="P484" s="22" t="n"/>
      <c r="Q484" s="22" t="n"/>
      <c r="R484" s="22" t="n"/>
      <c r="S484" s="22" t="n"/>
      <c r="T484" s="22" t="n"/>
      <c r="U484" s="22" t="n"/>
      <c r="V484" s="22" t="n"/>
      <c r="W484" s="22" t="n"/>
      <c r="X484" s="22" t="n"/>
    </row>
    <row r="485">
      <c r="A485" s="324" t="n"/>
      <c r="B485" s="22" t="n"/>
      <c r="C485" s="22" t="n"/>
      <c r="D485" s="22" t="n"/>
      <c r="E485" s="22" t="n"/>
      <c r="F485" s="22" t="n"/>
      <c r="G485" s="22" t="n"/>
      <c r="H485" s="22" t="n"/>
      <c r="I485" s="22" t="n"/>
      <c r="J485" s="22" t="n"/>
      <c r="K485" s="22" t="n"/>
      <c r="L485" s="22" t="n"/>
      <c r="M485" s="22" t="n"/>
      <c r="N485" s="22" t="n"/>
      <c r="O485" s="22" t="n"/>
      <c r="P485" s="22" t="n"/>
      <c r="Q485" s="22" t="n"/>
      <c r="R485" s="22" t="n"/>
      <c r="S485" s="22" t="n"/>
      <c r="T485" s="22" t="n"/>
      <c r="U485" s="22" t="n"/>
      <c r="V485" s="22" t="n"/>
      <c r="W485" s="22" t="n"/>
      <c r="X485" s="22" t="n"/>
    </row>
    <row r="486">
      <c r="A486" s="324" t="n"/>
      <c r="B486" s="22" t="n"/>
      <c r="C486" s="22" t="n"/>
      <c r="D486" s="22" t="n"/>
      <c r="E486" s="22" t="n"/>
      <c r="F486" s="22" t="n"/>
      <c r="G486" s="22" t="n"/>
      <c r="H486" s="22" t="n"/>
      <c r="I486" s="22" t="n"/>
      <c r="J486" s="22" t="n"/>
      <c r="K486" s="22" t="n"/>
      <c r="L486" s="22" t="n"/>
      <c r="M486" s="22" t="n"/>
      <c r="N486" s="22" t="n"/>
      <c r="O486" s="22" t="n"/>
      <c r="P486" s="22" t="n"/>
      <c r="Q486" s="22" t="n"/>
      <c r="R486" s="22" t="n"/>
      <c r="S486" s="22" t="n"/>
      <c r="T486" s="22" t="n"/>
      <c r="U486" s="22" t="n"/>
      <c r="V486" s="22" t="n"/>
      <c r="W486" s="22" t="n"/>
      <c r="X486" s="22" t="n"/>
    </row>
    <row r="487">
      <c r="A487" s="324" t="n"/>
      <c r="B487" s="22" t="n"/>
      <c r="C487" s="22" t="n"/>
      <c r="D487" s="22" t="n"/>
      <c r="E487" s="22" t="n"/>
      <c r="F487" s="22" t="n"/>
      <c r="G487" s="22" t="n"/>
      <c r="H487" s="22" t="n"/>
      <c r="I487" s="22" t="n"/>
      <c r="J487" s="22" t="n"/>
      <c r="K487" s="22" t="n"/>
      <c r="L487" s="22" t="n"/>
      <c r="M487" s="22" t="n"/>
      <c r="N487" s="22" t="n"/>
      <c r="O487" s="22" t="n"/>
      <c r="P487" s="22" t="n"/>
      <c r="Q487" s="22" t="n"/>
      <c r="R487" s="22" t="n"/>
      <c r="S487" s="22" t="n"/>
      <c r="T487" s="22" t="n"/>
      <c r="U487" s="22" t="n"/>
      <c r="V487" s="22" t="n"/>
      <c r="W487" s="22" t="n"/>
      <c r="X487" s="22" t="n"/>
    </row>
    <row r="488">
      <c r="A488" s="324" t="n"/>
      <c r="B488" s="22" t="n"/>
      <c r="C488" s="22" t="n"/>
      <c r="D488" s="22" t="n"/>
      <c r="E488" s="22" t="n"/>
      <c r="F488" s="22" t="n"/>
      <c r="G488" s="22" t="n"/>
      <c r="H488" s="22" t="n"/>
      <c r="I488" s="22" t="n"/>
      <c r="J488" s="22" t="n"/>
      <c r="K488" s="22" t="n"/>
      <c r="L488" s="22" t="n"/>
      <c r="M488" s="22" t="n"/>
      <c r="N488" s="22" t="n"/>
      <c r="O488" s="22" t="n"/>
      <c r="P488" s="22" t="n"/>
      <c r="Q488" s="22" t="n"/>
      <c r="R488" s="22" t="n"/>
      <c r="S488" s="22" t="n"/>
      <c r="T488" s="22" t="n"/>
      <c r="U488" s="22" t="n"/>
      <c r="V488" s="22" t="n"/>
      <c r="W488" s="22" t="n"/>
      <c r="X488" s="22" t="n"/>
    </row>
    <row r="489">
      <c r="A489" s="324" t="n"/>
      <c r="B489" s="22" t="n"/>
      <c r="C489" s="22" t="n"/>
      <c r="D489" s="22" t="n"/>
      <c r="E489" s="22" t="n"/>
      <c r="F489" s="22" t="n"/>
      <c r="G489" s="22" t="n"/>
      <c r="H489" s="22" t="n"/>
      <c r="I489" s="22" t="n"/>
      <c r="J489" s="22" t="n"/>
      <c r="K489" s="22" t="n"/>
      <c r="L489" s="22" t="n"/>
      <c r="M489" s="22" t="n"/>
      <c r="N489" s="22" t="n"/>
      <c r="O489" s="22" t="n"/>
      <c r="P489" s="22" t="n"/>
      <c r="Q489" s="22" t="n"/>
      <c r="R489" s="22" t="n"/>
      <c r="S489" s="22" t="n"/>
      <c r="T489" s="22" t="n"/>
      <c r="U489" s="22" t="n"/>
      <c r="V489" s="22" t="n"/>
      <c r="W489" s="22" t="n"/>
      <c r="X489" s="22" t="n"/>
    </row>
    <row r="490">
      <c r="A490" s="324" t="n"/>
      <c r="B490" s="22" t="n"/>
      <c r="C490" s="22" t="n"/>
      <c r="D490" s="22" t="n"/>
      <c r="E490" s="22" t="n"/>
      <c r="F490" s="22" t="n"/>
      <c r="G490" s="22" t="n"/>
      <c r="H490" s="22" t="n"/>
      <c r="I490" s="22" t="n"/>
      <c r="J490" s="22" t="n"/>
      <c r="K490" s="22" t="n"/>
      <c r="L490" s="22" t="n"/>
      <c r="M490" s="22" t="n"/>
      <c r="N490" s="22" t="n"/>
      <c r="O490" s="22" t="n"/>
      <c r="P490" s="22" t="n"/>
      <c r="Q490" s="22" t="n"/>
      <c r="R490" s="22" t="n"/>
      <c r="S490" s="22" t="n"/>
      <c r="T490" s="22" t="n"/>
      <c r="U490" s="22" t="n"/>
      <c r="V490" s="22" t="n"/>
      <c r="W490" s="22" t="n"/>
      <c r="X490" s="22" t="n"/>
    </row>
    <row r="491">
      <c r="A491" s="324" t="n"/>
      <c r="B491" s="22" t="n"/>
      <c r="C491" s="22" t="n"/>
      <c r="D491" s="22" t="n"/>
      <c r="E491" s="22" t="n"/>
      <c r="F491" s="22" t="n"/>
      <c r="G491" s="22" t="n"/>
      <c r="H491" s="22" t="n"/>
      <c r="I491" s="22" t="n"/>
      <c r="J491" s="22" t="n"/>
      <c r="K491" s="22" t="n"/>
      <c r="L491" s="22" t="n"/>
      <c r="M491" s="22" t="n"/>
      <c r="N491" s="22" t="n"/>
      <c r="O491" s="22" t="n"/>
      <c r="P491" s="22" t="n"/>
      <c r="Q491" s="22" t="n"/>
      <c r="R491" s="22" t="n"/>
      <c r="S491" s="22" t="n"/>
      <c r="T491" s="22" t="n"/>
      <c r="U491" s="22" t="n"/>
      <c r="V491" s="22" t="n"/>
      <c r="W491" s="22" t="n"/>
      <c r="X491" s="22" t="n"/>
    </row>
    <row r="492">
      <c r="A492" s="324" t="n"/>
      <c r="B492" s="22" t="n"/>
      <c r="C492" s="22" t="n"/>
      <c r="D492" s="22" t="n"/>
      <c r="E492" s="22" t="n"/>
      <c r="F492" s="22" t="n"/>
      <c r="G492" s="22" t="n"/>
      <c r="H492" s="22" t="n"/>
      <c r="I492" s="22" t="n"/>
      <c r="J492" s="22" t="n"/>
      <c r="K492" s="22" t="n"/>
      <c r="L492" s="22" t="n"/>
      <c r="M492" s="22" t="n"/>
      <c r="N492" s="22" t="n"/>
      <c r="O492" s="22" t="n"/>
      <c r="P492" s="22" t="n"/>
      <c r="Q492" s="22" t="n"/>
      <c r="R492" s="22" t="n"/>
      <c r="S492" s="22" t="n"/>
      <c r="T492" s="22" t="n"/>
      <c r="U492" s="22" t="n"/>
      <c r="V492" s="22" t="n"/>
      <c r="W492" s="22" t="n"/>
      <c r="X492" s="22" t="n"/>
    </row>
    <row r="493">
      <c r="A493" s="324" t="n"/>
      <c r="B493" s="22" t="n"/>
      <c r="C493" s="22" t="n"/>
      <c r="D493" s="22" t="n"/>
      <c r="E493" s="22" t="n"/>
      <c r="F493" s="22" t="n"/>
      <c r="G493" s="22" t="n"/>
      <c r="H493" s="22" t="n"/>
      <c r="I493" s="22" t="n"/>
      <c r="J493" s="22" t="n"/>
      <c r="K493" s="22" t="n"/>
      <c r="L493" s="22" t="n"/>
      <c r="M493" s="22" t="n"/>
      <c r="N493" s="22" t="n"/>
      <c r="O493" s="22" t="n"/>
      <c r="P493" s="22" t="n"/>
      <c r="Q493" s="22" t="n"/>
      <c r="R493" s="22" t="n"/>
      <c r="S493" s="22" t="n"/>
      <c r="T493" s="22" t="n"/>
      <c r="U493" s="22" t="n"/>
      <c r="V493" s="22" t="n"/>
      <c r="W493" s="22" t="n"/>
      <c r="X493" s="22" t="n"/>
    </row>
    <row r="494">
      <c r="A494" s="324" t="n"/>
      <c r="B494" s="22" t="n"/>
      <c r="C494" s="22" t="n"/>
      <c r="D494" s="22" t="n"/>
      <c r="E494" s="22" t="n"/>
      <c r="F494" s="22" t="n"/>
      <c r="G494" s="22" t="n"/>
      <c r="H494" s="22" t="n"/>
      <c r="I494" s="22" t="n"/>
      <c r="J494" s="22" t="n"/>
      <c r="K494" s="22" t="n"/>
      <c r="L494" s="22" t="n"/>
      <c r="M494" s="22" t="n"/>
      <c r="N494" s="22" t="n"/>
      <c r="O494" s="22" t="n"/>
      <c r="P494" s="22" t="n"/>
      <c r="Q494" s="22" t="n"/>
      <c r="R494" s="22" t="n"/>
      <c r="S494" s="22" t="n"/>
      <c r="T494" s="22" t="n"/>
      <c r="U494" s="22" t="n"/>
      <c r="V494" s="22" t="n"/>
      <c r="W494" s="22" t="n"/>
      <c r="X494" s="22" t="n"/>
    </row>
    <row r="495">
      <c r="A495" s="324" t="n"/>
      <c r="B495" s="22" t="n"/>
      <c r="C495" s="22" t="n"/>
      <c r="D495" s="22" t="n"/>
      <c r="E495" s="22" t="n"/>
      <c r="F495" s="22" t="n"/>
      <c r="G495" s="22" t="n"/>
      <c r="H495" s="22" t="n"/>
      <c r="I495" s="22" t="n"/>
      <c r="J495" s="22" t="n"/>
      <c r="K495" s="22" t="n"/>
      <c r="L495" s="22" t="n"/>
      <c r="M495" s="22" t="n"/>
      <c r="N495" s="22" t="n"/>
      <c r="O495" s="22" t="n"/>
      <c r="P495" s="22" t="n"/>
      <c r="Q495" s="22" t="n"/>
      <c r="R495" s="22" t="n"/>
      <c r="S495" s="22" t="n"/>
      <c r="T495" s="22" t="n"/>
      <c r="U495" s="22" t="n"/>
      <c r="V495" s="22" t="n"/>
      <c r="W495" s="22" t="n"/>
      <c r="X495" s="22" t="n"/>
    </row>
    <row r="496">
      <c r="A496" s="324" t="n"/>
      <c r="B496" s="22" t="n"/>
      <c r="C496" s="22" t="n"/>
      <c r="D496" s="22" t="n"/>
      <c r="E496" s="22" t="n"/>
      <c r="F496" s="22" t="n"/>
      <c r="G496" s="22" t="n"/>
      <c r="H496" s="22" t="n"/>
      <c r="I496" s="22" t="n"/>
      <c r="J496" s="22" t="n"/>
      <c r="K496" s="22" t="n"/>
      <c r="L496" s="22" t="n"/>
      <c r="M496" s="22" t="n"/>
      <c r="N496" s="22" t="n"/>
      <c r="O496" s="22" t="n"/>
      <c r="P496" s="22" t="n"/>
      <c r="Q496" s="22" t="n"/>
      <c r="R496" s="22" t="n"/>
      <c r="S496" s="22" t="n"/>
      <c r="T496" s="22" t="n"/>
      <c r="U496" s="22" t="n"/>
      <c r="V496" s="22" t="n"/>
      <c r="W496" s="22" t="n"/>
      <c r="X496" s="22" t="n"/>
    </row>
    <row r="497">
      <c r="A497" s="324" t="n"/>
      <c r="B497" s="22" t="n"/>
      <c r="C497" s="22" t="n"/>
      <c r="D497" s="22" t="n"/>
      <c r="E497" s="22" t="n"/>
      <c r="F497" s="22" t="n"/>
      <c r="G497" s="22" t="n"/>
      <c r="H497" s="22" t="n"/>
      <c r="I497" s="22" t="n"/>
      <c r="J497" s="22" t="n"/>
      <c r="K497" s="22" t="n"/>
      <c r="L497" s="22" t="n"/>
      <c r="M497" s="22" t="n"/>
      <c r="N497" s="22" t="n"/>
      <c r="O497" s="22" t="n"/>
      <c r="P497" s="22" t="n"/>
      <c r="Q497" s="22" t="n"/>
      <c r="R497" s="22" t="n"/>
      <c r="S497" s="22" t="n"/>
      <c r="T497" s="22" t="n"/>
      <c r="U497" s="22" t="n"/>
      <c r="V497" s="22" t="n"/>
      <c r="W497" s="22" t="n"/>
      <c r="X497" s="22" t="n"/>
    </row>
    <row r="498">
      <c r="A498" s="324" t="n"/>
      <c r="B498" s="22" t="n"/>
      <c r="C498" s="22" t="n"/>
      <c r="D498" s="22" t="n"/>
      <c r="E498" s="22" t="n"/>
      <c r="F498" s="22" t="n"/>
      <c r="G498" s="22" t="n"/>
      <c r="H498" s="22" t="n"/>
      <c r="I498" s="22" t="n"/>
      <c r="J498" s="22" t="n"/>
      <c r="K498" s="22" t="n"/>
      <c r="L498" s="22" t="n"/>
      <c r="M498" s="22" t="n"/>
      <c r="N498" s="22" t="n"/>
      <c r="O498" s="22" t="n"/>
      <c r="P498" s="22" t="n"/>
      <c r="Q498" s="22" t="n"/>
      <c r="R498" s="22" t="n"/>
      <c r="S498" s="22" t="n"/>
      <c r="T498" s="22" t="n"/>
      <c r="U498" s="22" t="n"/>
      <c r="V498" s="22" t="n"/>
      <c r="W498" s="22" t="n"/>
      <c r="X498" s="22" t="n"/>
    </row>
    <row r="499">
      <c r="A499" s="324" t="n"/>
      <c r="B499" s="22" t="n"/>
      <c r="C499" s="22" t="n"/>
      <c r="D499" s="22" t="n"/>
      <c r="E499" s="22" t="n"/>
      <c r="F499" s="22" t="n"/>
      <c r="G499" s="22" t="n"/>
      <c r="H499" s="22" t="n"/>
      <c r="I499" s="22" t="n"/>
      <c r="J499" s="22" t="n"/>
      <c r="K499" s="22" t="n"/>
      <c r="L499" s="22" t="n"/>
      <c r="M499" s="22" t="n"/>
      <c r="N499" s="22" t="n"/>
      <c r="O499" s="22" t="n"/>
      <c r="P499" s="22" t="n"/>
      <c r="Q499" s="22" t="n"/>
      <c r="R499" s="22" t="n"/>
      <c r="S499" s="22" t="n"/>
      <c r="T499" s="22" t="n"/>
      <c r="U499" s="22" t="n"/>
      <c r="V499" s="22" t="n"/>
      <c r="W499" s="22" t="n"/>
      <c r="X499" s="22" t="n"/>
    </row>
    <row r="500">
      <c r="A500" s="324" t="n"/>
      <c r="B500" s="22" t="n"/>
      <c r="C500" s="22" t="n"/>
      <c r="D500" s="22" t="n"/>
      <c r="E500" s="22" t="n"/>
      <c r="F500" s="22" t="n"/>
      <c r="G500" s="22" t="n"/>
      <c r="H500" s="22" t="n"/>
      <c r="I500" s="22" t="n"/>
      <c r="J500" s="22" t="n"/>
      <c r="K500" s="22" t="n"/>
      <c r="L500" s="22" t="n"/>
      <c r="M500" s="22" t="n"/>
      <c r="N500" s="22" t="n"/>
      <c r="O500" s="22" t="n"/>
      <c r="P500" s="22" t="n"/>
      <c r="Q500" s="22" t="n"/>
      <c r="R500" s="22" t="n"/>
      <c r="S500" s="22" t="n"/>
      <c r="T500" s="22" t="n"/>
      <c r="U500" s="22" t="n"/>
      <c r="V500" s="22" t="n"/>
      <c r="W500" s="22" t="n"/>
      <c r="X500" s="22" t="n"/>
    </row>
    <row r="501">
      <c r="A501" s="324" t="n"/>
      <c r="B501" s="22" t="n"/>
      <c r="C501" s="22" t="n"/>
      <c r="D501" s="22" t="n"/>
      <c r="E501" s="22" t="n"/>
      <c r="F501" s="22" t="n"/>
      <c r="G501" s="22" t="n"/>
      <c r="H501" s="22" t="n"/>
      <c r="I501" s="22" t="n"/>
      <c r="J501" s="22" t="n"/>
      <c r="K501" s="22" t="n"/>
      <c r="L501" s="22" t="n"/>
      <c r="M501" s="22" t="n"/>
      <c r="N501" s="22" t="n"/>
      <c r="O501" s="22" t="n"/>
      <c r="P501" s="22" t="n"/>
      <c r="Q501" s="22" t="n"/>
      <c r="R501" s="22" t="n"/>
      <c r="S501" s="22" t="n"/>
      <c r="T501" s="22" t="n"/>
      <c r="U501" s="22" t="n"/>
      <c r="V501" s="22" t="n"/>
      <c r="W501" s="22" t="n"/>
      <c r="X501" s="22" t="n"/>
    </row>
    <row r="502">
      <c r="A502" s="324" t="n"/>
      <c r="B502" s="22" t="n"/>
      <c r="C502" s="22" t="n"/>
      <c r="D502" s="22" t="n"/>
      <c r="E502" s="22" t="n"/>
      <c r="F502" s="22" t="n"/>
      <c r="G502" s="22" t="n"/>
      <c r="H502" s="22" t="n"/>
      <c r="I502" s="22" t="n"/>
      <c r="J502" s="22" t="n"/>
      <c r="K502" s="22" t="n"/>
      <c r="L502" s="22" t="n"/>
      <c r="M502" s="22" t="n"/>
      <c r="N502" s="22" t="n"/>
      <c r="O502" s="22" t="n"/>
      <c r="P502" s="22" t="n"/>
      <c r="Q502" s="22" t="n"/>
      <c r="R502" s="22" t="n"/>
      <c r="S502" s="22" t="n"/>
      <c r="T502" s="22" t="n"/>
      <c r="U502" s="22" t="n"/>
      <c r="V502" s="22" t="n"/>
      <c r="W502" s="22" t="n"/>
      <c r="X502" s="22" t="n"/>
    </row>
    <row r="503">
      <c r="A503" s="324" t="n"/>
      <c r="B503" s="22" t="n"/>
      <c r="C503" s="22" t="n"/>
      <c r="D503" s="22" t="n"/>
      <c r="E503" s="22" t="n"/>
      <c r="F503" s="22" t="n"/>
      <c r="G503" s="22" t="n"/>
      <c r="H503" s="22" t="n"/>
      <c r="I503" s="22" t="n"/>
      <c r="J503" s="22" t="n"/>
      <c r="K503" s="22" t="n"/>
      <c r="L503" s="22" t="n"/>
      <c r="M503" s="22" t="n"/>
      <c r="N503" s="22" t="n"/>
      <c r="O503" s="22" t="n"/>
      <c r="P503" s="22" t="n"/>
      <c r="Q503" s="22" t="n"/>
      <c r="R503" s="22" t="n"/>
      <c r="S503" s="22" t="n"/>
      <c r="T503" s="22" t="n"/>
      <c r="U503" s="22" t="n"/>
      <c r="V503" s="22" t="n"/>
      <c r="W503" s="22" t="n"/>
      <c r="X503" s="22" t="n"/>
    </row>
    <row r="504">
      <c r="A504" s="324" t="n"/>
      <c r="B504" s="22" t="n"/>
      <c r="C504" s="22" t="n"/>
      <c r="D504" s="22" t="n"/>
      <c r="E504" s="22" t="n"/>
      <c r="F504" s="22" t="n"/>
      <c r="G504" s="22" t="n"/>
      <c r="H504" s="22" t="n"/>
      <c r="I504" s="22" t="n"/>
      <c r="J504" s="22" t="n"/>
      <c r="K504" s="22" t="n"/>
      <c r="L504" s="22" t="n"/>
      <c r="M504" s="22" t="n"/>
      <c r="N504" s="22" t="n"/>
      <c r="O504" s="22" t="n"/>
      <c r="P504" s="22" t="n"/>
      <c r="Q504" s="22" t="n"/>
      <c r="R504" s="22" t="n"/>
      <c r="S504" s="22" t="n"/>
      <c r="T504" s="22" t="n"/>
      <c r="U504" s="22" t="n"/>
      <c r="V504" s="22" t="n"/>
      <c r="W504" s="22" t="n"/>
      <c r="X504" s="22" t="n"/>
    </row>
    <row r="505">
      <c r="A505" s="324" t="n"/>
      <c r="B505" s="22" t="n"/>
      <c r="C505" s="22" t="n"/>
      <c r="D505" s="22" t="n"/>
      <c r="E505" s="22" t="n"/>
      <c r="F505" s="22" t="n"/>
      <c r="G505" s="22" t="n"/>
      <c r="H505" s="22" t="n"/>
      <c r="I505" s="22" t="n"/>
      <c r="J505" s="22" t="n"/>
      <c r="K505" s="22" t="n"/>
      <c r="L505" s="22" t="n"/>
      <c r="M505" s="22" t="n"/>
      <c r="N505" s="22" t="n"/>
      <c r="O505" s="22" t="n"/>
      <c r="P505" s="22" t="n"/>
      <c r="Q505" s="22" t="n"/>
      <c r="R505" s="22" t="n"/>
      <c r="S505" s="22" t="n"/>
      <c r="T505" s="22" t="n"/>
      <c r="U505" s="22" t="n"/>
      <c r="V505" s="22" t="n"/>
      <c r="W505" s="22" t="n"/>
      <c r="X505" s="22" t="n"/>
    </row>
    <row r="506">
      <c r="A506" s="324" t="n"/>
      <c r="B506" s="22" t="n"/>
      <c r="C506" s="22" t="n"/>
      <c r="D506" s="22" t="n"/>
      <c r="E506" s="22" t="n"/>
      <c r="F506" s="22" t="n"/>
      <c r="G506" s="22" t="n"/>
      <c r="H506" s="22" t="n"/>
      <c r="I506" s="22" t="n"/>
      <c r="J506" s="22" t="n"/>
      <c r="K506" s="22" t="n"/>
      <c r="L506" s="22" t="n"/>
      <c r="M506" s="22" t="n"/>
      <c r="N506" s="22" t="n"/>
      <c r="O506" s="22" t="n"/>
      <c r="P506" s="22" t="n"/>
      <c r="Q506" s="22" t="n"/>
      <c r="R506" s="22" t="n"/>
      <c r="S506" s="22" t="n"/>
      <c r="T506" s="22" t="n"/>
      <c r="U506" s="22" t="n"/>
      <c r="V506" s="22" t="n"/>
      <c r="W506" s="22" t="n"/>
      <c r="X506" s="22" t="n"/>
    </row>
    <row r="507">
      <c r="A507" s="324" t="n"/>
      <c r="B507" s="22" t="n"/>
      <c r="C507" s="22" t="n"/>
      <c r="D507" s="22" t="n"/>
      <c r="E507" s="22" t="n"/>
      <c r="F507" s="22" t="n"/>
      <c r="G507" s="22" t="n"/>
      <c r="H507" s="22" t="n"/>
      <c r="I507" s="22" t="n"/>
      <c r="J507" s="22" t="n"/>
      <c r="K507" s="22" t="n"/>
      <c r="L507" s="22" t="n"/>
      <c r="M507" s="22" t="n"/>
      <c r="N507" s="22" t="n"/>
      <c r="O507" s="22" t="n"/>
      <c r="P507" s="22" t="n"/>
      <c r="Q507" s="22" t="n"/>
      <c r="R507" s="22" t="n"/>
      <c r="S507" s="22" t="n"/>
      <c r="T507" s="22" t="n"/>
      <c r="U507" s="22" t="n"/>
      <c r="V507" s="22" t="n"/>
      <c r="W507" s="22" t="n"/>
      <c r="X507" s="22" t="n"/>
    </row>
    <row r="508">
      <c r="A508" s="324" t="n"/>
      <c r="B508" s="22" t="n"/>
      <c r="C508" s="22" t="n"/>
      <c r="D508" s="22" t="n"/>
      <c r="E508" s="22" t="n"/>
      <c r="F508" s="22" t="n"/>
      <c r="G508" s="22" t="n"/>
      <c r="H508" s="22" t="n"/>
      <c r="I508" s="22" t="n"/>
      <c r="J508" s="22" t="n"/>
      <c r="K508" s="22" t="n"/>
      <c r="L508" s="22" t="n"/>
      <c r="M508" s="22" t="n"/>
      <c r="N508" s="22" t="n"/>
      <c r="O508" s="22" t="n"/>
      <c r="P508" s="22" t="n"/>
      <c r="Q508" s="22" t="n"/>
      <c r="R508" s="22" t="n"/>
      <c r="S508" s="22" t="n"/>
      <c r="T508" s="22" t="n"/>
      <c r="U508" s="22" t="n"/>
      <c r="V508" s="22" t="n"/>
      <c r="W508" s="22" t="n"/>
      <c r="X508" s="22" t="n"/>
    </row>
    <row r="509">
      <c r="A509" s="324" t="n"/>
      <c r="B509" s="22" t="n"/>
      <c r="C509" s="22" t="n"/>
      <c r="D509" s="22" t="n"/>
      <c r="E509" s="22" t="n"/>
      <c r="F509" s="22" t="n"/>
      <c r="G509" s="22" t="n"/>
      <c r="H509" s="22" t="n"/>
      <c r="I509" s="22" t="n"/>
      <c r="J509" s="22" t="n"/>
      <c r="K509" s="22" t="n"/>
      <c r="L509" s="22" t="n"/>
      <c r="M509" s="22" t="n"/>
      <c r="N509" s="22" t="n"/>
      <c r="O509" s="22" t="n"/>
      <c r="P509" s="22" t="n"/>
      <c r="Q509" s="22" t="n"/>
      <c r="R509" s="22" t="n"/>
      <c r="S509" s="22" t="n"/>
      <c r="T509" s="22" t="n"/>
      <c r="U509" s="22" t="n"/>
      <c r="V509" s="22" t="n"/>
      <c r="W509" s="22" t="n"/>
      <c r="X509" s="22" t="n"/>
    </row>
    <row r="510">
      <c r="A510" s="324" t="n"/>
      <c r="B510" s="22" t="n"/>
      <c r="C510" s="22" t="n"/>
      <c r="D510" s="22" t="n"/>
      <c r="E510" s="22" t="n"/>
      <c r="F510" s="22" t="n"/>
      <c r="G510" s="22" t="n"/>
      <c r="H510" s="22" t="n"/>
      <c r="I510" s="22" t="n"/>
      <c r="J510" s="22" t="n"/>
      <c r="K510" s="22" t="n"/>
      <c r="L510" s="22" t="n"/>
      <c r="M510" s="22" t="n"/>
      <c r="N510" s="22" t="n"/>
      <c r="O510" s="22" t="n"/>
      <c r="P510" s="22" t="n"/>
      <c r="Q510" s="22" t="n"/>
      <c r="R510" s="22" t="n"/>
      <c r="S510" s="22" t="n"/>
      <c r="T510" s="22" t="n"/>
      <c r="U510" s="22" t="n"/>
      <c r="V510" s="22" t="n"/>
      <c r="W510" s="22" t="n"/>
      <c r="X510" s="22" t="n"/>
    </row>
    <row r="511">
      <c r="A511" s="324" t="n"/>
      <c r="B511" s="22" t="n"/>
      <c r="C511" s="22" t="n"/>
      <c r="D511" s="22" t="n"/>
      <c r="E511" s="22" t="n"/>
      <c r="F511" s="22" t="n"/>
      <c r="G511" s="22" t="n"/>
      <c r="H511" s="22" t="n"/>
      <c r="I511" s="22" t="n"/>
      <c r="J511" s="22" t="n"/>
      <c r="K511" s="22" t="n"/>
      <c r="L511" s="22" t="n"/>
      <c r="M511" s="22" t="n"/>
      <c r="N511" s="22" t="n"/>
      <c r="O511" s="22" t="n"/>
      <c r="P511" s="22" t="n"/>
      <c r="Q511" s="22" t="n"/>
      <c r="R511" s="22" t="n"/>
      <c r="S511" s="22" t="n"/>
      <c r="T511" s="22" t="n"/>
      <c r="U511" s="22" t="n"/>
      <c r="V511" s="22" t="n"/>
      <c r="W511" s="22" t="n"/>
      <c r="X511" s="22" t="n"/>
    </row>
    <row r="512">
      <c r="A512" s="324" t="n"/>
      <c r="B512" s="22" t="n"/>
      <c r="C512" s="22" t="n"/>
      <c r="D512" s="22" t="n"/>
      <c r="E512" s="22" t="n"/>
      <c r="F512" s="22" t="n"/>
      <c r="G512" s="22" t="n"/>
      <c r="H512" s="22" t="n"/>
      <c r="I512" s="22" t="n"/>
      <c r="J512" s="22" t="n"/>
      <c r="K512" s="22" t="n"/>
      <c r="L512" s="22" t="n"/>
      <c r="M512" s="22" t="n"/>
      <c r="N512" s="22" t="n"/>
      <c r="O512" s="22" t="n"/>
      <c r="P512" s="22" t="n"/>
      <c r="Q512" s="22" t="n"/>
      <c r="R512" s="22" t="n"/>
      <c r="S512" s="22" t="n"/>
      <c r="T512" s="22" t="n"/>
      <c r="U512" s="22" t="n"/>
      <c r="V512" s="22" t="n"/>
      <c r="W512" s="22" t="n"/>
      <c r="X512" s="22" t="n"/>
    </row>
    <row r="513">
      <c r="A513" s="324" t="n"/>
      <c r="B513" s="22" t="n"/>
      <c r="C513" s="22" t="n"/>
      <c r="D513" s="22" t="n"/>
      <c r="E513" s="22" t="n"/>
      <c r="F513" s="22" t="n"/>
      <c r="G513" s="22" t="n"/>
      <c r="H513" s="22" t="n"/>
      <c r="I513" s="22" t="n"/>
      <c r="J513" s="22" t="n"/>
      <c r="K513" s="22" t="n"/>
      <c r="L513" s="22" t="n"/>
      <c r="M513" s="22" t="n"/>
      <c r="N513" s="22" t="n"/>
      <c r="O513" s="22" t="n"/>
      <c r="P513" s="22" t="n"/>
      <c r="Q513" s="22" t="n"/>
      <c r="R513" s="22" t="n"/>
      <c r="S513" s="22" t="n"/>
      <c r="T513" s="22" t="n"/>
      <c r="U513" s="22" t="n"/>
      <c r="V513" s="22" t="n"/>
      <c r="W513" s="22" t="n"/>
      <c r="X513" s="22" t="n"/>
    </row>
    <row r="514">
      <c r="A514" s="324" t="n"/>
      <c r="B514" s="22" t="n"/>
      <c r="C514" s="22" t="n"/>
      <c r="D514" s="22" t="n"/>
      <c r="E514" s="22" t="n"/>
      <c r="F514" s="22" t="n"/>
      <c r="G514" s="22" t="n"/>
      <c r="H514" s="22" t="n"/>
      <c r="I514" s="22" t="n"/>
      <c r="J514" s="22" t="n"/>
      <c r="K514" s="22" t="n"/>
      <c r="L514" s="22" t="n"/>
      <c r="M514" s="22" t="n"/>
      <c r="N514" s="22" t="n"/>
      <c r="O514" s="22" t="n"/>
      <c r="P514" s="22" t="n"/>
      <c r="Q514" s="22" t="n"/>
      <c r="R514" s="22" t="n"/>
      <c r="S514" s="22" t="n"/>
      <c r="T514" s="22" t="n"/>
      <c r="U514" s="22" t="n"/>
      <c r="V514" s="22" t="n"/>
      <c r="W514" s="22" t="n"/>
      <c r="X514" s="22" t="n"/>
    </row>
    <row r="515">
      <c r="A515" s="324" t="n"/>
      <c r="B515" s="22" t="n"/>
      <c r="C515" s="22" t="n"/>
      <c r="D515" s="22" t="n"/>
      <c r="E515" s="22" t="n"/>
      <c r="F515" s="22" t="n"/>
      <c r="G515" s="22" t="n"/>
      <c r="H515" s="22" t="n"/>
      <c r="I515" s="22" t="n"/>
      <c r="J515" s="22" t="n"/>
      <c r="K515" s="22" t="n"/>
      <c r="L515" s="22" t="n"/>
      <c r="M515" s="22" t="n"/>
      <c r="N515" s="22" t="n"/>
      <c r="O515" s="22" t="n"/>
      <c r="P515" s="22" t="n"/>
      <c r="Q515" s="22" t="n"/>
      <c r="R515" s="22" t="n"/>
      <c r="S515" s="22" t="n"/>
      <c r="T515" s="22" t="n"/>
      <c r="U515" s="22" t="n"/>
      <c r="V515" s="22" t="n"/>
      <c r="W515" s="22" t="n"/>
      <c r="X515" s="22" t="n"/>
    </row>
    <row r="516">
      <c r="A516" s="324" t="n"/>
      <c r="B516" s="22" t="n"/>
      <c r="C516" s="22" t="n"/>
      <c r="D516" s="22" t="n"/>
      <c r="E516" s="22" t="n"/>
      <c r="F516" s="22" t="n"/>
      <c r="G516" s="22" t="n"/>
      <c r="H516" s="22" t="n"/>
      <c r="I516" s="22" t="n"/>
      <c r="J516" s="22" t="n"/>
      <c r="K516" s="22" t="n"/>
      <c r="L516" s="22" t="n"/>
      <c r="M516" s="22" t="n"/>
      <c r="N516" s="22" t="n"/>
      <c r="O516" s="22" t="n"/>
      <c r="P516" s="22" t="n"/>
      <c r="Q516" s="22" t="n"/>
      <c r="R516" s="22" t="n"/>
      <c r="S516" s="22" t="n"/>
      <c r="T516" s="22" t="n"/>
      <c r="U516" s="22" t="n"/>
      <c r="V516" s="22" t="n"/>
      <c r="W516" s="22" t="n"/>
      <c r="X516" s="22" t="n"/>
    </row>
    <row r="517">
      <c r="A517" s="324" t="n"/>
      <c r="B517" s="22" t="n"/>
      <c r="C517" s="22" t="n"/>
      <c r="D517" s="22" t="n"/>
      <c r="E517" s="22" t="n"/>
      <c r="F517" s="22" t="n"/>
      <c r="G517" s="22" t="n"/>
      <c r="H517" s="22" t="n"/>
      <c r="I517" s="22" t="n"/>
      <c r="J517" s="22" t="n"/>
      <c r="K517" s="22" t="n"/>
      <c r="L517" s="22" t="n"/>
      <c r="M517" s="22" t="n"/>
      <c r="N517" s="22" t="n"/>
      <c r="O517" s="22" t="n"/>
      <c r="P517" s="22" t="n"/>
      <c r="Q517" s="22" t="n"/>
      <c r="R517" s="22" t="n"/>
      <c r="S517" s="22" t="n"/>
      <c r="T517" s="22" t="n"/>
      <c r="U517" s="22" t="n"/>
      <c r="V517" s="22" t="n"/>
      <c r="W517" s="22" t="n"/>
      <c r="X517" s="22" t="n"/>
    </row>
    <row r="518">
      <c r="A518" s="324" t="n"/>
      <c r="B518" s="22" t="n"/>
      <c r="C518" s="22" t="n"/>
      <c r="D518" s="22" t="n"/>
      <c r="E518" s="22" t="n"/>
      <c r="F518" s="22" t="n"/>
      <c r="G518" s="22" t="n"/>
      <c r="H518" s="22" t="n"/>
      <c r="I518" s="22" t="n"/>
      <c r="J518" s="22" t="n"/>
      <c r="K518" s="22" t="n"/>
      <c r="L518" s="22" t="n"/>
      <c r="M518" s="22" t="n"/>
      <c r="N518" s="22" t="n"/>
      <c r="O518" s="22" t="n"/>
      <c r="P518" s="22" t="n"/>
      <c r="Q518" s="22" t="n"/>
      <c r="R518" s="22" t="n"/>
      <c r="S518" s="22" t="n"/>
      <c r="T518" s="22" t="n"/>
      <c r="U518" s="22" t="n"/>
      <c r="V518" s="22" t="n"/>
      <c r="W518" s="22" t="n"/>
      <c r="X518" s="22" t="n"/>
    </row>
    <row r="519">
      <c r="A519" s="324" t="n"/>
      <c r="B519" s="22" t="n"/>
      <c r="C519" s="22" t="n"/>
      <c r="D519" s="22" t="n"/>
      <c r="E519" s="22" t="n"/>
      <c r="F519" s="22" t="n"/>
      <c r="G519" s="22" t="n"/>
      <c r="H519" s="22" t="n"/>
      <c r="I519" s="22" t="n"/>
      <c r="J519" s="22" t="n"/>
      <c r="K519" s="22" t="n"/>
      <c r="L519" s="22" t="n"/>
      <c r="M519" s="22" t="n"/>
      <c r="N519" s="22" t="n"/>
      <c r="O519" s="22" t="n"/>
      <c r="P519" s="22" t="n"/>
      <c r="Q519" s="22" t="n"/>
      <c r="R519" s="22" t="n"/>
      <c r="S519" s="22" t="n"/>
      <c r="T519" s="22" t="n"/>
      <c r="U519" s="22" t="n"/>
      <c r="V519" s="22" t="n"/>
      <c r="W519" s="22" t="n"/>
      <c r="X519" s="22" t="n"/>
    </row>
    <row r="520">
      <c r="A520" s="324" t="n"/>
      <c r="B520" s="22" t="n"/>
      <c r="C520" s="22" t="n"/>
      <c r="D520" s="22" t="n"/>
      <c r="E520" s="22" t="n"/>
      <c r="F520" s="22" t="n"/>
      <c r="G520" s="22" t="n"/>
      <c r="H520" s="22" t="n"/>
      <c r="I520" s="22" t="n"/>
      <c r="J520" s="22" t="n"/>
      <c r="K520" s="22" t="n"/>
      <c r="L520" s="22" t="n"/>
      <c r="M520" s="22" t="n"/>
      <c r="N520" s="22" t="n"/>
      <c r="O520" s="22" t="n"/>
      <c r="P520" s="22" t="n"/>
      <c r="Q520" s="22" t="n"/>
      <c r="R520" s="22" t="n"/>
      <c r="S520" s="22" t="n"/>
      <c r="T520" s="22" t="n"/>
      <c r="U520" s="22" t="n"/>
      <c r="V520" s="22" t="n"/>
      <c r="W520" s="22" t="n"/>
      <c r="X520" s="22" t="n"/>
    </row>
    <row r="521">
      <c r="A521" s="324" t="n"/>
      <c r="B521" s="22" t="n"/>
      <c r="C521" s="22" t="n"/>
      <c r="D521" s="22" t="n"/>
      <c r="E521" s="22" t="n"/>
      <c r="F521" s="22" t="n"/>
      <c r="G521" s="22" t="n"/>
      <c r="H521" s="22" t="n"/>
      <c r="I521" s="22" t="n"/>
      <c r="J521" s="22" t="n"/>
      <c r="K521" s="22" t="n"/>
      <c r="L521" s="22" t="n"/>
      <c r="M521" s="22" t="n"/>
      <c r="N521" s="22" t="n"/>
      <c r="O521" s="22" t="n"/>
      <c r="P521" s="22" t="n"/>
      <c r="Q521" s="22" t="n"/>
      <c r="R521" s="22" t="n"/>
      <c r="S521" s="22" t="n"/>
      <c r="T521" s="22" t="n"/>
      <c r="U521" s="22" t="n"/>
      <c r="V521" s="22" t="n"/>
      <c r="W521" s="22" t="n"/>
      <c r="X521" s="22" t="n"/>
    </row>
    <row r="522">
      <c r="A522" s="324" t="n"/>
      <c r="B522" s="22" t="n"/>
      <c r="C522" s="22" t="n"/>
      <c r="D522" s="22" t="n"/>
      <c r="E522" s="22" t="n"/>
      <c r="F522" s="22" t="n"/>
      <c r="G522" s="22" t="n"/>
      <c r="H522" s="22" t="n"/>
      <c r="I522" s="22" t="n"/>
      <c r="J522" s="22" t="n"/>
      <c r="K522" s="22" t="n"/>
      <c r="L522" s="22" t="n"/>
      <c r="M522" s="22" t="n"/>
      <c r="N522" s="22" t="n"/>
      <c r="O522" s="22" t="n"/>
      <c r="P522" s="22" t="n"/>
      <c r="Q522" s="22" t="n"/>
      <c r="R522" s="22" t="n"/>
      <c r="S522" s="22" t="n"/>
      <c r="T522" s="22" t="n"/>
      <c r="U522" s="22" t="n"/>
      <c r="V522" s="22" t="n"/>
      <c r="W522" s="22" t="n"/>
      <c r="X522" s="22" t="n"/>
    </row>
    <row r="523">
      <c r="A523" s="324" t="n"/>
      <c r="B523" s="22" t="n"/>
      <c r="C523" s="22" t="n"/>
      <c r="D523" s="22" t="n"/>
      <c r="E523" s="22" t="n"/>
      <c r="F523" s="22" t="n"/>
      <c r="G523" s="22" t="n"/>
      <c r="H523" s="22" t="n"/>
      <c r="I523" s="22" t="n"/>
      <c r="J523" s="22" t="n"/>
      <c r="K523" s="22" t="n"/>
      <c r="L523" s="22" t="n"/>
      <c r="M523" s="22" t="n"/>
      <c r="N523" s="22" t="n"/>
      <c r="O523" s="22" t="n"/>
      <c r="P523" s="22" t="n"/>
      <c r="Q523" s="22" t="n"/>
      <c r="R523" s="22" t="n"/>
      <c r="S523" s="22" t="n"/>
      <c r="T523" s="22" t="n"/>
      <c r="U523" s="22" t="n"/>
      <c r="V523" s="22" t="n"/>
      <c r="W523" s="22" t="n"/>
      <c r="X523" s="22" t="n"/>
    </row>
    <row r="524">
      <c r="A524" s="324" t="n"/>
      <c r="B524" s="22" t="n"/>
      <c r="C524" s="22" t="n"/>
      <c r="D524" s="22" t="n"/>
      <c r="E524" s="22" t="n"/>
      <c r="F524" s="22" t="n"/>
      <c r="G524" s="22" t="n"/>
      <c r="H524" s="22" t="n"/>
      <c r="I524" s="22" t="n"/>
      <c r="J524" s="22" t="n"/>
      <c r="K524" s="22" t="n"/>
      <c r="L524" s="22" t="n"/>
      <c r="M524" s="22" t="n"/>
      <c r="N524" s="22" t="n"/>
      <c r="O524" s="22" t="n"/>
      <c r="P524" s="22" t="n"/>
      <c r="Q524" s="22" t="n"/>
      <c r="R524" s="22" t="n"/>
      <c r="S524" s="22" t="n"/>
      <c r="T524" s="22" t="n"/>
      <c r="U524" s="22" t="n"/>
      <c r="V524" s="22" t="n"/>
      <c r="W524" s="22" t="n"/>
      <c r="X524" s="22" t="n"/>
    </row>
    <row r="525">
      <c r="A525" s="324" t="n"/>
      <c r="B525" s="22" t="n"/>
      <c r="C525" s="22" t="n"/>
      <c r="D525" s="22" t="n"/>
      <c r="E525" s="22" t="n"/>
      <c r="F525" s="22" t="n"/>
      <c r="G525" s="22" t="n"/>
      <c r="H525" s="22" t="n"/>
      <c r="I525" s="22" t="n"/>
      <c r="J525" s="22" t="n"/>
      <c r="K525" s="22" t="n"/>
      <c r="L525" s="22" t="n"/>
      <c r="M525" s="22" t="n"/>
      <c r="N525" s="22" t="n"/>
      <c r="O525" s="22" t="n"/>
      <c r="P525" s="22" t="n"/>
      <c r="Q525" s="22" t="n"/>
      <c r="R525" s="22" t="n"/>
      <c r="S525" s="22" t="n"/>
      <c r="T525" s="22" t="n"/>
      <c r="U525" s="22" t="n"/>
      <c r="V525" s="22" t="n"/>
      <c r="W525" s="22" t="n"/>
      <c r="X525" s="22" t="n"/>
    </row>
    <row r="526">
      <c r="A526" s="324" t="n"/>
      <c r="B526" s="22" t="n"/>
      <c r="C526" s="22" t="n"/>
      <c r="D526" s="22" t="n"/>
      <c r="E526" s="22" t="n"/>
      <c r="F526" s="22" t="n"/>
      <c r="G526" s="22" t="n"/>
      <c r="H526" s="22" t="n"/>
      <c r="I526" s="22" t="n"/>
      <c r="J526" s="22" t="n"/>
      <c r="K526" s="22" t="n"/>
      <c r="L526" s="22" t="n"/>
      <c r="M526" s="22" t="n"/>
      <c r="N526" s="22" t="n"/>
      <c r="O526" s="22" t="n"/>
      <c r="P526" s="22" t="n"/>
      <c r="Q526" s="22" t="n"/>
      <c r="R526" s="22" t="n"/>
      <c r="S526" s="22" t="n"/>
      <c r="T526" s="22" t="n"/>
      <c r="U526" s="22" t="n"/>
      <c r="V526" s="22" t="n"/>
      <c r="W526" s="22" t="n"/>
      <c r="X526" s="22" t="n"/>
    </row>
    <row r="527">
      <c r="A527" s="324" t="n"/>
      <c r="B527" s="22" t="n"/>
      <c r="C527" s="22" t="n"/>
      <c r="D527" s="22" t="n"/>
      <c r="E527" s="22" t="n"/>
      <c r="F527" s="22" t="n"/>
      <c r="G527" s="22" t="n"/>
      <c r="H527" s="22" t="n"/>
      <c r="I527" s="22" t="n"/>
      <c r="J527" s="22" t="n"/>
      <c r="K527" s="22" t="n"/>
      <c r="L527" s="22" t="n"/>
      <c r="M527" s="22" t="n"/>
      <c r="N527" s="22" t="n"/>
      <c r="O527" s="22" t="n"/>
      <c r="P527" s="22" t="n"/>
      <c r="Q527" s="22" t="n"/>
      <c r="R527" s="22" t="n"/>
      <c r="S527" s="22" t="n"/>
      <c r="T527" s="22" t="n"/>
      <c r="U527" s="22" t="n"/>
      <c r="V527" s="22" t="n"/>
      <c r="W527" s="22" t="n"/>
      <c r="X527" s="22" t="n"/>
    </row>
    <row r="528">
      <c r="A528" s="324" t="n"/>
      <c r="B528" s="22" t="n"/>
      <c r="C528" s="22" t="n"/>
      <c r="D528" s="22" t="n"/>
      <c r="E528" s="22" t="n"/>
      <c r="F528" s="22" t="n"/>
      <c r="G528" s="22" t="n"/>
      <c r="H528" s="22" t="n"/>
      <c r="I528" s="22" t="n"/>
      <c r="J528" s="22" t="n"/>
      <c r="K528" s="22" t="n"/>
      <c r="L528" s="22" t="n"/>
      <c r="M528" s="22" t="n"/>
      <c r="N528" s="22" t="n"/>
      <c r="O528" s="22" t="n"/>
      <c r="P528" s="22" t="n"/>
      <c r="Q528" s="22" t="n"/>
      <c r="R528" s="22" t="n"/>
      <c r="S528" s="22" t="n"/>
      <c r="T528" s="22" t="n"/>
      <c r="U528" s="22" t="n"/>
      <c r="V528" s="22" t="n"/>
      <c r="W528" s="22" t="n"/>
      <c r="X528" s="22" t="n"/>
    </row>
    <row r="529">
      <c r="A529" s="324" t="n"/>
      <c r="B529" s="22" t="n"/>
      <c r="C529" s="22" t="n"/>
      <c r="D529" s="22" t="n"/>
      <c r="E529" s="22" t="n"/>
      <c r="F529" s="22" t="n"/>
      <c r="G529" s="22" t="n"/>
      <c r="H529" s="22" t="n"/>
      <c r="I529" s="22" t="n"/>
      <c r="J529" s="22" t="n"/>
      <c r="K529" s="22" t="n"/>
      <c r="L529" s="22" t="n"/>
      <c r="M529" s="22" t="n"/>
      <c r="N529" s="22" t="n"/>
      <c r="O529" s="22" t="n"/>
      <c r="P529" s="22" t="n"/>
      <c r="Q529" s="22" t="n"/>
      <c r="R529" s="22" t="n"/>
      <c r="S529" s="22" t="n"/>
      <c r="T529" s="22" t="n"/>
      <c r="U529" s="22" t="n"/>
      <c r="V529" s="22" t="n"/>
      <c r="W529" s="22" t="n"/>
      <c r="X529" s="22" t="n"/>
    </row>
    <row r="530">
      <c r="A530" s="324" t="n"/>
      <c r="B530" s="22" t="n"/>
      <c r="C530" s="22" t="n"/>
      <c r="D530" s="22" t="n"/>
      <c r="E530" s="22" t="n"/>
      <c r="F530" s="22" t="n"/>
      <c r="G530" s="22" t="n"/>
      <c r="H530" s="22" t="n"/>
      <c r="I530" s="22" t="n"/>
      <c r="J530" s="22" t="n"/>
      <c r="K530" s="22" t="n"/>
      <c r="L530" s="22" t="n"/>
      <c r="M530" s="22" t="n"/>
      <c r="N530" s="22" t="n"/>
      <c r="O530" s="22" t="n"/>
      <c r="P530" s="22" t="n"/>
      <c r="Q530" s="22" t="n"/>
      <c r="R530" s="22" t="n"/>
      <c r="S530" s="22" t="n"/>
      <c r="T530" s="22" t="n"/>
      <c r="U530" s="22" t="n"/>
      <c r="V530" s="22" t="n"/>
      <c r="W530" s="22" t="n"/>
      <c r="X530" s="22" t="n"/>
    </row>
    <row r="531">
      <c r="A531" s="324" t="n"/>
      <c r="B531" s="22" t="n"/>
      <c r="C531" s="22" t="n"/>
      <c r="D531" s="22" t="n"/>
      <c r="E531" s="22" t="n"/>
      <c r="F531" s="22" t="n"/>
      <c r="G531" s="22" t="n"/>
      <c r="H531" s="22" t="n"/>
      <c r="I531" s="22" t="n"/>
      <c r="J531" s="22" t="n"/>
      <c r="K531" s="22" t="n"/>
      <c r="L531" s="22" t="n"/>
      <c r="M531" s="22" t="n"/>
      <c r="N531" s="22" t="n"/>
      <c r="O531" s="22" t="n"/>
      <c r="P531" s="22" t="n"/>
      <c r="Q531" s="22" t="n"/>
      <c r="R531" s="22" t="n"/>
      <c r="S531" s="22" t="n"/>
      <c r="T531" s="22" t="n"/>
      <c r="U531" s="22" t="n"/>
      <c r="V531" s="22" t="n"/>
      <c r="W531" s="22" t="n"/>
      <c r="X531" s="22" t="n"/>
    </row>
    <row r="532">
      <c r="A532" s="324" t="n"/>
      <c r="B532" s="22" t="n"/>
      <c r="C532" s="22" t="n"/>
      <c r="D532" s="22" t="n"/>
      <c r="E532" s="22" t="n"/>
      <c r="F532" s="22" t="n"/>
      <c r="G532" s="22" t="n"/>
      <c r="H532" s="22" t="n"/>
      <c r="I532" s="22" t="n"/>
      <c r="J532" s="22" t="n"/>
      <c r="K532" s="22" t="n"/>
      <c r="L532" s="22" t="n"/>
      <c r="M532" s="22" t="n"/>
      <c r="N532" s="22" t="n"/>
      <c r="O532" s="22" t="n"/>
      <c r="P532" s="22" t="n"/>
      <c r="Q532" s="22" t="n"/>
      <c r="R532" s="22" t="n"/>
      <c r="S532" s="22" t="n"/>
      <c r="T532" s="22" t="n"/>
      <c r="U532" s="22" t="n"/>
      <c r="V532" s="22" t="n"/>
      <c r="W532" s="22" t="n"/>
      <c r="X532" s="22" t="n"/>
    </row>
    <row r="533">
      <c r="A533" s="324" t="n"/>
      <c r="B533" s="22" t="n"/>
      <c r="C533" s="22" t="n"/>
      <c r="D533" s="22" t="n"/>
      <c r="E533" s="22" t="n"/>
      <c r="F533" s="22" t="n"/>
      <c r="G533" s="22" t="n"/>
      <c r="H533" s="22" t="n"/>
      <c r="I533" s="22" t="n"/>
      <c r="J533" s="22" t="n"/>
      <c r="K533" s="22" t="n"/>
      <c r="L533" s="22" t="n"/>
      <c r="M533" s="22" t="n"/>
      <c r="N533" s="22" t="n"/>
      <c r="O533" s="22" t="n"/>
      <c r="P533" s="22" t="n"/>
      <c r="Q533" s="22" t="n"/>
      <c r="R533" s="22" t="n"/>
      <c r="S533" s="22" t="n"/>
      <c r="T533" s="22" t="n"/>
      <c r="U533" s="22" t="n"/>
      <c r="V533" s="22" t="n"/>
      <c r="W533" s="22" t="n"/>
      <c r="X533" s="22" t="n"/>
    </row>
    <row r="534">
      <c r="A534" s="324" t="n"/>
      <c r="B534" s="22" t="n"/>
      <c r="C534" s="22" t="n"/>
      <c r="D534" s="22" t="n"/>
      <c r="E534" s="22" t="n"/>
      <c r="F534" s="22" t="n"/>
      <c r="G534" s="22" t="n"/>
      <c r="H534" s="22" t="n"/>
      <c r="I534" s="22" t="n"/>
      <c r="J534" s="22" t="n"/>
      <c r="K534" s="22" t="n"/>
      <c r="L534" s="22" t="n"/>
      <c r="M534" s="22" t="n"/>
      <c r="N534" s="22" t="n"/>
      <c r="O534" s="22" t="n"/>
      <c r="P534" s="22" t="n"/>
      <c r="Q534" s="22" t="n"/>
      <c r="R534" s="22" t="n"/>
      <c r="S534" s="22" t="n"/>
      <c r="T534" s="22" t="n"/>
      <c r="U534" s="22" t="n"/>
      <c r="V534" s="22" t="n"/>
      <c r="W534" s="22" t="n"/>
      <c r="X534" s="22" t="n"/>
    </row>
    <row r="535">
      <c r="A535" s="324" t="n"/>
      <c r="B535" s="22" t="n"/>
      <c r="C535" s="22" t="n"/>
      <c r="D535" s="22" t="n"/>
      <c r="E535" s="22" t="n"/>
      <c r="F535" s="22" t="n"/>
      <c r="G535" s="22" t="n"/>
      <c r="H535" s="22" t="n"/>
      <c r="I535" s="22" t="n"/>
      <c r="J535" s="22" t="n"/>
      <c r="K535" s="22" t="n"/>
      <c r="L535" s="22" t="n"/>
      <c r="M535" s="22" t="n"/>
      <c r="N535" s="22" t="n"/>
      <c r="O535" s="22" t="n"/>
      <c r="P535" s="22" t="n"/>
      <c r="Q535" s="22" t="n"/>
      <c r="R535" s="22" t="n"/>
      <c r="S535" s="22" t="n"/>
      <c r="T535" s="22" t="n"/>
      <c r="U535" s="22" t="n"/>
      <c r="V535" s="22" t="n"/>
      <c r="W535" s="22" t="n"/>
      <c r="X535" s="22" t="n"/>
    </row>
    <row r="536">
      <c r="A536" s="324" t="n"/>
      <c r="B536" s="22" t="n"/>
      <c r="C536" s="22" t="n"/>
      <c r="D536" s="22" t="n"/>
      <c r="E536" s="22" t="n"/>
      <c r="F536" s="22" t="n"/>
      <c r="G536" s="22" t="n"/>
      <c r="H536" s="22" t="n"/>
      <c r="I536" s="22" t="n"/>
      <c r="J536" s="22" t="n"/>
      <c r="K536" s="22" t="n"/>
      <c r="L536" s="22" t="n"/>
      <c r="M536" s="22" t="n"/>
      <c r="N536" s="22" t="n"/>
      <c r="O536" s="22" t="n"/>
      <c r="P536" s="22" t="n"/>
      <c r="Q536" s="22" t="n"/>
      <c r="R536" s="22" t="n"/>
      <c r="S536" s="22" t="n"/>
      <c r="T536" s="22" t="n"/>
      <c r="U536" s="22" t="n"/>
      <c r="V536" s="22" t="n"/>
      <c r="W536" s="22" t="n"/>
      <c r="X536" s="22" t="n"/>
    </row>
    <row r="537">
      <c r="A537" s="324" t="n"/>
      <c r="B537" s="22" t="n"/>
      <c r="C537" s="22" t="n"/>
      <c r="D537" s="22" t="n"/>
      <c r="E537" s="22" t="n"/>
      <c r="F537" s="22" t="n"/>
      <c r="G537" s="22" t="n"/>
      <c r="H537" s="22" t="n"/>
      <c r="I537" s="22" t="n"/>
      <c r="J537" s="22" t="n"/>
      <c r="K537" s="22" t="n"/>
      <c r="L537" s="22" t="n"/>
      <c r="M537" s="22" t="n"/>
      <c r="N537" s="22" t="n"/>
      <c r="O537" s="22" t="n"/>
      <c r="P537" s="22" t="n"/>
      <c r="Q537" s="22" t="n"/>
      <c r="R537" s="22" t="n"/>
      <c r="S537" s="22" t="n"/>
      <c r="T537" s="22" t="n"/>
      <c r="U537" s="22" t="n"/>
      <c r="V537" s="22" t="n"/>
      <c r="W537" s="22" t="n"/>
      <c r="X537" s="22" t="n"/>
    </row>
    <row r="538">
      <c r="A538" s="324" t="n"/>
      <c r="B538" s="22" t="n"/>
      <c r="C538" s="22" t="n"/>
      <c r="D538" s="22" t="n"/>
      <c r="E538" s="22" t="n"/>
      <c r="F538" s="22" t="n"/>
      <c r="G538" s="22" t="n"/>
      <c r="H538" s="22" t="n"/>
      <c r="I538" s="22" t="n"/>
      <c r="J538" s="22" t="n"/>
      <c r="K538" s="22" t="n"/>
      <c r="L538" s="22" t="n"/>
      <c r="M538" s="22" t="n"/>
      <c r="N538" s="22" t="n"/>
      <c r="O538" s="22" t="n"/>
      <c r="P538" s="22" t="n"/>
      <c r="Q538" s="22" t="n"/>
      <c r="R538" s="22" t="n"/>
      <c r="S538" s="22" t="n"/>
      <c r="T538" s="22" t="n"/>
      <c r="U538" s="22" t="n"/>
      <c r="V538" s="22" t="n"/>
      <c r="W538" s="22" t="n"/>
      <c r="X538" s="22" t="n"/>
    </row>
    <row r="539">
      <c r="A539" s="324" t="n"/>
      <c r="B539" s="22" t="n"/>
      <c r="C539" s="22" t="n"/>
      <c r="D539" s="22" t="n"/>
      <c r="E539" s="22" t="n"/>
      <c r="F539" s="22" t="n"/>
      <c r="G539" s="22" t="n"/>
      <c r="H539" s="22" t="n"/>
      <c r="I539" s="22" t="n"/>
      <c r="J539" s="22" t="n"/>
      <c r="K539" s="22" t="n"/>
      <c r="L539" s="22" t="n"/>
      <c r="M539" s="22" t="n"/>
      <c r="N539" s="22" t="n"/>
      <c r="O539" s="22" t="n"/>
      <c r="P539" s="22" t="n"/>
      <c r="Q539" s="22" t="n"/>
      <c r="R539" s="22" t="n"/>
      <c r="S539" s="22" t="n"/>
      <c r="T539" s="22" t="n"/>
      <c r="U539" s="22" t="n"/>
      <c r="V539" s="22" t="n"/>
      <c r="W539" s="22" t="n"/>
      <c r="X539" s="22" t="n"/>
    </row>
    <row r="540">
      <c r="A540" s="324" t="n"/>
      <c r="B540" s="22" t="n"/>
      <c r="C540" s="22" t="n"/>
      <c r="D540" s="22" t="n"/>
      <c r="E540" s="22" t="n"/>
      <c r="F540" s="22" t="n"/>
      <c r="G540" s="22" t="n"/>
      <c r="H540" s="22" t="n"/>
      <c r="I540" s="22" t="n"/>
      <c r="J540" s="22" t="n"/>
      <c r="K540" s="22" t="n"/>
      <c r="L540" s="22" t="n"/>
      <c r="M540" s="22" t="n"/>
      <c r="N540" s="22" t="n"/>
      <c r="O540" s="22" t="n"/>
      <c r="P540" s="22" t="n"/>
      <c r="Q540" s="22" t="n"/>
      <c r="R540" s="22" t="n"/>
      <c r="S540" s="22" t="n"/>
      <c r="T540" s="22" t="n"/>
      <c r="U540" s="22" t="n"/>
      <c r="V540" s="22" t="n"/>
      <c r="W540" s="22" t="n"/>
      <c r="X540" s="22" t="n"/>
    </row>
    <row r="541">
      <c r="A541" s="324" t="n"/>
      <c r="B541" s="22" t="n"/>
      <c r="C541" s="22" t="n"/>
      <c r="D541" s="22" t="n"/>
      <c r="E541" s="22" t="n"/>
      <c r="F541" s="22" t="n"/>
      <c r="G541" s="22" t="n"/>
      <c r="H541" s="22" t="n"/>
      <c r="I541" s="22" t="n"/>
      <c r="J541" s="22" t="n"/>
      <c r="K541" s="22" t="n"/>
      <c r="L541" s="22" t="n"/>
      <c r="M541" s="22" t="n"/>
      <c r="N541" s="22" t="n"/>
      <c r="O541" s="22" t="n"/>
      <c r="P541" s="22" t="n"/>
      <c r="Q541" s="22" t="n"/>
      <c r="R541" s="22" t="n"/>
      <c r="S541" s="22" t="n"/>
      <c r="T541" s="22" t="n"/>
      <c r="U541" s="22" t="n"/>
      <c r="V541" s="22" t="n"/>
      <c r="W541" s="22" t="n"/>
      <c r="X541" s="22" t="n"/>
    </row>
    <row r="542">
      <c r="A542" s="324" t="n"/>
      <c r="B542" s="22" t="n"/>
      <c r="C542" s="22" t="n"/>
      <c r="D542" s="22" t="n"/>
      <c r="E542" s="22" t="n"/>
      <c r="F542" s="22" t="n"/>
      <c r="G542" s="22" t="n"/>
      <c r="H542" s="22" t="n"/>
      <c r="I542" s="22" t="n"/>
      <c r="J542" s="22" t="n"/>
      <c r="K542" s="22" t="n"/>
      <c r="L542" s="22" t="n"/>
      <c r="M542" s="22" t="n"/>
      <c r="N542" s="22" t="n"/>
      <c r="O542" s="22" t="n"/>
      <c r="P542" s="22" t="n"/>
      <c r="Q542" s="22" t="n"/>
      <c r="R542" s="22" t="n"/>
      <c r="S542" s="22" t="n"/>
      <c r="T542" s="22" t="n"/>
      <c r="U542" s="22" t="n"/>
      <c r="V542" s="22" t="n"/>
      <c r="W542" s="22" t="n"/>
      <c r="X542" s="22" t="n"/>
    </row>
    <row r="543">
      <c r="A543" s="324" t="n"/>
      <c r="B543" s="22" t="n"/>
      <c r="C543" s="22" t="n"/>
      <c r="D543" s="22" t="n"/>
      <c r="E543" s="22" t="n"/>
      <c r="F543" s="22" t="n"/>
      <c r="G543" s="22" t="n"/>
      <c r="H543" s="22" t="n"/>
      <c r="I543" s="22" t="n"/>
      <c r="J543" s="22" t="n"/>
      <c r="K543" s="22" t="n"/>
      <c r="L543" s="22" t="n"/>
      <c r="M543" s="22" t="n"/>
      <c r="N543" s="22" t="n"/>
      <c r="O543" s="22" t="n"/>
      <c r="P543" s="22" t="n"/>
      <c r="Q543" s="22" t="n"/>
      <c r="R543" s="22" t="n"/>
      <c r="S543" s="22" t="n"/>
      <c r="T543" s="22" t="n"/>
      <c r="U543" s="22" t="n"/>
      <c r="V543" s="22" t="n"/>
      <c r="W543" s="22" t="n"/>
      <c r="X543" s="22" t="n"/>
    </row>
    <row r="544">
      <c r="A544" s="324" t="n"/>
      <c r="B544" s="22" t="n"/>
      <c r="C544" s="22" t="n"/>
      <c r="D544" s="22" t="n"/>
      <c r="E544" s="22" t="n"/>
      <c r="F544" s="22" t="n"/>
      <c r="G544" s="22" t="n"/>
      <c r="H544" s="22" t="n"/>
      <c r="I544" s="22" t="n"/>
      <c r="J544" s="22" t="n"/>
      <c r="K544" s="22" t="n"/>
      <c r="L544" s="22" t="n"/>
      <c r="M544" s="22" t="n"/>
      <c r="N544" s="22" t="n"/>
      <c r="O544" s="22" t="n"/>
      <c r="P544" s="22" t="n"/>
      <c r="Q544" s="22" t="n"/>
      <c r="R544" s="22" t="n"/>
      <c r="S544" s="22" t="n"/>
      <c r="T544" s="22" t="n"/>
      <c r="U544" s="22" t="n"/>
      <c r="V544" s="22" t="n"/>
      <c r="W544" s="22" t="n"/>
      <c r="X544" s="22" t="n"/>
    </row>
    <row r="545">
      <c r="A545" s="324" t="n"/>
      <c r="B545" s="22" t="n"/>
      <c r="C545" s="22" t="n"/>
      <c r="D545" s="22" t="n"/>
      <c r="E545" s="22" t="n"/>
      <c r="F545" s="22" t="n"/>
      <c r="G545" s="22" t="n"/>
      <c r="H545" s="22" t="n"/>
      <c r="I545" s="22" t="n"/>
      <c r="J545" s="22" t="n"/>
      <c r="K545" s="22" t="n"/>
      <c r="L545" s="22" t="n"/>
      <c r="M545" s="22" t="n"/>
      <c r="N545" s="22" t="n"/>
      <c r="O545" s="22" t="n"/>
      <c r="P545" s="22" t="n"/>
      <c r="Q545" s="22" t="n"/>
      <c r="R545" s="22" t="n"/>
      <c r="S545" s="22" t="n"/>
      <c r="T545" s="22" t="n"/>
      <c r="U545" s="22" t="n"/>
      <c r="V545" s="22" t="n"/>
      <c r="W545" s="22" t="n"/>
      <c r="X545" s="22" t="n"/>
    </row>
    <row r="546">
      <c r="A546" s="324" t="n"/>
      <c r="B546" s="22" t="n"/>
      <c r="C546" s="22" t="n"/>
      <c r="D546" s="22" t="n"/>
      <c r="E546" s="22" t="n"/>
      <c r="F546" s="22" t="n"/>
      <c r="G546" s="22" t="n"/>
      <c r="H546" s="22" t="n"/>
      <c r="I546" s="22" t="n"/>
      <c r="J546" s="22" t="n"/>
      <c r="K546" s="22" t="n"/>
      <c r="L546" s="22" t="n"/>
      <c r="M546" s="22" t="n"/>
      <c r="N546" s="22" t="n"/>
      <c r="O546" s="22" t="n"/>
      <c r="P546" s="22" t="n"/>
      <c r="Q546" s="22" t="n"/>
      <c r="R546" s="22" t="n"/>
      <c r="S546" s="22" t="n"/>
      <c r="T546" s="22" t="n"/>
      <c r="U546" s="22" t="n"/>
      <c r="V546" s="22" t="n"/>
      <c r="W546" s="22" t="n"/>
      <c r="X546" s="22" t="n"/>
    </row>
    <row r="547">
      <c r="A547" s="324" t="n"/>
      <c r="B547" s="22" t="n"/>
      <c r="C547" s="22" t="n"/>
      <c r="D547" s="22" t="n"/>
      <c r="E547" s="22" t="n"/>
      <c r="F547" s="22" t="n"/>
      <c r="G547" s="22" t="n"/>
      <c r="H547" s="22" t="n"/>
      <c r="I547" s="22" t="n"/>
      <c r="J547" s="22" t="n"/>
      <c r="K547" s="22" t="n"/>
      <c r="L547" s="22" t="n"/>
      <c r="M547" s="22" t="n"/>
      <c r="N547" s="22" t="n"/>
      <c r="O547" s="22" t="n"/>
      <c r="P547" s="22" t="n"/>
      <c r="Q547" s="22" t="n"/>
      <c r="R547" s="22" t="n"/>
      <c r="S547" s="22" t="n"/>
      <c r="T547" s="22" t="n"/>
      <c r="U547" s="22" t="n"/>
      <c r="V547" s="22" t="n"/>
      <c r="W547" s="22" t="n"/>
      <c r="X547" s="22" t="n"/>
    </row>
    <row r="548">
      <c r="A548" s="324" t="n"/>
      <c r="B548" s="22" t="n"/>
      <c r="C548" s="22" t="n"/>
      <c r="D548" s="22" t="n"/>
      <c r="E548" s="22" t="n"/>
      <c r="F548" s="22" t="n"/>
      <c r="G548" s="22" t="n"/>
      <c r="H548" s="22" t="n"/>
      <c r="I548" s="22" t="n"/>
      <c r="J548" s="22" t="n"/>
      <c r="K548" s="22" t="n"/>
      <c r="L548" s="22" t="n"/>
      <c r="M548" s="22" t="n"/>
      <c r="N548" s="22" t="n"/>
      <c r="O548" s="22" t="n"/>
      <c r="P548" s="22" t="n"/>
      <c r="Q548" s="22" t="n"/>
      <c r="R548" s="22" t="n"/>
      <c r="S548" s="22" t="n"/>
      <c r="T548" s="22" t="n"/>
      <c r="U548" s="22" t="n"/>
      <c r="V548" s="22" t="n"/>
      <c r="W548" s="22" t="n"/>
      <c r="X548" s="22" t="n"/>
    </row>
    <row r="549">
      <c r="A549" s="324" t="n"/>
      <c r="B549" s="22" t="n"/>
      <c r="C549" s="22" t="n"/>
      <c r="D549" s="22" t="n"/>
      <c r="E549" s="22" t="n"/>
      <c r="F549" s="22" t="n"/>
      <c r="G549" s="22" t="n"/>
      <c r="H549" s="22" t="n"/>
      <c r="I549" s="22" t="n"/>
      <c r="J549" s="22" t="n"/>
      <c r="K549" s="22" t="n"/>
      <c r="L549" s="22" t="n"/>
      <c r="M549" s="22" t="n"/>
      <c r="N549" s="22" t="n"/>
      <c r="O549" s="22" t="n"/>
      <c r="P549" s="22" t="n"/>
      <c r="Q549" s="22" t="n"/>
      <c r="R549" s="22" t="n"/>
      <c r="S549" s="22" t="n"/>
      <c r="T549" s="22" t="n"/>
      <c r="U549" s="22" t="n"/>
      <c r="V549" s="22" t="n"/>
      <c r="W549" s="22" t="n"/>
      <c r="X549" s="22" t="n"/>
    </row>
    <row r="550">
      <c r="A550" s="324" t="n"/>
      <c r="B550" s="22" t="n"/>
      <c r="C550" s="22" t="n"/>
      <c r="D550" s="22" t="n"/>
      <c r="E550" s="22" t="n"/>
      <c r="F550" s="22" t="n"/>
      <c r="G550" s="22" t="n"/>
      <c r="H550" s="22" t="n"/>
      <c r="I550" s="22" t="n"/>
      <c r="J550" s="22" t="n"/>
      <c r="K550" s="22" t="n"/>
      <c r="L550" s="22" t="n"/>
      <c r="M550" s="22" t="n"/>
      <c r="N550" s="22" t="n"/>
      <c r="O550" s="22" t="n"/>
      <c r="P550" s="22" t="n"/>
      <c r="Q550" s="22" t="n"/>
      <c r="R550" s="22" t="n"/>
      <c r="S550" s="22" t="n"/>
      <c r="T550" s="22" t="n"/>
      <c r="U550" s="22" t="n"/>
      <c r="V550" s="22" t="n"/>
      <c r="W550" s="22" t="n"/>
      <c r="X550" s="22" t="n"/>
    </row>
    <row r="551">
      <c r="A551" s="324" t="n"/>
      <c r="B551" s="22" t="n"/>
      <c r="C551" s="22" t="n"/>
      <c r="D551" s="22" t="n"/>
      <c r="E551" s="22" t="n"/>
      <c r="F551" s="22" t="n"/>
      <c r="G551" s="22" t="n"/>
      <c r="H551" s="22" t="n"/>
      <c r="I551" s="22" t="n"/>
      <c r="J551" s="22" t="n"/>
      <c r="K551" s="22" t="n"/>
      <c r="L551" s="22" t="n"/>
      <c r="M551" s="22" t="n"/>
      <c r="N551" s="22" t="n"/>
      <c r="O551" s="22" t="n"/>
      <c r="P551" s="22" t="n"/>
      <c r="Q551" s="22" t="n"/>
      <c r="R551" s="22" t="n"/>
      <c r="S551" s="22" t="n"/>
      <c r="T551" s="22" t="n"/>
      <c r="U551" s="22" t="n"/>
      <c r="V551" s="22" t="n"/>
      <c r="W551" s="22" t="n"/>
      <c r="X551" s="22" t="n"/>
    </row>
    <row r="552">
      <c r="A552" s="324" t="n"/>
      <c r="B552" s="22" t="n"/>
      <c r="C552" s="22" t="n"/>
      <c r="D552" s="22" t="n"/>
      <c r="E552" s="22" t="n"/>
      <c r="F552" s="22" t="n"/>
      <c r="G552" s="22" t="n"/>
      <c r="H552" s="22" t="n"/>
      <c r="I552" s="22" t="n"/>
      <c r="J552" s="22" t="n"/>
      <c r="K552" s="22" t="n"/>
      <c r="L552" s="22" t="n"/>
      <c r="M552" s="22" t="n"/>
      <c r="N552" s="22" t="n"/>
      <c r="O552" s="22" t="n"/>
      <c r="P552" s="22" t="n"/>
      <c r="Q552" s="22" t="n"/>
      <c r="R552" s="22" t="n"/>
      <c r="S552" s="22" t="n"/>
      <c r="T552" s="22" t="n"/>
      <c r="U552" s="22" t="n"/>
      <c r="V552" s="22" t="n"/>
      <c r="W552" s="22" t="n"/>
      <c r="X552" s="22" t="n"/>
    </row>
    <row r="553">
      <c r="A553" s="324" t="n"/>
      <c r="B553" s="22" t="n"/>
      <c r="C553" s="22" t="n"/>
      <c r="D553" s="22" t="n"/>
      <c r="E553" s="22" t="n"/>
      <c r="F553" s="22" t="n"/>
      <c r="G553" s="22" t="n"/>
      <c r="H553" s="22" t="n"/>
      <c r="I553" s="22" t="n"/>
      <c r="J553" s="22" t="n"/>
      <c r="K553" s="22" t="n"/>
      <c r="L553" s="22" t="n"/>
      <c r="M553" s="22" t="n"/>
      <c r="N553" s="22" t="n"/>
      <c r="O553" s="22" t="n"/>
      <c r="P553" s="22" t="n"/>
      <c r="Q553" s="22" t="n"/>
      <c r="R553" s="22" t="n"/>
      <c r="S553" s="22" t="n"/>
      <c r="T553" s="22" t="n"/>
      <c r="U553" s="22" t="n"/>
      <c r="V553" s="22" t="n"/>
      <c r="W553" s="22" t="n"/>
      <c r="X553" s="22" t="n"/>
    </row>
    <row r="554">
      <c r="A554" s="324" t="n"/>
      <c r="B554" s="22" t="n"/>
      <c r="C554" s="22" t="n"/>
      <c r="D554" s="22" t="n"/>
      <c r="E554" s="22" t="n"/>
      <c r="F554" s="22" t="n"/>
      <c r="G554" s="22" t="n"/>
      <c r="H554" s="22" t="n"/>
      <c r="I554" s="22" t="n"/>
      <c r="J554" s="22" t="n"/>
      <c r="K554" s="22" t="n"/>
      <c r="L554" s="22" t="n"/>
      <c r="M554" s="22" t="n"/>
      <c r="N554" s="22" t="n"/>
      <c r="O554" s="22" t="n"/>
      <c r="P554" s="22" t="n"/>
      <c r="Q554" s="22" t="n"/>
      <c r="R554" s="22" t="n"/>
      <c r="S554" s="22" t="n"/>
      <c r="T554" s="22" t="n"/>
      <c r="U554" s="22" t="n"/>
      <c r="V554" s="22" t="n"/>
      <c r="W554" s="22" t="n"/>
      <c r="X554" s="22" t="n"/>
    </row>
    <row r="555">
      <c r="A555" s="324" t="n"/>
      <c r="B555" s="22" t="n"/>
      <c r="C555" s="22" t="n"/>
      <c r="D555" s="22" t="n"/>
      <c r="E555" s="22" t="n"/>
      <c r="F555" s="22" t="n"/>
      <c r="G555" s="22" t="n"/>
      <c r="H555" s="22" t="n"/>
      <c r="I555" s="22" t="n"/>
      <c r="J555" s="22" t="n"/>
      <c r="K555" s="22" t="n"/>
      <c r="L555" s="22" t="n"/>
      <c r="M555" s="22" t="n"/>
      <c r="N555" s="22" t="n"/>
      <c r="O555" s="22" t="n"/>
      <c r="P555" s="22" t="n"/>
      <c r="Q555" s="22" t="n"/>
      <c r="R555" s="22" t="n"/>
      <c r="S555" s="22" t="n"/>
      <c r="T555" s="22" t="n"/>
      <c r="U555" s="22" t="n"/>
      <c r="V555" s="22" t="n"/>
      <c r="W555" s="22" t="n"/>
      <c r="X555" s="22" t="n"/>
    </row>
    <row r="556">
      <c r="A556" s="324" t="n"/>
      <c r="B556" s="22" t="n"/>
      <c r="C556" s="22" t="n"/>
      <c r="D556" s="22" t="n"/>
      <c r="E556" s="22" t="n"/>
      <c r="F556" s="22" t="n"/>
      <c r="G556" s="22" t="n"/>
      <c r="H556" s="22" t="n"/>
      <c r="I556" s="22" t="n"/>
      <c r="J556" s="22" t="n"/>
      <c r="K556" s="22" t="n"/>
      <c r="L556" s="22" t="n"/>
      <c r="M556" s="22" t="n"/>
      <c r="N556" s="22" t="n"/>
      <c r="O556" s="22" t="n"/>
      <c r="P556" s="22" t="n"/>
      <c r="Q556" s="22" t="n"/>
      <c r="R556" s="22" t="n"/>
      <c r="S556" s="22" t="n"/>
      <c r="T556" s="22" t="n"/>
      <c r="U556" s="22" t="n"/>
      <c r="V556" s="22" t="n"/>
      <c r="W556" s="22" t="n"/>
      <c r="X556" s="22" t="n"/>
    </row>
    <row r="557">
      <c r="A557" s="324" t="n"/>
      <c r="B557" s="22" t="n"/>
      <c r="C557" s="22" t="n"/>
      <c r="D557" s="22" t="n"/>
      <c r="E557" s="22" t="n"/>
      <c r="F557" s="22" t="n"/>
      <c r="G557" s="22" t="n"/>
      <c r="H557" s="22" t="n"/>
      <c r="I557" s="22" t="n"/>
      <c r="J557" s="22" t="n"/>
      <c r="K557" s="22" t="n"/>
      <c r="L557" s="22" t="n"/>
      <c r="M557" s="22" t="n"/>
      <c r="N557" s="22" t="n"/>
      <c r="O557" s="22" t="n"/>
      <c r="P557" s="22" t="n"/>
      <c r="Q557" s="22" t="n"/>
      <c r="R557" s="22" t="n"/>
      <c r="S557" s="22" t="n"/>
      <c r="T557" s="22" t="n"/>
      <c r="U557" s="22" t="n"/>
      <c r="V557" s="22" t="n"/>
      <c r="W557" s="22" t="n"/>
      <c r="X557" s="22" t="n"/>
    </row>
    <row r="558">
      <c r="A558" s="324" t="n"/>
      <c r="B558" s="22" t="n"/>
      <c r="C558" s="22" t="n"/>
      <c r="D558" s="22" t="n"/>
      <c r="E558" s="22" t="n"/>
      <c r="F558" s="22" t="n"/>
      <c r="G558" s="22" t="n"/>
      <c r="H558" s="22" t="n"/>
      <c r="I558" s="22" t="n"/>
      <c r="J558" s="22" t="n"/>
      <c r="K558" s="22" t="n"/>
      <c r="L558" s="22" t="n"/>
      <c r="M558" s="22" t="n"/>
      <c r="N558" s="22" t="n"/>
      <c r="O558" s="22" t="n"/>
      <c r="P558" s="22" t="n"/>
      <c r="Q558" s="22" t="n"/>
      <c r="R558" s="22" t="n"/>
      <c r="S558" s="22" t="n"/>
      <c r="T558" s="22" t="n"/>
      <c r="U558" s="22" t="n"/>
      <c r="V558" s="22" t="n"/>
      <c r="W558" s="22" t="n"/>
      <c r="X558" s="22" t="n"/>
    </row>
    <row r="559">
      <c r="A559" s="324" t="n"/>
      <c r="B559" s="22" t="n"/>
      <c r="C559" s="22" t="n"/>
      <c r="D559" s="22" t="n"/>
      <c r="E559" s="22" t="n"/>
      <c r="F559" s="22" t="n"/>
      <c r="G559" s="22" t="n"/>
      <c r="H559" s="22" t="n"/>
      <c r="I559" s="22" t="n"/>
      <c r="J559" s="22" t="n"/>
      <c r="K559" s="22" t="n"/>
      <c r="L559" s="22" t="n"/>
      <c r="M559" s="22" t="n"/>
      <c r="N559" s="22" t="n"/>
      <c r="O559" s="22" t="n"/>
      <c r="P559" s="22" t="n"/>
      <c r="Q559" s="22" t="n"/>
      <c r="R559" s="22" t="n"/>
      <c r="S559" s="22" t="n"/>
      <c r="T559" s="22" t="n"/>
      <c r="U559" s="22" t="n"/>
      <c r="V559" s="22" t="n"/>
      <c r="W559" s="22" t="n"/>
      <c r="X559" s="22" t="n"/>
    </row>
    <row r="560">
      <c r="A560" s="324" t="n"/>
      <c r="B560" s="22" t="n"/>
      <c r="C560" s="22" t="n"/>
      <c r="D560" s="22" t="n"/>
      <c r="E560" s="22" t="n"/>
      <c r="F560" s="22" t="n"/>
      <c r="G560" s="22" t="n"/>
      <c r="H560" s="22" t="n"/>
      <c r="I560" s="22" t="n"/>
      <c r="J560" s="22" t="n"/>
      <c r="K560" s="22" t="n"/>
      <c r="L560" s="22" t="n"/>
      <c r="M560" s="22" t="n"/>
      <c r="N560" s="22" t="n"/>
      <c r="O560" s="22" t="n"/>
      <c r="P560" s="22" t="n"/>
      <c r="Q560" s="22" t="n"/>
      <c r="R560" s="22" t="n"/>
      <c r="S560" s="22" t="n"/>
      <c r="T560" s="22" t="n"/>
      <c r="U560" s="22" t="n"/>
      <c r="V560" s="22" t="n"/>
      <c r="W560" s="22" t="n"/>
      <c r="X560" s="22" t="n"/>
    </row>
    <row r="561">
      <c r="A561" s="324" t="n"/>
      <c r="B561" s="22" t="n"/>
      <c r="C561" s="22" t="n"/>
      <c r="D561" s="22" t="n"/>
      <c r="E561" s="22" t="n"/>
      <c r="F561" s="22" t="n"/>
      <c r="G561" s="22" t="n"/>
      <c r="H561" s="22" t="n"/>
      <c r="I561" s="22" t="n"/>
      <c r="J561" s="22" t="n"/>
      <c r="K561" s="22" t="n"/>
      <c r="L561" s="22" t="n"/>
      <c r="M561" s="22" t="n"/>
      <c r="N561" s="22" t="n"/>
      <c r="O561" s="22" t="n"/>
      <c r="P561" s="22" t="n"/>
      <c r="Q561" s="22" t="n"/>
      <c r="R561" s="22" t="n"/>
      <c r="S561" s="22" t="n"/>
      <c r="T561" s="22" t="n"/>
      <c r="U561" s="22" t="n"/>
      <c r="V561" s="22" t="n"/>
      <c r="W561" s="22" t="n"/>
      <c r="X561" s="22" t="n"/>
    </row>
    <row r="562">
      <c r="A562" s="324" t="n"/>
      <c r="B562" s="22" t="n"/>
      <c r="C562" s="22" t="n"/>
      <c r="D562" s="22" t="n"/>
      <c r="E562" s="22" t="n"/>
      <c r="F562" s="22" t="n"/>
      <c r="G562" s="22" t="n"/>
      <c r="H562" s="22" t="n"/>
      <c r="I562" s="22" t="n"/>
      <c r="J562" s="22" t="n"/>
      <c r="K562" s="22" t="n"/>
      <c r="L562" s="22" t="n"/>
      <c r="M562" s="22" t="n"/>
      <c r="N562" s="22" t="n"/>
      <c r="O562" s="22" t="n"/>
      <c r="P562" s="22" t="n"/>
      <c r="Q562" s="22" t="n"/>
      <c r="R562" s="22" t="n"/>
      <c r="S562" s="22" t="n"/>
      <c r="T562" s="22" t="n"/>
      <c r="U562" s="22" t="n"/>
      <c r="V562" s="22" t="n"/>
      <c r="W562" s="22" t="n"/>
      <c r="X562" s="22" t="n"/>
    </row>
    <row r="563">
      <c r="A563" s="324" t="n"/>
      <c r="B563" s="22" t="n"/>
      <c r="C563" s="22" t="n"/>
      <c r="D563" s="22" t="n"/>
      <c r="E563" s="22" t="n"/>
      <c r="F563" s="22" t="n"/>
      <c r="G563" s="22" t="n"/>
      <c r="H563" s="22" t="n"/>
      <c r="I563" s="22" t="n"/>
      <c r="J563" s="22" t="n"/>
      <c r="K563" s="22" t="n"/>
      <c r="L563" s="22" t="n"/>
      <c r="M563" s="22" t="n"/>
      <c r="N563" s="22" t="n"/>
      <c r="O563" s="22" t="n"/>
      <c r="P563" s="22" t="n"/>
      <c r="Q563" s="22" t="n"/>
      <c r="R563" s="22" t="n"/>
      <c r="S563" s="22" t="n"/>
      <c r="T563" s="22" t="n"/>
      <c r="U563" s="22" t="n"/>
      <c r="V563" s="22" t="n"/>
      <c r="W563" s="22" t="n"/>
      <c r="X563" s="22" t="n"/>
    </row>
    <row r="564">
      <c r="A564" s="324" t="n"/>
      <c r="B564" s="22" t="n"/>
      <c r="C564" s="22" t="n"/>
      <c r="D564" s="22" t="n"/>
      <c r="E564" s="22" t="n"/>
      <c r="F564" s="22" t="n"/>
      <c r="G564" s="22" t="n"/>
      <c r="H564" s="22" t="n"/>
      <c r="I564" s="22" t="n"/>
      <c r="J564" s="22" t="n"/>
      <c r="K564" s="22" t="n"/>
      <c r="L564" s="22" t="n"/>
      <c r="M564" s="22" t="n"/>
      <c r="N564" s="22" t="n"/>
      <c r="O564" s="22" t="n"/>
      <c r="P564" s="22" t="n"/>
      <c r="Q564" s="22" t="n"/>
      <c r="R564" s="22" t="n"/>
      <c r="S564" s="22" t="n"/>
      <c r="T564" s="22" t="n"/>
      <c r="U564" s="22" t="n"/>
      <c r="V564" s="22" t="n"/>
      <c r="W564" s="22" t="n"/>
      <c r="X564" s="22" t="n"/>
    </row>
    <row r="565">
      <c r="A565" s="324" t="n"/>
      <c r="B565" s="22" t="n"/>
      <c r="C565" s="22" t="n"/>
      <c r="D565" s="22" t="n"/>
      <c r="E565" s="22" t="n"/>
      <c r="F565" s="22" t="n"/>
      <c r="G565" s="22" t="n"/>
      <c r="H565" s="22" t="n"/>
      <c r="I565" s="22" t="n"/>
      <c r="J565" s="22" t="n"/>
      <c r="K565" s="22" t="n"/>
      <c r="L565" s="22" t="n"/>
      <c r="M565" s="22" t="n"/>
      <c r="N565" s="22" t="n"/>
      <c r="O565" s="22" t="n"/>
      <c r="P565" s="22" t="n"/>
      <c r="Q565" s="22" t="n"/>
      <c r="R565" s="22" t="n"/>
      <c r="S565" s="22" t="n"/>
      <c r="T565" s="22" t="n"/>
      <c r="U565" s="22" t="n"/>
      <c r="V565" s="22" t="n"/>
      <c r="W565" s="22" t="n"/>
      <c r="X565" s="22" t="n"/>
    </row>
    <row r="566">
      <c r="A566" s="324" t="n"/>
      <c r="B566" s="22" t="n"/>
      <c r="C566" s="22" t="n"/>
      <c r="D566" s="22" t="n"/>
      <c r="E566" s="22" t="n"/>
      <c r="F566" s="22" t="n"/>
      <c r="G566" s="22" t="n"/>
      <c r="H566" s="22" t="n"/>
      <c r="I566" s="22" t="n"/>
      <c r="J566" s="22" t="n"/>
      <c r="K566" s="22" t="n"/>
      <c r="L566" s="22" t="n"/>
      <c r="M566" s="22" t="n"/>
      <c r="N566" s="22" t="n"/>
      <c r="O566" s="22" t="n"/>
      <c r="P566" s="22" t="n"/>
      <c r="Q566" s="22" t="n"/>
      <c r="R566" s="22" t="n"/>
      <c r="S566" s="22" t="n"/>
      <c r="T566" s="22" t="n"/>
      <c r="U566" s="22" t="n"/>
      <c r="V566" s="22" t="n"/>
      <c r="W566" s="22" t="n"/>
      <c r="X566" s="22" t="n"/>
    </row>
    <row r="567">
      <c r="A567" s="324" t="n"/>
      <c r="B567" s="22" t="n"/>
      <c r="C567" s="22" t="n"/>
      <c r="D567" s="22" t="n"/>
      <c r="E567" s="22" t="n"/>
      <c r="F567" s="22" t="n"/>
      <c r="G567" s="22" t="n"/>
      <c r="H567" s="22" t="n"/>
      <c r="I567" s="22" t="n"/>
      <c r="J567" s="22" t="n"/>
      <c r="K567" s="22" t="n"/>
      <c r="L567" s="22" t="n"/>
      <c r="M567" s="22" t="n"/>
      <c r="N567" s="22" t="n"/>
      <c r="O567" s="22" t="n"/>
      <c r="P567" s="22" t="n"/>
      <c r="Q567" s="22" t="n"/>
      <c r="R567" s="22" t="n"/>
      <c r="S567" s="22" t="n"/>
      <c r="T567" s="22" t="n"/>
      <c r="U567" s="22" t="n"/>
      <c r="V567" s="22" t="n"/>
      <c r="W567" s="22" t="n"/>
      <c r="X567" s="22" t="n"/>
    </row>
    <row r="568">
      <c r="A568" s="324" t="n"/>
      <c r="B568" s="22" t="n"/>
      <c r="C568" s="22" t="n"/>
      <c r="D568" s="22" t="n"/>
      <c r="E568" s="22" t="n"/>
      <c r="F568" s="22" t="n"/>
      <c r="G568" s="22" t="n"/>
      <c r="H568" s="22" t="n"/>
      <c r="I568" s="22" t="n"/>
      <c r="J568" s="22" t="n"/>
      <c r="K568" s="22" t="n"/>
      <c r="L568" s="22" t="n"/>
      <c r="M568" s="22" t="n"/>
      <c r="N568" s="22" t="n"/>
      <c r="O568" s="22" t="n"/>
      <c r="P568" s="22" t="n"/>
      <c r="Q568" s="22" t="n"/>
      <c r="R568" s="22" t="n"/>
      <c r="S568" s="22" t="n"/>
      <c r="T568" s="22" t="n"/>
      <c r="U568" s="22" t="n"/>
      <c r="V568" s="22" t="n"/>
      <c r="W568" s="22" t="n"/>
      <c r="X568" s="22" t="n"/>
    </row>
    <row r="569">
      <c r="A569" s="324" t="n"/>
      <c r="B569" s="22" t="n"/>
      <c r="C569" s="22" t="n"/>
      <c r="D569" s="22" t="n"/>
      <c r="E569" s="22" t="n"/>
      <c r="F569" s="22" t="n"/>
      <c r="G569" s="22" t="n"/>
      <c r="H569" s="22" t="n"/>
      <c r="I569" s="22" t="n"/>
      <c r="J569" s="22" t="n"/>
      <c r="K569" s="22" t="n"/>
      <c r="L569" s="22" t="n"/>
      <c r="M569" s="22" t="n"/>
      <c r="N569" s="22" t="n"/>
      <c r="O569" s="22" t="n"/>
      <c r="P569" s="22" t="n"/>
      <c r="Q569" s="22" t="n"/>
      <c r="R569" s="22" t="n"/>
      <c r="S569" s="22" t="n"/>
      <c r="T569" s="22" t="n"/>
      <c r="U569" s="22" t="n"/>
      <c r="V569" s="22" t="n"/>
      <c r="W569" s="22" t="n"/>
      <c r="X569" s="22" t="n"/>
    </row>
    <row r="570">
      <c r="A570" s="324" t="n"/>
      <c r="B570" s="22" t="n"/>
      <c r="C570" s="22" t="n"/>
      <c r="D570" s="22" t="n"/>
      <c r="E570" s="22" t="n"/>
      <c r="F570" s="22" t="n"/>
      <c r="G570" s="22" t="n"/>
      <c r="H570" s="22" t="n"/>
      <c r="I570" s="22" t="n"/>
      <c r="J570" s="22" t="n"/>
      <c r="K570" s="22" t="n"/>
      <c r="L570" s="22" t="n"/>
      <c r="M570" s="22" t="n"/>
      <c r="N570" s="22" t="n"/>
      <c r="O570" s="22" t="n"/>
      <c r="P570" s="22" t="n"/>
      <c r="Q570" s="22" t="n"/>
      <c r="R570" s="22" t="n"/>
      <c r="S570" s="22" t="n"/>
      <c r="T570" s="22" t="n"/>
      <c r="U570" s="22" t="n"/>
      <c r="V570" s="22" t="n"/>
      <c r="W570" s="22" t="n"/>
      <c r="X570" s="22" t="n"/>
    </row>
    <row r="571">
      <c r="A571" s="324" t="n"/>
      <c r="B571" s="22" t="n"/>
      <c r="C571" s="22" t="n"/>
      <c r="D571" s="22" t="n"/>
      <c r="E571" s="22" t="n"/>
      <c r="F571" s="22" t="n"/>
      <c r="G571" s="22" t="n"/>
      <c r="H571" s="22" t="n"/>
      <c r="I571" s="22" t="n"/>
      <c r="J571" s="22" t="n"/>
      <c r="K571" s="22" t="n"/>
      <c r="L571" s="22" t="n"/>
      <c r="M571" s="22" t="n"/>
      <c r="N571" s="22" t="n"/>
      <c r="O571" s="22" t="n"/>
      <c r="P571" s="22" t="n"/>
      <c r="Q571" s="22" t="n"/>
      <c r="R571" s="22" t="n"/>
      <c r="S571" s="22" t="n"/>
      <c r="T571" s="22" t="n"/>
      <c r="U571" s="22" t="n"/>
      <c r="V571" s="22" t="n"/>
      <c r="W571" s="22" t="n"/>
      <c r="X571" s="22" t="n"/>
    </row>
    <row r="572">
      <c r="A572" s="324" t="n"/>
      <c r="B572" s="22" t="n"/>
      <c r="C572" s="22" t="n"/>
      <c r="D572" s="22" t="n"/>
      <c r="E572" s="22" t="n"/>
      <c r="F572" s="22" t="n"/>
      <c r="G572" s="22" t="n"/>
      <c r="H572" s="22" t="n"/>
      <c r="I572" s="22" t="n"/>
      <c r="J572" s="22" t="n"/>
      <c r="K572" s="22" t="n"/>
      <c r="L572" s="22" t="n"/>
      <c r="M572" s="22" t="n"/>
      <c r="N572" s="22" t="n"/>
      <c r="O572" s="22" t="n"/>
      <c r="P572" s="22" t="n"/>
      <c r="Q572" s="22" t="n"/>
      <c r="R572" s="22" t="n"/>
      <c r="S572" s="22" t="n"/>
      <c r="T572" s="22" t="n"/>
      <c r="U572" s="22" t="n"/>
      <c r="V572" s="22" t="n"/>
      <c r="W572" s="22" t="n"/>
      <c r="X572" s="22" t="n"/>
    </row>
    <row r="573">
      <c r="A573" s="324" t="n"/>
      <c r="B573" s="22" t="n"/>
      <c r="C573" s="22" t="n"/>
      <c r="D573" s="22" t="n"/>
      <c r="E573" s="22" t="n"/>
      <c r="F573" s="22" t="n"/>
      <c r="G573" s="22" t="n"/>
      <c r="H573" s="22" t="n"/>
      <c r="I573" s="22" t="n"/>
      <c r="J573" s="22" t="n"/>
      <c r="K573" s="22" t="n"/>
      <c r="L573" s="22" t="n"/>
      <c r="M573" s="22" t="n"/>
      <c r="N573" s="22" t="n"/>
      <c r="O573" s="22" t="n"/>
      <c r="P573" s="22" t="n"/>
      <c r="Q573" s="22" t="n"/>
      <c r="R573" s="22" t="n"/>
      <c r="S573" s="22" t="n"/>
      <c r="T573" s="22" t="n"/>
      <c r="U573" s="22" t="n"/>
      <c r="V573" s="22" t="n"/>
      <c r="W573" s="22" t="n"/>
      <c r="X573" s="22" t="n"/>
    </row>
    <row r="574">
      <c r="A574" s="324" t="n"/>
      <c r="B574" s="22" t="n"/>
      <c r="C574" s="22" t="n"/>
      <c r="D574" s="22" t="n"/>
      <c r="E574" s="22" t="n"/>
      <c r="F574" s="22" t="n"/>
      <c r="G574" s="22" t="n"/>
      <c r="H574" s="22" t="n"/>
      <c r="I574" s="22" t="n"/>
      <c r="J574" s="22" t="n"/>
      <c r="K574" s="22" t="n"/>
      <c r="L574" s="22" t="n"/>
      <c r="M574" s="22" t="n"/>
      <c r="N574" s="22" t="n"/>
      <c r="O574" s="22" t="n"/>
      <c r="P574" s="22" t="n"/>
      <c r="Q574" s="22" t="n"/>
      <c r="R574" s="22" t="n"/>
      <c r="S574" s="22" t="n"/>
      <c r="T574" s="22" t="n"/>
      <c r="U574" s="22" t="n"/>
      <c r="V574" s="22" t="n"/>
      <c r="W574" s="22" t="n"/>
      <c r="X574" s="22" t="n"/>
    </row>
    <row r="575">
      <c r="A575" s="324" t="n"/>
      <c r="B575" s="22" t="n"/>
      <c r="C575" s="22" t="n"/>
      <c r="D575" s="22" t="n"/>
      <c r="E575" s="22" t="n"/>
      <c r="F575" s="22" t="n"/>
      <c r="G575" s="22" t="n"/>
      <c r="H575" s="22" t="n"/>
      <c r="I575" s="22" t="n"/>
      <c r="J575" s="22" t="n"/>
      <c r="K575" s="22" t="n"/>
      <c r="L575" s="22" t="n"/>
      <c r="M575" s="22" t="n"/>
      <c r="N575" s="22" t="n"/>
      <c r="O575" s="22" t="n"/>
      <c r="P575" s="22" t="n"/>
      <c r="Q575" s="22" t="n"/>
      <c r="R575" s="22" t="n"/>
      <c r="S575" s="22" t="n"/>
      <c r="T575" s="22" t="n"/>
      <c r="U575" s="22" t="n"/>
      <c r="V575" s="22" t="n"/>
      <c r="W575" s="22" t="n"/>
      <c r="X575" s="22" t="n"/>
    </row>
    <row r="576">
      <c r="A576" s="324" t="n"/>
      <c r="B576" s="22" t="n"/>
      <c r="C576" s="22" t="n"/>
      <c r="D576" s="22" t="n"/>
      <c r="E576" s="22" t="n"/>
      <c r="F576" s="22" t="n"/>
      <c r="G576" s="22" t="n"/>
      <c r="H576" s="22" t="n"/>
      <c r="I576" s="22" t="n"/>
      <c r="J576" s="22" t="n"/>
      <c r="K576" s="22" t="n"/>
      <c r="L576" s="22" t="n"/>
      <c r="M576" s="22" t="n"/>
      <c r="N576" s="22" t="n"/>
      <c r="O576" s="22" t="n"/>
      <c r="P576" s="22" t="n"/>
      <c r="Q576" s="22" t="n"/>
      <c r="R576" s="22" t="n"/>
      <c r="S576" s="22" t="n"/>
      <c r="T576" s="22" t="n"/>
      <c r="U576" s="22" t="n"/>
      <c r="V576" s="22" t="n"/>
      <c r="W576" s="22" t="n"/>
      <c r="X576" s="22" t="n"/>
    </row>
    <row r="577">
      <c r="A577" s="324" t="n"/>
      <c r="B577" s="22" t="n"/>
      <c r="C577" s="22" t="n"/>
      <c r="D577" s="22" t="n"/>
      <c r="E577" s="22" t="n"/>
      <c r="F577" s="22" t="n"/>
      <c r="G577" s="22" t="n"/>
      <c r="H577" s="22" t="n"/>
      <c r="I577" s="22" t="n"/>
      <c r="J577" s="22" t="n"/>
      <c r="K577" s="22" t="n"/>
      <c r="L577" s="22" t="n"/>
      <c r="M577" s="22" t="n"/>
      <c r="N577" s="22" t="n"/>
      <c r="O577" s="22" t="n"/>
      <c r="P577" s="22" t="n"/>
      <c r="Q577" s="22" t="n"/>
      <c r="R577" s="22" t="n"/>
      <c r="S577" s="22" t="n"/>
      <c r="T577" s="22" t="n"/>
      <c r="U577" s="22" t="n"/>
      <c r="V577" s="22" t="n"/>
      <c r="W577" s="22" t="n"/>
      <c r="X577" s="22" t="n"/>
    </row>
    <row r="578">
      <c r="A578" s="324" t="n"/>
      <c r="B578" s="22" t="n"/>
      <c r="C578" s="22" t="n"/>
      <c r="D578" s="22" t="n"/>
      <c r="E578" s="22" t="n"/>
      <c r="F578" s="22" t="n"/>
      <c r="G578" s="22" t="n"/>
      <c r="H578" s="22" t="n"/>
      <c r="I578" s="22" t="n"/>
      <c r="J578" s="22" t="n"/>
      <c r="K578" s="22" t="n"/>
      <c r="L578" s="22" t="n"/>
      <c r="M578" s="22" t="n"/>
      <c r="N578" s="22" t="n"/>
      <c r="O578" s="22" t="n"/>
      <c r="P578" s="22" t="n"/>
      <c r="Q578" s="22" t="n"/>
      <c r="R578" s="22" t="n"/>
      <c r="S578" s="22" t="n"/>
      <c r="T578" s="22" t="n"/>
      <c r="U578" s="22" t="n"/>
      <c r="V578" s="22" t="n"/>
      <c r="W578" s="22" t="n"/>
      <c r="X578" s="22" t="n"/>
    </row>
    <row r="579">
      <c r="A579" s="324" t="n"/>
      <c r="B579" s="22" t="n"/>
      <c r="C579" s="22" t="n"/>
      <c r="D579" s="22" t="n"/>
      <c r="E579" s="22" t="n"/>
      <c r="F579" s="22" t="n"/>
      <c r="G579" s="22" t="n"/>
      <c r="H579" s="22" t="n"/>
      <c r="I579" s="22" t="n"/>
      <c r="J579" s="22" t="n"/>
      <c r="K579" s="22" t="n"/>
      <c r="L579" s="22" t="n"/>
      <c r="M579" s="22" t="n"/>
      <c r="N579" s="22" t="n"/>
      <c r="O579" s="22" t="n"/>
      <c r="P579" s="22" t="n"/>
      <c r="Q579" s="22" t="n"/>
      <c r="R579" s="22" t="n"/>
      <c r="S579" s="22" t="n"/>
      <c r="T579" s="22" t="n"/>
      <c r="U579" s="22" t="n"/>
      <c r="V579" s="22" t="n"/>
      <c r="W579" s="22" t="n"/>
      <c r="X579" s="22" t="n"/>
    </row>
    <row r="580">
      <c r="A580" s="324" t="n"/>
      <c r="B580" s="22" t="n"/>
      <c r="C580" s="22" t="n"/>
      <c r="D580" s="22" t="n"/>
      <c r="E580" s="22" t="n"/>
      <c r="F580" s="22" t="n"/>
      <c r="G580" s="22" t="n"/>
      <c r="H580" s="22" t="n"/>
      <c r="I580" s="22" t="n"/>
      <c r="J580" s="22" t="n"/>
      <c r="K580" s="22" t="n"/>
      <c r="L580" s="22" t="n"/>
      <c r="M580" s="22" t="n"/>
      <c r="N580" s="22" t="n"/>
      <c r="O580" s="22" t="n"/>
      <c r="P580" s="22" t="n"/>
      <c r="Q580" s="22" t="n"/>
      <c r="R580" s="22" t="n"/>
      <c r="S580" s="22" t="n"/>
      <c r="T580" s="22" t="n"/>
      <c r="U580" s="22" t="n"/>
      <c r="V580" s="22" t="n"/>
      <c r="W580" s="22" t="n"/>
      <c r="X580" s="22" t="n"/>
    </row>
    <row r="581">
      <c r="A581" s="324" t="n"/>
      <c r="B581" s="22" t="n"/>
      <c r="C581" s="22" t="n"/>
      <c r="D581" s="22" t="n"/>
      <c r="E581" s="22" t="n"/>
      <c r="F581" s="22" t="n"/>
      <c r="G581" s="22" t="n"/>
      <c r="H581" s="22" t="n"/>
      <c r="I581" s="22" t="n"/>
      <c r="J581" s="22" t="n"/>
      <c r="K581" s="22" t="n"/>
      <c r="L581" s="22" t="n"/>
      <c r="M581" s="22" t="n"/>
      <c r="N581" s="22" t="n"/>
      <c r="O581" s="22" t="n"/>
      <c r="P581" s="22" t="n"/>
      <c r="Q581" s="22" t="n"/>
      <c r="R581" s="22" t="n"/>
      <c r="S581" s="22" t="n"/>
      <c r="T581" s="22" t="n"/>
      <c r="U581" s="22" t="n"/>
      <c r="V581" s="22" t="n"/>
      <c r="W581" s="22" t="n"/>
      <c r="X581" s="22" t="n"/>
    </row>
    <row r="582">
      <c r="A582" s="324" t="n"/>
      <c r="B582" s="22" t="n"/>
      <c r="C582" s="22" t="n"/>
      <c r="D582" s="22" t="n"/>
      <c r="E582" s="22" t="n"/>
      <c r="F582" s="22" t="n"/>
      <c r="G582" s="22" t="n"/>
      <c r="H582" s="22" t="n"/>
      <c r="I582" s="22" t="n"/>
      <c r="J582" s="22" t="n"/>
      <c r="K582" s="22" t="n"/>
      <c r="L582" s="22" t="n"/>
      <c r="M582" s="22" t="n"/>
      <c r="N582" s="22" t="n"/>
      <c r="O582" s="22" t="n"/>
      <c r="P582" s="22" t="n"/>
      <c r="Q582" s="22" t="n"/>
      <c r="R582" s="22" t="n"/>
      <c r="S582" s="22" t="n"/>
      <c r="T582" s="22" t="n"/>
      <c r="U582" s="22" t="n"/>
      <c r="V582" s="22" t="n"/>
      <c r="W582" s="22" t="n"/>
      <c r="X582" s="22" t="n"/>
    </row>
    <row r="583">
      <c r="A583" s="324" t="n"/>
      <c r="B583" s="22" t="n"/>
      <c r="C583" s="22" t="n"/>
      <c r="D583" s="22" t="n"/>
      <c r="E583" s="22" t="n"/>
      <c r="F583" s="22" t="n"/>
      <c r="G583" s="22" t="n"/>
      <c r="H583" s="22" t="n"/>
      <c r="I583" s="22" t="n"/>
      <c r="J583" s="22" t="n"/>
      <c r="K583" s="22" t="n"/>
      <c r="L583" s="22" t="n"/>
      <c r="M583" s="22" t="n"/>
      <c r="N583" s="22" t="n"/>
      <c r="O583" s="22" t="n"/>
      <c r="P583" s="22" t="n"/>
      <c r="Q583" s="22" t="n"/>
      <c r="R583" s="22" t="n"/>
      <c r="S583" s="22" t="n"/>
      <c r="T583" s="22" t="n"/>
      <c r="U583" s="22" t="n"/>
      <c r="V583" s="22" t="n"/>
      <c r="W583" s="22" t="n"/>
      <c r="X583" s="22" t="n"/>
    </row>
    <row r="584">
      <c r="A584" s="324" t="n"/>
      <c r="B584" s="22" t="n"/>
      <c r="C584" s="22" t="n"/>
      <c r="D584" s="22" t="n"/>
      <c r="E584" s="22" t="n"/>
      <c r="F584" s="22" t="n"/>
      <c r="G584" s="22" t="n"/>
      <c r="H584" s="22" t="n"/>
      <c r="I584" s="22" t="n"/>
      <c r="J584" s="22" t="n"/>
      <c r="K584" s="22" t="n"/>
      <c r="L584" s="22" t="n"/>
      <c r="M584" s="22" t="n"/>
      <c r="N584" s="22" t="n"/>
      <c r="O584" s="22" t="n"/>
      <c r="P584" s="22" t="n"/>
      <c r="Q584" s="22" t="n"/>
      <c r="R584" s="22" t="n"/>
      <c r="S584" s="22" t="n"/>
      <c r="T584" s="22" t="n"/>
      <c r="U584" s="22" t="n"/>
      <c r="V584" s="22" t="n"/>
      <c r="W584" s="22" t="n"/>
      <c r="X584" s="22" t="n"/>
    </row>
    <row r="585">
      <c r="A585" s="324" t="n"/>
      <c r="B585" s="22" t="n"/>
      <c r="C585" s="22" t="n"/>
      <c r="D585" s="22" t="n"/>
      <c r="E585" s="22" t="n"/>
      <c r="F585" s="22" t="n"/>
      <c r="G585" s="22" t="n"/>
      <c r="H585" s="22" t="n"/>
      <c r="I585" s="22" t="n"/>
      <c r="J585" s="22" t="n"/>
      <c r="K585" s="22" t="n"/>
      <c r="L585" s="22" t="n"/>
      <c r="M585" s="22" t="n"/>
      <c r="N585" s="22" t="n"/>
      <c r="O585" s="22" t="n"/>
      <c r="P585" s="22" t="n"/>
      <c r="Q585" s="22" t="n"/>
      <c r="R585" s="22" t="n"/>
      <c r="S585" s="22" t="n"/>
      <c r="T585" s="22" t="n"/>
      <c r="U585" s="22" t="n"/>
      <c r="V585" s="22" t="n"/>
      <c r="W585" s="22" t="n"/>
      <c r="X585" s="22" t="n"/>
    </row>
    <row r="586">
      <c r="A586" s="324" t="n"/>
      <c r="B586" s="22" t="n"/>
      <c r="C586" s="22" t="n"/>
      <c r="D586" s="22" t="n"/>
      <c r="E586" s="22" t="n"/>
      <c r="F586" s="22" t="n"/>
      <c r="G586" s="22" t="n"/>
      <c r="H586" s="22" t="n"/>
      <c r="I586" s="22" t="n"/>
      <c r="J586" s="22" t="n"/>
      <c r="K586" s="22" t="n"/>
      <c r="L586" s="22" t="n"/>
      <c r="M586" s="22" t="n"/>
      <c r="N586" s="22" t="n"/>
      <c r="O586" s="22" t="n"/>
      <c r="P586" s="22" t="n"/>
      <c r="Q586" s="22" t="n"/>
      <c r="R586" s="22" t="n"/>
      <c r="S586" s="22" t="n"/>
      <c r="T586" s="22" t="n"/>
      <c r="U586" s="22" t="n"/>
      <c r="V586" s="22" t="n"/>
      <c r="W586" s="22" t="n"/>
      <c r="X586" s="22" t="n"/>
    </row>
    <row r="587">
      <c r="A587" s="324" t="n"/>
      <c r="B587" s="22" t="n"/>
      <c r="C587" s="22" t="n"/>
      <c r="D587" s="22" t="n"/>
      <c r="E587" s="22" t="n"/>
      <c r="F587" s="22" t="n"/>
      <c r="G587" s="22" t="n"/>
      <c r="H587" s="22" t="n"/>
      <c r="I587" s="22" t="n"/>
      <c r="J587" s="22" t="n"/>
      <c r="K587" s="22" t="n"/>
      <c r="L587" s="22" t="n"/>
      <c r="M587" s="22" t="n"/>
      <c r="N587" s="22" t="n"/>
      <c r="O587" s="22" t="n"/>
      <c r="P587" s="22" t="n"/>
      <c r="Q587" s="22" t="n"/>
      <c r="R587" s="22" t="n"/>
      <c r="S587" s="22" t="n"/>
      <c r="T587" s="22" t="n"/>
      <c r="U587" s="22" t="n"/>
      <c r="V587" s="22" t="n"/>
      <c r="W587" s="22" t="n"/>
      <c r="X587" s="22" t="n"/>
    </row>
    <row r="588">
      <c r="A588" s="324" t="n"/>
      <c r="B588" s="22" t="n"/>
      <c r="C588" s="22" t="n"/>
      <c r="D588" s="22" t="n"/>
      <c r="E588" s="22" t="n"/>
      <c r="F588" s="22" t="n"/>
      <c r="G588" s="22" t="n"/>
      <c r="H588" s="22" t="n"/>
      <c r="I588" s="22" t="n"/>
      <c r="J588" s="22" t="n"/>
      <c r="K588" s="22" t="n"/>
      <c r="L588" s="22" t="n"/>
      <c r="M588" s="22" t="n"/>
      <c r="N588" s="22" t="n"/>
      <c r="O588" s="22" t="n"/>
      <c r="P588" s="22" t="n"/>
      <c r="Q588" s="22" t="n"/>
      <c r="R588" s="22" t="n"/>
      <c r="S588" s="22" t="n"/>
      <c r="T588" s="22" t="n"/>
      <c r="U588" s="22" t="n"/>
      <c r="V588" s="22" t="n"/>
      <c r="W588" s="22" t="n"/>
      <c r="X588" s="22" t="n"/>
    </row>
    <row r="589">
      <c r="A589" s="324" t="n"/>
      <c r="B589" s="22" t="n"/>
      <c r="C589" s="22" t="n"/>
      <c r="D589" s="22" t="n"/>
      <c r="E589" s="22" t="n"/>
      <c r="F589" s="22" t="n"/>
      <c r="G589" s="22" t="n"/>
      <c r="H589" s="22" t="n"/>
      <c r="I589" s="22" t="n"/>
      <c r="J589" s="22" t="n"/>
      <c r="K589" s="22" t="n"/>
      <c r="L589" s="22" t="n"/>
      <c r="M589" s="22" t="n"/>
      <c r="N589" s="22" t="n"/>
      <c r="O589" s="22" t="n"/>
      <c r="P589" s="22" t="n"/>
      <c r="Q589" s="22" t="n"/>
      <c r="R589" s="22" t="n"/>
      <c r="S589" s="22" t="n"/>
      <c r="T589" s="22" t="n"/>
      <c r="U589" s="22" t="n"/>
      <c r="V589" s="22" t="n"/>
      <c r="W589" s="22" t="n"/>
      <c r="X589" s="22" t="n"/>
    </row>
    <row r="590">
      <c r="A590" s="324" t="n"/>
      <c r="B590" s="22" t="n"/>
      <c r="C590" s="22" t="n"/>
      <c r="D590" s="22" t="n"/>
      <c r="E590" s="22" t="n"/>
      <c r="F590" s="22" t="n"/>
      <c r="G590" s="22" t="n"/>
      <c r="H590" s="22" t="n"/>
      <c r="I590" s="22" t="n"/>
      <c r="J590" s="22" t="n"/>
      <c r="K590" s="22" t="n"/>
      <c r="L590" s="22" t="n"/>
      <c r="M590" s="22" t="n"/>
      <c r="N590" s="22" t="n"/>
      <c r="O590" s="22" t="n"/>
      <c r="P590" s="22" t="n"/>
      <c r="Q590" s="22" t="n"/>
      <c r="R590" s="22" t="n"/>
      <c r="S590" s="22" t="n"/>
      <c r="T590" s="22" t="n"/>
      <c r="U590" s="22" t="n"/>
      <c r="V590" s="22" t="n"/>
      <c r="W590" s="22" t="n"/>
      <c r="X590" s="22" t="n"/>
    </row>
    <row r="591">
      <c r="A591" s="324" t="n"/>
      <c r="B591" s="22" t="n"/>
      <c r="C591" s="22" t="n"/>
      <c r="D591" s="22" t="n"/>
      <c r="E591" s="22" t="n"/>
      <c r="F591" s="22" t="n"/>
      <c r="G591" s="22" t="n"/>
      <c r="H591" s="22" t="n"/>
      <c r="I591" s="22" t="n"/>
      <c r="J591" s="22" t="n"/>
      <c r="K591" s="22" t="n"/>
      <c r="L591" s="22" t="n"/>
      <c r="M591" s="22" t="n"/>
      <c r="N591" s="22" t="n"/>
      <c r="O591" s="22" t="n"/>
      <c r="P591" s="22" t="n"/>
      <c r="Q591" s="22" t="n"/>
      <c r="R591" s="22" t="n"/>
      <c r="S591" s="22" t="n"/>
      <c r="T591" s="22" t="n"/>
      <c r="U591" s="22" t="n"/>
      <c r="V591" s="22" t="n"/>
      <c r="W591" s="22" t="n"/>
      <c r="X591" s="22" t="n"/>
    </row>
    <row r="592">
      <c r="A592" s="324" t="n"/>
      <c r="B592" s="22" t="n"/>
      <c r="C592" s="22" t="n"/>
      <c r="D592" s="22" t="n"/>
      <c r="E592" s="22" t="n"/>
      <c r="F592" s="22" t="n"/>
      <c r="G592" s="22" t="n"/>
      <c r="H592" s="22" t="n"/>
      <c r="I592" s="22" t="n"/>
      <c r="J592" s="22" t="n"/>
      <c r="K592" s="22" t="n"/>
      <c r="L592" s="22" t="n"/>
      <c r="M592" s="22" t="n"/>
      <c r="N592" s="22" t="n"/>
      <c r="O592" s="22" t="n"/>
      <c r="P592" s="22" t="n"/>
      <c r="Q592" s="22" t="n"/>
      <c r="R592" s="22" t="n"/>
      <c r="S592" s="22" t="n"/>
      <c r="T592" s="22" t="n"/>
      <c r="U592" s="22" t="n"/>
      <c r="V592" s="22" t="n"/>
      <c r="W592" s="22" t="n"/>
      <c r="X592" s="22" t="n"/>
    </row>
    <row r="593">
      <c r="A593" s="324" t="n"/>
      <c r="B593" s="22" t="n"/>
      <c r="C593" s="22" t="n"/>
      <c r="D593" s="22" t="n"/>
      <c r="E593" s="22" t="n"/>
      <c r="F593" s="22" t="n"/>
      <c r="G593" s="22" t="n"/>
      <c r="H593" s="22" t="n"/>
      <c r="I593" s="22" t="n"/>
      <c r="J593" s="22" t="n"/>
      <c r="K593" s="22" t="n"/>
      <c r="L593" s="22" t="n"/>
      <c r="M593" s="22" t="n"/>
      <c r="N593" s="22" t="n"/>
      <c r="O593" s="22" t="n"/>
      <c r="P593" s="22" t="n"/>
      <c r="Q593" s="22" t="n"/>
      <c r="R593" s="22" t="n"/>
      <c r="S593" s="22" t="n"/>
      <c r="T593" s="22" t="n"/>
      <c r="U593" s="22" t="n"/>
      <c r="V593" s="22" t="n"/>
      <c r="W593" s="22" t="n"/>
      <c r="X593" s="22" t="n"/>
    </row>
    <row r="594">
      <c r="A594" s="324" t="n"/>
      <c r="B594" s="22" t="n"/>
      <c r="C594" s="22" t="n"/>
      <c r="D594" s="22" t="n"/>
      <c r="E594" s="22" t="n"/>
      <c r="F594" s="22" t="n"/>
      <c r="G594" s="22" t="n"/>
      <c r="H594" s="22" t="n"/>
      <c r="I594" s="22" t="n"/>
      <c r="J594" s="22" t="n"/>
      <c r="K594" s="22" t="n"/>
      <c r="L594" s="22" t="n"/>
      <c r="M594" s="22" t="n"/>
      <c r="N594" s="22" t="n"/>
      <c r="O594" s="22" t="n"/>
      <c r="P594" s="22" t="n"/>
      <c r="Q594" s="22" t="n"/>
      <c r="R594" s="22" t="n"/>
      <c r="S594" s="22" t="n"/>
      <c r="T594" s="22" t="n"/>
      <c r="U594" s="22" t="n"/>
      <c r="V594" s="22" t="n"/>
      <c r="W594" s="22" t="n"/>
      <c r="X594" s="22" t="n"/>
    </row>
    <row r="595">
      <c r="A595" s="324" t="n"/>
      <c r="B595" s="22" t="n"/>
      <c r="C595" s="22" t="n"/>
      <c r="D595" s="22" t="n"/>
      <c r="E595" s="22" t="n"/>
      <c r="F595" s="22" t="n"/>
      <c r="G595" s="22" t="n"/>
      <c r="H595" s="22" t="n"/>
      <c r="I595" s="22" t="n"/>
      <c r="J595" s="22" t="n"/>
      <c r="K595" s="22" t="n"/>
      <c r="L595" s="22" t="n"/>
      <c r="M595" s="22" t="n"/>
      <c r="N595" s="22" t="n"/>
      <c r="O595" s="22" t="n"/>
      <c r="P595" s="22" t="n"/>
      <c r="Q595" s="22" t="n"/>
      <c r="R595" s="22" t="n"/>
      <c r="S595" s="22" t="n"/>
      <c r="T595" s="22" t="n"/>
      <c r="U595" s="22" t="n"/>
      <c r="V595" s="22" t="n"/>
      <c r="W595" s="22" t="n"/>
      <c r="X595" s="22" t="n"/>
    </row>
    <row r="596">
      <c r="A596" s="324" t="n"/>
      <c r="B596" s="22" t="n"/>
      <c r="C596" s="22" t="n"/>
      <c r="D596" s="22" t="n"/>
      <c r="E596" s="22" t="n"/>
      <c r="F596" s="22" t="n"/>
      <c r="G596" s="22" t="n"/>
      <c r="H596" s="22" t="n"/>
      <c r="I596" s="22" t="n"/>
      <c r="J596" s="22" t="n"/>
      <c r="K596" s="22" t="n"/>
      <c r="L596" s="22" t="n"/>
      <c r="M596" s="22" t="n"/>
      <c r="N596" s="22" t="n"/>
      <c r="O596" s="22" t="n"/>
      <c r="P596" s="22" t="n"/>
      <c r="Q596" s="22" t="n"/>
      <c r="R596" s="22" t="n"/>
      <c r="S596" s="22" t="n"/>
      <c r="T596" s="22" t="n"/>
      <c r="U596" s="22" t="n"/>
      <c r="V596" s="22" t="n"/>
      <c r="W596" s="22" t="n"/>
      <c r="X596" s="22" t="n"/>
    </row>
    <row r="597">
      <c r="A597" s="324" t="n"/>
      <c r="B597" s="22" t="n"/>
      <c r="C597" s="22" t="n"/>
      <c r="D597" s="22" t="n"/>
      <c r="E597" s="22" t="n"/>
      <c r="F597" s="22" t="n"/>
      <c r="G597" s="22" t="n"/>
      <c r="H597" s="22" t="n"/>
      <c r="I597" s="22" t="n"/>
      <c r="J597" s="22" t="n"/>
      <c r="K597" s="22" t="n"/>
      <c r="L597" s="22" t="n"/>
      <c r="M597" s="22" t="n"/>
      <c r="N597" s="22" t="n"/>
      <c r="O597" s="22" t="n"/>
      <c r="P597" s="22" t="n"/>
      <c r="Q597" s="22" t="n"/>
      <c r="R597" s="22" t="n"/>
      <c r="S597" s="22" t="n"/>
      <c r="T597" s="22" t="n"/>
      <c r="U597" s="22" t="n"/>
      <c r="V597" s="22" t="n"/>
      <c r="W597" s="22" t="n"/>
      <c r="X597" s="22" t="n"/>
    </row>
    <row r="598">
      <c r="A598" s="324" t="n"/>
      <c r="B598" s="22" t="n"/>
      <c r="C598" s="22" t="n"/>
      <c r="D598" s="22" t="n"/>
      <c r="E598" s="22" t="n"/>
      <c r="F598" s="22" t="n"/>
      <c r="G598" s="22" t="n"/>
      <c r="H598" s="22" t="n"/>
      <c r="I598" s="22" t="n"/>
      <c r="J598" s="22" t="n"/>
      <c r="K598" s="22" t="n"/>
      <c r="L598" s="22" t="n"/>
      <c r="M598" s="22" t="n"/>
      <c r="N598" s="22" t="n"/>
      <c r="O598" s="22" t="n"/>
      <c r="P598" s="22" t="n"/>
      <c r="Q598" s="22" t="n"/>
      <c r="R598" s="22" t="n"/>
      <c r="S598" s="22" t="n"/>
      <c r="T598" s="22" t="n"/>
      <c r="U598" s="22" t="n"/>
      <c r="V598" s="22" t="n"/>
      <c r="W598" s="22" t="n"/>
      <c r="X598" s="22" t="n"/>
    </row>
    <row r="599">
      <c r="A599" s="324" t="n"/>
      <c r="B599" s="22" t="n"/>
      <c r="C599" s="22" t="n"/>
      <c r="D599" s="22" t="n"/>
      <c r="E599" s="22" t="n"/>
      <c r="F599" s="22" t="n"/>
      <c r="G599" s="22" t="n"/>
      <c r="H599" s="22" t="n"/>
      <c r="I599" s="22" t="n"/>
      <c r="J599" s="22" t="n"/>
      <c r="K599" s="22" t="n"/>
      <c r="L599" s="22" t="n"/>
      <c r="M599" s="22" t="n"/>
      <c r="N599" s="22" t="n"/>
      <c r="O599" s="22" t="n"/>
      <c r="P599" s="22" t="n"/>
      <c r="Q599" s="22" t="n"/>
      <c r="R599" s="22" t="n"/>
      <c r="S599" s="22" t="n"/>
      <c r="T599" s="22" t="n"/>
      <c r="U599" s="22" t="n"/>
      <c r="V599" s="22" t="n"/>
      <c r="W599" s="22" t="n"/>
      <c r="X599" s="22" t="n"/>
    </row>
    <row r="600">
      <c r="A600" s="324" t="n"/>
      <c r="B600" s="22" t="n"/>
      <c r="C600" s="22" t="n"/>
      <c r="D600" s="22" t="n"/>
      <c r="E600" s="22" t="n"/>
      <c r="F600" s="22" t="n"/>
      <c r="G600" s="22" t="n"/>
      <c r="H600" s="22" t="n"/>
      <c r="I600" s="22" t="n"/>
      <c r="J600" s="22" t="n"/>
      <c r="K600" s="22" t="n"/>
      <c r="L600" s="22" t="n"/>
      <c r="M600" s="22" t="n"/>
      <c r="N600" s="22" t="n"/>
      <c r="O600" s="22" t="n"/>
      <c r="P600" s="22" t="n"/>
      <c r="Q600" s="22" t="n"/>
      <c r="R600" s="22" t="n"/>
      <c r="S600" s="22" t="n"/>
      <c r="T600" s="22" t="n"/>
      <c r="U600" s="22" t="n"/>
      <c r="V600" s="22" t="n"/>
      <c r="W600" s="22" t="n"/>
      <c r="X600" s="22" t="n"/>
    </row>
    <row r="601">
      <c r="A601" s="324" t="n"/>
      <c r="B601" s="22" t="n"/>
      <c r="C601" s="22" t="n"/>
      <c r="D601" s="22" t="n"/>
      <c r="E601" s="22" t="n"/>
      <c r="F601" s="22" t="n"/>
      <c r="G601" s="22" t="n"/>
      <c r="H601" s="22" t="n"/>
      <c r="I601" s="22" t="n"/>
      <c r="J601" s="22" t="n"/>
      <c r="K601" s="22" t="n"/>
      <c r="L601" s="22" t="n"/>
      <c r="M601" s="22" t="n"/>
      <c r="N601" s="22" t="n"/>
      <c r="O601" s="22" t="n"/>
      <c r="P601" s="22" t="n"/>
      <c r="Q601" s="22" t="n"/>
      <c r="R601" s="22" t="n"/>
      <c r="S601" s="22" t="n"/>
      <c r="T601" s="22" t="n"/>
      <c r="U601" s="22" t="n"/>
      <c r="V601" s="22" t="n"/>
      <c r="W601" s="22" t="n"/>
      <c r="X601" s="22" t="n"/>
    </row>
    <row r="602">
      <c r="A602" s="324" t="n"/>
      <c r="B602" s="22" t="n"/>
      <c r="C602" s="22" t="n"/>
      <c r="D602" s="22" t="n"/>
      <c r="E602" s="22" t="n"/>
      <c r="F602" s="22" t="n"/>
      <c r="G602" s="22" t="n"/>
      <c r="H602" s="22" t="n"/>
      <c r="I602" s="22" t="n"/>
      <c r="J602" s="22" t="n"/>
      <c r="K602" s="22" t="n"/>
      <c r="L602" s="22" t="n"/>
      <c r="M602" s="22" t="n"/>
      <c r="N602" s="22" t="n"/>
      <c r="O602" s="22" t="n"/>
      <c r="P602" s="22" t="n"/>
      <c r="Q602" s="22" t="n"/>
      <c r="R602" s="22" t="n"/>
      <c r="S602" s="22" t="n"/>
      <c r="T602" s="22" t="n"/>
      <c r="U602" s="22" t="n"/>
      <c r="V602" s="22" t="n"/>
      <c r="W602" s="22" t="n"/>
      <c r="X602" s="22" t="n"/>
    </row>
    <row r="603">
      <c r="A603" s="324" t="n"/>
      <c r="B603" s="22" t="n"/>
      <c r="C603" s="22" t="n"/>
      <c r="D603" s="22" t="n"/>
      <c r="E603" s="22" t="n"/>
      <c r="F603" s="22" t="n"/>
      <c r="G603" s="22" t="n"/>
      <c r="H603" s="22" t="n"/>
      <c r="I603" s="22" t="n"/>
      <c r="J603" s="22" t="n"/>
      <c r="K603" s="22" t="n"/>
      <c r="L603" s="22" t="n"/>
      <c r="M603" s="22" t="n"/>
      <c r="N603" s="22" t="n"/>
      <c r="O603" s="22" t="n"/>
      <c r="P603" s="22" t="n"/>
      <c r="Q603" s="22" t="n"/>
      <c r="R603" s="22" t="n"/>
      <c r="S603" s="22" t="n"/>
      <c r="T603" s="22" t="n"/>
      <c r="U603" s="22" t="n"/>
      <c r="V603" s="22" t="n"/>
      <c r="W603" s="22" t="n"/>
      <c r="X603" s="22" t="n"/>
    </row>
    <row r="604">
      <c r="A604" s="324" t="n"/>
      <c r="B604" s="22" t="n"/>
      <c r="C604" s="22" t="n"/>
      <c r="D604" s="22" t="n"/>
      <c r="E604" s="22" t="n"/>
      <c r="F604" s="22" t="n"/>
      <c r="G604" s="22" t="n"/>
      <c r="H604" s="22" t="n"/>
      <c r="I604" s="22" t="n"/>
      <c r="J604" s="22" t="n"/>
      <c r="K604" s="22" t="n"/>
      <c r="L604" s="22" t="n"/>
      <c r="M604" s="22" t="n"/>
      <c r="N604" s="22" t="n"/>
      <c r="O604" s="22" t="n"/>
      <c r="P604" s="22" t="n"/>
      <c r="Q604" s="22" t="n"/>
      <c r="R604" s="22" t="n"/>
      <c r="S604" s="22" t="n"/>
      <c r="T604" s="22" t="n"/>
      <c r="U604" s="22" t="n"/>
      <c r="V604" s="22" t="n"/>
      <c r="W604" s="22" t="n"/>
      <c r="X604" s="22" t="n"/>
    </row>
    <row r="605">
      <c r="A605" s="324" t="n"/>
      <c r="B605" s="22" t="n"/>
      <c r="C605" s="22" t="n"/>
      <c r="D605" s="22" t="n"/>
      <c r="E605" s="22" t="n"/>
      <c r="F605" s="22" t="n"/>
      <c r="G605" s="22" t="n"/>
      <c r="H605" s="22" t="n"/>
      <c r="I605" s="22" t="n"/>
      <c r="J605" s="22" t="n"/>
      <c r="K605" s="22" t="n"/>
      <c r="L605" s="22" t="n"/>
      <c r="M605" s="22" t="n"/>
      <c r="N605" s="22" t="n"/>
      <c r="O605" s="22" t="n"/>
      <c r="P605" s="22" t="n"/>
      <c r="Q605" s="22" t="n"/>
      <c r="R605" s="22" t="n"/>
      <c r="S605" s="22" t="n"/>
      <c r="T605" s="22" t="n"/>
      <c r="U605" s="22" t="n"/>
      <c r="V605" s="22" t="n"/>
      <c r="W605" s="22" t="n"/>
      <c r="X605" s="22" t="n"/>
    </row>
    <row r="606">
      <c r="A606" s="324" t="n"/>
      <c r="B606" s="22" t="n"/>
      <c r="C606" s="22" t="n"/>
      <c r="D606" s="22" t="n"/>
      <c r="E606" s="22" t="n"/>
      <c r="F606" s="22" t="n"/>
      <c r="G606" s="22" t="n"/>
      <c r="H606" s="22" t="n"/>
      <c r="I606" s="22" t="n"/>
      <c r="J606" s="22" t="n"/>
      <c r="K606" s="22" t="n"/>
      <c r="L606" s="22" t="n"/>
      <c r="M606" s="22" t="n"/>
      <c r="N606" s="22" t="n"/>
      <c r="O606" s="22" t="n"/>
      <c r="P606" s="22" t="n"/>
      <c r="Q606" s="22" t="n"/>
      <c r="R606" s="22" t="n"/>
      <c r="S606" s="22" t="n"/>
      <c r="T606" s="22" t="n"/>
      <c r="U606" s="22" t="n"/>
      <c r="V606" s="22" t="n"/>
      <c r="W606" s="22" t="n"/>
      <c r="X606" s="22" t="n"/>
    </row>
    <row r="607">
      <c r="A607" s="324" t="n"/>
      <c r="B607" s="22" t="n"/>
      <c r="C607" s="22" t="n"/>
      <c r="D607" s="22" t="n"/>
      <c r="E607" s="22" t="n"/>
      <c r="F607" s="22" t="n"/>
      <c r="G607" s="22" t="n"/>
      <c r="H607" s="22" t="n"/>
      <c r="I607" s="22" t="n"/>
      <c r="J607" s="22" t="n"/>
      <c r="K607" s="22" t="n"/>
      <c r="L607" s="22" t="n"/>
      <c r="M607" s="22" t="n"/>
      <c r="N607" s="22" t="n"/>
      <c r="O607" s="22" t="n"/>
      <c r="P607" s="22" t="n"/>
      <c r="Q607" s="22" t="n"/>
      <c r="R607" s="22" t="n"/>
      <c r="S607" s="22" t="n"/>
      <c r="T607" s="22" t="n"/>
      <c r="U607" s="22" t="n"/>
      <c r="V607" s="22" t="n"/>
      <c r="W607" s="22" t="n"/>
      <c r="X607" s="22" t="n"/>
    </row>
    <row r="608">
      <c r="A608" s="324" t="n"/>
      <c r="B608" s="22" t="n"/>
      <c r="C608" s="22" t="n"/>
      <c r="D608" s="22" t="n"/>
      <c r="E608" s="22" t="n"/>
      <c r="F608" s="22" t="n"/>
      <c r="G608" s="22" t="n"/>
      <c r="H608" s="22" t="n"/>
      <c r="I608" s="22" t="n"/>
      <c r="J608" s="22" t="n"/>
      <c r="K608" s="22" t="n"/>
      <c r="L608" s="22" t="n"/>
      <c r="M608" s="22" t="n"/>
      <c r="N608" s="22" t="n"/>
      <c r="O608" s="22" t="n"/>
      <c r="P608" s="22" t="n"/>
      <c r="Q608" s="22" t="n"/>
      <c r="R608" s="22" t="n"/>
      <c r="S608" s="22" t="n"/>
      <c r="T608" s="22" t="n"/>
      <c r="U608" s="22" t="n"/>
      <c r="V608" s="22" t="n"/>
      <c r="W608" s="22" t="n"/>
      <c r="X608" s="22" t="n"/>
    </row>
    <row r="609">
      <c r="A609" s="324" t="n"/>
      <c r="B609" s="22" t="n"/>
      <c r="C609" s="22" t="n"/>
      <c r="D609" s="22" t="n"/>
      <c r="E609" s="22" t="n"/>
      <c r="F609" s="22" t="n"/>
      <c r="G609" s="22" t="n"/>
      <c r="H609" s="22" t="n"/>
      <c r="I609" s="22" t="n"/>
      <c r="J609" s="22" t="n"/>
      <c r="K609" s="22" t="n"/>
      <c r="L609" s="22" t="n"/>
      <c r="M609" s="22" t="n"/>
      <c r="N609" s="22" t="n"/>
      <c r="O609" s="22" t="n"/>
      <c r="P609" s="22" t="n"/>
      <c r="Q609" s="22" t="n"/>
      <c r="R609" s="22" t="n"/>
      <c r="S609" s="22" t="n"/>
      <c r="T609" s="22" t="n"/>
      <c r="U609" s="22" t="n"/>
      <c r="V609" s="22" t="n"/>
      <c r="W609" s="22" t="n"/>
      <c r="X609" s="22" t="n"/>
    </row>
    <row r="610">
      <c r="A610" s="324" t="n"/>
      <c r="B610" s="22" t="n"/>
      <c r="C610" s="22" t="n"/>
      <c r="D610" s="22" t="n"/>
      <c r="E610" s="22" t="n"/>
      <c r="F610" s="22" t="n"/>
      <c r="G610" s="22" t="n"/>
      <c r="H610" s="22" t="n"/>
      <c r="I610" s="22" t="n"/>
      <c r="J610" s="22" t="n"/>
      <c r="K610" s="22" t="n"/>
      <c r="L610" s="22" t="n"/>
      <c r="M610" s="22" t="n"/>
      <c r="N610" s="22" t="n"/>
      <c r="O610" s="22" t="n"/>
      <c r="P610" s="22" t="n"/>
      <c r="Q610" s="22" t="n"/>
      <c r="R610" s="22" t="n"/>
      <c r="S610" s="22" t="n"/>
      <c r="T610" s="22" t="n"/>
      <c r="U610" s="22" t="n"/>
      <c r="V610" s="22" t="n"/>
      <c r="W610" s="22" t="n"/>
      <c r="X610" s="22" t="n"/>
    </row>
    <row r="611">
      <c r="A611" s="324" t="n"/>
      <c r="B611" s="22" t="n"/>
      <c r="C611" s="22" t="n"/>
      <c r="D611" s="22" t="n"/>
      <c r="E611" s="22" t="n"/>
      <c r="F611" s="22" t="n"/>
      <c r="G611" s="22" t="n"/>
      <c r="H611" s="22" t="n"/>
      <c r="I611" s="22" t="n"/>
      <c r="J611" s="22" t="n"/>
      <c r="K611" s="22" t="n"/>
      <c r="L611" s="22" t="n"/>
      <c r="M611" s="22" t="n"/>
      <c r="N611" s="22" t="n"/>
      <c r="O611" s="22" t="n"/>
      <c r="P611" s="22" t="n"/>
      <c r="Q611" s="22" t="n"/>
      <c r="R611" s="22" t="n"/>
      <c r="S611" s="22" t="n"/>
      <c r="T611" s="22" t="n"/>
      <c r="U611" s="22" t="n"/>
      <c r="V611" s="22" t="n"/>
      <c r="W611" s="22" t="n"/>
      <c r="X611" s="22" t="n"/>
    </row>
    <row r="612">
      <c r="A612" s="324" t="n"/>
      <c r="B612" s="22" t="n"/>
      <c r="C612" s="22" t="n"/>
      <c r="D612" s="22" t="n"/>
      <c r="E612" s="22" t="n"/>
      <c r="F612" s="22" t="n"/>
      <c r="G612" s="22" t="n"/>
      <c r="H612" s="22" t="n"/>
      <c r="I612" s="22" t="n"/>
      <c r="J612" s="22" t="n"/>
      <c r="K612" s="22" t="n"/>
      <c r="L612" s="22" t="n"/>
      <c r="M612" s="22" t="n"/>
      <c r="N612" s="22" t="n"/>
      <c r="O612" s="22" t="n"/>
      <c r="P612" s="22" t="n"/>
      <c r="Q612" s="22" t="n"/>
      <c r="R612" s="22" t="n"/>
      <c r="S612" s="22" t="n"/>
      <c r="T612" s="22" t="n"/>
      <c r="U612" s="22" t="n"/>
      <c r="V612" s="22" t="n"/>
      <c r="W612" s="22" t="n"/>
      <c r="X612" s="22" t="n"/>
    </row>
    <row r="613">
      <c r="A613" s="324" t="n"/>
      <c r="B613" s="22" t="n"/>
      <c r="C613" s="22" t="n"/>
      <c r="D613" s="22" t="n"/>
      <c r="E613" s="22" t="n"/>
      <c r="F613" s="22" t="n"/>
      <c r="G613" s="22" t="n"/>
      <c r="H613" s="22" t="n"/>
      <c r="I613" s="22" t="n"/>
      <c r="J613" s="22" t="n"/>
      <c r="K613" s="22" t="n"/>
      <c r="L613" s="22" t="n"/>
      <c r="M613" s="22" t="n"/>
      <c r="N613" s="22" t="n"/>
      <c r="O613" s="22" t="n"/>
      <c r="P613" s="22" t="n"/>
      <c r="Q613" s="22" t="n"/>
      <c r="R613" s="22" t="n"/>
      <c r="S613" s="22" t="n"/>
      <c r="T613" s="22" t="n"/>
      <c r="U613" s="22" t="n"/>
      <c r="V613" s="22" t="n"/>
      <c r="W613" s="22" t="n"/>
      <c r="X613" s="22" t="n"/>
    </row>
    <row r="614">
      <c r="A614" s="324" t="n"/>
      <c r="B614" s="22" t="n"/>
      <c r="C614" s="22" t="n"/>
      <c r="D614" s="22" t="n"/>
      <c r="E614" s="22" t="n"/>
      <c r="F614" s="22" t="n"/>
      <c r="G614" s="22" t="n"/>
      <c r="H614" s="22" t="n"/>
      <c r="I614" s="22" t="n"/>
      <c r="J614" s="22" t="n"/>
      <c r="K614" s="22" t="n"/>
      <c r="L614" s="22" t="n"/>
      <c r="M614" s="22" t="n"/>
      <c r="N614" s="22" t="n"/>
      <c r="O614" s="22" t="n"/>
      <c r="P614" s="22" t="n"/>
      <c r="Q614" s="22" t="n"/>
      <c r="R614" s="22" t="n"/>
      <c r="S614" s="22" t="n"/>
      <c r="T614" s="22" t="n"/>
      <c r="U614" s="22" t="n"/>
      <c r="V614" s="22" t="n"/>
      <c r="W614" s="22" t="n"/>
      <c r="X614" s="22" t="n"/>
    </row>
    <row r="615">
      <c r="A615" s="324" t="n"/>
      <c r="B615" s="22" t="n"/>
      <c r="C615" s="22" t="n"/>
      <c r="D615" s="22" t="n"/>
      <c r="E615" s="22" t="n"/>
      <c r="F615" s="22" t="n"/>
      <c r="G615" s="22" t="n"/>
      <c r="H615" s="22" t="n"/>
      <c r="I615" s="22" t="n"/>
      <c r="J615" s="22" t="n"/>
      <c r="K615" s="22" t="n"/>
      <c r="L615" s="22" t="n"/>
      <c r="M615" s="22" t="n"/>
      <c r="N615" s="22" t="n"/>
      <c r="O615" s="22" t="n"/>
      <c r="P615" s="22" t="n"/>
      <c r="Q615" s="22" t="n"/>
      <c r="R615" s="22" t="n"/>
      <c r="S615" s="22" t="n"/>
      <c r="T615" s="22" t="n"/>
      <c r="U615" s="22" t="n"/>
      <c r="V615" s="22" t="n"/>
      <c r="W615" s="22" t="n"/>
      <c r="X615" s="22" t="n"/>
    </row>
    <row r="616">
      <c r="A616" s="324" t="n"/>
      <c r="B616" s="22" t="n"/>
      <c r="C616" s="22" t="n"/>
      <c r="D616" s="22" t="n"/>
      <c r="E616" s="22" t="n"/>
      <c r="F616" s="22" t="n"/>
      <c r="G616" s="22" t="n"/>
      <c r="H616" s="22" t="n"/>
      <c r="I616" s="22" t="n"/>
      <c r="J616" s="22" t="n"/>
      <c r="K616" s="22" t="n"/>
      <c r="L616" s="22" t="n"/>
      <c r="M616" s="22" t="n"/>
      <c r="N616" s="22" t="n"/>
      <c r="O616" s="22" t="n"/>
      <c r="P616" s="22" t="n"/>
      <c r="Q616" s="22" t="n"/>
      <c r="R616" s="22" t="n"/>
      <c r="S616" s="22" t="n"/>
      <c r="T616" s="22" t="n"/>
      <c r="U616" s="22" t="n"/>
      <c r="V616" s="22" t="n"/>
      <c r="W616" s="22" t="n"/>
      <c r="X616" s="22" t="n"/>
    </row>
    <row r="617">
      <c r="A617" s="324" t="n"/>
      <c r="B617" s="22" t="n"/>
      <c r="C617" s="22" t="n"/>
      <c r="D617" s="22" t="n"/>
      <c r="E617" s="22" t="n"/>
      <c r="F617" s="22" t="n"/>
      <c r="G617" s="22" t="n"/>
      <c r="H617" s="22" t="n"/>
      <c r="I617" s="22" t="n"/>
      <c r="J617" s="22" t="n"/>
      <c r="K617" s="22" t="n"/>
      <c r="L617" s="22" t="n"/>
      <c r="M617" s="22" t="n"/>
      <c r="N617" s="22" t="n"/>
      <c r="O617" s="22" t="n"/>
      <c r="P617" s="22" t="n"/>
      <c r="Q617" s="22" t="n"/>
      <c r="R617" s="22" t="n"/>
      <c r="S617" s="22" t="n"/>
      <c r="T617" s="22" t="n"/>
      <c r="U617" s="22" t="n"/>
      <c r="V617" s="22" t="n"/>
      <c r="W617" s="22" t="n"/>
      <c r="X617" s="22" t="n"/>
    </row>
    <row r="618">
      <c r="A618" s="324" t="n"/>
      <c r="B618" s="22" t="n"/>
      <c r="C618" s="22" t="n"/>
      <c r="D618" s="22" t="n"/>
      <c r="E618" s="22" t="n"/>
      <c r="F618" s="22" t="n"/>
      <c r="G618" s="22" t="n"/>
      <c r="H618" s="22" t="n"/>
      <c r="I618" s="22" t="n"/>
      <c r="J618" s="22" t="n"/>
      <c r="K618" s="22" t="n"/>
      <c r="L618" s="22" t="n"/>
      <c r="M618" s="22" t="n"/>
      <c r="N618" s="22" t="n"/>
      <c r="O618" s="22" t="n"/>
      <c r="P618" s="22" t="n"/>
      <c r="Q618" s="22" t="n"/>
      <c r="R618" s="22" t="n"/>
      <c r="S618" s="22" t="n"/>
      <c r="T618" s="22" t="n"/>
      <c r="U618" s="22" t="n"/>
      <c r="V618" s="22" t="n"/>
      <c r="W618" s="22" t="n"/>
      <c r="X618" s="22" t="n"/>
    </row>
    <row r="619">
      <c r="A619" s="324" t="n"/>
      <c r="B619" s="22" t="n"/>
      <c r="C619" s="22" t="n"/>
      <c r="D619" s="22" t="n"/>
      <c r="E619" s="22" t="n"/>
      <c r="F619" s="22" t="n"/>
      <c r="G619" s="22" t="n"/>
      <c r="H619" s="22" t="n"/>
      <c r="I619" s="22" t="n"/>
      <c r="J619" s="22" t="n"/>
      <c r="K619" s="22" t="n"/>
      <c r="L619" s="22" t="n"/>
      <c r="M619" s="22" t="n"/>
      <c r="N619" s="22" t="n"/>
      <c r="O619" s="22" t="n"/>
      <c r="P619" s="22" t="n"/>
      <c r="Q619" s="22" t="n"/>
      <c r="R619" s="22" t="n"/>
      <c r="S619" s="22" t="n"/>
      <c r="T619" s="22" t="n"/>
      <c r="U619" s="22" t="n"/>
      <c r="V619" s="22" t="n"/>
      <c r="W619" s="22" t="n"/>
      <c r="X619" s="22" t="n"/>
    </row>
    <row r="620">
      <c r="A620" s="324" t="n"/>
      <c r="B620" s="22" t="n"/>
      <c r="C620" s="22" t="n"/>
      <c r="D620" s="22" t="n"/>
      <c r="E620" s="22" t="n"/>
      <c r="F620" s="22" t="n"/>
      <c r="G620" s="22" t="n"/>
      <c r="H620" s="22" t="n"/>
      <c r="I620" s="22" t="n"/>
      <c r="J620" s="22" t="n"/>
      <c r="K620" s="22" t="n"/>
      <c r="L620" s="22" t="n"/>
      <c r="M620" s="22" t="n"/>
      <c r="N620" s="22" t="n"/>
      <c r="O620" s="22" t="n"/>
      <c r="P620" s="22" t="n"/>
      <c r="Q620" s="22" t="n"/>
      <c r="R620" s="22" t="n"/>
      <c r="S620" s="22" t="n"/>
      <c r="T620" s="22" t="n"/>
      <c r="U620" s="22" t="n"/>
      <c r="V620" s="22" t="n"/>
      <c r="W620" s="22" t="n"/>
      <c r="X620" s="22" t="n"/>
    </row>
    <row r="621">
      <c r="A621" s="324" t="n"/>
      <c r="B621" s="22" t="n"/>
      <c r="C621" s="22" t="n"/>
      <c r="D621" s="22" t="n"/>
      <c r="E621" s="22" t="n"/>
      <c r="F621" s="22" t="n"/>
      <c r="G621" s="22" t="n"/>
      <c r="H621" s="22" t="n"/>
      <c r="I621" s="22" t="n"/>
      <c r="J621" s="22" t="n"/>
      <c r="K621" s="22" t="n"/>
      <c r="L621" s="22" t="n"/>
      <c r="M621" s="22" t="n"/>
      <c r="N621" s="22" t="n"/>
      <c r="O621" s="22" t="n"/>
      <c r="P621" s="22" t="n"/>
      <c r="Q621" s="22" t="n"/>
      <c r="R621" s="22" t="n"/>
      <c r="S621" s="22" t="n"/>
      <c r="T621" s="22" t="n"/>
      <c r="U621" s="22" t="n"/>
      <c r="V621" s="22" t="n"/>
      <c r="W621" s="22" t="n"/>
      <c r="X621" s="22" t="n"/>
    </row>
    <row r="622">
      <c r="A622" s="324" t="n"/>
      <c r="B622" s="22" t="n"/>
      <c r="C622" s="22" t="n"/>
      <c r="D622" s="22" t="n"/>
      <c r="E622" s="22" t="n"/>
      <c r="F622" s="22" t="n"/>
      <c r="G622" s="22" t="n"/>
      <c r="H622" s="22" t="n"/>
      <c r="I622" s="22" t="n"/>
      <c r="J622" s="22" t="n"/>
      <c r="K622" s="22" t="n"/>
      <c r="L622" s="22" t="n"/>
      <c r="M622" s="22" t="n"/>
      <c r="N622" s="22" t="n"/>
      <c r="O622" s="22" t="n"/>
      <c r="P622" s="22" t="n"/>
      <c r="Q622" s="22" t="n"/>
      <c r="R622" s="22" t="n"/>
      <c r="S622" s="22" t="n"/>
      <c r="T622" s="22" t="n"/>
      <c r="U622" s="22" t="n"/>
      <c r="V622" s="22" t="n"/>
      <c r="W622" s="22" t="n"/>
      <c r="X622" s="22" t="n"/>
    </row>
    <row r="623">
      <c r="A623" s="324" t="n"/>
      <c r="B623" s="22" t="n"/>
      <c r="C623" s="22" t="n"/>
      <c r="D623" s="22" t="n"/>
      <c r="E623" s="22" t="n"/>
      <c r="F623" s="22" t="n"/>
      <c r="G623" s="22" t="n"/>
      <c r="H623" s="22" t="n"/>
      <c r="I623" s="22" t="n"/>
      <c r="J623" s="22" t="n"/>
      <c r="K623" s="22" t="n"/>
      <c r="L623" s="22" t="n"/>
      <c r="M623" s="22" t="n"/>
      <c r="N623" s="22" t="n"/>
      <c r="O623" s="22" t="n"/>
      <c r="P623" s="22" t="n"/>
      <c r="Q623" s="22" t="n"/>
      <c r="R623" s="22" t="n"/>
      <c r="S623" s="22" t="n"/>
      <c r="T623" s="22" t="n"/>
      <c r="U623" s="22" t="n"/>
      <c r="V623" s="22" t="n"/>
      <c r="W623" s="22" t="n"/>
      <c r="X623" s="22" t="n"/>
    </row>
    <row r="624">
      <c r="A624" s="324" t="n"/>
      <c r="B624" s="22" t="n"/>
      <c r="C624" s="22" t="n"/>
      <c r="D624" s="22" t="n"/>
      <c r="E624" s="22" t="n"/>
      <c r="F624" s="22" t="n"/>
      <c r="G624" s="22" t="n"/>
      <c r="H624" s="22" t="n"/>
      <c r="I624" s="22" t="n"/>
      <c r="J624" s="22" t="n"/>
      <c r="K624" s="22" t="n"/>
      <c r="L624" s="22" t="n"/>
      <c r="M624" s="22" t="n"/>
      <c r="N624" s="22" t="n"/>
      <c r="O624" s="22" t="n"/>
      <c r="P624" s="22" t="n"/>
      <c r="Q624" s="22" t="n"/>
      <c r="R624" s="22" t="n"/>
      <c r="S624" s="22" t="n"/>
      <c r="T624" s="22" t="n"/>
      <c r="U624" s="22" t="n"/>
      <c r="V624" s="22" t="n"/>
      <c r="W624" s="22" t="n"/>
      <c r="X624" s="22" t="n"/>
    </row>
    <row r="625">
      <c r="A625" s="324" t="n"/>
      <c r="B625" s="22" t="n"/>
      <c r="C625" s="22" t="n"/>
      <c r="D625" s="22" t="n"/>
      <c r="E625" s="22" t="n"/>
      <c r="F625" s="22" t="n"/>
      <c r="G625" s="22" t="n"/>
      <c r="H625" s="22" t="n"/>
      <c r="I625" s="22" t="n"/>
      <c r="J625" s="22" t="n"/>
      <c r="K625" s="22" t="n"/>
      <c r="L625" s="22" t="n"/>
      <c r="M625" s="22" t="n"/>
      <c r="N625" s="22" t="n"/>
      <c r="O625" s="22" t="n"/>
      <c r="P625" s="22" t="n"/>
      <c r="Q625" s="22" t="n"/>
      <c r="R625" s="22" t="n"/>
      <c r="S625" s="22" t="n"/>
      <c r="T625" s="22" t="n"/>
      <c r="U625" s="22" t="n"/>
      <c r="V625" s="22" t="n"/>
      <c r="W625" s="22" t="n"/>
      <c r="X625" s="22" t="n"/>
    </row>
    <row r="626">
      <c r="A626" s="324" t="n"/>
      <c r="B626" s="22" t="n"/>
      <c r="C626" s="22" t="n"/>
      <c r="D626" s="22" t="n"/>
      <c r="E626" s="22" t="n"/>
      <c r="F626" s="22" t="n"/>
      <c r="G626" s="22" t="n"/>
      <c r="H626" s="22" t="n"/>
      <c r="I626" s="22" t="n"/>
      <c r="J626" s="22" t="n"/>
      <c r="K626" s="22" t="n"/>
      <c r="L626" s="22" t="n"/>
      <c r="M626" s="22" t="n"/>
      <c r="N626" s="22" t="n"/>
      <c r="O626" s="22" t="n"/>
      <c r="P626" s="22" t="n"/>
      <c r="Q626" s="22" t="n"/>
      <c r="R626" s="22" t="n"/>
      <c r="S626" s="22" t="n"/>
      <c r="T626" s="22" t="n"/>
      <c r="U626" s="22" t="n"/>
      <c r="V626" s="22" t="n"/>
      <c r="W626" s="22" t="n"/>
      <c r="X626" s="22" t="n"/>
    </row>
    <row r="627">
      <c r="A627" s="324" t="n"/>
      <c r="B627" s="22" t="n"/>
      <c r="C627" s="22" t="n"/>
      <c r="D627" s="22" t="n"/>
      <c r="E627" s="22" t="n"/>
      <c r="F627" s="22" t="n"/>
      <c r="G627" s="22" t="n"/>
      <c r="H627" s="22" t="n"/>
      <c r="I627" s="22" t="n"/>
      <c r="J627" s="22" t="n"/>
      <c r="K627" s="22" t="n"/>
      <c r="L627" s="22" t="n"/>
      <c r="M627" s="22" t="n"/>
      <c r="N627" s="22" t="n"/>
      <c r="O627" s="22" t="n"/>
      <c r="P627" s="22" t="n"/>
      <c r="Q627" s="22" t="n"/>
      <c r="R627" s="22" t="n"/>
      <c r="S627" s="22" t="n"/>
      <c r="T627" s="22" t="n"/>
      <c r="U627" s="22" t="n"/>
      <c r="V627" s="22" t="n"/>
      <c r="W627" s="22" t="n"/>
      <c r="X627" s="22" t="n"/>
    </row>
    <row r="628">
      <c r="A628" s="324" t="n"/>
      <c r="B628" s="22" t="n"/>
      <c r="C628" s="22" t="n"/>
      <c r="D628" s="22" t="n"/>
      <c r="E628" s="22" t="n"/>
      <c r="F628" s="22" t="n"/>
      <c r="G628" s="22" t="n"/>
      <c r="H628" s="22" t="n"/>
      <c r="I628" s="22" t="n"/>
      <c r="J628" s="22" t="n"/>
      <c r="K628" s="22" t="n"/>
      <c r="L628" s="22" t="n"/>
      <c r="M628" s="22" t="n"/>
      <c r="N628" s="22" t="n"/>
      <c r="O628" s="22" t="n"/>
      <c r="P628" s="22" t="n"/>
      <c r="Q628" s="22" t="n"/>
      <c r="R628" s="22" t="n"/>
      <c r="S628" s="22" t="n"/>
      <c r="T628" s="22" t="n"/>
      <c r="U628" s="22" t="n"/>
      <c r="V628" s="22" t="n"/>
      <c r="W628" s="22" t="n"/>
      <c r="X628" s="22" t="n"/>
    </row>
    <row r="629">
      <c r="A629" s="324" t="n"/>
      <c r="B629" s="22" t="n"/>
      <c r="C629" s="22" t="n"/>
      <c r="D629" s="22" t="n"/>
      <c r="E629" s="22" t="n"/>
      <c r="F629" s="22" t="n"/>
      <c r="G629" s="22" t="n"/>
      <c r="H629" s="22" t="n"/>
      <c r="I629" s="22" t="n"/>
      <c r="J629" s="22" t="n"/>
      <c r="K629" s="22" t="n"/>
      <c r="L629" s="22" t="n"/>
      <c r="M629" s="22" t="n"/>
      <c r="N629" s="22" t="n"/>
      <c r="O629" s="22" t="n"/>
      <c r="P629" s="22" t="n"/>
      <c r="Q629" s="22" t="n"/>
      <c r="R629" s="22" t="n"/>
      <c r="S629" s="22" t="n"/>
      <c r="T629" s="22" t="n"/>
      <c r="U629" s="22" t="n"/>
      <c r="V629" s="22" t="n"/>
      <c r="W629" s="22" t="n"/>
      <c r="X629" s="22" t="n"/>
    </row>
    <row r="630">
      <c r="A630" s="324" t="n"/>
      <c r="B630" s="22" t="n"/>
      <c r="C630" s="22" t="n"/>
      <c r="D630" s="22" t="n"/>
      <c r="E630" s="22" t="n"/>
      <c r="F630" s="22" t="n"/>
      <c r="G630" s="22" t="n"/>
      <c r="H630" s="22" t="n"/>
      <c r="I630" s="22" t="n"/>
      <c r="J630" s="22" t="n"/>
      <c r="K630" s="22" t="n"/>
      <c r="L630" s="22" t="n"/>
      <c r="M630" s="22" t="n"/>
      <c r="N630" s="22" t="n"/>
      <c r="O630" s="22" t="n"/>
      <c r="P630" s="22" t="n"/>
      <c r="Q630" s="22" t="n"/>
      <c r="R630" s="22" t="n"/>
      <c r="S630" s="22" t="n"/>
      <c r="T630" s="22" t="n"/>
      <c r="U630" s="22" t="n"/>
      <c r="V630" s="22" t="n"/>
      <c r="W630" s="22" t="n"/>
      <c r="X630" s="22" t="n"/>
    </row>
    <row r="631">
      <c r="A631" s="324" t="n"/>
      <c r="B631" s="22" t="n"/>
      <c r="C631" s="22" t="n"/>
      <c r="D631" s="22" t="n"/>
      <c r="E631" s="22" t="n"/>
      <c r="F631" s="22" t="n"/>
      <c r="G631" s="22" t="n"/>
      <c r="H631" s="22" t="n"/>
      <c r="I631" s="22" t="n"/>
      <c r="J631" s="22" t="n"/>
      <c r="K631" s="22" t="n"/>
      <c r="L631" s="22" t="n"/>
      <c r="M631" s="22" t="n"/>
      <c r="N631" s="22" t="n"/>
      <c r="O631" s="22" t="n"/>
      <c r="P631" s="22" t="n"/>
      <c r="Q631" s="22" t="n"/>
      <c r="R631" s="22" t="n"/>
      <c r="S631" s="22" t="n"/>
      <c r="T631" s="22" t="n"/>
      <c r="U631" s="22" t="n"/>
      <c r="V631" s="22" t="n"/>
      <c r="W631" s="22" t="n"/>
      <c r="X631" s="22" t="n"/>
    </row>
    <row r="632">
      <c r="A632" s="324" t="n"/>
      <c r="B632" s="22" t="n"/>
      <c r="C632" s="22" t="n"/>
      <c r="D632" s="22" t="n"/>
      <c r="E632" s="22" t="n"/>
      <c r="F632" s="22" t="n"/>
      <c r="G632" s="22" t="n"/>
      <c r="H632" s="22" t="n"/>
      <c r="I632" s="22" t="n"/>
      <c r="J632" s="22" t="n"/>
      <c r="K632" s="22" t="n"/>
      <c r="L632" s="22" t="n"/>
      <c r="M632" s="22" t="n"/>
      <c r="N632" s="22" t="n"/>
      <c r="O632" s="22" t="n"/>
      <c r="P632" s="22" t="n"/>
      <c r="Q632" s="22" t="n"/>
      <c r="R632" s="22" t="n"/>
      <c r="S632" s="22" t="n"/>
      <c r="T632" s="22" t="n"/>
      <c r="U632" s="22" t="n"/>
      <c r="V632" s="22" t="n"/>
      <c r="W632" s="22" t="n"/>
      <c r="X632" s="22" t="n"/>
    </row>
    <row r="633">
      <c r="A633" s="324" t="n"/>
      <c r="B633" s="22" t="n"/>
      <c r="C633" s="22" t="n"/>
      <c r="D633" s="22" t="n"/>
      <c r="E633" s="22" t="n"/>
      <c r="F633" s="22" t="n"/>
      <c r="G633" s="22" t="n"/>
      <c r="H633" s="22" t="n"/>
      <c r="I633" s="22" t="n"/>
      <c r="J633" s="22" t="n"/>
      <c r="K633" s="22" t="n"/>
      <c r="L633" s="22" t="n"/>
      <c r="M633" s="22" t="n"/>
      <c r="N633" s="22" t="n"/>
      <c r="O633" s="22" t="n"/>
      <c r="P633" s="22" t="n"/>
      <c r="Q633" s="22" t="n"/>
      <c r="R633" s="22" t="n"/>
      <c r="S633" s="22" t="n"/>
      <c r="T633" s="22" t="n"/>
      <c r="U633" s="22" t="n"/>
      <c r="V633" s="22" t="n"/>
      <c r="W633" s="22" t="n"/>
      <c r="X633" s="22" t="n"/>
    </row>
    <row r="634">
      <c r="A634" s="324" t="n"/>
      <c r="B634" s="22" t="n"/>
      <c r="C634" s="22" t="n"/>
      <c r="D634" s="22" t="n"/>
      <c r="E634" s="22" t="n"/>
      <c r="F634" s="22" t="n"/>
      <c r="G634" s="22" t="n"/>
      <c r="H634" s="22" t="n"/>
      <c r="I634" s="22" t="n"/>
      <c r="J634" s="22" t="n"/>
      <c r="K634" s="22" t="n"/>
      <c r="L634" s="22" t="n"/>
      <c r="M634" s="22" t="n"/>
      <c r="N634" s="22" t="n"/>
      <c r="O634" s="22" t="n"/>
      <c r="P634" s="22" t="n"/>
      <c r="Q634" s="22" t="n"/>
      <c r="R634" s="22" t="n"/>
      <c r="S634" s="22" t="n"/>
      <c r="T634" s="22" t="n"/>
      <c r="U634" s="22" t="n"/>
      <c r="V634" s="22" t="n"/>
      <c r="W634" s="22" t="n"/>
      <c r="X634" s="22" t="n"/>
    </row>
    <row r="635">
      <c r="A635" s="324" t="n"/>
      <c r="B635" s="22" t="n"/>
      <c r="C635" s="22" t="n"/>
      <c r="D635" s="22" t="n"/>
      <c r="E635" s="22" t="n"/>
      <c r="F635" s="22" t="n"/>
      <c r="G635" s="22" t="n"/>
      <c r="H635" s="22" t="n"/>
      <c r="I635" s="22" t="n"/>
      <c r="J635" s="22" t="n"/>
      <c r="K635" s="22" t="n"/>
      <c r="L635" s="22" t="n"/>
      <c r="M635" s="22" t="n"/>
      <c r="N635" s="22" t="n"/>
      <c r="O635" s="22" t="n"/>
      <c r="P635" s="22" t="n"/>
      <c r="Q635" s="22" t="n"/>
      <c r="R635" s="22" t="n"/>
      <c r="S635" s="22" t="n"/>
      <c r="T635" s="22" t="n"/>
      <c r="U635" s="22" t="n"/>
      <c r="V635" s="22" t="n"/>
      <c r="W635" s="22" t="n"/>
      <c r="X635" s="22" t="n"/>
    </row>
    <row r="636">
      <c r="A636" s="324" t="n"/>
      <c r="B636" s="22" t="n"/>
      <c r="C636" s="22" t="n"/>
      <c r="D636" s="22" t="n"/>
      <c r="E636" s="22" t="n"/>
      <c r="F636" s="22" t="n"/>
      <c r="G636" s="22" t="n"/>
      <c r="H636" s="22" t="n"/>
      <c r="I636" s="22" t="n"/>
      <c r="J636" s="22" t="n"/>
      <c r="K636" s="22" t="n"/>
      <c r="L636" s="22" t="n"/>
      <c r="M636" s="22" t="n"/>
      <c r="N636" s="22" t="n"/>
      <c r="O636" s="22" t="n"/>
      <c r="P636" s="22" t="n"/>
      <c r="Q636" s="22" t="n"/>
      <c r="R636" s="22" t="n"/>
      <c r="S636" s="22" t="n"/>
      <c r="T636" s="22" t="n"/>
      <c r="U636" s="22" t="n"/>
      <c r="V636" s="22" t="n"/>
      <c r="W636" s="22" t="n"/>
      <c r="X636" s="22" t="n"/>
    </row>
    <row r="637">
      <c r="A637" s="324" t="n"/>
      <c r="B637" s="22" t="n"/>
      <c r="C637" s="22" t="n"/>
      <c r="D637" s="22" t="n"/>
      <c r="E637" s="22" t="n"/>
      <c r="F637" s="22" t="n"/>
      <c r="G637" s="22" t="n"/>
      <c r="H637" s="22" t="n"/>
      <c r="I637" s="22" t="n"/>
      <c r="J637" s="22" t="n"/>
      <c r="K637" s="22" t="n"/>
      <c r="L637" s="22" t="n"/>
      <c r="M637" s="22" t="n"/>
      <c r="N637" s="22" t="n"/>
      <c r="O637" s="22" t="n"/>
      <c r="P637" s="22" t="n"/>
      <c r="Q637" s="22" t="n"/>
      <c r="R637" s="22" t="n"/>
      <c r="S637" s="22" t="n"/>
      <c r="T637" s="22" t="n"/>
      <c r="U637" s="22" t="n"/>
      <c r="V637" s="22" t="n"/>
      <c r="W637" s="22" t="n"/>
      <c r="X637" s="22" t="n"/>
    </row>
    <row r="638">
      <c r="A638" s="324" t="n"/>
      <c r="B638" s="22" t="n"/>
      <c r="C638" s="22" t="n"/>
      <c r="D638" s="22" t="n"/>
      <c r="E638" s="22" t="n"/>
      <c r="F638" s="22" t="n"/>
      <c r="G638" s="22" t="n"/>
      <c r="H638" s="22" t="n"/>
      <c r="I638" s="22" t="n"/>
      <c r="J638" s="22" t="n"/>
      <c r="K638" s="22" t="n"/>
      <c r="L638" s="22" t="n"/>
      <c r="M638" s="22" t="n"/>
      <c r="N638" s="22" t="n"/>
      <c r="O638" s="22" t="n"/>
      <c r="P638" s="22" t="n"/>
      <c r="Q638" s="22" t="n"/>
      <c r="R638" s="22" t="n"/>
      <c r="S638" s="22" t="n"/>
      <c r="T638" s="22" t="n"/>
      <c r="U638" s="22" t="n"/>
      <c r="V638" s="22" t="n"/>
      <c r="W638" s="22" t="n"/>
      <c r="X638" s="22" t="n"/>
    </row>
    <row r="639">
      <c r="A639" s="324" t="n"/>
      <c r="B639" s="22" t="n"/>
      <c r="C639" s="22" t="n"/>
      <c r="D639" s="22" t="n"/>
      <c r="E639" s="22" t="n"/>
      <c r="F639" s="22" t="n"/>
      <c r="G639" s="22" t="n"/>
      <c r="H639" s="22" t="n"/>
      <c r="I639" s="22" t="n"/>
      <c r="J639" s="22" t="n"/>
      <c r="K639" s="22" t="n"/>
      <c r="L639" s="22" t="n"/>
      <c r="M639" s="22" t="n"/>
      <c r="N639" s="22" t="n"/>
      <c r="O639" s="22" t="n"/>
      <c r="P639" s="22" t="n"/>
      <c r="Q639" s="22" t="n"/>
      <c r="R639" s="22" t="n"/>
      <c r="S639" s="22" t="n"/>
      <c r="T639" s="22" t="n"/>
      <c r="U639" s="22" t="n"/>
      <c r="V639" s="22" t="n"/>
      <c r="W639" s="22" t="n"/>
      <c r="X639" s="22" t="n"/>
    </row>
    <row r="640">
      <c r="A640" s="324" t="n"/>
      <c r="B640" s="22" t="n"/>
      <c r="C640" s="22" t="n"/>
      <c r="D640" s="22" t="n"/>
      <c r="E640" s="22" t="n"/>
      <c r="F640" s="22" t="n"/>
      <c r="G640" s="22" t="n"/>
      <c r="H640" s="22" t="n"/>
      <c r="I640" s="22" t="n"/>
      <c r="J640" s="22" t="n"/>
      <c r="K640" s="22" t="n"/>
      <c r="L640" s="22" t="n"/>
      <c r="M640" s="22" t="n"/>
      <c r="N640" s="22" t="n"/>
      <c r="O640" s="22" t="n"/>
      <c r="P640" s="22" t="n"/>
      <c r="Q640" s="22" t="n"/>
      <c r="R640" s="22" t="n"/>
      <c r="S640" s="22" t="n"/>
      <c r="T640" s="22" t="n"/>
      <c r="U640" s="22" t="n"/>
      <c r="V640" s="22" t="n"/>
      <c r="W640" s="22" t="n"/>
      <c r="X640" s="22" t="n"/>
    </row>
    <row r="641">
      <c r="A641" s="324" t="n"/>
      <c r="B641" s="22" t="n"/>
      <c r="C641" s="22" t="n"/>
      <c r="D641" s="22" t="n"/>
      <c r="E641" s="22" t="n"/>
      <c r="F641" s="22" t="n"/>
      <c r="G641" s="22" t="n"/>
      <c r="H641" s="22" t="n"/>
      <c r="I641" s="22" t="n"/>
      <c r="J641" s="22" t="n"/>
      <c r="K641" s="22" t="n"/>
      <c r="L641" s="22" t="n"/>
      <c r="M641" s="22" t="n"/>
      <c r="N641" s="22" t="n"/>
      <c r="O641" s="22" t="n"/>
      <c r="P641" s="22" t="n"/>
      <c r="Q641" s="22" t="n"/>
      <c r="R641" s="22" t="n"/>
      <c r="S641" s="22" t="n"/>
      <c r="T641" s="22" t="n"/>
      <c r="U641" s="22" t="n"/>
      <c r="V641" s="22" t="n"/>
      <c r="W641" s="22" t="n"/>
      <c r="X641" s="22" t="n"/>
    </row>
    <row r="642">
      <c r="A642" s="324" t="n"/>
      <c r="B642" s="22" t="n"/>
      <c r="C642" s="22" t="n"/>
      <c r="D642" s="22" t="n"/>
      <c r="E642" s="22" t="n"/>
      <c r="F642" s="22" t="n"/>
      <c r="G642" s="22" t="n"/>
      <c r="H642" s="22" t="n"/>
      <c r="I642" s="22" t="n"/>
      <c r="J642" s="22" t="n"/>
      <c r="K642" s="22" t="n"/>
      <c r="L642" s="22" t="n"/>
      <c r="M642" s="22" t="n"/>
      <c r="N642" s="22" t="n"/>
      <c r="O642" s="22" t="n"/>
      <c r="P642" s="22" t="n"/>
      <c r="Q642" s="22" t="n"/>
      <c r="R642" s="22" t="n"/>
      <c r="S642" s="22" t="n"/>
      <c r="T642" s="22" t="n"/>
      <c r="U642" s="22" t="n"/>
      <c r="V642" s="22" t="n"/>
      <c r="W642" s="22" t="n"/>
      <c r="X642" s="22" t="n"/>
    </row>
    <row r="643">
      <c r="A643" s="324" t="n"/>
      <c r="B643" s="22" t="n"/>
      <c r="C643" s="22" t="n"/>
      <c r="D643" s="22" t="n"/>
      <c r="E643" s="22" t="n"/>
      <c r="F643" s="22" t="n"/>
      <c r="G643" s="22" t="n"/>
      <c r="H643" s="22" t="n"/>
      <c r="I643" s="22" t="n"/>
      <c r="J643" s="22" t="n"/>
      <c r="K643" s="22" t="n"/>
      <c r="L643" s="22" t="n"/>
      <c r="M643" s="22" t="n"/>
      <c r="N643" s="22" t="n"/>
      <c r="O643" s="22" t="n"/>
      <c r="P643" s="22" t="n"/>
      <c r="Q643" s="22" t="n"/>
      <c r="R643" s="22" t="n"/>
      <c r="S643" s="22" t="n"/>
      <c r="T643" s="22" t="n"/>
      <c r="U643" s="22" t="n"/>
      <c r="V643" s="22" t="n"/>
      <c r="W643" s="22" t="n"/>
      <c r="X643" s="22" t="n"/>
    </row>
    <row r="644">
      <c r="A644" s="324" t="n"/>
      <c r="B644" s="22" t="n"/>
      <c r="C644" s="22" t="n"/>
      <c r="D644" s="22" t="n"/>
      <c r="E644" s="22" t="n"/>
      <c r="F644" s="22" t="n"/>
      <c r="G644" s="22" t="n"/>
      <c r="H644" s="22" t="n"/>
      <c r="I644" s="22" t="n"/>
      <c r="J644" s="22" t="n"/>
      <c r="K644" s="22" t="n"/>
      <c r="L644" s="22" t="n"/>
      <c r="M644" s="22" t="n"/>
      <c r="N644" s="22" t="n"/>
      <c r="O644" s="22" t="n"/>
      <c r="P644" s="22" t="n"/>
      <c r="Q644" s="22" t="n"/>
      <c r="R644" s="22" t="n"/>
      <c r="S644" s="22" t="n"/>
      <c r="T644" s="22" t="n"/>
      <c r="U644" s="22" t="n"/>
      <c r="V644" s="22" t="n"/>
      <c r="W644" s="22" t="n"/>
      <c r="X644" s="22" t="n"/>
    </row>
    <row r="645">
      <c r="A645" s="324" t="n"/>
      <c r="B645" s="22" t="n"/>
      <c r="C645" s="22" t="n"/>
      <c r="D645" s="22" t="n"/>
      <c r="E645" s="22" t="n"/>
      <c r="F645" s="22" t="n"/>
      <c r="G645" s="22" t="n"/>
      <c r="H645" s="22" t="n"/>
      <c r="I645" s="22" t="n"/>
      <c r="J645" s="22" t="n"/>
      <c r="K645" s="22" t="n"/>
      <c r="L645" s="22" t="n"/>
      <c r="M645" s="22" t="n"/>
      <c r="N645" s="22" t="n"/>
      <c r="O645" s="22" t="n"/>
      <c r="P645" s="22" t="n"/>
      <c r="Q645" s="22" t="n"/>
      <c r="R645" s="22" t="n"/>
      <c r="S645" s="22" t="n"/>
      <c r="T645" s="22" t="n"/>
      <c r="U645" s="22" t="n"/>
      <c r="V645" s="22" t="n"/>
      <c r="W645" s="22" t="n"/>
      <c r="X645" s="22" t="n"/>
    </row>
    <row r="646">
      <c r="A646" s="324" t="n"/>
      <c r="B646" s="22" t="n"/>
      <c r="C646" s="22" t="n"/>
      <c r="D646" s="22" t="n"/>
      <c r="E646" s="22" t="n"/>
      <c r="F646" s="22" t="n"/>
      <c r="G646" s="22" t="n"/>
      <c r="H646" s="22" t="n"/>
      <c r="I646" s="22" t="n"/>
      <c r="J646" s="22" t="n"/>
      <c r="K646" s="22" t="n"/>
      <c r="L646" s="22" t="n"/>
      <c r="M646" s="22" t="n"/>
      <c r="N646" s="22" t="n"/>
      <c r="O646" s="22" t="n"/>
      <c r="P646" s="22" t="n"/>
      <c r="Q646" s="22" t="n"/>
      <c r="R646" s="22" t="n"/>
      <c r="S646" s="22" t="n"/>
      <c r="T646" s="22" t="n"/>
      <c r="U646" s="22" t="n"/>
      <c r="V646" s="22" t="n"/>
      <c r="W646" s="22" t="n"/>
      <c r="X646" s="22" t="n"/>
    </row>
    <row r="647">
      <c r="A647" s="324" t="n"/>
      <c r="B647" s="22" t="n"/>
      <c r="C647" s="22" t="n"/>
      <c r="D647" s="22" t="n"/>
      <c r="E647" s="22" t="n"/>
      <c r="F647" s="22" t="n"/>
      <c r="G647" s="22" t="n"/>
      <c r="H647" s="22" t="n"/>
      <c r="I647" s="22" t="n"/>
      <c r="J647" s="22" t="n"/>
      <c r="K647" s="22" t="n"/>
      <c r="L647" s="22" t="n"/>
      <c r="M647" s="22" t="n"/>
      <c r="N647" s="22" t="n"/>
      <c r="O647" s="22" t="n"/>
      <c r="P647" s="22" t="n"/>
      <c r="Q647" s="22" t="n"/>
      <c r="R647" s="22" t="n"/>
      <c r="S647" s="22" t="n"/>
      <c r="T647" s="22" t="n"/>
      <c r="U647" s="22" t="n"/>
      <c r="V647" s="22" t="n"/>
      <c r="W647" s="22" t="n"/>
      <c r="X647" s="22" t="n"/>
    </row>
    <row r="648">
      <c r="A648" s="324" t="n"/>
      <c r="B648" s="22" t="n"/>
      <c r="C648" s="22" t="n"/>
      <c r="D648" s="22" t="n"/>
      <c r="E648" s="22" t="n"/>
      <c r="F648" s="22" t="n"/>
      <c r="G648" s="22" t="n"/>
      <c r="H648" s="22" t="n"/>
      <c r="I648" s="22" t="n"/>
      <c r="J648" s="22" t="n"/>
      <c r="K648" s="22" t="n"/>
      <c r="L648" s="22" t="n"/>
      <c r="M648" s="22" t="n"/>
      <c r="N648" s="22" t="n"/>
      <c r="O648" s="22" t="n"/>
      <c r="P648" s="22" t="n"/>
      <c r="Q648" s="22" t="n"/>
      <c r="R648" s="22" t="n"/>
      <c r="S648" s="22" t="n"/>
      <c r="T648" s="22" t="n"/>
      <c r="U648" s="22" t="n"/>
      <c r="V648" s="22" t="n"/>
      <c r="W648" s="22" t="n"/>
      <c r="X648" s="22" t="n"/>
    </row>
    <row r="649">
      <c r="A649" s="324" t="n"/>
      <c r="B649" s="22" t="n"/>
      <c r="C649" s="22" t="n"/>
      <c r="D649" s="22" t="n"/>
      <c r="E649" s="22" t="n"/>
      <c r="F649" s="22" t="n"/>
      <c r="G649" s="22" t="n"/>
      <c r="H649" s="22" t="n"/>
      <c r="I649" s="22" t="n"/>
      <c r="J649" s="22" t="n"/>
      <c r="K649" s="22" t="n"/>
      <c r="L649" s="22" t="n"/>
      <c r="M649" s="22" t="n"/>
      <c r="N649" s="22" t="n"/>
      <c r="O649" s="22" t="n"/>
      <c r="P649" s="22" t="n"/>
      <c r="Q649" s="22" t="n"/>
      <c r="R649" s="22" t="n"/>
      <c r="S649" s="22" t="n"/>
      <c r="T649" s="22" t="n"/>
      <c r="U649" s="22" t="n"/>
      <c r="V649" s="22" t="n"/>
      <c r="W649" s="22" t="n"/>
      <c r="X649" s="22" t="n"/>
    </row>
    <row r="650">
      <c r="A650" s="324" t="n"/>
      <c r="B650" s="22" t="n"/>
      <c r="C650" s="22" t="n"/>
      <c r="D650" s="22" t="n"/>
      <c r="E650" s="22" t="n"/>
      <c r="F650" s="22" t="n"/>
      <c r="G650" s="22" t="n"/>
      <c r="H650" s="22" t="n"/>
      <c r="I650" s="22" t="n"/>
      <c r="J650" s="22" t="n"/>
      <c r="K650" s="22" t="n"/>
      <c r="L650" s="22" t="n"/>
      <c r="M650" s="22" t="n"/>
      <c r="N650" s="22" t="n"/>
      <c r="O650" s="22" t="n"/>
      <c r="P650" s="22" t="n"/>
      <c r="Q650" s="22" t="n"/>
      <c r="R650" s="22" t="n"/>
      <c r="S650" s="22" t="n"/>
      <c r="T650" s="22" t="n"/>
      <c r="U650" s="22" t="n"/>
      <c r="V650" s="22" t="n"/>
      <c r="W650" s="22" t="n"/>
      <c r="X650" s="22" t="n"/>
    </row>
    <row r="651">
      <c r="A651" s="324" t="n"/>
      <c r="B651" s="22" t="n"/>
      <c r="C651" s="22" t="n"/>
      <c r="D651" s="22" t="n"/>
      <c r="E651" s="22" t="n"/>
      <c r="F651" s="22" t="n"/>
      <c r="G651" s="22" t="n"/>
      <c r="H651" s="22" t="n"/>
      <c r="I651" s="22" t="n"/>
      <c r="J651" s="22" t="n"/>
      <c r="K651" s="22" t="n"/>
      <c r="L651" s="22" t="n"/>
      <c r="M651" s="22" t="n"/>
      <c r="N651" s="22" t="n"/>
      <c r="O651" s="22" t="n"/>
      <c r="P651" s="22" t="n"/>
      <c r="Q651" s="22" t="n"/>
      <c r="R651" s="22" t="n"/>
      <c r="S651" s="22" t="n"/>
      <c r="T651" s="22" t="n"/>
      <c r="U651" s="22" t="n"/>
      <c r="V651" s="22" t="n"/>
      <c r="W651" s="22" t="n"/>
      <c r="X651" s="22" t="n"/>
    </row>
    <row r="652">
      <c r="A652" s="324" t="n"/>
      <c r="B652" s="22" t="n"/>
      <c r="C652" s="22" t="n"/>
      <c r="D652" s="22" t="n"/>
      <c r="E652" s="22" t="n"/>
      <c r="F652" s="22" t="n"/>
      <c r="G652" s="22" t="n"/>
      <c r="H652" s="22" t="n"/>
      <c r="I652" s="22" t="n"/>
      <c r="J652" s="22" t="n"/>
      <c r="K652" s="22" t="n"/>
      <c r="L652" s="22" t="n"/>
      <c r="M652" s="22" t="n"/>
      <c r="N652" s="22" t="n"/>
      <c r="O652" s="22" t="n"/>
      <c r="P652" s="22" t="n"/>
      <c r="Q652" s="22" t="n"/>
      <c r="R652" s="22" t="n"/>
      <c r="S652" s="22" t="n"/>
      <c r="T652" s="22" t="n"/>
      <c r="U652" s="22" t="n"/>
      <c r="V652" s="22" t="n"/>
      <c r="W652" s="22" t="n"/>
      <c r="X652" s="22" t="n"/>
    </row>
    <row r="653">
      <c r="A653" s="324" t="n"/>
      <c r="B653" s="22" t="n"/>
      <c r="C653" s="22" t="n"/>
      <c r="D653" s="22" t="n"/>
      <c r="E653" s="22" t="n"/>
      <c r="F653" s="22" t="n"/>
      <c r="G653" s="22" t="n"/>
      <c r="H653" s="22" t="n"/>
      <c r="I653" s="22" t="n"/>
      <c r="J653" s="22" t="n"/>
      <c r="K653" s="22" t="n"/>
      <c r="L653" s="22" t="n"/>
      <c r="M653" s="22" t="n"/>
      <c r="N653" s="22" t="n"/>
      <c r="O653" s="22" t="n"/>
      <c r="P653" s="22" t="n"/>
      <c r="Q653" s="22" t="n"/>
      <c r="R653" s="22" t="n"/>
      <c r="S653" s="22" t="n"/>
      <c r="T653" s="22" t="n"/>
      <c r="U653" s="22" t="n"/>
      <c r="V653" s="22" t="n"/>
      <c r="W653" s="22" t="n"/>
      <c r="X653" s="22" t="n"/>
    </row>
    <row r="654">
      <c r="A654" s="324" t="n"/>
      <c r="B654" s="22" t="n"/>
      <c r="C654" s="22" t="n"/>
      <c r="D654" s="22" t="n"/>
      <c r="E654" s="22" t="n"/>
      <c r="F654" s="22" t="n"/>
      <c r="G654" s="22" t="n"/>
      <c r="H654" s="22" t="n"/>
      <c r="I654" s="22" t="n"/>
      <c r="J654" s="22" t="n"/>
      <c r="K654" s="22" t="n"/>
      <c r="L654" s="22" t="n"/>
      <c r="M654" s="22" t="n"/>
      <c r="N654" s="22" t="n"/>
      <c r="O654" s="22" t="n"/>
      <c r="P654" s="22" t="n"/>
      <c r="Q654" s="22" t="n"/>
      <c r="R654" s="22" t="n"/>
      <c r="S654" s="22" t="n"/>
      <c r="T654" s="22" t="n"/>
      <c r="U654" s="22" t="n"/>
      <c r="V654" s="22" t="n"/>
      <c r="W654" s="22" t="n"/>
      <c r="X654" s="22" t="n"/>
    </row>
    <row r="655">
      <c r="A655" s="324" t="n"/>
      <c r="B655" s="22" t="n"/>
      <c r="C655" s="22" t="n"/>
      <c r="D655" s="22" t="n"/>
      <c r="E655" s="22" t="n"/>
      <c r="F655" s="22" t="n"/>
      <c r="G655" s="22" t="n"/>
      <c r="H655" s="22" t="n"/>
      <c r="I655" s="22" t="n"/>
      <c r="J655" s="22" t="n"/>
      <c r="K655" s="22" t="n"/>
      <c r="L655" s="22" t="n"/>
      <c r="M655" s="22" t="n"/>
      <c r="N655" s="22" t="n"/>
      <c r="O655" s="22" t="n"/>
      <c r="P655" s="22" t="n"/>
      <c r="Q655" s="22" t="n"/>
      <c r="R655" s="22" t="n"/>
      <c r="S655" s="22" t="n"/>
      <c r="T655" s="22" t="n"/>
      <c r="U655" s="22" t="n"/>
      <c r="V655" s="22" t="n"/>
      <c r="W655" s="22" t="n"/>
      <c r="X655" s="22" t="n"/>
    </row>
    <row r="656">
      <c r="A656" s="324" t="n"/>
      <c r="B656" s="22" t="n"/>
      <c r="C656" s="22" t="n"/>
      <c r="D656" s="22" t="n"/>
      <c r="E656" s="22" t="n"/>
      <c r="F656" s="22" t="n"/>
      <c r="G656" s="22" t="n"/>
      <c r="H656" s="22" t="n"/>
      <c r="I656" s="22" t="n"/>
      <c r="J656" s="22" t="n"/>
      <c r="K656" s="22" t="n"/>
      <c r="L656" s="22" t="n"/>
      <c r="M656" s="22" t="n"/>
      <c r="N656" s="22" t="n"/>
      <c r="O656" s="22" t="n"/>
      <c r="P656" s="22" t="n"/>
      <c r="Q656" s="22" t="n"/>
      <c r="R656" s="22" t="n"/>
      <c r="S656" s="22" t="n"/>
      <c r="T656" s="22" t="n"/>
      <c r="U656" s="22" t="n"/>
      <c r="V656" s="22" t="n"/>
      <c r="W656" s="22" t="n"/>
      <c r="X656" s="22" t="n"/>
    </row>
    <row r="657">
      <c r="A657" s="324" t="n"/>
      <c r="B657" s="22" t="n"/>
      <c r="C657" s="22" t="n"/>
      <c r="D657" s="22" t="n"/>
      <c r="E657" s="22" t="n"/>
      <c r="F657" s="22" t="n"/>
      <c r="G657" s="22" t="n"/>
      <c r="H657" s="22" t="n"/>
      <c r="I657" s="22" t="n"/>
      <c r="J657" s="22" t="n"/>
      <c r="K657" s="22" t="n"/>
      <c r="L657" s="22" t="n"/>
      <c r="M657" s="22" t="n"/>
      <c r="N657" s="22" t="n"/>
      <c r="O657" s="22" t="n"/>
      <c r="P657" s="22" t="n"/>
      <c r="Q657" s="22" t="n"/>
      <c r="R657" s="22" t="n"/>
      <c r="S657" s="22" t="n"/>
      <c r="T657" s="22" t="n"/>
      <c r="U657" s="22" t="n"/>
      <c r="V657" s="22" t="n"/>
      <c r="W657" s="22" t="n"/>
      <c r="X657" s="22" t="n"/>
    </row>
    <row r="658">
      <c r="A658" s="324" t="n"/>
      <c r="B658" s="22" t="n"/>
      <c r="C658" s="22" t="n"/>
      <c r="D658" s="22" t="n"/>
      <c r="E658" s="22" t="n"/>
      <c r="F658" s="22" t="n"/>
      <c r="G658" s="22" t="n"/>
      <c r="H658" s="22" t="n"/>
      <c r="I658" s="22" t="n"/>
      <c r="J658" s="22" t="n"/>
      <c r="K658" s="22" t="n"/>
      <c r="L658" s="22" t="n"/>
      <c r="M658" s="22" t="n"/>
      <c r="N658" s="22" t="n"/>
      <c r="O658" s="22" t="n"/>
      <c r="P658" s="22" t="n"/>
      <c r="Q658" s="22" t="n"/>
      <c r="R658" s="22" t="n"/>
      <c r="S658" s="22" t="n"/>
      <c r="T658" s="22" t="n"/>
      <c r="U658" s="22" t="n"/>
      <c r="V658" s="22" t="n"/>
      <c r="W658" s="22" t="n"/>
      <c r="X658" s="22" t="n"/>
    </row>
    <row r="659">
      <c r="A659" s="324" t="n"/>
      <c r="B659" s="22" t="n"/>
      <c r="C659" s="22" t="n"/>
      <c r="D659" s="22" t="n"/>
      <c r="E659" s="22" t="n"/>
      <c r="F659" s="22" t="n"/>
      <c r="G659" s="22" t="n"/>
      <c r="H659" s="22" t="n"/>
      <c r="I659" s="22" t="n"/>
      <c r="J659" s="22" t="n"/>
      <c r="K659" s="22" t="n"/>
      <c r="L659" s="22" t="n"/>
      <c r="M659" s="22" t="n"/>
      <c r="N659" s="22" t="n"/>
      <c r="O659" s="22" t="n"/>
      <c r="P659" s="22" t="n"/>
      <c r="Q659" s="22" t="n"/>
      <c r="R659" s="22" t="n"/>
      <c r="S659" s="22" t="n"/>
      <c r="T659" s="22" t="n"/>
      <c r="U659" s="22" t="n"/>
      <c r="V659" s="22" t="n"/>
      <c r="W659" s="22" t="n"/>
      <c r="X659" s="22" t="n"/>
    </row>
    <row r="660">
      <c r="A660" s="324" t="n"/>
      <c r="B660" s="22" t="n"/>
      <c r="C660" s="22" t="n"/>
      <c r="D660" s="22" t="n"/>
      <c r="E660" s="22" t="n"/>
      <c r="F660" s="22" t="n"/>
      <c r="G660" s="22" t="n"/>
      <c r="H660" s="22" t="n"/>
      <c r="I660" s="22" t="n"/>
      <c r="J660" s="22" t="n"/>
      <c r="K660" s="22" t="n"/>
      <c r="L660" s="22" t="n"/>
      <c r="M660" s="22" t="n"/>
      <c r="N660" s="22" t="n"/>
      <c r="O660" s="22" t="n"/>
      <c r="P660" s="22" t="n"/>
      <c r="Q660" s="22" t="n"/>
      <c r="R660" s="22" t="n"/>
      <c r="S660" s="22" t="n"/>
      <c r="T660" s="22" t="n"/>
      <c r="U660" s="22" t="n"/>
      <c r="V660" s="22" t="n"/>
      <c r="W660" s="22" t="n"/>
      <c r="X660" s="22" t="n"/>
    </row>
    <row r="661">
      <c r="A661" s="324" t="n"/>
      <c r="B661" s="22" t="n"/>
      <c r="C661" s="22" t="n"/>
      <c r="D661" s="22" t="n"/>
      <c r="E661" s="22" t="n"/>
      <c r="F661" s="22" t="n"/>
      <c r="G661" s="22" t="n"/>
      <c r="H661" s="22" t="n"/>
      <c r="I661" s="22" t="n"/>
      <c r="J661" s="22" t="n"/>
      <c r="K661" s="22" t="n"/>
      <c r="L661" s="22" t="n"/>
      <c r="M661" s="22" t="n"/>
      <c r="N661" s="22" t="n"/>
      <c r="O661" s="22" t="n"/>
      <c r="P661" s="22" t="n"/>
      <c r="Q661" s="22" t="n"/>
      <c r="R661" s="22" t="n"/>
      <c r="S661" s="22" t="n"/>
      <c r="T661" s="22" t="n"/>
      <c r="U661" s="22" t="n"/>
      <c r="V661" s="22" t="n"/>
      <c r="W661" s="22" t="n"/>
      <c r="X661" s="22" t="n"/>
    </row>
    <row r="662">
      <c r="A662" s="324" t="n"/>
      <c r="B662" s="22" t="n"/>
      <c r="C662" s="22" t="n"/>
      <c r="D662" s="22" t="n"/>
      <c r="E662" s="22" t="n"/>
      <c r="F662" s="22" t="n"/>
      <c r="G662" s="22" t="n"/>
      <c r="H662" s="22" t="n"/>
      <c r="I662" s="22" t="n"/>
      <c r="J662" s="22" t="n"/>
      <c r="K662" s="22" t="n"/>
      <c r="L662" s="22" t="n"/>
      <c r="M662" s="22" t="n"/>
      <c r="N662" s="22" t="n"/>
      <c r="O662" s="22" t="n"/>
      <c r="P662" s="22" t="n"/>
      <c r="Q662" s="22" t="n"/>
      <c r="R662" s="22" t="n"/>
      <c r="S662" s="22" t="n"/>
      <c r="T662" s="22" t="n"/>
      <c r="U662" s="22" t="n"/>
      <c r="V662" s="22" t="n"/>
      <c r="W662" s="22" t="n"/>
      <c r="X662" s="22" t="n"/>
    </row>
    <row r="663">
      <c r="A663" s="324" t="n"/>
      <c r="B663" s="22" t="n"/>
      <c r="C663" s="22" t="n"/>
      <c r="D663" s="22" t="n"/>
      <c r="E663" s="22" t="n"/>
      <c r="F663" s="22" t="n"/>
      <c r="G663" s="22" t="n"/>
      <c r="H663" s="22" t="n"/>
      <c r="I663" s="22" t="n"/>
      <c r="J663" s="22" t="n"/>
      <c r="K663" s="22" t="n"/>
      <c r="L663" s="22" t="n"/>
      <c r="M663" s="22" t="n"/>
      <c r="N663" s="22" t="n"/>
      <c r="O663" s="22" t="n"/>
      <c r="P663" s="22" t="n"/>
      <c r="Q663" s="22" t="n"/>
      <c r="R663" s="22" t="n"/>
      <c r="S663" s="22" t="n"/>
      <c r="T663" s="22" t="n"/>
      <c r="U663" s="22" t="n"/>
      <c r="V663" s="22" t="n"/>
      <c r="W663" s="22" t="n"/>
      <c r="X663" s="22" t="n"/>
    </row>
    <row r="664">
      <c r="A664" s="324" t="n"/>
      <c r="B664" s="22" t="n"/>
      <c r="C664" s="22" t="n"/>
      <c r="D664" s="22" t="n"/>
      <c r="E664" s="22" t="n"/>
      <c r="F664" s="22" t="n"/>
      <c r="G664" s="22" t="n"/>
      <c r="H664" s="22" t="n"/>
      <c r="I664" s="22" t="n"/>
      <c r="J664" s="22" t="n"/>
      <c r="K664" s="22" t="n"/>
      <c r="L664" s="22" t="n"/>
      <c r="M664" s="22" t="n"/>
      <c r="N664" s="22" t="n"/>
      <c r="O664" s="22" t="n"/>
      <c r="P664" s="22" t="n"/>
      <c r="Q664" s="22" t="n"/>
      <c r="R664" s="22" t="n"/>
      <c r="S664" s="22" t="n"/>
      <c r="T664" s="22" t="n"/>
      <c r="U664" s="22" t="n"/>
      <c r="V664" s="22" t="n"/>
      <c r="W664" s="22" t="n"/>
      <c r="X664" s="22" t="n"/>
    </row>
    <row r="665">
      <c r="A665" s="324" t="n"/>
      <c r="B665" s="22" t="n"/>
      <c r="C665" s="22" t="n"/>
      <c r="D665" s="22" t="n"/>
      <c r="E665" s="22" t="n"/>
      <c r="F665" s="22" t="n"/>
      <c r="G665" s="22" t="n"/>
      <c r="H665" s="22" t="n"/>
      <c r="I665" s="22" t="n"/>
      <c r="J665" s="22" t="n"/>
      <c r="K665" s="22" t="n"/>
      <c r="L665" s="22" t="n"/>
      <c r="M665" s="22" t="n"/>
      <c r="N665" s="22" t="n"/>
      <c r="O665" s="22" t="n"/>
      <c r="P665" s="22" t="n"/>
      <c r="Q665" s="22" t="n"/>
      <c r="R665" s="22" t="n"/>
      <c r="S665" s="22" t="n"/>
      <c r="T665" s="22" t="n"/>
      <c r="U665" s="22" t="n"/>
      <c r="V665" s="22" t="n"/>
      <c r="W665" s="22" t="n"/>
      <c r="X665" s="22" t="n"/>
    </row>
    <row r="666">
      <c r="A666" s="324" t="n"/>
      <c r="B666" s="22" t="n"/>
      <c r="C666" s="22" t="n"/>
      <c r="D666" s="22" t="n"/>
      <c r="E666" s="22" t="n"/>
      <c r="F666" s="22" t="n"/>
      <c r="G666" s="22" t="n"/>
      <c r="H666" s="22" t="n"/>
      <c r="I666" s="22" t="n"/>
      <c r="J666" s="22" t="n"/>
      <c r="K666" s="22" t="n"/>
      <c r="L666" s="22" t="n"/>
      <c r="M666" s="22" t="n"/>
      <c r="N666" s="22" t="n"/>
      <c r="O666" s="22" t="n"/>
      <c r="P666" s="22" t="n"/>
      <c r="Q666" s="22" t="n"/>
      <c r="R666" s="22" t="n"/>
      <c r="S666" s="22" t="n"/>
      <c r="T666" s="22" t="n"/>
      <c r="U666" s="22" t="n"/>
      <c r="V666" s="22" t="n"/>
      <c r="W666" s="22" t="n"/>
      <c r="X666" s="22" t="n"/>
    </row>
    <row r="667">
      <c r="A667" s="324" t="n"/>
      <c r="B667" s="22" t="n"/>
      <c r="C667" s="22" t="n"/>
      <c r="D667" s="22" t="n"/>
      <c r="E667" s="22" t="n"/>
      <c r="F667" s="22" t="n"/>
      <c r="G667" s="22" t="n"/>
      <c r="H667" s="22" t="n"/>
      <c r="I667" s="22" t="n"/>
      <c r="J667" s="22" t="n"/>
      <c r="K667" s="22" t="n"/>
      <c r="L667" s="22" t="n"/>
      <c r="M667" s="22" t="n"/>
      <c r="N667" s="22" t="n"/>
      <c r="O667" s="22" t="n"/>
      <c r="P667" s="22" t="n"/>
      <c r="Q667" s="22" t="n"/>
      <c r="R667" s="22" t="n"/>
      <c r="S667" s="22" t="n"/>
      <c r="T667" s="22" t="n"/>
      <c r="U667" s="22" t="n"/>
      <c r="V667" s="22" t="n"/>
      <c r="W667" s="22" t="n"/>
      <c r="X667" s="22" t="n"/>
    </row>
    <row r="668">
      <c r="A668" s="324" t="n"/>
      <c r="B668" s="22" t="n"/>
      <c r="C668" s="22" t="n"/>
      <c r="D668" s="22" t="n"/>
      <c r="E668" s="22" t="n"/>
      <c r="F668" s="22" t="n"/>
      <c r="G668" s="22" t="n"/>
      <c r="H668" s="22" t="n"/>
      <c r="I668" s="22" t="n"/>
      <c r="J668" s="22" t="n"/>
      <c r="K668" s="22" t="n"/>
      <c r="L668" s="22" t="n"/>
      <c r="M668" s="22" t="n"/>
      <c r="N668" s="22" t="n"/>
      <c r="O668" s="22" t="n"/>
      <c r="P668" s="22" t="n"/>
      <c r="Q668" s="22" t="n"/>
      <c r="R668" s="22" t="n"/>
      <c r="S668" s="22" t="n"/>
      <c r="T668" s="22" t="n"/>
      <c r="U668" s="22" t="n"/>
      <c r="V668" s="22" t="n"/>
      <c r="W668" s="22" t="n"/>
      <c r="X668" s="22" t="n"/>
    </row>
    <row r="669">
      <c r="A669" s="324" t="n"/>
      <c r="B669" s="22" t="n"/>
      <c r="C669" s="22" t="n"/>
      <c r="D669" s="22" t="n"/>
      <c r="E669" s="22" t="n"/>
      <c r="F669" s="22" t="n"/>
      <c r="G669" s="22" t="n"/>
      <c r="H669" s="22" t="n"/>
      <c r="I669" s="22" t="n"/>
      <c r="J669" s="22" t="n"/>
      <c r="K669" s="22" t="n"/>
      <c r="L669" s="22" t="n"/>
      <c r="M669" s="22" t="n"/>
      <c r="N669" s="22" t="n"/>
      <c r="O669" s="22" t="n"/>
      <c r="P669" s="22" t="n"/>
      <c r="Q669" s="22" t="n"/>
      <c r="R669" s="22" t="n"/>
      <c r="S669" s="22" t="n"/>
      <c r="T669" s="22" t="n"/>
      <c r="U669" s="22" t="n"/>
      <c r="V669" s="22" t="n"/>
      <c r="W669" s="22" t="n"/>
      <c r="X669" s="22" t="n"/>
    </row>
    <row r="670">
      <c r="A670" s="324" t="n"/>
      <c r="B670" s="22" t="n"/>
      <c r="C670" s="22" t="n"/>
      <c r="D670" s="22" t="n"/>
      <c r="E670" s="22" t="n"/>
      <c r="F670" s="22" t="n"/>
      <c r="G670" s="22" t="n"/>
      <c r="H670" s="22" t="n"/>
      <c r="I670" s="22" t="n"/>
      <c r="J670" s="22" t="n"/>
      <c r="K670" s="22" t="n"/>
      <c r="L670" s="22" t="n"/>
      <c r="M670" s="22" t="n"/>
      <c r="N670" s="22" t="n"/>
      <c r="O670" s="22" t="n"/>
      <c r="P670" s="22" t="n"/>
      <c r="Q670" s="22" t="n"/>
      <c r="R670" s="22" t="n"/>
      <c r="S670" s="22" t="n"/>
      <c r="T670" s="22" t="n"/>
      <c r="U670" s="22" t="n"/>
      <c r="V670" s="22" t="n"/>
      <c r="W670" s="22" t="n"/>
      <c r="X670" s="22" t="n"/>
    </row>
    <row r="671">
      <c r="A671" s="324" t="n"/>
      <c r="B671" s="22" t="n"/>
      <c r="C671" s="22" t="n"/>
      <c r="D671" s="22" t="n"/>
      <c r="E671" s="22" t="n"/>
      <c r="F671" s="22" t="n"/>
      <c r="G671" s="22" t="n"/>
      <c r="H671" s="22" t="n"/>
      <c r="I671" s="22" t="n"/>
      <c r="J671" s="22" t="n"/>
      <c r="K671" s="22" t="n"/>
      <c r="L671" s="22" t="n"/>
      <c r="M671" s="22" t="n"/>
      <c r="N671" s="22" t="n"/>
      <c r="O671" s="22" t="n"/>
      <c r="P671" s="22" t="n"/>
      <c r="Q671" s="22" t="n"/>
      <c r="R671" s="22" t="n"/>
      <c r="S671" s="22" t="n"/>
      <c r="T671" s="22" t="n"/>
      <c r="U671" s="22" t="n"/>
      <c r="V671" s="22" t="n"/>
      <c r="W671" s="22" t="n"/>
      <c r="X671" s="22" t="n"/>
    </row>
    <row r="672">
      <c r="A672" s="324" t="n"/>
      <c r="B672" s="22" t="n"/>
      <c r="C672" s="22" t="n"/>
      <c r="D672" s="22" t="n"/>
      <c r="E672" s="22" t="n"/>
      <c r="F672" s="22" t="n"/>
      <c r="G672" s="22" t="n"/>
      <c r="H672" s="22" t="n"/>
      <c r="I672" s="22" t="n"/>
      <c r="J672" s="22" t="n"/>
      <c r="K672" s="22" t="n"/>
      <c r="L672" s="22" t="n"/>
      <c r="M672" s="22" t="n"/>
      <c r="N672" s="22" t="n"/>
      <c r="O672" s="22" t="n"/>
      <c r="P672" s="22" t="n"/>
      <c r="Q672" s="22" t="n"/>
      <c r="R672" s="22" t="n"/>
      <c r="S672" s="22" t="n"/>
      <c r="T672" s="22" t="n"/>
      <c r="U672" s="22" t="n"/>
      <c r="V672" s="22" t="n"/>
      <c r="W672" s="22" t="n"/>
      <c r="X672" s="22" t="n"/>
    </row>
    <row r="673">
      <c r="A673" s="324" t="n"/>
      <c r="B673" s="22" t="n"/>
      <c r="C673" s="22" t="n"/>
      <c r="D673" s="22" t="n"/>
      <c r="E673" s="22" t="n"/>
      <c r="F673" s="22" t="n"/>
      <c r="G673" s="22" t="n"/>
      <c r="H673" s="22" t="n"/>
      <c r="I673" s="22" t="n"/>
      <c r="J673" s="22" t="n"/>
      <c r="K673" s="22" t="n"/>
      <c r="L673" s="22" t="n"/>
      <c r="M673" s="22" t="n"/>
      <c r="N673" s="22" t="n"/>
      <c r="O673" s="22" t="n"/>
      <c r="P673" s="22" t="n"/>
      <c r="Q673" s="22" t="n"/>
      <c r="R673" s="22" t="n"/>
      <c r="S673" s="22" t="n"/>
      <c r="T673" s="22" t="n"/>
      <c r="U673" s="22" t="n"/>
      <c r="V673" s="22" t="n"/>
      <c r="W673" s="22" t="n"/>
      <c r="X673" s="22" t="n"/>
    </row>
    <row r="674">
      <c r="A674" s="324" t="n"/>
      <c r="B674" s="22" t="n"/>
      <c r="C674" s="22" t="n"/>
      <c r="D674" s="22" t="n"/>
      <c r="E674" s="22" t="n"/>
      <c r="F674" s="22" t="n"/>
      <c r="G674" s="22" t="n"/>
      <c r="H674" s="22" t="n"/>
      <c r="I674" s="22" t="n"/>
      <c r="J674" s="22" t="n"/>
      <c r="K674" s="22" t="n"/>
      <c r="L674" s="22" t="n"/>
      <c r="M674" s="22" t="n"/>
      <c r="N674" s="22" t="n"/>
      <c r="O674" s="22" t="n"/>
      <c r="P674" s="22" t="n"/>
      <c r="Q674" s="22" t="n"/>
      <c r="R674" s="22" t="n"/>
      <c r="S674" s="22" t="n"/>
      <c r="T674" s="22" t="n"/>
      <c r="U674" s="22" t="n"/>
      <c r="V674" s="22" t="n"/>
      <c r="W674" s="22" t="n"/>
      <c r="X674" s="22" t="n"/>
    </row>
    <row r="675">
      <c r="A675" s="324" t="n"/>
      <c r="B675" s="22" t="n"/>
      <c r="C675" s="22" t="n"/>
      <c r="D675" s="22" t="n"/>
      <c r="E675" s="22" t="n"/>
      <c r="F675" s="22" t="n"/>
      <c r="G675" s="22" t="n"/>
      <c r="H675" s="22" t="n"/>
      <c r="I675" s="22" t="n"/>
      <c r="J675" s="22" t="n"/>
      <c r="K675" s="22" t="n"/>
      <c r="L675" s="22" t="n"/>
      <c r="M675" s="22" t="n"/>
      <c r="N675" s="22" t="n"/>
      <c r="O675" s="22" t="n"/>
      <c r="P675" s="22" t="n"/>
      <c r="Q675" s="22" t="n"/>
      <c r="R675" s="22" t="n"/>
      <c r="S675" s="22" t="n"/>
      <c r="T675" s="22" t="n"/>
      <c r="U675" s="22" t="n"/>
      <c r="V675" s="22" t="n"/>
      <c r="W675" s="22" t="n"/>
      <c r="X675" s="22" t="n"/>
    </row>
    <row r="676">
      <c r="A676" s="324" t="n"/>
      <c r="B676" s="22" t="n"/>
      <c r="C676" s="22" t="n"/>
      <c r="D676" s="22" t="n"/>
      <c r="E676" s="22" t="n"/>
      <c r="F676" s="22" t="n"/>
      <c r="G676" s="22" t="n"/>
      <c r="H676" s="22" t="n"/>
      <c r="I676" s="22" t="n"/>
      <c r="J676" s="22" t="n"/>
      <c r="K676" s="22" t="n"/>
      <c r="L676" s="22" t="n"/>
      <c r="M676" s="22" t="n"/>
      <c r="N676" s="22" t="n"/>
      <c r="O676" s="22" t="n"/>
      <c r="P676" s="22" t="n"/>
      <c r="Q676" s="22" t="n"/>
      <c r="R676" s="22" t="n"/>
      <c r="S676" s="22" t="n"/>
      <c r="T676" s="22" t="n"/>
      <c r="U676" s="22" t="n"/>
      <c r="V676" s="22" t="n"/>
      <c r="W676" s="22" t="n"/>
      <c r="X676" s="22" t="n"/>
    </row>
    <row r="677">
      <c r="A677" s="324" t="n"/>
      <c r="B677" s="22" t="n"/>
      <c r="C677" s="22" t="n"/>
      <c r="D677" s="22" t="n"/>
      <c r="E677" s="22" t="n"/>
      <c r="F677" s="22" t="n"/>
      <c r="G677" s="22" t="n"/>
      <c r="H677" s="22" t="n"/>
      <c r="I677" s="22" t="n"/>
      <c r="J677" s="22" t="n"/>
      <c r="K677" s="22" t="n"/>
      <c r="L677" s="22" t="n"/>
      <c r="M677" s="22" t="n"/>
      <c r="N677" s="22" t="n"/>
      <c r="O677" s="22" t="n"/>
      <c r="P677" s="22" t="n"/>
      <c r="Q677" s="22" t="n"/>
      <c r="R677" s="22" t="n"/>
      <c r="S677" s="22" t="n"/>
      <c r="T677" s="22" t="n"/>
      <c r="U677" s="22" t="n"/>
      <c r="V677" s="22" t="n"/>
      <c r="W677" s="22" t="n"/>
      <c r="X677" s="22" t="n"/>
    </row>
    <row r="678">
      <c r="A678" s="324" t="n"/>
      <c r="B678" s="22" t="n"/>
      <c r="C678" s="22" t="n"/>
      <c r="D678" s="22" t="n"/>
      <c r="E678" s="22" t="n"/>
      <c r="F678" s="22" t="n"/>
      <c r="G678" s="22" t="n"/>
      <c r="H678" s="22" t="n"/>
      <c r="I678" s="22" t="n"/>
      <c r="J678" s="22" t="n"/>
      <c r="K678" s="22" t="n"/>
      <c r="L678" s="22" t="n"/>
      <c r="M678" s="22" t="n"/>
      <c r="N678" s="22" t="n"/>
      <c r="O678" s="22" t="n"/>
      <c r="P678" s="22" t="n"/>
      <c r="Q678" s="22" t="n"/>
      <c r="R678" s="22" t="n"/>
      <c r="S678" s="22" t="n"/>
      <c r="T678" s="22" t="n"/>
      <c r="U678" s="22" t="n"/>
      <c r="V678" s="22" t="n"/>
      <c r="W678" s="22" t="n"/>
      <c r="X678" s="22" t="n"/>
    </row>
    <row r="679">
      <c r="A679" s="324" t="n"/>
      <c r="B679" s="22" t="n"/>
      <c r="C679" s="22" t="n"/>
      <c r="D679" s="22" t="n"/>
      <c r="E679" s="22" t="n"/>
      <c r="F679" s="22" t="n"/>
      <c r="G679" s="22" t="n"/>
      <c r="H679" s="22" t="n"/>
      <c r="I679" s="22" t="n"/>
      <c r="J679" s="22" t="n"/>
      <c r="K679" s="22" t="n"/>
      <c r="L679" s="22" t="n"/>
      <c r="M679" s="22" t="n"/>
      <c r="N679" s="22" t="n"/>
      <c r="O679" s="22" t="n"/>
      <c r="P679" s="22" t="n"/>
      <c r="Q679" s="22" t="n"/>
      <c r="R679" s="22" t="n"/>
      <c r="S679" s="22" t="n"/>
      <c r="T679" s="22" t="n"/>
      <c r="U679" s="22" t="n"/>
      <c r="V679" s="22" t="n"/>
      <c r="W679" s="22" t="n"/>
      <c r="X679" s="22" t="n"/>
    </row>
    <row r="680">
      <c r="A680" s="324" t="n"/>
      <c r="B680" s="22" t="n"/>
      <c r="C680" s="22" t="n"/>
      <c r="D680" s="22" t="n"/>
      <c r="E680" s="22" t="n"/>
      <c r="F680" s="22" t="n"/>
      <c r="G680" s="22" t="n"/>
      <c r="H680" s="22" t="n"/>
      <c r="I680" s="22" t="n"/>
      <c r="J680" s="22" t="n"/>
      <c r="K680" s="22" t="n"/>
      <c r="L680" s="22" t="n"/>
      <c r="M680" s="22" t="n"/>
      <c r="N680" s="22" t="n"/>
      <c r="O680" s="22" t="n"/>
      <c r="P680" s="22" t="n"/>
      <c r="Q680" s="22" t="n"/>
      <c r="R680" s="22" t="n"/>
      <c r="S680" s="22" t="n"/>
      <c r="T680" s="22" t="n"/>
      <c r="U680" s="22" t="n"/>
      <c r="V680" s="22" t="n"/>
      <c r="W680" s="22" t="n"/>
      <c r="X680" s="22" t="n"/>
    </row>
    <row r="681">
      <c r="A681" s="324" t="n"/>
      <c r="B681" s="22" t="n"/>
      <c r="C681" s="22" t="n"/>
      <c r="D681" s="22" t="n"/>
      <c r="E681" s="22" t="n"/>
      <c r="F681" s="22" t="n"/>
      <c r="G681" s="22" t="n"/>
      <c r="H681" s="22" t="n"/>
      <c r="I681" s="22" t="n"/>
      <c r="J681" s="22" t="n"/>
      <c r="K681" s="22" t="n"/>
      <c r="L681" s="22" t="n"/>
      <c r="M681" s="22" t="n"/>
      <c r="N681" s="22" t="n"/>
      <c r="O681" s="22" t="n"/>
      <c r="P681" s="22" t="n"/>
      <c r="Q681" s="22" t="n"/>
      <c r="R681" s="22" t="n"/>
      <c r="S681" s="22" t="n"/>
      <c r="T681" s="22" t="n"/>
      <c r="U681" s="22" t="n"/>
      <c r="V681" s="22" t="n"/>
      <c r="W681" s="22" t="n"/>
      <c r="X681" s="22" t="n"/>
    </row>
    <row r="682">
      <c r="A682" s="324" t="n"/>
      <c r="B682" s="22" t="n"/>
      <c r="C682" s="22" t="n"/>
      <c r="D682" s="22" t="n"/>
      <c r="E682" s="22" t="n"/>
      <c r="F682" s="22" t="n"/>
      <c r="G682" s="22" t="n"/>
      <c r="H682" s="22" t="n"/>
      <c r="I682" s="22" t="n"/>
      <c r="J682" s="22" t="n"/>
      <c r="K682" s="22" t="n"/>
      <c r="L682" s="22" t="n"/>
      <c r="M682" s="22" t="n"/>
      <c r="N682" s="22" t="n"/>
      <c r="O682" s="22" t="n"/>
      <c r="P682" s="22" t="n"/>
      <c r="Q682" s="22" t="n"/>
      <c r="R682" s="22" t="n"/>
      <c r="S682" s="22" t="n"/>
      <c r="T682" s="22" t="n"/>
      <c r="U682" s="22" t="n"/>
      <c r="V682" s="22" t="n"/>
      <c r="W682" s="22" t="n"/>
      <c r="X682" s="22" t="n"/>
    </row>
    <row r="683">
      <c r="A683" s="324" t="n"/>
      <c r="B683" s="22" t="n"/>
      <c r="C683" s="22" t="n"/>
      <c r="D683" s="22" t="n"/>
      <c r="E683" s="22" t="n"/>
      <c r="F683" s="22" t="n"/>
      <c r="G683" s="22" t="n"/>
      <c r="H683" s="22" t="n"/>
      <c r="I683" s="22" t="n"/>
      <c r="J683" s="22" t="n"/>
      <c r="K683" s="22" t="n"/>
      <c r="L683" s="22" t="n"/>
      <c r="M683" s="22" t="n"/>
      <c r="N683" s="22" t="n"/>
      <c r="O683" s="22" t="n"/>
      <c r="P683" s="22" t="n"/>
      <c r="Q683" s="22" t="n"/>
      <c r="R683" s="22" t="n"/>
      <c r="S683" s="22" t="n"/>
      <c r="T683" s="22" t="n"/>
      <c r="U683" s="22" t="n"/>
      <c r="V683" s="22" t="n"/>
      <c r="W683" s="22" t="n"/>
      <c r="X683" s="22" t="n"/>
    </row>
    <row r="684">
      <c r="A684" s="324" t="n"/>
      <c r="B684" s="22" t="n"/>
      <c r="C684" s="22" t="n"/>
      <c r="D684" s="22" t="n"/>
      <c r="E684" s="22" t="n"/>
      <c r="F684" s="22" t="n"/>
      <c r="G684" s="22" t="n"/>
      <c r="H684" s="22" t="n"/>
      <c r="I684" s="22" t="n"/>
      <c r="J684" s="22" t="n"/>
      <c r="K684" s="22" t="n"/>
      <c r="L684" s="22" t="n"/>
      <c r="M684" s="22" t="n"/>
      <c r="N684" s="22" t="n"/>
      <c r="O684" s="22" t="n"/>
      <c r="P684" s="22" t="n"/>
      <c r="Q684" s="22" t="n"/>
      <c r="R684" s="22" t="n"/>
      <c r="S684" s="22" t="n"/>
      <c r="T684" s="22" t="n"/>
      <c r="U684" s="22" t="n"/>
      <c r="V684" s="22" t="n"/>
      <c r="W684" s="22" t="n"/>
      <c r="X684" s="22" t="n"/>
    </row>
    <row r="685">
      <c r="A685" s="324" t="n"/>
      <c r="B685" s="22" t="n"/>
      <c r="C685" s="22" t="n"/>
      <c r="D685" s="22" t="n"/>
      <c r="E685" s="22" t="n"/>
      <c r="F685" s="22" t="n"/>
      <c r="G685" s="22" t="n"/>
      <c r="H685" s="22" t="n"/>
      <c r="I685" s="22" t="n"/>
      <c r="J685" s="22" t="n"/>
      <c r="K685" s="22" t="n"/>
      <c r="L685" s="22" t="n"/>
      <c r="M685" s="22" t="n"/>
      <c r="N685" s="22" t="n"/>
      <c r="O685" s="22" t="n"/>
      <c r="P685" s="22" t="n"/>
      <c r="Q685" s="22" t="n"/>
      <c r="R685" s="22" t="n"/>
      <c r="S685" s="22" t="n"/>
      <c r="T685" s="22" t="n"/>
      <c r="U685" s="22" t="n"/>
      <c r="V685" s="22" t="n"/>
      <c r="W685" s="22" t="n"/>
      <c r="X685" s="22" t="n"/>
    </row>
    <row r="686">
      <c r="A686" s="324" t="n"/>
      <c r="B686" s="22" t="n"/>
      <c r="C686" s="22" t="n"/>
      <c r="D686" s="22" t="n"/>
      <c r="E686" s="22" t="n"/>
      <c r="F686" s="22" t="n"/>
      <c r="G686" s="22" t="n"/>
      <c r="H686" s="22" t="n"/>
      <c r="I686" s="22" t="n"/>
      <c r="J686" s="22" t="n"/>
      <c r="K686" s="22" t="n"/>
      <c r="L686" s="22" t="n"/>
      <c r="M686" s="22" t="n"/>
      <c r="N686" s="22" t="n"/>
      <c r="O686" s="22" t="n"/>
      <c r="P686" s="22" t="n"/>
      <c r="Q686" s="22" t="n"/>
      <c r="R686" s="22" t="n"/>
      <c r="S686" s="22" t="n"/>
      <c r="T686" s="22" t="n"/>
      <c r="U686" s="22" t="n"/>
      <c r="V686" s="22" t="n"/>
      <c r="W686" s="22" t="n"/>
      <c r="X686" s="22" t="n"/>
    </row>
    <row r="687">
      <c r="A687" s="324" t="n"/>
      <c r="B687" s="22" t="n"/>
      <c r="C687" s="22" t="n"/>
      <c r="D687" s="22" t="n"/>
      <c r="E687" s="22" t="n"/>
      <c r="F687" s="22" t="n"/>
      <c r="G687" s="22" t="n"/>
      <c r="H687" s="22" t="n"/>
      <c r="I687" s="22" t="n"/>
      <c r="J687" s="22" t="n"/>
      <c r="K687" s="22" t="n"/>
      <c r="L687" s="22" t="n"/>
      <c r="M687" s="22" t="n"/>
      <c r="N687" s="22" t="n"/>
      <c r="O687" s="22" t="n"/>
      <c r="P687" s="22" t="n"/>
      <c r="Q687" s="22" t="n"/>
      <c r="R687" s="22" t="n"/>
      <c r="S687" s="22" t="n"/>
      <c r="T687" s="22" t="n"/>
      <c r="U687" s="22" t="n"/>
      <c r="V687" s="22" t="n"/>
      <c r="W687" s="22" t="n"/>
      <c r="X687" s="22" t="n"/>
    </row>
    <row r="688">
      <c r="A688" s="324" t="n"/>
      <c r="B688" s="22" t="n"/>
      <c r="C688" s="22" t="n"/>
      <c r="D688" s="22" t="n"/>
      <c r="E688" s="22" t="n"/>
      <c r="F688" s="22" t="n"/>
      <c r="G688" s="22" t="n"/>
      <c r="H688" s="22" t="n"/>
      <c r="I688" s="22" t="n"/>
      <c r="J688" s="22" t="n"/>
      <c r="K688" s="22" t="n"/>
      <c r="L688" s="22" t="n"/>
      <c r="M688" s="22" t="n"/>
      <c r="N688" s="22" t="n"/>
      <c r="O688" s="22" t="n"/>
      <c r="P688" s="22" t="n"/>
      <c r="Q688" s="22" t="n"/>
      <c r="R688" s="22" t="n"/>
      <c r="S688" s="22" t="n"/>
      <c r="T688" s="22" t="n"/>
      <c r="U688" s="22" t="n"/>
      <c r="V688" s="22" t="n"/>
      <c r="W688" s="22" t="n"/>
      <c r="X688" s="22" t="n"/>
    </row>
    <row r="689">
      <c r="A689" s="324" t="n"/>
      <c r="B689" s="22" t="n"/>
      <c r="C689" s="22" t="n"/>
      <c r="D689" s="22" t="n"/>
      <c r="E689" s="22" t="n"/>
      <c r="F689" s="22" t="n"/>
      <c r="G689" s="22" t="n"/>
      <c r="H689" s="22" t="n"/>
      <c r="I689" s="22" t="n"/>
      <c r="J689" s="22" t="n"/>
      <c r="K689" s="22" t="n"/>
      <c r="L689" s="22" t="n"/>
      <c r="M689" s="22" t="n"/>
      <c r="N689" s="22" t="n"/>
      <c r="O689" s="22" t="n"/>
      <c r="P689" s="22" t="n"/>
      <c r="Q689" s="22" t="n"/>
      <c r="R689" s="22" t="n"/>
      <c r="S689" s="22" t="n"/>
      <c r="T689" s="22" t="n"/>
      <c r="U689" s="22" t="n"/>
      <c r="V689" s="22" t="n"/>
      <c r="W689" s="22" t="n"/>
      <c r="X689" s="22" t="n"/>
    </row>
    <row r="690">
      <c r="A690" s="324" t="n"/>
      <c r="B690" s="22" t="n"/>
      <c r="C690" s="22" t="n"/>
      <c r="D690" s="22" t="n"/>
      <c r="E690" s="22" t="n"/>
      <c r="F690" s="22" t="n"/>
      <c r="G690" s="22" t="n"/>
      <c r="H690" s="22" t="n"/>
      <c r="I690" s="22" t="n"/>
      <c r="J690" s="22" t="n"/>
      <c r="K690" s="22" t="n"/>
      <c r="L690" s="22" t="n"/>
      <c r="M690" s="22" t="n"/>
      <c r="N690" s="22" t="n"/>
      <c r="O690" s="22" t="n"/>
      <c r="P690" s="22" t="n"/>
      <c r="Q690" s="22" t="n"/>
      <c r="R690" s="22" t="n"/>
      <c r="S690" s="22" t="n"/>
      <c r="T690" s="22" t="n"/>
      <c r="U690" s="22" t="n"/>
      <c r="V690" s="22" t="n"/>
      <c r="W690" s="22" t="n"/>
      <c r="X690" s="22" t="n"/>
    </row>
    <row r="691">
      <c r="A691" s="324" t="n"/>
      <c r="B691" s="22" t="n"/>
      <c r="C691" s="22" t="n"/>
      <c r="D691" s="22" t="n"/>
      <c r="E691" s="22" t="n"/>
      <c r="F691" s="22" t="n"/>
      <c r="G691" s="22" t="n"/>
      <c r="H691" s="22" t="n"/>
      <c r="I691" s="22" t="n"/>
      <c r="J691" s="22" t="n"/>
      <c r="K691" s="22" t="n"/>
      <c r="L691" s="22" t="n"/>
      <c r="M691" s="22" t="n"/>
      <c r="N691" s="22" t="n"/>
      <c r="O691" s="22" t="n"/>
      <c r="P691" s="22" t="n"/>
      <c r="Q691" s="22" t="n"/>
      <c r="R691" s="22" t="n"/>
      <c r="S691" s="22" t="n"/>
      <c r="T691" s="22" t="n"/>
      <c r="U691" s="22" t="n"/>
      <c r="V691" s="22" t="n"/>
      <c r="W691" s="22" t="n"/>
      <c r="X691" s="22" t="n"/>
    </row>
    <row r="692">
      <c r="A692" s="324" t="n"/>
      <c r="B692" s="22" t="n"/>
      <c r="C692" s="22" t="n"/>
      <c r="D692" s="22" t="n"/>
      <c r="E692" s="22" t="n"/>
      <c r="F692" s="22" t="n"/>
      <c r="G692" s="22" t="n"/>
      <c r="H692" s="22" t="n"/>
      <c r="I692" s="22" t="n"/>
      <c r="J692" s="22" t="n"/>
      <c r="K692" s="22" t="n"/>
      <c r="L692" s="22" t="n"/>
      <c r="M692" s="22" t="n"/>
      <c r="N692" s="22" t="n"/>
      <c r="O692" s="22" t="n"/>
      <c r="P692" s="22" t="n"/>
      <c r="Q692" s="22" t="n"/>
      <c r="R692" s="22" t="n"/>
      <c r="S692" s="22" t="n"/>
      <c r="T692" s="22" t="n"/>
      <c r="U692" s="22" t="n"/>
      <c r="V692" s="22" t="n"/>
      <c r="W692" s="22" t="n"/>
      <c r="X692" s="22" t="n"/>
    </row>
    <row r="693">
      <c r="A693" s="324" t="n"/>
      <c r="B693" s="22" t="n"/>
      <c r="C693" s="22" t="n"/>
      <c r="D693" s="22" t="n"/>
      <c r="E693" s="22" t="n"/>
      <c r="F693" s="22" t="n"/>
      <c r="G693" s="22" t="n"/>
      <c r="H693" s="22" t="n"/>
      <c r="I693" s="22" t="n"/>
      <c r="J693" s="22" t="n"/>
      <c r="K693" s="22" t="n"/>
      <c r="L693" s="22" t="n"/>
      <c r="M693" s="22" t="n"/>
      <c r="N693" s="22" t="n"/>
      <c r="O693" s="22" t="n"/>
      <c r="P693" s="22" t="n"/>
      <c r="Q693" s="22" t="n"/>
      <c r="R693" s="22" t="n"/>
      <c r="S693" s="22" t="n"/>
      <c r="T693" s="22" t="n"/>
      <c r="U693" s="22" t="n"/>
      <c r="V693" s="22" t="n"/>
      <c r="W693" s="22" t="n"/>
      <c r="X693" s="22" t="n"/>
    </row>
    <row r="694">
      <c r="A694" s="324" t="n"/>
      <c r="B694" s="22" t="n"/>
      <c r="C694" s="22" t="n"/>
      <c r="D694" s="22" t="n"/>
      <c r="E694" s="22" t="n"/>
      <c r="F694" s="22" t="n"/>
      <c r="G694" s="22" t="n"/>
      <c r="H694" s="22" t="n"/>
      <c r="I694" s="22" t="n"/>
      <c r="J694" s="22" t="n"/>
      <c r="K694" s="22" t="n"/>
      <c r="L694" s="22" t="n"/>
      <c r="M694" s="22" t="n"/>
      <c r="N694" s="22" t="n"/>
      <c r="O694" s="22" t="n"/>
      <c r="P694" s="22" t="n"/>
      <c r="Q694" s="22" t="n"/>
      <c r="R694" s="22" t="n"/>
      <c r="S694" s="22" t="n"/>
      <c r="T694" s="22" t="n"/>
      <c r="U694" s="22" t="n"/>
      <c r="V694" s="22" t="n"/>
      <c r="W694" s="22" t="n"/>
      <c r="X694" s="22" t="n"/>
    </row>
    <row r="695">
      <c r="A695" s="324" t="n"/>
      <c r="B695" s="22" t="n"/>
      <c r="C695" s="22" t="n"/>
      <c r="D695" s="22" t="n"/>
      <c r="E695" s="22" t="n"/>
      <c r="F695" s="22" t="n"/>
      <c r="G695" s="22" t="n"/>
      <c r="H695" s="22" t="n"/>
      <c r="I695" s="22" t="n"/>
      <c r="J695" s="22" t="n"/>
      <c r="K695" s="22" t="n"/>
      <c r="L695" s="22" t="n"/>
      <c r="M695" s="22" t="n"/>
      <c r="N695" s="22" t="n"/>
      <c r="O695" s="22" t="n"/>
      <c r="P695" s="22" t="n"/>
      <c r="Q695" s="22" t="n"/>
      <c r="R695" s="22" t="n"/>
      <c r="S695" s="22" t="n"/>
      <c r="T695" s="22" t="n"/>
      <c r="U695" s="22" t="n"/>
      <c r="V695" s="22" t="n"/>
      <c r="W695" s="22" t="n"/>
      <c r="X695" s="22" t="n"/>
    </row>
    <row r="696">
      <c r="A696" s="324" t="n"/>
      <c r="B696" s="22" t="n"/>
      <c r="C696" s="22" t="n"/>
      <c r="D696" s="22" t="n"/>
      <c r="E696" s="22" t="n"/>
      <c r="F696" s="22" t="n"/>
      <c r="G696" s="22" t="n"/>
      <c r="H696" s="22" t="n"/>
      <c r="I696" s="22" t="n"/>
      <c r="J696" s="22" t="n"/>
      <c r="K696" s="22" t="n"/>
      <c r="L696" s="22" t="n"/>
      <c r="M696" s="22" t="n"/>
      <c r="N696" s="22" t="n"/>
      <c r="O696" s="22" t="n"/>
      <c r="P696" s="22" t="n"/>
      <c r="Q696" s="22" t="n"/>
      <c r="R696" s="22" t="n"/>
      <c r="S696" s="22" t="n"/>
      <c r="T696" s="22" t="n"/>
      <c r="U696" s="22" t="n"/>
      <c r="V696" s="22" t="n"/>
      <c r="W696" s="22" t="n"/>
      <c r="X696" s="22" t="n"/>
    </row>
    <row r="697">
      <c r="A697" s="324" t="n"/>
      <c r="B697" s="22" t="n"/>
      <c r="C697" s="22" t="n"/>
      <c r="D697" s="22" t="n"/>
      <c r="E697" s="22" t="n"/>
      <c r="F697" s="22" t="n"/>
      <c r="G697" s="22" t="n"/>
      <c r="H697" s="22" t="n"/>
      <c r="I697" s="22" t="n"/>
      <c r="J697" s="22" t="n"/>
      <c r="K697" s="22" t="n"/>
      <c r="L697" s="22" t="n"/>
      <c r="M697" s="22" t="n"/>
      <c r="N697" s="22" t="n"/>
      <c r="O697" s="22" t="n"/>
      <c r="P697" s="22" t="n"/>
      <c r="Q697" s="22" t="n"/>
      <c r="R697" s="22" t="n"/>
      <c r="S697" s="22" t="n"/>
      <c r="T697" s="22" t="n"/>
      <c r="U697" s="22" t="n"/>
      <c r="V697" s="22" t="n"/>
      <c r="W697" s="22" t="n"/>
      <c r="X697" s="22" t="n"/>
    </row>
    <row r="698">
      <c r="A698" s="324" t="n"/>
      <c r="B698" s="22" t="n"/>
      <c r="C698" s="22" t="n"/>
      <c r="D698" s="22" t="n"/>
      <c r="E698" s="22" t="n"/>
      <c r="F698" s="22" t="n"/>
      <c r="G698" s="22" t="n"/>
      <c r="H698" s="22" t="n"/>
      <c r="I698" s="22" t="n"/>
      <c r="J698" s="22" t="n"/>
      <c r="K698" s="22" t="n"/>
      <c r="L698" s="22" t="n"/>
      <c r="M698" s="22" t="n"/>
      <c r="N698" s="22" t="n"/>
      <c r="O698" s="22" t="n"/>
      <c r="P698" s="22" t="n"/>
      <c r="Q698" s="22" t="n"/>
      <c r="R698" s="22" t="n"/>
      <c r="S698" s="22" t="n"/>
      <c r="T698" s="22" t="n"/>
      <c r="U698" s="22" t="n"/>
      <c r="V698" s="22" t="n"/>
      <c r="W698" s="22" t="n"/>
      <c r="X698" s="22" t="n"/>
    </row>
    <row r="699">
      <c r="A699" s="324" t="n"/>
      <c r="B699" s="22" t="n"/>
      <c r="C699" s="22" t="n"/>
      <c r="D699" s="22" t="n"/>
      <c r="E699" s="22" t="n"/>
      <c r="F699" s="22" t="n"/>
      <c r="G699" s="22" t="n"/>
      <c r="H699" s="22" t="n"/>
      <c r="I699" s="22" t="n"/>
      <c r="J699" s="22" t="n"/>
      <c r="K699" s="22" t="n"/>
      <c r="L699" s="22" t="n"/>
      <c r="M699" s="22" t="n"/>
      <c r="N699" s="22" t="n"/>
      <c r="O699" s="22" t="n"/>
      <c r="P699" s="22" t="n"/>
      <c r="Q699" s="22" t="n"/>
      <c r="R699" s="22" t="n"/>
      <c r="S699" s="22" t="n"/>
      <c r="T699" s="22" t="n"/>
      <c r="U699" s="22" t="n"/>
      <c r="V699" s="22" t="n"/>
      <c r="W699" s="22" t="n"/>
      <c r="X699" s="22" t="n"/>
    </row>
    <row r="700">
      <c r="A700" s="324" t="n"/>
      <c r="B700" s="22" t="n"/>
      <c r="C700" s="22" t="n"/>
      <c r="D700" s="22" t="n"/>
      <c r="E700" s="22" t="n"/>
      <c r="F700" s="22" t="n"/>
      <c r="G700" s="22" t="n"/>
      <c r="H700" s="22" t="n"/>
      <c r="I700" s="22" t="n"/>
      <c r="J700" s="22" t="n"/>
      <c r="K700" s="22" t="n"/>
      <c r="L700" s="22" t="n"/>
      <c r="M700" s="22" t="n"/>
      <c r="N700" s="22" t="n"/>
      <c r="O700" s="22" t="n"/>
      <c r="P700" s="22" t="n"/>
      <c r="Q700" s="22" t="n"/>
      <c r="R700" s="22" t="n"/>
      <c r="S700" s="22" t="n"/>
      <c r="T700" s="22" t="n"/>
      <c r="U700" s="22" t="n"/>
      <c r="V700" s="22" t="n"/>
      <c r="W700" s="22" t="n"/>
      <c r="X700" s="22" t="n"/>
    </row>
    <row r="701">
      <c r="A701" s="324" t="n"/>
      <c r="B701" s="22" t="n"/>
      <c r="C701" s="22" t="n"/>
      <c r="D701" s="22" t="n"/>
      <c r="E701" s="22" t="n"/>
      <c r="F701" s="22" t="n"/>
      <c r="G701" s="22" t="n"/>
      <c r="H701" s="22" t="n"/>
      <c r="I701" s="22" t="n"/>
      <c r="J701" s="22" t="n"/>
      <c r="K701" s="22" t="n"/>
      <c r="L701" s="22" t="n"/>
      <c r="M701" s="22" t="n"/>
      <c r="N701" s="22" t="n"/>
      <c r="O701" s="22" t="n"/>
      <c r="P701" s="22" t="n"/>
      <c r="Q701" s="22" t="n"/>
      <c r="R701" s="22" t="n"/>
      <c r="S701" s="22" t="n"/>
      <c r="T701" s="22" t="n"/>
      <c r="U701" s="22" t="n"/>
      <c r="V701" s="22" t="n"/>
      <c r="W701" s="22" t="n"/>
      <c r="X701" s="22" t="n"/>
    </row>
    <row r="702">
      <c r="A702" s="324" t="n"/>
      <c r="B702" s="22" t="n"/>
      <c r="C702" s="22" t="n"/>
      <c r="D702" s="22" t="n"/>
      <c r="E702" s="22" t="n"/>
      <c r="F702" s="22" t="n"/>
      <c r="G702" s="22" t="n"/>
      <c r="H702" s="22" t="n"/>
      <c r="I702" s="22" t="n"/>
      <c r="J702" s="22" t="n"/>
      <c r="K702" s="22" t="n"/>
      <c r="L702" s="22" t="n"/>
      <c r="M702" s="22" t="n"/>
      <c r="N702" s="22" t="n"/>
      <c r="O702" s="22" t="n"/>
      <c r="P702" s="22" t="n"/>
      <c r="Q702" s="22" t="n"/>
      <c r="R702" s="22" t="n"/>
      <c r="S702" s="22" t="n"/>
      <c r="T702" s="22" t="n"/>
      <c r="U702" s="22" t="n"/>
      <c r="V702" s="22" t="n"/>
      <c r="W702" s="22" t="n"/>
      <c r="X702" s="22" t="n"/>
    </row>
    <row r="703">
      <c r="A703" s="324" t="n"/>
      <c r="B703" s="22" t="n"/>
      <c r="C703" s="22" t="n"/>
      <c r="D703" s="22" t="n"/>
      <c r="E703" s="22" t="n"/>
      <c r="F703" s="22" t="n"/>
      <c r="G703" s="22" t="n"/>
      <c r="H703" s="22" t="n"/>
      <c r="I703" s="22" t="n"/>
      <c r="J703" s="22" t="n"/>
      <c r="K703" s="22" t="n"/>
      <c r="L703" s="22" t="n"/>
      <c r="M703" s="22" t="n"/>
      <c r="N703" s="22" t="n"/>
      <c r="O703" s="22" t="n"/>
      <c r="P703" s="22" t="n"/>
      <c r="Q703" s="22" t="n"/>
      <c r="R703" s="22" t="n"/>
      <c r="S703" s="22" t="n"/>
      <c r="T703" s="22" t="n"/>
      <c r="U703" s="22" t="n"/>
      <c r="V703" s="22" t="n"/>
      <c r="W703" s="22" t="n"/>
      <c r="X703" s="22" t="n"/>
    </row>
    <row r="704">
      <c r="A704" s="324" t="n"/>
      <c r="B704" s="22" t="n"/>
      <c r="C704" s="22" t="n"/>
      <c r="D704" s="22" t="n"/>
      <c r="E704" s="22" t="n"/>
      <c r="F704" s="22" t="n"/>
      <c r="G704" s="22" t="n"/>
      <c r="H704" s="22" t="n"/>
      <c r="I704" s="22" t="n"/>
      <c r="J704" s="22" t="n"/>
      <c r="K704" s="22" t="n"/>
      <c r="L704" s="22" t="n"/>
      <c r="M704" s="22" t="n"/>
      <c r="N704" s="22" t="n"/>
      <c r="O704" s="22" t="n"/>
      <c r="P704" s="22" t="n"/>
      <c r="Q704" s="22" t="n"/>
      <c r="R704" s="22" t="n"/>
      <c r="S704" s="22" t="n"/>
      <c r="T704" s="22" t="n"/>
      <c r="U704" s="22" t="n"/>
      <c r="V704" s="22" t="n"/>
      <c r="W704" s="22" t="n"/>
      <c r="X704" s="22" t="n"/>
    </row>
    <row r="705">
      <c r="A705" s="324" t="n"/>
      <c r="B705" s="22" t="n"/>
      <c r="C705" s="22" t="n"/>
      <c r="D705" s="22" t="n"/>
      <c r="E705" s="22" t="n"/>
      <c r="F705" s="22" t="n"/>
      <c r="G705" s="22" t="n"/>
      <c r="H705" s="22" t="n"/>
      <c r="I705" s="22" t="n"/>
      <c r="J705" s="22" t="n"/>
      <c r="K705" s="22" t="n"/>
      <c r="L705" s="22" t="n"/>
      <c r="M705" s="22" t="n"/>
      <c r="N705" s="22" t="n"/>
      <c r="O705" s="22" t="n"/>
      <c r="P705" s="22" t="n"/>
      <c r="Q705" s="22" t="n"/>
      <c r="R705" s="22" t="n"/>
      <c r="S705" s="22" t="n"/>
      <c r="T705" s="22" t="n"/>
      <c r="U705" s="22" t="n"/>
      <c r="V705" s="22" t="n"/>
      <c r="W705" s="22" t="n"/>
      <c r="X705" s="22" t="n"/>
    </row>
    <row r="706">
      <c r="A706" s="324" t="n"/>
      <c r="B706" s="22" t="n"/>
      <c r="C706" s="22" t="n"/>
      <c r="D706" s="22" t="n"/>
      <c r="E706" s="22" t="n"/>
      <c r="F706" s="22" t="n"/>
      <c r="G706" s="22" t="n"/>
      <c r="H706" s="22" t="n"/>
      <c r="I706" s="22" t="n"/>
      <c r="J706" s="22" t="n"/>
      <c r="K706" s="22" t="n"/>
      <c r="L706" s="22" t="n"/>
      <c r="M706" s="22" t="n"/>
      <c r="N706" s="22" t="n"/>
      <c r="O706" s="22" t="n"/>
      <c r="P706" s="22" t="n"/>
      <c r="Q706" s="22" t="n"/>
      <c r="R706" s="22" t="n"/>
      <c r="S706" s="22" t="n"/>
      <c r="T706" s="22" t="n"/>
      <c r="U706" s="22" t="n"/>
      <c r="V706" s="22" t="n"/>
      <c r="W706" s="22" t="n"/>
      <c r="X706" s="22" t="n"/>
    </row>
    <row r="707">
      <c r="A707" s="324" t="n"/>
      <c r="B707" s="22" t="n"/>
      <c r="C707" s="22" t="n"/>
      <c r="D707" s="22" t="n"/>
      <c r="E707" s="22" t="n"/>
      <c r="F707" s="22" t="n"/>
      <c r="G707" s="22" t="n"/>
      <c r="H707" s="22" t="n"/>
      <c r="I707" s="22" t="n"/>
      <c r="J707" s="22" t="n"/>
      <c r="K707" s="22" t="n"/>
      <c r="L707" s="22" t="n"/>
      <c r="M707" s="22" t="n"/>
      <c r="N707" s="22" t="n"/>
      <c r="O707" s="22" t="n"/>
      <c r="P707" s="22" t="n"/>
      <c r="Q707" s="22" t="n"/>
      <c r="R707" s="22" t="n"/>
      <c r="S707" s="22" t="n"/>
      <c r="T707" s="22" t="n"/>
      <c r="U707" s="22" t="n"/>
      <c r="V707" s="22" t="n"/>
      <c r="W707" s="22" t="n"/>
      <c r="X707" s="22" t="n"/>
    </row>
    <row r="708">
      <c r="A708" s="324" t="n"/>
      <c r="B708" s="22" t="n"/>
      <c r="C708" s="22" t="n"/>
      <c r="D708" s="22" t="n"/>
      <c r="E708" s="22" t="n"/>
      <c r="F708" s="22" t="n"/>
      <c r="G708" s="22" t="n"/>
      <c r="H708" s="22" t="n"/>
      <c r="I708" s="22" t="n"/>
      <c r="J708" s="22" t="n"/>
      <c r="K708" s="22" t="n"/>
      <c r="L708" s="22" t="n"/>
      <c r="M708" s="22" t="n"/>
      <c r="N708" s="22" t="n"/>
      <c r="O708" s="22" t="n"/>
      <c r="P708" s="22" t="n"/>
      <c r="Q708" s="22" t="n"/>
      <c r="R708" s="22" t="n"/>
      <c r="S708" s="22" t="n"/>
      <c r="T708" s="22" t="n"/>
      <c r="U708" s="22" t="n"/>
      <c r="V708" s="22" t="n"/>
      <c r="W708" s="22" t="n"/>
      <c r="X708" s="22" t="n"/>
    </row>
    <row r="709">
      <c r="A709" s="324" t="n"/>
      <c r="B709" s="22" t="n"/>
      <c r="C709" s="22" t="n"/>
      <c r="D709" s="22" t="n"/>
      <c r="E709" s="22" t="n"/>
      <c r="F709" s="22" t="n"/>
      <c r="G709" s="22" t="n"/>
      <c r="H709" s="22" t="n"/>
      <c r="I709" s="22" t="n"/>
      <c r="J709" s="22" t="n"/>
      <c r="K709" s="22" t="n"/>
      <c r="L709" s="22" t="n"/>
      <c r="M709" s="22" t="n"/>
      <c r="N709" s="22" t="n"/>
      <c r="O709" s="22" t="n"/>
      <c r="P709" s="22" t="n"/>
      <c r="Q709" s="22" t="n"/>
      <c r="R709" s="22" t="n"/>
      <c r="S709" s="22" t="n"/>
      <c r="T709" s="22" t="n"/>
      <c r="U709" s="22" t="n"/>
      <c r="V709" s="22" t="n"/>
      <c r="W709" s="22" t="n"/>
      <c r="X709" s="22" t="n"/>
    </row>
    <row r="710">
      <c r="A710" s="324" t="n"/>
      <c r="B710" s="22" t="n"/>
      <c r="C710" s="22" t="n"/>
      <c r="D710" s="22" t="n"/>
      <c r="E710" s="22" t="n"/>
      <c r="F710" s="22" t="n"/>
      <c r="G710" s="22" t="n"/>
      <c r="H710" s="22" t="n"/>
      <c r="I710" s="22" t="n"/>
      <c r="J710" s="22" t="n"/>
      <c r="K710" s="22" t="n"/>
      <c r="L710" s="22" t="n"/>
      <c r="M710" s="22" t="n"/>
      <c r="N710" s="22" t="n"/>
      <c r="O710" s="22" t="n"/>
      <c r="P710" s="22" t="n"/>
      <c r="Q710" s="22" t="n"/>
      <c r="R710" s="22" t="n"/>
      <c r="S710" s="22" t="n"/>
      <c r="T710" s="22" t="n"/>
      <c r="U710" s="22" t="n"/>
      <c r="V710" s="22" t="n"/>
      <c r="W710" s="22" t="n"/>
      <c r="X710" s="22" t="n"/>
    </row>
    <row r="711">
      <c r="A711" s="324" t="n"/>
      <c r="B711" s="22" t="n"/>
      <c r="C711" s="22" t="n"/>
      <c r="D711" s="22" t="n"/>
      <c r="E711" s="22" t="n"/>
      <c r="F711" s="22" t="n"/>
      <c r="G711" s="22" t="n"/>
      <c r="H711" s="22" t="n"/>
      <c r="I711" s="22" t="n"/>
      <c r="J711" s="22" t="n"/>
      <c r="K711" s="22" t="n"/>
      <c r="L711" s="22" t="n"/>
      <c r="M711" s="22" t="n"/>
      <c r="N711" s="22" t="n"/>
      <c r="O711" s="22" t="n"/>
      <c r="P711" s="22" t="n"/>
      <c r="Q711" s="22" t="n"/>
      <c r="R711" s="22" t="n"/>
      <c r="S711" s="22" t="n"/>
      <c r="T711" s="22" t="n"/>
      <c r="U711" s="22" t="n"/>
      <c r="V711" s="22" t="n"/>
      <c r="W711" s="22" t="n"/>
      <c r="X711" s="22" t="n"/>
    </row>
    <row r="712">
      <c r="A712" s="324" t="n"/>
      <c r="B712" s="22" t="n"/>
      <c r="C712" s="22" t="n"/>
      <c r="D712" s="22" t="n"/>
      <c r="E712" s="22" t="n"/>
      <c r="F712" s="22" t="n"/>
      <c r="G712" s="22" t="n"/>
      <c r="H712" s="22" t="n"/>
      <c r="I712" s="22" t="n"/>
      <c r="J712" s="22" t="n"/>
      <c r="K712" s="22" t="n"/>
      <c r="L712" s="22" t="n"/>
      <c r="M712" s="22" t="n"/>
      <c r="N712" s="22" t="n"/>
      <c r="O712" s="22" t="n"/>
      <c r="P712" s="22" t="n"/>
      <c r="Q712" s="22" t="n"/>
      <c r="R712" s="22" t="n"/>
      <c r="S712" s="22" t="n"/>
      <c r="T712" s="22" t="n"/>
      <c r="U712" s="22" t="n"/>
      <c r="V712" s="22" t="n"/>
      <c r="W712" s="22" t="n"/>
      <c r="X712" s="22" t="n"/>
    </row>
    <row r="713">
      <c r="A713" s="324" t="n"/>
      <c r="B713" s="22" t="n"/>
      <c r="C713" s="22" t="n"/>
      <c r="D713" s="22" t="n"/>
      <c r="E713" s="22" t="n"/>
      <c r="F713" s="22" t="n"/>
      <c r="G713" s="22" t="n"/>
      <c r="H713" s="22" t="n"/>
      <c r="I713" s="22" t="n"/>
      <c r="J713" s="22" t="n"/>
      <c r="K713" s="22" t="n"/>
      <c r="L713" s="22" t="n"/>
      <c r="M713" s="22" t="n"/>
      <c r="N713" s="22" t="n"/>
      <c r="O713" s="22" t="n"/>
      <c r="P713" s="22" t="n"/>
      <c r="Q713" s="22" t="n"/>
      <c r="R713" s="22" t="n"/>
      <c r="S713" s="22" t="n"/>
      <c r="T713" s="22" t="n"/>
      <c r="U713" s="22" t="n"/>
      <c r="V713" s="22" t="n"/>
      <c r="W713" s="22" t="n"/>
      <c r="X713" s="22" t="n"/>
    </row>
    <row r="714">
      <c r="A714" s="324" t="n"/>
      <c r="B714" s="22" t="n"/>
      <c r="C714" s="22" t="n"/>
      <c r="D714" s="22" t="n"/>
      <c r="E714" s="22" t="n"/>
      <c r="F714" s="22" t="n"/>
      <c r="G714" s="22" t="n"/>
      <c r="H714" s="22" t="n"/>
      <c r="I714" s="22" t="n"/>
      <c r="J714" s="22" t="n"/>
      <c r="K714" s="22" t="n"/>
      <c r="L714" s="22" t="n"/>
      <c r="M714" s="22" t="n"/>
      <c r="N714" s="22" t="n"/>
      <c r="O714" s="22" t="n"/>
      <c r="P714" s="22" t="n"/>
      <c r="Q714" s="22" t="n"/>
      <c r="R714" s="22" t="n"/>
      <c r="S714" s="22" t="n"/>
      <c r="T714" s="22" t="n"/>
      <c r="U714" s="22" t="n"/>
      <c r="V714" s="22" t="n"/>
      <c r="W714" s="22" t="n"/>
      <c r="X714" s="22" t="n"/>
    </row>
    <row r="715">
      <c r="A715" s="324" t="n"/>
      <c r="B715" s="22" t="n"/>
      <c r="C715" s="22" t="n"/>
      <c r="D715" s="22" t="n"/>
      <c r="E715" s="22" t="n"/>
      <c r="F715" s="22" t="n"/>
      <c r="G715" s="22" t="n"/>
      <c r="H715" s="22" t="n"/>
      <c r="I715" s="22" t="n"/>
      <c r="J715" s="22" t="n"/>
      <c r="K715" s="22" t="n"/>
      <c r="L715" s="22" t="n"/>
      <c r="M715" s="22" t="n"/>
      <c r="N715" s="22" t="n"/>
      <c r="O715" s="22" t="n"/>
      <c r="P715" s="22" t="n"/>
      <c r="Q715" s="22" t="n"/>
      <c r="R715" s="22" t="n"/>
      <c r="S715" s="22" t="n"/>
      <c r="T715" s="22" t="n"/>
      <c r="U715" s="22" t="n"/>
      <c r="V715" s="22" t="n"/>
      <c r="W715" s="22" t="n"/>
      <c r="X715" s="22" t="n"/>
    </row>
    <row r="716">
      <c r="A716" s="324" t="n"/>
      <c r="B716" s="22" t="n"/>
      <c r="C716" s="22" t="n"/>
      <c r="D716" s="22" t="n"/>
      <c r="E716" s="22" t="n"/>
      <c r="F716" s="22" t="n"/>
      <c r="G716" s="22" t="n"/>
      <c r="H716" s="22" t="n"/>
      <c r="I716" s="22" t="n"/>
      <c r="J716" s="22" t="n"/>
      <c r="K716" s="22" t="n"/>
      <c r="L716" s="22" t="n"/>
      <c r="M716" s="22" t="n"/>
      <c r="N716" s="22" t="n"/>
      <c r="O716" s="22" t="n"/>
      <c r="P716" s="22" t="n"/>
      <c r="Q716" s="22" t="n"/>
      <c r="R716" s="22" t="n"/>
      <c r="S716" s="22" t="n"/>
      <c r="T716" s="22" t="n"/>
      <c r="U716" s="22" t="n"/>
      <c r="V716" s="22" t="n"/>
      <c r="W716" s="22" t="n"/>
      <c r="X716" s="22" t="n"/>
    </row>
    <row r="717">
      <c r="A717" s="324" t="n"/>
      <c r="B717" s="22" t="n"/>
      <c r="C717" s="22" t="n"/>
      <c r="D717" s="22" t="n"/>
      <c r="E717" s="22" t="n"/>
      <c r="F717" s="22" t="n"/>
      <c r="G717" s="22" t="n"/>
      <c r="H717" s="22" t="n"/>
      <c r="I717" s="22" t="n"/>
      <c r="J717" s="22" t="n"/>
      <c r="K717" s="22" t="n"/>
      <c r="L717" s="22" t="n"/>
      <c r="M717" s="22" t="n"/>
      <c r="N717" s="22" t="n"/>
      <c r="O717" s="22" t="n"/>
      <c r="P717" s="22" t="n"/>
      <c r="Q717" s="22" t="n"/>
      <c r="R717" s="22" t="n"/>
      <c r="S717" s="22" t="n"/>
      <c r="T717" s="22" t="n"/>
      <c r="U717" s="22" t="n"/>
      <c r="V717" s="22" t="n"/>
      <c r="W717" s="22" t="n"/>
      <c r="X717" s="22" t="n"/>
    </row>
    <row r="718">
      <c r="A718" s="324" t="n"/>
      <c r="B718" s="22" t="n"/>
      <c r="C718" s="22" t="n"/>
      <c r="D718" s="22" t="n"/>
      <c r="E718" s="22" t="n"/>
      <c r="F718" s="22" t="n"/>
      <c r="G718" s="22" t="n"/>
      <c r="H718" s="22" t="n"/>
      <c r="I718" s="22" t="n"/>
      <c r="J718" s="22" t="n"/>
      <c r="K718" s="22" t="n"/>
      <c r="L718" s="22" t="n"/>
      <c r="M718" s="22" t="n"/>
      <c r="N718" s="22" t="n"/>
      <c r="O718" s="22" t="n"/>
      <c r="P718" s="22" t="n"/>
      <c r="Q718" s="22" t="n"/>
      <c r="R718" s="22" t="n"/>
      <c r="S718" s="22" t="n"/>
      <c r="T718" s="22" t="n"/>
      <c r="U718" s="22" t="n"/>
      <c r="V718" s="22" t="n"/>
      <c r="W718" s="22" t="n"/>
      <c r="X718" s="22" t="n"/>
    </row>
    <row r="719">
      <c r="A719" s="324" t="n"/>
      <c r="B719" s="22" t="n"/>
      <c r="C719" s="22" t="n"/>
      <c r="D719" s="22" t="n"/>
      <c r="E719" s="22" t="n"/>
      <c r="F719" s="22" t="n"/>
      <c r="G719" s="22" t="n"/>
      <c r="H719" s="22" t="n"/>
      <c r="I719" s="22" t="n"/>
      <c r="J719" s="22" t="n"/>
      <c r="K719" s="22" t="n"/>
      <c r="L719" s="22" t="n"/>
      <c r="M719" s="22" t="n"/>
      <c r="N719" s="22" t="n"/>
      <c r="O719" s="22" t="n"/>
      <c r="P719" s="22" t="n"/>
      <c r="Q719" s="22" t="n"/>
      <c r="R719" s="22" t="n"/>
      <c r="S719" s="22" t="n"/>
      <c r="T719" s="22" t="n"/>
      <c r="U719" s="22" t="n"/>
      <c r="V719" s="22" t="n"/>
      <c r="W719" s="22" t="n"/>
      <c r="X719" s="22" t="n"/>
    </row>
    <row r="720">
      <c r="A720" s="324" t="n"/>
      <c r="B720" s="22" t="n"/>
      <c r="C720" s="22" t="n"/>
      <c r="D720" s="22" t="n"/>
      <c r="E720" s="22" t="n"/>
      <c r="F720" s="22" t="n"/>
      <c r="G720" s="22" t="n"/>
      <c r="H720" s="22" t="n"/>
      <c r="I720" s="22" t="n"/>
      <c r="J720" s="22" t="n"/>
      <c r="K720" s="22" t="n"/>
      <c r="L720" s="22" t="n"/>
      <c r="M720" s="22" t="n"/>
      <c r="N720" s="22" t="n"/>
      <c r="O720" s="22" t="n"/>
      <c r="P720" s="22" t="n"/>
      <c r="Q720" s="22" t="n"/>
      <c r="R720" s="22" t="n"/>
      <c r="S720" s="22" t="n"/>
      <c r="T720" s="22" t="n"/>
      <c r="U720" s="22" t="n"/>
      <c r="V720" s="22" t="n"/>
      <c r="W720" s="22" t="n"/>
      <c r="X720" s="22" t="n"/>
    </row>
    <row r="721">
      <c r="A721" s="324" t="n"/>
      <c r="B721" s="22" t="n"/>
      <c r="C721" s="22" t="n"/>
      <c r="D721" s="22" t="n"/>
      <c r="E721" s="22" t="n"/>
      <c r="F721" s="22" t="n"/>
      <c r="G721" s="22" t="n"/>
      <c r="H721" s="22" t="n"/>
      <c r="I721" s="22" t="n"/>
      <c r="J721" s="22" t="n"/>
      <c r="K721" s="22" t="n"/>
      <c r="L721" s="22" t="n"/>
      <c r="M721" s="22" t="n"/>
      <c r="N721" s="22" t="n"/>
      <c r="O721" s="22" t="n"/>
      <c r="P721" s="22" t="n"/>
      <c r="Q721" s="22" t="n"/>
      <c r="R721" s="22" t="n"/>
      <c r="S721" s="22" t="n"/>
      <c r="T721" s="22" t="n"/>
      <c r="U721" s="22" t="n"/>
      <c r="V721" s="22" t="n"/>
      <c r="W721" s="22" t="n"/>
      <c r="X721" s="22" t="n"/>
    </row>
    <row r="722">
      <c r="A722" s="324" t="n"/>
      <c r="B722" s="22" t="n"/>
      <c r="C722" s="22" t="n"/>
      <c r="D722" s="22" t="n"/>
      <c r="E722" s="22" t="n"/>
      <c r="F722" s="22" t="n"/>
      <c r="G722" s="22" t="n"/>
      <c r="H722" s="22" t="n"/>
      <c r="I722" s="22" t="n"/>
      <c r="J722" s="22" t="n"/>
      <c r="K722" s="22" t="n"/>
      <c r="L722" s="22" t="n"/>
      <c r="M722" s="22" t="n"/>
      <c r="N722" s="22" t="n"/>
      <c r="O722" s="22" t="n"/>
      <c r="P722" s="22" t="n"/>
      <c r="Q722" s="22" t="n"/>
      <c r="R722" s="22" t="n"/>
      <c r="S722" s="22" t="n"/>
      <c r="T722" s="22" t="n"/>
      <c r="U722" s="22" t="n"/>
      <c r="V722" s="22" t="n"/>
      <c r="W722" s="22" t="n"/>
      <c r="X722" s="22" t="n"/>
    </row>
    <row r="723">
      <c r="A723" s="324" t="n"/>
      <c r="B723" s="22" t="n"/>
      <c r="C723" s="22" t="n"/>
      <c r="D723" s="22" t="n"/>
      <c r="E723" s="22" t="n"/>
      <c r="F723" s="22" t="n"/>
      <c r="G723" s="22" t="n"/>
      <c r="H723" s="22" t="n"/>
      <c r="I723" s="22" t="n"/>
      <c r="J723" s="22" t="n"/>
      <c r="K723" s="22" t="n"/>
      <c r="L723" s="22" t="n"/>
      <c r="M723" s="22" t="n"/>
      <c r="N723" s="22" t="n"/>
      <c r="O723" s="22" t="n"/>
      <c r="P723" s="22" t="n"/>
      <c r="Q723" s="22" t="n"/>
      <c r="R723" s="22" t="n"/>
      <c r="S723" s="22" t="n"/>
      <c r="T723" s="22" t="n"/>
      <c r="U723" s="22" t="n"/>
      <c r="V723" s="22" t="n"/>
      <c r="W723" s="22" t="n"/>
      <c r="X723" s="22" t="n"/>
    </row>
    <row r="724">
      <c r="A724" s="324" t="n"/>
      <c r="B724" s="22" t="n"/>
      <c r="C724" s="22" t="n"/>
      <c r="D724" s="22" t="n"/>
      <c r="E724" s="22" t="n"/>
      <c r="F724" s="22" t="n"/>
      <c r="G724" s="22" t="n"/>
      <c r="H724" s="22" t="n"/>
      <c r="I724" s="22" t="n"/>
      <c r="J724" s="22" t="n"/>
      <c r="K724" s="22" t="n"/>
      <c r="L724" s="22" t="n"/>
      <c r="M724" s="22" t="n"/>
      <c r="N724" s="22" t="n"/>
      <c r="O724" s="22" t="n"/>
      <c r="P724" s="22" t="n"/>
      <c r="Q724" s="22" t="n"/>
      <c r="R724" s="22" t="n"/>
      <c r="S724" s="22" t="n"/>
      <c r="T724" s="22" t="n"/>
      <c r="U724" s="22" t="n"/>
      <c r="V724" s="22" t="n"/>
      <c r="W724" s="22" t="n"/>
      <c r="X724" s="22" t="n"/>
    </row>
    <row r="725">
      <c r="A725" s="324" t="n"/>
      <c r="B725" s="22" t="n"/>
      <c r="C725" s="22" t="n"/>
      <c r="D725" s="22" t="n"/>
      <c r="E725" s="22" t="n"/>
      <c r="F725" s="22" t="n"/>
      <c r="G725" s="22" t="n"/>
      <c r="H725" s="22" t="n"/>
      <c r="I725" s="22" t="n"/>
      <c r="J725" s="22" t="n"/>
      <c r="K725" s="22" t="n"/>
      <c r="L725" s="22" t="n"/>
      <c r="M725" s="22" t="n"/>
      <c r="N725" s="22" t="n"/>
      <c r="O725" s="22" t="n"/>
      <c r="P725" s="22" t="n"/>
      <c r="Q725" s="22" t="n"/>
      <c r="R725" s="22" t="n"/>
      <c r="S725" s="22" t="n"/>
      <c r="T725" s="22" t="n"/>
      <c r="U725" s="22" t="n"/>
      <c r="V725" s="22" t="n"/>
      <c r="W725" s="22" t="n"/>
      <c r="X725" s="22" t="n"/>
    </row>
    <row r="726">
      <c r="A726" s="324" t="n"/>
      <c r="B726" s="22" t="n"/>
      <c r="C726" s="22" t="n"/>
      <c r="D726" s="22" t="n"/>
      <c r="E726" s="22" t="n"/>
      <c r="F726" s="22" t="n"/>
      <c r="G726" s="22" t="n"/>
      <c r="H726" s="22" t="n"/>
      <c r="I726" s="22" t="n"/>
      <c r="J726" s="22" t="n"/>
      <c r="K726" s="22" t="n"/>
      <c r="L726" s="22" t="n"/>
      <c r="M726" s="22" t="n"/>
      <c r="N726" s="22" t="n"/>
      <c r="O726" s="22" t="n"/>
      <c r="P726" s="22" t="n"/>
      <c r="Q726" s="22" t="n"/>
      <c r="R726" s="22" t="n"/>
      <c r="S726" s="22" t="n"/>
      <c r="T726" s="22" t="n"/>
      <c r="U726" s="22" t="n"/>
      <c r="V726" s="22" t="n"/>
      <c r="W726" s="22" t="n"/>
      <c r="X726" s="22" t="n"/>
    </row>
    <row r="727">
      <c r="A727" s="324" t="n"/>
      <c r="B727" s="22" t="n"/>
      <c r="C727" s="22" t="n"/>
      <c r="D727" s="22" t="n"/>
      <c r="E727" s="22" t="n"/>
      <c r="F727" s="22" t="n"/>
      <c r="G727" s="22" t="n"/>
      <c r="H727" s="22" t="n"/>
      <c r="I727" s="22" t="n"/>
      <c r="J727" s="22" t="n"/>
      <c r="K727" s="22" t="n"/>
      <c r="L727" s="22" t="n"/>
      <c r="M727" s="22" t="n"/>
      <c r="N727" s="22" t="n"/>
      <c r="O727" s="22" t="n"/>
      <c r="P727" s="22" t="n"/>
      <c r="Q727" s="22" t="n"/>
      <c r="R727" s="22" t="n"/>
      <c r="S727" s="22" t="n"/>
      <c r="T727" s="22" t="n"/>
      <c r="U727" s="22" t="n"/>
      <c r="V727" s="22" t="n"/>
      <c r="W727" s="22" t="n"/>
      <c r="X727" s="22" t="n"/>
    </row>
    <row r="728">
      <c r="A728" s="324" t="n"/>
      <c r="B728" s="22" t="n"/>
      <c r="C728" s="22" t="n"/>
      <c r="D728" s="22" t="n"/>
      <c r="E728" s="22" t="n"/>
      <c r="F728" s="22" t="n"/>
      <c r="G728" s="22" t="n"/>
      <c r="H728" s="22" t="n"/>
      <c r="I728" s="22" t="n"/>
      <c r="J728" s="22" t="n"/>
      <c r="K728" s="22" t="n"/>
      <c r="L728" s="22" t="n"/>
      <c r="M728" s="22" t="n"/>
      <c r="N728" s="22" t="n"/>
      <c r="O728" s="22" t="n"/>
      <c r="P728" s="22" t="n"/>
      <c r="Q728" s="22" t="n"/>
      <c r="R728" s="22" t="n"/>
      <c r="S728" s="22" t="n"/>
      <c r="T728" s="22" t="n"/>
      <c r="U728" s="22" t="n"/>
      <c r="V728" s="22" t="n"/>
      <c r="W728" s="22" t="n"/>
      <c r="X728" s="22" t="n"/>
    </row>
    <row r="729">
      <c r="A729" s="324" t="n"/>
      <c r="B729" s="22" t="n"/>
      <c r="C729" s="22" t="n"/>
      <c r="D729" s="22" t="n"/>
      <c r="E729" s="22" t="n"/>
      <c r="F729" s="22" t="n"/>
      <c r="G729" s="22" t="n"/>
      <c r="H729" s="22" t="n"/>
      <c r="I729" s="22" t="n"/>
      <c r="J729" s="22" t="n"/>
      <c r="K729" s="22" t="n"/>
      <c r="L729" s="22" t="n"/>
      <c r="M729" s="22" t="n"/>
      <c r="N729" s="22" t="n"/>
      <c r="O729" s="22" t="n"/>
      <c r="P729" s="22" t="n"/>
      <c r="Q729" s="22" t="n"/>
      <c r="R729" s="22" t="n"/>
      <c r="S729" s="22" t="n"/>
      <c r="T729" s="22" t="n"/>
      <c r="U729" s="22" t="n"/>
      <c r="V729" s="22" t="n"/>
      <c r="W729" s="22" t="n"/>
      <c r="X729" s="22" t="n"/>
    </row>
    <row r="730">
      <c r="A730" s="324" t="n"/>
      <c r="B730" s="22" t="n"/>
      <c r="C730" s="22" t="n"/>
      <c r="D730" s="22" t="n"/>
      <c r="E730" s="22" t="n"/>
      <c r="F730" s="22" t="n"/>
      <c r="G730" s="22" t="n"/>
      <c r="H730" s="22" t="n"/>
      <c r="I730" s="22" t="n"/>
      <c r="J730" s="22" t="n"/>
      <c r="K730" s="22" t="n"/>
      <c r="L730" s="22" t="n"/>
      <c r="M730" s="22" t="n"/>
      <c r="N730" s="22" t="n"/>
      <c r="O730" s="22" t="n"/>
      <c r="P730" s="22" t="n"/>
      <c r="Q730" s="22" t="n"/>
      <c r="R730" s="22" t="n"/>
      <c r="S730" s="22" t="n"/>
      <c r="T730" s="22" t="n"/>
      <c r="U730" s="22" t="n"/>
      <c r="V730" s="22" t="n"/>
      <c r="W730" s="22" t="n"/>
      <c r="X730" s="22" t="n"/>
    </row>
    <row r="731">
      <c r="A731" s="324" t="n"/>
      <c r="B731" s="22" t="n"/>
      <c r="C731" s="22" t="n"/>
      <c r="D731" s="22" t="n"/>
      <c r="E731" s="22" t="n"/>
      <c r="F731" s="22" t="n"/>
      <c r="G731" s="22" t="n"/>
      <c r="H731" s="22" t="n"/>
      <c r="I731" s="22" t="n"/>
      <c r="J731" s="22" t="n"/>
      <c r="K731" s="22" t="n"/>
      <c r="L731" s="22" t="n"/>
      <c r="M731" s="22" t="n"/>
      <c r="N731" s="22" t="n"/>
      <c r="O731" s="22" t="n"/>
      <c r="P731" s="22" t="n"/>
      <c r="Q731" s="22" t="n"/>
      <c r="R731" s="22" t="n"/>
      <c r="S731" s="22" t="n"/>
      <c r="T731" s="22" t="n"/>
      <c r="U731" s="22" t="n"/>
      <c r="V731" s="22" t="n"/>
      <c r="W731" s="22" t="n"/>
      <c r="X731" s="22" t="n"/>
    </row>
    <row r="732">
      <c r="A732" s="324" t="n"/>
      <c r="B732" s="22" t="n"/>
      <c r="C732" s="22" t="n"/>
      <c r="D732" s="22" t="n"/>
      <c r="E732" s="22" t="n"/>
      <c r="F732" s="22" t="n"/>
      <c r="G732" s="22" t="n"/>
      <c r="H732" s="22" t="n"/>
      <c r="I732" s="22" t="n"/>
      <c r="J732" s="22" t="n"/>
      <c r="K732" s="22" t="n"/>
      <c r="L732" s="22" t="n"/>
      <c r="M732" s="22" t="n"/>
      <c r="N732" s="22" t="n"/>
      <c r="O732" s="22" t="n"/>
      <c r="P732" s="22" t="n"/>
      <c r="Q732" s="22" t="n"/>
      <c r="R732" s="22" t="n"/>
      <c r="S732" s="22" t="n"/>
      <c r="T732" s="22" t="n"/>
      <c r="U732" s="22" t="n"/>
      <c r="V732" s="22" t="n"/>
      <c r="W732" s="22" t="n"/>
      <c r="X732" s="22" t="n"/>
    </row>
    <row r="733">
      <c r="A733" s="324" t="n"/>
      <c r="B733" s="22" t="n"/>
      <c r="C733" s="22" t="n"/>
      <c r="D733" s="22" t="n"/>
      <c r="E733" s="22" t="n"/>
      <c r="F733" s="22" t="n"/>
      <c r="G733" s="22" t="n"/>
      <c r="H733" s="22" t="n"/>
      <c r="I733" s="22" t="n"/>
      <c r="J733" s="22" t="n"/>
      <c r="K733" s="22" t="n"/>
      <c r="L733" s="22" t="n"/>
      <c r="M733" s="22" t="n"/>
      <c r="N733" s="22" t="n"/>
      <c r="O733" s="22" t="n"/>
      <c r="P733" s="22" t="n"/>
      <c r="Q733" s="22" t="n"/>
      <c r="R733" s="22" t="n"/>
      <c r="S733" s="22" t="n"/>
      <c r="T733" s="22" t="n"/>
      <c r="U733" s="22" t="n"/>
      <c r="V733" s="22" t="n"/>
      <c r="W733" s="22" t="n"/>
      <c r="X733" s="22" t="n"/>
    </row>
    <row r="734">
      <c r="A734" s="324" t="n"/>
      <c r="B734" s="22" t="n"/>
      <c r="C734" s="22" t="n"/>
      <c r="D734" s="22" t="n"/>
      <c r="E734" s="22" t="n"/>
      <c r="F734" s="22" t="n"/>
      <c r="G734" s="22" t="n"/>
      <c r="H734" s="22" t="n"/>
      <c r="I734" s="22" t="n"/>
      <c r="J734" s="22" t="n"/>
      <c r="K734" s="22" t="n"/>
      <c r="L734" s="22" t="n"/>
      <c r="M734" s="22" t="n"/>
      <c r="N734" s="22" t="n"/>
      <c r="O734" s="22" t="n"/>
      <c r="P734" s="22" t="n"/>
      <c r="Q734" s="22" t="n"/>
      <c r="R734" s="22" t="n"/>
      <c r="S734" s="22" t="n"/>
      <c r="T734" s="22" t="n"/>
      <c r="U734" s="22" t="n"/>
      <c r="V734" s="22" t="n"/>
      <c r="W734" s="22" t="n"/>
      <c r="X734" s="22" t="n"/>
    </row>
    <row r="735">
      <c r="A735" s="324" t="n"/>
      <c r="B735" s="22" t="n"/>
      <c r="C735" s="22" t="n"/>
      <c r="D735" s="22" t="n"/>
      <c r="E735" s="22" t="n"/>
      <c r="F735" s="22" t="n"/>
      <c r="G735" s="22" t="n"/>
      <c r="H735" s="22" t="n"/>
      <c r="I735" s="22" t="n"/>
      <c r="J735" s="22" t="n"/>
      <c r="K735" s="22" t="n"/>
      <c r="L735" s="22" t="n"/>
      <c r="M735" s="22" t="n"/>
      <c r="N735" s="22" t="n"/>
      <c r="O735" s="22" t="n"/>
      <c r="P735" s="22" t="n"/>
      <c r="Q735" s="22" t="n"/>
      <c r="R735" s="22" t="n"/>
      <c r="S735" s="22" t="n"/>
      <c r="T735" s="22" t="n"/>
      <c r="U735" s="22" t="n"/>
      <c r="V735" s="22" t="n"/>
      <c r="W735" s="22" t="n"/>
      <c r="X735" s="22" t="n"/>
    </row>
    <row r="736">
      <c r="A736" s="324" t="n"/>
      <c r="B736" s="22" t="n"/>
      <c r="C736" s="22" t="n"/>
      <c r="D736" s="22" t="n"/>
      <c r="E736" s="22" t="n"/>
      <c r="F736" s="22" t="n"/>
      <c r="G736" s="22" t="n"/>
      <c r="H736" s="22" t="n"/>
      <c r="I736" s="22" t="n"/>
      <c r="J736" s="22" t="n"/>
      <c r="K736" s="22" t="n"/>
      <c r="L736" s="22" t="n"/>
      <c r="M736" s="22" t="n"/>
      <c r="N736" s="22" t="n"/>
      <c r="O736" s="22" t="n"/>
      <c r="P736" s="22" t="n"/>
      <c r="Q736" s="22" t="n"/>
      <c r="R736" s="22" t="n"/>
      <c r="S736" s="22" t="n"/>
      <c r="T736" s="22" t="n"/>
      <c r="U736" s="22" t="n"/>
      <c r="V736" s="22" t="n"/>
      <c r="W736" s="22" t="n"/>
      <c r="X736" s="22" t="n"/>
    </row>
    <row r="737">
      <c r="A737" s="324" t="n"/>
      <c r="B737" s="22" t="n"/>
      <c r="C737" s="22" t="n"/>
      <c r="D737" s="22" t="n"/>
      <c r="E737" s="22" t="n"/>
      <c r="F737" s="22" t="n"/>
      <c r="G737" s="22" t="n"/>
      <c r="H737" s="22" t="n"/>
      <c r="I737" s="22" t="n"/>
      <c r="J737" s="22" t="n"/>
      <c r="K737" s="22" t="n"/>
      <c r="L737" s="22" t="n"/>
      <c r="M737" s="22" t="n"/>
      <c r="N737" s="22" t="n"/>
      <c r="O737" s="22" t="n"/>
      <c r="P737" s="22" t="n"/>
      <c r="Q737" s="22" t="n"/>
      <c r="R737" s="22" t="n"/>
      <c r="S737" s="22" t="n"/>
      <c r="T737" s="22" t="n"/>
      <c r="U737" s="22" t="n"/>
      <c r="V737" s="22" t="n"/>
      <c r="W737" s="22" t="n"/>
      <c r="X737" s="22" t="n"/>
    </row>
    <row r="738">
      <c r="A738" s="324" t="n"/>
      <c r="B738" s="22" t="n"/>
      <c r="C738" s="22" t="n"/>
      <c r="D738" s="22" t="n"/>
      <c r="E738" s="22" t="n"/>
      <c r="F738" s="22" t="n"/>
      <c r="G738" s="22" t="n"/>
      <c r="H738" s="22" t="n"/>
      <c r="I738" s="22" t="n"/>
      <c r="J738" s="22" t="n"/>
      <c r="K738" s="22" t="n"/>
      <c r="L738" s="22" t="n"/>
      <c r="M738" s="22" t="n"/>
      <c r="N738" s="22" t="n"/>
      <c r="O738" s="22" t="n"/>
      <c r="P738" s="22" t="n"/>
      <c r="Q738" s="22" t="n"/>
      <c r="R738" s="22" t="n"/>
      <c r="S738" s="22" t="n"/>
      <c r="T738" s="22" t="n"/>
      <c r="U738" s="22" t="n"/>
      <c r="V738" s="22" t="n"/>
      <c r="W738" s="22" t="n"/>
      <c r="X738" s="22" t="n"/>
    </row>
    <row r="739">
      <c r="A739" s="324" t="n"/>
      <c r="B739" s="22" t="n"/>
      <c r="C739" s="22" t="n"/>
      <c r="D739" s="22" t="n"/>
      <c r="E739" s="22" t="n"/>
      <c r="F739" s="22" t="n"/>
      <c r="G739" s="22" t="n"/>
      <c r="H739" s="22" t="n"/>
      <c r="I739" s="22" t="n"/>
      <c r="J739" s="22" t="n"/>
      <c r="K739" s="22" t="n"/>
      <c r="L739" s="22" t="n"/>
      <c r="M739" s="22" t="n"/>
      <c r="N739" s="22" t="n"/>
      <c r="O739" s="22" t="n"/>
      <c r="P739" s="22" t="n"/>
      <c r="Q739" s="22" t="n"/>
      <c r="R739" s="22" t="n"/>
      <c r="S739" s="22" t="n"/>
      <c r="T739" s="22" t="n"/>
      <c r="U739" s="22" t="n"/>
      <c r="V739" s="22" t="n"/>
      <c r="W739" s="22" t="n"/>
      <c r="X739" s="22" t="n"/>
    </row>
    <row r="740">
      <c r="A740" s="324" t="n"/>
      <c r="B740" s="22" t="n"/>
      <c r="C740" s="22" t="n"/>
      <c r="D740" s="22" t="n"/>
      <c r="E740" s="22" t="n"/>
      <c r="F740" s="22" t="n"/>
      <c r="G740" s="22" t="n"/>
      <c r="H740" s="22" t="n"/>
      <c r="I740" s="22" t="n"/>
      <c r="J740" s="22" t="n"/>
      <c r="K740" s="22" t="n"/>
      <c r="L740" s="22" t="n"/>
      <c r="M740" s="22" t="n"/>
      <c r="N740" s="22" t="n"/>
      <c r="O740" s="22" t="n"/>
      <c r="P740" s="22" t="n"/>
      <c r="Q740" s="22" t="n"/>
      <c r="R740" s="22" t="n"/>
      <c r="S740" s="22" t="n"/>
      <c r="T740" s="22" t="n"/>
      <c r="U740" s="22" t="n"/>
      <c r="V740" s="22" t="n"/>
      <c r="W740" s="22" t="n"/>
      <c r="X740" s="22" t="n"/>
    </row>
    <row r="741">
      <c r="A741" s="324" t="n"/>
      <c r="B741" s="22" t="n"/>
      <c r="C741" s="22" t="n"/>
      <c r="D741" s="22" t="n"/>
      <c r="E741" s="22" t="n"/>
      <c r="F741" s="22" t="n"/>
      <c r="G741" s="22" t="n"/>
      <c r="H741" s="22" t="n"/>
      <c r="I741" s="22" t="n"/>
      <c r="J741" s="22" t="n"/>
      <c r="K741" s="22" t="n"/>
      <c r="L741" s="22" t="n"/>
      <c r="M741" s="22" t="n"/>
      <c r="N741" s="22" t="n"/>
      <c r="O741" s="22" t="n"/>
      <c r="P741" s="22" t="n"/>
      <c r="Q741" s="22" t="n"/>
      <c r="R741" s="22" t="n"/>
      <c r="S741" s="22" t="n"/>
      <c r="T741" s="22" t="n"/>
      <c r="U741" s="22" t="n"/>
      <c r="V741" s="22" t="n"/>
      <c r="W741" s="22" t="n"/>
      <c r="X741" s="22" t="n"/>
    </row>
    <row r="742">
      <c r="A742" s="324" t="n"/>
      <c r="B742" s="22" t="n"/>
      <c r="C742" s="22" t="n"/>
      <c r="D742" s="22" t="n"/>
      <c r="E742" s="22" t="n"/>
      <c r="F742" s="22" t="n"/>
      <c r="G742" s="22" t="n"/>
      <c r="H742" s="22" t="n"/>
      <c r="I742" s="22" t="n"/>
      <c r="J742" s="22" t="n"/>
      <c r="K742" s="22" t="n"/>
      <c r="L742" s="22" t="n"/>
      <c r="M742" s="22" t="n"/>
      <c r="N742" s="22" t="n"/>
      <c r="O742" s="22" t="n"/>
      <c r="P742" s="22" t="n"/>
      <c r="Q742" s="22" t="n"/>
      <c r="R742" s="22" t="n"/>
      <c r="S742" s="22" t="n"/>
      <c r="T742" s="22" t="n"/>
      <c r="U742" s="22" t="n"/>
      <c r="V742" s="22" t="n"/>
      <c r="W742" s="22" t="n"/>
      <c r="X742" s="22" t="n"/>
    </row>
    <row r="743">
      <c r="A743" s="324" t="n"/>
      <c r="B743" s="22" t="n"/>
      <c r="C743" s="22" t="n"/>
      <c r="D743" s="22" t="n"/>
      <c r="E743" s="22" t="n"/>
      <c r="F743" s="22" t="n"/>
      <c r="G743" s="22" t="n"/>
      <c r="H743" s="22" t="n"/>
      <c r="I743" s="22" t="n"/>
      <c r="J743" s="22" t="n"/>
      <c r="K743" s="22" t="n"/>
      <c r="L743" s="22" t="n"/>
      <c r="M743" s="22" t="n"/>
      <c r="N743" s="22" t="n"/>
      <c r="O743" s="22" t="n"/>
      <c r="P743" s="22" t="n"/>
      <c r="Q743" s="22" t="n"/>
      <c r="R743" s="22" t="n"/>
      <c r="S743" s="22" t="n"/>
      <c r="T743" s="22" t="n"/>
      <c r="U743" s="22" t="n"/>
      <c r="V743" s="22" t="n"/>
      <c r="W743" s="22" t="n"/>
      <c r="X743" s="22" t="n"/>
    </row>
    <row r="744">
      <c r="A744" s="324" t="n"/>
      <c r="B744" s="22" t="n"/>
      <c r="C744" s="22" t="n"/>
      <c r="D744" s="22" t="n"/>
      <c r="E744" s="22" t="n"/>
      <c r="F744" s="22" t="n"/>
      <c r="G744" s="22" t="n"/>
      <c r="H744" s="22" t="n"/>
      <c r="I744" s="22" t="n"/>
      <c r="J744" s="22" t="n"/>
      <c r="K744" s="22" t="n"/>
      <c r="L744" s="22" t="n"/>
      <c r="M744" s="22" t="n"/>
      <c r="N744" s="22" t="n"/>
      <c r="O744" s="22" t="n"/>
      <c r="P744" s="22" t="n"/>
      <c r="Q744" s="22" t="n"/>
      <c r="R744" s="22" t="n"/>
      <c r="S744" s="22" t="n"/>
      <c r="T744" s="22" t="n"/>
      <c r="U744" s="22" t="n"/>
      <c r="V744" s="22" t="n"/>
      <c r="W744" s="22" t="n"/>
      <c r="X744" s="22" t="n"/>
    </row>
    <row r="745">
      <c r="A745" s="324" t="n"/>
      <c r="B745" s="22" t="n"/>
      <c r="C745" s="22" t="n"/>
      <c r="D745" s="22" t="n"/>
      <c r="E745" s="22" t="n"/>
      <c r="F745" s="22" t="n"/>
      <c r="G745" s="22" t="n"/>
      <c r="H745" s="22" t="n"/>
      <c r="I745" s="22" t="n"/>
      <c r="J745" s="22" t="n"/>
      <c r="K745" s="22" t="n"/>
      <c r="L745" s="22" t="n"/>
      <c r="M745" s="22" t="n"/>
      <c r="N745" s="22" t="n"/>
      <c r="O745" s="22" t="n"/>
      <c r="P745" s="22" t="n"/>
      <c r="Q745" s="22" t="n"/>
      <c r="R745" s="22" t="n"/>
      <c r="S745" s="22" t="n"/>
      <c r="T745" s="22" t="n"/>
      <c r="U745" s="22" t="n"/>
      <c r="V745" s="22" t="n"/>
      <c r="W745" s="22" t="n"/>
      <c r="X745" s="22" t="n"/>
    </row>
    <row r="746">
      <c r="A746" s="324" t="n"/>
      <c r="B746" s="22" t="n"/>
      <c r="C746" s="22" t="n"/>
      <c r="D746" s="22" t="n"/>
      <c r="E746" s="22" t="n"/>
      <c r="F746" s="22" t="n"/>
      <c r="G746" s="22" t="n"/>
      <c r="H746" s="22" t="n"/>
      <c r="I746" s="22" t="n"/>
      <c r="J746" s="22" t="n"/>
      <c r="K746" s="22" t="n"/>
      <c r="L746" s="22" t="n"/>
      <c r="M746" s="22" t="n"/>
      <c r="N746" s="22" t="n"/>
      <c r="O746" s="22" t="n"/>
      <c r="P746" s="22" t="n"/>
      <c r="Q746" s="22" t="n"/>
      <c r="R746" s="22" t="n"/>
      <c r="S746" s="22" t="n"/>
      <c r="T746" s="22" t="n"/>
      <c r="U746" s="22" t="n"/>
      <c r="V746" s="22" t="n"/>
      <c r="W746" s="22" t="n"/>
      <c r="X746" s="22" t="n"/>
    </row>
    <row r="747">
      <c r="A747" s="324" t="n"/>
      <c r="B747" s="22" t="n"/>
      <c r="C747" s="22" t="n"/>
      <c r="D747" s="22" t="n"/>
      <c r="E747" s="22" t="n"/>
      <c r="F747" s="22" t="n"/>
      <c r="G747" s="22" t="n"/>
      <c r="H747" s="22" t="n"/>
      <c r="I747" s="22" t="n"/>
      <c r="J747" s="22" t="n"/>
      <c r="K747" s="22" t="n"/>
      <c r="L747" s="22" t="n"/>
      <c r="M747" s="22" t="n"/>
      <c r="N747" s="22" t="n"/>
      <c r="O747" s="22" t="n"/>
      <c r="P747" s="22" t="n"/>
      <c r="Q747" s="22" t="n"/>
      <c r="R747" s="22" t="n"/>
      <c r="S747" s="22" t="n"/>
      <c r="T747" s="22" t="n"/>
      <c r="U747" s="22" t="n"/>
      <c r="V747" s="22" t="n"/>
      <c r="W747" s="22" t="n"/>
      <c r="X747" s="22" t="n"/>
    </row>
    <row r="748">
      <c r="A748" s="324" t="n"/>
      <c r="B748" s="22" t="n"/>
      <c r="C748" s="22" t="n"/>
      <c r="D748" s="22" t="n"/>
      <c r="E748" s="22" t="n"/>
      <c r="F748" s="22" t="n"/>
      <c r="G748" s="22" t="n"/>
      <c r="H748" s="22" t="n"/>
      <c r="I748" s="22" t="n"/>
      <c r="J748" s="22" t="n"/>
      <c r="K748" s="22" t="n"/>
      <c r="L748" s="22" t="n"/>
      <c r="M748" s="22" t="n"/>
      <c r="N748" s="22" t="n"/>
      <c r="O748" s="22" t="n"/>
      <c r="P748" s="22" t="n"/>
      <c r="Q748" s="22" t="n"/>
      <c r="R748" s="22" t="n"/>
      <c r="S748" s="22" t="n"/>
      <c r="T748" s="22" t="n"/>
      <c r="U748" s="22" t="n"/>
      <c r="V748" s="22" t="n"/>
      <c r="W748" s="22" t="n"/>
      <c r="X748" s="22" t="n"/>
    </row>
    <row r="749">
      <c r="A749" s="324" t="n"/>
      <c r="B749" s="22" t="n"/>
      <c r="C749" s="22" t="n"/>
      <c r="D749" s="22" t="n"/>
      <c r="E749" s="22" t="n"/>
      <c r="F749" s="22" t="n"/>
      <c r="G749" s="22" t="n"/>
      <c r="H749" s="22" t="n"/>
      <c r="I749" s="22" t="n"/>
      <c r="J749" s="22" t="n"/>
      <c r="K749" s="22" t="n"/>
      <c r="L749" s="22" t="n"/>
      <c r="M749" s="22" t="n"/>
      <c r="N749" s="22" t="n"/>
      <c r="O749" s="22" t="n"/>
      <c r="P749" s="22" t="n"/>
      <c r="Q749" s="22" t="n"/>
      <c r="R749" s="22" t="n"/>
      <c r="S749" s="22" t="n"/>
      <c r="T749" s="22" t="n"/>
      <c r="U749" s="22" t="n"/>
      <c r="V749" s="22" t="n"/>
      <c r="W749" s="22" t="n"/>
      <c r="X749" s="22" t="n"/>
    </row>
    <row r="750">
      <c r="A750" s="324" t="n"/>
      <c r="B750" s="22" t="n"/>
      <c r="C750" s="22" t="n"/>
      <c r="D750" s="22" t="n"/>
      <c r="E750" s="22" t="n"/>
      <c r="F750" s="22" t="n"/>
      <c r="G750" s="22" t="n"/>
      <c r="H750" s="22" t="n"/>
      <c r="I750" s="22" t="n"/>
      <c r="J750" s="22" t="n"/>
      <c r="K750" s="22" t="n"/>
      <c r="L750" s="22" t="n"/>
      <c r="M750" s="22" t="n"/>
      <c r="N750" s="22" t="n"/>
      <c r="O750" s="22" t="n"/>
      <c r="P750" s="22" t="n"/>
      <c r="Q750" s="22" t="n"/>
      <c r="R750" s="22" t="n"/>
      <c r="S750" s="22" t="n"/>
      <c r="T750" s="22" t="n"/>
      <c r="U750" s="22" t="n"/>
      <c r="V750" s="22" t="n"/>
      <c r="W750" s="22" t="n"/>
      <c r="X750" s="22" t="n"/>
    </row>
    <row r="751">
      <c r="A751" s="324" t="n"/>
      <c r="B751" s="22" t="n"/>
      <c r="C751" s="22" t="n"/>
      <c r="D751" s="22" t="n"/>
      <c r="E751" s="22" t="n"/>
      <c r="F751" s="22" t="n"/>
      <c r="G751" s="22" t="n"/>
      <c r="H751" s="22" t="n"/>
      <c r="I751" s="22" t="n"/>
      <c r="J751" s="22" t="n"/>
      <c r="K751" s="22" t="n"/>
      <c r="L751" s="22" t="n"/>
      <c r="M751" s="22" t="n"/>
      <c r="N751" s="22" t="n"/>
      <c r="O751" s="22" t="n"/>
      <c r="P751" s="22" t="n"/>
      <c r="Q751" s="22" t="n"/>
      <c r="R751" s="22" t="n"/>
      <c r="S751" s="22" t="n"/>
      <c r="T751" s="22" t="n"/>
      <c r="U751" s="22" t="n"/>
      <c r="V751" s="22" t="n"/>
      <c r="W751" s="22" t="n"/>
      <c r="X751" s="22" t="n"/>
    </row>
    <row r="752">
      <c r="A752" s="324" t="n"/>
      <c r="B752" s="22" t="n"/>
      <c r="C752" s="22" t="n"/>
      <c r="D752" s="22" t="n"/>
      <c r="E752" s="22" t="n"/>
      <c r="F752" s="22" t="n"/>
      <c r="G752" s="22" t="n"/>
      <c r="H752" s="22" t="n"/>
      <c r="I752" s="22" t="n"/>
      <c r="J752" s="22" t="n"/>
      <c r="K752" s="22" t="n"/>
      <c r="L752" s="22" t="n"/>
      <c r="M752" s="22" t="n"/>
      <c r="N752" s="22" t="n"/>
      <c r="O752" s="22" t="n"/>
      <c r="P752" s="22" t="n"/>
      <c r="Q752" s="22" t="n"/>
      <c r="R752" s="22" t="n"/>
      <c r="S752" s="22" t="n"/>
      <c r="T752" s="22" t="n"/>
      <c r="U752" s="22" t="n"/>
      <c r="V752" s="22" t="n"/>
      <c r="W752" s="22" t="n"/>
      <c r="X752" s="22" t="n"/>
    </row>
    <row r="753">
      <c r="A753" s="324" t="n"/>
      <c r="B753" s="22" t="n"/>
      <c r="C753" s="22" t="n"/>
      <c r="D753" s="22" t="n"/>
      <c r="E753" s="22" t="n"/>
      <c r="F753" s="22" t="n"/>
      <c r="G753" s="22" t="n"/>
      <c r="H753" s="22" t="n"/>
      <c r="I753" s="22" t="n"/>
      <c r="J753" s="22" t="n"/>
      <c r="K753" s="22" t="n"/>
      <c r="L753" s="22" t="n"/>
      <c r="M753" s="22" t="n"/>
      <c r="N753" s="22" t="n"/>
      <c r="O753" s="22" t="n"/>
      <c r="P753" s="22" t="n"/>
      <c r="Q753" s="22" t="n"/>
      <c r="R753" s="22" t="n"/>
      <c r="S753" s="22" t="n"/>
      <c r="T753" s="22" t="n"/>
      <c r="U753" s="22" t="n"/>
      <c r="V753" s="22" t="n"/>
      <c r="W753" s="22" t="n"/>
      <c r="X753" s="22" t="n"/>
    </row>
    <row r="754">
      <c r="A754" s="324" t="n"/>
      <c r="B754" s="22" t="n"/>
      <c r="C754" s="22" t="n"/>
      <c r="D754" s="22" t="n"/>
      <c r="E754" s="22" t="n"/>
      <c r="F754" s="22" t="n"/>
      <c r="G754" s="22" t="n"/>
      <c r="H754" s="22" t="n"/>
      <c r="I754" s="22" t="n"/>
      <c r="J754" s="22" t="n"/>
      <c r="K754" s="22" t="n"/>
      <c r="L754" s="22" t="n"/>
      <c r="M754" s="22" t="n"/>
      <c r="N754" s="22" t="n"/>
      <c r="O754" s="22" t="n"/>
      <c r="P754" s="22" t="n"/>
      <c r="Q754" s="22" t="n"/>
      <c r="R754" s="22" t="n"/>
      <c r="S754" s="22" t="n"/>
      <c r="T754" s="22" t="n"/>
      <c r="U754" s="22" t="n"/>
      <c r="V754" s="22" t="n"/>
      <c r="W754" s="22" t="n"/>
      <c r="X754" s="22" t="n"/>
    </row>
    <row r="755">
      <c r="A755" s="324" t="n"/>
      <c r="B755" s="22" t="n"/>
      <c r="C755" s="22" t="n"/>
      <c r="D755" s="22" t="n"/>
      <c r="E755" s="22" t="n"/>
      <c r="F755" s="22" t="n"/>
      <c r="G755" s="22" t="n"/>
      <c r="H755" s="22" t="n"/>
      <c r="I755" s="22" t="n"/>
      <c r="J755" s="22" t="n"/>
      <c r="K755" s="22" t="n"/>
      <c r="L755" s="22" t="n"/>
      <c r="M755" s="22" t="n"/>
      <c r="N755" s="22" t="n"/>
      <c r="O755" s="22" t="n"/>
      <c r="P755" s="22" t="n"/>
      <c r="Q755" s="22" t="n"/>
      <c r="R755" s="22" t="n"/>
      <c r="S755" s="22" t="n"/>
      <c r="T755" s="22" t="n"/>
      <c r="U755" s="22" t="n"/>
      <c r="V755" s="22" t="n"/>
      <c r="W755" s="22" t="n"/>
      <c r="X755" s="22" t="n"/>
    </row>
    <row r="756">
      <c r="A756" s="324" t="n"/>
      <c r="B756" s="22" t="n"/>
      <c r="C756" s="22" t="n"/>
      <c r="D756" s="22" t="n"/>
      <c r="E756" s="22" t="n"/>
      <c r="F756" s="22" t="n"/>
      <c r="G756" s="22" t="n"/>
      <c r="H756" s="22" t="n"/>
      <c r="I756" s="22" t="n"/>
      <c r="J756" s="22" t="n"/>
      <c r="K756" s="22" t="n"/>
      <c r="L756" s="22" t="n"/>
      <c r="M756" s="22" t="n"/>
      <c r="N756" s="22" t="n"/>
      <c r="O756" s="22" t="n"/>
      <c r="P756" s="22" t="n"/>
      <c r="Q756" s="22" t="n"/>
      <c r="R756" s="22" t="n"/>
      <c r="S756" s="22" t="n"/>
      <c r="T756" s="22" t="n"/>
      <c r="U756" s="22" t="n"/>
      <c r="V756" s="22" t="n"/>
      <c r="W756" s="22" t="n"/>
      <c r="X756" s="22" t="n"/>
    </row>
    <row r="757">
      <c r="A757" s="324" t="n"/>
      <c r="B757" s="22" t="n"/>
      <c r="C757" s="22" t="n"/>
      <c r="D757" s="22" t="n"/>
      <c r="E757" s="22" t="n"/>
      <c r="F757" s="22" t="n"/>
      <c r="G757" s="22" t="n"/>
      <c r="H757" s="22" t="n"/>
      <c r="I757" s="22" t="n"/>
      <c r="J757" s="22" t="n"/>
      <c r="K757" s="22" t="n"/>
      <c r="L757" s="22" t="n"/>
      <c r="M757" s="22" t="n"/>
      <c r="N757" s="22" t="n"/>
      <c r="O757" s="22" t="n"/>
      <c r="P757" s="22" t="n"/>
      <c r="Q757" s="22" t="n"/>
      <c r="R757" s="22" t="n"/>
      <c r="S757" s="22" t="n"/>
      <c r="T757" s="22" t="n"/>
      <c r="U757" s="22" t="n"/>
      <c r="V757" s="22" t="n"/>
      <c r="W757" s="22" t="n"/>
      <c r="X757" s="22" t="n"/>
    </row>
    <row r="758">
      <c r="A758" s="324" t="n"/>
      <c r="B758" s="22" t="n"/>
      <c r="C758" s="22" t="n"/>
      <c r="D758" s="22" t="n"/>
      <c r="E758" s="22" t="n"/>
      <c r="F758" s="22" t="n"/>
      <c r="G758" s="22" t="n"/>
      <c r="H758" s="22" t="n"/>
      <c r="I758" s="22" t="n"/>
      <c r="J758" s="22" t="n"/>
      <c r="K758" s="22" t="n"/>
      <c r="L758" s="22" t="n"/>
      <c r="M758" s="22" t="n"/>
      <c r="N758" s="22" t="n"/>
      <c r="O758" s="22" t="n"/>
      <c r="P758" s="22" t="n"/>
      <c r="Q758" s="22" t="n"/>
      <c r="R758" s="22" t="n"/>
      <c r="S758" s="22" t="n"/>
      <c r="T758" s="22" t="n"/>
      <c r="U758" s="22" t="n"/>
      <c r="V758" s="22" t="n"/>
      <c r="W758" s="22" t="n"/>
      <c r="X758" s="22" t="n"/>
    </row>
    <row r="759">
      <c r="A759" s="324" t="n"/>
      <c r="B759" s="22" t="n"/>
      <c r="C759" s="22" t="n"/>
      <c r="D759" s="22" t="n"/>
      <c r="E759" s="22" t="n"/>
      <c r="F759" s="22" t="n"/>
      <c r="G759" s="22" t="n"/>
      <c r="H759" s="22" t="n"/>
      <c r="I759" s="22" t="n"/>
      <c r="J759" s="22" t="n"/>
      <c r="K759" s="22" t="n"/>
      <c r="L759" s="22" t="n"/>
      <c r="M759" s="22" t="n"/>
      <c r="N759" s="22" t="n"/>
      <c r="O759" s="22" t="n"/>
      <c r="P759" s="22" t="n"/>
      <c r="Q759" s="22" t="n"/>
      <c r="R759" s="22" t="n"/>
      <c r="S759" s="22" t="n"/>
      <c r="T759" s="22" t="n"/>
      <c r="U759" s="22" t="n"/>
      <c r="V759" s="22" t="n"/>
      <c r="W759" s="22" t="n"/>
      <c r="X759" s="22" t="n"/>
    </row>
    <row r="760">
      <c r="A760" s="324" t="n"/>
      <c r="B760" s="22" t="n"/>
      <c r="C760" s="22" t="n"/>
      <c r="D760" s="22" t="n"/>
      <c r="E760" s="22" t="n"/>
      <c r="F760" s="22" t="n"/>
      <c r="G760" s="22" t="n"/>
      <c r="H760" s="22" t="n"/>
      <c r="I760" s="22" t="n"/>
      <c r="J760" s="22" t="n"/>
      <c r="K760" s="22" t="n"/>
      <c r="L760" s="22" t="n"/>
      <c r="M760" s="22" t="n"/>
      <c r="N760" s="22" t="n"/>
      <c r="O760" s="22" t="n"/>
      <c r="P760" s="22" t="n"/>
      <c r="Q760" s="22" t="n"/>
      <c r="R760" s="22" t="n"/>
      <c r="S760" s="22" t="n"/>
      <c r="T760" s="22" t="n"/>
      <c r="U760" s="22" t="n"/>
      <c r="V760" s="22" t="n"/>
      <c r="W760" s="22" t="n"/>
      <c r="X760" s="22" t="n"/>
    </row>
    <row r="761">
      <c r="A761" s="324" t="n"/>
      <c r="B761" s="22" t="n"/>
      <c r="C761" s="22" t="n"/>
      <c r="D761" s="22" t="n"/>
      <c r="E761" s="22" t="n"/>
      <c r="F761" s="22" t="n"/>
      <c r="G761" s="22" t="n"/>
      <c r="H761" s="22" t="n"/>
      <c r="I761" s="22" t="n"/>
      <c r="J761" s="22" t="n"/>
      <c r="K761" s="22" t="n"/>
      <c r="L761" s="22" t="n"/>
      <c r="M761" s="22" t="n"/>
      <c r="N761" s="22" t="n"/>
      <c r="O761" s="22" t="n"/>
      <c r="P761" s="22" t="n"/>
      <c r="Q761" s="22" t="n"/>
      <c r="R761" s="22" t="n"/>
      <c r="S761" s="22" t="n"/>
      <c r="T761" s="22" t="n"/>
      <c r="U761" s="22" t="n"/>
      <c r="V761" s="22" t="n"/>
      <c r="W761" s="22" t="n"/>
      <c r="X761" s="22" t="n"/>
    </row>
    <row r="762">
      <c r="A762" s="324" t="n"/>
      <c r="B762" s="22" t="n"/>
      <c r="C762" s="22" t="n"/>
      <c r="D762" s="22" t="n"/>
      <c r="E762" s="22" t="n"/>
      <c r="F762" s="22" t="n"/>
      <c r="G762" s="22" t="n"/>
      <c r="H762" s="22" t="n"/>
      <c r="I762" s="22" t="n"/>
      <c r="J762" s="22" t="n"/>
      <c r="K762" s="22" t="n"/>
      <c r="L762" s="22" t="n"/>
      <c r="M762" s="22" t="n"/>
      <c r="N762" s="22" t="n"/>
      <c r="O762" s="22" t="n"/>
      <c r="P762" s="22" t="n"/>
      <c r="Q762" s="22" t="n"/>
      <c r="R762" s="22" t="n"/>
      <c r="S762" s="22" t="n"/>
      <c r="T762" s="22" t="n"/>
      <c r="U762" s="22" t="n"/>
      <c r="V762" s="22" t="n"/>
      <c r="W762" s="22" t="n"/>
      <c r="X762" s="22" t="n"/>
    </row>
    <row r="763">
      <c r="A763" s="324" t="n"/>
      <c r="B763" s="22" t="n"/>
      <c r="C763" s="22" t="n"/>
      <c r="D763" s="22" t="n"/>
      <c r="E763" s="22" t="n"/>
      <c r="F763" s="22" t="n"/>
      <c r="G763" s="22" t="n"/>
      <c r="H763" s="22" t="n"/>
      <c r="I763" s="22" t="n"/>
      <c r="J763" s="22" t="n"/>
      <c r="K763" s="22" t="n"/>
      <c r="L763" s="22" t="n"/>
      <c r="M763" s="22" t="n"/>
      <c r="N763" s="22" t="n"/>
      <c r="O763" s="22" t="n"/>
      <c r="P763" s="22" t="n"/>
      <c r="Q763" s="22" t="n"/>
      <c r="R763" s="22" t="n"/>
      <c r="S763" s="22" t="n"/>
      <c r="T763" s="22" t="n"/>
      <c r="U763" s="22" t="n"/>
      <c r="V763" s="22" t="n"/>
      <c r="W763" s="22" t="n"/>
      <c r="X763" s="22" t="n"/>
    </row>
    <row r="764">
      <c r="A764" s="324" t="n"/>
      <c r="B764" s="22" t="n"/>
      <c r="C764" s="22" t="n"/>
      <c r="D764" s="22" t="n"/>
      <c r="E764" s="22" t="n"/>
      <c r="F764" s="22" t="n"/>
      <c r="G764" s="22" t="n"/>
      <c r="H764" s="22" t="n"/>
      <c r="I764" s="22" t="n"/>
      <c r="J764" s="22" t="n"/>
      <c r="K764" s="22" t="n"/>
      <c r="L764" s="22" t="n"/>
      <c r="M764" s="22" t="n"/>
      <c r="N764" s="22" t="n"/>
      <c r="O764" s="22" t="n"/>
      <c r="P764" s="22" t="n"/>
      <c r="Q764" s="22" t="n"/>
      <c r="R764" s="22" t="n"/>
      <c r="S764" s="22" t="n"/>
      <c r="T764" s="22" t="n"/>
      <c r="U764" s="22" t="n"/>
      <c r="V764" s="22" t="n"/>
      <c r="W764" s="22" t="n"/>
      <c r="X764" s="22" t="n"/>
    </row>
    <row r="765">
      <c r="A765" s="324" t="n"/>
      <c r="B765" s="22" t="n"/>
      <c r="C765" s="22" t="n"/>
      <c r="D765" s="22" t="n"/>
      <c r="E765" s="22" t="n"/>
      <c r="F765" s="22" t="n"/>
      <c r="G765" s="22" t="n"/>
      <c r="H765" s="22" t="n"/>
      <c r="I765" s="22" t="n"/>
      <c r="J765" s="22" t="n"/>
      <c r="K765" s="22" t="n"/>
      <c r="L765" s="22" t="n"/>
      <c r="M765" s="22" t="n"/>
      <c r="N765" s="22" t="n"/>
      <c r="O765" s="22" t="n"/>
      <c r="P765" s="22" t="n"/>
      <c r="Q765" s="22" t="n"/>
      <c r="R765" s="22" t="n"/>
      <c r="S765" s="22" t="n"/>
      <c r="T765" s="22" t="n"/>
      <c r="U765" s="22" t="n"/>
      <c r="V765" s="22" t="n"/>
      <c r="W765" s="22" t="n"/>
      <c r="X765" s="22" t="n"/>
    </row>
    <row r="766">
      <c r="A766" s="324" t="n"/>
      <c r="B766" s="22" t="n"/>
      <c r="C766" s="22" t="n"/>
      <c r="D766" s="22" t="n"/>
      <c r="E766" s="22" t="n"/>
      <c r="F766" s="22" t="n"/>
      <c r="G766" s="22" t="n"/>
      <c r="H766" s="22" t="n"/>
      <c r="I766" s="22" t="n"/>
      <c r="J766" s="22" t="n"/>
      <c r="K766" s="22" t="n"/>
      <c r="L766" s="22" t="n"/>
      <c r="M766" s="22" t="n"/>
      <c r="N766" s="22" t="n"/>
      <c r="O766" s="22" t="n"/>
      <c r="P766" s="22" t="n"/>
      <c r="Q766" s="22" t="n"/>
      <c r="R766" s="22" t="n"/>
      <c r="S766" s="22" t="n"/>
      <c r="T766" s="22" t="n"/>
      <c r="U766" s="22" t="n"/>
      <c r="V766" s="22" t="n"/>
      <c r="W766" s="22" t="n"/>
      <c r="X766" s="22" t="n"/>
    </row>
    <row r="767">
      <c r="A767" s="324" t="n"/>
      <c r="B767" s="22" t="n"/>
      <c r="C767" s="22" t="n"/>
      <c r="D767" s="22" t="n"/>
      <c r="E767" s="22" t="n"/>
      <c r="F767" s="22" t="n"/>
      <c r="G767" s="22" t="n"/>
      <c r="H767" s="22" t="n"/>
      <c r="I767" s="22" t="n"/>
      <c r="J767" s="22" t="n"/>
      <c r="K767" s="22" t="n"/>
      <c r="L767" s="22" t="n"/>
      <c r="M767" s="22" t="n"/>
      <c r="N767" s="22" t="n"/>
      <c r="O767" s="22" t="n"/>
      <c r="P767" s="22" t="n"/>
      <c r="Q767" s="22" t="n"/>
      <c r="R767" s="22" t="n"/>
      <c r="S767" s="22" t="n"/>
      <c r="T767" s="22" t="n"/>
      <c r="U767" s="22" t="n"/>
      <c r="V767" s="22" t="n"/>
      <c r="W767" s="22" t="n"/>
      <c r="X767" s="22" t="n"/>
    </row>
    <row r="768">
      <c r="A768" s="324" t="n"/>
      <c r="B768" s="22" t="n"/>
      <c r="C768" s="22" t="n"/>
      <c r="D768" s="22" t="n"/>
      <c r="E768" s="22" t="n"/>
      <c r="F768" s="22" t="n"/>
      <c r="G768" s="22" t="n"/>
      <c r="H768" s="22" t="n"/>
      <c r="I768" s="22" t="n"/>
      <c r="J768" s="22" t="n"/>
      <c r="K768" s="22" t="n"/>
      <c r="L768" s="22" t="n"/>
      <c r="M768" s="22" t="n"/>
      <c r="N768" s="22" t="n"/>
      <c r="O768" s="22" t="n"/>
      <c r="P768" s="22" t="n"/>
      <c r="Q768" s="22" t="n"/>
      <c r="R768" s="22" t="n"/>
      <c r="S768" s="22" t="n"/>
      <c r="T768" s="22" t="n"/>
      <c r="U768" s="22" t="n"/>
      <c r="V768" s="22" t="n"/>
      <c r="W768" s="22" t="n"/>
      <c r="X768" s="22" t="n"/>
    </row>
    <row r="769">
      <c r="A769" s="324" t="n"/>
      <c r="B769" s="22" t="n"/>
      <c r="C769" s="22" t="n"/>
      <c r="D769" s="22" t="n"/>
      <c r="E769" s="22" t="n"/>
      <c r="F769" s="22" t="n"/>
      <c r="G769" s="22" t="n"/>
      <c r="H769" s="22" t="n"/>
      <c r="I769" s="22" t="n"/>
      <c r="J769" s="22" t="n"/>
      <c r="K769" s="22" t="n"/>
      <c r="L769" s="22" t="n"/>
      <c r="M769" s="22" t="n"/>
      <c r="N769" s="22" t="n"/>
      <c r="O769" s="22" t="n"/>
      <c r="P769" s="22" t="n"/>
      <c r="Q769" s="22" t="n"/>
      <c r="R769" s="22" t="n"/>
      <c r="S769" s="22" t="n"/>
      <c r="T769" s="22" t="n"/>
      <c r="U769" s="22" t="n"/>
      <c r="V769" s="22" t="n"/>
      <c r="W769" s="22" t="n"/>
      <c r="X769" s="22" t="n"/>
    </row>
    <row r="770">
      <c r="A770" s="324" t="n"/>
      <c r="B770" s="22" t="n"/>
      <c r="C770" s="22" t="n"/>
      <c r="D770" s="22" t="n"/>
      <c r="E770" s="22" t="n"/>
      <c r="F770" s="22" t="n"/>
      <c r="G770" s="22" t="n"/>
      <c r="H770" s="22" t="n"/>
      <c r="I770" s="22" t="n"/>
      <c r="J770" s="22" t="n"/>
      <c r="K770" s="22" t="n"/>
      <c r="L770" s="22" t="n"/>
      <c r="M770" s="22" t="n"/>
      <c r="N770" s="22" t="n"/>
      <c r="O770" s="22" t="n"/>
      <c r="P770" s="22" t="n"/>
      <c r="Q770" s="22" t="n"/>
      <c r="R770" s="22" t="n"/>
      <c r="S770" s="22" t="n"/>
      <c r="T770" s="22" t="n"/>
      <c r="U770" s="22" t="n"/>
      <c r="V770" s="22" t="n"/>
      <c r="W770" s="22" t="n"/>
      <c r="X770" s="22" t="n"/>
    </row>
    <row r="771">
      <c r="A771" s="324" t="n"/>
      <c r="B771" s="22" t="n"/>
      <c r="C771" s="22" t="n"/>
      <c r="D771" s="22" t="n"/>
      <c r="E771" s="22" t="n"/>
      <c r="F771" s="22" t="n"/>
      <c r="G771" s="22" t="n"/>
      <c r="H771" s="22" t="n"/>
      <c r="I771" s="22" t="n"/>
      <c r="J771" s="22" t="n"/>
      <c r="K771" s="22" t="n"/>
      <c r="L771" s="22" t="n"/>
      <c r="M771" s="22" t="n"/>
      <c r="N771" s="22" t="n"/>
      <c r="O771" s="22" t="n"/>
      <c r="P771" s="22" t="n"/>
      <c r="Q771" s="22" t="n"/>
      <c r="R771" s="22" t="n"/>
      <c r="S771" s="22" t="n"/>
      <c r="T771" s="22" t="n"/>
      <c r="U771" s="22" t="n"/>
      <c r="V771" s="22" t="n"/>
      <c r="W771" s="22" t="n"/>
      <c r="X771" s="22" t="n"/>
    </row>
    <row r="772">
      <c r="A772" s="324" t="n"/>
      <c r="B772" s="22" t="n"/>
      <c r="C772" s="22" t="n"/>
      <c r="D772" s="22" t="n"/>
      <c r="E772" s="22" t="n"/>
      <c r="F772" s="22" t="n"/>
      <c r="G772" s="22" t="n"/>
      <c r="H772" s="22" t="n"/>
      <c r="I772" s="22" t="n"/>
      <c r="J772" s="22" t="n"/>
      <c r="K772" s="22" t="n"/>
      <c r="L772" s="22" t="n"/>
      <c r="M772" s="22" t="n"/>
      <c r="N772" s="22" t="n"/>
      <c r="O772" s="22" t="n"/>
      <c r="P772" s="22" t="n"/>
      <c r="Q772" s="22" t="n"/>
      <c r="R772" s="22" t="n"/>
      <c r="S772" s="22" t="n"/>
      <c r="T772" s="22" t="n"/>
      <c r="U772" s="22" t="n"/>
      <c r="V772" s="22" t="n"/>
      <c r="W772" s="22" t="n"/>
      <c r="X772" s="22" t="n"/>
    </row>
    <row r="773">
      <c r="A773" s="324" t="n"/>
      <c r="B773" s="22" t="n"/>
      <c r="C773" s="22" t="n"/>
      <c r="D773" s="22" t="n"/>
      <c r="E773" s="22" t="n"/>
      <c r="F773" s="22" t="n"/>
      <c r="G773" s="22" t="n"/>
      <c r="H773" s="22" t="n"/>
      <c r="I773" s="22" t="n"/>
      <c r="J773" s="22" t="n"/>
      <c r="K773" s="22" t="n"/>
      <c r="L773" s="22" t="n"/>
      <c r="M773" s="22" t="n"/>
      <c r="N773" s="22" t="n"/>
      <c r="O773" s="22" t="n"/>
      <c r="P773" s="22" t="n"/>
      <c r="Q773" s="22" t="n"/>
      <c r="R773" s="22" t="n"/>
      <c r="S773" s="22" t="n"/>
      <c r="T773" s="22" t="n"/>
      <c r="U773" s="22" t="n"/>
      <c r="V773" s="22" t="n"/>
      <c r="W773" s="22" t="n"/>
      <c r="X773" s="22" t="n"/>
    </row>
    <row r="774">
      <c r="A774" s="324" t="n"/>
      <c r="B774" s="22" t="n"/>
      <c r="C774" s="22" t="n"/>
      <c r="D774" s="22" t="n"/>
      <c r="E774" s="22" t="n"/>
      <c r="F774" s="22" t="n"/>
      <c r="G774" s="22" t="n"/>
      <c r="H774" s="22" t="n"/>
      <c r="I774" s="22" t="n"/>
      <c r="J774" s="22" t="n"/>
      <c r="K774" s="22" t="n"/>
      <c r="L774" s="22" t="n"/>
      <c r="M774" s="22" t="n"/>
      <c r="N774" s="22" t="n"/>
      <c r="O774" s="22" t="n"/>
      <c r="P774" s="22" t="n"/>
      <c r="Q774" s="22" t="n"/>
      <c r="R774" s="22" t="n"/>
      <c r="S774" s="22" t="n"/>
      <c r="T774" s="22" t="n"/>
      <c r="U774" s="22" t="n"/>
      <c r="V774" s="22" t="n"/>
      <c r="W774" s="22" t="n"/>
      <c r="X774" s="22" t="n"/>
    </row>
    <row r="775">
      <c r="A775" s="324" t="n"/>
      <c r="B775" s="22" t="n"/>
      <c r="C775" s="22" t="n"/>
      <c r="D775" s="22" t="n"/>
      <c r="E775" s="22" t="n"/>
      <c r="F775" s="22" t="n"/>
      <c r="G775" s="22" t="n"/>
      <c r="H775" s="22" t="n"/>
      <c r="I775" s="22" t="n"/>
      <c r="J775" s="22" t="n"/>
      <c r="K775" s="22" t="n"/>
      <c r="L775" s="22" t="n"/>
      <c r="M775" s="22" t="n"/>
      <c r="N775" s="22" t="n"/>
      <c r="O775" s="22" t="n"/>
      <c r="P775" s="22" t="n"/>
      <c r="Q775" s="22" t="n"/>
      <c r="R775" s="22" t="n"/>
      <c r="S775" s="22" t="n"/>
      <c r="T775" s="22" t="n"/>
      <c r="U775" s="22" t="n"/>
      <c r="V775" s="22" t="n"/>
      <c r="W775" s="22" t="n"/>
      <c r="X775" s="22" t="n"/>
    </row>
    <row r="776">
      <c r="A776" s="324" t="n"/>
      <c r="B776" s="22" t="n"/>
      <c r="C776" s="22" t="n"/>
      <c r="D776" s="22" t="n"/>
      <c r="E776" s="22" t="n"/>
      <c r="F776" s="22" t="n"/>
      <c r="G776" s="22" t="n"/>
      <c r="H776" s="22" t="n"/>
      <c r="I776" s="22" t="n"/>
      <c r="J776" s="22" t="n"/>
      <c r="K776" s="22" t="n"/>
      <c r="L776" s="22" t="n"/>
      <c r="M776" s="22" t="n"/>
      <c r="N776" s="22" t="n"/>
      <c r="O776" s="22" t="n"/>
      <c r="P776" s="22" t="n"/>
      <c r="Q776" s="22" t="n"/>
      <c r="R776" s="22" t="n"/>
      <c r="S776" s="22" t="n"/>
      <c r="T776" s="22" t="n"/>
      <c r="U776" s="22" t="n"/>
      <c r="V776" s="22" t="n"/>
      <c r="W776" s="22" t="n"/>
      <c r="X776" s="22" t="n"/>
    </row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  <row r="4027"/>
    <row r="4028"/>
    <row r="4029"/>
    <row r="4030"/>
    <row r="4031"/>
    <row r="4032"/>
    <row r="4033"/>
    <row r="4034"/>
    <row r="4035"/>
    <row r="4036"/>
    <row r="4037"/>
    <row r="4038"/>
    <row r="4039"/>
    <row r="4040"/>
    <row r="4041"/>
    <row r="4042"/>
    <row r="4043"/>
    <row r="4044"/>
    <row r="4045"/>
    <row r="4046"/>
    <row r="4047"/>
    <row r="4048"/>
    <row r="4049"/>
    <row r="4050"/>
    <row r="4051"/>
    <row r="4052"/>
    <row r="4053"/>
    <row r="4054"/>
    <row r="4055"/>
    <row r="4056"/>
    <row r="4057"/>
    <row r="4058"/>
    <row r="4059"/>
    <row r="4060"/>
    <row r="4061"/>
    <row r="4062"/>
    <row r="4063"/>
    <row r="4064"/>
    <row r="4065"/>
    <row r="4066"/>
    <row r="4067"/>
    <row r="4068"/>
    <row r="4069"/>
    <row r="4070"/>
    <row r="4071"/>
    <row r="4072"/>
    <row r="4073"/>
    <row r="4074"/>
    <row r="4075"/>
    <row r="4076"/>
    <row r="4077"/>
    <row r="4078"/>
    <row r="4079"/>
    <row r="4080"/>
    <row r="4081"/>
    <row r="4082"/>
    <row r="4083"/>
    <row r="4084"/>
    <row r="4085"/>
    <row r="4086"/>
    <row r="4087"/>
    <row r="4088"/>
    <row r="4089"/>
    <row r="4090"/>
    <row r="4091"/>
    <row r="4092"/>
    <row r="4093"/>
    <row r="4094"/>
    <row r="4095"/>
    <row r="4096"/>
    <row r="4097"/>
    <row r="4098"/>
    <row r="4099"/>
    <row r="4100"/>
    <row r="4101"/>
    <row r="4102"/>
    <row r="4103"/>
    <row r="4104"/>
    <row r="4105"/>
    <row r="4106"/>
    <row r="4107"/>
    <row r="4108"/>
    <row r="4109"/>
    <row r="4110"/>
    <row r="4111"/>
    <row r="4112"/>
    <row r="4113"/>
    <row r="4114"/>
    <row r="4115"/>
    <row r="4116"/>
    <row r="4117"/>
    <row r="4118"/>
    <row r="4119"/>
    <row r="4120"/>
    <row r="4121"/>
    <row r="4122"/>
    <row r="4123"/>
    <row r="4124"/>
    <row r="4125"/>
    <row r="4126"/>
    <row r="4127"/>
    <row r="4128"/>
    <row r="4129"/>
    <row r="4130"/>
    <row r="4131"/>
    <row r="4132"/>
    <row r="4133"/>
    <row r="4134"/>
    <row r="4135"/>
    <row r="4136"/>
    <row r="4137"/>
    <row r="4138"/>
    <row r="4139"/>
    <row r="4140"/>
    <row r="4141"/>
    <row r="4142"/>
    <row r="4143"/>
    <row r="4144"/>
    <row r="4145"/>
    <row r="4146"/>
    <row r="4147"/>
    <row r="4148"/>
    <row r="4149"/>
    <row r="4150"/>
    <row r="4151"/>
    <row r="4152"/>
    <row r="4153"/>
    <row r="4154"/>
    <row r="4155"/>
    <row r="4156"/>
    <row r="4157"/>
    <row r="4158"/>
    <row r="4159"/>
    <row r="4160"/>
    <row r="4161"/>
    <row r="4162"/>
    <row r="4163"/>
    <row r="4164"/>
    <row r="4165"/>
    <row r="4166"/>
    <row r="4167"/>
    <row r="4168"/>
    <row r="4169"/>
    <row r="4170"/>
    <row r="4171"/>
    <row r="4172"/>
    <row r="4173"/>
    <row r="4174"/>
    <row r="4175"/>
    <row r="4176"/>
    <row r="4177"/>
    <row r="4178"/>
    <row r="4179"/>
    <row r="4180"/>
    <row r="4181"/>
    <row r="4182"/>
    <row r="4183"/>
    <row r="4184"/>
    <row r="4185"/>
    <row r="4186"/>
    <row r="4187"/>
    <row r="4188"/>
    <row r="4189"/>
    <row r="4190"/>
    <row r="4191"/>
    <row r="4192"/>
    <row r="4193"/>
    <row r="4194"/>
    <row r="4195"/>
    <row r="4196"/>
    <row r="4197"/>
    <row r="4198"/>
    <row r="4199"/>
    <row r="4200"/>
    <row r="4201"/>
    <row r="4202"/>
    <row r="4203"/>
    <row r="4204"/>
    <row r="4205"/>
    <row r="4206"/>
    <row r="4207"/>
    <row r="4208"/>
    <row r="4209"/>
    <row r="4210"/>
    <row r="4211"/>
    <row r="4212"/>
    <row r="4213"/>
    <row r="4214"/>
    <row r="4215"/>
    <row r="4216"/>
    <row r="4217"/>
    <row r="4218"/>
    <row r="4219"/>
    <row r="4220"/>
    <row r="4221"/>
    <row r="4222"/>
    <row r="4223"/>
    <row r="4224"/>
    <row r="4225"/>
    <row r="4226"/>
    <row r="4227"/>
    <row r="4228"/>
    <row r="4229"/>
    <row r="4230"/>
    <row r="4231"/>
    <row r="4232"/>
    <row r="4233"/>
    <row r="4234"/>
    <row r="4235"/>
    <row r="4236"/>
    <row r="4237"/>
    <row r="4238"/>
    <row r="4239"/>
    <row r="4240"/>
    <row r="4241"/>
    <row r="4242"/>
    <row r="4243"/>
    <row r="4244"/>
    <row r="4245"/>
    <row r="4246"/>
    <row r="4247"/>
    <row r="4248"/>
    <row r="4249"/>
    <row r="4250"/>
    <row r="4251"/>
    <row r="4252"/>
    <row r="4253"/>
    <row r="4254"/>
    <row r="4255"/>
    <row r="4256"/>
    <row r="4257"/>
    <row r="4258"/>
    <row r="4259"/>
    <row r="4260"/>
    <row r="4261"/>
    <row r="4262"/>
    <row r="4263"/>
    <row r="4264"/>
    <row r="4265"/>
    <row r="4266"/>
    <row r="4267"/>
    <row r="4268"/>
    <row r="4269"/>
    <row r="4270"/>
    <row r="4271"/>
    <row r="4272"/>
    <row r="4273"/>
    <row r="4274"/>
    <row r="4275"/>
    <row r="4276"/>
    <row r="4277"/>
    <row r="4278"/>
    <row r="4279"/>
    <row r="4280"/>
    <row r="4281"/>
    <row r="4282"/>
    <row r="4283"/>
    <row r="4284"/>
    <row r="4285"/>
    <row r="4286"/>
    <row r="4287"/>
    <row r="4288"/>
    <row r="4289"/>
    <row r="4290"/>
    <row r="4291"/>
    <row r="4292"/>
    <row r="4293"/>
    <row r="4294"/>
    <row r="4295"/>
    <row r="4296"/>
    <row r="4297"/>
    <row r="4298"/>
    <row r="4299"/>
    <row r="4300"/>
    <row r="4301"/>
    <row r="4302"/>
    <row r="4303"/>
    <row r="4304"/>
    <row r="4305"/>
    <row r="4306"/>
    <row r="4307"/>
    <row r="4308"/>
    <row r="4309"/>
    <row r="4310"/>
    <row r="4311"/>
    <row r="4312"/>
    <row r="4313"/>
    <row r="4314"/>
    <row r="4315"/>
    <row r="4316"/>
    <row r="4317"/>
    <row r="4318"/>
    <row r="4319"/>
    <row r="4320"/>
    <row r="4321"/>
    <row r="4322"/>
    <row r="4323"/>
    <row r="4324"/>
    <row r="4325"/>
    <row r="4326"/>
    <row r="4327"/>
    <row r="4328"/>
    <row r="4329"/>
    <row r="4330"/>
    <row r="4331"/>
    <row r="4332"/>
    <row r="4333"/>
    <row r="4334"/>
    <row r="4335"/>
    <row r="4336"/>
    <row r="4337"/>
    <row r="4338"/>
    <row r="4339"/>
    <row r="4340"/>
    <row r="4341"/>
    <row r="4342"/>
    <row r="4343"/>
    <row r="4344"/>
    <row r="4345"/>
    <row r="4346"/>
    <row r="4347"/>
    <row r="4348"/>
    <row r="4349"/>
    <row r="4350"/>
    <row r="4351"/>
    <row r="4352"/>
    <row r="4353"/>
    <row r="4354"/>
    <row r="4355"/>
    <row r="4356"/>
    <row r="4357"/>
    <row r="4358"/>
    <row r="4359"/>
    <row r="4360"/>
    <row r="4361"/>
    <row r="4362"/>
    <row r="4363"/>
    <row r="4364"/>
    <row r="4365"/>
    <row r="4366"/>
    <row r="4367"/>
    <row r="4368"/>
    <row r="4369"/>
    <row r="4370"/>
    <row r="4371"/>
    <row r="4372"/>
    <row r="4373"/>
    <row r="4374"/>
    <row r="4375"/>
    <row r="4376"/>
    <row r="4377"/>
    <row r="4378"/>
    <row r="4379"/>
    <row r="4380"/>
    <row r="4381"/>
    <row r="4382"/>
    <row r="4383"/>
    <row r="4384"/>
    <row r="4385"/>
    <row r="4386"/>
    <row r="4387"/>
    <row r="4388"/>
    <row r="4389"/>
    <row r="4390"/>
    <row r="4391"/>
    <row r="4392"/>
    <row r="4393"/>
    <row r="4394"/>
    <row r="4395"/>
    <row r="4396"/>
    <row r="4397"/>
    <row r="4398"/>
    <row r="4399"/>
    <row r="4400"/>
    <row r="4401"/>
    <row r="4402"/>
    <row r="4403"/>
    <row r="4404"/>
    <row r="4405"/>
    <row r="4406"/>
    <row r="4407"/>
    <row r="4408"/>
    <row r="4409"/>
    <row r="4410"/>
    <row r="4411"/>
    <row r="4412"/>
    <row r="4413"/>
    <row r="4414"/>
    <row r="4415"/>
    <row r="4416"/>
    <row r="4417"/>
    <row r="4418"/>
    <row r="4419"/>
    <row r="4420"/>
    <row r="4421"/>
    <row r="4422"/>
    <row r="4423"/>
    <row r="4424"/>
    <row r="4425"/>
    <row r="4426"/>
    <row r="4427"/>
    <row r="4428"/>
    <row r="4429"/>
    <row r="4430"/>
    <row r="4431"/>
    <row r="4432"/>
    <row r="4433"/>
    <row r="4434"/>
    <row r="4435"/>
    <row r="4436"/>
    <row r="4437"/>
    <row r="4438"/>
    <row r="4439"/>
    <row r="4440"/>
    <row r="4441"/>
    <row r="4442"/>
    <row r="4443"/>
    <row r="4444"/>
    <row r="4445"/>
    <row r="4446"/>
    <row r="4447"/>
    <row r="4448"/>
    <row r="4449"/>
    <row r="4450"/>
    <row r="4451"/>
    <row r="4452"/>
    <row r="4453"/>
    <row r="4454"/>
    <row r="4455"/>
    <row r="4456"/>
    <row r="4457"/>
    <row r="4458"/>
    <row r="4459"/>
    <row r="4460"/>
    <row r="4461"/>
    <row r="4462"/>
    <row r="4463"/>
    <row r="4464"/>
    <row r="4465"/>
    <row r="4466"/>
    <row r="4467"/>
    <row r="4468"/>
    <row r="4469"/>
    <row r="4470"/>
    <row r="4471"/>
    <row r="4472"/>
    <row r="4473"/>
    <row r="4474"/>
    <row r="4475"/>
    <row r="4476"/>
    <row r="4477"/>
    <row r="4478"/>
    <row r="4479"/>
    <row r="4480"/>
    <row r="4481"/>
    <row r="4482"/>
    <row r="4483"/>
    <row r="4484"/>
    <row r="4485"/>
    <row r="4486"/>
    <row r="4487"/>
    <row r="4488"/>
    <row r="4489"/>
    <row r="4490"/>
    <row r="4491"/>
    <row r="4492"/>
    <row r="4493"/>
    <row r="4494"/>
    <row r="4495"/>
    <row r="4496"/>
    <row r="4497"/>
    <row r="4498"/>
    <row r="4499"/>
    <row r="4500"/>
    <row r="4501"/>
    <row r="4502"/>
    <row r="4503"/>
    <row r="4504"/>
    <row r="4505"/>
    <row r="4506"/>
    <row r="4507"/>
    <row r="4508"/>
    <row r="4509"/>
    <row r="4510"/>
    <row r="4511"/>
    <row r="4512"/>
    <row r="4513"/>
    <row r="4514"/>
    <row r="4515"/>
    <row r="4516"/>
    <row r="4517"/>
    <row r="4518"/>
    <row r="4519"/>
    <row r="4520"/>
    <row r="4521"/>
    <row r="4522"/>
    <row r="4523"/>
    <row r="4524"/>
    <row r="4525"/>
    <row r="4526"/>
    <row r="4527"/>
    <row r="4528"/>
    <row r="4529"/>
    <row r="4530"/>
    <row r="4531"/>
    <row r="4532"/>
    <row r="4533"/>
    <row r="4534"/>
    <row r="4535"/>
    <row r="4536"/>
    <row r="4537"/>
    <row r="4538"/>
    <row r="4539"/>
    <row r="4540"/>
    <row r="4541"/>
    <row r="4542"/>
    <row r="4543"/>
    <row r="4544"/>
    <row r="4545"/>
    <row r="4546"/>
    <row r="4547"/>
    <row r="4548"/>
    <row r="4549"/>
    <row r="4550"/>
    <row r="4551"/>
    <row r="4552"/>
    <row r="4553"/>
    <row r="4554"/>
    <row r="4555"/>
    <row r="4556"/>
    <row r="4557"/>
    <row r="4558"/>
    <row r="4559"/>
    <row r="4560"/>
    <row r="4561"/>
    <row r="4562"/>
    <row r="4563"/>
    <row r="4564"/>
    <row r="4565"/>
    <row r="4566"/>
    <row r="4567"/>
    <row r="4568"/>
    <row r="4569"/>
    <row r="4570"/>
    <row r="4571"/>
    <row r="4572"/>
    <row r="4573"/>
    <row r="4574"/>
    <row r="4575"/>
    <row r="4576"/>
    <row r="4577"/>
    <row r="4578"/>
    <row r="4579"/>
    <row r="4580"/>
    <row r="4581"/>
    <row r="4582"/>
    <row r="4583"/>
    <row r="4584"/>
    <row r="4585"/>
    <row r="4586"/>
    <row r="4587"/>
    <row r="4588"/>
    <row r="4589"/>
    <row r="4590"/>
    <row r="4591"/>
    <row r="4592"/>
    <row r="4593"/>
    <row r="4594"/>
    <row r="4595"/>
    <row r="4596"/>
    <row r="4597"/>
    <row r="4598"/>
    <row r="4599"/>
    <row r="4600"/>
    <row r="4601"/>
    <row r="4602"/>
    <row r="4603"/>
    <row r="4604"/>
    <row r="4605"/>
    <row r="4606"/>
    <row r="4607"/>
    <row r="4608"/>
    <row r="4609"/>
    <row r="4610"/>
    <row r="4611"/>
    <row r="4612"/>
    <row r="4613"/>
    <row r="4614"/>
    <row r="4615"/>
    <row r="4616"/>
    <row r="4617"/>
    <row r="4618"/>
    <row r="4619"/>
    <row r="4620"/>
    <row r="4621"/>
    <row r="4622"/>
    <row r="4623"/>
    <row r="4624"/>
    <row r="4625"/>
    <row r="4626"/>
    <row r="4627"/>
    <row r="4628"/>
    <row r="4629"/>
    <row r="4630"/>
    <row r="4631"/>
    <row r="4632"/>
    <row r="4633"/>
    <row r="4634"/>
    <row r="4635"/>
    <row r="4636"/>
    <row r="4637"/>
    <row r="4638"/>
    <row r="4639"/>
    <row r="4640"/>
    <row r="4641"/>
    <row r="4642"/>
    <row r="4643"/>
    <row r="4644"/>
    <row r="4645"/>
    <row r="4646"/>
    <row r="4647"/>
    <row r="4648"/>
    <row r="4649"/>
    <row r="4650"/>
    <row r="4651"/>
    <row r="4652"/>
    <row r="4653"/>
    <row r="4654"/>
    <row r="4655"/>
    <row r="4656"/>
    <row r="4657"/>
    <row r="4658"/>
    <row r="4659"/>
    <row r="4660"/>
    <row r="4661"/>
    <row r="4662"/>
    <row r="4663"/>
    <row r="4664"/>
    <row r="4665"/>
    <row r="4666"/>
    <row r="4667"/>
    <row r="4668"/>
    <row r="4669"/>
    <row r="4670"/>
    <row r="4671"/>
    <row r="4672"/>
    <row r="4673"/>
    <row r="4674"/>
    <row r="4675"/>
    <row r="4676"/>
    <row r="4677"/>
    <row r="4678"/>
    <row r="4679"/>
    <row r="4680"/>
    <row r="4681"/>
    <row r="4682"/>
    <row r="4683"/>
    <row r="4684"/>
    <row r="4685"/>
    <row r="4686"/>
    <row r="4687"/>
    <row r="4688"/>
    <row r="4689"/>
    <row r="4690"/>
    <row r="4691"/>
    <row r="4692"/>
    <row r="4693"/>
    <row r="4694"/>
    <row r="4695"/>
    <row r="4696"/>
    <row r="4697"/>
    <row r="4698"/>
    <row r="4699"/>
    <row r="4700"/>
    <row r="4701"/>
    <row r="4702"/>
    <row r="4703"/>
    <row r="4704"/>
    <row r="4705"/>
    <row r="4706"/>
    <row r="4707"/>
    <row r="4708"/>
    <row r="4709"/>
    <row r="4710"/>
    <row r="4711"/>
    <row r="4712"/>
    <row r="4713"/>
    <row r="4714"/>
    <row r="4715"/>
    <row r="4716"/>
    <row r="4717"/>
    <row r="4718"/>
    <row r="4719"/>
    <row r="4720"/>
    <row r="4721"/>
    <row r="4722"/>
    <row r="4723"/>
    <row r="4724"/>
    <row r="4725"/>
    <row r="4726"/>
    <row r="4727"/>
    <row r="4728"/>
    <row r="4729"/>
    <row r="4730"/>
    <row r="4731"/>
    <row r="4732"/>
    <row r="4733"/>
    <row r="4734"/>
    <row r="4735"/>
    <row r="4736"/>
    <row r="4737"/>
    <row r="4738"/>
    <row r="4739"/>
    <row r="4740"/>
    <row r="4741"/>
    <row r="4742"/>
    <row r="4743"/>
    <row r="4744"/>
    <row r="4745"/>
    <row r="4746"/>
    <row r="4747"/>
    <row r="4748"/>
    <row r="4749"/>
    <row r="4750"/>
    <row r="4751"/>
    <row r="4752"/>
    <row r="4753"/>
    <row r="4754"/>
    <row r="4755"/>
    <row r="4756"/>
    <row r="4757"/>
    <row r="4758"/>
    <row r="4759"/>
    <row r="4760"/>
    <row r="4761"/>
    <row r="4762"/>
    <row r="4763"/>
    <row r="4764"/>
    <row r="4765"/>
    <row r="4766"/>
    <row r="4767"/>
    <row r="4768"/>
    <row r="4769"/>
    <row r="4770"/>
    <row r="4771"/>
    <row r="4772"/>
    <row r="4773"/>
    <row r="4774"/>
    <row r="4775"/>
    <row r="4776"/>
    <row r="4777"/>
    <row r="4778"/>
    <row r="4779"/>
    <row r="4780"/>
    <row r="4781"/>
    <row r="4782"/>
    <row r="4783"/>
    <row r="4784"/>
    <row r="4785"/>
    <row r="4786"/>
    <row r="4787"/>
    <row r="4788"/>
    <row r="4789"/>
    <row r="4790"/>
    <row r="4791"/>
    <row r="4792"/>
    <row r="4793"/>
    <row r="4794"/>
    <row r="4795"/>
    <row r="4796"/>
    <row r="4797"/>
    <row r="4798"/>
    <row r="4799"/>
    <row r="4800"/>
    <row r="4801"/>
    <row r="4802"/>
    <row r="4803"/>
    <row r="4804"/>
    <row r="4805"/>
    <row r="4806"/>
    <row r="4807"/>
    <row r="4808"/>
    <row r="4809"/>
    <row r="4810"/>
    <row r="4811"/>
    <row r="4812"/>
    <row r="4813"/>
    <row r="4814"/>
    <row r="4815"/>
    <row r="4816"/>
    <row r="4817"/>
    <row r="4818"/>
    <row r="4819"/>
    <row r="4820"/>
    <row r="4821"/>
    <row r="4822"/>
    <row r="4823"/>
    <row r="4824"/>
    <row r="4825"/>
    <row r="4826"/>
    <row r="4827"/>
    <row r="4828"/>
    <row r="4829"/>
    <row r="4830"/>
    <row r="4831"/>
    <row r="4832"/>
    <row r="4833"/>
    <row r="4834"/>
    <row r="4835"/>
    <row r="4836"/>
    <row r="4837"/>
    <row r="4838"/>
    <row r="4839"/>
    <row r="4840"/>
    <row r="4841"/>
    <row r="4842"/>
    <row r="4843"/>
    <row r="4844"/>
    <row r="4845"/>
    <row r="4846"/>
    <row r="4847"/>
    <row r="4848"/>
    <row r="4849"/>
    <row r="4850"/>
    <row r="4851"/>
    <row r="4852"/>
    <row r="4853"/>
    <row r="4854"/>
    <row r="4855"/>
    <row r="4856"/>
    <row r="4857"/>
    <row r="4858"/>
    <row r="4859"/>
    <row r="4860"/>
    <row r="4861"/>
    <row r="4862"/>
    <row r="4863"/>
    <row r="4864"/>
    <row r="4865"/>
    <row r="4866"/>
    <row r="4867"/>
    <row r="4868"/>
    <row r="4869"/>
    <row r="4870"/>
    <row r="4871"/>
    <row r="4872"/>
    <row r="4873"/>
    <row r="4874"/>
    <row r="4875"/>
    <row r="4876"/>
    <row r="4877"/>
    <row r="4878"/>
    <row r="4879"/>
    <row r="4880"/>
    <row r="4881"/>
    <row r="4882"/>
    <row r="4883"/>
    <row r="4884"/>
    <row r="4885"/>
    <row r="4886"/>
    <row r="4887"/>
    <row r="4888"/>
    <row r="4889"/>
    <row r="4890"/>
    <row r="4891"/>
    <row r="4892"/>
    <row r="4893"/>
    <row r="4894"/>
    <row r="4895"/>
    <row r="4896"/>
    <row r="4897"/>
    <row r="4898"/>
    <row r="4899"/>
    <row r="4900"/>
    <row r="4901"/>
    <row r="4902"/>
    <row r="4903"/>
    <row r="4904"/>
    <row r="4905"/>
    <row r="4906"/>
    <row r="4907"/>
    <row r="4908"/>
    <row r="4909"/>
    <row r="4910"/>
    <row r="4911"/>
    <row r="4912"/>
    <row r="4913"/>
    <row r="4914"/>
    <row r="4915"/>
    <row r="4916"/>
    <row r="4917"/>
    <row r="4918"/>
    <row r="4919"/>
    <row r="4920"/>
    <row r="4921"/>
    <row r="4922"/>
    <row r="4923"/>
    <row r="4924"/>
    <row r="4925"/>
    <row r="4926"/>
    <row r="4927"/>
    <row r="4928"/>
    <row r="4929"/>
    <row r="4930"/>
    <row r="4931"/>
    <row r="4932"/>
    <row r="4933"/>
    <row r="4934"/>
    <row r="4935"/>
    <row r="4936"/>
    <row r="4937"/>
    <row r="4938"/>
    <row r="4939"/>
    <row r="4940"/>
    <row r="4941"/>
    <row r="4942"/>
    <row r="4943"/>
    <row r="4944"/>
    <row r="4945"/>
    <row r="4946"/>
    <row r="4947"/>
    <row r="4948"/>
    <row r="4949"/>
    <row r="4950"/>
    <row r="4951"/>
    <row r="4952"/>
    <row r="4953"/>
    <row r="4954"/>
    <row r="4955"/>
    <row r="4956"/>
    <row r="4957"/>
    <row r="4958"/>
    <row r="4959"/>
    <row r="4960"/>
    <row r="4961"/>
    <row r="4962"/>
    <row r="4963"/>
    <row r="4964"/>
    <row r="4965"/>
    <row r="4966"/>
    <row r="4967"/>
    <row r="4968"/>
    <row r="4969"/>
    <row r="4970"/>
    <row r="4971"/>
    <row r="4972"/>
    <row r="4973"/>
    <row r="4974"/>
    <row r="4975"/>
    <row r="4976"/>
    <row r="4977"/>
    <row r="4978"/>
    <row r="4979"/>
    <row r="4980"/>
    <row r="4981"/>
    <row r="4982"/>
    <row r="4983"/>
    <row r="4984"/>
    <row r="4985"/>
    <row r="4986"/>
    <row r="4987"/>
    <row r="4988"/>
    <row r="4989"/>
    <row r="4990"/>
    <row r="4991"/>
    <row r="4992"/>
    <row r="4993"/>
    <row r="4994"/>
    <row r="4995"/>
    <row r="4996"/>
    <row r="4997"/>
    <row r="4998"/>
    <row r="4999"/>
    <row r="5000"/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 ht="20" customHeight="1">
      <c r="A1" s="549" t="inlineStr">
        <is>
          <t>period</t>
        </is>
      </c>
      <c r="B1" s="549" t="inlineStr">
        <is>
          <t>metric</t>
        </is>
      </c>
      <c r="C1" s="549" t="inlineStr">
        <is>
          <t>value</t>
        </is>
      </c>
      <c r="D1" s="549" t="inlineStr">
        <is>
          <t>unit</t>
        </is>
      </c>
      <c r="E1" s="549" t="inlineStr">
        <is>
          <t>source_ref</t>
        </is>
      </c>
      <c r="F1" s="549" t="inlineStr">
        <is>
          <t>status</t>
        </is>
      </c>
      <c r="G1" s="549" t="inlineStr">
        <is>
          <t>definition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 ht="20" customHeight="1">
      <c r="A1" s="549" t="inlineStr">
        <is>
          <t>period</t>
        </is>
      </c>
      <c r="B1" s="549" t="inlineStr">
        <is>
          <t>metric</t>
        </is>
      </c>
      <c r="C1" s="549" t="inlineStr">
        <is>
          <t>value</t>
        </is>
      </c>
      <c r="D1" s="549" t="inlineStr">
        <is>
          <t>unit</t>
        </is>
      </c>
      <c r="E1" s="549" t="inlineStr">
        <is>
          <t>source_ref</t>
        </is>
      </c>
      <c r="F1" s="549" t="inlineStr">
        <is>
          <t>status</t>
        </is>
      </c>
      <c r="G1" s="549" t="inlineStr">
        <is>
          <t>definition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 ht="20" customHeight="1">
      <c r="A1" s="549" t="inlineStr">
        <is>
          <t>period</t>
        </is>
      </c>
      <c r="B1" s="549" t="inlineStr">
        <is>
          <t>metric</t>
        </is>
      </c>
      <c r="C1" s="549" t="inlineStr">
        <is>
          <t>value</t>
        </is>
      </c>
      <c r="D1" s="549" t="inlineStr">
        <is>
          <t>unit</t>
        </is>
      </c>
      <c r="E1" s="549" t="inlineStr">
        <is>
          <t>source_ref</t>
        </is>
      </c>
      <c r="F1" s="549" t="inlineStr">
        <is>
          <t>status</t>
        </is>
      </c>
      <c r="G1" s="549" t="inlineStr">
        <is>
          <t>definition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 ht="20" customHeight="1">
      <c r="A1" s="549" t="inlineStr">
        <is>
          <t>period</t>
        </is>
      </c>
      <c r="B1" s="549" t="inlineStr">
        <is>
          <t>theme</t>
        </is>
      </c>
      <c r="C1" s="549" t="inlineStr">
        <is>
          <t>metric</t>
        </is>
      </c>
      <c r="D1" s="549" t="inlineStr">
        <is>
          <t>note</t>
        </is>
      </c>
      <c r="E1" s="549" t="inlineStr">
        <is>
          <t>source_ref</t>
        </is>
      </c>
      <c r="F1" s="549" t="inlineStr">
        <is>
          <t>status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 ht="20" customHeight="1">
      <c r="A1" s="549" t="inlineStr">
        <is>
          <t>evidence_key</t>
        </is>
      </c>
      <c r="B1" s="549" t="inlineStr">
        <is>
          <t>period</t>
        </is>
      </c>
      <c r="C1" s="549" t="inlineStr">
        <is>
          <t>topic</t>
        </is>
      </c>
      <c r="D1" s="549" t="inlineStr">
        <is>
          <t>text</t>
        </is>
      </c>
      <c r="E1" s="549" t="inlineStr">
        <is>
          <t>source_ref</t>
        </is>
      </c>
      <c r="F1" s="549" t="inlineStr">
        <is>
          <t>status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12" customWidth="1" min="5" max="5"/>
    <col width="12" customWidth="1" min="6" max="6"/>
  </cols>
  <sheetData>
    <row r="1" ht="20" customHeight="1">
      <c r="A1" s="549" t="inlineStr">
        <is>
          <t>period</t>
        </is>
      </c>
      <c r="B1" s="549" t="inlineStr">
        <is>
          <t>topic</t>
        </is>
      </c>
      <c r="C1" s="549" t="inlineStr">
        <is>
          <t>narrative_type</t>
        </is>
      </c>
      <c r="D1" s="549" t="inlineStr">
        <is>
          <t>text</t>
        </is>
      </c>
      <c r="E1" s="549" t="inlineStr">
        <is>
          <t>source_ref</t>
        </is>
      </c>
      <c r="F1" s="549" t="inlineStr">
        <is>
          <t>status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2" customWidth="1" min="7" max="7"/>
    <col width="30" customWidth="1" min="8" max="8"/>
    <col width="30" customWidth="1" min="9" max="9"/>
    <col width="30" customWidth="1" min="10" max="10"/>
    <col width="32" customWidth="1" min="11" max="11"/>
  </cols>
  <sheetData>
    <row r="1" ht="20" customHeight="1">
      <c r="A1" s="549" t="inlineStr">
        <is>
          <t>metric</t>
        </is>
      </c>
      <c r="B1" s="549" t="inlineStr">
        <is>
          <t>value</t>
        </is>
      </c>
      <c r="C1" s="549" t="inlineStr">
        <is>
          <t>unit</t>
        </is>
      </c>
      <c r="D1" s="549" t="inlineStr">
        <is>
          <t>as_of</t>
        </is>
      </c>
      <c r="E1" s="549" t="inlineStr">
        <is>
          <t>lineage_ref</t>
        </is>
      </c>
      <c r="F1" s="549" t="inlineStr">
        <is>
          <t>status</t>
        </is>
      </c>
      <c r="G1" s="549" t="inlineStr">
        <is>
          <t>definition</t>
        </is>
      </c>
      <c r="H1" s="549" t="inlineStr">
        <is>
          <t>resolved_revenue_growth_bear</t>
        </is>
      </c>
      <c r="I1" s="549" t="inlineStr">
        <is>
          <t>resolved_revenue_growth_base</t>
        </is>
      </c>
      <c r="J1" s="549" t="inlineStr">
        <is>
          <t>resolved_revenue_growth_bull</t>
        </is>
      </c>
      <c r="K1" s="549" t="inlineStr">
        <is>
          <t>resolved_revenue_growth_custom</t>
        </is>
      </c>
    </row>
    <row r="2">
      <c r="A2" t="inlineStr">
        <is>
          <t>price</t>
        </is>
      </c>
      <c r="B2" s="507">
        <f>IF(Price="","",Price)</f>
        <v/>
      </c>
      <c r="C2" t="inlineStr">
        <is>
          <t>$/share</t>
        </is>
      </c>
      <c r="D2">
        <f>IF(AsOfQuarter="","",AsOfQuarter)</f>
        <v/>
      </c>
      <c r="E2" t="inlineStr">
        <is>
          <t>formula:Price</t>
        </is>
      </c>
      <c r="F2">
        <f>IF(B2="","unavailable","calculated")</f>
        <v/>
      </c>
      <c r="G2" t="inlineStr">
        <is>
          <t>Observed or explicit user price.</t>
        </is>
      </c>
      <c r="H2" s="536">
        <f>_xlfn.LET(_xlpm.scenarioKey,"bear",_xlpm.userGrowth,'{ticker}_Investment_Case'!$B$24,_xlpm.scenarioHorizon,'{ticker}_Investment_Case'!$B$23,_xlpm.itemDimension,--('Scenario_Driver_Assumptions'!$J$2:$J$201="total_company"),_xlpm.itemMember,--('Scenario_Driver_Assumptions'!$K$2:$K$201="total_company"),_xlpm.directMask,--('Scenario_Driver_Assumptions'!$A$2:$A$201=_xlpm.scenarioKey)*--('Scenario_Driver_Assumptions'!$B$2:$B$201="revenue_growth")*--('Scenario_Driver_Assumptions'!$D$2:$D$201="point")*--('Scenario_Driver_Assumptions'!$H$2:$H$201="%")*--('Scenario_Driver_Assumptions'!$I$2:$I$201=_xlpm.scenarioHorizon)*_xlpm.itemDimension*_xlpm.itemMember*--('Scenario_Driver_Assumptions'!$M$2:$M$201="selected_growth_route")*--('Scenario_Driver_Assumptions'!$N$2:$N$201="populated")*--('Scenario_Driver_Assumptions'!$Q$2:$Q$201=""),_xlpm.profileMask,--('Scenario_Driver_Assumptions'!$A$2:$A$201=_xlpm.scenarioKey)*--('Scenario_Driver_Assumptions'!$B$2:$B$201="revenue_growth")*--('Scenario_Driver_Assumptions'!$D$2:$D$201="route")*--('Scenario_Driver_Assumptions'!$E$2:$E$201="")*--('Scenario_Driver_Assumptions'!$H$2:$H$201="%")*--('Scenario_Driver_Assumptions'!$I$2:$I$201=_xlpm.scenarioHorizon)*_xlpm.itemDimension*_xlpm.itemMember*--('Scenario_Driver_Assumptions'!$M$2:$M$201="profile_driver_bridge")*--('Scenario_Driver_Assumptions'!$N$2:$N$201="populated")*--('Scenario_Driver_Assumptions'!$Q$2:$Q$201&lt;&gt;""),_xlpm.directCount,SUMPRODUCT(_xlpm.directMask),_xlpm.profileCount,SUMPRODUCT(_xlpm.profileMask),_xlpm.directValue,SUMPRODUCT(_xlpm.directMask,'Scenario_Driver_Assumptions'!$E$2:$E$201),_xlpm.profilePack,IF(_xlpm.profileCount=1,IFERROR(LOOKUP(2,1/_xlpm.profileMask,'Scenario_Driver_Assumptions'!$Q$2:$Q$201),""),""),_xlpm.bridgeDimension,--('{ticker}_Investment_Case_Data'!$J$2:$J$201="total_company"),_xlpm.bridgeMember,--('{ticker}_Investment_Case_Data'!$K$2:$K$201="total_company"),_xlpm.bridgeImpact,--('{ticker}_Investment_Case_Data'!$F$2:$F$201="revenue_growth"),_xlpm.bridgeMask,--('{ticker}_Investment_Case_Data'!$A$2:$A$201=_xlpm.scenarioKey)*--('{ticker}_Investment_Case_Data'!$C$2:$C$201=_xlpm.profilePack)*_xlpm.bridgeImpact*--('{ticker}_Investment_Case_Data'!$H$2:$H$201="%")*--('{ticker}_Investment_Case_Data'!$I$2:$I$201=_xlpm.scenarioHorizon)*_xlpm.bridgeDimension*_xlpm.bridgeMember*--('{ticker}_Investment_Case_Data'!$O$2:$O$201="profile_driver_bridge")*--('{ticker}_Investment_Case_Data'!$P$2:$P$201="populated"),_xlpm.bridgeCount,SUMPRODUCT(_xlpm.bridgeMask),_xlpm.bridgeValue,SUMPRODUCT(_xlpm.bridgeMask,'{ticker}_Investment_Case_Data'!$G$2:$G$201),_xlpm.userCount,--(_xlpm.userGrowth&lt;&gt;""),IF(OR(_xlpm.scenarioHorizon="",_xlpm.directCount+_xlpm.profileCount+_xlpm.userCount&lt;&gt;1),"",IF(_xlpm.directCount=1,_xlpm.directValue,IF(_xlpm.profileCount=1,IF(_xlpm.bridgeCount=1,_xlpm.bridgeValue,""),IF(ISNUMBER(_xlpm.userGrowth),_xlpm.userGrowth,"")))))</f>
        <v/>
      </c>
      <c r="I2" s="536">
        <f>_xlfn.LET(_xlpm.scenarioKey,"base",_xlpm.userGrowth,'{ticker}_Investment_Case'!$C$24,_xlpm.scenarioHorizon,'{ticker}_Investment_Case'!$C$23,_xlpm.itemDimension,--('Scenario_Driver_Assumptions'!$J$2:$J$201="total_company"),_xlpm.itemMember,--('Scenario_Driver_Assumptions'!$K$2:$K$201="total_company"),_xlpm.directMask,--('Scenario_Driver_Assumptions'!$A$2:$A$201=_xlpm.scenarioKey)*--('Scenario_Driver_Assumptions'!$B$2:$B$201="revenue_growth")*--('Scenario_Driver_Assumptions'!$D$2:$D$201="point")*--('Scenario_Driver_Assumptions'!$H$2:$H$201="%")*--('Scenario_Driver_Assumptions'!$I$2:$I$201=_xlpm.scenarioHorizon)*_xlpm.itemDimension*_xlpm.itemMember*--('Scenario_Driver_Assumptions'!$M$2:$M$201="selected_growth_route")*--('Scenario_Driver_Assumptions'!$N$2:$N$201="populated")*--('Scenario_Driver_Assumptions'!$Q$2:$Q$201=""),_xlpm.profileMask,--('Scenario_Driver_Assumptions'!$A$2:$A$201=_xlpm.scenarioKey)*--('Scenario_Driver_Assumptions'!$B$2:$B$201="revenue_growth")*--('Scenario_Driver_Assumptions'!$D$2:$D$201="route")*--('Scenario_Driver_Assumptions'!$E$2:$E$201="")*--('Scenario_Driver_Assumptions'!$H$2:$H$201="%")*--('Scenario_Driver_Assumptions'!$I$2:$I$201=_xlpm.scenarioHorizon)*_xlpm.itemDimension*_xlpm.itemMember*--('Scenario_Driver_Assumptions'!$M$2:$M$201="profile_driver_bridge")*--('Scenario_Driver_Assumptions'!$N$2:$N$201="populated")*--('Scenario_Driver_Assumptions'!$Q$2:$Q$201&lt;&gt;""),_xlpm.directCount,SUMPRODUCT(_xlpm.directMask),_xlpm.profileCount,SUMPRODUCT(_xlpm.profileMask),_xlpm.directValue,SUMPRODUCT(_xlpm.directMask,'Scenario_Driver_Assumptions'!$E$2:$E$201),_xlpm.profilePack,IF(_xlpm.profileCount=1,IFERROR(LOOKUP(2,1/_xlpm.profileMask,'Scenario_Driver_Assumptions'!$Q$2:$Q$201),""),""),_xlpm.bridgeDimension,--('{ticker}_Investment_Case_Data'!$J$2:$J$201="total_company"),_xlpm.bridgeMember,--('{ticker}_Investment_Case_Data'!$K$2:$K$201="total_company"),_xlpm.bridgeImpact,--('{ticker}_Investment_Case_Data'!$F$2:$F$201="revenue_growth"),_xlpm.bridgeMask,--('{ticker}_Investment_Case_Data'!$A$2:$A$201=_xlpm.scenarioKey)*--('{ticker}_Investment_Case_Data'!$C$2:$C$201=_xlpm.profilePack)*_xlpm.bridgeImpact*--('{ticker}_Investment_Case_Data'!$H$2:$H$201="%")*--('{ticker}_Investment_Case_Data'!$I$2:$I$201=_xlpm.scenarioHorizon)*_xlpm.bridgeDimension*_xlpm.bridgeMember*--('{ticker}_Investment_Case_Data'!$O$2:$O$201="profile_driver_bridge")*--('{ticker}_Investment_Case_Data'!$P$2:$P$201="populated"),_xlpm.bridgeCount,SUMPRODUCT(_xlpm.bridgeMask),_xlpm.bridgeValue,SUMPRODUCT(_xlpm.bridgeMask,'{ticker}_Investment_Case_Data'!$G$2:$G$201),_xlpm.userCount,--(_xlpm.userGrowth&lt;&gt;""),IF(OR(_xlpm.scenarioHorizon="",_xlpm.directCount+_xlpm.profileCount+_xlpm.userCount&lt;&gt;1),"",IF(_xlpm.directCount=1,_xlpm.directValue,IF(_xlpm.profileCount=1,IF(_xlpm.bridgeCount=1,_xlpm.bridgeValue,""),IF(ISNUMBER(_xlpm.userGrowth),_xlpm.userGrowth,"")))))</f>
        <v/>
      </c>
      <c r="J2" s="536">
        <f>_xlfn.LET(_xlpm.scenarioKey,"bull",_xlpm.userGrowth,'{ticker}_Investment_Case'!$D$24,_xlpm.scenarioHorizon,'{ticker}_Investment_Case'!$D$23,_xlpm.itemDimension,--('Scenario_Driver_Assumptions'!$J$2:$J$201="total_company"),_xlpm.itemMember,--('Scenario_Driver_Assumptions'!$K$2:$K$201="total_company"),_xlpm.directMask,--('Scenario_Driver_Assumptions'!$A$2:$A$201=_xlpm.scenarioKey)*--('Scenario_Driver_Assumptions'!$B$2:$B$201="revenue_growth")*--('Scenario_Driver_Assumptions'!$D$2:$D$201="point")*--('Scenario_Driver_Assumptions'!$H$2:$H$201="%")*--('Scenario_Driver_Assumptions'!$I$2:$I$201=_xlpm.scenarioHorizon)*_xlpm.itemDimension*_xlpm.itemMember*--('Scenario_Driver_Assumptions'!$M$2:$M$201="selected_growth_route")*--('Scenario_Driver_Assumptions'!$N$2:$N$201="populated")*--('Scenario_Driver_Assumptions'!$Q$2:$Q$201=""),_xlpm.profileMask,--('Scenario_Driver_Assumptions'!$A$2:$A$201=_xlpm.scenarioKey)*--('Scenario_Driver_Assumptions'!$B$2:$B$201="revenue_growth")*--('Scenario_Driver_Assumptions'!$D$2:$D$201="route")*--('Scenario_Driver_Assumptions'!$E$2:$E$201="")*--('Scenario_Driver_Assumptions'!$H$2:$H$201="%")*--('Scenario_Driver_Assumptions'!$I$2:$I$201=_xlpm.scenarioHorizon)*_xlpm.itemDimension*_xlpm.itemMember*--('Scenario_Driver_Assumptions'!$M$2:$M$201="profile_driver_bridge")*--('Scenario_Driver_Assumptions'!$N$2:$N$201="populated")*--('Scenario_Driver_Assumptions'!$Q$2:$Q$201&lt;&gt;""),_xlpm.directCount,SUMPRODUCT(_xlpm.directMask),_xlpm.profileCount,SUMPRODUCT(_xlpm.profileMask),_xlpm.directValue,SUMPRODUCT(_xlpm.directMask,'Scenario_Driver_Assumptions'!$E$2:$E$201),_xlpm.profilePack,IF(_xlpm.profileCount=1,IFERROR(LOOKUP(2,1/_xlpm.profileMask,'Scenario_Driver_Assumptions'!$Q$2:$Q$201),""),""),_xlpm.bridgeDimension,--('{ticker}_Investment_Case_Data'!$J$2:$J$201="total_company"),_xlpm.bridgeMember,--('{ticker}_Investment_Case_Data'!$K$2:$K$201="total_company"),_xlpm.bridgeImpact,--('{ticker}_Investment_Case_Data'!$F$2:$F$201="revenue_growth"),_xlpm.bridgeMask,--('{ticker}_Investment_Case_Data'!$A$2:$A$201=_xlpm.scenarioKey)*--('{ticker}_Investment_Case_Data'!$C$2:$C$201=_xlpm.profilePack)*_xlpm.bridgeImpact*--('{ticker}_Investment_Case_Data'!$H$2:$H$201="%")*--('{ticker}_Investment_Case_Data'!$I$2:$I$201=_xlpm.scenarioHorizon)*_xlpm.bridgeDimension*_xlpm.bridgeMember*--('{ticker}_Investment_Case_Data'!$O$2:$O$201="profile_driver_bridge")*--('{ticker}_Investment_Case_Data'!$P$2:$P$201="populated"),_xlpm.bridgeCount,SUMPRODUCT(_xlpm.bridgeMask),_xlpm.bridgeValue,SUMPRODUCT(_xlpm.bridgeMask,'{ticker}_Investment_Case_Data'!$G$2:$G$201),_xlpm.userCount,--(_xlpm.userGrowth&lt;&gt;""),IF(OR(_xlpm.scenarioHorizon="",_xlpm.directCount+_xlpm.profileCount+_xlpm.userCount&lt;&gt;1),"",IF(_xlpm.directCount=1,_xlpm.directValue,IF(_xlpm.profileCount=1,IF(_xlpm.bridgeCount=1,_xlpm.bridgeValue,""),IF(ISNUMBER(_xlpm.userGrowth),_xlpm.userGrowth,"")))))</f>
        <v/>
      </c>
      <c r="K2" s="536">
        <f>_xlfn.LET(_xlpm.scenarioKey,"custom",_xlpm.userGrowth,ScenarioGrowth,_xlpm.scenarioHorizon,ScenarioHorizon,_xlpm.itemDimension,--('Scenario_Driver_Assumptions'!$J$2:$J$201="total_company"),_xlpm.itemMember,--('Scenario_Driver_Assumptions'!$K$2:$K$201="total_company"),_xlpm.directMask,--('Scenario_Driver_Assumptions'!$A$2:$A$201=_xlpm.scenarioKey)*--('Scenario_Driver_Assumptions'!$B$2:$B$201="revenue_growth")*--('Scenario_Driver_Assumptions'!$D$2:$D$201="point")*--('Scenario_Driver_Assumptions'!$H$2:$H$201="%")*--('Scenario_Driver_Assumptions'!$I$2:$I$201=_xlpm.scenarioHorizon)*_xlpm.itemDimension*_xlpm.itemMember*--('Scenario_Driver_Assumptions'!$M$2:$M$201="selected_growth_route")*--('Scenario_Driver_Assumptions'!$N$2:$N$201="populated")*--('Scenario_Driver_Assumptions'!$Q$2:$Q$201=""),_xlpm.profileMask,--('Scenario_Driver_Assumptions'!$A$2:$A$201=_xlpm.scenarioKey)*--('Scenario_Driver_Assumptions'!$B$2:$B$201="revenue_growth")*--('Scenario_Driver_Assumptions'!$D$2:$D$201="route")*--('Scenario_Driver_Assumptions'!$E$2:$E$201="")*--('Scenario_Driver_Assumptions'!$H$2:$H$201="%")*--('Scenario_Driver_Assumptions'!$I$2:$I$201=_xlpm.scenarioHorizon)*_xlpm.itemDimension*_xlpm.itemMember*--('Scenario_Driver_Assumptions'!$M$2:$M$201="profile_driver_bridge")*--('Scenario_Driver_Assumptions'!$N$2:$N$201="populated")*--('Scenario_Driver_Assumptions'!$Q$2:$Q$201&lt;&gt;""),_xlpm.directCount,SUMPRODUCT(_xlpm.directMask),_xlpm.profileCount,SUMPRODUCT(_xlpm.profileMask),_xlpm.directValue,SUMPRODUCT(_xlpm.directMask,'Scenario_Driver_Assumptions'!$E$2:$E$201),_xlpm.profilePack,IF(_xlpm.profileCount=1,IFERROR(LOOKUP(2,1/_xlpm.profileMask,'Scenario_Driver_Assumptions'!$Q$2:$Q$201),""),""),_xlpm.bridgeDimension,--('{ticker}_Investment_Case_Data'!$J$2:$J$201="total_company"),_xlpm.bridgeMember,--('{ticker}_Investment_Case_Data'!$K$2:$K$201="total_company"),_xlpm.bridgeImpact,--('{ticker}_Investment_Case_Data'!$F$2:$F$201="revenue_growth"),_xlpm.bridgeMask,--('{ticker}_Investment_Case_Data'!$A$2:$A$201=_xlpm.scenarioKey)*--('{ticker}_Investment_Case_Data'!$C$2:$C$201=_xlpm.profilePack)*_xlpm.bridgeImpact*--('{ticker}_Investment_Case_Data'!$H$2:$H$201="%")*--('{ticker}_Investment_Case_Data'!$I$2:$I$201=_xlpm.scenarioHorizon)*_xlpm.bridgeDimension*_xlpm.bridgeMember*--('{ticker}_Investment_Case_Data'!$O$2:$O$201="profile_driver_bridge")*--('{ticker}_Investment_Case_Data'!$P$2:$P$201="populated"),_xlpm.bridgeCount,SUMPRODUCT(_xlpm.bridgeMask),_xlpm.bridgeValue,SUMPRODUCT(_xlpm.bridgeMask,'{ticker}_Investment_Case_Data'!$G$2:$G$201),_xlpm.userCount,--(_xlpm.userGrowth&lt;&gt;""),IF(OR(_xlpm.scenarioHorizon="",_xlpm.directCount+_xlpm.profileCount+_xlpm.userCount&lt;&gt;1),"",IF(_xlpm.directCount=1,_xlpm.directValue,IF(_xlpm.profileCount=1,IF(_xlpm.bridgeCount=1,_xlpm.bridgeValue,""),IF(ISNUMBER(_xlpm.userGrowth),_xlpm.userGrowth,"")))))</f>
        <v/>
      </c>
    </row>
    <row r="3">
      <c r="A3" t="inlineStr">
        <is>
          <t>market_cap</t>
        </is>
      </c>
      <c r="B3" s="505">
        <f>IF(MarketCap="","",MarketCap)</f>
        <v/>
      </c>
      <c r="C3" t="inlineStr">
        <is>
          <t>$m</t>
        </is>
      </c>
      <c r="D3">
        <f>IF(AsOfQuarter="","",AsOfQuarter)</f>
        <v/>
      </c>
      <c r="E3" t="inlineStr">
        <is>
          <t>formula:MarketCap</t>
        </is>
      </c>
      <c r="F3">
        <f>IF(B3="","unavailable","calculated")</f>
        <v/>
      </c>
      <c r="G3" t="inlineStr">
        <is>
          <t>Price multiplied by the selected share denominator.</t>
        </is>
      </c>
    </row>
    <row r="4">
      <c r="A4" t="inlineStr">
        <is>
          <t>enterprise_value</t>
        </is>
      </c>
      <c r="B4" s="505">
        <f>IF(EV="","",EV)</f>
        <v/>
      </c>
      <c r="C4" t="inlineStr">
        <is>
          <t>$m</t>
        </is>
      </c>
      <c r="D4">
        <f>IF(AsOfQuarter="","",AsOfQuarter)</f>
        <v/>
      </c>
      <c r="E4" t="inlineStr">
        <is>
          <t>formula:EV</t>
        </is>
      </c>
      <c r="F4">
        <f>IF(B4="","unavailable","calculated")</f>
        <v/>
      </c>
      <c r="G4" t="inlineStr">
        <is>
          <t>Market capitalization plus available net debt.</t>
        </is>
      </c>
    </row>
    <row r="5">
      <c r="A5" t="inlineStr">
        <is>
          <t>implied_ev_adjusted_ebitda</t>
        </is>
      </c>
      <c r="B5" s="550">
        <f>IF(Implied_EV_AdjEBITDA="","",Implied_EV_AdjEBITDA)</f>
        <v/>
      </c>
      <c r="C5" t="inlineStr">
        <is>
          <t>x</t>
        </is>
      </c>
      <c r="D5">
        <f>IF(AsOfQuarter="","",AsOfQuarter)</f>
        <v/>
      </c>
      <c r="E5" t="inlineStr">
        <is>
          <t>formula:Implied_EV_AdjEBITDA</t>
        </is>
      </c>
      <c r="F5">
        <f>IF(B5="","unavailable","calculated")</f>
        <v/>
      </c>
      <c r="G5" t="inlineStr">
        <is>
          <t>Enterprise value divided by adjusted EBITDA TTM.</t>
        </is>
      </c>
    </row>
    <row r="6">
      <c r="A6" t="inlineStr">
        <is>
          <t>implied_ev_base_ebitda</t>
        </is>
      </c>
      <c r="B6" s="550">
        <f>IF(Implied_EV_EBITDA="","",Implied_EV_EBITDA)</f>
        <v/>
      </c>
      <c r="C6" t="inlineStr">
        <is>
          <t>x</t>
        </is>
      </c>
      <c r="D6">
        <f>IF(AsOfQuarter="","",AsOfQuarter)</f>
        <v/>
      </c>
      <c r="E6" t="inlineStr">
        <is>
          <t>formula:Implied_EV_EBITDA</t>
        </is>
      </c>
      <c r="F6">
        <f>IF(B6="","unavailable","calculated")</f>
        <v/>
      </c>
      <c r="G6" t="inlineStr">
        <is>
          <t>Enterprise value divided by base EBITDA TTM.</t>
        </is>
      </c>
    </row>
    <row r="7">
      <c r="A7" t="inlineStr">
        <is>
          <t>implied_ev_revenue</t>
        </is>
      </c>
      <c r="B7" s="550">
        <f>IF('Valuation'!N208="","",'Valuation'!N208)</f>
        <v/>
      </c>
      <c r="C7" t="inlineStr">
        <is>
          <t>x</t>
        </is>
      </c>
      <c r="D7">
        <f>IF(AsOfQuarter="","",AsOfQuarter)</f>
        <v/>
      </c>
      <c r="E7" t="inlineStr">
        <is>
          <t>formula:'Valuation'!N208</t>
        </is>
      </c>
      <c r="F7">
        <f>IF(B7="","unavailable","calculated")</f>
        <v/>
      </c>
      <c r="G7" t="inlineStr">
        <is>
          <t>Enterprise value divided by revenue TTM.</t>
        </is>
      </c>
    </row>
    <row r="8">
      <c r="A8" t="inlineStr">
        <is>
          <t>equity_fcf_yield</t>
        </is>
      </c>
      <c r="B8" s="500">
        <f>IF(Equity_FCF_Yield="","",Equity_FCF_Yield)</f>
        <v/>
      </c>
      <c r="C8" t="inlineStr">
        <is>
          <t>%</t>
        </is>
      </c>
      <c r="D8">
        <f>IF(AsOfQuarter="","",AsOfQuarter)</f>
        <v/>
      </c>
      <c r="E8" t="inlineStr">
        <is>
          <t>formula:Equity_FCF_Yield</t>
        </is>
      </c>
      <c r="F8">
        <f>IF(B8="","unavailable","calculated")</f>
        <v/>
      </c>
      <c r="G8" t="inlineStr">
        <is>
          <t>FCF TTM divided by market capitalization.</t>
        </is>
      </c>
    </row>
    <row r="9">
      <c r="A9" t="inlineStr">
        <is>
          <t>dcf_enterprise_value</t>
        </is>
      </c>
      <c r="B9" s="505">
        <f>IF(DCF_EV="","",DCF_EV)</f>
        <v/>
      </c>
      <c r="C9" t="inlineStr">
        <is>
          <t>$m</t>
        </is>
      </c>
      <c r="D9">
        <f>IF(AsOfQuarter="","",AsOfQuarter)</f>
        <v/>
      </c>
      <c r="E9" t="inlineStr">
        <is>
          <t>formula:DCF_EV</t>
        </is>
      </c>
      <c r="F9">
        <f>IF(B9="","unavailable","calculated")</f>
        <v/>
      </c>
      <c r="G9" t="inlineStr">
        <is>
          <t>DCF enterprise value from explicit user assumptions.</t>
        </is>
      </c>
    </row>
    <row r="10">
      <c r="A10" t="inlineStr">
        <is>
          <t>dcf_implied_price</t>
        </is>
      </c>
      <c r="B10" s="507">
        <f>IF(DCF_ImpliedPrice="","",DCF_ImpliedPrice)</f>
        <v/>
      </c>
      <c r="C10" t="inlineStr">
        <is>
          <t>$/share</t>
        </is>
      </c>
      <c r="D10">
        <f>IF(AsOfQuarter="","",AsOfQuarter)</f>
        <v/>
      </c>
      <c r="E10" t="inlineStr">
        <is>
          <t>formula:DCF_ImpliedPrice</t>
        </is>
      </c>
      <c r="F10">
        <f>IF(B10="","unavailable","calculated")</f>
        <v/>
      </c>
      <c r="G10" t="inlineStr">
        <is>
          <t>DCF equity value divided by the selected share denominator.</t>
        </is>
      </c>
    </row>
    <row r="11">
      <c r="A11" t="inlineStr">
        <is>
          <t>scenario_revenue</t>
        </is>
      </c>
      <c r="B11" s="505">
        <f>IF(ScenarioRevenue="","",ScenarioRevenue)</f>
        <v/>
      </c>
      <c r="C11" t="inlineStr">
        <is>
          <t>$m</t>
        </is>
      </c>
      <c r="D11">
        <f>IF(AsOfQuarter="","",AsOfQuarter)</f>
        <v/>
      </c>
      <c r="E11" t="inlineStr">
        <is>
          <t>formula:ScenarioRevenue</t>
        </is>
      </c>
      <c r="F11">
        <f>IF(B11="","unavailable","calculated")</f>
        <v/>
      </c>
      <c r="G11" t="inlineStr">
        <is>
          <t>Revenue under the selected typed scenario.</t>
        </is>
      </c>
    </row>
    <row r="12">
      <c r="A12" t="inlineStr">
        <is>
          <t>scenario_base_ebitda</t>
        </is>
      </c>
      <c r="B12" s="505">
        <f>IF(ScenarioBaseEBITDA="","",ScenarioBaseEBITDA)</f>
        <v/>
      </c>
      <c r="C12" t="inlineStr">
        <is>
          <t>$m</t>
        </is>
      </c>
      <c r="D12">
        <f>IF(AsOfQuarter="","",AsOfQuarter)</f>
        <v/>
      </c>
      <c r="E12" t="inlineStr">
        <is>
          <t>formula:ScenarioBaseEBITDA</t>
        </is>
      </c>
      <c r="F12">
        <f>IF(B12="","unavailable","calculated")</f>
        <v/>
      </c>
      <c r="G12" t="inlineStr">
        <is>
          <t>Base EBITDA under the selected typed scenario.</t>
        </is>
      </c>
    </row>
    <row r="13">
      <c r="A13" t="inlineStr">
        <is>
          <t>scenario_adjusted_ebitda</t>
        </is>
      </c>
      <c r="B13" s="505">
        <f>IF(ScenarioAdjustedEBITDA="","",ScenarioAdjustedEBITDA)</f>
        <v/>
      </c>
      <c r="C13" t="inlineStr">
        <is>
          <t>$m</t>
        </is>
      </c>
      <c r="D13">
        <f>IF(AsOfQuarter="","",AsOfQuarter)</f>
        <v/>
      </c>
      <c r="E13" t="inlineStr">
        <is>
          <t>formula:ScenarioAdjustedEBITDA</t>
        </is>
      </c>
      <c r="F13">
        <f>IF(B13="","unavailable","calculated")</f>
        <v/>
      </c>
      <c r="G13" t="inlineStr">
        <is>
          <t>Adjusted EBITDA under the selected typed scenario.</t>
        </is>
      </c>
    </row>
    <row r="14">
      <c r="A14" t="inlineStr">
        <is>
          <t>scenario_fcf</t>
        </is>
      </c>
      <c r="B14" s="505">
        <f>IF(ScenarioFCF="","",ScenarioFCF)</f>
        <v/>
      </c>
      <c r="C14" t="inlineStr">
        <is>
          <t>$m</t>
        </is>
      </c>
      <c r="D14">
        <f>IF(AsOfQuarter="","",AsOfQuarter)</f>
        <v/>
      </c>
      <c r="E14" t="inlineStr">
        <is>
          <t>formula:ScenarioFCF</t>
        </is>
      </c>
      <c r="F14">
        <f>IF(B14="","unavailable","calculated")</f>
        <v/>
      </c>
      <c r="G14" t="inlineStr">
        <is>
          <t>FCF under explicit bridge and cash classifications.</t>
        </is>
      </c>
    </row>
    <row r="15">
      <c r="A15" t="inlineStr">
        <is>
          <t>scenario_shares</t>
        </is>
      </c>
      <c r="B15" s="551">
        <f>IF(ScenarioShares="","",ScenarioShares)</f>
        <v/>
      </c>
      <c r="C15" t="inlineStr">
        <is>
          <t>m shares</t>
        </is>
      </c>
      <c r="D15">
        <f>IF(AsOfQuarter="","",AsOfQuarter)</f>
        <v/>
      </c>
      <c r="E15" t="inlineStr">
        <is>
          <t>formula:ScenarioShares</t>
        </is>
      </c>
      <c r="F15">
        <f>IF(B15="","unavailable","calculated")</f>
        <v/>
      </c>
      <c r="G15" t="inlineStr">
        <is>
          <t>Selected base shares less repurchased shares plus issuance.</t>
        </is>
      </c>
    </row>
    <row r="16">
      <c r="A16" t="inlineStr">
        <is>
          <t>scenario_net_debt</t>
        </is>
      </c>
      <c r="B16" s="505">
        <f>IF(ScenarioNetDebt="","",ScenarioNetDebt)</f>
        <v/>
      </c>
      <c r="C16" t="inlineStr">
        <is>
          <t>$m</t>
        </is>
      </c>
      <c r="D16">
        <f>IF(AsOfQuarter="","",AsOfQuarter)</f>
        <v/>
      </c>
      <c r="E16" t="inlineStr">
        <is>
          <t>formula:ScenarioNetDebt</t>
        </is>
      </c>
      <c r="F16">
        <f>IF(B16="","unavailable","calculated")</f>
        <v/>
      </c>
      <c r="G16" t="inlineStr">
        <is>
          <t>Available net debt plus buyback cash less debt paydown.</t>
        </is>
      </c>
    </row>
    <row r="17">
      <c r="A17" t="inlineStr">
        <is>
          <t>scenario_eps</t>
        </is>
      </c>
      <c r="B17" s="532">
        <f>IF(ScenarioEPS="","",ScenarioEPS)</f>
        <v/>
      </c>
      <c r="C17" t="inlineStr">
        <is>
          <t>$/share</t>
        </is>
      </c>
      <c r="D17">
        <f>IF(AsOfQuarter="","",AsOfQuarter)</f>
        <v/>
      </c>
      <c r="E17" t="inlineStr">
        <is>
          <t>formula:ScenarioEPS</t>
        </is>
      </c>
      <c r="F17">
        <f>IF(B17="","unavailable","calculated")</f>
        <v/>
      </c>
      <c r="G17" t="inlineStr">
        <is>
          <t>Scenario net income divided by scenario shares.</t>
        </is>
      </c>
    </row>
    <row r="18">
      <c r="A18" t="inlineStr">
        <is>
          <t>scenario_enterprise_value</t>
        </is>
      </c>
      <c r="B18" s="505">
        <f>IF(ScenarioEV="","",ScenarioEV)</f>
        <v/>
      </c>
      <c r="C18" t="inlineStr">
        <is>
          <t>$m</t>
        </is>
      </c>
      <c r="D18">
        <f>IF(AsOfQuarter="","",AsOfQuarter)</f>
        <v/>
      </c>
      <c r="E18" t="inlineStr">
        <is>
          <t>formula:ScenarioEV</t>
        </is>
      </c>
      <c r="F18">
        <f>IF(B18="","unavailable","calculated")</f>
        <v/>
      </c>
      <c r="G18" t="inlineStr">
        <is>
          <t>Scenario adjusted EBITDA multiplied by the explicit target multiple.</t>
        </is>
      </c>
    </row>
    <row r="19">
      <c r="A19" t="inlineStr">
        <is>
          <t>scenario_implied_price</t>
        </is>
      </c>
      <c r="B19" s="507">
        <f>IF(ScenarioImpliedPrice="","",ScenarioImpliedPrice)</f>
        <v/>
      </c>
      <c r="C19" t="inlineStr">
        <is>
          <t>$/share</t>
        </is>
      </c>
      <c r="D19">
        <f>IF(AsOfQuarter="","",AsOfQuarter)</f>
        <v/>
      </c>
      <c r="E19" t="inlineStr">
        <is>
          <t>formula:ScenarioImpliedPrice</t>
        </is>
      </c>
      <c r="F19">
        <f>IF(B19="","unavailable","calculated")</f>
        <v/>
      </c>
      <c r="G19" t="inlineStr">
        <is>
          <t>Scenario equity value divided by scenario shares.</t>
        </is>
      </c>
    </row>
    <row r="20">
      <c r="A20" t="inlineStr">
        <is>
          <t>scenario_upside</t>
        </is>
      </c>
      <c r="B20" s="536">
        <f>IF(ScenarioUpside="","",ScenarioUpside)</f>
        <v/>
      </c>
      <c r="C20" t="inlineStr">
        <is>
          <t>%</t>
        </is>
      </c>
      <c r="D20">
        <f>IF(AsOfQuarter="","",AsOfQuarter)</f>
        <v/>
      </c>
      <c r="E20" t="inlineStr">
        <is>
          <t>formula:ScenarioUpside</t>
        </is>
      </c>
      <c r="F20">
        <f>IF(B20="","unavailable","calculated")</f>
        <v/>
      </c>
      <c r="G20" t="inlineStr">
        <is>
          <t>Scenario implied price relative to current price.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 ht="20" customHeight="1">
      <c r="A1" s="549" t="inlineStr">
        <is>
          <t>promise_key</t>
        </is>
      </c>
      <c r="B1" s="549" t="inlineStr">
        <is>
          <t>period</t>
        </is>
      </c>
      <c r="C1" s="549" t="inlineStr">
        <is>
          <t>metric</t>
        </is>
      </c>
      <c r="D1" s="549" t="inlineStr">
        <is>
          <t>evidence</t>
        </is>
      </c>
      <c r="E1" s="549" t="inlineStr">
        <is>
          <t>source_ref</t>
        </is>
      </c>
      <c r="F1" s="549" t="inlineStr">
        <is>
          <t>status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5" customWidth="1" min="4" max="4"/>
    <col width="12" customWidth="1" min="5" max="5"/>
    <col width="12" customWidth="1" min="6" max="6"/>
    <col width="12" customWidth="1" min="7" max="7"/>
  </cols>
  <sheetData>
    <row r="1" ht="20" customHeight="1">
      <c r="A1" s="549" t="inlineStr">
        <is>
          <t>period</t>
        </is>
      </c>
      <c r="B1" s="549" t="inlineStr">
        <is>
          <t>metric</t>
        </is>
      </c>
      <c r="C1" s="549" t="inlineStr">
        <is>
          <t>previous_guide</t>
        </is>
      </c>
      <c r="D1" s="549" t="inlineStr">
        <is>
          <t>current_guide</t>
        </is>
      </c>
      <c r="E1" s="549" t="inlineStr">
        <is>
          <t>actual</t>
        </is>
      </c>
      <c r="F1" s="549" t="inlineStr">
        <is>
          <t>status</t>
        </is>
      </c>
      <c r="G1" s="549" t="inlineStr">
        <is>
          <t>source_ref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0" customHeight="1">
      <c r="A1" s="549" t="inlineStr">
        <is>
          <t>metric</t>
        </is>
      </c>
      <c r="B1" s="549" t="inlineStr">
        <is>
          <t>horizon</t>
        </is>
      </c>
      <c r="C1" s="549" t="inlineStr">
        <is>
          <t>period</t>
        </is>
      </c>
      <c r="D1" s="549" t="inlineStr">
        <is>
          <t>value</t>
        </is>
      </c>
      <c r="E1" s="549" t="inlineStr">
        <is>
          <t>unit</t>
        </is>
      </c>
      <c r="F1" s="549" t="inlineStr">
        <is>
          <t>status</t>
        </is>
      </c>
      <c r="G1" s="549" t="inlineStr">
        <is>
          <t>source_ref</t>
        </is>
      </c>
      <c r="H1" s="549" t="inlineStr">
        <is>
          <t>notes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 ht="20" customHeight="1">
      <c r="A1" s="549" t="inlineStr">
        <is>
          <t>period</t>
        </is>
      </c>
      <c r="B1" s="549" t="inlineStr">
        <is>
          <t>period_ordinal</t>
        </is>
      </c>
      <c r="C1" s="549" t="inlineStr">
        <is>
          <t>metric</t>
        </is>
      </c>
      <c r="D1" s="549" t="inlineStr">
        <is>
          <t>value</t>
        </is>
      </c>
      <c r="E1" s="549" t="inlineStr">
        <is>
          <t>unit</t>
        </is>
      </c>
      <c r="F1" s="549" t="inlineStr">
        <is>
          <t>source_ref</t>
        </is>
      </c>
      <c r="G1" s="549" t="inlineStr">
        <is>
          <t>status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 ht="20" customHeight="1">
      <c r="A1" s="549" t="inlineStr">
        <is>
          <t>period</t>
        </is>
      </c>
      <c r="B1" s="549" t="inlineStr">
        <is>
          <t>topic</t>
        </is>
      </c>
      <c r="C1" s="549" t="inlineStr">
        <is>
          <t>metric</t>
        </is>
      </c>
      <c r="D1" s="549" t="inlineStr">
        <is>
          <t>value</t>
        </is>
      </c>
      <c r="E1" s="549" t="inlineStr">
        <is>
          <t>unit</t>
        </is>
      </c>
      <c r="F1" s="549" t="inlineStr">
        <is>
          <t>source_ref</t>
        </is>
      </c>
      <c r="G1" s="549" t="inlineStr">
        <is>
          <t>status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3" customWidth="1" min="3" max="3"/>
    <col width="13" customWidth="1" min="4" max="4"/>
    <col width="16" customWidth="1" min="5" max="5"/>
    <col width="12" customWidth="1" min="6" max="6"/>
  </cols>
  <sheetData>
    <row r="1" ht="20" customHeight="1">
      <c r="A1" s="549" t="inlineStr">
        <is>
          <t>period</t>
        </is>
      </c>
      <c r="B1" s="549" t="inlineStr">
        <is>
          <t>period_ordinal</t>
        </is>
      </c>
      <c r="C1" s="549" t="inlineStr">
        <is>
          <t>period_type</t>
        </is>
      </c>
      <c r="D1" s="549" t="inlineStr">
        <is>
          <t>fiscal_year</t>
        </is>
      </c>
      <c r="E1" s="549" t="inlineStr">
        <is>
          <t>fiscal_quarter</t>
        </is>
      </c>
      <c r="F1" s="549" t="inlineStr">
        <is>
          <t>status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2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  <col width="12" customWidth="1" min="10" max="10"/>
    <col width="14" customWidth="1" min="11" max="11"/>
    <col width="13" customWidth="1" min="12" max="12"/>
    <col width="12" customWidth="1" min="13" max="13"/>
  </cols>
  <sheetData>
    <row r="1" ht="20" customHeight="1">
      <c r="A1" s="549" t="inlineStr">
        <is>
          <t>display_rank</t>
        </is>
      </c>
      <c r="B1" s="549" t="inlineStr">
        <is>
          <t>candidate_key</t>
        </is>
      </c>
      <c r="C1" s="549" t="inlineStr">
        <is>
          <t>signal_id</t>
        </is>
      </c>
      <c r="D1" s="549" t="inlineStr">
        <is>
          <t>display_name</t>
        </is>
      </c>
      <c r="E1" s="549" t="inlineStr">
        <is>
          <t>score</t>
        </is>
      </c>
      <c r="F1" s="549" t="inlineStr">
        <is>
          <t>triggered</t>
        </is>
      </c>
      <c r="G1" s="549" t="inlineStr">
        <is>
          <t>state</t>
        </is>
      </c>
      <c r="H1" s="549" t="inlineStr">
        <is>
          <t>severity</t>
        </is>
      </c>
      <c r="I1" s="549" t="inlineStr">
        <is>
          <t>as_of_period</t>
        </is>
      </c>
      <c r="J1" s="549" t="inlineStr">
        <is>
          <t>reason</t>
        </is>
      </c>
      <c r="K1" s="549" t="inlineStr">
        <is>
          <t>evidence_ids</t>
        </is>
      </c>
      <c r="L1" s="549" t="inlineStr">
        <is>
          <t>source_refs</t>
        </is>
      </c>
      <c r="M1" s="549" t="inlineStr">
        <is>
          <t>audit_id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V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4" customWidth="1" min="3" max="3"/>
    <col width="12" customWidth="1" min="4" max="4"/>
    <col width="14" customWidth="1" min="5" max="5"/>
    <col width="16" customWidth="1" min="6" max="6"/>
    <col width="20" customWidth="1" min="7" max="7"/>
    <col width="16" customWidth="1" min="8" max="8"/>
    <col width="28" customWidth="1" min="9" max="9"/>
    <col width="19" customWidth="1" min="10" max="10"/>
    <col width="12" customWidth="1" min="11" max="11"/>
    <col width="12" customWidth="1" min="12" max="12"/>
    <col width="14" customWidth="1" min="13" max="13"/>
    <col width="13" customWidth="1" min="14" max="14"/>
    <col width="22" customWidth="1" min="15" max="15"/>
    <col width="23" customWidth="1" min="16" max="16"/>
    <col width="17" customWidth="1" min="17" max="17"/>
    <col width="18" customWidth="1" min="18" max="18"/>
    <col width="22" customWidth="1" min="19" max="19"/>
    <col width="18" customWidth="1" min="20" max="20"/>
    <col width="15" customWidth="1" min="21" max="21"/>
    <col width="20" customWidth="1" min="22" max="22"/>
  </cols>
  <sheetData>
    <row r="1" ht="20" customHeight="1">
      <c r="A1" s="549" t="inlineStr">
        <is>
          <t>candidate_key</t>
        </is>
      </c>
      <c r="B1" s="549" t="inlineStr">
        <is>
          <t>signal_id</t>
        </is>
      </c>
      <c r="C1" s="549" t="inlineStr">
        <is>
          <t>display_name</t>
        </is>
      </c>
      <c r="D1" s="549" t="inlineStr">
        <is>
          <t>profile_id</t>
        </is>
      </c>
      <c r="E1" s="549" t="inlineStr">
        <is>
          <t>as_of_period</t>
        </is>
      </c>
      <c r="F1" s="549" t="inlineStr">
        <is>
          <t>expected_state</t>
        </is>
      </c>
      <c r="G1" s="549" t="inlineStr">
        <is>
          <t>expected_triggered</t>
        </is>
      </c>
      <c r="H1" s="549" t="inlineStr">
        <is>
          <t>expected_score</t>
        </is>
      </c>
      <c r="I1" s="549" t="inlineStr">
        <is>
          <t>expected_score_denominator</t>
        </is>
      </c>
      <c r="J1" s="549" t="inlineStr">
        <is>
          <t>expected_severity</t>
        </is>
      </c>
      <c r="K1" s="549" t="inlineStr">
        <is>
          <t>priority</t>
        </is>
      </c>
      <c r="L1" s="549" t="inlineStr">
        <is>
          <t>reasons</t>
        </is>
      </c>
      <c r="M1" s="549" t="inlineStr">
        <is>
          <t>evidence_ids</t>
        </is>
      </c>
      <c r="N1" s="549" t="inlineStr">
        <is>
          <t>source_refs</t>
        </is>
      </c>
      <c r="O1" s="549" t="inlineStr">
        <is>
          <t>resolved_metric_keys</t>
        </is>
      </c>
      <c r="P1" s="549" t="inlineStr">
        <is>
          <t>recompute_record_keys</t>
        </is>
      </c>
      <c r="Q1" s="549" t="inlineStr">
        <is>
          <t>module_eligible</t>
        </is>
      </c>
      <c r="R1" s="549" t="inlineStr">
        <is>
          <t>recomputed_state</t>
        </is>
      </c>
      <c r="S1" s="549" t="inlineStr">
        <is>
          <t>recomputed_triggered</t>
        </is>
      </c>
      <c r="T1" s="549" t="inlineStr">
        <is>
          <t>recomputed_score</t>
        </is>
      </c>
      <c r="U1" s="549" t="inlineStr">
        <is>
          <t>parity_status</t>
        </is>
      </c>
      <c r="V1" s="549" t="inlineStr">
        <is>
          <t>discrepancy_reason</t>
        </is>
      </c>
    </row>
    <row r="2">
      <c r="R2">
        <f>IF($A2="","",IFERROR(INDEX('Hidden_Value_Recompute'!$AV$2:$AV$8,MATCH($A2,'Hidden_Value_Recompute'!$AF$2:$AF$8,0)),""))</f>
        <v/>
      </c>
      <c r="S2">
        <f>IF($A2="","",IFERROR(INDEX('Hidden_Value_Recompute'!$AW$2:$AW$8,MATCH($A2,'Hidden_Value_Recompute'!$AF$2:$AF$8,0)),""))</f>
        <v/>
      </c>
      <c r="T2" s="552">
        <f>IF($A2="","",IFERROR(INDEX('Hidden_Value_Recompute'!$AU$2:$AU$8,MATCH($A2,'Hidden_Value_Recompute'!$AF$2:$AF$8,0)),""))</f>
        <v/>
      </c>
      <c r="U2">
        <f>IF($A2="","",IFERROR(INDEX('Hidden_Value_Recompute'!$AX$2:$AX$8,MATCH($A2,'Hidden_Value_Recompute'!$AF$2:$AF$8,0)),"FAIL"))</f>
        <v/>
      </c>
      <c r="V2">
        <f>IF($A2="","",IF($U2="PASS","","hidden_value_recompute_mismatch"))</f>
        <v/>
      </c>
    </row>
    <row r="3">
      <c r="R3">
        <f>IF($A3="","",IFERROR(INDEX('Hidden_Value_Recompute'!$AV$2:$AV$8,MATCH($A3,'Hidden_Value_Recompute'!$AF$2:$AF$8,0)),""))</f>
        <v/>
      </c>
      <c r="S3">
        <f>IF($A3="","",IFERROR(INDEX('Hidden_Value_Recompute'!$AW$2:$AW$8,MATCH($A3,'Hidden_Value_Recompute'!$AF$2:$AF$8,0)),""))</f>
        <v/>
      </c>
      <c r="T3" s="552">
        <f>IF($A3="","",IFERROR(INDEX('Hidden_Value_Recompute'!$AU$2:$AU$8,MATCH($A3,'Hidden_Value_Recompute'!$AF$2:$AF$8,0)),""))</f>
        <v/>
      </c>
      <c r="U3">
        <f>IF($A3="","",IFERROR(INDEX('Hidden_Value_Recompute'!$AX$2:$AX$8,MATCH($A3,'Hidden_Value_Recompute'!$AF$2:$AF$8,0)),"FAIL"))</f>
        <v/>
      </c>
      <c r="V3">
        <f>IF($A3="","",IF($U3="PASS","","hidden_value_recompute_mismatch"))</f>
        <v/>
      </c>
    </row>
    <row r="4">
      <c r="R4">
        <f>IF($A4="","",IFERROR(INDEX('Hidden_Value_Recompute'!$AV$2:$AV$8,MATCH($A4,'Hidden_Value_Recompute'!$AF$2:$AF$8,0)),""))</f>
        <v/>
      </c>
      <c r="S4">
        <f>IF($A4="","",IFERROR(INDEX('Hidden_Value_Recompute'!$AW$2:$AW$8,MATCH($A4,'Hidden_Value_Recompute'!$AF$2:$AF$8,0)),""))</f>
        <v/>
      </c>
      <c r="T4" s="552">
        <f>IF($A4="","",IFERROR(INDEX('Hidden_Value_Recompute'!$AU$2:$AU$8,MATCH($A4,'Hidden_Value_Recompute'!$AF$2:$AF$8,0)),""))</f>
        <v/>
      </c>
      <c r="U4">
        <f>IF($A4="","",IFERROR(INDEX('Hidden_Value_Recompute'!$AX$2:$AX$8,MATCH($A4,'Hidden_Value_Recompute'!$AF$2:$AF$8,0)),"FAIL"))</f>
        <v/>
      </c>
      <c r="V4">
        <f>IF($A4="","",IF($U4="PASS","","hidden_value_recompute_mismatch"))</f>
        <v/>
      </c>
    </row>
    <row r="5">
      <c r="R5">
        <f>IF($A5="","",IFERROR(INDEX('Hidden_Value_Recompute'!$AV$2:$AV$8,MATCH($A5,'Hidden_Value_Recompute'!$AF$2:$AF$8,0)),""))</f>
        <v/>
      </c>
      <c r="S5">
        <f>IF($A5="","",IFERROR(INDEX('Hidden_Value_Recompute'!$AW$2:$AW$8,MATCH($A5,'Hidden_Value_Recompute'!$AF$2:$AF$8,0)),""))</f>
        <v/>
      </c>
      <c r="T5" s="552">
        <f>IF($A5="","",IFERROR(INDEX('Hidden_Value_Recompute'!$AU$2:$AU$8,MATCH($A5,'Hidden_Value_Recompute'!$AF$2:$AF$8,0)),""))</f>
        <v/>
      </c>
      <c r="U5">
        <f>IF($A5="","",IFERROR(INDEX('Hidden_Value_Recompute'!$AX$2:$AX$8,MATCH($A5,'Hidden_Value_Recompute'!$AF$2:$AF$8,0)),"FAIL"))</f>
        <v/>
      </c>
      <c r="V5">
        <f>IF($A5="","",IF($U5="PASS","","hidden_value_recompute_mismatch"))</f>
        <v/>
      </c>
    </row>
    <row r="6">
      <c r="R6">
        <f>IF($A6="","",IFERROR(INDEX('Hidden_Value_Recompute'!$AV$2:$AV$8,MATCH($A6,'Hidden_Value_Recompute'!$AF$2:$AF$8,0)),""))</f>
        <v/>
      </c>
      <c r="S6">
        <f>IF($A6="","",IFERROR(INDEX('Hidden_Value_Recompute'!$AW$2:$AW$8,MATCH($A6,'Hidden_Value_Recompute'!$AF$2:$AF$8,0)),""))</f>
        <v/>
      </c>
      <c r="T6" s="552">
        <f>IF($A6="","",IFERROR(INDEX('Hidden_Value_Recompute'!$AU$2:$AU$8,MATCH($A6,'Hidden_Value_Recompute'!$AF$2:$AF$8,0)),""))</f>
        <v/>
      </c>
      <c r="U6">
        <f>IF($A6="","",IFERROR(INDEX('Hidden_Value_Recompute'!$AX$2:$AX$8,MATCH($A6,'Hidden_Value_Recompute'!$AF$2:$AF$8,0)),"FAIL"))</f>
        <v/>
      </c>
      <c r="V6">
        <f>IF($A6="","",IF($U6="PASS","","hidden_value_recompute_mismatch"))</f>
        <v/>
      </c>
    </row>
    <row r="7">
      <c r="R7">
        <f>IF($A7="","",IFERROR(INDEX('Hidden_Value_Recompute'!$AV$2:$AV$8,MATCH($A7,'Hidden_Value_Recompute'!$AF$2:$AF$8,0)),""))</f>
        <v/>
      </c>
      <c r="S7">
        <f>IF($A7="","",IFERROR(INDEX('Hidden_Value_Recompute'!$AW$2:$AW$8,MATCH($A7,'Hidden_Value_Recompute'!$AF$2:$AF$8,0)),""))</f>
        <v/>
      </c>
      <c r="T7" s="552">
        <f>IF($A7="","",IFERROR(INDEX('Hidden_Value_Recompute'!$AU$2:$AU$8,MATCH($A7,'Hidden_Value_Recompute'!$AF$2:$AF$8,0)),""))</f>
        <v/>
      </c>
      <c r="U7">
        <f>IF($A7="","",IFERROR(INDEX('Hidden_Value_Recompute'!$AX$2:$AX$8,MATCH($A7,'Hidden_Value_Recompute'!$AF$2:$AF$8,0)),"FAIL"))</f>
        <v/>
      </c>
      <c r="V7">
        <f>IF($A7="","",IF($U7="PASS","","hidden_value_recompute_mismatch"))</f>
        <v/>
      </c>
    </row>
    <row r="8">
      <c r="R8">
        <f>IF($A8="","",IFERROR(INDEX('Hidden_Value_Recompute'!$AV$2:$AV$8,MATCH($A8,'Hidden_Value_Recompute'!$AF$2:$AF$8,0)),""))</f>
        <v/>
      </c>
      <c r="S8">
        <f>IF($A8="","",IFERROR(INDEX('Hidden_Value_Recompute'!$AW$2:$AW$8,MATCH($A8,'Hidden_Value_Recompute'!$AF$2:$AF$8,0)),""))</f>
        <v/>
      </c>
      <c r="T8" s="552">
        <f>IF($A8="","",IFERROR(INDEX('Hidden_Value_Recompute'!$AU$2:$AU$8,MATCH($A8,'Hidden_Value_Recompute'!$AF$2:$AF$8,0)),""))</f>
        <v/>
      </c>
      <c r="U8">
        <f>IF($A8="","",IFERROR(INDEX('Hidden_Value_Recompute'!$AX$2:$AX$8,MATCH($A8,'Hidden_Value_Recompute'!$AF$2:$AF$8,0)),"FAIL"))</f>
        <v/>
      </c>
      <c r="V8">
        <f>IF($A8="","",IF($U8="PASS","","hidden_value_recompute_mismatch"))</f>
        <v/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X9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3" customWidth="1" min="4" max="4"/>
    <col width="12" customWidth="1" min="5" max="5"/>
    <col width="12" customWidth="1" min="6" max="6"/>
    <col width="12" customWidth="1" min="7" max="7"/>
    <col width="12" customWidth="1" min="8" max="8"/>
    <col width="18" customWidth="1" min="9" max="9"/>
    <col width="12" customWidth="1" min="10" max="10"/>
    <col width="20" customWidth="1" min="11" max="11"/>
    <col width="12" customWidth="1" min="12" max="12"/>
    <col width="25" customWidth="1" min="13" max="13"/>
    <col width="25" customWidth="1" min="14" max="14"/>
    <col width="20" customWidth="1" min="15" max="15"/>
    <col width="20" customWidth="1" min="16" max="16"/>
    <col width="16" customWidth="1" min="17" max="17"/>
    <col width="21" customWidth="1" min="18" max="18"/>
    <col width="17" customWidth="1" min="19" max="19"/>
    <col width="26" customWidth="1" min="20" max="20"/>
    <col width="27" customWidth="1" min="21" max="21"/>
    <col width="25" customWidth="1" min="22" max="22"/>
    <col width="17" customWidth="1" min="23" max="23"/>
    <col width="18" customWidth="1" min="24" max="24"/>
    <col width="16" customWidth="1" min="25" max="25"/>
    <col width="19" customWidth="1" min="26" max="26"/>
    <col width="28" customWidth="1" min="27" max="27"/>
    <col width="29" customWidth="1" min="28" max="28"/>
    <col width="27" customWidth="1" min="29" max="29"/>
    <col width="12" customWidth="1" min="30" max="30"/>
    <col width="12" customWidth="1" min="31" max="31"/>
    <col width="23" customWidth="1" min="32" max="32"/>
    <col width="19" customWidth="1" min="33" max="33"/>
    <col width="18" customWidth="1" min="34" max="34"/>
    <col width="14" customWidth="1" min="35" max="35"/>
    <col width="16" customWidth="1" min="36" max="36"/>
    <col width="28" customWidth="1" min="37" max="37"/>
    <col width="31" customWidth="1" min="38" max="38"/>
    <col width="16" customWidth="1" min="39" max="39"/>
    <col width="20" customWidth="1" min="40" max="40"/>
    <col width="16" customWidth="1" min="41" max="41"/>
    <col width="28" customWidth="1" min="42" max="42"/>
    <col width="24" customWidth="1" min="43" max="43"/>
    <col width="20" customWidth="1" min="44" max="44"/>
    <col width="22" customWidth="1" min="45" max="45"/>
    <col width="30" customWidth="1" min="46" max="46"/>
    <col width="18" customWidth="1" min="47" max="47"/>
    <col width="18" customWidth="1" min="48" max="48"/>
    <col width="22" customWidth="1" min="49" max="49"/>
    <col width="18" customWidth="1" min="50" max="50"/>
  </cols>
  <sheetData>
    <row r="1" ht="20" customHeight="1">
      <c r="A1" s="549" t="inlineStr">
        <is>
          <t>record_key</t>
        </is>
      </c>
      <c r="B1" s="549" t="inlineStr">
        <is>
          <t>candidate_key</t>
        </is>
      </c>
      <c r="C1" s="549" t="inlineStr">
        <is>
          <t>signal_id</t>
        </is>
      </c>
      <c r="D1" s="549" t="inlineStr">
        <is>
          <t>record_type</t>
        </is>
      </c>
      <c r="E1" s="549" t="inlineStr">
        <is>
          <t>stage</t>
        </is>
      </c>
      <c r="F1" s="549" t="inlineStr">
        <is>
          <t>item_id</t>
        </is>
      </c>
      <c r="G1" s="549" t="inlineStr">
        <is>
          <t>metric_key</t>
        </is>
      </c>
      <c r="H1" s="549" t="inlineStr">
        <is>
          <t>operator</t>
        </is>
      </c>
      <c r="I1" s="549" t="inlineStr">
        <is>
          <t>right_metric_key</t>
        </is>
      </c>
      <c r="J1" s="549" t="inlineStr">
        <is>
          <t>threshold</t>
        </is>
      </c>
      <c r="K1" s="549" t="inlineStr">
        <is>
          <t>required_component</t>
        </is>
      </c>
      <c r="L1" s="549" t="inlineStr">
        <is>
          <t>weight</t>
        </is>
      </c>
      <c r="M1" s="549" t="inlineStr">
        <is>
          <t>normalization_direction</t>
        </is>
      </c>
      <c r="N1" s="549" t="inlineStr">
        <is>
          <t>normalization_threshold</t>
        </is>
      </c>
      <c r="O1" s="549" t="inlineStr">
        <is>
          <t>normalization_span</t>
        </is>
      </c>
      <c r="P1" s="549" t="inlineStr">
        <is>
          <t>normalization_base</t>
        </is>
      </c>
      <c r="Q1" s="549" t="inlineStr">
        <is>
          <t>expected_value</t>
        </is>
      </c>
      <c r="R1" s="549" t="inlineStr">
        <is>
          <t>expected_comparison</t>
        </is>
      </c>
      <c r="S1" s="549" t="inlineStr">
        <is>
          <t>expected_passed</t>
        </is>
      </c>
      <c r="T1" s="549" t="inlineStr">
        <is>
          <t>expected_included_weight</t>
        </is>
      </c>
      <c r="U1" s="549" t="inlineStr">
        <is>
          <t>expected_normalized_score</t>
        </is>
      </c>
      <c r="V1" s="549" t="inlineStr">
        <is>
          <t>expected_weighted_score</t>
        </is>
      </c>
      <c r="W1" s="549" t="inlineStr">
        <is>
          <t>expected_status</t>
        </is>
      </c>
      <c r="X1" s="549" t="inlineStr">
        <is>
          <t>recomputed_value</t>
        </is>
      </c>
      <c r="Y1" s="549" t="inlineStr">
        <is>
          <t>recomputed_aux</t>
        </is>
      </c>
      <c r="Z1" s="549" t="inlineStr">
        <is>
          <t>recomputed_result</t>
        </is>
      </c>
      <c r="AA1" s="549" t="inlineStr">
        <is>
          <t>recomputed_included_weight</t>
        </is>
      </c>
      <c r="AB1" s="549" t="inlineStr">
        <is>
          <t>recomputed_normalized_score</t>
        </is>
      </c>
      <c r="AC1" s="549" t="inlineStr">
        <is>
          <t>recomputed_weighted_score</t>
        </is>
      </c>
      <c r="AD1" s="549" t="inlineStr">
        <is>
          <t>row_parity</t>
        </is>
      </c>
      <c r="AE1" s="549" t="inlineStr">
        <is>
          <t>reserved</t>
        </is>
      </c>
      <c r="AF1" s="549" t="inlineStr">
        <is>
          <t>summary_candidate_key</t>
        </is>
      </c>
      <c r="AG1" s="549" t="inlineStr">
        <is>
          <t>summary_signal_id</t>
        </is>
      </c>
      <c r="AH1" s="549" t="inlineStr">
        <is>
          <t>eligibility_mode</t>
        </is>
      </c>
      <c r="AI1" s="549" t="inlineStr">
        <is>
          <t>trigger_mode</t>
        </is>
      </c>
      <c r="AJ1" s="549" t="inlineStr">
        <is>
          <t>near_miss_mode</t>
        </is>
      </c>
      <c r="AK1" s="549" t="inlineStr">
        <is>
          <t>minimum_trigger_predicates</t>
        </is>
      </c>
      <c r="AL1" s="549" t="inlineStr">
        <is>
          <t>reweight_available_components</t>
        </is>
      </c>
      <c r="AM1" s="549" t="inlineStr">
        <is>
          <t>expected_state</t>
        </is>
      </c>
      <c r="AN1" s="549" t="inlineStr">
        <is>
          <t>expected_triggered</t>
        </is>
      </c>
      <c r="AO1" s="549" t="inlineStr">
        <is>
          <t>expected_score</t>
        </is>
      </c>
      <c r="AP1" s="549" t="inlineStr">
        <is>
          <t>expected_score_denominator</t>
        </is>
      </c>
      <c r="AQ1" s="549" t="inlineStr">
        <is>
          <t>recomputed_eligibility</t>
        </is>
      </c>
      <c r="AR1" s="549" t="inlineStr">
        <is>
          <t>recomputed_trigger</t>
        </is>
      </c>
      <c r="AS1" s="549" t="inlineStr">
        <is>
          <t>recomputed_near_miss</t>
        </is>
      </c>
      <c r="AT1" s="549" t="inlineStr">
        <is>
          <t>recomputed_score_denominator</t>
        </is>
      </c>
      <c r="AU1" s="549" t="inlineStr">
        <is>
          <t>recomputed_score</t>
        </is>
      </c>
      <c r="AV1" s="549" t="inlineStr">
        <is>
          <t>recomputed_state</t>
        </is>
      </c>
      <c r="AW1" s="549" t="inlineStr">
        <is>
          <t>recomputed_triggered</t>
        </is>
      </c>
      <c r="AX1" s="549" t="inlineStr">
        <is>
          <t>candidate_parity</t>
        </is>
      </c>
    </row>
    <row r="2">
      <c r="X2" s="553">
        <f>IF(OR(IFERROR(INDEX(HV_Base_Status,MATCH($G2,HV_Base_MetricKey,0)),"")="source_backed",IFERROR(INDEX(HV_Base_Status,MATCH($G2,HV_Base_MetricKey,0)),"")="formula_calculated",IFERROR(INDEX(HV_Base_Status,MATCH($G2,HV_Base_MetricKey,0)),"")="derived_calculated"),IFERROR(INDEX(HV_Base_Value,MATCH($G2,HV_Base_MetricKey,0)),""),"")</f>
        <v/>
      </c>
      <c r="Y2">
        <f>IFERROR(INDEX(HV_Base_Status,MATCH($G2,HV_Base_MetricKey,0)),"")</f>
        <v/>
      </c>
      <c r="Z2">
        <f>IF($G2="","",AND(ISNUMBER($X2),OR($Y2="source_backed",$Y2="formula_calculated",$Y2="derived_calculated")))</f>
        <v/>
      </c>
      <c r="AA2">
        <f>""</f>
        <v/>
      </c>
      <c r="AB2">
        <f>""</f>
        <v/>
      </c>
      <c r="AC2">
        <f>""</f>
        <v/>
      </c>
      <c r="AD2">
        <f>IF(AND(IF(OR($X2="",$Q2=""),AND($X2="",$Q2=""),IF(AND(ISNUMBER($X2),ISNUMBER($Q2)),ABS($X2-$Q2)&lt;=1E-10,$X2=$Q2)),IF(OR($Y2="",$W2=""),AND($Y2="",$W2=""),IF(AND(ISNUMBER($Y2),ISNUMBER($W2)),ABS($Y2-$W2)&lt;=1E-10,$Y2=$W2)),IF(OR($Z2="",$S2=""),AND($Z2="",$S2=""),IF(AND(ISNUMBER($Z2),ISNUMBER($S2)),ABS($Z2-$S2)&lt;=1E-10,$Z2=$S2))),"PASS","FAIL")</f>
        <v/>
      </c>
      <c r="AF2">
        <f>IF('Hidden_Value_Audit'!A2="","",'Hidden_Value_Audit'!A2)</f>
        <v/>
      </c>
      <c r="AG2">
        <f>IF($AF2="","","A")</f>
        <v/>
      </c>
      <c r="AH2">
        <f>IF($AF2="","","all")</f>
        <v/>
      </c>
      <c r="AI2">
        <f>IF($AF2="","","all")</f>
        <v/>
      </c>
      <c r="AJ2">
        <f>IF($AF2="","","all")</f>
        <v/>
      </c>
      <c r="AK2">
        <f>IF($AF2="","",2)</f>
        <v/>
      </c>
      <c r="AL2">
        <f>IF($AF2="","",FALSE)</f>
        <v/>
      </c>
      <c r="AM2">
        <f>IF($AF2="","",'Hidden_Value_Audit'!F2)</f>
        <v/>
      </c>
      <c r="AN2">
        <f>IF($AF2="","",'Hidden_Value_Audit'!G2)</f>
        <v/>
      </c>
      <c r="AO2">
        <f>IF('Hidden_Value_Audit'!H2="","",'Hidden_Value_Audit'!H2)</f>
        <v/>
      </c>
      <c r="AP2">
        <f>IF($AF2="","",'Hidden_Value_Audit'!I2)</f>
        <v/>
      </c>
      <c r="AQ2">
        <f>IF($AF2="","",IF($AH2="all",AND(COUNTIFS($B$2:$B$92,$AF2,$D$2:$D$92,"predicate",$E$2:$E$92,"eligibility")&gt;0,COUNTIFS($B$2:$B$92,$AF2,$D$2:$D$92,"predicate",$E$2:$E$92,"eligibility",$Z$2:$Z$92,TRUE)=COUNTIFS($B$2:$B$92,$AF2,$D$2:$D$92,"predicate",$E$2:$E$92,"eligibility")),COUNTIFS($B$2:$B$92,$AF2,$D$2:$D$92,"predicate",$E$2:$E$92,"eligibility",$Z$2:$Z$92,TRUE)&gt;0))</f>
        <v/>
      </c>
      <c r="AR2">
        <f>IF($AF2="","",IF($AI2="all",AND(COUNTIFS($B$2:$B$92,$AF2,$D$2:$D$92,"predicate",$E$2:$E$92,"trigger")&gt;0,COUNTIFS($B$2:$B$92,$AF2,$D$2:$D$92,"predicate",$E$2:$E$92,"trigger",$Z$2:$Z$92,TRUE)=COUNTIFS($B$2:$B$92,$AF2,$D$2:$D$92,"predicate",$E$2:$E$92,"trigger")),COUNTIFS($B$2:$B$92,$AF2,$D$2:$D$92,"predicate",$E$2:$E$92,"trigger",$Z$2:$Z$92,TRUE)&gt;0))</f>
        <v/>
      </c>
      <c r="AS2">
        <f>IF($AF2="","",AND(IF($AJ2="all",AND(COUNTIFS($B$2:$B$92,$AF2,$D$2:$D$92,"predicate",$E$2:$E$92,"near_miss")&gt;0,COUNTIFS($B$2:$B$92,$AF2,$D$2:$D$92,"predicate",$E$2:$E$92,"near_miss",$Z$2:$Z$92,TRUE)=COUNTIFS($B$2:$B$92,$AF2,$D$2:$D$92,"predicate",$E$2:$E$92,"near_miss")),COUNTIFS($B$2:$B$92,$AF2,$D$2:$D$92,"predicate",$E$2:$E$92,"near_miss",$Z$2:$Z$92,TRUE)&gt;0),COUNTIFS($B$2:$B$92,$AF2,$D$2:$D$92,"predicate",$E$2:$E$92,"trigger",$Z$2:$Z$92,TRUE)&gt;=$AK2))</f>
        <v/>
      </c>
      <c r="AT2" s="553">
        <f>IF($AF2="","",SUMIFS($AA$2:$AA$92,$B$2:$B$92,$AF2,$D$2:$D$92,"score_component"))</f>
        <v/>
      </c>
      <c r="AU2" s="552">
        <f>IF($AF2="","",IF(OR(COUNTIFS($B$2:$B$92,$AF2,$D$2:$D$92,"score_component",$K$2:$K$92,TRUE,$Z$2:$Z$92,FALSE)&gt;0,$AT2&lt;=0,AND(NOT($AL2),ABS($AT2-100)&gt;1E-10)),"",IF(ABS(MAX(0,MIN(100,SUMIFS($AC$2:$AC$92,$B$2:$B$92,$AF2,$D$2:$D$92,"score_component")*100/$AT2))-INT(MAX(0,MIN(100,SUMIFS($AC$2:$AC$92,$B$2:$B$92,$AF2,$D$2:$D$92,"score_component")*100/$AT2)))-0.5)&lt;=1E-12,IF(MOD(INT(MAX(0,MIN(100,SUMIFS($AC$2:$AC$92,$B$2:$B$92,$AF2,$D$2:$D$92,"score_component")*100/$AT2))),2)=0,INT(MAX(0,MIN(100,SUMIFS($AC$2:$AC$92,$B$2:$B$92,$AF2,$D$2:$D$92,"score_component")*100/$AT2))),INT(MAX(0,MIN(100,SUMIFS($AC$2:$AC$92,$B$2:$B$92,$AF2,$D$2:$D$92,"score_component")*100/$AT2)))+1),ROUND(MAX(0,MIN(100,SUMIFS($AC$2:$AC$92,$B$2:$B$92,$AF2,$D$2:$D$92,"score_component")*100/$AT2)),0))))</f>
        <v/>
      </c>
      <c r="AV2">
        <f>IF($AF2="","",IF(NOT('Hidden_Value_Audit'!$Q2),"unavailable",IF(COUNTIFS($B$2:$B$92,$AF2,$D$2:$D$92,"required_metric",$Y$2:$Y$92,"invalid_input")&gt;0,"invalid_input",IF(COUNTIFS($B$2:$B$92,$AF2,$D$2:$D$92,"required_metric",$Y$2:$Y$92,"insufficient_evidence")&gt;0,"insufficient_evidence",IF(COUNTIFS($B$2:$B$92,$AF2,$D$2:$D$92,"required_metric",$Z$2:$Z$92,FALSE)&gt;0,"unavailable",IF(NOT($AQ2),"not_triggered",IF(COUNTIFS($B$2:$B$92,$AF2,$D$2:$D$92,"predicate",$E$2:$E$92,"trigger",$Z$2:$Z$92,"&lt;&gt;")=0,"insufficient_evidence",IF(AND($AR2,$AU2=""),"insufficient_evidence",IF($AR2,"triggered",IF($AS2,"near_miss","not_triggered"))))))))))</f>
        <v/>
      </c>
      <c r="AW2">
        <f>IF($AF2="","",$AV2="triggered")</f>
        <v/>
      </c>
      <c r="AX2">
        <f>IF($AF2="","",IF(AND(IF(OR($AV2="",$AM2=""),AND($AV2="",$AM2=""),IF(AND(ISNUMBER($AV2),ISNUMBER($AM2)),ABS($AV2-$AM2)&lt;=1E-10,$AV2=$AM2)),IF(OR($AW2="",$AN2=""),AND($AW2="",$AN2=""),IF(AND(ISNUMBER($AW2),ISNUMBER($AN2)),ABS($AW2-$AN2)&lt;=1E-10,$AW2=$AN2)),IF(OR($AU2="",$AO2=""),AND($AU2="",$AO2=""),IF(AND(ISNUMBER($AU2),ISNUMBER($AO2)),ABS($AU2-$AO2)&lt;=1E-10,$AU2=$AO2)),IF(OR($AT2="",$AP2=""),AND($AT2="",$AP2=""),IF(AND(ISNUMBER($AT2),ISNUMBER($AP2)),ABS($AT2-$AP2)&lt;=1E-10,$AT2=$AP2)),(COUNTIFS($B$2:$B$92,$AF2,$AD$2:$AD$92,"&lt;&gt;PASS")=0)),"PASS","FAIL"))</f>
        <v/>
      </c>
    </row>
    <row r="3">
      <c r="X3" s="553">
        <f>IF(OR(IFERROR(INDEX(HV_Base_Status,MATCH($G3,HV_Base_MetricKey,0)),"")="source_backed",IFERROR(INDEX(HV_Base_Status,MATCH($G3,HV_Base_MetricKey,0)),"")="formula_calculated",IFERROR(INDEX(HV_Base_Status,MATCH($G3,HV_Base_MetricKey,0)),"")="derived_calculated"),IFERROR(INDEX(HV_Base_Value,MATCH($G3,HV_Base_MetricKey,0)),""),"")</f>
        <v/>
      </c>
      <c r="Y3">
        <f>IFERROR(INDEX(HV_Base_Status,MATCH($G3,HV_Base_MetricKey,0)),"")</f>
        <v/>
      </c>
      <c r="Z3">
        <f>IF($G3="","",AND(ISNUMBER($X3),OR($Y3="source_backed",$Y3="formula_calculated",$Y3="derived_calculated")))</f>
        <v/>
      </c>
      <c r="AA3">
        <f>""</f>
        <v/>
      </c>
      <c r="AB3">
        <f>""</f>
        <v/>
      </c>
      <c r="AC3">
        <f>""</f>
        <v/>
      </c>
      <c r="AD3">
        <f>IF(AND(IF(OR($X3="",$Q3=""),AND($X3="",$Q3=""),IF(AND(ISNUMBER($X3),ISNUMBER($Q3)),ABS($X3-$Q3)&lt;=1E-10,$X3=$Q3)),IF(OR($Y3="",$W3=""),AND($Y3="",$W3=""),IF(AND(ISNUMBER($Y3),ISNUMBER($W3)),ABS($Y3-$W3)&lt;=1E-10,$Y3=$W3)),IF(OR($Z3="",$S3=""),AND($Z3="",$S3=""),IF(AND(ISNUMBER($Z3),ISNUMBER($S3)),ABS($Z3-$S3)&lt;=1E-10,$Z3=$S3))),"PASS","FAIL")</f>
        <v/>
      </c>
      <c r="AF3">
        <f>IF('Hidden_Value_Audit'!A3="","",'Hidden_Value_Audit'!A3)</f>
        <v/>
      </c>
      <c r="AG3">
        <f>IF($AF3="","","B")</f>
        <v/>
      </c>
      <c r="AH3">
        <f>IF($AF3="","","all")</f>
        <v/>
      </c>
      <c r="AI3">
        <f>IF($AF3="","","all")</f>
        <v/>
      </c>
      <c r="AJ3">
        <f>IF($AF3="","","all")</f>
        <v/>
      </c>
      <c r="AK3">
        <f>IF($AF3="","",0)</f>
        <v/>
      </c>
      <c r="AL3">
        <f>IF($AF3="","",FALSE)</f>
        <v/>
      </c>
      <c r="AM3">
        <f>IF($AF3="","",'Hidden_Value_Audit'!F3)</f>
        <v/>
      </c>
      <c r="AN3">
        <f>IF($AF3="","",'Hidden_Value_Audit'!G3)</f>
        <v/>
      </c>
      <c r="AO3">
        <f>IF('Hidden_Value_Audit'!H3="","",'Hidden_Value_Audit'!H3)</f>
        <v/>
      </c>
      <c r="AP3">
        <f>IF($AF3="","",'Hidden_Value_Audit'!I3)</f>
        <v/>
      </c>
      <c r="AQ3">
        <f>IF($AF3="","",IF($AH3="all",AND(COUNTIFS($B$2:$B$92,$AF3,$D$2:$D$92,"predicate",$E$2:$E$92,"eligibility")&gt;0,COUNTIFS($B$2:$B$92,$AF3,$D$2:$D$92,"predicate",$E$2:$E$92,"eligibility",$Z$2:$Z$92,TRUE)=COUNTIFS($B$2:$B$92,$AF3,$D$2:$D$92,"predicate",$E$2:$E$92,"eligibility")),COUNTIFS($B$2:$B$92,$AF3,$D$2:$D$92,"predicate",$E$2:$E$92,"eligibility",$Z$2:$Z$92,TRUE)&gt;0))</f>
        <v/>
      </c>
      <c r="AR3">
        <f>IF($AF3="","",IF($AI3="all",AND(COUNTIFS($B$2:$B$92,$AF3,$D$2:$D$92,"predicate",$E$2:$E$92,"trigger")&gt;0,COUNTIFS($B$2:$B$92,$AF3,$D$2:$D$92,"predicate",$E$2:$E$92,"trigger",$Z$2:$Z$92,TRUE)=COUNTIFS($B$2:$B$92,$AF3,$D$2:$D$92,"predicate",$E$2:$E$92,"trigger")),COUNTIFS($B$2:$B$92,$AF3,$D$2:$D$92,"predicate",$E$2:$E$92,"trigger",$Z$2:$Z$92,TRUE)&gt;0))</f>
        <v/>
      </c>
      <c r="AS3">
        <f>IF($AF3="","",AND(IF($AJ3="all",AND(COUNTIFS($B$2:$B$92,$AF3,$D$2:$D$92,"predicate",$E$2:$E$92,"near_miss")&gt;0,COUNTIFS($B$2:$B$92,$AF3,$D$2:$D$92,"predicate",$E$2:$E$92,"near_miss",$Z$2:$Z$92,TRUE)=COUNTIFS($B$2:$B$92,$AF3,$D$2:$D$92,"predicate",$E$2:$E$92,"near_miss")),COUNTIFS($B$2:$B$92,$AF3,$D$2:$D$92,"predicate",$E$2:$E$92,"near_miss",$Z$2:$Z$92,TRUE)&gt;0),COUNTIFS($B$2:$B$92,$AF3,$D$2:$D$92,"predicate",$E$2:$E$92,"trigger",$Z$2:$Z$92,TRUE)&gt;=$AK3))</f>
        <v/>
      </c>
      <c r="AT3" s="553">
        <f>IF($AF3="","",SUMIFS($AA$2:$AA$92,$B$2:$B$92,$AF3,$D$2:$D$92,"score_component"))</f>
        <v/>
      </c>
      <c r="AU3" s="552">
        <f>IF($AF3="","",IF(OR(COUNTIFS($B$2:$B$92,$AF3,$D$2:$D$92,"score_component",$K$2:$K$92,TRUE,$Z$2:$Z$92,FALSE)&gt;0,$AT3&lt;=0,AND(NOT($AL3),ABS($AT3-100)&gt;1E-10)),"",IF(ABS(MAX(0,MIN(100,SUMIFS($AC$2:$AC$92,$B$2:$B$92,$AF3,$D$2:$D$92,"score_component")*100/$AT3))-INT(MAX(0,MIN(100,SUMIFS($AC$2:$AC$92,$B$2:$B$92,$AF3,$D$2:$D$92,"score_component")*100/$AT3)))-0.5)&lt;=1E-12,IF(MOD(INT(MAX(0,MIN(100,SUMIFS($AC$2:$AC$92,$B$2:$B$92,$AF3,$D$2:$D$92,"score_component")*100/$AT3))),2)=0,INT(MAX(0,MIN(100,SUMIFS($AC$2:$AC$92,$B$2:$B$92,$AF3,$D$2:$D$92,"score_component")*100/$AT3))),INT(MAX(0,MIN(100,SUMIFS($AC$2:$AC$92,$B$2:$B$92,$AF3,$D$2:$D$92,"score_component")*100/$AT3)))+1),ROUND(MAX(0,MIN(100,SUMIFS($AC$2:$AC$92,$B$2:$B$92,$AF3,$D$2:$D$92,"score_component")*100/$AT3)),0))))</f>
        <v/>
      </c>
      <c r="AV3">
        <f>IF($AF3="","",IF(NOT('Hidden_Value_Audit'!$Q3),"unavailable",IF(COUNTIFS($B$2:$B$92,$AF3,$D$2:$D$92,"required_metric",$Y$2:$Y$92,"invalid_input")&gt;0,"invalid_input",IF(COUNTIFS($B$2:$B$92,$AF3,$D$2:$D$92,"required_metric",$Y$2:$Y$92,"insufficient_evidence")&gt;0,"insufficient_evidence",IF(COUNTIFS($B$2:$B$92,$AF3,$D$2:$D$92,"required_metric",$Z$2:$Z$92,FALSE)&gt;0,"unavailable",IF(NOT($AQ3),"not_triggered",IF(COUNTIFS($B$2:$B$92,$AF3,$D$2:$D$92,"predicate",$E$2:$E$92,"trigger",$Z$2:$Z$92,"&lt;&gt;")=0,"insufficient_evidence",IF(AND($AR3,$AU3=""),"insufficient_evidence",IF($AR3,"triggered",IF($AS3,"near_miss","not_triggered"))))))))))</f>
        <v/>
      </c>
      <c r="AW3">
        <f>IF($AF3="","",$AV3="triggered")</f>
        <v/>
      </c>
      <c r="AX3">
        <f>IF($AF3="","",IF(AND(IF(OR($AV3="",$AM3=""),AND($AV3="",$AM3=""),IF(AND(ISNUMBER($AV3),ISNUMBER($AM3)),ABS($AV3-$AM3)&lt;=1E-10,$AV3=$AM3)),IF(OR($AW3="",$AN3=""),AND($AW3="",$AN3=""),IF(AND(ISNUMBER($AW3),ISNUMBER($AN3)),ABS($AW3-$AN3)&lt;=1E-10,$AW3=$AN3)),IF(OR($AU3="",$AO3=""),AND($AU3="",$AO3=""),IF(AND(ISNUMBER($AU3),ISNUMBER($AO3)),ABS($AU3-$AO3)&lt;=1E-10,$AU3=$AO3)),IF(OR($AT3="",$AP3=""),AND($AT3="",$AP3=""),IF(AND(ISNUMBER($AT3),ISNUMBER($AP3)),ABS($AT3-$AP3)&lt;=1E-10,$AT3=$AP3)),(COUNTIFS($B$2:$B$92,$AF3,$AD$2:$AD$92,"&lt;&gt;PASS")=0)),"PASS","FAIL"))</f>
        <v/>
      </c>
    </row>
    <row r="4">
      <c r="X4" s="553">
        <f>IF(OR(IFERROR(INDEX(HV_Base_Status,MATCH($G4,HV_Base_MetricKey,0)),"")="source_backed",IFERROR(INDEX(HV_Base_Status,MATCH($G4,HV_Base_MetricKey,0)),"")="formula_calculated",IFERROR(INDEX(HV_Base_Status,MATCH($G4,HV_Base_MetricKey,0)),"")="derived_calculated"),IFERROR(INDEX(HV_Base_Value,MATCH($G4,HV_Base_MetricKey,0)),""),"")</f>
        <v/>
      </c>
      <c r="Y4">
        <f>IFERROR(INDEX(HV_Base_Status,MATCH($G4,HV_Base_MetricKey,0)),"")</f>
        <v/>
      </c>
      <c r="Z4">
        <f>IF($G4="","",AND(ISNUMBER($X4),OR($Y4="source_backed",$Y4="formula_calculated",$Y4="derived_calculated")))</f>
        <v/>
      </c>
      <c r="AA4">
        <f>""</f>
        <v/>
      </c>
      <c r="AB4">
        <f>""</f>
        <v/>
      </c>
      <c r="AC4">
        <f>""</f>
        <v/>
      </c>
      <c r="AD4">
        <f>IF(AND(IF(OR($X4="",$Q4=""),AND($X4="",$Q4=""),IF(AND(ISNUMBER($X4),ISNUMBER($Q4)),ABS($X4-$Q4)&lt;=1E-10,$X4=$Q4)),IF(OR($Y4="",$W4=""),AND($Y4="",$W4=""),IF(AND(ISNUMBER($Y4),ISNUMBER($W4)),ABS($Y4-$W4)&lt;=1E-10,$Y4=$W4)),IF(OR($Z4="",$S4=""),AND($Z4="",$S4=""),IF(AND(ISNUMBER($Z4),ISNUMBER($S4)),ABS($Z4-$S4)&lt;=1E-10,$Z4=$S4))),"PASS","FAIL")</f>
        <v/>
      </c>
      <c r="AF4">
        <f>IF('Hidden_Value_Audit'!A4="","",'Hidden_Value_Audit'!A4)</f>
        <v/>
      </c>
      <c r="AG4">
        <f>IF($AF4="","","C")</f>
        <v/>
      </c>
      <c r="AH4">
        <f>IF($AF4="","","all")</f>
        <v/>
      </c>
      <c r="AI4">
        <f>IF($AF4="","","all")</f>
        <v/>
      </c>
      <c r="AJ4">
        <f>IF($AF4="","","all")</f>
        <v/>
      </c>
      <c r="AK4">
        <f>IF($AF4="","",0)</f>
        <v/>
      </c>
      <c r="AL4">
        <f>IF($AF4="","",FALSE)</f>
        <v/>
      </c>
      <c r="AM4">
        <f>IF($AF4="","",'Hidden_Value_Audit'!F4)</f>
        <v/>
      </c>
      <c r="AN4">
        <f>IF($AF4="","",'Hidden_Value_Audit'!G4)</f>
        <v/>
      </c>
      <c r="AO4">
        <f>IF('Hidden_Value_Audit'!H4="","",'Hidden_Value_Audit'!H4)</f>
        <v/>
      </c>
      <c r="AP4">
        <f>IF($AF4="","",'Hidden_Value_Audit'!I4)</f>
        <v/>
      </c>
      <c r="AQ4">
        <f>IF($AF4="","",IF($AH4="all",AND(COUNTIFS($B$2:$B$92,$AF4,$D$2:$D$92,"predicate",$E$2:$E$92,"eligibility")&gt;0,COUNTIFS($B$2:$B$92,$AF4,$D$2:$D$92,"predicate",$E$2:$E$92,"eligibility",$Z$2:$Z$92,TRUE)=COUNTIFS($B$2:$B$92,$AF4,$D$2:$D$92,"predicate",$E$2:$E$92,"eligibility")),COUNTIFS($B$2:$B$92,$AF4,$D$2:$D$92,"predicate",$E$2:$E$92,"eligibility",$Z$2:$Z$92,TRUE)&gt;0))</f>
        <v/>
      </c>
      <c r="AR4">
        <f>IF($AF4="","",IF($AI4="all",AND(COUNTIFS($B$2:$B$92,$AF4,$D$2:$D$92,"predicate",$E$2:$E$92,"trigger")&gt;0,COUNTIFS($B$2:$B$92,$AF4,$D$2:$D$92,"predicate",$E$2:$E$92,"trigger",$Z$2:$Z$92,TRUE)=COUNTIFS($B$2:$B$92,$AF4,$D$2:$D$92,"predicate",$E$2:$E$92,"trigger")),COUNTIFS($B$2:$B$92,$AF4,$D$2:$D$92,"predicate",$E$2:$E$92,"trigger",$Z$2:$Z$92,TRUE)&gt;0))</f>
        <v/>
      </c>
      <c r="AS4">
        <f>IF($AF4="","",AND(IF($AJ4="all",AND(COUNTIFS($B$2:$B$92,$AF4,$D$2:$D$92,"predicate",$E$2:$E$92,"near_miss")&gt;0,COUNTIFS($B$2:$B$92,$AF4,$D$2:$D$92,"predicate",$E$2:$E$92,"near_miss",$Z$2:$Z$92,TRUE)=COUNTIFS($B$2:$B$92,$AF4,$D$2:$D$92,"predicate",$E$2:$E$92,"near_miss")),COUNTIFS($B$2:$B$92,$AF4,$D$2:$D$92,"predicate",$E$2:$E$92,"near_miss",$Z$2:$Z$92,TRUE)&gt;0),COUNTIFS($B$2:$B$92,$AF4,$D$2:$D$92,"predicate",$E$2:$E$92,"trigger",$Z$2:$Z$92,TRUE)&gt;=$AK4))</f>
        <v/>
      </c>
      <c r="AT4" s="553">
        <f>IF($AF4="","",SUMIFS($AA$2:$AA$92,$B$2:$B$92,$AF4,$D$2:$D$92,"score_component"))</f>
        <v/>
      </c>
      <c r="AU4" s="552">
        <f>IF($AF4="","",IF(OR(COUNTIFS($B$2:$B$92,$AF4,$D$2:$D$92,"score_component",$K$2:$K$92,TRUE,$Z$2:$Z$92,FALSE)&gt;0,$AT4&lt;=0,AND(NOT($AL4),ABS($AT4-100)&gt;1E-10)),"",IF(ABS(MAX(0,MIN(100,SUMIFS($AC$2:$AC$92,$B$2:$B$92,$AF4,$D$2:$D$92,"score_component")*100/$AT4))-INT(MAX(0,MIN(100,SUMIFS($AC$2:$AC$92,$B$2:$B$92,$AF4,$D$2:$D$92,"score_component")*100/$AT4)))-0.5)&lt;=1E-12,IF(MOD(INT(MAX(0,MIN(100,SUMIFS($AC$2:$AC$92,$B$2:$B$92,$AF4,$D$2:$D$92,"score_component")*100/$AT4))),2)=0,INT(MAX(0,MIN(100,SUMIFS($AC$2:$AC$92,$B$2:$B$92,$AF4,$D$2:$D$92,"score_component")*100/$AT4))),INT(MAX(0,MIN(100,SUMIFS($AC$2:$AC$92,$B$2:$B$92,$AF4,$D$2:$D$92,"score_component")*100/$AT4)))+1),ROUND(MAX(0,MIN(100,SUMIFS($AC$2:$AC$92,$B$2:$B$92,$AF4,$D$2:$D$92,"score_component")*100/$AT4)),0))))</f>
        <v/>
      </c>
      <c r="AV4">
        <f>IF($AF4="","",IF(NOT('Hidden_Value_Audit'!$Q4),"unavailable",IF(COUNTIFS($B$2:$B$92,$AF4,$D$2:$D$92,"required_metric",$Y$2:$Y$92,"invalid_input")&gt;0,"invalid_input",IF(COUNTIFS($B$2:$B$92,$AF4,$D$2:$D$92,"required_metric",$Y$2:$Y$92,"insufficient_evidence")&gt;0,"insufficient_evidence",IF(COUNTIFS($B$2:$B$92,$AF4,$D$2:$D$92,"required_metric",$Z$2:$Z$92,FALSE)&gt;0,"unavailable",IF(NOT($AQ4),"not_triggered",IF(COUNTIFS($B$2:$B$92,$AF4,$D$2:$D$92,"predicate",$E$2:$E$92,"trigger",$Z$2:$Z$92,"&lt;&gt;")=0,"insufficient_evidence",IF(AND($AR4,$AU4=""),"insufficient_evidence",IF($AR4,"triggered",IF($AS4,"near_miss","not_triggered"))))))))))</f>
        <v/>
      </c>
      <c r="AW4">
        <f>IF($AF4="","",$AV4="triggered")</f>
        <v/>
      </c>
      <c r="AX4">
        <f>IF($AF4="","",IF(AND(IF(OR($AV4="",$AM4=""),AND($AV4="",$AM4=""),IF(AND(ISNUMBER($AV4),ISNUMBER($AM4)),ABS($AV4-$AM4)&lt;=1E-10,$AV4=$AM4)),IF(OR($AW4="",$AN4=""),AND($AW4="",$AN4=""),IF(AND(ISNUMBER($AW4),ISNUMBER($AN4)),ABS($AW4-$AN4)&lt;=1E-10,$AW4=$AN4)),IF(OR($AU4="",$AO4=""),AND($AU4="",$AO4=""),IF(AND(ISNUMBER($AU4),ISNUMBER($AO4)),ABS($AU4-$AO4)&lt;=1E-10,$AU4=$AO4)),IF(OR($AT4="",$AP4=""),AND($AT4="",$AP4=""),IF(AND(ISNUMBER($AT4),ISNUMBER($AP4)),ABS($AT4-$AP4)&lt;=1E-10,$AT4=$AP4)),(COUNTIFS($B$2:$B$92,$AF4,$AD$2:$AD$92,"&lt;&gt;PASS")=0)),"PASS","FAIL"))</f>
        <v/>
      </c>
    </row>
    <row r="5">
      <c r="X5" s="553">
        <f>IF(OR(IFERROR(INDEX(HV_Base_Status,MATCH($G5,HV_Base_MetricKey,0)),"")="source_backed",IFERROR(INDEX(HV_Base_Status,MATCH($G5,HV_Base_MetricKey,0)),"")="formula_calculated",IFERROR(INDEX(HV_Base_Status,MATCH($G5,HV_Base_MetricKey,0)),"")="derived_calculated"),IFERROR(INDEX(HV_Base_Value,MATCH($G5,HV_Base_MetricKey,0)),""),"")</f>
        <v/>
      </c>
      <c r="Y5">
        <f>IFERROR(INDEX(HV_Base_Status,MATCH($G5,HV_Base_MetricKey,0)),"")</f>
        <v/>
      </c>
      <c r="Z5">
        <f>IF($G5="","",AND(ISNUMBER($X5),OR($Y5="source_backed",$Y5="formula_calculated",$Y5="derived_calculated")))</f>
        <v/>
      </c>
      <c r="AA5">
        <f>""</f>
        <v/>
      </c>
      <c r="AB5">
        <f>""</f>
        <v/>
      </c>
      <c r="AC5">
        <f>""</f>
        <v/>
      </c>
      <c r="AD5">
        <f>IF(AND(IF(OR($X5="",$Q5=""),AND($X5="",$Q5=""),IF(AND(ISNUMBER($X5),ISNUMBER($Q5)),ABS($X5-$Q5)&lt;=1E-10,$X5=$Q5)),IF(OR($Y5="",$W5=""),AND($Y5="",$W5=""),IF(AND(ISNUMBER($Y5),ISNUMBER($W5)),ABS($Y5-$W5)&lt;=1E-10,$Y5=$W5)),IF(OR($Z5="",$S5=""),AND($Z5="",$S5=""),IF(AND(ISNUMBER($Z5),ISNUMBER($S5)),ABS($Z5-$S5)&lt;=1E-10,$Z5=$S5))),"PASS","FAIL")</f>
        <v/>
      </c>
      <c r="AF5">
        <f>IF('Hidden_Value_Audit'!A5="","",'Hidden_Value_Audit'!A5)</f>
        <v/>
      </c>
      <c r="AG5">
        <f>IF($AF5="","","D")</f>
        <v/>
      </c>
      <c r="AH5">
        <f>IF($AF5="","","all")</f>
        <v/>
      </c>
      <c r="AI5">
        <f>IF($AF5="","","all")</f>
        <v/>
      </c>
      <c r="AJ5">
        <f>IF($AF5="","","all")</f>
        <v/>
      </c>
      <c r="AK5">
        <f>IF($AF5="","",0)</f>
        <v/>
      </c>
      <c r="AL5">
        <f>IF($AF5="","",FALSE)</f>
        <v/>
      </c>
      <c r="AM5">
        <f>IF($AF5="","",'Hidden_Value_Audit'!F5)</f>
        <v/>
      </c>
      <c r="AN5">
        <f>IF($AF5="","",'Hidden_Value_Audit'!G5)</f>
        <v/>
      </c>
      <c r="AO5">
        <f>IF('Hidden_Value_Audit'!H5="","",'Hidden_Value_Audit'!H5)</f>
        <v/>
      </c>
      <c r="AP5">
        <f>IF($AF5="","",'Hidden_Value_Audit'!I5)</f>
        <v/>
      </c>
      <c r="AQ5">
        <f>IF($AF5="","",IF($AH5="all",AND(COUNTIFS($B$2:$B$92,$AF5,$D$2:$D$92,"predicate",$E$2:$E$92,"eligibility")&gt;0,COUNTIFS($B$2:$B$92,$AF5,$D$2:$D$92,"predicate",$E$2:$E$92,"eligibility",$Z$2:$Z$92,TRUE)=COUNTIFS($B$2:$B$92,$AF5,$D$2:$D$92,"predicate",$E$2:$E$92,"eligibility")),COUNTIFS($B$2:$B$92,$AF5,$D$2:$D$92,"predicate",$E$2:$E$92,"eligibility",$Z$2:$Z$92,TRUE)&gt;0))</f>
        <v/>
      </c>
      <c r="AR5">
        <f>IF($AF5="","",IF($AI5="all",AND(COUNTIFS($B$2:$B$92,$AF5,$D$2:$D$92,"predicate",$E$2:$E$92,"trigger")&gt;0,COUNTIFS($B$2:$B$92,$AF5,$D$2:$D$92,"predicate",$E$2:$E$92,"trigger",$Z$2:$Z$92,TRUE)=COUNTIFS($B$2:$B$92,$AF5,$D$2:$D$92,"predicate",$E$2:$E$92,"trigger")),COUNTIFS($B$2:$B$92,$AF5,$D$2:$D$92,"predicate",$E$2:$E$92,"trigger",$Z$2:$Z$92,TRUE)&gt;0))</f>
        <v/>
      </c>
      <c r="AS5">
        <f>IF($AF5="","",AND(IF($AJ5="all",AND(COUNTIFS($B$2:$B$92,$AF5,$D$2:$D$92,"predicate",$E$2:$E$92,"near_miss")&gt;0,COUNTIFS($B$2:$B$92,$AF5,$D$2:$D$92,"predicate",$E$2:$E$92,"near_miss",$Z$2:$Z$92,TRUE)=COUNTIFS($B$2:$B$92,$AF5,$D$2:$D$92,"predicate",$E$2:$E$92,"near_miss")),COUNTIFS($B$2:$B$92,$AF5,$D$2:$D$92,"predicate",$E$2:$E$92,"near_miss",$Z$2:$Z$92,TRUE)&gt;0),COUNTIFS($B$2:$B$92,$AF5,$D$2:$D$92,"predicate",$E$2:$E$92,"trigger",$Z$2:$Z$92,TRUE)&gt;=$AK5))</f>
        <v/>
      </c>
      <c r="AT5" s="553">
        <f>IF($AF5="","",SUMIFS($AA$2:$AA$92,$B$2:$B$92,$AF5,$D$2:$D$92,"score_component"))</f>
        <v/>
      </c>
      <c r="AU5" s="552">
        <f>IF($AF5="","",IF(OR(COUNTIFS($B$2:$B$92,$AF5,$D$2:$D$92,"score_component",$K$2:$K$92,TRUE,$Z$2:$Z$92,FALSE)&gt;0,$AT5&lt;=0,AND(NOT($AL5),ABS($AT5-100)&gt;1E-10)),"",IF(ABS(MAX(0,MIN(100,SUMIFS($AC$2:$AC$92,$B$2:$B$92,$AF5,$D$2:$D$92,"score_component")*100/$AT5))-INT(MAX(0,MIN(100,SUMIFS($AC$2:$AC$92,$B$2:$B$92,$AF5,$D$2:$D$92,"score_component")*100/$AT5)))-0.5)&lt;=1E-12,IF(MOD(INT(MAX(0,MIN(100,SUMIFS($AC$2:$AC$92,$B$2:$B$92,$AF5,$D$2:$D$92,"score_component")*100/$AT5))),2)=0,INT(MAX(0,MIN(100,SUMIFS($AC$2:$AC$92,$B$2:$B$92,$AF5,$D$2:$D$92,"score_component")*100/$AT5))),INT(MAX(0,MIN(100,SUMIFS($AC$2:$AC$92,$B$2:$B$92,$AF5,$D$2:$D$92,"score_component")*100/$AT5)))+1),ROUND(MAX(0,MIN(100,SUMIFS($AC$2:$AC$92,$B$2:$B$92,$AF5,$D$2:$D$92,"score_component")*100/$AT5)),0))))</f>
        <v/>
      </c>
      <c r="AV5">
        <f>IF($AF5="","",IF(NOT('Hidden_Value_Audit'!$Q5),"unavailable",IF(COUNTIFS($B$2:$B$92,$AF5,$D$2:$D$92,"required_metric",$Y$2:$Y$92,"invalid_input")&gt;0,"invalid_input",IF(COUNTIFS($B$2:$B$92,$AF5,$D$2:$D$92,"required_metric",$Y$2:$Y$92,"insufficient_evidence")&gt;0,"insufficient_evidence",IF(COUNTIFS($B$2:$B$92,$AF5,$D$2:$D$92,"required_metric",$Z$2:$Z$92,FALSE)&gt;0,"unavailable",IF(NOT($AQ5),"not_triggered",IF(COUNTIFS($B$2:$B$92,$AF5,$D$2:$D$92,"predicate",$E$2:$E$92,"trigger",$Z$2:$Z$92,"&lt;&gt;")=0,"insufficient_evidence",IF(AND($AR5,$AU5=""),"insufficient_evidence",IF($AR5,"triggered",IF($AS5,"near_miss","not_triggered"))))))))))</f>
        <v/>
      </c>
      <c r="AW5">
        <f>IF($AF5="","",$AV5="triggered")</f>
        <v/>
      </c>
      <c r="AX5">
        <f>IF($AF5="","",IF(AND(IF(OR($AV5="",$AM5=""),AND($AV5="",$AM5=""),IF(AND(ISNUMBER($AV5),ISNUMBER($AM5)),ABS($AV5-$AM5)&lt;=1E-10,$AV5=$AM5)),IF(OR($AW5="",$AN5=""),AND($AW5="",$AN5=""),IF(AND(ISNUMBER($AW5),ISNUMBER($AN5)),ABS($AW5-$AN5)&lt;=1E-10,$AW5=$AN5)),IF(OR($AU5="",$AO5=""),AND($AU5="",$AO5=""),IF(AND(ISNUMBER($AU5),ISNUMBER($AO5)),ABS($AU5-$AO5)&lt;=1E-10,$AU5=$AO5)),IF(OR($AT5="",$AP5=""),AND($AT5="",$AP5=""),IF(AND(ISNUMBER($AT5),ISNUMBER($AP5)),ABS($AT5-$AP5)&lt;=1E-10,$AT5=$AP5)),(COUNTIFS($B$2:$B$92,$AF5,$AD$2:$AD$92,"&lt;&gt;PASS")=0)),"PASS","FAIL"))</f>
        <v/>
      </c>
    </row>
    <row r="6">
      <c r="X6" s="553">
        <f>IF(OR(IFERROR(INDEX(HV_Base_Status,MATCH($G6,HV_Base_MetricKey,0)),"")="source_backed",IFERROR(INDEX(HV_Base_Status,MATCH($G6,HV_Base_MetricKey,0)),"")="formula_calculated",IFERROR(INDEX(HV_Base_Status,MATCH($G6,HV_Base_MetricKey,0)),"")="derived_calculated"),IFERROR(INDEX(HV_Base_Value,MATCH($G6,HV_Base_MetricKey,0)),""),"")</f>
        <v/>
      </c>
      <c r="Y6">
        <f>IFERROR(INDEX(HV_Base_Status,MATCH($G6,HV_Base_MetricKey,0)),"")</f>
        <v/>
      </c>
      <c r="Z6">
        <f>IF($G6="","",AND(ISNUMBER($X6),OR($Y6="source_backed",$Y6="formula_calculated",$Y6="derived_calculated")))</f>
        <v/>
      </c>
      <c r="AA6">
        <f>""</f>
        <v/>
      </c>
      <c r="AB6">
        <f>""</f>
        <v/>
      </c>
      <c r="AC6">
        <f>""</f>
        <v/>
      </c>
      <c r="AD6">
        <f>IF(AND(IF(OR($X6="",$Q6=""),AND($X6="",$Q6=""),IF(AND(ISNUMBER($X6),ISNUMBER($Q6)),ABS($X6-$Q6)&lt;=1E-10,$X6=$Q6)),IF(OR($Y6="",$W6=""),AND($Y6="",$W6=""),IF(AND(ISNUMBER($Y6),ISNUMBER($W6)),ABS($Y6-$W6)&lt;=1E-10,$Y6=$W6)),IF(OR($Z6="",$S6=""),AND($Z6="",$S6=""),IF(AND(ISNUMBER($Z6),ISNUMBER($S6)),ABS($Z6-$S6)&lt;=1E-10,$Z6=$S6))),"PASS","FAIL")</f>
        <v/>
      </c>
      <c r="AF6">
        <f>IF('Hidden_Value_Audit'!A6="","",'Hidden_Value_Audit'!A6)</f>
        <v/>
      </c>
      <c r="AG6">
        <f>IF($AF6="","","E")</f>
        <v/>
      </c>
      <c r="AH6">
        <f>IF($AF6="","","all")</f>
        <v/>
      </c>
      <c r="AI6">
        <f>IF($AF6="","","all")</f>
        <v/>
      </c>
      <c r="AJ6">
        <f>IF($AF6="","","all")</f>
        <v/>
      </c>
      <c r="AK6">
        <f>IF($AF6="","",0)</f>
        <v/>
      </c>
      <c r="AL6">
        <f>IF($AF6="","",FALSE)</f>
        <v/>
      </c>
      <c r="AM6">
        <f>IF($AF6="","",'Hidden_Value_Audit'!F6)</f>
        <v/>
      </c>
      <c r="AN6">
        <f>IF($AF6="","",'Hidden_Value_Audit'!G6)</f>
        <v/>
      </c>
      <c r="AO6">
        <f>IF('Hidden_Value_Audit'!H6="","",'Hidden_Value_Audit'!H6)</f>
        <v/>
      </c>
      <c r="AP6">
        <f>IF($AF6="","",'Hidden_Value_Audit'!I6)</f>
        <v/>
      </c>
      <c r="AQ6">
        <f>IF($AF6="","",IF($AH6="all",AND(COUNTIFS($B$2:$B$92,$AF6,$D$2:$D$92,"predicate",$E$2:$E$92,"eligibility")&gt;0,COUNTIFS($B$2:$B$92,$AF6,$D$2:$D$92,"predicate",$E$2:$E$92,"eligibility",$Z$2:$Z$92,TRUE)=COUNTIFS($B$2:$B$92,$AF6,$D$2:$D$92,"predicate",$E$2:$E$92,"eligibility")),COUNTIFS($B$2:$B$92,$AF6,$D$2:$D$92,"predicate",$E$2:$E$92,"eligibility",$Z$2:$Z$92,TRUE)&gt;0))</f>
        <v/>
      </c>
      <c r="AR6">
        <f>IF($AF6="","",IF($AI6="all",AND(COUNTIFS($B$2:$B$92,$AF6,$D$2:$D$92,"predicate",$E$2:$E$92,"trigger")&gt;0,COUNTIFS($B$2:$B$92,$AF6,$D$2:$D$92,"predicate",$E$2:$E$92,"trigger",$Z$2:$Z$92,TRUE)=COUNTIFS($B$2:$B$92,$AF6,$D$2:$D$92,"predicate",$E$2:$E$92,"trigger")),COUNTIFS($B$2:$B$92,$AF6,$D$2:$D$92,"predicate",$E$2:$E$92,"trigger",$Z$2:$Z$92,TRUE)&gt;0))</f>
        <v/>
      </c>
      <c r="AS6">
        <f>IF($AF6="","",AND(IF($AJ6="all",AND(COUNTIFS($B$2:$B$92,$AF6,$D$2:$D$92,"predicate",$E$2:$E$92,"near_miss")&gt;0,COUNTIFS($B$2:$B$92,$AF6,$D$2:$D$92,"predicate",$E$2:$E$92,"near_miss",$Z$2:$Z$92,TRUE)=COUNTIFS($B$2:$B$92,$AF6,$D$2:$D$92,"predicate",$E$2:$E$92,"near_miss")),COUNTIFS($B$2:$B$92,$AF6,$D$2:$D$92,"predicate",$E$2:$E$92,"near_miss",$Z$2:$Z$92,TRUE)&gt;0),COUNTIFS($B$2:$B$92,$AF6,$D$2:$D$92,"predicate",$E$2:$E$92,"trigger",$Z$2:$Z$92,TRUE)&gt;=$AK6))</f>
        <v/>
      </c>
      <c r="AT6" s="553">
        <f>IF($AF6="","",SUMIFS($AA$2:$AA$92,$B$2:$B$92,$AF6,$D$2:$D$92,"score_component"))</f>
        <v/>
      </c>
      <c r="AU6" s="552">
        <f>IF($AF6="","",IF(OR(COUNTIFS($B$2:$B$92,$AF6,$D$2:$D$92,"score_component",$K$2:$K$92,TRUE,$Z$2:$Z$92,FALSE)&gt;0,$AT6&lt;=0,AND(NOT($AL6),ABS($AT6-100)&gt;1E-10)),"",IF(ABS(MAX(0,MIN(100,SUMIFS($AC$2:$AC$92,$B$2:$B$92,$AF6,$D$2:$D$92,"score_component")*100/$AT6))-INT(MAX(0,MIN(100,SUMIFS($AC$2:$AC$92,$B$2:$B$92,$AF6,$D$2:$D$92,"score_component")*100/$AT6)))-0.5)&lt;=1E-12,IF(MOD(INT(MAX(0,MIN(100,SUMIFS($AC$2:$AC$92,$B$2:$B$92,$AF6,$D$2:$D$92,"score_component")*100/$AT6))),2)=0,INT(MAX(0,MIN(100,SUMIFS($AC$2:$AC$92,$B$2:$B$92,$AF6,$D$2:$D$92,"score_component")*100/$AT6))),INT(MAX(0,MIN(100,SUMIFS($AC$2:$AC$92,$B$2:$B$92,$AF6,$D$2:$D$92,"score_component")*100/$AT6)))+1),ROUND(MAX(0,MIN(100,SUMIFS($AC$2:$AC$92,$B$2:$B$92,$AF6,$D$2:$D$92,"score_component")*100/$AT6)),0))))</f>
        <v/>
      </c>
      <c r="AV6">
        <f>IF($AF6="","",IF(NOT('Hidden_Value_Audit'!$Q6),"unavailable",IF(COUNTIFS($B$2:$B$92,$AF6,$D$2:$D$92,"required_metric",$Y$2:$Y$92,"invalid_input")&gt;0,"invalid_input",IF(COUNTIFS($B$2:$B$92,$AF6,$D$2:$D$92,"required_metric",$Y$2:$Y$92,"insufficient_evidence")&gt;0,"insufficient_evidence",IF(COUNTIFS($B$2:$B$92,$AF6,$D$2:$D$92,"required_metric",$Z$2:$Z$92,FALSE)&gt;0,"unavailable",IF(NOT($AQ6),"not_triggered",IF(COUNTIFS($B$2:$B$92,$AF6,$D$2:$D$92,"predicate",$E$2:$E$92,"trigger",$Z$2:$Z$92,"&lt;&gt;")=0,"insufficient_evidence",IF(AND($AR6,$AU6=""),"insufficient_evidence",IF($AR6,"triggered",IF($AS6,"near_miss","not_triggered"))))))))))</f>
        <v/>
      </c>
      <c r="AW6">
        <f>IF($AF6="","",$AV6="triggered")</f>
        <v/>
      </c>
      <c r="AX6">
        <f>IF($AF6="","",IF(AND(IF(OR($AV6="",$AM6=""),AND($AV6="",$AM6=""),IF(AND(ISNUMBER($AV6),ISNUMBER($AM6)),ABS($AV6-$AM6)&lt;=1E-10,$AV6=$AM6)),IF(OR($AW6="",$AN6=""),AND($AW6="",$AN6=""),IF(AND(ISNUMBER($AW6),ISNUMBER($AN6)),ABS($AW6-$AN6)&lt;=1E-10,$AW6=$AN6)),IF(OR($AU6="",$AO6=""),AND($AU6="",$AO6=""),IF(AND(ISNUMBER($AU6),ISNUMBER($AO6)),ABS($AU6-$AO6)&lt;=1E-10,$AU6=$AO6)),IF(OR($AT6="",$AP6=""),AND($AT6="",$AP6=""),IF(AND(ISNUMBER($AT6),ISNUMBER($AP6)),ABS($AT6-$AP6)&lt;=1E-10,$AT6=$AP6)),(COUNTIFS($B$2:$B$92,$AF6,$AD$2:$AD$92,"&lt;&gt;PASS")=0)),"PASS","FAIL"))</f>
        <v/>
      </c>
    </row>
    <row r="7">
      <c r="X7" s="553">
        <f>IF(OR(IFERROR(INDEX(HV_Base_Status,MATCH($G7,HV_Base_MetricKey,0)),"")="source_backed",IFERROR(INDEX(HV_Base_Status,MATCH($G7,HV_Base_MetricKey,0)),"")="formula_calculated",IFERROR(INDEX(HV_Base_Status,MATCH($G7,HV_Base_MetricKey,0)),"")="derived_calculated"),IFERROR(INDEX(HV_Base_Value,MATCH($G7,HV_Base_MetricKey,0)),""),"")</f>
        <v/>
      </c>
      <c r="Y7">
        <f>IFERROR(INDEX(HV_Base_Status,MATCH($G7,HV_Base_MetricKey,0)),"")</f>
        <v/>
      </c>
      <c r="Z7">
        <f>IF($G7="","",AND(ISNUMBER($X7),OR($Y7="source_backed",$Y7="formula_calculated",$Y7="derived_calculated")))</f>
        <v/>
      </c>
      <c r="AA7">
        <f>""</f>
        <v/>
      </c>
      <c r="AB7">
        <f>""</f>
        <v/>
      </c>
      <c r="AC7">
        <f>""</f>
        <v/>
      </c>
      <c r="AD7">
        <f>IF(AND(IF(OR($X7="",$Q7=""),AND($X7="",$Q7=""),IF(AND(ISNUMBER($X7),ISNUMBER($Q7)),ABS($X7-$Q7)&lt;=1E-10,$X7=$Q7)),IF(OR($Y7="",$W7=""),AND($Y7="",$W7=""),IF(AND(ISNUMBER($Y7),ISNUMBER($W7)),ABS($Y7-$W7)&lt;=1E-10,$Y7=$W7)),IF(OR($Z7="",$S7=""),AND($Z7="",$S7=""),IF(AND(ISNUMBER($Z7),ISNUMBER($S7)),ABS($Z7-$S7)&lt;=1E-10,$Z7=$S7))),"PASS","FAIL")</f>
        <v/>
      </c>
      <c r="AF7">
        <f>IF('Hidden_Value_Audit'!A7="","",'Hidden_Value_Audit'!A7)</f>
        <v/>
      </c>
      <c r="AG7">
        <f>IF($AF7="","","F")</f>
        <v/>
      </c>
      <c r="AH7">
        <f>IF($AF7="","","all")</f>
        <v/>
      </c>
      <c r="AI7">
        <f>IF($AF7="","","all")</f>
        <v/>
      </c>
      <c r="AJ7">
        <f>IF($AF7="","","all")</f>
        <v/>
      </c>
      <c r="AK7">
        <f>IF($AF7="","",0)</f>
        <v/>
      </c>
      <c r="AL7">
        <f>IF($AF7="","",TRUE)</f>
        <v/>
      </c>
      <c r="AM7">
        <f>IF($AF7="","",'Hidden_Value_Audit'!F7)</f>
        <v/>
      </c>
      <c r="AN7">
        <f>IF($AF7="","",'Hidden_Value_Audit'!G7)</f>
        <v/>
      </c>
      <c r="AO7">
        <f>IF('Hidden_Value_Audit'!H7="","",'Hidden_Value_Audit'!H7)</f>
        <v/>
      </c>
      <c r="AP7">
        <f>IF($AF7="","",'Hidden_Value_Audit'!I7)</f>
        <v/>
      </c>
      <c r="AQ7">
        <f>IF($AF7="","",IF($AH7="all",AND(COUNTIFS($B$2:$B$92,$AF7,$D$2:$D$92,"predicate",$E$2:$E$92,"eligibility")&gt;0,COUNTIFS($B$2:$B$92,$AF7,$D$2:$D$92,"predicate",$E$2:$E$92,"eligibility",$Z$2:$Z$92,TRUE)=COUNTIFS($B$2:$B$92,$AF7,$D$2:$D$92,"predicate",$E$2:$E$92,"eligibility")),COUNTIFS($B$2:$B$92,$AF7,$D$2:$D$92,"predicate",$E$2:$E$92,"eligibility",$Z$2:$Z$92,TRUE)&gt;0))</f>
        <v/>
      </c>
      <c r="AR7">
        <f>IF($AF7="","",IF($AI7="all",AND(COUNTIFS($B$2:$B$92,$AF7,$D$2:$D$92,"predicate",$E$2:$E$92,"trigger")&gt;0,COUNTIFS($B$2:$B$92,$AF7,$D$2:$D$92,"predicate",$E$2:$E$92,"trigger",$Z$2:$Z$92,TRUE)=COUNTIFS($B$2:$B$92,$AF7,$D$2:$D$92,"predicate",$E$2:$E$92,"trigger")),COUNTIFS($B$2:$B$92,$AF7,$D$2:$D$92,"predicate",$E$2:$E$92,"trigger",$Z$2:$Z$92,TRUE)&gt;0))</f>
        <v/>
      </c>
      <c r="AS7">
        <f>IF($AF7="","",AND(IF($AJ7="all",AND(COUNTIFS($B$2:$B$92,$AF7,$D$2:$D$92,"predicate",$E$2:$E$92,"near_miss")&gt;0,COUNTIFS($B$2:$B$92,$AF7,$D$2:$D$92,"predicate",$E$2:$E$92,"near_miss",$Z$2:$Z$92,TRUE)=COUNTIFS($B$2:$B$92,$AF7,$D$2:$D$92,"predicate",$E$2:$E$92,"near_miss")),COUNTIFS($B$2:$B$92,$AF7,$D$2:$D$92,"predicate",$E$2:$E$92,"near_miss",$Z$2:$Z$92,TRUE)&gt;0),COUNTIFS($B$2:$B$92,$AF7,$D$2:$D$92,"predicate",$E$2:$E$92,"trigger",$Z$2:$Z$92,TRUE)&gt;=$AK7))</f>
        <v/>
      </c>
      <c r="AT7" s="553">
        <f>IF($AF7="","",SUMIFS($AA$2:$AA$92,$B$2:$B$92,$AF7,$D$2:$D$92,"score_component"))</f>
        <v/>
      </c>
      <c r="AU7" s="552">
        <f>IF($AF7="","",IF(OR(COUNTIFS($B$2:$B$92,$AF7,$D$2:$D$92,"score_component",$K$2:$K$92,TRUE,$Z$2:$Z$92,FALSE)&gt;0,$AT7&lt;=0,AND(NOT($AL7),ABS($AT7-100)&gt;1E-10)),"",IF(ABS(MAX(0,MIN(100,SUMIFS($AC$2:$AC$92,$B$2:$B$92,$AF7,$D$2:$D$92,"score_component")*100/$AT7))-INT(MAX(0,MIN(100,SUMIFS($AC$2:$AC$92,$B$2:$B$92,$AF7,$D$2:$D$92,"score_component")*100/$AT7)))-0.5)&lt;=1E-12,IF(MOD(INT(MAX(0,MIN(100,SUMIFS($AC$2:$AC$92,$B$2:$B$92,$AF7,$D$2:$D$92,"score_component")*100/$AT7))),2)=0,INT(MAX(0,MIN(100,SUMIFS($AC$2:$AC$92,$B$2:$B$92,$AF7,$D$2:$D$92,"score_component")*100/$AT7))),INT(MAX(0,MIN(100,SUMIFS($AC$2:$AC$92,$B$2:$B$92,$AF7,$D$2:$D$92,"score_component")*100/$AT7)))+1),ROUND(MAX(0,MIN(100,SUMIFS($AC$2:$AC$92,$B$2:$B$92,$AF7,$D$2:$D$92,"score_component")*100/$AT7)),0))))</f>
        <v/>
      </c>
      <c r="AV7">
        <f>IF($AF7="","",IF(NOT('Hidden_Value_Audit'!$Q7),"unavailable",IF(COUNTIFS($B$2:$B$92,$AF7,$D$2:$D$92,"required_metric",$Y$2:$Y$92,"invalid_input")&gt;0,"invalid_input",IF(COUNTIFS($B$2:$B$92,$AF7,$D$2:$D$92,"required_metric",$Y$2:$Y$92,"insufficient_evidence")&gt;0,"insufficient_evidence",IF(COUNTIFS($B$2:$B$92,$AF7,$D$2:$D$92,"required_metric",$Z$2:$Z$92,FALSE)&gt;0,"unavailable",IF(NOT($AQ7),"not_triggered",IF(COUNTIFS($B$2:$B$92,$AF7,$D$2:$D$92,"predicate",$E$2:$E$92,"trigger",$Z$2:$Z$92,"&lt;&gt;")=0,"insufficient_evidence",IF(AND($AR7,$AU7=""),"insufficient_evidence",IF($AR7,"triggered",IF($AS7,"near_miss","not_triggered"))))))))))</f>
        <v/>
      </c>
      <c r="AW7">
        <f>IF($AF7="","",$AV7="triggered")</f>
        <v/>
      </c>
      <c r="AX7">
        <f>IF($AF7="","",IF(AND(IF(OR($AV7="",$AM7=""),AND($AV7="",$AM7=""),IF(AND(ISNUMBER($AV7),ISNUMBER($AM7)),ABS($AV7-$AM7)&lt;=1E-10,$AV7=$AM7)),IF(OR($AW7="",$AN7=""),AND($AW7="",$AN7=""),IF(AND(ISNUMBER($AW7),ISNUMBER($AN7)),ABS($AW7-$AN7)&lt;=1E-10,$AW7=$AN7)),IF(OR($AU7="",$AO7=""),AND($AU7="",$AO7=""),IF(AND(ISNUMBER($AU7),ISNUMBER($AO7)),ABS($AU7-$AO7)&lt;=1E-10,$AU7=$AO7)),IF(OR($AT7="",$AP7=""),AND($AT7="",$AP7=""),IF(AND(ISNUMBER($AT7),ISNUMBER($AP7)),ABS($AT7-$AP7)&lt;=1E-10,$AT7=$AP7)),(COUNTIFS($B$2:$B$92,$AF7,$AD$2:$AD$92,"&lt;&gt;PASS")=0)),"PASS","FAIL"))</f>
        <v/>
      </c>
    </row>
    <row r="8">
      <c r="X8" s="553">
        <f>IF(IFERROR(INDEX('Hidden_Value_Audit'!$Q$2:$Q$8,MATCH($B8,'Hidden_Value_Audit'!$A$2:$A$8,0)),FALSE),IF(OR(IFERROR(INDEX(HV_Base_Status,MATCH($G8,HV_Base_MetricKey,0)),"")="source_backed",IFERROR(INDEX(HV_Base_Status,MATCH($G8,HV_Base_MetricKey,0)),"")="formula_calculated",IFERROR(INDEX(HV_Base_Status,MATCH($G8,HV_Base_MetricKey,0)),"")="derived_calculated"),IFERROR(INDEX(HV_Base_Value,MATCH($G8,HV_Base_MetricKey,0)),""),""),"")</f>
        <v/>
      </c>
      <c r="Y8" s="553">
        <f>IF(NOT(IFERROR(INDEX('Hidden_Value_Audit'!$Q$2:$Q$8,MATCH($B8,'Hidden_Value_Audit'!$A$2:$A$8,0)),FALSE)),"",IF($I8&lt;&gt;"",IF(OR(IFERROR(INDEX(HV_Base_Status,MATCH($I8,HV_Base_MetricKey,0)),"")="source_backed",IFERROR(INDEX(HV_Base_Status,MATCH($I8,HV_Base_MetricKey,0)),"")="formula_calculated",IFERROR(INDEX(HV_Base_Status,MATCH($I8,HV_Base_MetricKey,0)),"")="derived_calculated"),IFERROR(INDEX(HV_Base_Value,MATCH($I8,HV_Base_MetricKey,0)),""),""),IF($J8="","",$J8)))</f>
        <v/>
      </c>
      <c r="Z8">
        <f>IF(OR($X8="",$Y8=""),"",IF($H8="gt",$X8&gt;$Y8,IF($H8="gte",$X8&gt;=$Y8,IF($H8="lt",$X8&lt;$Y8,IF($H8="lte",$X8&lt;=$Y8,IF($H8="eq",$X8=$Y8,FALSE))))))</f>
        <v/>
      </c>
      <c r="AA8">
        <f>""</f>
        <v/>
      </c>
      <c r="AB8">
        <f>""</f>
        <v/>
      </c>
      <c r="AC8">
        <f>""</f>
        <v/>
      </c>
      <c r="AD8">
        <f>IF(AND(IF(OR($X8="",$Q8=""),AND($X8="",$Q8=""),IF(AND(ISNUMBER($X8),ISNUMBER($Q8)),ABS($X8-$Q8)&lt;=1E-10,$X8=$Q8)),IF(OR($Y8="",$R8=""),AND($Y8="",$R8=""),IF(AND(ISNUMBER($Y8),ISNUMBER($R8)),ABS($Y8-$R8)&lt;=1E-10,$Y8=$R8)),IF(OR($Z8="",$S8=""),AND($Z8="",$S8=""),IF(AND(ISNUMBER($Z8),ISNUMBER($S8)),ABS($Z8-$S8)&lt;=1E-10,$Z8=$S8)),(IF(NOT(IFERROR(INDEX('Hidden_Value_Audit'!$Q$2:$Q$8,MATCH($B8,'Hidden_Value_Audit'!$A$2:$A$8,0)),FALSE)),"module_or_profile_pack_disabled",IF($Z8="","predicate_input_unavailable",IF($Z8,"passed","failed")))=$W8)),"PASS","FAIL")</f>
        <v/>
      </c>
      <c r="AF8">
        <f>IF('Hidden_Value_Audit'!A8="","",'Hidden_Value_Audit'!A8)</f>
        <v/>
      </c>
      <c r="AG8">
        <f>IF($AF8="","","G")</f>
        <v/>
      </c>
      <c r="AH8">
        <f>IF($AF8="","","all")</f>
        <v/>
      </c>
      <c r="AI8">
        <f>IF($AF8="","","any")</f>
        <v/>
      </c>
      <c r="AJ8">
        <f>IF($AF8="","","all")</f>
        <v/>
      </c>
      <c r="AK8">
        <f>IF($AF8="","",0)</f>
        <v/>
      </c>
      <c r="AL8">
        <f>IF($AF8="","",TRUE)</f>
        <v/>
      </c>
      <c r="AM8">
        <f>IF($AF8="","",'Hidden_Value_Audit'!F8)</f>
        <v/>
      </c>
      <c r="AN8">
        <f>IF($AF8="","",'Hidden_Value_Audit'!G8)</f>
        <v/>
      </c>
      <c r="AO8">
        <f>IF('Hidden_Value_Audit'!H8="","",'Hidden_Value_Audit'!H8)</f>
        <v/>
      </c>
      <c r="AP8">
        <f>IF($AF8="","",'Hidden_Value_Audit'!I8)</f>
        <v/>
      </c>
      <c r="AQ8">
        <f>IF($AF8="","",IF($AH8="all",AND(COUNTIFS($B$2:$B$92,$AF8,$D$2:$D$92,"predicate",$E$2:$E$92,"eligibility")&gt;0,COUNTIFS($B$2:$B$92,$AF8,$D$2:$D$92,"predicate",$E$2:$E$92,"eligibility",$Z$2:$Z$92,TRUE)=COUNTIFS($B$2:$B$92,$AF8,$D$2:$D$92,"predicate",$E$2:$E$92,"eligibility")),COUNTIFS($B$2:$B$92,$AF8,$D$2:$D$92,"predicate",$E$2:$E$92,"eligibility",$Z$2:$Z$92,TRUE)&gt;0))</f>
        <v/>
      </c>
      <c r="AR8">
        <f>IF($AF8="","",IF($AI8="all",AND(COUNTIFS($B$2:$B$92,$AF8,$D$2:$D$92,"predicate",$E$2:$E$92,"trigger")&gt;0,COUNTIFS($B$2:$B$92,$AF8,$D$2:$D$92,"predicate",$E$2:$E$92,"trigger",$Z$2:$Z$92,TRUE)=COUNTIFS($B$2:$B$92,$AF8,$D$2:$D$92,"predicate",$E$2:$E$92,"trigger")),COUNTIFS($B$2:$B$92,$AF8,$D$2:$D$92,"predicate",$E$2:$E$92,"trigger",$Z$2:$Z$92,TRUE)&gt;0))</f>
        <v/>
      </c>
      <c r="AS8">
        <f>IF($AF8="","",AND(IF($AJ8="all",AND(COUNTIFS($B$2:$B$92,$AF8,$D$2:$D$92,"predicate",$E$2:$E$92,"near_miss")&gt;0,COUNTIFS($B$2:$B$92,$AF8,$D$2:$D$92,"predicate",$E$2:$E$92,"near_miss",$Z$2:$Z$92,TRUE)=COUNTIFS($B$2:$B$92,$AF8,$D$2:$D$92,"predicate",$E$2:$E$92,"near_miss")),COUNTIFS($B$2:$B$92,$AF8,$D$2:$D$92,"predicate",$E$2:$E$92,"near_miss",$Z$2:$Z$92,TRUE)&gt;0),COUNTIFS($B$2:$B$92,$AF8,$D$2:$D$92,"predicate",$E$2:$E$92,"trigger",$Z$2:$Z$92,TRUE)&gt;=$AK8))</f>
        <v/>
      </c>
      <c r="AT8" s="553">
        <f>IF($AF8="","",SUMIFS($AA$2:$AA$92,$B$2:$B$92,$AF8,$D$2:$D$92,"score_component"))</f>
        <v/>
      </c>
      <c r="AU8" s="552">
        <f>IF($AF8="","",IF(OR(COUNTIFS($B$2:$B$92,$AF8,$D$2:$D$92,"score_component",$K$2:$K$92,TRUE,$Z$2:$Z$92,FALSE)&gt;0,$AT8&lt;=0,AND(NOT($AL8),ABS($AT8-100)&gt;1E-10)),"",IF(ABS(MAX(0,MIN(100,SUMIFS($AC$2:$AC$92,$B$2:$B$92,$AF8,$D$2:$D$92,"score_component")*100/$AT8))-INT(MAX(0,MIN(100,SUMIFS($AC$2:$AC$92,$B$2:$B$92,$AF8,$D$2:$D$92,"score_component")*100/$AT8)))-0.5)&lt;=1E-12,IF(MOD(INT(MAX(0,MIN(100,SUMIFS($AC$2:$AC$92,$B$2:$B$92,$AF8,$D$2:$D$92,"score_component")*100/$AT8))),2)=0,INT(MAX(0,MIN(100,SUMIFS($AC$2:$AC$92,$B$2:$B$92,$AF8,$D$2:$D$92,"score_component")*100/$AT8))),INT(MAX(0,MIN(100,SUMIFS($AC$2:$AC$92,$B$2:$B$92,$AF8,$D$2:$D$92,"score_component")*100/$AT8)))+1),ROUND(MAX(0,MIN(100,SUMIFS($AC$2:$AC$92,$B$2:$B$92,$AF8,$D$2:$D$92,"score_component")*100/$AT8)),0))))</f>
        <v/>
      </c>
      <c r="AV8">
        <f>IF($AF8="","",IF(NOT('Hidden_Value_Audit'!$Q8),"unavailable",IF(COUNTIFS($B$2:$B$92,$AF8,$D$2:$D$92,"required_metric",$Y$2:$Y$92,"invalid_input")&gt;0,"invalid_input",IF(COUNTIFS($B$2:$B$92,$AF8,$D$2:$D$92,"required_metric",$Y$2:$Y$92,"insufficient_evidence")&gt;0,"insufficient_evidence",IF(COUNTIFS($B$2:$B$92,$AF8,$D$2:$D$92,"required_metric",$Z$2:$Z$92,FALSE)&gt;0,"unavailable",IF(NOT($AQ8),"not_triggered",IF(COUNTIFS($B$2:$B$92,$AF8,$D$2:$D$92,"predicate",$E$2:$E$92,"trigger",$Z$2:$Z$92,"&lt;&gt;")=0,"insufficient_evidence",IF(AND($AR8,$AU8=""),"insufficient_evidence",IF($AR8,"triggered",IF($AS8,"near_miss","not_triggered"))))))))))</f>
        <v/>
      </c>
      <c r="AW8">
        <f>IF($AF8="","",$AV8="triggered")</f>
        <v/>
      </c>
      <c r="AX8">
        <f>IF($AF8="","",IF(AND(IF(OR($AV8="",$AM8=""),AND($AV8="",$AM8=""),IF(AND(ISNUMBER($AV8),ISNUMBER($AM8)),ABS($AV8-$AM8)&lt;=1E-10,$AV8=$AM8)),IF(OR($AW8="",$AN8=""),AND($AW8="",$AN8=""),IF(AND(ISNUMBER($AW8),ISNUMBER($AN8)),ABS($AW8-$AN8)&lt;=1E-10,$AW8=$AN8)),IF(OR($AU8="",$AO8=""),AND($AU8="",$AO8=""),IF(AND(ISNUMBER($AU8),ISNUMBER($AO8)),ABS($AU8-$AO8)&lt;=1E-10,$AU8=$AO8)),IF(OR($AT8="",$AP8=""),AND($AT8="",$AP8=""),IF(AND(ISNUMBER($AT8),ISNUMBER($AP8)),ABS($AT8-$AP8)&lt;=1E-10,$AT8=$AP8)),(COUNTIFS($B$2:$B$92,$AF8,$AD$2:$AD$92,"&lt;&gt;PASS")=0)),"PASS","FAIL"))</f>
        <v/>
      </c>
    </row>
    <row r="9">
      <c r="X9" s="553">
        <f>IF(IFERROR(INDEX('Hidden_Value_Audit'!$Q$2:$Q$8,MATCH($B9,'Hidden_Value_Audit'!$A$2:$A$8,0)),FALSE),IF(OR(IFERROR(INDEX(HV_Base_Status,MATCH($G9,HV_Base_MetricKey,0)),"")="source_backed",IFERROR(INDEX(HV_Base_Status,MATCH($G9,HV_Base_MetricKey,0)),"")="formula_calculated",IFERROR(INDEX(HV_Base_Status,MATCH($G9,HV_Base_MetricKey,0)),"")="derived_calculated"),IFERROR(INDEX(HV_Base_Value,MATCH($G9,HV_Base_MetricKey,0)),""),""),"")</f>
        <v/>
      </c>
      <c r="Y9" s="553">
        <f>IF(NOT(IFERROR(INDEX('Hidden_Value_Audit'!$Q$2:$Q$8,MATCH($B9,'Hidden_Value_Audit'!$A$2:$A$8,0)),FALSE)),"",IF($I9&lt;&gt;"",IF(OR(IFERROR(INDEX(HV_Base_Status,MATCH($I9,HV_Base_MetricKey,0)),"")="source_backed",IFERROR(INDEX(HV_Base_Status,MATCH($I9,HV_Base_MetricKey,0)),"")="formula_calculated",IFERROR(INDEX(HV_Base_Status,MATCH($I9,HV_Base_MetricKey,0)),"")="derived_calculated"),IFERROR(INDEX(HV_Base_Value,MATCH($I9,HV_Base_MetricKey,0)),""),""),IF($J9="","",$J9)))</f>
        <v/>
      </c>
      <c r="Z9">
        <f>IF(OR($X9="",$Y9=""),"",IF($H9="gt",$X9&gt;$Y9,IF($H9="gte",$X9&gt;=$Y9,IF($H9="lt",$X9&lt;$Y9,IF($H9="lte",$X9&lt;=$Y9,IF($H9="eq",$X9=$Y9,FALSE))))))</f>
        <v/>
      </c>
      <c r="AA9">
        <f>""</f>
        <v/>
      </c>
      <c r="AB9">
        <f>""</f>
        <v/>
      </c>
      <c r="AC9">
        <f>""</f>
        <v/>
      </c>
      <c r="AD9">
        <f>IF(AND(IF(OR($X9="",$Q9=""),AND($X9="",$Q9=""),IF(AND(ISNUMBER($X9),ISNUMBER($Q9)),ABS($X9-$Q9)&lt;=1E-10,$X9=$Q9)),IF(OR($Y9="",$R9=""),AND($Y9="",$R9=""),IF(AND(ISNUMBER($Y9),ISNUMBER($R9)),ABS($Y9-$R9)&lt;=1E-10,$Y9=$R9)),IF(OR($Z9="",$S9=""),AND($Z9="",$S9=""),IF(AND(ISNUMBER($Z9),ISNUMBER($S9)),ABS($Z9-$S9)&lt;=1E-10,$Z9=$S9)),(IF(NOT(IFERROR(INDEX('Hidden_Value_Audit'!$Q$2:$Q$8,MATCH($B9,'Hidden_Value_Audit'!$A$2:$A$8,0)),FALSE)),"module_or_profile_pack_disabled",IF($Z9="","predicate_input_unavailable",IF($Z9,"passed","failed")))=$W9)),"PASS","FAIL")</f>
        <v/>
      </c>
    </row>
    <row r="10">
      <c r="X10" s="553">
        <f>IF(IFERROR(INDEX('Hidden_Value_Audit'!$Q$2:$Q$8,MATCH($B10,'Hidden_Value_Audit'!$A$2:$A$8,0)),FALSE),IF(OR(IFERROR(INDEX(HV_Base_Status,MATCH($G10,HV_Base_MetricKey,0)),"")="source_backed",IFERROR(INDEX(HV_Base_Status,MATCH($G10,HV_Base_MetricKey,0)),"")="formula_calculated",IFERROR(INDEX(HV_Base_Status,MATCH($G10,HV_Base_MetricKey,0)),"")="derived_calculated"),IFERROR(INDEX(HV_Base_Value,MATCH($G10,HV_Base_MetricKey,0)),""),""),"")</f>
        <v/>
      </c>
      <c r="Y10" s="553">
        <f>IF(NOT(IFERROR(INDEX('Hidden_Value_Audit'!$Q$2:$Q$8,MATCH($B10,'Hidden_Value_Audit'!$A$2:$A$8,0)),FALSE)),"",IF($I10&lt;&gt;"",IF(OR(IFERROR(INDEX(HV_Base_Status,MATCH($I10,HV_Base_MetricKey,0)),"")="source_backed",IFERROR(INDEX(HV_Base_Status,MATCH($I10,HV_Base_MetricKey,0)),"")="formula_calculated",IFERROR(INDEX(HV_Base_Status,MATCH($I10,HV_Base_MetricKey,0)),"")="derived_calculated"),IFERROR(INDEX(HV_Base_Value,MATCH($I10,HV_Base_MetricKey,0)),""),""),IF($J10="","",$J10)))</f>
        <v/>
      </c>
      <c r="Z10">
        <f>IF(OR($X10="",$Y10=""),"",IF($H10="gt",$X10&gt;$Y10,IF($H10="gte",$X10&gt;=$Y10,IF($H10="lt",$X10&lt;$Y10,IF($H10="lte",$X10&lt;=$Y10,IF($H10="eq",$X10=$Y10,FALSE))))))</f>
        <v/>
      </c>
      <c r="AA10">
        <f>""</f>
        <v/>
      </c>
      <c r="AB10">
        <f>""</f>
        <v/>
      </c>
      <c r="AC10">
        <f>""</f>
        <v/>
      </c>
      <c r="AD10">
        <f>IF(AND(IF(OR($X10="",$Q10=""),AND($X10="",$Q10=""),IF(AND(ISNUMBER($X10),ISNUMBER($Q10)),ABS($X10-$Q10)&lt;=1E-10,$X10=$Q10)),IF(OR($Y10="",$R10=""),AND($Y10="",$R10=""),IF(AND(ISNUMBER($Y10),ISNUMBER($R10)),ABS($Y10-$R10)&lt;=1E-10,$Y10=$R10)),IF(OR($Z10="",$S10=""),AND($Z10="",$S10=""),IF(AND(ISNUMBER($Z10),ISNUMBER($S10)),ABS($Z10-$S10)&lt;=1E-10,$Z10=$S10)),(IF(NOT(IFERROR(INDEX('Hidden_Value_Audit'!$Q$2:$Q$8,MATCH($B10,'Hidden_Value_Audit'!$A$2:$A$8,0)),FALSE)),"module_or_profile_pack_disabled",IF($Z10="","predicate_input_unavailable",IF($Z10,"passed","failed")))=$W10)),"PASS","FAIL")</f>
        <v/>
      </c>
    </row>
    <row r="11">
      <c r="X11" s="553">
        <f>IF(IFERROR(INDEX('Hidden_Value_Audit'!$Q$2:$Q$8,MATCH($B11,'Hidden_Value_Audit'!$A$2:$A$8,0)),FALSE),IF(OR(IFERROR(INDEX(HV_Base_Status,MATCH($G11,HV_Base_MetricKey,0)),"")="source_backed",IFERROR(INDEX(HV_Base_Status,MATCH($G11,HV_Base_MetricKey,0)),"")="formula_calculated",IFERROR(INDEX(HV_Base_Status,MATCH($G11,HV_Base_MetricKey,0)),"")="derived_calculated"),IFERROR(INDEX(HV_Base_Value,MATCH($G11,HV_Base_MetricKey,0)),""),""),"")</f>
        <v/>
      </c>
      <c r="Y11" s="553">
        <f>IF(NOT(IFERROR(INDEX('Hidden_Value_Audit'!$Q$2:$Q$8,MATCH($B11,'Hidden_Value_Audit'!$A$2:$A$8,0)),FALSE)),"",IF($I11&lt;&gt;"",IF(OR(IFERROR(INDEX(HV_Base_Status,MATCH($I11,HV_Base_MetricKey,0)),"")="source_backed",IFERROR(INDEX(HV_Base_Status,MATCH($I11,HV_Base_MetricKey,0)),"")="formula_calculated",IFERROR(INDEX(HV_Base_Status,MATCH($I11,HV_Base_MetricKey,0)),"")="derived_calculated"),IFERROR(INDEX(HV_Base_Value,MATCH($I11,HV_Base_MetricKey,0)),""),""),IF($J11="","",$J11)))</f>
        <v/>
      </c>
      <c r="Z11">
        <f>IF(OR($X11="",$Y11=""),"",IF($H11="gt",$X11&gt;$Y11,IF($H11="gte",$X11&gt;=$Y11,IF($H11="lt",$X11&lt;$Y11,IF($H11="lte",$X11&lt;=$Y11,IF($H11="eq",$X11=$Y11,FALSE))))))</f>
        <v/>
      </c>
      <c r="AA11">
        <f>""</f>
        <v/>
      </c>
      <c r="AB11">
        <f>""</f>
        <v/>
      </c>
      <c r="AC11">
        <f>""</f>
        <v/>
      </c>
      <c r="AD11">
        <f>IF(AND(IF(OR($X11="",$Q11=""),AND($X11="",$Q11=""),IF(AND(ISNUMBER($X11),ISNUMBER($Q11)),ABS($X11-$Q11)&lt;=1E-10,$X11=$Q11)),IF(OR($Y11="",$R11=""),AND($Y11="",$R11=""),IF(AND(ISNUMBER($Y11),ISNUMBER($R11)),ABS($Y11-$R11)&lt;=1E-10,$Y11=$R11)),IF(OR($Z11="",$S11=""),AND($Z11="",$S11=""),IF(AND(ISNUMBER($Z11),ISNUMBER($S11)),ABS($Z11-$S11)&lt;=1E-10,$Z11=$S11)),(IF(NOT(IFERROR(INDEX('Hidden_Value_Audit'!$Q$2:$Q$8,MATCH($B11,'Hidden_Value_Audit'!$A$2:$A$8,0)),FALSE)),"module_or_profile_pack_disabled",IF($Z11="","predicate_input_unavailable",IF($Z11,"passed","failed")))=$W11)),"PASS","FAIL")</f>
        <v/>
      </c>
    </row>
    <row r="12">
      <c r="X12" s="553">
        <f>IF(IFERROR(INDEX('Hidden_Value_Audit'!$Q$2:$Q$8,MATCH($B12,'Hidden_Value_Audit'!$A$2:$A$8,0)),FALSE),IF(OR(IFERROR(INDEX(HV_Base_Status,MATCH($G12,HV_Base_MetricKey,0)),"")="source_backed",IFERROR(INDEX(HV_Base_Status,MATCH($G12,HV_Base_MetricKey,0)),"")="formula_calculated",IFERROR(INDEX(HV_Base_Status,MATCH($G12,HV_Base_MetricKey,0)),"")="derived_calculated"),IFERROR(INDEX(HV_Base_Value,MATCH($G12,HV_Base_MetricKey,0)),""),""),"")</f>
        <v/>
      </c>
      <c r="Y12" s="553">
        <f>IF(NOT(IFERROR(INDEX('Hidden_Value_Audit'!$Q$2:$Q$8,MATCH($B12,'Hidden_Value_Audit'!$A$2:$A$8,0)),FALSE)),"",IF($I12&lt;&gt;"",IF(OR(IFERROR(INDEX(HV_Base_Status,MATCH($I12,HV_Base_MetricKey,0)),"")="source_backed",IFERROR(INDEX(HV_Base_Status,MATCH($I12,HV_Base_MetricKey,0)),"")="formula_calculated",IFERROR(INDEX(HV_Base_Status,MATCH($I12,HV_Base_MetricKey,0)),"")="derived_calculated"),IFERROR(INDEX(HV_Base_Value,MATCH($I12,HV_Base_MetricKey,0)),""),""),IF($J12="","",$J12)))</f>
        <v/>
      </c>
      <c r="Z12">
        <f>IF(OR($X12="",$Y12=""),"",IF($H12="gt",$X12&gt;$Y12,IF($H12="gte",$X12&gt;=$Y12,IF($H12="lt",$X12&lt;$Y12,IF($H12="lte",$X12&lt;=$Y12,IF($H12="eq",$X12=$Y12,FALSE))))))</f>
        <v/>
      </c>
      <c r="AA12">
        <f>""</f>
        <v/>
      </c>
      <c r="AB12">
        <f>""</f>
        <v/>
      </c>
      <c r="AC12">
        <f>""</f>
        <v/>
      </c>
      <c r="AD12">
        <f>IF(AND(IF(OR($X12="",$Q12=""),AND($X12="",$Q12=""),IF(AND(ISNUMBER($X12),ISNUMBER($Q12)),ABS($X12-$Q12)&lt;=1E-10,$X12=$Q12)),IF(OR($Y12="",$R12=""),AND($Y12="",$R12=""),IF(AND(ISNUMBER($Y12),ISNUMBER($R12)),ABS($Y12-$R12)&lt;=1E-10,$Y12=$R12)),IF(OR($Z12="",$S12=""),AND($Z12="",$S12=""),IF(AND(ISNUMBER($Z12),ISNUMBER($S12)),ABS($Z12-$S12)&lt;=1E-10,$Z12=$S12)),(IF(NOT(IFERROR(INDEX('Hidden_Value_Audit'!$Q$2:$Q$8,MATCH($B12,'Hidden_Value_Audit'!$A$2:$A$8,0)),FALSE)),"module_or_profile_pack_disabled",IF($Z12="","predicate_input_unavailable",IF($Z12,"passed","failed")))=$W12)),"PASS","FAIL")</f>
        <v/>
      </c>
    </row>
    <row r="13">
      <c r="X13" s="553">
        <f>IF(IFERROR(INDEX('Hidden_Value_Audit'!$Q$2:$Q$8,MATCH($B13,'Hidden_Value_Audit'!$A$2:$A$8,0)),FALSE),IF(OR(IFERROR(INDEX(HV_Base_Status,MATCH($G13,HV_Base_MetricKey,0)),"")="source_backed",IFERROR(INDEX(HV_Base_Status,MATCH($G13,HV_Base_MetricKey,0)),"")="formula_calculated",IFERROR(INDEX(HV_Base_Status,MATCH($G13,HV_Base_MetricKey,0)),"")="derived_calculated"),IFERROR(INDEX(HV_Base_Value,MATCH($G13,HV_Base_MetricKey,0)),""),""),"")</f>
        <v/>
      </c>
      <c r="Y13" s="553">
        <f>IF(NOT(IFERROR(INDEX('Hidden_Value_Audit'!$Q$2:$Q$8,MATCH($B13,'Hidden_Value_Audit'!$A$2:$A$8,0)),FALSE)),"",IF($I13&lt;&gt;"",IF(OR(IFERROR(INDEX(HV_Base_Status,MATCH($I13,HV_Base_MetricKey,0)),"")="source_backed",IFERROR(INDEX(HV_Base_Status,MATCH($I13,HV_Base_MetricKey,0)),"")="formula_calculated",IFERROR(INDEX(HV_Base_Status,MATCH($I13,HV_Base_MetricKey,0)),"")="derived_calculated"),IFERROR(INDEX(HV_Base_Value,MATCH($I13,HV_Base_MetricKey,0)),""),""),IF($J13="","",$J13)))</f>
        <v/>
      </c>
      <c r="Z13">
        <f>IF(OR($X13="",$Y13=""),"",IF($H13="gt",$X13&gt;$Y13,IF($H13="gte",$X13&gt;=$Y13,IF($H13="lt",$X13&lt;$Y13,IF($H13="lte",$X13&lt;=$Y13,IF($H13="eq",$X13=$Y13,FALSE))))))</f>
        <v/>
      </c>
      <c r="AA13">
        <f>""</f>
        <v/>
      </c>
      <c r="AB13">
        <f>""</f>
        <v/>
      </c>
      <c r="AC13">
        <f>""</f>
        <v/>
      </c>
      <c r="AD13">
        <f>IF(AND(IF(OR($X13="",$Q13=""),AND($X13="",$Q13=""),IF(AND(ISNUMBER($X13),ISNUMBER($Q13)),ABS($X13-$Q13)&lt;=1E-10,$X13=$Q13)),IF(OR($Y13="",$R13=""),AND($Y13="",$R13=""),IF(AND(ISNUMBER($Y13),ISNUMBER($R13)),ABS($Y13-$R13)&lt;=1E-10,$Y13=$R13)),IF(OR($Z13="",$S13=""),AND($Z13="",$S13=""),IF(AND(ISNUMBER($Z13),ISNUMBER($S13)),ABS($Z13-$S13)&lt;=1E-10,$Z13=$S13)),(IF(NOT(IFERROR(INDEX('Hidden_Value_Audit'!$Q$2:$Q$8,MATCH($B13,'Hidden_Value_Audit'!$A$2:$A$8,0)),FALSE)),"module_or_profile_pack_disabled",IF($Z13="","predicate_input_unavailable",IF($Z13,"passed","failed")))=$W13)),"PASS","FAIL")</f>
        <v/>
      </c>
    </row>
    <row r="14">
      <c r="X14" s="553">
        <f>IF(IFERROR(INDEX('Hidden_Value_Audit'!$Q$2:$Q$8,MATCH($B14,'Hidden_Value_Audit'!$A$2:$A$8,0)),FALSE),IF(OR(IFERROR(INDEX(HV_Base_Status,MATCH($G14,HV_Base_MetricKey,0)),"")="source_backed",IFERROR(INDEX(HV_Base_Status,MATCH($G14,HV_Base_MetricKey,0)),"")="formula_calculated",IFERROR(INDEX(HV_Base_Status,MATCH($G14,HV_Base_MetricKey,0)),"")="derived_calculated"),IFERROR(INDEX(HV_Base_Value,MATCH($G14,HV_Base_MetricKey,0)),""),""),"")</f>
        <v/>
      </c>
      <c r="Y14" s="553">
        <f>IF(NOT(IFERROR(INDEX('Hidden_Value_Audit'!$Q$2:$Q$8,MATCH($B14,'Hidden_Value_Audit'!$A$2:$A$8,0)),FALSE)),"",IF($I14&lt;&gt;"",IF(OR(IFERROR(INDEX(HV_Base_Status,MATCH($I14,HV_Base_MetricKey,0)),"")="source_backed",IFERROR(INDEX(HV_Base_Status,MATCH($I14,HV_Base_MetricKey,0)),"")="formula_calculated",IFERROR(INDEX(HV_Base_Status,MATCH($I14,HV_Base_MetricKey,0)),"")="derived_calculated"),IFERROR(INDEX(HV_Base_Value,MATCH($I14,HV_Base_MetricKey,0)),""),""),IF($J14="","",$J14)))</f>
        <v/>
      </c>
      <c r="Z14">
        <f>IF(OR($X14="",$Y14=""),"",IF($H14="gt",$X14&gt;$Y14,IF($H14="gte",$X14&gt;=$Y14,IF($H14="lt",$X14&lt;$Y14,IF($H14="lte",$X14&lt;=$Y14,IF($H14="eq",$X14=$Y14,FALSE))))))</f>
        <v/>
      </c>
      <c r="AA14">
        <f>""</f>
        <v/>
      </c>
      <c r="AB14">
        <f>""</f>
        <v/>
      </c>
      <c r="AC14">
        <f>""</f>
        <v/>
      </c>
      <c r="AD14">
        <f>IF(AND(IF(OR($X14="",$Q14=""),AND($X14="",$Q14=""),IF(AND(ISNUMBER($X14),ISNUMBER($Q14)),ABS($X14-$Q14)&lt;=1E-10,$X14=$Q14)),IF(OR($Y14="",$R14=""),AND($Y14="",$R14=""),IF(AND(ISNUMBER($Y14),ISNUMBER($R14)),ABS($Y14-$R14)&lt;=1E-10,$Y14=$R14)),IF(OR($Z14="",$S14=""),AND($Z14="",$S14=""),IF(AND(ISNUMBER($Z14),ISNUMBER($S14)),ABS($Z14-$S14)&lt;=1E-10,$Z14=$S14)),(IF(NOT(IFERROR(INDEX('Hidden_Value_Audit'!$Q$2:$Q$8,MATCH($B14,'Hidden_Value_Audit'!$A$2:$A$8,0)),FALSE)),"module_or_profile_pack_disabled",IF($Z14="","predicate_input_unavailable",IF($Z14,"passed","failed")))=$W14)),"PASS","FAIL")</f>
        <v/>
      </c>
    </row>
    <row r="15">
      <c r="X15" s="553">
        <f>IF(IFERROR(INDEX('Hidden_Value_Audit'!$Q$2:$Q$8,MATCH($B15,'Hidden_Value_Audit'!$A$2:$A$8,0)),FALSE),IF(OR(IFERROR(INDEX(HV_Base_Status,MATCH($G15,HV_Base_MetricKey,0)),"")="source_backed",IFERROR(INDEX(HV_Base_Status,MATCH($G15,HV_Base_MetricKey,0)),"")="formula_calculated",IFERROR(INDEX(HV_Base_Status,MATCH($G15,HV_Base_MetricKey,0)),"")="derived_calculated"),IFERROR(INDEX(HV_Base_Value,MATCH($G15,HV_Base_MetricKey,0)),""),""),"")</f>
        <v/>
      </c>
      <c r="Y15" s="553">
        <f>IF(NOT(IFERROR(INDEX('Hidden_Value_Audit'!$Q$2:$Q$8,MATCH($B15,'Hidden_Value_Audit'!$A$2:$A$8,0)),FALSE)),"",IF($I15&lt;&gt;"",IF(OR(IFERROR(INDEX(HV_Base_Status,MATCH($I15,HV_Base_MetricKey,0)),"")="source_backed",IFERROR(INDEX(HV_Base_Status,MATCH($I15,HV_Base_MetricKey,0)),"")="formula_calculated",IFERROR(INDEX(HV_Base_Status,MATCH($I15,HV_Base_MetricKey,0)),"")="derived_calculated"),IFERROR(INDEX(HV_Base_Value,MATCH($I15,HV_Base_MetricKey,0)),""),""),IF($J15="","",$J15)))</f>
        <v/>
      </c>
      <c r="Z15">
        <f>IF(OR($X15="",$Y15=""),"",IF($H15="gt",$X15&gt;$Y15,IF($H15="gte",$X15&gt;=$Y15,IF($H15="lt",$X15&lt;$Y15,IF($H15="lte",$X15&lt;=$Y15,IF($H15="eq",$X15=$Y15,FALSE))))))</f>
        <v/>
      </c>
      <c r="AA15">
        <f>""</f>
        <v/>
      </c>
      <c r="AB15">
        <f>""</f>
        <v/>
      </c>
      <c r="AC15">
        <f>""</f>
        <v/>
      </c>
      <c r="AD15">
        <f>IF(AND(IF(OR($X15="",$Q15=""),AND($X15="",$Q15=""),IF(AND(ISNUMBER($X15),ISNUMBER($Q15)),ABS($X15-$Q15)&lt;=1E-10,$X15=$Q15)),IF(OR($Y15="",$R15=""),AND($Y15="",$R15=""),IF(AND(ISNUMBER($Y15),ISNUMBER($R15)),ABS($Y15-$R15)&lt;=1E-10,$Y15=$R15)),IF(OR($Z15="",$S15=""),AND($Z15="",$S15=""),IF(AND(ISNUMBER($Z15),ISNUMBER($S15)),ABS($Z15-$S15)&lt;=1E-10,$Z15=$S15)),(IF(NOT(IFERROR(INDEX('Hidden_Value_Audit'!$Q$2:$Q$8,MATCH($B15,'Hidden_Value_Audit'!$A$2:$A$8,0)),FALSE)),"module_or_profile_pack_disabled",IF($Z15="","predicate_input_unavailable",IF($Z15,"passed","failed")))=$W15)),"PASS","FAIL")</f>
        <v/>
      </c>
    </row>
    <row r="16">
      <c r="X16" s="553">
        <f>IF(IFERROR(INDEX('Hidden_Value_Audit'!$Q$2:$Q$8,MATCH($B16,'Hidden_Value_Audit'!$A$2:$A$8,0)),FALSE),IF(OR(IFERROR(INDEX(HV_Base_Status,MATCH($G16,HV_Base_MetricKey,0)),"")="source_backed",IFERROR(INDEX(HV_Base_Status,MATCH($G16,HV_Base_MetricKey,0)),"")="formula_calculated",IFERROR(INDEX(HV_Base_Status,MATCH($G16,HV_Base_MetricKey,0)),"")="derived_calculated"),IFERROR(INDEX(HV_Base_Value,MATCH($G16,HV_Base_MetricKey,0)),""),""),"")</f>
        <v/>
      </c>
      <c r="Y16">
        <f>IF(IFERROR(INDEX('Hidden_Value_Audit'!$Q$2:$Q$8,MATCH($B16,'Hidden_Value_Audit'!$A$2:$A$8,0)),FALSE),IFERROR(INDEX(HV_Base_Status,MATCH($G16,HV_Base_MetricKey,0)),""),"unavailable")</f>
        <v/>
      </c>
      <c r="Z16">
        <f>IF(NOT(IFERROR(INDEX('Hidden_Value_Audit'!$Q$2:$Q$8,MATCH($B16,'Hidden_Value_Audit'!$A$2:$A$8,0)),FALSE)),FALSE,AND(ISNUMBER($X16),OR($Y16="source_backed",$Y16="formula_calculated",$Y16="derived_calculated")))</f>
        <v/>
      </c>
      <c r="AA16" s="553">
        <f>IF($Z16,$L16,0)</f>
        <v/>
      </c>
      <c r="AB16" s="553">
        <f>IF(NOT($Z16),"",IF(OR(NOT(ISNUMBER($N16)),NOT(ISNUMBER($O16)),$O16&lt;=0,NOT(ISNUMBER($P16)),AND($M16&lt;&gt;"higher",$M16&lt;&gt;"lower")),"",MAX(0,MIN(1,IF($M16="lower",($N16-$X16)/$O16+$P16,($X16-$N16)/$O16+$P16)))))</f>
        <v/>
      </c>
      <c r="AC16" s="553">
        <f>IF($AB16="","",$AB16*$AA16)</f>
        <v/>
      </c>
      <c r="AD16">
        <f>IF(AND(IF(OR($X16="",$Q16=""),AND($X16="",$Q16=""),IF(AND(ISNUMBER($X16),ISNUMBER($Q16)),ABS($X16-$Q16)&lt;=1E-10,$X16=$Q16)),IF(OR($AA16="",$T16=""),AND($AA16="",$T16=""),IF(AND(ISNUMBER($AA16),ISNUMBER($T16)),ABS($AA16-$T16)&lt;=1E-10,$AA16=$T16)),IF(OR($AB16="",$U16=""),AND($AB16="",$U16=""),IF(AND(ISNUMBER($AB16),ISNUMBER($U16)),ABS($AB16-$U16)&lt;=1E-10,$AB16=$U16)),IF(OR($AC16="",$V16=""),AND($AC16="",$V16=""),IF(AND(ISNUMBER($AC16),ISNUMBER($V16)),ABS($AC16-$V16)&lt;=1E-10,$AC16=$V16)),(IF($Z16,"calculated","unavailable")=$W16)),"PASS","FAIL")</f>
        <v/>
      </c>
    </row>
    <row r="17">
      <c r="X17" s="553">
        <f>IF(IFERROR(INDEX('Hidden_Value_Audit'!$Q$2:$Q$8,MATCH($B17,'Hidden_Value_Audit'!$A$2:$A$8,0)),FALSE),IF(OR(IFERROR(INDEX(HV_Base_Status,MATCH($G17,HV_Base_MetricKey,0)),"")="source_backed",IFERROR(INDEX(HV_Base_Status,MATCH($G17,HV_Base_MetricKey,0)),"")="formula_calculated",IFERROR(INDEX(HV_Base_Status,MATCH($G17,HV_Base_MetricKey,0)),"")="derived_calculated"),IFERROR(INDEX(HV_Base_Value,MATCH($G17,HV_Base_MetricKey,0)),""),""),"")</f>
        <v/>
      </c>
      <c r="Y17">
        <f>IF(IFERROR(INDEX('Hidden_Value_Audit'!$Q$2:$Q$8,MATCH($B17,'Hidden_Value_Audit'!$A$2:$A$8,0)),FALSE),IFERROR(INDEX(HV_Base_Status,MATCH($G17,HV_Base_MetricKey,0)),""),"unavailable")</f>
        <v/>
      </c>
      <c r="Z17">
        <f>IF(NOT(IFERROR(INDEX('Hidden_Value_Audit'!$Q$2:$Q$8,MATCH($B17,'Hidden_Value_Audit'!$A$2:$A$8,0)),FALSE)),FALSE,AND(ISNUMBER($X17),OR($Y17="source_backed",$Y17="formula_calculated",$Y17="derived_calculated")))</f>
        <v/>
      </c>
      <c r="AA17" s="553">
        <f>IF($Z17,$L17,0)</f>
        <v/>
      </c>
      <c r="AB17" s="553">
        <f>IF(NOT($Z17),"",IF(OR(NOT(ISNUMBER($N17)),NOT(ISNUMBER($O17)),$O17&lt;=0,NOT(ISNUMBER($P17)),AND($M17&lt;&gt;"higher",$M17&lt;&gt;"lower")),"",MAX(0,MIN(1,IF($M17="lower",($N17-$X17)/$O17+$P17,($X17-$N17)/$O17+$P17)))))</f>
        <v/>
      </c>
      <c r="AC17" s="553">
        <f>IF($AB17="","",$AB17*$AA17)</f>
        <v/>
      </c>
      <c r="AD17">
        <f>IF(AND(IF(OR($X17="",$Q17=""),AND($X17="",$Q17=""),IF(AND(ISNUMBER($X17),ISNUMBER($Q17)),ABS($X17-$Q17)&lt;=1E-10,$X17=$Q17)),IF(OR($AA17="",$T17=""),AND($AA17="",$T17=""),IF(AND(ISNUMBER($AA17),ISNUMBER($T17)),ABS($AA17-$T17)&lt;=1E-10,$AA17=$T17)),IF(OR($AB17="",$U17=""),AND($AB17="",$U17=""),IF(AND(ISNUMBER($AB17),ISNUMBER($U17)),ABS($AB17-$U17)&lt;=1E-10,$AB17=$U17)),IF(OR($AC17="",$V17=""),AND($AC17="",$V17=""),IF(AND(ISNUMBER($AC17),ISNUMBER($V17)),ABS($AC17-$V17)&lt;=1E-10,$AC17=$V17)),(IF($Z17,"calculated","unavailable")=$W17)),"PASS","FAIL")</f>
        <v/>
      </c>
    </row>
    <row r="18">
      <c r="X18" s="553">
        <f>IF(IFERROR(INDEX('Hidden_Value_Audit'!$Q$2:$Q$8,MATCH($B18,'Hidden_Value_Audit'!$A$2:$A$8,0)),FALSE),IF(OR(IFERROR(INDEX(HV_Base_Status,MATCH($G18,HV_Base_MetricKey,0)),"")="source_backed",IFERROR(INDEX(HV_Base_Status,MATCH($G18,HV_Base_MetricKey,0)),"")="formula_calculated",IFERROR(INDEX(HV_Base_Status,MATCH($G18,HV_Base_MetricKey,0)),"")="derived_calculated"),IFERROR(INDEX(HV_Base_Value,MATCH($G18,HV_Base_MetricKey,0)),""),""),"")</f>
        <v/>
      </c>
      <c r="Y18">
        <f>IF(IFERROR(INDEX('Hidden_Value_Audit'!$Q$2:$Q$8,MATCH($B18,'Hidden_Value_Audit'!$A$2:$A$8,0)),FALSE),IFERROR(INDEX(HV_Base_Status,MATCH($G18,HV_Base_MetricKey,0)),""),"unavailable")</f>
        <v/>
      </c>
      <c r="Z18">
        <f>IF(NOT(IFERROR(INDEX('Hidden_Value_Audit'!$Q$2:$Q$8,MATCH($B18,'Hidden_Value_Audit'!$A$2:$A$8,0)),FALSE)),FALSE,AND(ISNUMBER($X18),OR($Y18="source_backed",$Y18="formula_calculated",$Y18="derived_calculated")))</f>
        <v/>
      </c>
      <c r="AA18" s="553">
        <f>IF($Z18,$L18,0)</f>
        <v/>
      </c>
      <c r="AB18" s="553">
        <f>IF(NOT($Z18),"",IF(OR(NOT(ISNUMBER($N18)),NOT(ISNUMBER($O18)),$O18&lt;=0,NOT(ISNUMBER($P18)),AND($M18&lt;&gt;"higher",$M18&lt;&gt;"lower")),"",MAX(0,MIN(1,IF($M18="lower",($N18-$X18)/$O18+$P18,($X18-$N18)/$O18+$P18)))))</f>
        <v/>
      </c>
      <c r="AC18" s="553">
        <f>IF($AB18="","",$AB18*$AA18)</f>
        <v/>
      </c>
      <c r="AD18">
        <f>IF(AND(IF(OR($X18="",$Q18=""),AND($X18="",$Q18=""),IF(AND(ISNUMBER($X18),ISNUMBER($Q18)),ABS($X18-$Q18)&lt;=1E-10,$X18=$Q18)),IF(OR($AA18="",$T18=""),AND($AA18="",$T18=""),IF(AND(ISNUMBER($AA18),ISNUMBER($T18)),ABS($AA18-$T18)&lt;=1E-10,$AA18=$T18)),IF(OR($AB18="",$U18=""),AND($AB18="",$U18=""),IF(AND(ISNUMBER($AB18),ISNUMBER($U18)),ABS($AB18-$U18)&lt;=1E-10,$AB18=$U18)),IF(OR($AC18="",$V18=""),AND($AC18="",$V18=""),IF(AND(ISNUMBER($AC18),ISNUMBER($V18)),ABS($AC18-$V18)&lt;=1E-10,$AC18=$V18)),(IF($Z18,"calculated","unavailable")=$W18)),"PASS","FAIL")</f>
        <v/>
      </c>
    </row>
    <row r="19">
      <c r="X19" s="553">
        <f>IF(OR(IFERROR(INDEX(HV_Base_Status,MATCH($G19,HV_Base_MetricKey,0)),"")="source_backed",IFERROR(INDEX(HV_Base_Status,MATCH($G19,HV_Base_MetricKey,0)),"")="formula_calculated",IFERROR(INDEX(HV_Base_Status,MATCH($G19,HV_Base_MetricKey,0)),"")="derived_calculated"),IFERROR(INDEX(HV_Base_Value,MATCH($G19,HV_Base_MetricKey,0)),""),"")</f>
        <v/>
      </c>
      <c r="Y19">
        <f>IFERROR(INDEX(HV_Base_Status,MATCH($G19,HV_Base_MetricKey,0)),"")</f>
        <v/>
      </c>
      <c r="Z19">
        <f>IF($G19="","",AND(ISNUMBER($X19),OR($Y19="source_backed",$Y19="formula_calculated",$Y19="derived_calculated")))</f>
        <v/>
      </c>
      <c r="AA19">
        <f>""</f>
        <v/>
      </c>
      <c r="AB19">
        <f>""</f>
        <v/>
      </c>
      <c r="AC19">
        <f>""</f>
        <v/>
      </c>
      <c r="AD19">
        <f>IF(AND(IF(OR($X19="",$Q19=""),AND($X19="",$Q19=""),IF(AND(ISNUMBER($X19),ISNUMBER($Q19)),ABS($X19-$Q19)&lt;=1E-10,$X19=$Q19)),IF(OR($Y19="",$W19=""),AND($Y19="",$W19=""),IF(AND(ISNUMBER($Y19),ISNUMBER($W19)),ABS($Y19-$W19)&lt;=1E-10,$Y19=$W19)),IF(OR($Z19="",$S19=""),AND($Z19="",$S19=""),IF(AND(ISNUMBER($Z19),ISNUMBER($S19)),ABS($Z19-$S19)&lt;=1E-10,$Z19=$S19))),"PASS","FAIL")</f>
        <v/>
      </c>
    </row>
    <row r="20">
      <c r="X20" s="553">
        <f>IF(OR(IFERROR(INDEX(HV_Base_Status,MATCH($G20,HV_Base_MetricKey,0)),"")="source_backed",IFERROR(INDEX(HV_Base_Status,MATCH($G20,HV_Base_MetricKey,0)),"")="formula_calculated",IFERROR(INDEX(HV_Base_Status,MATCH($G20,HV_Base_MetricKey,0)),"")="derived_calculated"),IFERROR(INDEX(HV_Base_Value,MATCH($G20,HV_Base_MetricKey,0)),""),"")</f>
        <v/>
      </c>
      <c r="Y20">
        <f>IFERROR(INDEX(HV_Base_Status,MATCH($G20,HV_Base_MetricKey,0)),"")</f>
        <v/>
      </c>
      <c r="Z20">
        <f>IF($G20="","",AND(ISNUMBER($X20),OR($Y20="source_backed",$Y20="formula_calculated",$Y20="derived_calculated")))</f>
        <v/>
      </c>
      <c r="AA20">
        <f>""</f>
        <v/>
      </c>
      <c r="AB20">
        <f>""</f>
        <v/>
      </c>
      <c r="AC20">
        <f>""</f>
        <v/>
      </c>
      <c r="AD20">
        <f>IF(AND(IF(OR($X20="",$Q20=""),AND($X20="",$Q20=""),IF(AND(ISNUMBER($X20),ISNUMBER($Q20)),ABS($X20-$Q20)&lt;=1E-10,$X20=$Q20)),IF(OR($Y20="",$W20=""),AND($Y20="",$W20=""),IF(AND(ISNUMBER($Y20),ISNUMBER($W20)),ABS($Y20-$W20)&lt;=1E-10,$Y20=$W20)),IF(OR($Z20="",$S20=""),AND($Z20="",$S20=""),IF(AND(ISNUMBER($Z20),ISNUMBER($S20)),ABS($Z20-$S20)&lt;=1E-10,$Z20=$S20))),"PASS","FAIL")</f>
        <v/>
      </c>
    </row>
    <row r="21">
      <c r="X21" s="553">
        <f>IF(OR(IFERROR(INDEX(HV_Base_Status,MATCH($G21,HV_Base_MetricKey,0)),"")="source_backed",IFERROR(INDEX(HV_Base_Status,MATCH($G21,HV_Base_MetricKey,0)),"")="formula_calculated",IFERROR(INDEX(HV_Base_Status,MATCH($G21,HV_Base_MetricKey,0)),"")="derived_calculated"),IFERROR(INDEX(HV_Base_Value,MATCH($G21,HV_Base_MetricKey,0)),""),"")</f>
        <v/>
      </c>
      <c r="Y21">
        <f>IFERROR(INDEX(HV_Base_Status,MATCH($G21,HV_Base_MetricKey,0)),"")</f>
        <v/>
      </c>
      <c r="Z21">
        <f>IF($G21="","",AND(ISNUMBER($X21),OR($Y21="source_backed",$Y21="formula_calculated",$Y21="derived_calculated")))</f>
        <v/>
      </c>
      <c r="AA21">
        <f>""</f>
        <v/>
      </c>
      <c r="AB21">
        <f>""</f>
        <v/>
      </c>
      <c r="AC21">
        <f>""</f>
        <v/>
      </c>
      <c r="AD21">
        <f>IF(AND(IF(OR($X21="",$Q21=""),AND($X21="",$Q21=""),IF(AND(ISNUMBER($X21),ISNUMBER($Q21)),ABS($X21-$Q21)&lt;=1E-10,$X21=$Q21)),IF(OR($Y21="",$W21=""),AND($Y21="",$W21=""),IF(AND(ISNUMBER($Y21),ISNUMBER($W21)),ABS($Y21-$W21)&lt;=1E-10,$Y21=$W21)),IF(OR($Z21="",$S21=""),AND($Z21="",$S21=""),IF(AND(ISNUMBER($Z21),ISNUMBER($S21)),ABS($Z21-$S21)&lt;=1E-10,$Z21=$S21))),"PASS","FAIL")</f>
        <v/>
      </c>
    </row>
    <row r="22">
      <c r="X22" s="553">
        <f>IF(OR(IFERROR(INDEX(HV_Base_Status,MATCH($G22,HV_Base_MetricKey,0)),"")="source_backed",IFERROR(INDEX(HV_Base_Status,MATCH($G22,HV_Base_MetricKey,0)),"")="formula_calculated",IFERROR(INDEX(HV_Base_Status,MATCH($G22,HV_Base_MetricKey,0)),"")="derived_calculated"),IFERROR(INDEX(HV_Base_Value,MATCH($G22,HV_Base_MetricKey,0)),""),"")</f>
        <v/>
      </c>
      <c r="Y22">
        <f>IFERROR(INDEX(HV_Base_Status,MATCH($G22,HV_Base_MetricKey,0)),"")</f>
        <v/>
      </c>
      <c r="Z22">
        <f>IF($G22="","",AND(ISNUMBER($X22),OR($Y22="source_backed",$Y22="formula_calculated",$Y22="derived_calculated")))</f>
        <v/>
      </c>
      <c r="AA22">
        <f>""</f>
        <v/>
      </c>
      <c r="AB22">
        <f>""</f>
        <v/>
      </c>
      <c r="AC22">
        <f>""</f>
        <v/>
      </c>
      <c r="AD22">
        <f>IF(AND(IF(OR($X22="",$Q22=""),AND($X22="",$Q22=""),IF(AND(ISNUMBER($X22),ISNUMBER($Q22)),ABS($X22-$Q22)&lt;=1E-10,$X22=$Q22)),IF(OR($Y22="",$W22=""),AND($Y22="",$W22=""),IF(AND(ISNUMBER($Y22),ISNUMBER($W22)),ABS($Y22-$W22)&lt;=1E-10,$Y22=$W22)),IF(OR($Z22="",$S22=""),AND($Z22="",$S22=""),IF(AND(ISNUMBER($Z22),ISNUMBER($S22)),ABS($Z22-$S22)&lt;=1E-10,$Z22=$S22))),"PASS","FAIL")</f>
        <v/>
      </c>
    </row>
    <row r="23">
      <c r="X23" s="553">
        <f>IF(OR(IFERROR(INDEX(HV_Base_Status,MATCH($G23,HV_Base_MetricKey,0)),"")="source_backed",IFERROR(INDEX(HV_Base_Status,MATCH($G23,HV_Base_MetricKey,0)),"")="formula_calculated",IFERROR(INDEX(HV_Base_Status,MATCH($G23,HV_Base_MetricKey,0)),"")="derived_calculated"),IFERROR(INDEX(HV_Base_Value,MATCH($G23,HV_Base_MetricKey,0)),""),"")</f>
        <v/>
      </c>
      <c r="Y23">
        <f>IFERROR(INDEX(HV_Base_Status,MATCH($G23,HV_Base_MetricKey,0)),"")</f>
        <v/>
      </c>
      <c r="Z23">
        <f>IF($G23="","",AND(ISNUMBER($X23),OR($Y23="source_backed",$Y23="formula_calculated",$Y23="derived_calculated")))</f>
        <v/>
      </c>
      <c r="AA23">
        <f>""</f>
        <v/>
      </c>
      <c r="AB23">
        <f>""</f>
        <v/>
      </c>
      <c r="AC23">
        <f>""</f>
        <v/>
      </c>
      <c r="AD23">
        <f>IF(AND(IF(OR($X23="",$Q23=""),AND($X23="",$Q23=""),IF(AND(ISNUMBER($X23),ISNUMBER($Q23)),ABS($X23-$Q23)&lt;=1E-10,$X23=$Q23)),IF(OR($Y23="",$W23=""),AND($Y23="",$W23=""),IF(AND(ISNUMBER($Y23),ISNUMBER($W23)),ABS($Y23-$W23)&lt;=1E-10,$Y23=$W23)),IF(OR($Z23="",$S23=""),AND($Z23="",$S23=""),IF(AND(ISNUMBER($Z23),ISNUMBER($S23)),ABS($Z23-$S23)&lt;=1E-10,$Z23=$S23))),"PASS","FAIL")</f>
        <v/>
      </c>
    </row>
    <row r="24">
      <c r="X24" s="553">
        <f>IF(IFERROR(INDEX('Hidden_Value_Audit'!$Q$2:$Q$8,MATCH($B24,'Hidden_Value_Audit'!$A$2:$A$8,0)),FALSE),IF(OR(IFERROR(INDEX(HV_Base_Status,MATCH($G24,HV_Base_MetricKey,0)),"")="source_backed",IFERROR(INDEX(HV_Base_Status,MATCH($G24,HV_Base_MetricKey,0)),"")="formula_calculated",IFERROR(INDEX(HV_Base_Status,MATCH($G24,HV_Base_MetricKey,0)),"")="derived_calculated"),IFERROR(INDEX(HV_Base_Value,MATCH($G24,HV_Base_MetricKey,0)),""),""),"")</f>
        <v/>
      </c>
      <c r="Y24" s="553">
        <f>IF(NOT(IFERROR(INDEX('Hidden_Value_Audit'!$Q$2:$Q$8,MATCH($B24,'Hidden_Value_Audit'!$A$2:$A$8,0)),FALSE)),"",IF($I24&lt;&gt;"",IF(OR(IFERROR(INDEX(HV_Base_Status,MATCH($I24,HV_Base_MetricKey,0)),"")="source_backed",IFERROR(INDEX(HV_Base_Status,MATCH($I24,HV_Base_MetricKey,0)),"")="formula_calculated",IFERROR(INDEX(HV_Base_Status,MATCH($I24,HV_Base_MetricKey,0)),"")="derived_calculated"),IFERROR(INDEX(HV_Base_Value,MATCH($I24,HV_Base_MetricKey,0)),""),""),IF($J24="","",$J24)))</f>
        <v/>
      </c>
      <c r="Z24">
        <f>IF(OR($X24="",$Y24=""),"",IF($H24="gt",$X24&gt;$Y24,IF($H24="gte",$X24&gt;=$Y24,IF($H24="lt",$X24&lt;$Y24,IF($H24="lte",$X24&lt;=$Y24,IF($H24="eq",$X24=$Y24,FALSE))))))</f>
        <v/>
      </c>
      <c r="AA24">
        <f>""</f>
        <v/>
      </c>
      <c r="AB24">
        <f>""</f>
        <v/>
      </c>
      <c r="AC24">
        <f>""</f>
        <v/>
      </c>
      <c r="AD24">
        <f>IF(AND(IF(OR($X24="",$Q24=""),AND($X24="",$Q24=""),IF(AND(ISNUMBER($X24),ISNUMBER($Q24)),ABS($X24-$Q24)&lt;=1E-10,$X24=$Q24)),IF(OR($Y24="",$R24=""),AND($Y24="",$R24=""),IF(AND(ISNUMBER($Y24),ISNUMBER($R24)),ABS($Y24-$R24)&lt;=1E-10,$Y24=$R24)),IF(OR($Z24="",$S24=""),AND($Z24="",$S24=""),IF(AND(ISNUMBER($Z24),ISNUMBER($S24)),ABS($Z24-$S24)&lt;=1E-10,$Z24=$S24)),(IF(NOT(IFERROR(INDEX('Hidden_Value_Audit'!$Q$2:$Q$8,MATCH($B24,'Hidden_Value_Audit'!$A$2:$A$8,0)),FALSE)),"module_or_profile_pack_disabled",IF($Z24="","predicate_input_unavailable",IF($Z24,"passed","failed")))=$W24)),"PASS","FAIL")</f>
        <v/>
      </c>
    </row>
    <row r="25">
      <c r="X25" s="553">
        <f>IF(IFERROR(INDEX('Hidden_Value_Audit'!$Q$2:$Q$8,MATCH($B25,'Hidden_Value_Audit'!$A$2:$A$8,0)),FALSE),IF(OR(IFERROR(INDEX(HV_Base_Status,MATCH($G25,HV_Base_MetricKey,0)),"")="source_backed",IFERROR(INDEX(HV_Base_Status,MATCH($G25,HV_Base_MetricKey,0)),"")="formula_calculated",IFERROR(INDEX(HV_Base_Status,MATCH($G25,HV_Base_MetricKey,0)),"")="derived_calculated"),IFERROR(INDEX(HV_Base_Value,MATCH($G25,HV_Base_MetricKey,0)),""),""),"")</f>
        <v/>
      </c>
      <c r="Y25" s="553">
        <f>IF(NOT(IFERROR(INDEX('Hidden_Value_Audit'!$Q$2:$Q$8,MATCH($B25,'Hidden_Value_Audit'!$A$2:$A$8,0)),FALSE)),"",IF($I25&lt;&gt;"",IF(OR(IFERROR(INDEX(HV_Base_Status,MATCH($I25,HV_Base_MetricKey,0)),"")="source_backed",IFERROR(INDEX(HV_Base_Status,MATCH($I25,HV_Base_MetricKey,0)),"")="formula_calculated",IFERROR(INDEX(HV_Base_Status,MATCH($I25,HV_Base_MetricKey,0)),"")="derived_calculated"),IFERROR(INDEX(HV_Base_Value,MATCH($I25,HV_Base_MetricKey,0)),""),""),IF($J25="","",$J25)))</f>
        <v/>
      </c>
      <c r="Z25">
        <f>IF(OR($X25="",$Y25=""),"",IF($H25="gt",$X25&gt;$Y25,IF($H25="gte",$X25&gt;=$Y25,IF($H25="lt",$X25&lt;$Y25,IF($H25="lte",$X25&lt;=$Y25,IF($H25="eq",$X25=$Y25,FALSE))))))</f>
        <v/>
      </c>
      <c r="AA25">
        <f>""</f>
        <v/>
      </c>
      <c r="AB25">
        <f>""</f>
        <v/>
      </c>
      <c r="AC25">
        <f>""</f>
        <v/>
      </c>
      <c r="AD25">
        <f>IF(AND(IF(OR($X25="",$Q25=""),AND($X25="",$Q25=""),IF(AND(ISNUMBER($X25),ISNUMBER($Q25)),ABS($X25-$Q25)&lt;=1E-10,$X25=$Q25)),IF(OR($Y25="",$R25=""),AND($Y25="",$R25=""),IF(AND(ISNUMBER($Y25),ISNUMBER($R25)),ABS($Y25-$R25)&lt;=1E-10,$Y25=$R25)),IF(OR($Z25="",$S25=""),AND($Z25="",$S25=""),IF(AND(ISNUMBER($Z25),ISNUMBER($S25)),ABS($Z25-$S25)&lt;=1E-10,$Z25=$S25)),(IF(NOT(IFERROR(INDEX('Hidden_Value_Audit'!$Q$2:$Q$8,MATCH($B25,'Hidden_Value_Audit'!$A$2:$A$8,0)),FALSE)),"module_or_profile_pack_disabled",IF($Z25="","predicate_input_unavailable",IF($Z25,"passed","failed")))=$W25)),"PASS","FAIL")</f>
        <v/>
      </c>
    </row>
    <row r="26">
      <c r="X26" s="553">
        <f>IF(IFERROR(INDEX('Hidden_Value_Audit'!$Q$2:$Q$8,MATCH($B26,'Hidden_Value_Audit'!$A$2:$A$8,0)),FALSE),IF(OR(IFERROR(INDEX(HV_Base_Status,MATCH($G26,HV_Base_MetricKey,0)),"")="source_backed",IFERROR(INDEX(HV_Base_Status,MATCH($G26,HV_Base_MetricKey,0)),"")="formula_calculated",IFERROR(INDEX(HV_Base_Status,MATCH($G26,HV_Base_MetricKey,0)),"")="derived_calculated"),IFERROR(INDEX(HV_Base_Value,MATCH($G26,HV_Base_MetricKey,0)),""),""),"")</f>
        <v/>
      </c>
      <c r="Y26" s="553">
        <f>IF(NOT(IFERROR(INDEX('Hidden_Value_Audit'!$Q$2:$Q$8,MATCH($B26,'Hidden_Value_Audit'!$A$2:$A$8,0)),FALSE)),"",IF($I26&lt;&gt;"",IF(OR(IFERROR(INDEX(HV_Base_Status,MATCH($I26,HV_Base_MetricKey,0)),"")="source_backed",IFERROR(INDEX(HV_Base_Status,MATCH($I26,HV_Base_MetricKey,0)),"")="formula_calculated",IFERROR(INDEX(HV_Base_Status,MATCH($I26,HV_Base_MetricKey,0)),"")="derived_calculated"),IFERROR(INDEX(HV_Base_Value,MATCH($I26,HV_Base_MetricKey,0)),""),""),IF($J26="","",$J26)))</f>
        <v/>
      </c>
      <c r="Z26">
        <f>IF(OR($X26="",$Y26=""),"",IF($H26="gt",$X26&gt;$Y26,IF($H26="gte",$X26&gt;=$Y26,IF($H26="lt",$X26&lt;$Y26,IF($H26="lte",$X26&lt;=$Y26,IF($H26="eq",$X26=$Y26,FALSE))))))</f>
        <v/>
      </c>
      <c r="AA26">
        <f>""</f>
        <v/>
      </c>
      <c r="AB26">
        <f>""</f>
        <v/>
      </c>
      <c r="AC26">
        <f>""</f>
        <v/>
      </c>
      <c r="AD26">
        <f>IF(AND(IF(OR($X26="",$Q26=""),AND($X26="",$Q26=""),IF(AND(ISNUMBER($X26),ISNUMBER($Q26)),ABS($X26-$Q26)&lt;=1E-10,$X26=$Q26)),IF(OR($Y26="",$R26=""),AND($Y26="",$R26=""),IF(AND(ISNUMBER($Y26),ISNUMBER($R26)),ABS($Y26-$R26)&lt;=1E-10,$Y26=$R26)),IF(OR($Z26="",$S26=""),AND($Z26="",$S26=""),IF(AND(ISNUMBER($Z26),ISNUMBER($S26)),ABS($Z26-$S26)&lt;=1E-10,$Z26=$S26)),(IF(NOT(IFERROR(INDEX('Hidden_Value_Audit'!$Q$2:$Q$8,MATCH($B26,'Hidden_Value_Audit'!$A$2:$A$8,0)),FALSE)),"module_or_profile_pack_disabled",IF($Z26="","predicate_input_unavailable",IF($Z26,"passed","failed")))=$W26)),"PASS","FAIL")</f>
        <v/>
      </c>
    </row>
    <row r="27">
      <c r="X27" s="553">
        <f>IF(IFERROR(INDEX('Hidden_Value_Audit'!$Q$2:$Q$8,MATCH($B27,'Hidden_Value_Audit'!$A$2:$A$8,0)),FALSE),IF(OR(IFERROR(INDEX(HV_Base_Status,MATCH($G27,HV_Base_MetricKey,0)),"")="source_backed",IFERROR(INDEX(HV_Base_Status,MATCH($G27,HV_Base_MetricKey,0)),"")="formula_calculated",IFERROR(INDEX(HV_Base_Status,MATCH($G27,HV_Base_MetricKey,0)),"")="derived_calculated"),IFERROR(INDEX(HV_Base_Value,MATCH($G27,HV_Base_MetricKey,0)),""),""),"")</f>
        <v/>
      </c>
      <c r="Y27" s="553">
        <f>IF(NOT(IFERROR(INDEX('Hidden_Value_Audit'!$Q$2:$Q$8,MATCH($B27,'Hidden_Value_Audit'!$A$2:$A$8,0)),FALSE)),"",IF($I27&lt;&gt;"",IF(OR(IFERROR(INDEX(HV_Base_Status,MATCH($I27,HV_Base_MetricKey,0)),"")="source_backed",IFERROR(INDEX(HV_Base_Status,MATCH($I27,HV_Base_MetricKey,0)),"")="formula_calculated",IFERROR(INDEX(HV_Base_Status,MATCH($I27,HV_Base_MetricKey,0)),"")="derived_calculated"),IFERROR(INDEX(HV_Base_Value,MATCH($I27,HV_Base_MetricKey,0)),""),""),IF($J27="","",$J27)))</f>
        <v/>
      </c>
      <c r="Z27">
        <f>IF(OR($X27="",$Y27=""),"",IF($H27="gt",$X27&gt;$Y27,IF($H27="gte",$X27&gt;=$Y27,IF($H27="lt",$X27&lt;$Y27,IF($H27="lte",$X27&lt;=$Y27,IF($H27="eq",$X27=$Y27,FALSE))))))</f>
        <v/>
      </c>
      <c r="AA27">
        <f>""</f>
        <v/>
      </c>
      <c r="AB27">
        <f>""</f>
        <v/>
      </c>
      <c r="AC27">
        <f>""</f>
        <v/>
      </c>
      <c r="AD27">
        <f>IF(AND(IF(OR($X27="",$Q27=""),AND($X27="",$Q27=""),IF(AND(ISNUMBER($X27),ISNUMBER($Q27)),ABS($X27-$Q27)&lt;=1E-10,$X27=$Q27)),IF(OR($Y27="",$R27=""),AND($Y27="",$R27=""),IF(AND(ISNUMBER($Y27),ISNUMBER($R27)),ABS($Y27-$R27)&lt;=1E-10,$Y27=$R27)),IF(OR($Z27="",$S27=""),AND($Z27="",$S27=""),IF(AND(ISNUMBER($Z27),ISNUMBER($S27)),ABS($Z27-$S27)&lt;=1E-10,$Z27=$S27)),(IF(NOT(IFERROR(INDEX('Hidden_Value_Audit'!$Q$2:$Q$8,MATCH($B27,'Hidden_Value_Audit'!$A$2:$A$8,0)),FALSE)),"module_or_profile_pack_disabled",IF($Z27="","predicate_input_unavailable",IF($Z27,"passed","failed")))=$W27)),"PASS","FAIL")</f>
        <v/>
      </c>
    </row>
    <row r="28">
      <c r="X28" s="553">
        <f>IF(IFERROR(INDEX('Hidden_Value_Audit'!$Q$2:$Q$8,MATCH($B28,'Hidden_Value_Audit'!$A$2:$A$8,0)),FALSE),IF(OR(IFERROR(INDEX(HV_Base_Status,MATCH($G28,HV_Base_MetricKey,0)),"")="source_backed",IFERROR(INDEX(HV_Base_Status,MATCH($G28,HV_Base_MetricKey,0)),"")="formula_calculated",IFERROR(INDEX(HV_Base_Status,MATCH($G28,HV_Base_MetricKey,0)),"")="derived_calculated"),IFERROR(INDEX(HV_Base_Value,MATCH($G28,HV_Base_MetricKey,0)),""),""),"")</f>
        <v/>
      </c>
      <c r="Y28" s="553">
        <f>IF(NOT(IFERROR(INDEX('Hidden_Value_Audit'!$Q$2:$Q$8,MATCH($B28,'Hidden_Value_Audit'!$A$2:$A$8,0)),FALSE)),"",IF($I28&lt;&gt;"",IF(OR(IFERROR(INDEX(HV_Base_Status,MATCH($I28,HV_Base_MetricKey,0)),"")="source_backed",IFERROR(INDEX(HV_Base_Status,MATCH($I28,HV_Base_MetricKey,0)),"")="formula_calculated",IFERROR(INDEX(HV_Base_Status,MATCH($I28,HV_Base_MetricKey,0)),"")="derived_calculated"),IFERROR(INDEX(HV_Base_Value,MATCH($I28,HV_Base_MetricKey,0)),""),""),IF($J28="","",$J28)))</f>
        <v/>
      </c>
      <c r="Z28">
        <f>IF(OR($X28="",$Y28=""),"",IF($H28="gt",$X28&gt;$Y28,IF($H28="gte",$X28&gt;=$Y28,IF($H28="lt",$X28&lt;$Y28,IF($H28="lte",$X28&lt;=$Y28,IF($H28="eq",$X28=$Y28,FALSE))))))</f>
        <v/>
      </c>
      <c r="AA28">
        <f>""</f>
        <v/>
      </c>
      <c r="AB28">
        <f>""</f>
        <v/>
      </c>
      <c r="AC28">
        <f>""</f>
        <v/>
      </c>
      <c r="AD28">
        <f>IF(AND(IF(OR($X28="",$Q28=""),AND($X28="",$Q28=""),IF(AND(ISNUMBER($X28),ISNUMBER($Q28)),ABS($X28-$Q28)&lt;=1E-10,$X28=$Q28)),IF(OR($Y28="",$R28=""),AND($Y28="",$R28=""),IF(AND(ISNUMBER($Y28),ISNUMBER($R28)),ABS($Y28-$R28)&lt;=1E-10,$Y28=$R28)),IF(OR($Z28="",$S28=""),AND($Z28="",$S28=""),IF(AND(ISNUMBER($Z28),ISNUMBER($S28)),ABS($Z28-$S28)&lt;=1E-10,$Z28=$S28)),(IF(NOT(IFERROR(INDEX('Hidden_Value_Audit'!$Q$2:$Q$8,MATCH($B28,'Hidden_Value_Audit'!$A$2:$A$8,0)),FALSE)),"module_or_profile_pack_disabled",IF($Z28="","predicate_input_unavailable",IF($Z28,"passed","failed")))=$W28)),"PASS","FAIL")</f>
        <v/>
      </c>
    </row>
    <row r="29">
      <c r="X29" s="553">
        <f>IF(IFERROR(INDEX('Hidden_Value_Audit'!$Q$2:$Q$8,MATCH($B29,'Hidden_Value_Audit'!$A$2:$A$8,0)),FALSE),IF(OR(IFERROR(INDEX(HV_Base_Status,MATCH($G29,HV_Base_MetricKey,0)),"")="source_backed",IFERROR(INDEX(HV_Base_Status,MATCH($G29,HV_Base_MetricKey,0)),"")="formula_calculated",IFERROR(INDEX(HV_Base_Status,MATCH($G29,HV_Base_MetricKey,0)),"")="derived_calculated"),IFERROR(INDEX(HV_Base_Value,MATCH($G29,HV_Base_MetricKey,0)),""),""),"")</f>
        <v/>
      </c>
      <c r="Y29" s="553">
        <f>IF(NOT(IFERROR(INDEX('Hidden_Value_Audit'!$Q$2:$Q$8,MATCH($B29,'Hidden_Value_Audit'!$A$2:$A$8,0)),FALSE)),"",IF($I29&lt;&gt;"",IF(OR(IFERROR(INDEX(HV_Base_Status,MATCH($I29,HV_Base_MetricKey,0)),"")="source_backed",IFERROR(INDEX(HV_Base_Status,MATCH($I29,HV_Base_MetricKey,0)),"")="formula_calculated",IFERROR(INDEX(HV_Base_Status,MATCH($I29,HV_Base_MetricKey,0)),"")="derived_calculated"),IFERROR(INDEX(HV_Base_Value,MATCH($I29,HV_Base_MetricKey,0)),""),""),IF($J29="","",$J29)))</f>
        <v/>
      </c>
      <c r="Z29">
        <f>IF(OR($X29="",$Y29=""),"",IF($H29="gt",$X29&gt;$Y29,IF($H29="gte",$X29&gt;=$Y29,IF($H29="lt",$X29&lt;$Y29,IF($H29="lte",$X29&lt;=$Y29,IF($H29="eq",$X29=$Y29,FALSE))))))</f>
        <v/>
      </c>
      <c r="AA29">
        <f>""</f>
        <v/>
      </c>
      <c r="AB29">
        <f>""</f>
        <v/>
      </c>
      <c r="AC29">
        <f>""</f>
        <v/>
      </c>
      <c r="AD29">
        <f>IF(AND(IF(OR($X29="",$Q29=""),AND($X29="",$Q29=""),IF(AND(ISNUMBER($X29),ISNUMBER($Q29)),ABS($X29-$Q29)&lt;=1E-10,$X29=$Q29)),IF(OR($Y29="",$R29=""),AND($Y29="",$R29=""),IF(AND(ISNUMBER($Y29),ISNUMBER($R29)),ABS($Y29-$R29)&lt;=1E-10,$Y29=$R29)),IF(OR($Z29="",$S29=""),AND($Z29="",$S29=""),IF(AND(ISNUMBER($Z29),ISNUMBER($S29)),ABS($Z29-$S29)&lt;=1E-10,$Z29=$S29)),(IF(NOT(IFERROR(INDEX('Hidden_Value_Audit'!$Q$2:$Q$8,MATCH($B29,'Hidden_Value_Audit'!$A$2:$A$8,0)),FALSE)),"module_or_profile_pack_disabled",IF($Z29="","predicate_input_unavailable",IF($Z29,"passed","failed")))=$W29)),"PASS","FAIL")</f>
        <v/>
      </c>
    </row>
    <row r="30">
      <c r="X30" s="553">
        <f>IF(IFERROR(INDEX('Hidden_Value_Audit'!$Q$2:$Q$8,MATCH($B30,'Hidden_Value_Audit'!$A$2:$A$8,0)),FALSE),IF(OR(IFERROR(INDEX(HV_Base_Status,MATCH($G30,HV_Base_MetricKey,0)),"")="source_backed",IFERROR(INDEX(HV_Base_Status,MATCH($G30,HV_Base_MetricKey,0)),"")="formula_calculated",IFERROR(INDEX(HV_Base_Status,MATCH($G30,HV_Base_MetricKey,0)),"")="derived_calculated"),IFERROR(INDEX(HV_Base_Value,MATCH($G30,HV_Base_MetricKey,0)),""),""),"")</f>
        <v/>
      </c>
      <c r="Y30" s="553">
        <f>IF(NOT(IFERROR(INDEX('Hidden_Value_Audit'!$Q$2:$Q$8,MATCH($B30,'Hidden_Value_Audit'!$A$2:$A$8,0)),FALSE)),"",IF($I30&lt;&gt;"",IF(OR(IFERROR(INDEX(HV_Base_Status,MATCH($I30,HV_Base_MetricKey,0)),"")="source_backed",IFERROR(INDEX(HV_Base_Status,MATCH($I30,HV_Base_MetricKey,0)),"")="formula_calculated",IFERROR(INDEX(HV_Base_Status,MATCH($I30,HV_Base_MetricKey,0)),"")="derived_calculated"),IFERROR(INDEX(HV_Base_Value,MATCH($I30,HV_Base_MetricKey,0)),""),""),IF($J30="","",$J30)))</f>
        <v/>
      </c>
      <c r="Z30">
        <f>IF(OR($X30="",$Y30=""),"",IF($H30="gt",$X30&gt;$Y30,IF($H30="gte",$X30&gt;=$Y30,IF($H30="lt",$X30&lt;$Y30,IF($H30="lte",$X30&lt;=$Y30,IF($H30="eq",$X30=$Y30,FALSE))))))</f>
        <v/>
      </c>
      <c r="AA30">
        <f>""</f>
        <v/>
      </c>
      <c r="AB30">
        <f>""</f>
        <v/>
      </c>
      <c r="AC30">
        <f>""</f>
        <v/>
      </c>
      <c r="AD30">
        <f>IF(AND(IF(OR($X30="",$Q30=""),AND($X30="",$Q30=""),IF(AND(ISNUMBER($X30),ISNUMBER($Q30)),ABS($X30-$Q30)&lt;=1E-10,$X30=$Q30)),IF(OR($Y30="",$R30=""),AND($Y30="",$R30=""),IF(AND(ISNUMBER($Y30),ISNUMBER($R30)),ABS($Y30-$R30)&lt;=1E-10,$Y30=$R30)),IF(OR($Z30="",$S30=""),AND($Z30="",$S30=""),IF(AND(ISNUMBER($Z30),ISNUMBER($S30)),ABS($Z30-$S30)&lt;=1E-10,$Z30=$S30)),(IF(NOT(IFERROR(INDEX('Hidden_Value_Audit'!$Q$2:$Q$8,MATCH($B30,'Hidden_Value_Audit'!$A$2:$A$8,0)),FALSE)),"module_or_profile_pack_disabled",IF($Z30="","predicate_input_unavailable",IF($Z30,"passed","failed")))=$W30)),"PASS","FAIL")</f>
        <v/>
      </c>
    </row>
    <row r="31">
      <c r="X31" s="553">
        <f>IF(IFERROR(INDEX('Hidden_Value_Audit'!$Q$2:$Q$8,MATCH($B31,'Hidden_Value_Audit'!$A$2:$A$8,0)),FALSE),IF(OR(IFERROR(INDEX(HV_Base_Status,MATCH($G31,HV_Base_MetricKey,0)),"")="source_backed",IFERROR(INDEX(HV_Base_Status,MATCH($G31,HV_Base_MetricKey,0)),"")="formula_calculated",IFERROR(INDEX(HV_Base_Status,MATCH($G31,HV_Base_MetricKey,0)),"")="derived_calculated"),IFERROR(INDEX(HV_Base_Value,MATCH($G31,HV_Base_MetricKey,0)),""),""),"")</f>
        <v/>
      </c>
      <c r="Y31" s="553">
        <f>IF(NOT(IFERROR(INDEX('Hidden_Value_Audit'!$Q$2:$Q$8,MATCH($B31,'Hidden_Value_Audit'!$A$2:$A$8,0)),FALSE)),"",IF($I31&lt;&gt;"",IF(OR(IFERROR(INDEX(HV_Base_Status,MATCH($I31,HV_Base_MetricKey,0)),"")="source_backed",IFERROR(INDEX(HV_Base_Status,MATCH($I31,HV_Base_MetricKey,0)),"")="formula_calculated",IFERROR(INDEX(HV_Base_Status,MATCH($I31,HV_Base_MetricKey,0)),"")="derived_calculated"),IFERROR(INDEX(HV_Base_Value,MATCH($I31,HV_Base_MetricKey,0)),""),""),IF($J31="","",$J31)))</f>
        <v/>
      </c>
      <c r="Z31">
        <f>IF(OR($X31="",$Y31=""),"",IF($H31="gt",$X31&gt;$Y31,IF($H31="gte",$X31&gt;=$Y31,IF($H31="lt",$X31&lt;$Y31,IF($H31="lte",$X31&lt;=$Y31,IF($H31="eq",$X31=$Y31,FALSE))))))</f>
        <v/>
      </c>
      <c r="AA31">
        <f>""</f>
        <v/>
      </c>
      <c r="AB31">
        <f>""</f>
        <v/>
      </c>
      <c r="AC31">
        <f>""</f>
        <v/>
      </c>
      <c r="AD31">
        <f>IF(AND(IF(OR($X31="",$Q31=""),AND($X31="",$Q31=""),IF(AND(ISNUMBER($X31),ISNUMBER($Q31)),ABS($X31-$Q31)&lt;=1E-10,$X31=$Q31)),IF(OR($Y31="",$R31=""),AND($Y31="",$R31=""),IF(AND(ISNUMBER($Y31),ISNUMBER($R31)),ABS($Y31-$R31)&lt;=1E-10,$Y31=$R31)),IF(OR($Z31="",$S31=""),AND($Z31="",$S31=""),IF(AND(ISNUMBER($Z31),ISNUMBER($S31)),ABS($Z31-$S31)&lt;=1E-10,$Z31=$S31)),(IF(NOT(IFERROR(INDEX('Hidden_Value_Audit'!$Q$2:$Q$8,MATCH($B31,'Hidden_Value_Audit'!$A$2:$A$8,0)),FALSE)),"module_or_profile_pack_disabled",IF($Z31="","predicate_input_unavailable",IF($Z31,"passed","failed")))=$W31)),"PASS","FAIL")</f>
        <v/>
      </c>
    </row>
    <row r="32">
      <c r="X32" s="553">
        <f>IF(IFERROR(INDEX('Hidden_Value_Audit'!$Q$2:$Q$8,MATCH($B32,'Hidden_Value_Audit'!$A$2:$A$8,0)),FALSE),IF(OR(IFERROR(INDEX(HV_Base_Status,MATCH($G32,HV_Base_MetricKey,0)),"")="source_backed",IFERROR(INDEX(HV_Base_Status,MATCH($G32,HV_Base_MetricKey,0)),"")="formula_calculated",IFERROR(INDEX(HV_Base_Status,MATCH($G32,HV_Base_MetricKey,0)),"")="derived_calculated"),IFERROR(INDEX(HV_Base_Value,MATCH($G32,HV_Base_MetricKey,0)),""),""),"")</f>
        <v/>
      </c>
      <c r="Y32">
        <f>IF(IFERROR(INDEX('Hidden_Value_Audit'!$Q$2:$Q$8,MATCH($B32,'Hidden_Value_Audit'!$A$2:$A$8,0)),FALSE),IFERROR(INDEX(HV_Base_Status,MATCH($G32,HV_Base_MetricKey,0)),""),"unavailable")</f>
        <v/>
      </c>
      <c r="Z32">
        <f>IF(NOT(IFERROR(INDEX('Hidden_Value_Audit'!$Q$2:$Q$8,MATCH($B32,'Hidden_Value_Audit'!$A$2:$A$8,0)),FALSE)),FALSE,AND(ISNUMBER($X32),OR($Y32="source_backed",$Y32="formula_calculated",$Y32="derived_calculated")))</f>
        <v/>
      </c>
      <c r="AA32" s="553">
        <f>IF($Z32,$L32,0)</f>
        <v/>
      </c>
      <c r="AB32" s="553">
        <f>IF(NOT($Z32),"",IF(OR(NOT(ISNUMBER($N32)),NOT(ISNUMBER($O32)),$O32&lt;=0,NOT(ISNUMBER($P32)),AND($M32&lt;&gt;"higher",$M32&lt;&gt;"lower")),"",MAX(0,MIN(1,IF($M32="lower",($N32-$X32)/$O32+$P32,($X32-$N32)/$O32+$P32)))))</f>
        <v/>
      </c>
      <c r="AC32" s="553">
        <f>IF($AB32="","",$AB32*$AA32)</f>
        <v/>
      </c>
      <c r="AD32">
        <f>IF(AND(IF(OR($X32="",$Q32=""),AND($X32="",$Q32=""),IF(AND(ISNUMBER($X32),ISNUMBER($Q32)),ABS($X32-$Q32)&lt;=1E-10,$X32=$Q32)),IF(OR($AA32="",$T32=""),AND($AA32="",$T32=""),IF(AND(ISNUMBER($AA32),ISNUMBER($T32)),ABS($AA32-$T32)&lt;=1E-10,$AA32=$T32)),IF(OR($AB32="",$U32=""),AND($AB32="",$U32=""),IF(AND(ISNUMBER($AB32),ISNUMBER($U32)),ABS($AB32-$U32)&lt;=1E-10,$AB32=$U32)),IF(OR($AC32="",$V32=""),AND($AC32="",$V32=""),IF(AND(ISNUMBER($AC32),ISNUMBER($V32)),ABS($AC32-$V32)&lt;=1E-10,$AC32=$V32)),(IF($Z32,"calculated","unavailable")=$W32)),"PASS","FAIL")</f>
        <v/>
      </c>
    </row>
    <row r="33">
      <c r="X33" s="553">
        <f>IF(IFERROR(INDEX('Hidden_Value_Audit'!$Q$2:$Q$8,MATCH($B33,'Hidden_Value_Audit'!$A$2:$A$8,0)),FALSE),IF(OR(IFERROR(INDEX(HV_Base_Status,MATCH($G33,HV_Base_MetricKey,0)),"")="source_backed",IFERROR(INDEX(HV_Base_Status,MATCH($G33,HV_Base_MetricKey,0)),"")="formula_calculated",IFERROR(INDEX(HV_Base_Status,MATCH($G33,HV_Base_MetricKey,0)),"")="derived_calculated"),IFERROR(INDEX(HV_Base_Value,MATCH($G33,HV_Base_MetricKey,0)),""),""),"")</f>
        <v/>
      </c>
      <c r="Y33">
        <f>IF(IFERROR(INDEX('Hidden_Value_Audit'!$Q$2:$Q$8,MATCH($B33,'Hidden_Value_Audit'!$A$2:$A$8,0)),FALSE),IFERROR(INDEX(HV_Base_Status,MATCH($G33,HV_Base_MetricKey,0)),""),"unavailable")</f>
        <v/>
      </c>
      <c r="Z33">
        <f>IF(NOT(IFERROR(INDEX('Hidden_Value_Audit'!$Q$2:$Q$8,MATCH($B33,'Hidden_Value_Audit'!$A$2:$A$8,0)),FALSE)),FALSE,AND(ISNUMBER($X33),OR($Y33="source_backed",$Y33="formula_calculated",$Y33="derived_calculated")))</f>
        <v/>
      </c>
      <c r="AA33" s="553">
        <f>IF($Z33,$L33,0)</f>
        <v/>
      </c>
      <c r="AB33" s="553">
        <f>IF(NOT($Z33),"",IF(OR(NOT(ISNUMBER($N33)),NOT(ISNUMBER($O33)),$O33&lt;=0,NOT(ISNUMBER($P33)),AND($M33&lt;&gt;"higher",$M33&lt;&gt;"lower")),"",MAX(0,MIN(1,IF($M33="lower",($N33-$X33)/$O33+$P33,($X33-$N33)/$O33+$P33)))))</f>
        <v/>
      </c>
      <c r="AC33" s="553">
        <f>IF($AB33="","",$AB33*$AA33)</f>
        <v/>
      </c>
      <c r="AD33">
        <f>IF(AND(IF(OR($X33="",$Q33=""),AND($X33="",$Q33=""),IF(AND(ISNUMBER($X33),ISNUMBER($Q33)),ABS($X33-$Q33)&lt;=1E-10,$X33=$Q33)),IF(OR($AA33="",$T33=""),AND($AA33="",$T33=""),IF(AND(ISNUMBER($AA33),ISNUMBER($T33)),ABS($AA33-$T33)&lt;=1E-10,$AA33=$T33)),IF(OR($AB33="",$U33=""),AND($AB33="",$U33=""),IF(AND(ISNUMBER($AB33),ISNUMBER($U33)),ABS($AB33-$U33)&lt;=1E-10,$AB33=$U33)),IF(OR($AC33="",$V33=""),AND($AC33="",$V33=""),IF(AND(ISNUMBER($AC33),ISNUMBER($V33)),ABS($AC33-$V33)&lt;=1E-10,$AC33=$V33)),(IF($Z33,"calculated","unavailable")=$W33)),"PASS","FAIL")</f>
        <v/>
      </c>
    </row>
    <row r="34">
      <c r="X34" s="553">
        <f>IF(IFERROR(INDEX('Hidden_Value_Audit'!$Q$2:$Q$8,MATCH($B34,'Hidden_Value_Audit'!$A$2:$A$8,0)),FALSE),IF(OR(IFERROR(INDEX(HV_Base_Status,MATCH($G34,HV_Base_MetricKey,0)),"")="source_backed",IFERROR(INDEX(HV_Base_Status,MATCH($G34,HV_Base_MetricKey,0)),"")="formula_calculated",IFERROR(INDEX(HV_Base_Status,MATCH($G34,HV_Base_MetricKey,0)),"")="derived_calculated"),IFERROR(INDEX(HV_Base_Value,MATCH($G34,HV_Base_MetricKey,0)),""),""),"")</f>
        <v/>
      </c>
      <c r="Y34">
        <f>IF(IFERROR(INDEX('Hidden_Value_Audit'!$Q$2:$Q$8,MATCH($B34,'Hidden_Value_Audit'!$A$2:$A$8,0)),FALSE),IFERROR(INDEX(HV_Base_Status,MATCH($G34,HV_Base_MetricKey,0)),""),"unavailable")</f>
        <v/>
      </c>
      <c r="Z34">
        <f>IF(NOT(IFERROR(INDEX('Hidden_Value_Audit'!$Q$2:$Q$8,MATCH($B34,'Hidden_Value_Audit'!$A$2:$A$8,0)),FALSE)),FALSE,AND(ISNUMBER($X34),OR($Y34="source_backed",$Y34="formula_calculated",$Y34="derived_calculated")))</f>
        <v/>
      </c>
      <c r="AA34" s="553">
        <f>IF($Z34,$L34,0)</f>
        <v/>
      </c>
      <c r="AB34" s="553">
        <f>IF(NOT($Z34),"",IF(OR(NOT(ISNUMBER($N34)),NOT(ISNUMBER($O34)),$O34&lt;=0,NOT(ISNUMBER($P34)),AND($M34&lt;&gt;"higher",$M34&lt;&gt;"lower")),"",MAX(0,MIN(1,IF($M34="lower",($N34-$X34)/$O34+$P34,($X34-$N34)/$O34+$P34)))))</f>
        <v/>
      </c>
      <c r="AC34" s="553">
        <f>IF($AB34="","",$AB34*$AA34)</f>
        <v/>
      </c>
      <c r="AD34">
        <f>IF(AND(IF(OR($X34="",$Q34=""),AND($X34="",$Q34=""),IF(AND(ISNUMBER($X34),ISNUMBER($Q34)),ABS($X34-$Q34)&lt;=1E-10,$X34=$Q34)),IF(OR($AA34="",$T34=""),AND($AA34="",$T34=""),IF(AND(ISNUMBER($AA34),ISNUMBER($T34)),ABS($AA34-$T34)&lt;=1E-10,$AA34=$T34)),IF(OR($AB34="",$U34=""),AND($AB34="",$U34=""),IF(AND(ISNUMBER($AB34),ISNUMBER($U34)),ABS($AB34-$U34)&lt;=1E-10,$AB34=$U34)),IF(OR($AC34="",$V34=""),AND($AC34="",$V34=""),IF(AND(ISNUMBER($AC34),ISNUMBER($V34)),ABS($AC34-$V34)&lt;=1E-10,$AC34=$V34)),(IF($Z34,"calculated","unavailable")=$W34)),"PASS","FAIL")</f>
        <v/>
      </c>
    </row>
    <row r="35">
      <c r="X35" s="553">
        <f>IF(OR(IFERROR(INDEX(HV_Base_Status,MATCH($G35,HV_Base_MetricKey,0)),"")="source_backed",IFERROR(INDEX(HV_Base_Status,MATCH($G35,HV_Base_MetricKey,0)),"")="formula_calculated",IFERROR(INDEX(HV_Base_Status,MATCH($G35,HV_Base_MetricKey,0)),"")="derived_calculated"),IFERROR(INDEX(HV_Base_Value,MATCH($G35,HV_Base_MetricKey,0)),""),"")</f>
        <v/>
      </c>
      <c r="Y35">
        <f>IFERROR(INDEX(HV_Base_Status,MATCH($G35,HV_Base_MetricKey,0)),"")</f>
        <v/>
      </c>
      <c r="Z35">
        <f>IF($G35="","",AND(ISNUMBER($X35),OR($Y35="source_backed",$Y35="formula_calculated",$Y35="derived_calculated")))</f>
        <v/>
      </c>
      <c r="AA35">
        <f>""</f>
        <v/>
      </c>
      <c r="AB35">
        <f>""</f>
        <v/>
      </c>
      <c r="AC35">
        <f>""</f>
        <v/>
      </c>
      <c r="AD35">
        <f>IF(AND(IF(OR($X35="",$Q35=""),AND($X35="",$Q35=""),IF(AND(ISNUMBER($X35),ISNUMBER($Q35)),ABS($X35-$Q35)&lt;=1E-10,$X35=$Q35)),IF(OR($Y35="",$W35=""),AND($Y35="",$W35=""),IF(AND(ISNUMBER($Y35),ISNUMBER($W35)),ABS($Y35-$W35)&lt;=1E-10,$Y35=$W35)),IF(OR($Z35="",$S35=""),AND($Z35="",$S35=""),IF(AND(ISNUMBER($Z35),ISNUMBER($S35)),ABS($Z35-$S35)&lt;=1E-10,$Z35=$S35))),"PASS","FAIL")</f>
        <v/>
      </c>
    </row>
    <row r="36">
      <c r="X36" s="553">
        <f>IF(OR(IFERROR(INDEX(HV_Base_Status,MATCH($G36,HV_Base_MetricKey,0)),"")="source_backed",IFERROR(INDEX(HV_Base_Status,MATCH($G36,HV_Base_MetricKey,0)),"")="formula_calculated",IFERROR(INDEX(HV_Base_Status,MATCH($G36,HV_Base_MetricKey,0)),"")="derived_calculated"),IFERROR(INDEX(HV_Base_Value,MATCH($G36,HV_Base_MetricKey,0)),""),"")</f>
        <v/>
      </c>
      <c r="Y36">
        <f>IFERROR(INDEX(HV_Base_Status,MATCH($G36,HV_Base_MetricKey,0)),"")</f>
        <v/>
      </c>
      <c r="Z36">
        <f>IF($G36="","",AND(ISNUMBER($X36),OR($Y36="source_backed",$Y36="formula_calculated",$Y36="derived_calculated")))</f>
        <v/>
      </c>
      <c r="AA36">
        <f>""</f>
        <v/>
      </c>
      <c r="AB36">
        <f>""</f>
        <v/>
      </c>
      <c r="AC36">
        <f>""</f>
        <v/>
      </c>
      <c r="AD36">
        <f>IF(AND(IF(OR($X36="",$Q36=""),AND($X36="",$Q36=""),IF(AND(ISNUMBER($X36),ISNUMBER($Q36)),ABS($X36-$Q36)&lt;=1E-10,$X36=$Q36)),IF(OR($Y36="",$W36=""),AND($Y36="",$W36=""),IF(AND(ISNUMBER($Y36),ISNUMBER($W36)),ABS($Y36-$W36)&lt;=1E-10,$Y36=$W36)),IF(OR($Z36="",$S36=""),AND($Z36="",$S36=""),IF(AND(ISNUMBER($Z36),ISNUMBER($S36)),ABS($Z36-$S36)&lt;=1E-10,$Z36=$S36))),"PASS","FAIL")</f>
        <v/>
      </c>
    </row>
    <row r="37">
      <c r="X37" s="553">
        <f>IF(OR(IFERROR(INDEX(HV_Base_Status,MATCH($G37,HV_Base_MetricKey,0)),"")="source_backed",IFERROR(INDEX(HV_Base_Status,MATCH($G37,HV_Base_MetricKey,0)),"")="formula_calculated",IFERROR(INDEX(HV_Base_Status,MATCH($G37,HV_Base_MetricKey,0)),"")="derived_calculated"),IFERROR(INDEX(HV_Base_Value,MATCH($G37,HV_Base_MetricKey,0)),""),"")</f>
        <v/>
      </c>
      <c r="Y37">
        <f>IFERROR(INDEX(HV_Base_Status,MATCH($G37,HV_Base_MetricKey,0)),"")</f>
        <v/>
      </c>
      <c r="Z37">
        <f>IF($G37="","",AND(ISNUMBER($X37),OR($Y37="source_backed",$Y37="formula_calculated",$Y37="derived_calculated")))</f>
        <v/>
      </c>
      <c r="AA37">
        <f>""</f>
        <v/>
      </c>
      <c r="AB37">
        <f>""</f>
        <v/>
      </c>
      <c r="AC37">
        <f>""</f>
        <v/>
      </c>
      <c r="AD37">
        <f>IF(AND(IF(OR($X37="",$Q37=""),AND($X37="",$Q37=""),IF(AND(ISNUMBER($X37),ISNUMBER($Q37)),ABS($X37-$Q37)&lt;=1E-10,$X37=$Q37)),IF(OR($Y37="",$W37=""),AND($Y37="",$W37=""),IF(AND(ISNUMBER($Y37),ISNUMBER($W37)),ABS($Y37-$W37)&lt;=1E-10,$Y37=$W37)),IF(OR($Z37="",$S37=""),AND($Z37="",$S37=""),IF(AND(ISNUMBER($Z37),ISNUMBER($S37)),ABS($Z37-$S37)&lt;=1E-10,$Z37=$S37))),"PASS","FAIL")</f>
        <v/>
      </c>
    </row>
    <row r="38">
      <c r="X38" s="553">
        <f>IF(OR(IFERROR(INDEX(HV_Base_Status,MATCH($G38,HV_Base_MetricKey,0)),"")="source_backed",IFERROR(INDEX(HV_Base_Status,MATCH($G38,HV_Base_MetricKey,0)),"")="formula_calculated",IFERROR(INDEX(HV_Base_Status,MATCH($G38,HV_Base_MetricKey,0)),"")="derived_calculated"),IFERROR(INDEX(HV_Base_Value,MATCH($G38,HV_Base_MetricKey,0)),""),"")</f>
        <v/>
      </c>
      <c r="Y38">
        <f>IFERROR(INDEX(HV_Base_Status,MATCH($G38,HV_Base_MetricKey,0)),"")</f>
        <v/>
      </c>
      <c r="Z38">
        <f>IF($G38="","",AND(ISNUMBER($X38),OR($Y38="source_backed",$Y38="formula_calculated",$Y38="derived_calculated")))</f>
        <v/>
      </c>
      <c r="AA38">
        <f>""</f>
        <v/>
      </c>
      <c r="AB38">
        <f>""</f>
        <v/>
      </c>
      <c r="AC38">
        <f>""</f>
        <v/>
      </c>
      <c r="AD38">
        <f>IF(AND(IF(OR($X38="",$Q38=""),AND($X38="",$Q38=""),IF(AND(ISNUMBER($X38),ISNUMBER($Q38)),ABS($X38-$Q38)&lt;=1E-10,$X38=$Q38)),IF(OR($Y38="",$W38=""),AND($Y38="",$W38=""),IF(AND(ISNUMBER($Y38),ISNUMBER($W38)),ABS($Y38-$W38)&lt;=1E-10,$Y38=$W38)),IF(OR($Z38="",$S38=""),AND($Z38="",$S38=""),IF(AND(ISNUMBER($Z38),ISNUMBER($S38)),ABS($Z38-$S38)&lt;=1E-10,$Z38=$S38))),"PASS","FAIL")</f>
        <v/>
      </c>
    </row>
    <row r="39">
      <c r="X39" s="553">
        <f>IF(OR(IFERROR(INDEX(HV_Base_Status,MATCH($G39,HV_Base_MetricKey,0)),"")="source_backed",IFERROR(INDEX(HV_Base_Status,MATCH($G39,HV_Base_MetricKey,0)),"")="formula_calculated",IFERROR(INDEX(HV_Base_Status,MATCH($G39,HV_Base_MetricKey,0)),"")="derived_calculated"),IFERROR(INDEX(HV_Base_Value,MATCH($G39,HV_Base_MetricKey,0)),""),"")</f>
        <v/>
      </c>
      <c r="Y39">
        <f>IFERROR(INDEX(HV_Base_Status,MATCH($G39,HV_Base_MetricKey,0)),"")</f>
        <v/>
      </c>
      <c r="Z39">
        <f>IF($G39="","",AND(ISNUMBER($X39),OR($Y39="source_backed",$Y39="formula_calculated",$Y39="derived_calculated")))</f>
        <v/>
      </c>
      <c r="AA39">
        <f>""</f>
        <v/>
      </c>
      <c r="AB39">
        <f>""</f>
        <v/>
      </c>
      <c r="AC39">
        <f>""</f>
        <v/>
      </c>
      <c r="AD39">
        <f>IF(AND(IF(OR($X39="",$Q39=""),AND($X39="",$Q39=""),IF(AND(ISNUMBER($X39),ISNUMBER($Q39)),ABS($X39-$Q39)&lt;=1E-10,$X39=$Q39)),IF(OR($Y39="",$W39=""),AND($Y39="",$W39=""),IF(AND(ISNUMBER($Y39),ISNUMBER($W39)),ABS($Y39-$W39)&lt;=1E-10,$Y39=$W39)),IF(OR($Z39="",$S39=""),AND($Z39="",$S39=""),IF(AND(ISNUMBER($Z39),ISNUMBER($S39)),ABS($Z39-$S39)&lt;=1E-10,$Z39=$S39))),"PASS","FAIL")</f>
        <v/>
      </c>
    </row>
    <row r="40">
      <c r="X40" s="553">
        <f>IF(IFERROR(INDEX('Hidden_Value_Audit'!$Q$2:$Q$8,MATCH($B40,'Hidden_Value_Audit'!$A$2:$A$8,0)),FALSE),IF(OR(IFERROR(INDEX(HV_Base_Status,MATCH($G40,HV_Base_MetricKey,0)),"")="source_backed",IFERROR(INDEX(HV_Base_Status,MATCH($G40,HV_Base_MetricKey,0)),"")="formula_calculated",IFERROR(INDEX(HV_Base_Status,MATCH($G40,HV_Base_MetricKey,0)),"")="derived_calculated"),IFERROR(INDEX(HV_Base_Value,MATCH($G40,HV_Base_MetricKey,0)),""),""),"")</f>
        <v/>
      </c>
      <c r="Y40" s="553">
        <f>IF(NOT(IFERROR(INDEX('Hidden_Value_Audit'!$Q$2:$Q$8,MATCH($B40,'Hidden_Value_Audit'!$A$2:$A$8,0)),FALSE)),"",IF($I40&lt;&gt;"",IF(OR(IFERROR(INDEX(HV_Base_Status,MATCH($I40,HV_Base_MetricKey,0)),"")="source_backed",IFERROR(INDEX(HV_Base_Status,MATCH($I40,HV_Base_MetricKey,0)),"")="formula_calculated",IFERROR(INDEX(HV_Base_Status,MATCH($I40,HV_Base_MetricKey,0)),"")="derived_calculated"),IFERROR(INDEX(HV_Base_Value,MATCH($I40,HV_Base_MetricKey,0)),""),""),IF($J40="","",$J40)))</f>
        <v/>
      </c>
      <c r="Z40">
        <f>IF(OR($X40="",$Y40=""),"",IF($H40="gt",$X40&gt;$Y40,IF($H40="gte",$X40&gt;=$Y40,IF($H40="lt",$X40&lt;$Y40,IF($H40="lte",$X40&lt;=$Y40,IF($H40="eq",$X40=$Y40,FALSE))))))</f>
        <v/>
      </c>
      <c r="AA40">
        <f>""</f>
        <v/>
      </c>
      <c r="AB40">
        <f>""</f>
        <v/>
      </c>
      <c r="AC40">
        <f>""</f>
        <v/>
      </c>
      <c r="AD40">
        <f>IF(AND(IF(OR($X40="",$Q40=""),AND($X40="",$Q40=""),IF(AND(ISNUMBER($X40),ISNUMBER($Q40)),ABS($X40-$Q40)&lt;=1E-10,$X40=$Q40)),IF(OR($Y40="",$R40=""),AND($Y40="",$R40=""),IF(AND(ISNUMBER($Y40),ISNUMBER($R40)),ABS($Y40-$R40)&lt;=1E-10,$Y40=$R40)),IF(OR($Z40="",$S40=""),AND($Z40="",$S40=""),IF(AND(ISNUMBER($Z40),ISNUMBER($S40)),ABS($Z40-$S40)&lt;=1E-10,$Z40=$S40)),(IF(NOT(IFERROR(INDEX('Hidden_Value_Audit'!$Q$2:$Q$8,MATCH($B40,'Hidden_Value_Audit'!$A$2:$A$8,0)),FALSE)),"module_or_profile_pack_disabled",IF($Z40="","predicate_input_unavailable",IF($Z40,"passed","failed")))=$W40)),"PASS","FAIL")</f>
        <v/>
      </c>
    </row>
    <row r="41">
      <c r="X41" s="553">
        <f>IF(IFERROR(INDEX('Hidden_Value_Audit'!$Q$2:$Q$8,MATCH($B41,'Hidden_Value_Audit'!$A$2:$A$8,0)),FALSE),IF(OR(IFERROR(INDEX(HV_Base_Status,MATCH($G41,HV_Base_MetricKey,0)),"")="source_backed",IFERROR(INDEX(HV_Base_Status,MATCH($G41,HV_Base_MetricKey,0)),"")="formula_calculated",IFERROR(INDEX(HV_Base_Status,MATCH($G41,HV_Base_MetricKey,0)),"")="derived_calculated"),IFERROR(INDEX(HV_Base_Value,MATCH($G41,HV_Base_MetricKey,0)),""),""),"")</f>
        <v/>
      </c>
      <c r="Y41" s="553">
        <f>IF(NOT(IFERROR(INDEX('Hidden_Value_Audit'!$Q$2:$Q$8,MATCH($B41,'Hidden_Value_Audit'!$A$2:$A$8,0)),FALSE)),"",IF($I41&lt;&gt;"",IF(OR(IFERROR(INDEX(HV_Base_Status,MATCH($I41,HV_Base_MetricKey,0)),"")="source_backed",IFERROR(INDEX(HV_Base_Status,MATCH($I41,HV_Base_MetricKey,0)),"")="formula_calculated",IFERROR(INDEX(HV_Base_Status,MATCH($I41,HV_Base_MetricKey,0)),"")="derived_calculated"),IFERROR(INDEX(HV_Base_Value,MATCH($I41,HV_Base_MetricKey,0)),""),""),IF($J41="","",$J41)))</f>
        <v/>
      </c>
      <c r="Z41">
        <f>IF(OR($X41="",$Y41=""),"",IF($H41="gt",$X41&gt;$Y41,IF($H41="gte",$X41&gt;=$Y41,IF($H41="lt",$X41&lt;$Y41,IF($H41="lte",$X41&lt;=$Y41,IF($H41="eq",$X41=$Y41,FALSE))))))</f>
        <v/>
      </c>
      <c r="AA41">
        <f>""</f>
        <v/>
      </c>
      <c r="AB41">
        <f>""</f>
        <v/>
      </c>
      <c r="AC41">
        <f>""</f>
        <v/>
      </c>
      <c r="AD41">
        <f>IF(AND(IF(OR($X41="",$Q41=""),AND($X41="",$Q41=""),IF(AND(ISNUMBER($X41),ISNUMBER($Q41)),ABS($X41-$Q41)&lt;=1E-10,$X41=$Q41)),IF(OR($Y41="",$R41=""),AND($Y41="",$R41=""),IF(AND(ISNUMBER($Y41),ISNUMBER($R41)),ABS($Y41-$R41)&lt;=1E-10,$Y41=$R41)),IF(OR($Z41="",$S41=""),AND($Z41="",$S41=""),IF(AND(ISNUMBER($Z41),ISNUMBER($S41)),ABS($Z41-$S41)&lt;=1E-10,$Z41=$S41)),(IF(NOT(IFERROR(INDEX('Hidden_Value_Audit'!$Q$2:$Q$8,MATCH($B41,'Hidden_Value_Audit'!$A$2:$A$8,0)),FALSE)),"module_or_profile_pack_disabled",IF($Z41="","predicate_input_unavailable",IF($Z41,"passed","failed")))=$W41)),"PASS","FAIL")</f>
        <v/>
      </c>
    </row>
    <row r="42">
      <c r="X42" s="553">
        <f>IF(IFERROR(INDEX('Hidden_Value_Audit'!$Q$2:$Q$8,MATCH($B42,'Hidden_Value_Audit'!$A$2:$A$8,0)),FALSE),IF(OR(IFERROR(INDEX(HV_Base_Status,MATCH($G42,HV_Base_MetricKey,0)),"")="source_backed",IFERROR(INDEX(HV_Base_Status,MATCH($G42,HV_Base_MetricKey,0)),"")="formula_calculated",IFERROR(INDEX(HV_Base_Status,MATCH($G42,HV_Base_MetricKey,0)),"")="derived_calculated"),IFERROR(INDEX(HV_Base_Value,MATCH($G42,HV_Base_MetricKey,0)),""),""),"")</f>
        <v/>
      </c>
      <c r="Y42" s="553">
        <f>IF(NOT(IFERROR(INDEX('Hidden_Value_Audit'!$Q$2:$Q$8,MATCH($B42,'Hidden_Value_Audit'!$A$2:$A$8,0)),FALSE)),"",IF($I42&lt;&gt;"",IF(OR(IFERROR(INDEX(HV_Base_Status,MATCH($I42,HV_Base_MetricKey,0)),"")="source_backed",IFERROR(INDEX(HV_Base_Status,MATCH($I42,HV_Base_MetricKey,0)),"")="formula_calculated",IFERROR(INDEX(HV_Base_Status,MATCH($I42,HV_Base_MetricKey,0)),"")="derived_calculated"),IFERROR(INDEX(HV_Base_Value,MATCH($I42,HV_Base_MetricKey,0)),""),""),IF($J42="","",$J42)))</f>
        <v/>
      </c>
      <c r="Z42">
        <f>IF(OR($X42="",$Y42=""),"",IF($H42="gt",$X42&gt;$Y42,IF($H42="gte",$X42&gt;=$Y42,IF($H42="lt",$X42&lt;$Y42,IF($H42="lte",$X42&lt;=$Y42,IF($H42="eq",$X42=$Y42,FALSE))))))</f>
        <v/>
      </c>
      <c r="AA42">
        <f>""</f>
        <v/>
      </c>
      <c r="AB42">
        <f>""</f>
        <v/>
      </c>
      <c r="AC42">
        <f>""</f>
        <v/>
      </c>
      <c r="AD42">
        <f>IF(AND(IF(OR($X42="",$Q42=""),AND($X42="",$Q42=""),IF(AND(ISNUMBER($X42),ISNUMBER($Q42)),ABS($X42-$Q42)&lt;=1E-10,$X42=$Q42)),IF(OR($Y42="",$R42=""),AND($Y42="",$R42=""),IF(AND(ISNUMBER($Y42),ISNUMBER($R42)),ABS($Y42-$R42)&lt;=1E-10,$Y42=$R42)),IF(OR($Z42="",$S42=""),AND($Z42="",$S42=""),IF(AND(ISNUMBER($Z42),ISNUMBER($S42)),ABS($Z42-$S42)&lt;=1E-10,$Z42=$S42)),(IF(NOT(IFERROR(INDEX('Hidden_Value_Audit'!$Q$2:$Q$8,MATCH($B42,'Hidden_Value_Audit'!$A$2:$A$8,0)),FALSE)),"module_or_profile_pack_disabled",IF($Z42="","predicate_input_unavailable",IF($Z42,"passed","failed")))=$W42)),"PASS","FAIL")</f>
        <v/>
      </c>
    </row>
    <row r="43">
      <c r="X43" s="553">
        <f>IF(IFERROR(INDEX('Hidden_Value_Audit'!$Q$2:$Q$8,MATCH($B43,'Hidden_Value_Audit'!$A$2:$A$8,0)),FALSE),IF(OR(IFERROR(INDEX(HV_Base_Status,MATCH($G43,HV_Base_MetricKey,0)),"")="source_backed",IFERROR(INDEX(HV_Base_Status,MATCH($G43,HV_Base_MetricKey,0)),"")="formula_calculated",IFERROR(INDEX(HV_Base_Status,MATCH($G43,HV_Base_MetricKey,0)),"")="derived_calculated"),IFERROR(INDEX(HV_Base_Value,MATCH($G43,HV_Base_MetricKey,0)),""),""),"")</f>
        <v/>
      </c>
      <c r="Y43" s="553">
        <f>IF(NOT(IFERROR(INDEX('Hidden_Value_Audit'!$Q$2:$Q$8,MATCH($B43,'Hidden_Value_Audit'!$A$2:$A$8,0)),FALSE)),"",IF($I43&lt;&gt;"",IF(OR(IFERROR(INDEX(HV_Base_Status,MATCH($I43,HV_Base_MetricKey,0)),"")="source_backed",IFERROR(INDEX(HV_Base_Status,MATCH($I43,HV_Base_MetricKey,0)),"")="formula_calculated",IFERROR(INDEX(HV_Base_Status,MATCH($I43,HV_Base_MetricKey,0)),"")="derived_calculated"),IFERROR(INDEX(HV_Base_Value,MATCH($I43,HV_Base_MetricKey,0)),""),""),IF($J43="","",$J43)))</f>
        <v/>
      </c>
      <c r="Z43">
        <f>IF(OR($X43="",$Y43=""),"",IF($H43="gt",$X43&gt;$Y43,IF($H43="gte",$X43&gt;=$Y43,IF($H43="lt",$X43&lt;$Y43,IF($H43="lte",$X43&lt;=$Y43,IF($H43="eq",$X43=$Y43,FALSE))))))</f>
        <v/>
      </c>
      <c r="AA43">
        <f>""</f>
        <v/>
      </c>
      <c r="AB43">
        <f>""</f>
        <v/>
      </c>
      <c r="AC43">
        <f>""</f>
        <v/>
      </c>
      <c r="AD43">
        <f>IF(AND(IF(OR($X43="",$Q43=""),AND($X43="",$Q43=""),IF(AND(ISNUMBER($X43),ISNUMBER($Q43)),ABS($X43-$Q43)&lt;=1E-10,$X43=$Q43)),IF(OR($Y43="",$R43=""),AND($Y43="",$R43=""),IF(AND(ISNUMBER($Y43),ISNUMBER($R43)),ABS($Y43-$R43)&lt;=1E-10,$Y43=$R43)),IF(OR($Z43="",$S43=""),AND($Z43="",$S43=""),IF(AND(ISNUMBER($Z43),ISNUMBER($S43)),ABS($Z43-$S43)&lt;=1E-10,$Z43=$S43)),(IF(NOT(IFERROR(INDEX('Hidden_Value_Audit'!$Q$2:$Q$8,MATCH($B43,'Hidden_Value_Audit'!$A$2:$A$8,0)),FALSE)),"module_or_profile_pack_disabled",IF($Z43="","predicate_input_unavailable",IF($Z43,"passed","failed")))=$W43)),"PASS","FAIL")</f>
        <v/>
      </c>
    </row>
    <row r="44">
      <c r="X44" s="553">
        <f>IF(IFERROR(INDEX('Hidden_Value_Audit'!$Q$2:$Q$8,MATCH($B44,'Hidden_Value_Audit'!$A$2:$A$8,0)),FALSE),IF(OR(IFERROR(INDEX(HV_Base_Status,MATCH($G44,HV_Base_MetricKey,0)),"")="source_backed",IFERROR(INDEX(HV_Base_Status,MATCH($G44,HV_Base_MetricKey,0)),"")="formula_calculated",IFERROR(INDEX(HV_Base_Status,MATCH($G44,HV_Base_MetricKey,0)),"")="derived_calculated"),IFERROR(INDEX(HV_Base_Value,MATCH($G44,HV_Base_MetricKey,0)),""),""),"")</f>
        <v/>
      </c>
      <c r="Y44" s="553">
        <f>IF(NOT(IFERROR(INDEX('Hidden_Value_Audit'!$Q$2:$Q$8,MATCH($B44,'Hidden_Value_Audit'!$A$2:$A$8,0)),FALSE)),"",IF($I44&lt;&gt;"",IF(OR(IFERROR(INDEX(HV_Base_Status,MATCH($I44,HV_Base_MetricKey,0)),"")="source_backed",IFERROR(INDEX(HV_Base_Status,MATCH($I44,HV_Base_MetricKey,0)),"")="formula_calculated",IFERROR(INDEX(HV_Base_Status,MATCH($I44,HV_Base_MetricKey,0)),"")="derived_calculated"),IFERROR(INDEX(HV_Base_Value,MATCH($I44,HV_Base_MetricKey,0)),""),""),IF($J44="","",$J44)))</f>
        <v/>
      </c>
      <c r="Z44">
        <f>IF(OR($X44="",$Y44=""),"",IF($H44="gt",$X44&gt;$Y44,IF($H44="gte",$X44&gt;=$Y44,IF($H44="lt",$X44&lt;$Y44,IF($H44="lte",$X44&lt;=$Y44,IF($H44="eq",$X44=$Y44,FALSE))))))</f>
        <v/>
      </c>
      <c r="AA44">
        <f>""</f>
        <v/>
      </c>
      <c r="AB44">
        <f>""</f>
        <v/>
      </c>
      <c r="AC44">
        <f>""</f>
        <v/>
      </c>
      <c r="AD44">
        <f>IF(AND(IF(OR($X44="",$Q44=""),AND($X44="",$Q44=""),IF(AND(ISNUMBER($X44),ISNUMBER($Q44)),ABS($X44-$Q44)&lt;=1E-10,$X44=$Q44)),IF(OR($Y44="",$R44=""),AND($Y44="",$R44=""),IF(AND(ISNUMBER($Y44),ISNUMBER($R44)),ABS($Y44-$R44)&lt;=1E-10,$Y44=$R44)),IF(OR($Z44="",$S44=""),AND($Z44="",$S44=""),IF(AND(ISNUMBER($Z44),ISNUMBER($S44)),ABS($Z44-$S44)&lt;=1E-10,$Z44=$S44)),(IF(NOT(IFERROR(INDEX('Hidden_Value_Audit'!$Q$2:$Q$8,MATCH($B44,'Hidden_Value_Audit'!$A$2:$A$8,0)),FALSE)),"module_or_profile_pack_disabled",IF($Z44="","predicate_input_unavailable",IF($Z44,"passed","failed")))=$W44)),"PASS","FAIL")</f>
        <v/>
      </c>
    </row>
    <row r="45">
      <c r="X45" s="553">
        <f>IF(IFERROR(INDEX('Hidden_Value_Audit'!$Q$2:$Q$8,MATCH($B45,'Hidden_Value_Audit'!$A$2:$A$8,0)),FALSE),IF(OR(IFERROR(INDEX(HV_Base_Status,MATCH($G45,HV_Base_MetricKey,0)),"")="source_backed",IFERROR(INDEX(HV_Base_Status,MATCH($G45,HV_Base_MetricKey,0)),"")="formula_calculated",IFERROR(INDEX(HV_Base_Status,MATCH($G45,HV_Base_MetricKey,0)),"")="derived_calculated"),IFERROR(INDEX(HV_Base_Value,MATCH($G45,HV_Base_MetricKey,0)),""),""),"")</f>
        <v/>
      </c>
      <c r="Y45" s="553">
        <f>IF(NOT(IFERROR(INDEX('Hidden_Value_Audit'!$Q$2:$Q$8,MATCH($B45,'Hidden_Value_Audit'!$A$2:$A$8,0)),FALSE)),"",IF($I45&lt;&gt;"",IF(OR(IFERROR(INDEX(HV_Base_Status,MATCH($I45,HV_Base_MetricKey,0)),"")="source_backed",IFERROR(INDEX(HV_Base_Status,MATCH($I45,HV_Base_MetricKey,0)),"")="formula_calculated",IFERROR(INDEX(HV_Base_Status,MATCH($I45,HV_Base_MetricKey,0)),"")="derived_calculated"),IFERROR(INDEX(HV_Base_Value,MATCH($I45,HV_Base_MetricKey,0)),""),""),IF($J45="","",$J45)))</f>
        <v/>
      </c>
      <c r="Z45">
        <f>IF(OR($X45="",$Y45=""),"",IF($H45="gt",$X45&gt;$Y45,IF($H45="gte",$X45&gt;=$Y45,IF($H45="lt",$X45&lt;$Y45,IF($H45="lte",$X45&lt;=$Y45,IF($H45="eq",$X45=$Y45,FALSE))))))</f>
        <v/>
      </c>
      <c r="AA45">
        <f>""</f>
        <v/>
      </c>
      <c r="AB45">
        <f>""</f>
        <v/>
      </c>
      <c r="AC45">
        <f>""</f>
        <v/>
      </c>
      <c r="AD45">
        <f>IF(AND(IF(OR($X45="",$Q45=""),AND($X45="",$Q45=""),IF(AND(ISNUMBER($X45),ISNUMBER($Q45)),ABS($X45-$Q45)&lt;=1E-10,$X45=$Q45)),IF(OR($Y45="",$R45=""),AND($Y45="",$R45=""),IF(AND(ISNUMBER($Y45),ISNUMBER($R45)),ABS($Y45-$R45)&lt;=1E-10,$Y45=$R45)),IF(OR($Z45="",$S45=""),AND($Z45="",$S45=""),IF(AND(ISNUMBER($Z45),ISNUMBER($S45)),ABS($Z45-$S45)&lt;=1E-10,$Z45=$S45)),(IF(NOT(IFERROR(INDEX('Hidden_Value_Audit'!$Q$2:$Q$8,MATCH($B45,'Hidden_Value_Audit'!$A$2:$A$8,0)),FALSE)),"module_or_profile_pack_disabled",IF($Z45="","predicate_input_unavailable",IF($Z45,"passed","failed")))=$W45)),"PASS","FAIL")</f>
        <v/>
      </c>
    </row>
    <row r="46">
      <c r="X46" s="553">
        <f>IF(IFERROR(INDEX('Hidden_Value_Audit'!$Q$2:$Q$8,MATCH($B46,'Hidden_Value_Audit'!$A$2:$A$8,0)),FALSE),IF(OR(IFERROR(INDEX(HV_Base_Status,MATCH($G46,HV_Base_MetricKey,0)),"")="source_backed",IFERROR(INDEX(HV_Base_Status,MATCH($G46,HV_Base_MetricKey,0)),"")="formula_calculated",IFERROR(INDEX(HV_Base_Status,MATCH($G46,HV_Base_MetricKey,0)),"")="derived_calculated"),IFERROR(INDEX(HV_Base_Value,MATCH($G46,HV_Base_MetricKey,0)),""),""),"")</f>
        <v/>
      </c>
      <c r="Y46" s="553">
        <f>IF(NOT(IFERROR(INDEX('Hidden_Value_Audit'!$Q$2:$Q$8,MATCH($B46,'Hidden_Value_Audit'!$A$2:$A$8,0)),FALSE)),"",IF($I46&lt;&gt;"",IF(OR(IFERROR(INDEX(HV_Base_Status,MATCH($I46,HV_Base_MetricKey,0)),"")="source_backed",IFERROR(INDEX(HV_Base_Status,MATCH($I46,HV_Base_MetricKey,0)),"")="formula_calculated",IFERROR(INDEX(HV_Base_Status,MATCH($I46,HV_Base_MetricKey,0)),"")="derived_calculated"),IFERROR(INDEX(HV_Base_Value,MATCH($I46,HV_Base_MetricKey,0)),""),""),IF($J46="","",$J46)))</f>
        <v/>
      </c>
      <c r="Z46">
        <f>IF(OR($X46="",$Y46=""),"",IF($H46="gt",$X46&gt;$Y46,IF($H46="gte",$X46&gt;=$Y46,IF($H46="lt",$X46&lt;$Y46,IF($H46="lte",$X46&lt;=$Y46,IF($H46="eq",$X46=$Y46,FALSE))))))</f>
        <v/>
      </c>
      <c r="AA46">
        <f>""</f>
        <v/>
      </c>
      <c r="AB46">
        <f>""</f>
        <v/>
      </c>
      <c r="AC46">
        <f>""</f>
        <v/>
      </c>
      <c r="AD46">
        <f>IF(AND(IF(OR($X46="",$Q46=""),AND($X46="",$Q46=""),IF(AND(ISNUMBER($X46),ISNUMBER($Q46)),ABS($X46-$Q46)&lt;=1E-10,$X46=$Q46)),IF(OR($Y46="",$R46=""),AND($Y46="",$R46=""),IF(AND(ISNUMBER($Y46),ISNUMBER($R46)),ABS($Y46-$R46)&lt;=1E-10,$Y46=$R46)),IF(OR($Z46="",$S46=""),AND($Z46="",$S46=""),IF(AND(ISNUMBER($Z46),ISNUMBER($S46)),ABS($Z46-$S46)&lt;=1E-10,$Z46=$S46)),(IF(NOT(IFERROR(INDEX('Hidden_Value_Audit'!$Q$2:$Q$8,MATCH($B46,'Hidden_Value_Audit'!$A$2:$A$8,0)),FALSE)),"module_or_profile_pack_disabled",IF($Z46="","predicate_input_unavailable",IF($Z46,"passed","failed")))=$W46)),"PASS","FAIL")</f>
        <v/>
      </c>
    </row>
    <row r="47">
      <c r="X47" s="553">
        <f>IF(IFERROR(INDEX('Hidden_Value_Audit'!$Q$2:$Q$8,MATCH($B47,'Hidden_Value_Audit'!$A$2:$A$8,0)),FALSE),IF(OR(IFERROR(INDEX(HV_Base_Status,MATCH($G47,HV_Base_MetricKey,0)),"")="source_backed",IFERROR(INDEX(HV_Base_Status,MATCH($G47,HV_Base_MetricKey,0)),"")="formula_calculated",IFERROR(INDEX(HV_Base_Status,MATCH($G47,HV_Base_MetricKey,0)),"")="derived_calculated"),IFERROR(INDEX(HV_Base_Value,MATCH($G47,HV_Base_MetricKey,0)),""),""),"")</f>
        <v/>
      </c>
      <c r="Y47" s="553">
        <f>IF(NOT(IFERROR(INDEX('Hidden_Value_Audit'!$Q$2:$Q$8,MATCH($B47,'Hidden_Value_Audit'!$A$2:$A$8,0)),FALSE)),"",IF($I47&lt;&gt;"",IF(OR(IFERROR(INDEX(HV_Base_Status,MATCH($I47,HV_Base_MetricKey,0)),"")="source_backed",IFERROR(INDEX(HV_Base_Status,MATCH($I47,HV_Base_MetricKey,0)),"")="formula_calculated",IFERROR(INDEX(HV_Base_Status,MATCH($I47,HV_Base_MetricKey,0)),"")="derived_calculated"),IFERROR(INDEX(HV_Base_Value,MATCH($I47,HV_Base_MetricKey,0)),""),""),IF($J47="","",$J47)))</f>
        <v/>
      </c>
      <c r="Z47">
        <f>IF(OR($X47="",$Y47=""),"",IF($H47="gt",$X47&gt;$Y47,IF($H47="gte",$X47&gt;=$Y47,IF($H47="lt",$X47&lt;$Y47,IF($H47="lte",$X47&lt;=$Y47,IF($H47="eq",$X47=$Y47,FALSE))))))</f>
        <v/>
      </c>
      <c r="AA47">
        <f>""</f>
        <v/>
      </c>
      <c r="AB47">
        <f>""</f>
        <v/>
      </c>
      <c r="AC47">
        <f>""</f>
        <v/>
      </c>
      <c r="AD47">
        <f>IF(AND(IF(OR($X47="",$Q47=""),AND($X47="",$Q47=""),IF(AND(ISNUMBER($X47),ISNUMBER($Q47)),ABS($X47-$Q47)&lt;=1E-10,$X47=$Q47)),IF(OR($Y47="",$R47=""),AND($Y47="",$R47=""),IF(AND(ISNUMBER($Y47),ISNUMBER($R47)),ABS($Y47-$R47)&lt;=1E-10,$Y47=$R47)),IF(OR($Z47="",$S47=""),AND($Z47="",$S47=""),IF(AND(ISNUMBER($Z47),ISNUMBER($S47)),ABS($Z47-$S47)&lt;=1E-10,$Z47=$S47)),(IF(NOT(IFERROR(INDEX('Hidden_Value_Audit'!$Q$2:$Q$8,MATCH($B47,'Hidden_Value_Audit'!$A$2:$A$8,0)),FALSE)),"module_or_profile_pack_disabled",IF($Z47="","predicate_input_unavailable",IF($Z47,"passed","failed")))=$W47)),"PASS","FAIL")</f>
        <v/>
      </c>
    </row>
    <row r="48">
      <c r="X48" s="553">
        <f>IF(IFERROR(INDEX('Hidden_Value_Audit'!$Q$2:$Q$8,MATCH($B48,'Hidden_Value_Audit'!$A$2:$A$8,0)),FALSE),IF(OR(IFERROR(INDEX(HV_Base_Status,MATCH($G48,HV_Base_MetricKey,0)),"")="source_backed",IFERROR(INDEX(HV_Base_Status,MATCH($G48,HV_Base_MetricKey,0)),"")="formula_calculated",IFERROR(INDEX(HV_Base_Status,MATCH($G48,HV_Base_MetricKey,0)),"")="derived_calculated"),IFERROR(INDEX(HV_Base_Value,MATCH($G48,HV_Base_MetricKey,0)),""),""),"")</f>
        <v/>
      </c>
      <c r="Y48">
        <f>IF(IFERROR(INDEX('Hidden_Value_Audit'!$Q$2:$Q$8,MATCH($B48,'Hidden_Value_Audit'!$A$2:$A$8,0)),FALSE),IFERROR(INDEX(HV_Base_Status,MATCH($G48,HV_Base_MetricKey,0)),""),"unavailable")</f>
        <v/>
      </c>
      <c r="Z48">
        <f>IF(NOT(IFERROR(INDEX('Hidden_Value_Audit'!$Q$2:$Q$8,MATCH($B48,'Hidden_Value_Audit'!$A$2:$A$8,0)),FALSE)),FALSE,AND(ISNUMBER($X48),OR($Y48="source_backed",$Y48="formula_calculated",$Y48="derived_calculated")))</f>
        <v/>
      </c>
      <c r="AA48" s="553">
        <f>IF($Z48,$L48,0)</f>
        <v/>
      </c>
      <c r="AB48" s="553">
        <f>IF(NOT($Z48),"",IF(OR(NOT(ISNUMBER($N48)),NOT(ISNUMBER($O48)),$O48&lt;=0,NOT(ISNUMBER($P48)),AND($M48&lt;&gt;"higher",$M48&lt;&gt;"lower")),"",MAX(0,MIN(1,IF($M48="lower",($N48-$X48)/$O48+$P48,($X48-$N48)/$O48+$P48)))))</f>
        <v/>
      </c>
      <c r="AC48" s="553">
        <f>IF($AB48="","",$AB48*$AA48)</f>
        <v/>
      </c>
      <c r="AD48">
        <f>IF(AND(IF(OR($X48="",$Q48=""),AND($X48="",$Q48=""),IF(AND(ISNUMBER($X48),ISNUMBER($Q48)),ABS($X48-$Q48)&lt;=1E-10,$X48=$Q48)),IF(OR($AA48="",$T48=""),AND($AA48="",$T48=""),IF(AND(ISNUMBER($AA48),ISNUMBER($T48)),ABS($AA48-$T48)&lt;=1E-10,$AA48=$T48)),IF(OR($AB48="",$U48=""),AND($AB48="",$U48=""),IF(AND(ISNUMBER($AB48),ISNUMBER($U48)),ABS($AB48-$U48)&lt;=1E-10,$AB48=$U48)),IF(OR($AC48="",$V48=""),AND($AC48="",$V48=""),IF(AND(ISNUMBER($AC48),ISNUMBER($V48)),ABS($AC48-$V48)&lt;=1E-10,$AC48=$V48)),(IF($Z48,"calculated","unavailable")=$W48)),"PASS","FAIL")</f>
        <v/>
      </c>
    </row>
    <row r="49">
      <c r="X49" s="553">
        <f>IF(IFERROR(INDEX('Hidden_Value_Audit'!$Q$2:$Q$8,MATCH($B49,'Hidden_Value_Audit'!$A$2:$A$8,0)),FALSE),IF(OR(IFERROR(INDEX(HV_Base_Status,MATCH($G49,HV_Base_MetricKey,0)),"")="source_backed",IFERROR(INDEX(HV_Base_Status,MATCH($G49,HV_Base_MetricKey,0)),"")="formula_calculated",IFERROR(INDEX(HV_Base_Status,MATCH($G49,HV_Base_MetricKey,0)),"")="derived_calculated"),IFERROR(INDEX(HV_Base_Value,MATCH($G49,HV_Base_MetricKey,0)),""),""),"")</f>
        <v/>
      </c>
      <c r="Y49">
        <f>IF(IFERROR(INDEX('Hidden_Value_Audit'!$Q$2:$Q$8,MATCH($B49,'Hidden_Value_Audit'!$A$2:$A$8,0)),FALSE),IFERROR(INDEX(HV_Base_Status,MATCH($G49,HV_Base_MetricKey,0)),""),"unavailable")</f>
        <v/>
      </c>
      <c r="Z49">
        <f>IF(NOT(IFERROR(INDEX('Hidden_Value_Audit'!$Q$2:$Q$8,MATCH($B49,'Hidden_Value_Audit'!$A$2:$A$8,0)),FALSE)),FALSE,AND(ISNUMBER($X49),OR($Y49="source_backed",$Y49="formula_calculated",$Y49="derived_calculated")))</f>
        <v/>
      </c>
      <c r="AA49" s="553">
        <f>IF($Z49,$L49,0)</f>
        <v/>
      </c>
      <c r="AB49" s="553">
        <f>IF(NOT($Z49),"",IF(OR(NOT(ISNUMBER($N49)),NOT(ISNUMBER($O49)),$O49&lt;=0,NOT(ISNUMBER($P49)),AND($M49&lt;&gt;"higher",$M49&lt;&gt;"lower")),"",MAX(0,MIN(1,IF($M49="lower",($N49-$X49)/$O49+$P49,($X49-$N49)/$O49+$P49)))))</f>
        <v/>
      </c>
      <c r="AC49" s="553">
        <f>IF($AB49="","",$AB49*$AA49)</f>
        <v/>
      </c>
      <c r="AD49">
        <f>IF(AND(IF(OR($X49="",$Q49=""),AND($X49="",$Q49=""),IF(AND(ISNUMBER($X49),ISNUMBER($Q49)),ABS($X49-$Q49)&lt;=1E-10,$X49=$Q49)),IF(OR($AA49="",$T49=""),AND($AA49="",$T49=""),IF(AND(ISNUMBER($AA49),ISNUMBER($T49)),ABS($AA49-$T49)&lt;=1E-10,$AA49=$T49)),IF(OR($AB49="",$U49=""),AND($AB49="",$U49=""),IF(AND(ISNUMBER($AB49),ISNUMBER($U49)),ABS($AB49-$U49)&lt;=1E-10,$AB49=$U49)),IF(OR($AC49="",$V49=""),AND($AC49="",$V49=""),IF(AND(ISNUMBER($AC49),ISNUMBER($V49)),ABS($AC49-$V49)&lt;=1E-10,$AC49=$V49)),(IF($Z49,"calculated","unavailable")=$W49)),"PASS","FAIL")</f>
        <v/>
      </c>
    </row>
    <row r="50">
      <c r="X50" s="553">
        <f>IF(IFERROR(INDEX('Hidden_Value_Audit'!$Q$2:$Q$8,MATCH($B50,'Hidden_Value_Audit'!$A$2:$A$8,0)),FALSE),IF(OR(IFERROR(INDEX(HV_Base_Status,MATCH($G50,HV_Base_MetricKey,0)),"")="source_backed",IFERROR(INDEX(HV_Base_Status,MATCH($G50,HV_Base_MetricKey,0)),"")="formula_calculated",IFERROR(INDEX(HV_Base_Status,MATCH($G50,HV_Base_MetricKey,0)),"")="derived_calculated"),IFERROR(INDEX(HV_Base_Value,MATCH($G50,HV_Base_MetricKey,0)),""),""),"")</f>
        <v/>
      </c>
      <c r="Y50">
        <f>IF(IFERROR(INDEX('Hidden_Value_Audit'!$Q$2:$Q$8,MATCH($B50,'Hidden_Value_Audit'!$A$2:$A$8,0)),FALSE),IFERROR(INDEX(HV_Base_Status,MATCH($G50,HV_Base_MetricKey,0)),""),"unavailable")</f>
        <v/>
      </c>
      <c r="Z50">
        <f>IF(NOT(IFERROR(INDEX('Hidden_Value_Audit'!$Q$2:$Q$8,MATCH($B50,'Hidden_Value_Audit'!$A$2:$A$8,0)),FALSE)),FALSE,AND(ISNUMBER($X50),OR($Y50="source_backed",$Y50="formula_calculated",$Y50="derived_calculated")))</f>
        <v/>
      </c>
      <c r="AA50" s="553">
        <f>IF($Z50,$L50,0)</f>
        <v/>
      </c>
      <c r="AB50" s="553">
        <f>IF(NOT($Z50),"",IF(OR(NOT(ISNUMBER($N50)),NOT(ISNUMBER($O50)),$O50&lt;=0,NOT(ISNUMBER($P50)),AND($M50&lt;&gt;"higher",$M50&lt;&gt;"lower")),"",MAX(0,MIN(1,IF($M50="lower",($N50-$X50)/$O50+$P50,($X50-$N50)/$O50+$P50)))))</f>
        <v/>
      </c>
      <c r="AC50" s="553">
        <f>IF($AB50="","",$AB50*$AA50)</f>
        <v/>
      </c>
      <c r="AD50">
        <f>IF(AND(IF(OR($X50="",$Q50=""),AND($X50="",$Q50=""),IF(AND(ISNUMBER($X50),ISNUMBER($Q50)),ABS($X50-$Q50)&lt;=1E-10,$X50=$Q50)),IF(OR($AA50="",$T50=""),AND($AA50="",$T50=""),IF(AND(ISNUMBER($AA50),ISNUMBER($T50)),ABS($AA50-$T50)&lt;=1E-10,$AA50=$T50)),IF(OR($AB50="",$U50=""),AND($AB50="",$U50=""),IF(AND(ISNUMBER($AB50),ISNUMBER($U50)),ABS($AB50-$U50)&lt;=1E-10,$AB50=$U50)),IF(OR($AC50="",$V50=""),AND($AC50="",$V50=""),IF(AND(ISNUMBER($AC50),ISNUMBER($V50)),ABS($AC50-$V50)&lt;=1E-10,$AC50=$V50)),(IF($Z50,"calculated","unavailable")=$W50)),"PASS","FAIL")</f>
        <v/>
      </c>
    </row>
    <row r="51">
      <c r="X51" s="553">
        <f>IF(OR(IFERROR(INDEX(HV_Base_Status,MATCH($G51,HV_Base_MetricKey,0)),"")="source_backed",IFERROR(INDEX(HV_Base_Status,MATCH($G51,HV_Base_MetricKey,0)),"")="formula_calculated",IFERROR(INDEX(HV_Base_Status,MATCH($G51,HV_Base_MetricKey,0)),"")="derived_calculated"),IFERROR(INDEX(HV_Base_Value,MATCH($G51,HV_Base_MetricKey,0)),""),"")</f>
        <v/>
      </c>
      <c r="Y51">
        <f>IFERROR(INDEX(HV_Base_Status,MATCH($G51,HV_Base_MetricKey,0)),"")</f>
        <v/>
      </c>
      <c r="Z51">
        <f>IF($G51="","",AND(ISNUMBER($X51),OR($Y51="source_backed",$Y51="formula_calculated",$Y51="derived_calculated")))</f>
        <v/>
      </c>
      <c r="AA51">
        <f>""</f>
        <v/>
      </c>
      <c r="AB51">
        <f>""</f>
        <v/>
      </c>
      <c r="AC51">
        <f>""</f>
        <v/>
      </c>
      <c r="AD51">
        <f>IF(AND(IF(OR($X51="",$Q51=""),AND($X51="",$Q51=""),IF(AND(ISNUMBER($X51),ISNUMBER($Q51)),ABS($X51-$Q51)&lt;=1E-10,$X51=$Q51)),IF(OR($Y51="",$W51=""),AND($Y51="",$W51=""),IF(AND(ISNUMBER($Y51),ISNUMBER($W51)),ABS($Y51-$W51)&lt;=1E-10,$Y51=$W51)),IF(OR($Z51="",$S51=""),AND($Z51="",$S51=""),IF(AND(ISNUMBER($Z51),ISNUMBER($S51)),ABS($Z51-$S51)&lt;=1E-10,$Z51=$S51))),"PASS","FAIL")</f>
        <v/>
      </c>
    </row>
    <row r="52">
      <c r="X52" s="553">
        <f>IF(OR(IFERROR(INDEX(HV_Base_Status,MATCH($G52,HV_Base_MetricKey,0)),"")="source_backed",IFERROR(INDEX(HV_Base_Status,MATCH($G52,HV_Base_MetricKey,0)),"")="formula_calculated",IFERROR(INDEX(HV_Base_Status,MATCH($G52,HV_Base_MetricKey,0)),"")="derived_calculated"),IFERROR(INDEX(HV_Base_Value,MATCH($G52,HV_Base_MetricKey,0)),""),"")</f>
        <v/>
      </c>
      <c r="Y52">
        <f>IFERROR(INDEX(HV_Base_Status,MATCH($G52,HV_Base_MetricKey,0)),"")</f>
        <v/>
      </c>
      <c r="Z52">
        <f>IF($G52="","",AND(ISNUMBER($X52),OR($Y52="source_backed",$Y52="formula_calculated",$Y52="derived_calculated")))</f>
        <v/>
      </c>
      <c r="AA52">
        <f>""</f>
        <v/>
      </c>
      <c r="AB52">
        <f>""</f>
        <v/>
      </c>
      <c r="AC52">
        <f>""</f>
        <v/>
      </c>
      <c r="AD52">
        <f>IF(AND(IF(OR($X52="",$Q52=""),AND($X52="",$Q52=""),IF(AND(ISNUMBER($X52),ISNUMBER($Q52)),ABS($X52-$Q52)&lt;=1E-10,$X52=$Q52)),IF(OR($Y52="",$W52=""),AND($Y52="",$W52=""),IF(AND(ISNUMBER($Y52),ISNUMBER($W52)),ABS($Y52-$W52)&lt;=1E-10,$Y52=$W52)),IF(OR($Z52="",$S52=""),AND($Z52="",$S52=""),IF(AND(ISNUMBER($Z52),ISNUMBER($S52)),ABS($Z52-$S52)&lt;=1E-10,$Z52=$S52))),"PASS","FAIL")</f>
        <v/>
      </c>
    </row>
    <row r="53">
      <c r="X53" s="553">
        <f>IF(OR(IFERROR(INDEX(HV_Base_Status,MATCH($G53,HV_Base_MetricKey,0)),"")="source_backed",IFERROR(INDEX(HV_Base_Status,MATCH($G53,HV_Base_MetricKey,0)),"")="formula_calculated",IFERROR(INDEX(HV_Base_Status,MATCH($G53,HV_Base_MetricKey,0)),"")="derived_calculated"),IFERROR(INDEX(HV_Base_Value,MATCH($G53,HV_Base_MetricKey,0)),""),"")</f>
        <v/>
      </c>
      <c r="Y53">
        <f>IFERROR(INDEX(HV_Base_Status,MATCH($G53,HV_Base_MetricKey,0)),"")</f>
        <v/>
      </c>
      <c r="Z53">
        <f>IF($G53="","",AND(ISNUMBER($X53),OR($Y53="source_backed",$Y53="formula_calculated",$Y53="derived_calculated")))</f>
        <v/>
      </c>
      <c r="AA53">
        <f>""</f>
        <v/>
      </c>
      <c r="AB53">
        <f>""</f>
        <v/>
      </c>
      <c r="AC53">
        <f>""</f>
        <v/>
      </c>
      <c r="AD53">
        <f>IF(AND(IF(OR($X53="",$Q53=""),AND($X53="",$Q53=""),IF(AND(ISNUMBER($X53),ISNUMBER($Q53)),ABS($X53-$Q53)&lt;=1E-10,$X53=$Q53)),IF(OR($Y53="",$W53=""),AND($Y53="",$W53=""),IF(AND(ISNUMBER($Y53),ISNUMBER($W53)),ABS($Y53-$W53)&lt;=1E-10,$Y53=$W53)),IF(OR($Z53="",$S53=""),AND($Z53="",$S53=""),IF(AND(ISNUMBER($Z53),ISNUMBER($S53)),ABS($Z53-$S53)&lt;=1E-10,$Z53=$S53))),"PASS","FAIL")</f>
        <v/>
      </c>
    </row>
    <row r="54">
      <c r="X54" s="553">
        <f>IF(OR(IFERROR(INDEX(HV_Base_Status,MATCH($G54,HV_Base_MetricKey,0)),"")="source_backed",IFERROR(INDEX(HV_Base_Status,MATCH($G54,HV_Base_MetricKey,0)),"")="formula_calculated",IFERROR(INDEX(HV_Base_Status,MATCH($G54,HV_Base_MetricKey,0)),"")="derived_calculated"),IFERROR(INDEX(HV_Base_Value,MATCH($G54,HV_Base_MetricKey,0)),""),"")</f>
        <v/>
      </c>
      <c r="Y54">
        <f>IFERROR(INDEX(HV_Base_Status,MATCH($G54,HV_Base_MetricKey,0)),"")</f>
        <v/>
      </c>
      <c r="Z54">
        <f>IF($G54="","",AND(ISNUMBER($X54),OR($Y54="source_backed",$Y54="formula_calculated",$Y54="derived_calculated")))</f>
        <v/>
      </c>
      <c r="AA54">
        <f>""</f>
        <v/>
      </c>
      <c r="AB54">
        <f>""</f>
        <v/>
      </c>
      <c r="AC54">
        <f>""</f>
        <v/>
      </c>
      <c r="AD54">
        <f>IF(AND(IF(OR($X54="",$Q54=""),AND($X54="",$Q54=""),IF(AND(ISNUMBER($X54),ISNUMBER($Q54)),ABS($X54-$Q54)&lt;=1E-10,$X54=$Q54)),IF(OR($Y54="",$W54=""),AND($Y54="",$W54=""),IF(AND(ISNUMBER($Y54),ISNUMBER($W54)),ABS($Y54-$W54)&lt;=1E-10,$Y54=$W54)),IF(OR($Z54="",$S54=""),AND($Z54="",$S54=""),IF(AND(ISNUMBER($Z54),ISNUMBER($S54)),ABS($Z54-$S54)&lt;=1E-10,$Z54=$S54))),"PASS","FAIL")</f>
        <v/>
      </c>
    </row>
    <row r="55">
      <c r="X55" s="553">
        <f>IF(OR(IFERROR(INDEX(HV_Base_Status,MATCH($G55,HV_Base_MetricKey,0)),"")="source_backed",IFERROR(INDEX(HV_Base_Status,MATCH($G55,HV_Base_MetricKey,0)),"")="formula_calculated",IFERROR(INDEX(HV_Base_Status,MATCH($G55,HV_Base_MetricKey,0)),"")="derived_calculated"),IFERROR(INDEX(HV_Base_Value,MATCH($G55,HV_Base_MetricKey,0)),""),"")</f>
        <v/>
      </c>
      <c r="Y55">
        <f>IFERROR(INDEX(HV_Base_Status,MATCH($G55,HV_Base_MetricKey,0)),"")</f>
        <v/>
      </c>
      <c r="Z55">
        <f>IF($G55="","",AND(ISNUMBER($X55),OR($Y55="source_backed",$Y55="formula_calculated",$Y55="derived_calculated")))</f>
        <v/>
      </c>
      <c r="AA55">
        <f>""</f>
        <v/>
      </c>
      <c r="AB55">
        <f>""</f>
        <v/>
      </c>
      <c r="AC55">
        <f>""</f>
        <v/>
      </c>
      <c r="AD55">
        <f>IF(AND(IF(OR($X55="",$Q55=""),AND($X55="",$Q55=""),IF(AND(ISNUMBER($X55),ISNUMBER($Q55)),ABS($X55-$Q55)&lt;=1E-10,$X55=$Q55)),IF(OR($Y55="",$W55=""),AND($Y55="",$W55=""),IF(AND(ISNUMBER($Y55),ISNUMBER($W55)),ABS($Y55-$W55)&lt;=1E-10,$Y55=$W55)),IF(OR($Z55="",$S55=""),AND($Z55="",$S55=""),IF(AND(ISNUMBER($Z55),ISNUMBER($S55)),ABS($Z55-$S55)&lt;=1E-10,$Z55=$S55))),"PASS","FAIL")</f>
        <v/>
      </c>
    </row>
    <row r="56">
      <c r="X56" s="553">
        <f>IF(IFERROR(INDEX('Hidden_Value_Audit'!$Q$2:$Q$8,MATCH($B56,'Hidden_Value_Audit'!$A$2:$A$8,0)),FALSE),IF(OR(IFERROR(INDEX(HV_Base_Status,MATCH($G56,HV_Base_MetricKey,0)),"")="source_backed",IFERROR(INDEX(HV_Base_Status,MATCH($G56,HV_Base_MetricKey,0)),"")="formula_calculated",IFERROR(INDEX(HV_Base_Status,MATCH($G56,HV_Base_MetricKey,0)),"")="derived_calculated"),IFERROR(INDEX(HV_Base_Value,MATCH($G56,HV_Base_MetricKey,0)),""),""),"")</f>
        <v/>
      </c>
      <c r="Y56" s="553">
        <f>IF(NOT(IFERROR(INDEX('Hidden_Value_Audit'!$Q$2:$Q$8,MATCH($B56,'Hidden_Value_Audit'!$A$2:$A$8,0)),FALSE)),"",IF($I56&lt;&gt;"",IF(OR(IFERROR(INDEX(HV_Base_Status,MATCH($I56,HV_Base_MetricKey,0)),"")="source_backed",IFERROR(INDEX(HV_Base_Status,MATCH($I56,HV_Base_MetricKey,0)),"")="formula_calculated",IFERROR(INDEX(HV_Base_Status,MATCH($I56,HV_Base_MetricKey,0)),"")="derived_calculated"),IFERROR(INDEX(HV_Base_Value,MATCH($I56,HV_Base_MetricKey,0)),""),""),IF($J56="","",$J56)))</f>
        <v/>
      </c>
      <c r="Z56">
        <f>IF(OR($X56="",$Y56=""),"",IF($H56="gt",$X56&gt;$Y56,IF($H56="gte",$X56&gt;=$Y56,IF($H56="lt",$X56&lt;$Y56,IF($H56="lte",$X56&lt;=$Y56,IF($H56="eq",$X56=$Y56,FALSE))))))</f>
        <v/>
      </c>
      <c r="AA56">
        <f>""</f>
        <v/>
      </c>
      <c r="AB56">
        <f>""</f>
        <v/>
      </c>
      <c r="AC56">
        <f>""</f>
        <v/>
      </c>
      <c r="AD56">
        <f>IF(AND(IF(OR($X56="",$Q56=""),AND($X56="",$Q56=""),IF(AND(ISNUMBER($X56),ISNUMBER($Q56)),ABS($X56-$Q56)&lt;=1E-10,$X56=$Q56)),IF(OR($Y56="",$R56=""),AND($Y56="",$R56=""),IF(AND(ISNUMBER($Y56),ISNUMBER($R56)),ABS($Y56-$R56)&lt;=1E-10,$Y56=$R56)),IF(OR($Z56="",$S56=""),AND($Z56="",$S56=""),IF(AND(ISNUMBER($Z56),ISNUMBER($S56)),ABS($Z56-$S56)&lt;=1E-10,$Z56=$S56)),(IF(NOT(IFERROR(INDEX('Hidden_Value_Audit'!$Q$2:$Q$8,MATCH($B56,'Hidden_Value_Audit'!$A$2:$A$8,0)),FALSE)),"module_or_profile_pack_disabled",IF($Z56="","predicate_input_unavailable",IF($Z56,"passed","failed")))=$W56)),"PASS","FAIL")</f>
        <v/>
      </c>
    </row>
    <row r="57">
      <c r="X57" s="553">
        <f>IF(IFERROR(INDEX('Hidden_Value_Audit'!$Q$2:$Q$8,MATCH($B57,'Hidden_Value_Audit'!$A$2:$A$8,0)),FALSE),IF(OR(IFERROR(INDEX(HV_Base_Status,MATCH($G57,HV_Base_MetricKey,0)),"")="source_backed",IFERROR(INDEX(HV_Base_Status,MATCH($G57,HV_Base_MetricKey,0)),"")="formula_calculated",IFERROR(INDEX(HV_Base_Status,MATCH($G57,HV_Base_MetricKey,0)),"")="derived_calculated"),IFERROR(INDEX(HV_Base_Value,MATCH($G57,HV_Base_MetricKey,0)),""),""),"")</f>
        <v/>
      </c>
      <c r="Y57" s="553">
        <f>IF(NOT(IFERROR(INDEX('Hidden_Value_Audit'!$Q$2:$Q$8,MATCH($B57,'Hidden_Value_Audit'!$A$2:$A$8,0)),FALSE)),"",IF($I57&lt;&gt;"",IF(OR(IFERROR(INDEX(HV_Base_Status,MATCH($I57,HV_Base_MetricKey,0)),"")="source_backed",IFERROR(INDEX(HV_Base_Status,MATCH($I57,HV_Base_MetricKey,0)),"")="formula_calculated",IFERROR(INDEX(HV_Base_Status,MATCH($I57,HV_Base_MetricKey,0)),"")="derived_calculated"),IFERROR(INDEX(HV_Base_Value,MATCH($I57,HV_Base_MetricKey,0)),""),""),IF($J57="","",$J57)))</f>
        <v/>
      </c>
      <c r="Z57">
        <f>IF(OR($X57="",$Y57=""),"",IF($H57="gt",$X57&gt;$Y57,IF($H57="gte",$X57&gt;=$Y57,IF($H57="lt",$X57&lt;$Y57,IF($H57="lte",$X57&lt;=$Y57,IF($H57="eq",$X57=$Y57,FALSE))))))</f>
        <v/>
      </c>
      <c r="AA57">
        <f>""</f>
        <v/>
      </c>
      <c r="AB57">
        <f>""</f>
        <v/>
      </c>
      <c r="AC57">
        <f>""</f>
        <v/>
      </c>
      <c r="AD57">
        <f>IF(AND(IF(OR($X57="",$Q57=""),AND($X57="",$Q57=""),IF(AND(ISNUMBER($X57),ISNUMBER($Q57)),ABS($X57-$Q57)&lt;=1E-10,$X57=$Q57)),IF(OR($Y57="",$R57=""),AND($Y57="",$R57=""),IF(AND(ISNUMBER($Y57),ISNUMBER($R57)),ABS($Y57-$R57)&lt;=1E-10,$Y57=$R57)),IF(OR($Z57="",$S57=""),AND($Z57="",$S57=""),IF(AND(ISNUMBER($Z57),ISNUMBER($S57)),ABS($Z57-$S57)&lt;=1E-10,$Z57=$S57)),(IF(NOT(IFERROR(INDEX('Hidden_Value_Audit'!$Q$2:$Q$8,MATCH($B57,'Hidden_Value_Audit'!$A$2:$A$8,0)),FALSE)),"module_or_profile_pack_disabled",IF($Z57="","predicate_input_unavailable",IF($Z57,"passed","failed")))=$W57)),"PASS","FAIL")</f>
        <v/>
      </c>
    </row>
    <row r="58">
      <c r="X58" s="553">
        <f>IF(IFERROR(INDEX('Hidden_Value_Audit'!$Q$2:$Q$8,MATCH($B58,'Hidden_Value_Audit'!$A$2:$A$8,0)),FALSE),IF(OR(IFERROR(INDEX(HV_Base_Status,MATCH($G58,HV_Base_MetricKey,0)),"")="source_backed",IFERROR(INDEX(HV_Base_Status,MATCH($G58,HV_Base_MetricKey,0)),"")="formula_calculated",IFERROR(INDEX(HV_Base_Status,MATCH($G58,HV_Base_MetricKey,0)),"")="derived_calculated"),IFERROR(INDEX(HV_Base_Value,MATCH($G58,HV_Base_MetricKey,0)),""),""),"")</f>
        <v/>
      </c>
      <c r="Y58" s="553">
        <f>IF(NOT(IFERROR(INDEX('Hidden_Value_Audit'!$Q$2:$Q$8,MATCH($B58,'Hidden_Value_Audit'!$A$2:$A$8,0)),FALSE)),"",IF($I58&lt;&gt;"",IF(OR(IFERROR(INDEX(HV_Base_Status,MATCH($I58,HV_Base_MetricKey,0)),"")="source_backed",IFERROR(INDEX(HV_Base_Status,MATCH($I58,HV_Base_MetricKey,0)),"")="formula_calculated",IFERROR(INDEX(HV_Base_Status,MATCH($I58,HV_Base_MetricKey,0)),"")="derived_calculated"),IFERROR(INDEX(HV_Base_Value,MATCH($I58,HV_Base_MetricKey,0)),""),""),IF($J58="","",$J58)))</f>
        <v/>
      </c>
      <c r="Z58">
        <f>IF(OR($X58="",$Y58=""),"",IF($H58="gt",$X58&gt;$Y58,IF($H58="gte",$X58&gt;=$Y58,IF($H58="lt",$X58&lt;$Y58,IF($H58="lte",$X58&lt;=$Y58,IF($H58="eq",$X58=$Y58,FALSE))))))</f>
        <v/>
      </c>
      <c r="AA58">
        <f>""</f>
        <v/>
      </c>
      <c r="AB58">
        <f>""</f>
        <v/>
      </c>
      <c r="AC58">
        <f>""</f>
        <v/>
      </c>
      <c r="AD58">
        <f>IF(AND(IF(OR($X58="",$Q58=""),AND($X58="",$Q58=""),IF(AND(ISNUMBER($X58),ISNUMBER($Q58)),ABS($X58-$Q58)&lt;=1E-10,$X58=$Q58)),IF(OR($Y58="",$R58=""),AND($Y58="",$R58=""),IF(AND(ISNUMBER($Y58),ISNUMBER($R58)),ABS($Y58-$R58)&lt;=1E-10,$Y58=$R58)),IF(OR($Z58="",$S58=""),AND($Z58="",$S58=""),IF(AND(ISNUMBER($Z58),ISNUMBER($S58)),ABS($Z58-$S58)&lt;=1E-10,$Z58=$S58)),(IF(NOT(IFERROR(INDEX('Hidden_Value_Audit'!$Q$2:$Q$8,MATCH($B58,'Hidden_Value_Audit'!$A$2:$A$8,0)),FALSE)),"module_or_profile_pack_disabled",IF($Z58="","predicate_input_unavailable",IF($Z58,"passed","failed")))=$W58)),"PASS","FAIL")</f>
        <v/>
      </c>
    </row>
    <row r="59">
      <c r="X59" s="553">
        <f>IF(IFERROR(INDEX('Hidden_Value_Audit'!$Q$2:$Q$8,MATCH($B59,'Hidden_Value_Audit'!$A$2:$A$8,0)),FALSE),IF(OR(IFERROR(INDEX(HV_Base_Status,MATCH($G59,HV_Base_MetricKey,0)),"")="source_backed",IFERROR(INDEX(HV_Base_Status,MATCH($G59,HV_Base_MetricKey,0)),"")="formula_calculated",IFERROR(INDEX(HV_Base_Status,MATCH($G59,HV_Base_MetricKey,0)),"")="derived_calculated"),IFERROR(INDEX(HV_Base_Value,MATCH($G59,HV_Base_MetricKey,0)),""),""),"")</f>
        <v/>
      </c>
      <c r="Y59" s="553">
        <f>IF(NOT(IFERROR(INDEX('Hidden_Value_Audit'!$Q$2:$Q$8,MATCH($B59,'Hidden_Value_Audit'!$A$2:$A$8,0)),FALSE)),"",IF($I59&lt;&gt;"",IF(OR(IFERROR(INDEX(HV_Base_Status,MATCH($I59,HV_Base_MetricKey,0)),"")="source_backed",IFERROR(INDEX(HV_Base_Status,MATCH($I59,HV_Base_MetricKey,0)),"")="formula_calculated",IFERROR(INDEX(HV_Base_Status,MATCH($I59,HV_Base_MetricKey,0)),"")="derived_calculated"),IFERROR(INDEX(HV_Base_Value,MATCH($I59,HV_Base_MetricKey,0)),""),""),IF($J59="","",$J59)))</f>
        <v/>
      </c>
      <c r="Z59">
        <f>IF(OR($X59="",$Y59=""),"",IF($H59="gt",$X59&gt;$Y59,IF($H59="gte",$X59&gt;=$Y59,IF($H59="lt",$X59&lt;$Y59,IF($H59="lte",$X59&lt;=$Y59,IF($H59="eq",$X59=$Y59,FALSE))))))</f>
        <v/>
      </c>
      <c r="AA59">
        <f>""</f>
        <v/>
      </c>
      <c r="AB59">
        <f>""</f>
        <v/>
      </c>
      <c r="AC59">
        <f>""</f>
        <v/>
      </c>
      <c r="AD59">
        <f>IF(AND(IF(OR($X59="",$Q59=""),AND($X59="",$Q59=""),IF(AND(ISNUMBER($X59),ISNUMBER($Q59)),ABS($X59-$Q59)&lt;=1E-10,$X59=$Q59)),IF(OR($Y59="",$R59=""),AND($Y59="",$R59=""),IF(AND(ISNUMBER($Y59),ISNUMBER($R59)),ABS($Y59-$R59)&lt;=1E-10,$Y59=$R59)),IF(OR($Z59="",$S59=""),AND($Z59="",$S59=""),IF(AND(ISNUMBER($Z59),ISNUMBER($S59)),ABS($Z59-$S59)&lt;=1E-10,$Z59=$S59)),(IF(NOT(IFERROR(INDEX('Hidden_Value_Audit'!$Q$2:$Q$8,MATCH($B59,'Hidden_Value_Audit'!$A$2:$A$8,0)),FALSE)),"module_or_profile_pack_disabled",IF($Z59="","predicate_input_unavailable",IF($Z59,"passed","failed")))=$W59)),"PASS","FAIL")</f>
        <v/>
      </c>
    </row>
    <row r="60">
      <c r="X60" s="553">
        <f>IF(IFERROR(INDEX('Hidden_Value_Audit'!$Q$2:$Q$8,MATCH($B60,'Hidden_Value_Audit'!$A$2:$A$8,0)),FALSE),IF(OR(IFERROR(INDEX(HV_Base_Status,MATCH($G60,HV_Base_MetricKey,0)),"")="source_backed",IFERROR(INDEX(HV_Base_Status,MATCH($G60,HV_Base_MetricKey,0)),"")="formula_calculated",IFERROR(INDEX(HV_Base_Status,MATCH($G60,HV_Base_MetricKey,0)),"")="derived_calculated"),IFERROR(INDEX(HV_Base_Value,MATCH($G60,HV_Base_MetricKey,0)),""),""),"")</f>
        <v/>
      </c>
      <c r="Y60" s="553">
        <f>IF(NOT(IFERROR(INDEX('Hidden_Value_Audit'!$Q$2:$Q$8,MATCH($B60,'Hidden_Value_Audit'!$A$2:$A$8,0)),FALSE)),"",IF($I60&lt;&gt;"",IF(OR(IFERROR(INDEX(HV_Base_Status,MATCH($I60,HV_Base_MetricKey,0)),"")="source_backed",IFERROR(INDEX(HV_Base_Status,MATCH($I60,HV_Base_MetricKey,0)),"")="formula_calculated",IFERROR(INDEX(HV_Base_Status,MATCH($I60,HV_Base_MetricKey,0)),"")="derived_calculated"),IFERROR(INDEX(HV_Base_Value,MATCH($I60,HV_Base_MetricKey,0)),""),""),IF($J60="","",$J60)))</f>
        <v/>
      </c>
      <c r="Z60">
        <f>IF(OR($X60="",$Y60=""),"",IF($H60="gt",$X60&gt;$Y60,IF($H60="gte",$X60&gt;=$Y60,IF($H60="lt",$X60&lt;$Y60,IF($H60="lte",$X60&lt;=$Y60,IF($H60="eq",$X60=$Y60,FALSE))))))</f>
        <v/>
      </c>
      <c r="AA60">
        <f>""</f>
        <v/>
      </c>
      <c r="AB60">
        <f>""</f>
        <v/>
      </c>
      <c r="AC60">
        <f>""</f>
        <v/>
      </c>
      <c r="AD60">
        <f>IF(AND(IF(OR($X60="",$Q60=""),AND($X60="",$Q60=""),IF(AND(ISNUMBER($X60),ISNUMBER($Q60)),ABS($X60-$Q60)&lt;=1E-10,$X60=$Q60)),IF(OR($Y60="",$R60=""),AND($Y60="",$R60=""),IF(AND(ISNUMBER($Y60),ISNUMBER($R60)),ABS($Y60-$R60)&lt;=1E-10,$Y60=$R60)),IF(OR($Z60="",$S60=""),AND($Z60="",$S60=""),IF(AND(ISNUMBER($Z60),ISNUMBER($S60)),ABS($Z60-$S60)&lt;=1E-10,$Z60=$S60)),(IF(NOT(IFERROR(INDEX('Hidden_Value_Audit'!$Q$2:$Q$8,MATCH($B60,'Hidden_Value_Audit'!$A$2:$A$8,0)),FALSE)),"module_or_profile_pack_disabled",IF($Z60="","predicate_input_unavailable",IF($Z60,"passed","failed")))=$W60)),"PASS","FAIL")</f>
        <v/>
      </c>
    </row>
    <row r="61">
      <c r="X61" s="553">
        <f>IF(IFERROR(INDEX('Hidden_Value_Audit'!$Q$2:$Q$8,MATCH($B61,'Hidden_Value_Audit'!$A$2:$A$8,0)),FALSE),IF(OR(IFERROR(INDEX(HV_Base_Status,MATCH($G61,HV_Base_MetricKey,0)),"")="source_backed",IFERROR(INDEX(HV_Base_Status,MATCH($G61,HV_Base_MetricKey,0)),"")="formula_calculated",IFERROR(INDEX(HV_Base_Status,MATCH($G61,HV_Base_MetricKey,0)),"")="derived_calculated"),IFERROR(INDEX(HV_Base_Value,MATCH($G61,HV_Base_MetricKey,0)),""),""),"")</f>
        <v/>
      </c>
      <c r="Y61" s="553">
        <f>IF(NOT(IFERROR(INDEX('Hidden_Value_Audit'!$Q$2:$Q$8,MATCH($B61,'Hidden_Value_Audit'!$A$2:$A$8,0)),FALSE)),"",IF($I61&lt;&gt;"",IF(OR(IFERROR(INDEX(HV_Base_Status,MATCH($I61,HV_Base_MetricKey,0)),"")="source_backed",IFERROR(INDEX(HV_Base_Status,MATCH($I61,HV_Base_MetricKey,0)),"")="formula_calculated",IFERROR(INDEX(HV_Base_Status,MATCH($I61,HV_Base_MetricKey,0)),"")="derived_calculated"),IFERROR(INDEX(HV_Base_Value,MATCH($I61,HV_Base_MetricKey,0)),""),""),IF($J61="","",$J61)))</f>
        <v/>
      </c>
      <c r="Z61">
        <f>IF(OR($X61="",$Y61=""),"",IF($H61="gt",$X61&gt;$Y61,IF($H61="gte",$X61&gt;=$Y61,IF($H61="lt",$X61&lt;$Y61,IF($H61="lte",$X61&lt;=$Y61,IF($H61="eq",$X61=$Y61,FALSE))))))</f>
        <v/>
      </c>
      <c r="AA61">
        <f>""</f>
        <v/>
      </c>
      <c r="AB61">
        <f>""</f>
        <v/>
      </c>
      <c r="AC61">
        <f>""</f>
        <v/>
      </c>
      <c r="AD61">
        <f>IF(AND(IF(OR($X61="",$Q61=""),AND($X61="",$Q61=""),IF(AND(ISNUMBER($X61),ISNUMBER($Q61)),ABS($X61-$Q61)&lt;=1E-10,$X61=$Q61)),IF(OR($Y61="",$R61=""),AND($Y61="",$R61=""),IF(AND(ISNUMBER($Y61),ISNUMBER($R61)),ABS($Y61-$R61)&lt;=1E-10,$Y61=$R61)),IF(OR($Z61="",$S61=""),AND($Z61="",$S61=""),IF(AND(ISNUMBER($Z61),ISNUMBER($S61)),ABS($Z61-$S61)&lt;=1E-10,$Z61=$S61)),(IF(NOT(IFERROR(INDEX('Hidden_Value_Audit'!$Q$2:$Q$8,MATCH($B61,'Hidden_Value_Audit'!$A$2:$A$8,0)),FALSE)),"module_or_profile_pack_disabled",IF($Z61="","predicate_input_unavailable",IF($Z61,"passed","failed")))=$W61)),"PASS","FAIL")</f>
        <v/>
      </c>
    </row>
    <row r="62">
      <c r="X62" s="553">
        <f>IF(IFERROR(INDEX('Hidden_Value_Audit'!$Q$2:$Q$8,MATCH($B62,'Hidden_Value_Audit'!$A$2:$A$8,0)),FALSE),IF(OR(IFERROR(INDEX(HV_Base_Status,MATCH($G62,HV_Base_MetricKey,0)),"")="source_backed",IFERROR(INDEX(HV_Base_Status,MATCH($G62,HV_Base_MetricKey,0)),"")="formula_calculated",IFERROR(INDEX(HV_Base_Status,MATCH($G62,HV_Base_MetricKey,0)),"")="derived_calculated"),IFERROR(INDEX(HV_Base_Value,MATCH($G62,HV_Base_MetricKey,0)),""),""),"")</f>
        <v/>
      </c>
      <c r="Y62">
        <f>IF(IFERROR(INDEX('Hidden_Value_Audit'!$Q$2:$Q$8,MATCH($B62,'Hidden_Value_Audit'!$A$2:$A$8,0)),FALSE),IFERROR(INDEX(HV_Base_Status,MATCH($G62,HV_Base_MetricKey,0)),""),"unavailable")</f>
        <v/>
      </c>
      <c r="Z62">
        <f>IF(NOT(IFERROR(INDEX('Hidden_Value_Audit'!$Q$2:$Q$8,MATCH($B62,'Hidden_Value_Audit'!$A$2:$A$8,0)),FALSE)),FALSE,AND(ISNUMBER($X62),OR($Y62="source_backed",$Y62="formula_calculated",$Y62="derived_calculated")))</f>
        <v/>
      </c>
      <c r="AA62" s="553">
        <f>IF($Z62,$L62,0)</f>
        <v/>
      </c>
      <c r="AB62" s="553">
        <f>IF(NOT($Z62),"",IF(OR(NOT(ISNUMBER($N62)),NOT(ISNUMBER($O62)),$O62&lt;=0,NOT(ISNUMBER($P62)),AND($M62&lt;&gt;"higher",$M62&lt;&gt;"lower")),"",MAX(0,MIN(1,IF($M62="lower",($N62-$X62)/$O62+$P62,($X62-$N62)/$O62+$P62)))))</f>
        <v/>
      </c>
      <c r="AC62" s="553">
        <f>IF($AB62="","",$AB62*$AA62)</f>
        <v/>
      </c>
      <c r="AD62">
        <f>IF(AND(IF(OR($X62="",$Q62=""),AND($X62="",$Q62=""),IF(AND(ISNUMBER($X62),ISNUMBER($Q62)),ABS($X62-$Q62)&lt;=1E-10,$X62=$Q62)),IF(OR($AA62="",$T62=""),AND($AA62="",$T62=""),IF(AND(ISNUMBER($AA62),ISNUMBER($T62)),ABS($AA62-$T62)&lt;=1E-10,$AA62=$T62)),IF(OR($AB62="",$U62=""),AND($AB62="",$U62=""),IF(AND(ISNUMBER($AB62),ISNUMBER($U62)),ABS($AB62-$U62)&lt;=1E-10,$AB62=$U62)),IF(OR($AC62="",$V62=""),AND($AC62="",$V62=""),IF(AND(ISNUMBER($AC62),ISNUMBER($V62)),ABS($AC62-$V62)&lt;=1E-10,$AC62=$V62)),(IF($Z62,"calculated","unavailable")=$W62)),"PASS","FAIL")</f>
        <v/>
      </c>
    </row>
    <row r="63">
      <c r="X63" s="553">
        <f>IF(IFERROR(INDEX('Hidden_Value_Audit'!$Q$2:$Q$8,MATCH($B63,'Hidden_Value_Audit'!$A$2:$A$8,0)),FALSE),IF(OR(IFERROR(INDEX(HV_Base_Status,MATCH($G63,HV_Base_MetricKey,0)),"")="source_backed",IFERROR(INDEX(HV_Base_Status,MATCH($G63,HV_Base_MetricKey,0)),"")="formula_calculated",IFERROR(INDEX(HV_Base_Status,MATCH($G63,HV_Base_MetricKey,0)),"")="derived_calculated"),IFERROR(INDEX(HV_Base_Value,MATCH($G63,HV_Base_MetricKey,0)),""),""),"")</f>
        <v/>
      </c>
      <c r="Y63">
        <f>IF(IFERROR(INDEX('Hidden_Value_Audit'!$Q$2:$Q$8,MATCH($B63,'Hidden_Value_Audit'!$A$2:$A$8,0)),FALSE),IFERROR(INDEX(HV_Base_Status,MATCH($G63,HV_Base_MetricKey,0)),""),"unavailable")</f>
        <v/>
      </c>
      <c r="Z63">
        <f>IF(NOT(IFERROR(INDEX('Hidden_Value_Audit'!$Q$2:$Q$8,MATCH($B63,'Hidden_Value_Audit'!$A$2:$A$8,0)),FALSE)),FALSE,AND(ISNUMBER($X63),OR($Y63="source_backed",$Y63="formula_calculated",$Y63="derived_calculated")))</f>
        <v/>
      </c>
      <c r="AA63" s="553">
        <f>IF($Z63,$L63,0)</f>
        <v/>
      </c>
      <c r="AB63" s="553">
        <f>IF(NOT($Z63),"",IF(OR(NOT(ISNUMBER($N63)),NOT(ISNUMBER($O63)),$O63&lt;=0,NOT(ISNUMBER($P63)),AND($M63&lt;&gt;"higher",$M63&lt;&gt;"lower")),"",MAX(0,MIN(1,IF($M63="lower",($N63-$X63)/$O63+$P63,($X63-$N63)/$O63+$P63)))))</f>
        <v/>
      </c>
      <c r="AC63" s="553">
        <f>IF($AB63="","",$AB63*$AA63)</f>
        <v/>
      </c>
      <c r="AD63">
        <f>IF(AND(IF(OR($X63="",$Q63=""),AND($X63="",$Q63=""),IF(AND(ISNUMBER($X63),ISNUMBER($Q63)),ABS($X63-$Q63)&lt;=1E-10,$X63=$Q63)),IF(OR($AA63="",$T63=""),AND($AA63="",$T63=""),IF(AND(ISNUMBER($AA63),ISNUMBER($T63)),ABS($AA63-$T63)&lt;=1E-10,$AA63=$T63)),IF(OR($AB63="",$U63=""),AND($AB63="",$U63=""),IF(AND(ISNUMBER($AB63),ISNUMBER($U63)),ABS($AB63-$U63)&lt;=1E-10,$AB63=$U63)),IF(OR($AC63="",$V63=""),AND($AC63="",$V63=""),IF(AND(ISNUMBER($AC63),ISNUMBER($V63)),ABS($AC63-$V63)&lt;=1E-10,$AC63=$V63)),(IF($Z63,"calculated","unavailable")=$W63)),"PASS","FAIL")</f>
        <v/>
      </c>
    </row>
    <row r="64">
      <c r="X64" s="553">
        <f>IF(OR(IFERROR(INDEX(HV_Base_Status,MATCH($G64,HV_Base_MetricKey,0)),"")="source_backed",IFERROR(INDEX(HV_Base_Status,MATCH($G64,HV_Base_MetricKey,0)),"")="formula_calculated",IFERROR(INDEX(HV_Base_Status,MATCH($G64,HV_Base_MetricKey,0)),"")="derived_calculated"),IFERROR(INDEX(HV_Base_Value,MATCH($G64,HV_Base_MetricKey,0)),""),"")</f>
        <v/>
      </c>
      <c r="Y64">
        <f>IFERROR(INDEX(HV_Base_Status,MATCH($G64,HV_Base_MetricKey,0)),"")</f>
        <v/>
      </c>
      <c r="Z64">
        <f>IF($G64="","",AND(ISNUMBER($X64),OR($Y64="source_backed",$Y64="formula_calculated",$Y64="derived_calculated")))</f>
        <v/>
      </c>
      <c r="AA64">
        <f>""</f>
        <v/>
      </c>
      <c r="AB64">
        <f>""</f>
        <v/>
      </c>
      <c r="AC64">
        <f>""</f>
        <v/>
      </c>
      <c r="AD64">
        <f>IF(AND(IF(OR($X64="",$Q64=""),AND($X64="",$Q64=""),IF(AND(ISNUMBER($X64),ISNUMBER($Q64)),ABS($X64-$Q64)&lt;=1E-10,$X64=$Q64)),IF(OR($Y64="",$W64=""),AND($Y64="",$W64=""),IF(AND(ISNUMBER($Y64),ISNUMBER($W64)),ABS($Y64-$W64)&lt;=1E-10,$Y64=$W64)),IF(OR($Z64="",$S64=""),AND($Z64="",$S64=""),IF(AND(ISNUMBER($Z64),ISNUMBER($S64)),ABS($Z64-$S64)&lt;=1E-10,$Z64=$S64))),"PASS","FAIL")</f>
        <v/>
      </c>
    </row>
    <row r="65">
      <c r="X65" s="553">
        <f>IF(OR(IFERROR(INDEX(HV_Base_Status,MATCH($G65,HV_Base_MetricKey,0)),"")="source_backed",IFERROR(INDEX(HV_Base_Status,MATCH($G65,HV_Base_MetricKey,0)),"")="formula_calculated",IFERROR(INDEX(HV_Base_Status,MATCH($G65,HV_Base_MetricKey,0)),"")="derived_calculated"),IFERROR(INDEX(HV_Base_Value,MATCH($G65,HV_Base_MetricKey,0)),""),"")</f>
        <v/>
      </c>
      <c r="Y65">
        <f>IFERROR(INDEX(HV_Base_Status,MATCH($G65,HV_Base_MetricKey,0)),"")</f>
        <v/>
      </c>
      <c r="Z65">
        <f>IF($G65="","",AND(ISNUMBER($X65),OR($Y65="source_backed",$Y65="formula_calculated",$Y65="derived_calculated")))</f>
        <v/>
      </c>
      <c r="AA65">
        <f>""</f>
        <v/>
      </c>
      <c r="AB65">
        <f>""</f>
        <v/>
      </c>
      <c r="AC65">
        <f>""</f>
        <v/>
      </c>
      <c r="AD65">
        <f>IF(AND(IF(OR($X65="",$Q65=""),AND($X65="",$Q65=""),IF(AND(ISNUMBER($X65),ISNUMBER($Q65)),ABS($X65-$Q65)&lt;=1E-10,$X65=$Q65)),IF(OR($Y65="",$W65=""),AND($Y65="",$W65=""),IF(AND(ISNUMBER($Y65),ISNUMBER($W65)),ABS($Y65-$W65)&lt;=1E-10,$Y65=$W65)),IF(OR($Z65="",$S65=""),AND($Z65="",$S65=""),IF(AND(ISNUMBER($Z65),ISNUMBER($S65)),ABS($Z65-$S65)&lt;=1E-10,$Z65=$S65))),"PASS","FAIL")</f>
        <v/>
      </c>
    </row>
    <row r="66">
      <c r="X66" s="553">
        <f>IF(OR(IFERROR(INDEX(HV_Base_Status,MATCH($G66,HV_Base_MetricKey,0)),"")="source_backed",IFERROR(INDEX(HV_Base_Status,MATCH($G66,HV_Base_MetricKey,0)),"")="formula_calculated",IFERROR(INDEX(HV_Base_Status,MATCH($G66,HV_Base_MetricKey,0)),"")="derived_calculated"),IFERROR(INDEX(HV_Base_Value,MATCH($G66,HV_Base_MetricKey,0)),""),"")</f>
        <v/>
      </c>
      <c r="Y66">
        <f>IFERROR(INDEX(HV_Base_Status,MATCH($G66,HV_Base_MetricKey,0)),"")</f>
        <v/>
      </c>
      <c r="Z66">
        <f>IF($G66="","",AND(ISNUMBER($X66),OR($Y66="source_backed",$Y66="formula_calculated",$Y66="derived_calculated")))</f>
        <v/>
      </c>
      <c r="AA66">
        <f>""</f>
        <v/>
      </c>
      <c r="AB66">
        <f>""</f>
        <v/>
      </c>
      <c r="AC66">
        <f>""</f>
        <v/>
      </c>
      <c r="AD66">
        <f>IF(AND(IF(OR($X66="",$Q66=""),AND($X66="",$Q66=""),IF(AND(ISNUMBER($X66),ISNUMBER($Q66)),ABS($X66-$Q66)&lt;=1E-10,$X66=$Q66)),IF(OR($Y66="",$W66=""),AND($Y66="",$W66=""),IF(AND(ISNUMBER($Y66),ISNUMBER($W66)),ABS($Y66-$W66)&lt;=1E-10,$Y66=$W66)),IF(OR($Z66="",$S66=""),AND($Z66="",$S66=""),IF(AND(ISNUMBER($Z66),ISNUMBER($S66)),ABS($Z66-$S66)&lt;=1E-10,$Z66=$S66))),"PASS","FAIL")</f>
        <v/>
      </c>
    </row>
    <row r="67">
      <c r="X67" s="553">
        <f>IF(OR(IFERROR(INDEX(HV_Base_Status,MATCH($G67,HV_Base_MetricKey,0)),"")="source_backed",IFERROR(INDEX(HV_Base_Status,MATCH($G67,HV_Base_MetricKey,0)),"")="formula_calculated",IFERROR(INDEX(HV_Base_Status,MATCH($G67,HV_Base_MetricKey,0)),"")="derived_calculated"),IFERROR(INDEX(HV_Base_Value,MATCH($G67,HV_Base_MetricKey,0)),""),"")</f>
        <v/>
      </c>
      <c r="Y67">
        <f>IFERROR(INDEX(HV_Base_Status,MATCH($G67,HV_Base_MetricKey,0)),"")</f>
        <v/>
      </c>
      <c r="Z67">
        <f>IF($G67="","",AND(ISNUMBER($X67),OR($Y67="source_backed",$Y67="formula_calculated",$Y67="derived_calculated")))</f>
        <v/>
      </c>
      <c r="AA67">
        <f>""</f>
        <v/>
      </c>
      <c r="AB67">
        <f>""</f>
        <v/>
      </c>
      <c r="AC67">
        <f>""</f>
        <v/>
      </c>
      <c r="AD67">
        <f>IF(AND(IF(OR($X67="",$Q67=""),AND($X67="",$Q67=""),IF(AND(ISNUMBER($X67),ISNUMBER($Q67)),ABS($X67-$Q67)&lt;=1E-10,$X67=$Q67)),IF(OR($Y67="",$W67=""),AND($Y67="",$W67=""),IF(AND(ISNUMBER($Y67),ISNUMBER($W67)),ABS($Y67-$W67)&lt;=1E-10,$Y67=$W67)),IF(OR($Z67="",$S67=""),AND($Z67="",$S67=""),IF(AND(ISNUMBER($Z67),ISNUMBER($S67)),ABS($Z67-$S67)&lt;=1E-10,$Z67=$S67))),"PASS","FAIL")</f>
        <v/>
      </c>
    </row>
    <row r="68">
      <c r="X68" s="553">
        <f>IF(IFERROR(INDEX('Hidden_Value_Audit'!$Q$2:$Q$8,MATCH($B68,'Hidden_Value_Audit'!$A$2:$A$8,0)),FALSE),IF(OR(IFERROR(INDEX(HV_Base_Status,MATCH($G68,HV_Base_MetricKey,0)),"")="source_backed",IFERROR(INDEX(HV_Base_Status,MATCH($G68,HV_Base_MetricKey,0)),"")="formula_calculated",IFERROR(INDEX(HV_Base_Status,MATCH($G68,HV_Base_MetricKey,0)),"")="derived_calculated"),IFERROR(INDEX(HV_Base_Value,MATCH($G68,HV_Base_MetricKey,0)),""),""),"")</f>
        <v/>
      </c>
      <c r="Y68" s="553">
        <f>IF(NOT(IFERROR(INDEX('Hidden_Value_Audit'!$Q$2:$Q$8,MATCH($B68,'Hidden_Value_Audit'!$A$2:$A$8,0)),FALSE)),"",IF($I68&lt;&gt;"",IF(OR(IFERROR(INDEX(HV_Base_Status,MATCH($I68,HV_Base_MetricKey,0)),"")="source_backed",IFERROR(INDEX(HV_Base_Status,MATCH($I68,HV_Base_MetricKey,0)),"")="formula_calculated",IFERROR(INDEX(HV_Base_Status,MATCH($I68,HV_Base_MetricKey,0)),"")="derived_calculated"),IFERROR(INDEX(HV_Base_Value,MATCH($I68,HV_Base_MetricKey,0)),""),""),IF($J68="","",$J68)))</f>
        <v/>
      </c>
      <c r="Z68">
        <f>IF(OR($X68="",$Y68=""),"",IF($H68="gt",$X68&gt;$Y68,IF($H68="gte",$X68&gt;=$Y68,IF($H68="lt",$X68&lt;$Y68,IF($H68="lte",$X68&lt;=$Y68,IF($H68="eq",$X68=$Y68,FALSE))))))</f>
        <v/>
      </c>
      <c r="AA68">
        <f>""</f>
        <v/>
      </c>
      <c r="AB68">
        <f>""</f>
        <v/>
      </c>
      <c r="AC68">
        <f>""</f>
        <v/>
      </c>
      <c r="AD68">
        <f>IF(AND(IF(OR($X68="",$Q68=""),AND($X68="",$Q68=""),IF(AND(ISNUMBER($X68),ISNUMBER($Q68)),ABS($X68-$Q68)&lt;=1E-10,$X68=$Q68)),IF(OR($Y68="",$R68=""),AND($Y68="",$R68=""),IF(AND(ISNUMBER($Y68),ISNUMBER($R68)),ABS($Y68-$R68)&lt;=1E-10,$Y68=$R68)),IF(OR($Z68="",$S68=""),AND($Z68="",$S68=""),IF(AND(ISNUMBER($Z68),ISNUMBER($S68)),ABS($Z68-$S68)&lt;=1E-10,$Z68=$S68)),(IF(NOT(IFERROR(INDEX('Hidden_Value_Audit'!$Q$2:$Q$8,MATCH($B68,'Hidden_Value_Audit'!$A$2:$A$8,0)),FALSE)),"module_or_profile_pack_disabled",IF($Z68="","predicate_input_unavailable",IF($Z68,"passed","failed")))=$W68)),"PASS","FAIL")</f>
        <v/>
      </c>
    </row>
    <row r="69">
      <c r="X69" s="553">
        <f>IF(IFERROR(INDEX('Hidden_Value_Audit'!$Q$2:$Q$8,MATCH($B69,'Hidden_Value_Audit'!$A$2:$A$8,0)),FALSE),IF(OR(IFERROR(INDEX(HV_Base_Status,MATCH($G69,HV_Base_MetricKey,0)),"")="source_backed",IFERROR(INDEX(HV_Base_Status,MATCH($G69,HV_Base_MetricKey,0)),"")="formula_calculated",IFERROR(INDEX(HV_Base_Status,MATCH($G69,HV_Base_MetricKey,0)),"")="derived_calculated"),IFERROR(INDEX(HV_Base_Value,MATCH($G69,HV_Base_MetricKey,0)),""),""),"")</f>
        <v/>
      </c>
      <c r="Y69" s="553">
        <f>IF(NOT(IFERROR(INDEX('Hidden_Value_Audit'!$Q$2:$Q$8,MATCH($B69,'Hidden_Value_Audit'!$A$2:$A$8,0)),FALSE)),"",IF($I69&lt;&gt;"",IF(OR(IFERROR(INDEX(HV_Base_Status,MATCH($I69,HV_Base_MetricKey,0)),"")="source_backed",IFERROR(INDEX(HV_Base_Status,MATCH($I69,HV_Base_MetricKey,0)),"")="formula_calculated",IFERROR(INDEX(HV_Base_Status,MATCH($I69,HV_Base_MetricKey,0)),"")="derived_calculated"),IFERROR(INDEX(HV_Base_Value,MATCH($I69,HV_Base_MetricKey,0)),""),""),IF($J69="","",$J69)))</f>
        <v/>
      </c>
      <c r="Z69">
        <f>IF(OR($X69="",$Y69=""),"",IF($H69="gt",$X69&gt;$Y69,IF($H69="gte",$X69&gt;=$Y69,IF($H69="lt",$X69&lt;$Y69,IF($H69="lte",$X69&lt;=$Y69,IF($H69="eq",$X69=$Y69,FALSE))))))</f>
        <v/>
      </c>
      <c r="AA69">
        <f>""</f>
        <v/>
      </c>
      <c r="AB69">
        <f>""</f>
        <v/>
      </c>
      <c r="AC69">
        <f>""</f>
        <v/>
      </c>
      <c r="AD69">
        <f>IF(AND(IF(OR($X69="",$Q69=""),AND($X69="",$Q69=""),IF(AND(ISNUMBER($X69),ISNUMBER($Q69)),ABS($X69-$Q69)&lt;=1E-10,$X69=$Q69)),IF(OR($Y69="",$R69=""),AND($Y69="",$R69=""),IF(AND(ISNUMBER($Y69),ISNUMBER($R69)),ABS($Y69-$R69)&lt;=1E-10,$Y69=$R69)),IF(OR($Z69="",$S69=""),AND($Z69="",$S69=""),IF(AND(ISNUMBER($Z69),ISNUMBER($S69)),ABS($Z69-$S69)&lt;=1E-10,$Z69=$S69)),(IF(NOT(IFERROR(INDEX('Hidden_Value_Audit'!$Q$2:$Q$8,MATCH($B69,'Hidden_Value_Audit'!$A$2:$A$8,0)),FALSE)),"module_or_profile_pack_disabled",IF($Z69="","predicate_input_unavailable",IF($Z69,"passed","failed")))=$W69)),"PASS","FAIL")</f>
        <v/>
      </c>
    </row>
    <row r="70">
      <c r="X70" s="553">
        <f>IF(IFERROR(INDEX('Hidden_Value_Audit'!$Q$2:$Q$8,MATCH($B70,'Hidden_Value_Audit'!$A$2:$A$8,0)),FALSE),IF(OR(IFERROR(INDEX(HV_Base_Status,MATCH($G70,HV_Base_MetricKey,0)),"")="source_backed",IFERROR(INDEX(HV_Base_Status,MATCH($G70,HV_Base_MetricKey,0)),"")="formula_calculated",IFERROR(INDEX(HV_Base_Status,MATCH($G70,HV_Base_MetricKey,0)),"")="derived_calculated"),IFERROR(INDEX(HV_Base_Value,MATCH($G70,HV_Base_MetricKey,0)),""),""),"")</f>
        <v/>
      </c>
      <c r="Y70" s="553">
        <f>IF(NOT(IFERROR(INDEX('Hidden_Value_Audit'!$Q$2:$Q$8,MATCH($B70,'Hidden_Value_Audit'!$A$2:$A$8,0)),FALSE)),"",IF($I70&lt;&gt;"",IF(OR(IFERROR(INDEX(HV_Base_Status,MATCH($I70,HV_Base_MetricKey,0)),"")="source_backed",IFERROR(INDEX(HV_Base_Status,MATCH($I70,HV_Base_MetricKey,0)),"")="formula_calculated",IFERROR(INDEX(HV_Base_Status,MATCH($I70,HV_Base_MetricKey,0)),"")="derived_calculated"),IFERROR(INDEX(HV_Base_Value,MATCH($I70,HV_Base_MetricKey,0)),""),""),IF($J70="","",$J70)))</f>
        <v/>
      </c>
      <c r="Z70">
        <f>IF(OR($X70="",$Y70=""),"",IF($H70="gt",$X70&gt;$Y70,IF($H70="gte",$X70&gt;=$Y70,IF($H70="lt",$X70&lt;$Y70,IF($H70="lte",$X70&lt;=$Y70,IF($H70="eq",$X70=$Y70,FALSE))))))</f>
        <v/>
      </c>
      <c r="AA70">
        <f>""</f>
        <v/>
      </c>
      <c r="AB70">
        <f>""</f>
        <v/>
      </c>
      <c r="AC70">
        <f>""</f>
        <v/>
      </c>
      <c r="AD70">
        <f>IF(AND(IF(OR($X70="",$Q70=""),AND($X70="",$Q70=""),IF(AND(ISNUMBER($X70),ISNUMBER($Q70)),ABS($X70-$Q70)&lt;=1E-10,$X70=$Q70)),IF(OR($Y70="",$R70=""),AND($Y70="",$R70=""),IF(AND(ISNUMBER($Y70),ISNUMBER($R70)),ABS($Y70-$R70)&lt;=1E-10,$Y70=$R70)),IF(OR($Z70="",$S70=""),AND($Z70="",$S70=""),IF(AND(ISNUMBER($Z70),ISNUMBER($S70)),ABS($Z70-$S70)&lt;=1E-10,$Z70=$S70)),(IF(NOT(IFERROR(INDEX('Hidden_Value_Audit'!$Q$2:$Q$8,MATCH($B70,'Hidden_Value_Audit'!$A$2:$A$8,0)),FALSE)),"module_or_profile_pack_disabled",IF($Z70="","predicate_input_unavailable",IF($Z70,"passed","failed")))=$W70)),"PASS","FAIL")</f>
        <v/>
      </c>
    </row>
    <row r="71">
      <c r="X71" s="553">
        <f>IF(IFERROR(INDEX('Hidden_Value_Audit'!$Q$2:$Q$8,MATCH($B71,'Hidden_Value_Audit'!$A$2:$A$8,0)),FALSE),IF(OR(IFERROR(INDEX(HV_Base_Status,MATCH($G71,HV_Base_MetricKey,0)),"")="source_backed",IFERROR(INDEX(HV_Base_Status,MATCH($G71,HV_Base_MetricKey,0)),"")="formula_calculated",IFERROR(INDEX(HV_Base_Status,MATCH($G71,HV_Base_MetricKey,0)),"")="derived_calculated"),IFERROR(INDEX(HV_Base_Value,MATCH($G71,HV_Base_MetricKey,0)),""),""),"")</f>
        <v/>
      </c>
      <c r="Y71" s="553">
        <f>IF(NOT(IFERROR(INDEX('Hidden_Value_Audit'!$Q$2:$Q$8,MATCH($B71,'Hidden_Value_Audit'!$A$2:$A$8,0)),FALSE)),"",IF($I71&lt;&gt;"",IF(OR(IFERROR(INDEX(HV_Base_Status,MATCH($I71,HV_Base_MetricKey,0)),"")="source_backed",IFERROR(INDEX(HV_Base_Status,MATCH($I71,HV_Base_MetricKey,0)),"")="formula_calculated",IFERROR(INDEX(HV_Base_Status,MATCH($I71,HV_Base_MetricKey,0)),"")="derived_calculated"),IFERROR(INDEX(HV_Base_Value,MATCH($I71,HV_Base_MetricKey,0)),""),""),IF($J71="","",$J71)))</f>
        <v/>
      </c>
      <c r="Z71">
        <f>IF(OR($X71="",$Y71=""),"",IF($H71="gt",$X71&gt;$Y71,IF($H71="gte",$X71&gt;=$Y71,IF($H71="lt",$X71&lt;$Y71,IF($H71="lte",$X71&lt;=$Y71,IF($H71="eq",$X71=$Y71,FALSE))))))</f>
        <v/>
      </c>
      <c r="AA71">
        <f>""</f>
        <v/>
      </c>
      <c r="AB71">
        <f>""</f>
        <v/>
      </c>
      <c r="AC71">
        <f>""</f>
        <v/>
      </c>
      <c r="AD71">
        <f>IF(AND(IF(OR($X71="",$Q71=""),AND($X71="",$Q71=""),IF(AND(ISNUMBER($X71),ISNUMBER($Q71)),ABS($X71-$Q71)&lt;=1E-10,$X71=$Q71)),IF(OR($Y71="",$R71=""),AND($Y71="",$R71=""),IF(AND(ISNUMBER($Y71),ISNUMBER($R71)),ABS($Y71-$R71)&lt;=1E-10,$Y71=$R71)),IF(OR($Z71="",$S71=""),AND($Z71="",$S71=""),IF(AND(ISNUMBER($Z71),ISNUMBER($S71)),ABS($Z71-$S71)&lt;=1E-10,$Z71=$S71)),(IF(NOT(IFERROR(INDEX('Hidden_Value_Audit'!$Q$2:$Q$8,MATCH($B71,'Hidden_Value_Audit'!$A$2:$A$8,0)),FALSE)),"module_or_profile_pack_disabled",IF($Z71="","predicate_input_unavailable",IF($Z71,"passed","failed")))=$W71)),"PASS","FAIL")</f>
        <v/>
      </c>
    </row>
    <row r="72">
      <c r="X72" s="553">
        <f>IF(IFERROR(INDEX('Hidden_Value_Audit'!$Q$2:$Q$8,MATCH($B72,'Hidden_Value_Audit'!$A$2:$A$8,0)),FALSE),IF(OR(IFERROR(INDEX(HV_Base_Status,MATCH($G72,HV_Base_MetricKey,0)),"")="source_backed",IFERROR(INDEX(HV_Base_Status,MATCH($G72,HV_Base_MetricKey,0)),"")="formula_calculated",IFERROR(INDEX(HV_Base_Status,MATCH($G72,HV_Base_MetricKey,0)),"")="derived_calculated"),IFERROR(INDEX(HV_Base_Value,MATCH($G72,HV_Base_MetricKey,0)),""),""),"")</f>
        <v/>
      </c>
      <c r="Y72" s="553">
        <f>IF(NOT(IFERROR(INDEX('Hidden_Value_Audit'!$Q$2:$Q$8,MATCH($B72,'Hidden_Value_Audit'!$A$2:$A$8,0)),FALSE)),"",IF($I72&lt;&gt;"",IF(OR(IFERROR(INDEX(HV_Base_Status,MATCH($I72,HV_Base_MetricKey,0)),"")="source_backed",IFERROR(INDEX(HV_Base_Status,MATCH($I72,HV_Base_MetricKey,0)),"")="formula_calculated",IFERROR(INDEX(HV_Base_Status,MATCH($I72,HV_Base_MetricKey,0)),"")="derived_calculated"),IFERROR(INDEX(HV_Base_Value,MATCH($I72,HV_Base_MetricKey,0)),""),""),IF($J72="","",$J72)))</f>
        <v/>
      </c>
      <c r="Z72">
        <f>IF(OR($X72="",$Y72=""),"",IF($H72="gt",$X72&gt;$Y72,IF($H72="gte",$X72&gt;=$Y72,IF($H72="lt",$X72&lt;$Y72,IF($H72="lte",$X72&lt;=$Y72,IF($H72="eq",$X72=$Y72,FALSE))))))</f>
        <v/>
      </c>
      <c r="AA72">
        <f>""</f>
        <v/>
      </c>
      <c r="AB72">
        <f>""</f>
        <v/>
      </c>
      <c r="AC72">
        <f>""</f>
        <v/>
      </c>
      <c r="AD72">
        <f>IF(AND(IF(OR($X72="",$Q72=""),AND($X72="",$Q72=""),IF(AND(ISNUMBER($X72),ISNUMBER($Q72)),ABS($X72-$Q72)&lt;=1E-10,$X72=$Q72)),IF(OR($Y72="",$R72=""),AND($Y72="",$R72=""),IF(AND(ISNUMBER($Y72),ISNUMBER($R72)),ABS($Y72-$R72)&lt;=1E-10,$Y72=$R72)),IF(OR($Z72="",$S72=""),AND($Z72="",$S72=""),IF(AND(ISNUMBER($Z72),ISNUMBER($S72)),ABS($Z72-$S72)&lt;=1E-10,$Z72=$S72)),(IF(NOT(IFERROR(INDEX('Hidden_Value_Audit'!$Q$2:$Q$8,MATCH($B72,'Hidden_Value_Audit'!$A$2:$A$8,0)),FALSE)),"module_or_profile_pack_disabled",IF($Z72="","predicate_input_unavailable",IF($Z72,"passed","failed")))=$W72)),"PASS","FAIL")</f>
        <v/>
      </c>
    </row>
    <row r="73">
      <c r="X73" s="553">
        <f>IF(IFERROR(INDEX('Hidden_Value_Audit'!$Q$2:$Q$8,MATCH($B73,'Hidden_Value_Audit'!$A$2:$A$8,0)),FALSE),IF(OR(IFERROR(INDEX(HV_Base_Status,MATCH($G73,HV_Base_MetricKey,0)),"")="source_backed",IFERROR(INDEX(HV_Base_Status,MATCH($G73,HV_Base_MetricKey,0)),"")="formula_calculated",IFERROR(INDEX(HV_Base_Status,MATCH($G73,HV_Base_MetricKey,0)),"")="derived_calculated"),IFERROR(INDEX(HV_Base_Value,MATCH($G73,HV_Base_MetricKey,0)),""),""),"")</f>
        <v/>
      </c>
      <c r="Y73" s="553">
        <f>IF(NOT(IFERROR(INDEX('Hidden_Value_Audit'!$Q$2:$Q$8,MATCH($B73,'Hidden_Value_Audit'!$A$2:$A$8,0)),FALSE)),"",IF($I73&lt;&gt;"",IF(OR(IFERROR(INDEX(HV_Base_Status,MATCH($I73,HV_Base_MetricKey,0)),"")="source_backed",IFERROR(INDEX(HV_Base_Status,MATCH($I73,HV_Base_MetricKey,0)),"")="formula_calculated",IFERROR(INDEX(HV_Base_Status,MATCH($I73,HV_Base_MetricKey,0)),"")="derived_calculated"),IFERROR(INDEX(HV_Base_Value,MATCH($I73,HV_Base_MetricKey,0)),""),""),IF($J73="","",$J73)))</f>
        <v/>
      </c>
      <c r="Z73">
        <f>IF(OR($X73="",$Y73=""),"",IF($H73="gt",$X73&gt;$Y73,IF($H73="gte",$X73&gt;=$Y73,IF($H73="lt",$X73&lt;$Y73,IF($H73="lte",$X73&lt;=$Y73,IF($H73="eq",$X73=$Y73,FALSE))))))</f>
        <v/>
      </c>
      <c r="AA73">
        <f>""</f>
        <v/>
      </c>
      <c r="AB73">
        <f>""</f>
        <v/>
      </c>
      <c r="AC73">
        <f>""</f>
        <v/>
      </c>
      <c r="AD73">
        <f>IF(AND(IF(OR($X73="",$Q73=""),AND($X73="",$Q73=""),IF(AND(ISNUMBER($X73),ISNUMBER($Q73)),ABS($X73-$Q73)&lt;=1E-10,$X73=$Q73)),IF(OR($Y73="",$R73=""),AND($Y73="",$R73=""),IF(AND(ISNUMBER($Y73),ISNUMBER($R73)),ABS($Y73-$R73)&lt;=1E-10,$Y73=$R73)),IF(OR($Z73="",$S73=""),AND($Z73="",$S73=""),IF(AND(ISNUMBER($Z73),ISNUMBER($S73)),ABS($Z73-$S73)&lt;=1E-10,$Z73=$S73)),(IF(NOT(IFERROR(INDEX('Hidden_Value_Audit'!$Q$2:$Q$8,MATCH($B73,'Hidden_Value_Audit'!$A$2:$A$8,0)),FALSE)),"module_or_profile_pack_disabled",IF($Z73="","predicate_input_unavailable",IF($Z73,"passed","failed")))=$W73)),"PASS","FAIL")</f>
        <v/>
      </c>
    </row>
    <row r="74">
      <c r="X74" s="553">
        <f>IF(IFERROR(INDEX('Hidden_Value_Audit'!$Q$2:$Q$8,MATCH($B74,'Hidden_Value_Audit'!$A$2:$A$8,0)),FALSE),IF(OR(IFERROR(INDEX(HV_Base_Status,MATCH($G74,HV_Base_MetricKey,0)),"")="source_backed",IFERROR(INDEX(HV_Base_Status,MATCH($G74,HV_Base_MetricKey,0)),"")="formula_calculated",IFERROR(INDEX(HV_Base_Status,MATCH($G74,HV_Base_MetricKey,0)),"")="derived_calculated"),IFERROR(INDEX(HV_Base_Value,MATCH($G74,HV_Base_MetricKey,0)),""),""),"")</f>
        <v/>
      </c>
      <c r="Y74">
        <f>IF(IFERROR(INDEX('Hidden_Value_Audit'!$Q$2:$Q$8,MATCH($B74,'Hidden_Value_Audit'!$A$2:$A$8,0)),FALSE),IFERROR(INDEX(HV_Base_Status,MATCH($G74,HV_Base_MetricKey,0)),""),"unavailable")</f>
        <v/>
      </c>
      <c r="Z74">
        <f>IF(NOT(IFERROR(INDEX('Hidden_Value_Audit'!$Q$2:$Q$8,MATCH($B74,'Hidden_Value_Audit'!$A$2:$A$8,0)),FALSE)),FALSE,AND(ISNUMBER($X74),OR($Y74="source_backed",$Y74="formula_calculated",$Y74="derived_calculated")))</f>
        <v/>
      </c>
      <c r="AA74" s="553">
        <f>IF($Z74,$L74,0)</f>
        <v/>
      </c>
      <c r="AB74" s="553">
        <f>IF(NOT($Z74),"",IF(OR(NOT(ISNUMBER($N74)),NOT(ISNUMBER($O74)),$O74&lt;=0,NOT(ISNUMBER($P74)),AND($M74&lt;&gt;"higher",$M74&lt;&gt;"lower")),"",MAX(0,MIN(1,IF($M74="lower",($N74-$X74)/$O74+$P74,($X74-$N74)/$O74+$P74)))))</f>
        <v/>
      </c>
      <c r="AC74" s="553">
        <f>IF($AB74="","",$AB74*$AA74)</f>
        <v/>
      </c>
      <c r="AD74">
        <f>IF(AND(IF(OR($X74="",$Q74=""),AND($X74="",$Q74=""),IF(AND(ISNUMBER($X74),ISNUMBER($Q74)),ABS($X74-$Q74)&lt;=1E-10,$X74=$Q74)),IF(OR($AA74="",$T74=""),AND($AA74="",$T74=""),IF(AND(ISNUMBER($AA74),ISNUMBER($T74)),ABS($AA74-$T74)&lt;=1E-10,$AA74=$T74)),IF(OR($AB74="",$U74=""),AND($AB74="",$U74=""),IF(AND(ISNUMBER($AB74),ISNUMBER($U74)),ABS($AB74-$U74)&lt;=1E-10,$AB74=$U74)),IF(OR($AC74="",$V74=""),AND($AC74="",$V74=""),IF(AND(ISNUMBER($AC74),ISNUMBER($V74)),ABS($AC74-$V74)&lt;=1E-10,$AC74=$V74)),(IF($Z74,"calculated","unavailable")=$W74)),"PASS","FAIL")</f>
        <v/>
      </c>
    </row>
    <row r="75">
      <c r="X75" s="553">
        <f>IF(IFERROR(INDEX('Hidden_Value_Audit'!$Q$2:$Q$8,MATCH($B75,'Hidden_Value_Audit'!$A$2:$A$8,0)),FALSE),IF(OR(IFERROR(INDEX(HV_Base_Status,MATCH($G75,HV_Base_MetricKey,0)),"")="source_backed",IFERROR(INDEX(HV_Base_Status,MATCH($G75,HV_Base_MetricKey,0)),"")="formula_calculated",IFERROR(INDEX(HV_Base_Status,MATCH($G75,HV_Base_MetricKey,0)),"")="derived_calculated"),IFERROR(INDEX(HV_Base_Value,MATCH($G75,HV_Base_MetricKey,0)),""),""),"")</f>
        <v/>
      </c>
      <c r="Y75">
        <f>IF(IFERROR(INDEX('Hidden_Value_Audit'!$Q$2:$Q$8,MATCH($B75,'Hidden_Value_Audit'!$A$2:$A$8,0)),FALSE),IFERROR(INDEX(HV_Base_Status,MATCH($G75,HV_Base_MetricKey,0)),""),"unavailable")</f>
        <v/>
      </c>
      <c r="Z75">
        <f>IF(NOT(IFERROR(INDEX('Hidden_Value_Audit'!$Q$2:$Q$8,MATCH($B75,'Hidden_Value_Audit'!$A$2:$A$8,0)),FALSE)),FALSE,AND(ISNUMBER($X75),OR($Y75="source_backed",$Y75="formula_calculated",$Y75="derived_calculated")))</f>
        <v/>
      </c>
      <c r="AA75" s="553">
        <f>IF($Z75,$L75,0)</f>
        <v/>
      </c>
      <c r="AB75" s="553">
        <f>IF(NOT($Z75),"",IF(OR(NOT(ISNUMBER($N75)),NOT(ISNUMBER($O75)),$O75&lt;=0,NOT(ISNUMBER($P75)),AND($M75&lt;&gt;"higher",$M75&lt;&gt;"lower")),"",MAX(0,MIN(1,IF($M75="lower",($N75-$X75)/$O75+$P75,($X75-$N75)/$O75+$P75)))))</f>
        <v/>
      </c>
      <c r="AC75" s="553">
        <f>IF($AB75="","",$AB75*$AA75)</f>
        <v/>
      </c>
      <c r="AD75">
        <f>IF(AND(IF(OR($X75="",$Q75=""),AND($X75="",$Q75=""),IF(AND(ISNUMBER($X75),ISNUMBER($Q75)),ABS($X75-$Q75)&lt;=1E-10,$X75=$Q75)),IF(OR($AA75="",$T75=""),AND($AA75="",$T75=""),IF(AND(ISNUMBER($AA75),ISNUMBER($T75)),ABS($AA75-$T75)&lt;=1E-10,$AA75=$T75)),IF(OR($AB75="",$U75=""),AND($AB75="",$U75=""),IF(AND(ISNUMBER($AB75),ISNUMBER($U75)),ABS($AB75-$U75)&lt;=1E-10,$AB75=$U75)),IF(OR($AC75="",$V75=""),AND($AC75="",$V75=""),IF(AND(ISNUMBER($AC75),ISNUMBER($V75)),ABS($AC75-$V75)&lt;=1E-10,$AC75=$V75)),(IF($Z75,"calculated","unavailable")=$W75)),"PASS","FAIL")</f>
        <v/>
      </c>
    </row>
    <row r="76">
      <c r="X76" s="553">
        <f>IF(OR(IFERROR(INDEX(HV_Base_Status,MATCH($G76,HV_Base_MetricKey,0)),"")="source_backed",IFERROR(INDEX(HV_Base_Status,MATCH($G76,HV_Base_MetricKey,0)),"")="formula_calculated",IFERROR(INDEX(HV_Base_Status,MATCH($G76,HV_Base_MetricKey,0)),"")="derived_calculated"),IFERROR(INDEX(HV_Base_Value,MATCH($G76,HV_Base_MetricKey,0)),""),"")</f>
        <v/>
      </c>
      <c r="Y76">
        <f>IFERROR(INDEX(HV_Base_Status,MATCH($G76,HV_Base_MetricKey,0)),"")</f>
        <v/>
      </c>
      <c r="Z76">
        <f>IF($G76="","",AND(ISNUMBER($X76),OR($Y76="source_backed",$Y76="formula_calculated",$Y76="derived_calculated")))</f>
        <v/>
      </c>
      <c r="AA76">
        <f>""</f>
        <v/>
      </c>
      <c r="AB76">
        <f>""</f>
        <v/>
      </c>
      <c r="AC76">
        <f>""</f>
        <v/>
      </c>
      <c r="AD76">
        <f>IF(AND(IF(OR($X76="",$Q76=""),AND($X76="",$Q76=""),IF(AND(ISNUMBER($X76),ISNUMBER($Q76)),ABS($X76-$Q76)&lt;=1E-10,$X76=$Q76)),IF(OR($Y76="",$W76=""),AND($Y76="",$W76=""),IF(AND(ISNUMBER($Y76),ISNUMBER($W76)),ABS($Y76-$W76)&lt;=1E-10,$Y76=$W76)),IF(OR($Z76="",$S76=""),AND($Z76="",$S76=""),IF(AND(ISNUMBER($Z76),ISNUMBER($S76)),ABS($Z76-$S76)&lt;=1E-10,$Z76=$S76))),"PASS","FAIL")</f>
        <v/>
      </c>
    </row>
    <row r="77">
      <c r="X77" s="553">
        <f>IF(OR(IFERROR(INDEX(HV_Base_Status,MATCH($G77,HV_Base_MetricKey,0)),"")="source_backed",IFERROR(INDEX(HV_Base_Status,MATCH($G77,HV_Base_MetricKey,0)),"")="formula_calculated",IFERROR(INDEX(HV_Base_Status,MATCH($G77,HV_Base_MetricKey,0)),"")="derived_calculated"),IFERROR(INDEX(HV_Base_Value,MATCH($G77,HV_Base_MetricKey,0)),""),"")</f>
        <v/>
      </c>
      <c r="Y77">
        <f>IFERROR(INDEX(HV_Base_Status,MATCH($G77,HV_Base_MetricKey,0)),"")</f>
        <v/>
      </c>
      <c r="Z77">
        <f>IF($G77="","",AND(ISNUMBER($X77),OR($Y77="source_backed",$Y77="formula_calculated",$Y77="derived_calculated")))</f>
        <v/>
      </c>
      <c r="AA77">
        <f>""</f>
        <v/>
      </c>
      <c r="AB77">
        <f>""</f>
        <v/>
      </c>
      <c r="AC77">
        <f>""</f>
        <v/>
      </c>
      <c r="AD77">
        <f>IF(AND(IF(OR($X77="",$Q77=""),AND($X77="",$Q77=""),IF(AND(ISNUMBER($X77),ISNUMBER($Q77)),ABS($X77-$Q77)&lt;=1E-10,$X77=$Q77)),IF(OR($Y77="",$W77=""),AND($Y77="",$W77=""),IF(AND(ISNUMBER($Y77),ISNUMBER($W77)),ABS($Y77-$W77)&lt;=1E-10,$Y77=$W77)),IF(OR($Z77="",$S77=""),AND($Z77="",$S77=""),IF(AND(ISNUMBER($Z77),ISNUMBER($S77)),ABS($Z77-$S77)&lt;=1E-10,$Z77=$S77))),"PASS","FAIL")</f>
        <v/>
      </c>
    </row>
    <row r="78">
      <c r="X78" s="553">
        <f>IF(IFERROR(INDEX('Hidden_Value_Audit'!$Q$2:$Q$8,MATCH($B78,'Hidden_Value_Audit'!$A$2:$A$8,0)),FALSE),IF(OR(IFERROR(INDEX(HV_Base_Status,MATCH($G78,HV_Base_MetricKey,0)),"")="source_backed",IFERROR(INDEX(HV_Base_Status,MATCH($G78,HV_Base_MetricKey,0)),"")="formula_calculated",IFERROR(INDEX(HV_Base_Status,MATCH($G78,HV_Base_MetricKey,0)),"")="derived_calculated"),IFERROR(INDEX(HV_Base_Value,MATCH($G78,HV_Base_MetricKey,0)),""),""),"")</f>
        <v/>
      </c>
      <c r="Y78" s="553">
        <f>IF(NOT(IFERROR(INDEX('Hidden_Value_Audit'!$Q$2:$Q$8,MATCH($B78,'Hidden_Value_Audit'!$A$2:$A$8,0)),FALSE)),"",IF($I78&lt;&gt;"",IF(OR(IFERROR(INDEX(HV_Base_Status,MATCH($I78,HV_Base_MetricKey,0)),"")="source_backed",IFERROR(INDEX(HV_Base_Status,MATCH($I78,HV_Base_MetricKey,0)),"")="formula_calculated",IFERROR(INDEX(HV_Base_Status,MATCH($I78,HV_Base_MetricKey,0)),"")="derived_calculated"),IFERROR(INDEX(HV_Base_Value,MATCH($I78,HV_Base_MetricKey,0)),""),""),IF($J78="","",$J78)))</f>
        <v/>
      </c>
      <c r="Z78">
        <f>IF(OR($X78="",$Y78=""),"",IF($H78="gt",$X78&gt;$Y78,IF($H78="gte",$X78&gt;=$Y78,IF($H78="lt",$X78&lt;$Y78,IF($H78="lte",$X78&lt;=$Y78,IF($H78="eq",$X78=$Y78,FALSE))))))</f>
        <v/>
      </c>
      <c r="AA78">
        <f>""</f>
        <v/>
      </c>
      <c r="AB78">
        <f>""</f>
        <v/>
      </c>
      <c r="AC78">
        <f>""</f>
        <v/>
      </c>
      <c r="AD78">
        <f>IF(AND(IF(OR($X78="",$Q78=""),AND($X78="",$Q78=""),IF(AND(ISNUMBER($X78),ISNUMBER($Q78)),ABS($X78-$Q78)&lt;=1E-10,$X78=$Q78)),IF(OR($Y78="",$R78=""),AND($Y78="",$R78=""),IF(AND(ISNUMBER($Y78),ISNUMBER($R78)),ABS($Y78-$R78)&lt;=1E-10,$Y78=$R78)),IF(OR($Z78="",$S78=""),AND($Z78="",$S78=""),IF(AND(ISNUMBER($Z78),ISNUMBER($S78)),ABS($Z78-$S78)&lt;=1E-10,$Z78=$S78)),(IF(NOT(IFERROR(INDEX('Hidden_Value_Audit'!$Q$2:$Q$8,MATCH($B78,'Hidden_Value_Audit'!$A$2:$A$8,0)),FALSE)),"module_or_profile_pack_disabled",IF($Z78="","predicate_input_unavailable",IF($Z78,"passed","failed")))=$W78)),"PASS","FAIL")</f>
        <v/>
      </c>
    </row>
    <row r="79">
      <c r="X79" s="553">
        <f>IF(IFERROR(INDEX('Hidden_Value_Audit'!$Q$2:$Q$8,MATCH($B79,'Hidden_Value_Audit'!$A$2:$A$8,0)),FALSE),IF(OR(IFERROR(INDEX(HV_Base_Status,MATCH($G79,HV_Base_MetricKey,0)),"")="source_backed",IFERROR(INDEX(HV_Base_Status,MATCH($G79,HV_Base_MetricKey,0)),"")="formula_calculated",IFERROR(INDEX(HV_Base_Status,MATCH($G79,HV_Base_MetricKey,0)),"")="derived_calculated"),IFERROR(INDEX(HV_Base_Value,MATCH($G79,HV_Base_MetricKey,0)),""),""),"")</f>
        <v/>
      </c>
      <c r="Y79" s="553">
        <f>IF(NOT(IFERROR(INDEX('Hidden_Value_Audit'!$Q$2:$Q$8,MATCH($B79,'Hidden_Value_Audit'!$A$2:$A$8,0)),FALSE)),"",IF($I79&lt;&gt;"",IF(OR(IFERROR(INDEX(HV_Base_Status,MATCH($I79,HV_Base_MetricKey,0)),"")="source_backed",IFERROR(INDEX(HV_Base_Status,MATCH($I79,HV_Base_MetricKey,0)),"")="formula_calculated",IFERROR(INDEX(HV_Base_Status,MATCH($I79,HV_Base_MetricKey,0)),"")="derived_calculated"),IFERROR(INDEX(HV_Base_Value,MATCH($I79,HV_Base_MetricKey,0)),""),""),IF($J79="","",$J79)))</f>
        <v/>
      </c>
      <c r="Z79">
        <f>IF(OR($X79="",$Y79=""),"",IF($H79="gt",$X79&gt;$Y79,IF($H79="gte",$X79&gt;=$Y79,IF($H79="lt",$X79&lt;$Y79,IF($H79="lte",$X79&lt;=$Y79,IF($H79="eq",$X79=$Y79,FALSE))))))</f>
        <v/>
      </c>
      <c r="AA79">
        <f>""</f>
        <v/>
      </c>
      <c r="AB79">
        <f>""</f>
        <v/>
      </c>
      <c r="AC79">
        <f>""</f>
        <v/>
      </c>
      <c r="AD79">
        <f>IF(AND(IF(OR($X79="",$Q79=""),AND($X79="",$Q79=""),IF(AND(ISNUMBER($X79),ISNUMBER($Q79)),ABS($X79-$Q79)&lt;=1E-10,$X79=$Q79)),IF(OR($Y79="",$R79=""),AND($Y79="",$R79=""),IF(AND(ISNUMBER($Y79),ISNUMBER($R79)),ABS($Y79-$R79)&lt;=1E-10,$Y79=$R79)),IF(OR($Z79="",$S79=""),AND($Z79="",$S79=""),IF(AND(ISNUMBER($Z79),ISNUMBER($S79)),ABS($Z79-$S79)&lt;=1E-10,$Z79=$S79)),(IF(NOT(IFERROR(INDEX('Hidden_Value_Audit'!$Q$2:$Q$8,MATCH($B79,'Hidden_Value_Audit'!$A$2:$A$8,0)),FALSE)),"module_or_profile_pack_disabled",IF($Z79="","predicate_input_unavailable",IF($Z79,"passed","failed")))=$W79)),"PASS","FAIL")</f>
        <v/>
      </c>
    </row>
    <row r="80">
      <c r="X80" s="553">
        <f>IF(IFERROR(INDEX('Hidden_Value_Audit'!$Q$2:$Q$8,MATCH($B80,'Hidden_Value_Audit'!$A$2:$A$8,0)),FALSE),IF(OR(IFERROR(INDEX(HV_Base_Status,MATCH($G80,HV_Base_MetricKey,0)),"")="source_backed",IFERROR(INDEX(HV_Base_Status,MATCH($G80,HV_Base_MetricKey,0)),"")="formula_calculated",IFERROR(INDEX(HV_Base_Status,MATCH($G80,HV_Base_MetricKey,0)),"")="derived_calculated"),IFERROR(INDEX(HV_Base_Value,MATCH($G80,HV_Base_MetricKey,0)),""),""),"")</f>
        <v/>
      </c>
      <c r="Y80" s="553">
        <f>IF(NOT(IFERROR(INDEX('Hidden_Value_Audit'!$Q$2:$Q$8,MATCH($B80,'Hidden_Value_Audit'!$A$2:$A$8,0)),FALSE)),"",IF($I80&lt;&gt;"",IF(OR(IFERROR(INDEX(HV_Base_Status,MATCH($I80,HV_Base_MetricKey,0)),"")="source_backed",IFERROR(INDEX(HV_Base_Status,MATCH($I80,HV_Base_MetricKey,0)),"")="formula_calculated",IFERROR(INDEX(HV_Base_Status,MATCH($I80,HV_Base_MetricKey,0)),"")="derived_calculated"),IFERROR(INDEX(HV_Base_Value,MATCH($I80,HV_Base_MetricKey,0)),""),""),IF($J80="","",$J80)))</f>
        <v/>
      </c>
      <c r="Z80">
        <f>IF(OR($X80="",$Y80=""),"",IF($H80="gt",$X80&gt;$Y80,IF($H80="gte",$X80&gt;=$Y80,IF($H80="lt",$X80&lt;$Y80,IF($H80="lte",$X80&lt;=$Y80,IF($H80="eq",$X80=$Y80,FALSE))))))</f>
        <v/>
      </c>
      <c r="AA80">
        <f>""</f>
        <v/>
      </c>
      <c r="AB80">
        <f>""</f>
        <v/>
      </c>
      <c r="AC80">
        <f>""</f>
        <v/>
      </c>
      <c r="AD80">
        <f>IF(AND(IF(OR($X80="",$Q80=""),AND($X80="",$Q80=""),IF(AND(ISNUMBER($X80),ISNUMBER($Q80)),ABS($X80-$Q80)&lt;=1E-10,$X80=$Q80)),IF(OR($Y80="",$R80=""),AND($Y80="",$R80=""),IF(AND(ISNUMBER($Y80),ISNUMBER($R80)),ABS($Y80-$R80)&lt;=1E-10,$Y80=$R80)),IF(OR($Z80="",$S80=""),AND($Z80="",$S80=""),IF(AND(ISNUMBER($Z80),ISNUMBER($S80)),ABS($Z80-$S80)&lt;=1E-10,$Z80=$S80)),(IF(NOT(IFERROR(INDEX('Hidden_Value_Audit'!$Q$2:$Q$8,MATCH($B80,'Hidden_Value_Audit'!$A$2:$A$8,0)),FALSE)),"module_or_profile_pack_disabled",IF($Z80="","predicate_input_unavailable",IF($Z80,"passed","failed")))=$W80)),"PASS","FAIL")</f>
        <v/>
      </c>
    </row>
    <row r="81">
      <c r="X81" s="553">
        <f>IF(IFERROR(INDEX('Hidden_Value_Audit'!$Q$2:$Q$8,MATCH($B81,'Hidden_Value_Audit'!$A$2:$A$8,0)),FALSE),IF(OR(IFERROR(INDEX(HV_Base_Status,MATCH($G81,HV_Base_MetricKey,0)),"")="source_backed",IFERROR(INDEX(HV_Base_Status,MATCH($G81,HV_Base_MetricKey,0)),"")="formula_calculated",IFERROR(INDEX(HV_Base_Status,MATCH($G81,HV_Base_MetricKey,0)),"")="derived_calculated"),IFERROR(INDEX(HV_Base_Value,MATCH($G81,HV_Base_MetricKey,0)),""),""),"")</f>
        <v/>
      </c>
      <c r="Y81">
        <f>IF(IFERROR(INDEX('Hidden_Value_Audit'!$Q$2:$Q$8,MATCH($B81,'Hidden_Value_Audit'!$A$2:$A$8,0)),FALSE),IFERROR(INDEX(HV_Base_Status,MATCH($G81,HV_Base_MetricKey,0)),""),"unavailable")</f>
        <v/>
      </c>
      <c r="Z81">
        <f>IF(NOT(IFERROR(INDEX('Hidden_Value_Audit'!$Q$2:$Q$8,MATCH($B81,'Hidden_Value_Audit'!$A$2:$A$8,0)),FALSE)),FALSE,AND(ISNUMBER($X81),OR($Y81="source_backed",$Y81="formula_calculated",$Y81="derived_calculated")))</f>
        <v/>
      </c>
      <c r="AA81" s="553">
        <f>IF($Z81,$L81,0)</f>
        <v/>
      </c>
      <c r="AB81" s="553">
        <f>IF(NOT($Z81),"",IF(OR(NOT(ISNUMBER($N81)),NOT(ISNUMBER($O81)),$O81&lt;=0,NOT(ISNUMBER($P81)),AND($M81&lt;&gt;"higher",$M81&lt;&gt;"lower")),"",MAX(0,MIN(1,IF($M81="lower",($N81-$X81)/$O81+$P81,($X81-$N81)/$O81+$P81)))))</f>
        <v/>
      </c>
      <c r="AC81" s="553">
        <f>IF($AB81="","",$AB81*$AA81)</f>
        <v/>
      </c>
      <c r="AD81">
        <f>IF(AND(IF(OR($X81="",$Q81=""),AND($X81="",$Q81=""),IF(AND(ISNUMBER($X81),ISNUMBER($Q81)),ABS($X81-$Q81)&lt;=1E-10,$X81=$Q81)),IF(OR($AA81="",$T81=""),AND($AA81="",$T81=""),IF(AND(ISNUMBER($AA81),ISNUMBER($T81)),ABS($AA81-$T81)&lt;=1E-10,$AA81=$T81)),IF(OR($AB81="",$U81=""),AND($AB81="",$U81=""),IF(AND(ISNUMBER($AB81),ISNUMBER($U81)),ABS($AB81-$U81)&lt;=1E-10,$AB81=$U81)),IF(OR($AC81="",$V81=""),AND($AC81="",$V81=""),IF(AND(ISNUMBER($AC81),ISNUMBER($V81)),ABS($AC81-$V81)&lt;=1E-10,$AC81=$V81)),(IF($Z81,"calculated","unavailable")=$W81)),"PASS","FAIL")</f>
        <v/>
      </c>
    </row>
    <row r="82">
      <c r="X82" s="553">
        <f>IF(IFERROR(INDEX('Hidden_Value_Audit'!$Q$2:$Q$8,MATCH($B82,'Hidden_Value_Audit'!$A$2:$A$8,0)),FALSE),IF(OR(IFERROR(INDEX(HV_Base_Status,MATCH($G82,HV_Base_MetricKey,0)),"")="source_backed",IFERROR(INDEX(HV_Base_Status,MATCH($G82,HV_Base_MetricKey,0)),"")="formula_calculated",IFERROR(INDEX(HV_Base_Status,MATCH($G82,HV_Base_MetricKey,0)),"")="derived_calculated"),IFERROR(INDEX(HV_Base_Value,MATCH($G82,HV_Base_MetricKey,0)),""),""),"")</f>
        <v/>
      </c>
      <c r="Y82">
        <f>IF(IFERROR(INDEX('Hidden_Value_Audit'!$Q$2:$Q$8,MATCH($B82,'Hidden_Value_Audit'!$A$2:$A$8,0)),FALSE),IFERROR(INDEX(HV_Base_Status,MATCH($G82,HV_Base_MetricKey,0)),""),"unavailable")</f>
        <v/>
      </c>
      <c r="Z82">
        <f>IF(NOT(IFERROR(INDEX('Hidden_Value_Audit'!$Q$2:$Q$8,MATCH($B82,'Hidden_Value_Audit'!$A$2:$A$8,0)),FALSE)),FALSE,AND(ISNUMBER($X82),OR($Y82="source_backed",$Y82="formula_calculated",$Y82="derived_calculated")))</f>
        <v/>
      </c>
      <c r="AA82" s="553">
        <f>IF($Z82,$L82,0)</f>
        <v/>
      </c>
      <c r="AB82" s="553">
        <f>IF(NOT($Z82),"",IF(OR(NOT(ISNUMBER($N82)),NOT(ISNUMBER($O82)),$O82&lt;=0,NOT(ISNUMBER($P82)),AND($M82&lt;&gt;"higher",$M82&lt;&gt;"lower")),"",MAX(0,MIN(1,IF($M82="lower",($N82-$X82)/$O82+$P82,($X82-$N82)/$O82+$P82)))))</f>
        <v/>
      </c>
      <c r="AC82" s="553">
        <f>IF($AB82="","",$AB82*$AA82)</f>
        <v/>
      </c>
      <c r="AD82">
        <f>IF(AND(IF(OR($X82="",$Q82=""),AND($X82="",$Q82=""),IF(AND(ISNUMBER($X82),ISNUMBER($Q82)),ABS($X82-$Q82)&lt;=1E-10,$X82=$Q82)),IF(OR($AA82="",$T82=""),AND($AA82="",$T82=""),IF(AND(ISNUMBER($AA82),ISNUMBER($T82)),ABS($AA82-$T82)&lt;=1E-10,$AA82=$T82)),IF(OR($AB82="",$U82=""),AND($AB82="",$U82=""),IF(AND(ISNUMBER($AB82),ISNUMBER($U82)),ABS($AB82-$U82)&lt;=1E-10,$AB82=$U82)),IF(OR($AC82="",$V82=""),AND($AC82="",$V82=""),IF(AND(ISNUMBER($AC82),ISNUMBER($V82)),ABS($AC82-$V82)&lt;=1E-10,$AC82=$V82)),(IF($Z82,"calculated","unavailable")=$W82)),"PASS","FAIL")</f>
        <v/>
      </c>
    </row>
    <row r="83">
      <c r="X83" s="553">
        <f>IF(OR(IFERROR(INDEX(HV_Base_Status,MATCH($G83,HV_Base_MetricKey,0)),"")="source_backed",IFERROR(INDEX(HV_Base_Status,MATCH($G83,HV_Base_MetricKey,0)),"")="formula_calculated",IFERROR(INDEX(HV_Base_Status,MATCH($G83,HV_Base_MetricKey,0)),"")="derived_calculated"),IFERROR(INDEX(HV_Base_Value,MATCH($G83,HV_Base_MetricKey,0)),""),"")</f>
        <v/>
      </c>
      <c r="Y83">
        <f>IFERROR(INDEX(HV_Base_Status,MATCH($G83,HV_Base_MetricKey,0)),"")</f>
        <v/>
      </c>
      <c r="Z83">
        <f>IF($G83="","",AND(ISNUMBER($X83),OR($Y83="source_backed",$Y83="formula_calculated",$Y83="derived_calculated")))</f>
        <v/>
      </c>
      <c r="AA83">
        <f>""</f>
        <v/>
      </c>
      <c r="AB83">
        <f>""</f>
        <v/>
      </c>
      <c r="AC83">
        <f>""</f>
        <v/>
      </c>
      <c r="AD83">
        <f>IF(AND(IF(OR($X83="",$Q83=""),AND($X83="",$Q83=""),IF(AND(ISNUMBER($X83),ISNUMBER($Q83)),ABS($X83-$Q83)&lt;=1E-10,$X83=$Q83)),IF(OR($Y83="",$W83=""),AND($Y83="",$W83=""),IF(AND(ISNUMBER($Y83),ISNUMBER($W83)),ABS($Y83-$W83)&lt;=1E-10,$Y83=$W83)),IF(OR($Z83="",$S83=""),AND($Z83="",$S83=""),IF(AND(ISNUMBER($Z83),ISNUMBER($S83)),ABS($Z83-$S83)&lt;=1E-10,$Z83=$S83))),"PASS","FAIL")</f>
        <v/>
      </c>
    </row>
    <row r="84">
      <c r="X84" s="553">
        <f>IF(IFERROR(INDEX('Hidden_Value_Audit'!$Q$2:$Q$8,MATCH($B84,'Hidden_Value_Audit'!$A$2:$A$8,0)),FALSE),IF(OR(IFERROR(INDEX(HV_Base_Status,MATCH($G84,HV_Base_MetricKey,0)),"")="source_backed",IFERROR(INDEX(HV_Base_Status,MATCH($G84,HV_Base_MetricKey,0)),"")="formula_calculated",IFERROR(INDEX(HV_Base_Status,MATCH($G84,HV_Base_MetricKey,0)),"")="derived_calculated"),IFERROR(INDEX(HV_Base_Value,MATCH($G84,HV_Base_MetricKey,0)),""),""),"")</f>
        <v/>
      </c>
      <c r="Y84" s="553">
        <f>IF(NOT(IFERROR(INDEX('Hidden_Value_Audit'!$Q$2:$Q$8,MATCH($B84,'Hidden_Value_Audit'!$A$2:$A$8,0)),FALSE)),"",IF($I84&lt;&gt;"",IF(OR(IFERROR(INDEX(HV_Base_Status,MATCH($I84,HV_Base_MetricKey,0)),"")="source_backed",IFERROR(INDEX(HV_Base_Status,MATCH($I84,HV_Base_MetricKey,0)),"")="formula_calculated",IFERROR(INDEX(HV_Base_Status,MATCH($I84,HV_Base_MetricKey,0)),"")="derived_calculated"),IFERROR(INDEX(HV_Base_Value,MATCH($I84,HV_Base_MetricKey,0)),""),""),IF($J84="","",$J84)))</f>
        <v/>
      </c>
      <c r="Z84">
        <f>IF(OR($X84="",$Y84=""),"",IF($H84="gt",$X84&gt;$Y84,IF($H84="gte",$X84&gt;=$Y84,IF($H84="lt",$X84&lt;$Y84,IF($H84="lte",$X84&lt;=$Y84,IF($H84="eq",$X84=$Y84,FALSE))))))</f>
        <v/>
      </c>
      <c r="AA84">
        <f>""</f>
        <v/>
      </c>
      <c r="AB84">
        <f>""</f>
        <v/>
      </c>
      <c r="AC84">
        <f>""</f>
        <v/>
      </c>
      <c r="AD84">
        <f>IF(AND(IF(OR($X84="",$Q84=""),AND($X84="",$Q84=""),IF(AND(ISNUMBER($X84),ISNUMBER($Q84)),ABS($X84-$Q84)&lt;=1E-10,$X84=$Q84)),IF(OR($Y84="",$R84=""),AND($Y84="",$R84=""),IF(AND(ISNUMBER($Y84),ISNUMBER($R84)),ABS($Y84-$R84)&lt;=1E-10,$Y84=$R84)),IF(OR($Z84="",$S84=""),AND($Z84="",$S84=""),IF(AND(ISNUMBER($Z84),ISNUMBER($S84)),ABS($Z84-$S84)&lt;=1E-10,$Z84=$S84)),(IF(NOT(IFERROR(INDEX('Hidden_Value_Audit'!$Q$2:$Q$8,MATCH($B84,'Hidden_Value_Audit'!$A$2:$A$8,0)),FALSE)),"module_or_profile_pack_disabled",IF($Z84="","predicate_input_unavailable",IF($Z84,"passed","failed")))=$W84)),"PASS","FAIL")</f>
        <v/>
      </c>
    </row>
    <row r="85">
      <c r="X85" s="553">
        <f>IF(IFERROR(INDEX('Hidden_Value_Audit'!$Q$2:$Q$8,MATCH($B85,'Hidden_Value_Audit'!$A$2:$A$8,0)),FALSE),IF(OR(IFERROR(INDEX(HV_Base_Status,MATCH($G85,HV_Base_MetricKey,0)),"")="source_backed",IFERROR(INDEX(HV_Base_Status,MATCH($G85,HV_Base_MetricKey,0)),"")="formula_calculated",IFERROR(INDEX(HV_Base_Status,MATCH($G85,HV_Base_MetricKey,0)),"")="derived_calculated"),IFERROR(INDEX(HV_Base_Value,MATCH($G85,HV_Base_MetricKey,0)),""),""),"")</f>
        <v/>
      </c>
      <c r="Y85" s="553">
        <f>IF(NOT(IFERROR(INDEX('Hidden_Value_Audit'!$Q$2:$Q$8,MATCH($B85,'Hidden_Value_Audit'!$A$2:$A$8,0)),FALSE)),"",IF($I85&lt;&gt;"",IF(OR(IFERROR(INDEX(HV_Base_Status,MATCH($I85,HV_Base_MetricKey,0)),"")="source_backed",IFERROR(INDEX(HV_Base_Status,MATCH($I85,HV_Base_MetricKey,0)),"")="formula_calculated",IFERROR(INDEX(HV_Base_Status,MATCH($I85,HV_Base_MetricKey,0)),"")="derived_calculated"),IFERROR(INDEX(HV_Base_Value,MATCH($I85,HV_Base_MetricKey,0)),""),""),IF($J85="","",$J85)))</f>
        <v/>
      </c>
      <c r="Z85">
        <f>IF(OR($X85="",$Y85=""),"",IF($H85="gt",$X85&gt;$Y85,IF($H85="gte",$X85&gt;=$Y85,IF($H85="lt",$X85&lt;$Y85,IF($H85="lte",$X85&lt;=$Y85,IF($H85="eq",$X85=$Y85,FALSE))))))</f>
        <v/>
      </c>
      <c r="AA85">
        <f>""</f>
        <v/>
      </c>
      <c r="AB85">
        <f>""</f>
        <v/>
      </c>
      <c r="AC85">
        <f>""</f>
        <v/>
      </c>
      <c r="AD85">
        <f>IF(AND(IF(OR($X85="",$Q85=""),AND($X85="",$Q85=""),IF(AND(ISNUMBER($X85),ISNUMBER($Q85)),ABS($X85-$Q85)&lt;=1E-10,$X85=$Q85)),IF(OR($Y85="",$R85=""),AND($Y85="",$R85=""),IF(AND(ISNUMBER($Y85),ISNUMBER($R85)),ABS($Y85-$R85)&lt;=1E-10,$Y85=$R85)),IF(OR($Z85="",$S85=""),AND($Z85="",$S85=""),IF(AND(ISNUMBER($Z85),ISNUMBER($S85)),ABS($Z85-$S85)&lt;=1E-10,$Z85=$S85)),(IF(NOT(IFERROR(INDEX('Hidden_Value_Audit'!$Q$2:$Q$8,MATCH($B85,'Hidden_Value_Audit'!$A$2:$A$8,0)),FALSE)),"module_or_profile_pack_disabled",IF($Z85="","predicate_input_unavailable",IF($Z85,"passed","failed")))=$W85)),"PASS","FAIL")</f>
        <v/>
      </c>
    </row>
    <row r="86">
      <c r="X86" s="553">
        <f>IF(IFERROR(INDEX('Hidden_Value_Audit'!$Q$2:$Q$8,MATCH($B86,'Hidden_Value_Audit'!$A$2:$A$8,0)),FALSE),IF(OR(IFERROR(INDEX(HV_Base_Status,MATCH($G86,HV_Base_MetricKey,0)),"")="source_backed",IFERROR(INDEX(HV_Base_Status,MATCH($G86,HV_Base_MetricKey,0)),"")="formula_calculated",IFERROR(INDEX(HV_Base_Status,MATCH($G86,HV_Base_MetricKey,0)),"")="derived_calculated"),IFERROR(INDEX(HV_Base_Value,MATCH($G86,HV_Base_MetricKey,0)),""),""),"")</f>
        <v/>
      </c>
      <c r="Y86" s="553">
        <f>IF(NOT(IFERROR(INDEX('Hidden_Value_Audit'!$Q$2:$Q$8,MATCH($B86,'Hidden_Value_Audit'!$A$2:$A$8,0)),FALSE)),"",IF($I86&lt;&gt;"",IF(OR(IFERROR(INDEX(HV_Base_Status,MATCH($I86,HV_Base_MetricKey,0)),"")="source_backed",IFERROR(INDEX(HV_Base_Status,MATCH($I86,HV_Base_MetricKey,0)),"")="formula_calculated",IFERROR(INDEX(HV_Base_Status,MATCH($I86,HV_Base_MetricKey,0)),"")="derived_calculated"),IFERROR(INDEX(HV_Base_Value,MATCH($I86,HV_Base_MetricKey,0)),""),""),IF($J86="","",$J86)))</f>
        <v/>
      </c>
      <c r="Z86">
        <f>IF(OR($X86="",$Y86=""),"",IF($H86="gt",$X86&gt;$Y86,IF($H86="gte",$X86&gt;=$Y86,IF($H86="lt",$X86&lt;$Y86,IF($H86="lte",$X86&lt;=$Y86,IF($H86="eq",$X86=$Y86,FALSE))))))</f>
        <v/>
      </c>
      <c r="AA86">
        <f>""</f>
        <v/>
      </c>
      <c r="AB86">
        <f>""</f>
        <v/>
      </c>
      <c r="AC86">
        <f>""</f>
        <v/>
      </c>
      <c r="AD86">
        <f>IF(AND(IF(OR($X86="",$Q86=""),AND($X86="",$Q86=""),IF(AND(ISNUMBER($X86),ISNUMBER($Q86)),ABS($X86-$Q86)&lt;=1E-10,$X86=$Q86)),IF(OR($Y86="",$R86=""),AND($Y86="",$R86=""),IF(AND(ISNUMBER($Y86),ISNUMBER($R86)),ABS($Y86-$R86)&lt;=1E-10,$Y86=$R86)),IF(OR($Z86="",$S86=""),AND($Z86="",$S86=""),IF(AND(ISNUMBER($Z86),ISNUMBER($S86)),ABS($Z86-$S86)&lt;=1E-10,$Z86=$S86)),(IF(NOT(IFERROR(INDEX('Hidden_Value_Audit'!$Q$2:$Q$8,MATCH($B86,'Hidden_Value_Audit'!$A$2:$A$8,0)),FALSE)),"module_or_profile_pack_disabled",IF($Z86="","predicate_input_unavailable",IF($Z86,"passed","failed")))=$W86)),"PASS","FAIL")</f>
        <v/>
      </c>
    </row>
    <row r="87">
      <c r="X87" s="553">
        <f>IF(IFERROR(INDEX('Hidden_Value_Audit'!$Q$2:$Q$8,MATCH($B87,'Hidden_Value_Audit'!$A$2:$A$8,0)),FALSE),IF(OR(IFERROR(INDEX(HV_Base_Status,MATCH($G87,HV_Base_MetricKey,0)),"")="source_backed",IFERROR(INDEX(HV_Base_Status,MATCH($G87,HV_Base_MetricKey,0)),"")="formula_calculated",IFERROR(INDEX(HV_Base_Status,MATCH($G87,HV_Base_MetricKey,0)),"")="derived_calculated"),IFERROR(INDEX(HV_Base_Value,MATCH($G87,HV_Base_MetricKey,0)),""),""),"")</f>
        <v/>
      </c>
      <c r="Y87" s="553">
        <f>IF(NOT(IFERROR(INDEX('Hidden_Value_Audit'!$Q$2:$Q$8,MATCH($B87,'Hidden_Value_Audit'!$A$2:$A$8,0)),FALSE)),"",IF($I87&lt;&gt;"",IF(OR(IFERROR(INDEX(HV_Base_Status,MATCH($I87,HV_Base_MetricKey,0)),"")="source_backed",IFERROR(INDEX(HV_Base_Status,MATCH($I87,HV_Base_MetricKey,0)),"")="formula_calculated",IFERROR(INDEX(HV_Base_Status,MATCH($I87,HV_Base_MetricKey,0)),"")="derived_calculated"),IFERROR(INDEX(HV_Base_Value,MATCH($I87,HV_Base_MetricKey,0)),""),""),IF($J87="","",$J87)))</f>
        <v/>
      </c>
      <c r="Z87">
        <f>IF(OR($X87="",$Y87=""),"",IF($H87="gt",$X87&gt;$Y87,IF($H87="gte",$X87&gt;=$Y87,IF($H87="lt",$X87&lt;$Y87,IF($H87="lte",$X87&lt;=$Y87,IF($H87="eq",$X87=$Y87,FALSE))))))</f>
        <v/>
      </c>
      <c r="AA87">
        <f>""</f>
        <v/>
      </c>
      <c r="AB87">
        <f>""</f>
        <v/>
      </c>
      <c r="AC87">
        <f>""</f>
        <v/>
      </c>
      <c r="AD87">
        <f>IF(AND(IF(OR($X87="",$Q87=""),AND($X87="",$Q87=""),IF(AND(ISNUMBER($X87),ISNUMBER($Q87)),ABS($X87-$Q87)&lt;=1E-10,$X87=$Q87)),IF(OR($Y87="",$R87=""),AND($Y87="",$R87=""),IF(AND(ISNUMBER($Y87),ISNUMBER($R87)),ABS($Y87-$R87)&lt;=1E-10,$Y87=$R87)),IF(OR($Z87="",$S87=""),AND($Z87="",$S87=""),IF(AND(ISNUMBER($Z87),ISNUMBER($S87)),ABS($Z87-$S87)&lt;=1E-10,$Z87=$S87)),(IF(NOT(IFERROR(INDEX('Hidden_Value_Audit'!$Q$2:$Q$8,MATCH($B87,'Hidden_Value_Audit'!$A$2:$A$8,0)),FALSE)),"module_or_profile_pack_disabled",IF($Z87="","predicate_input_unavailable",IF($Z87,"passed","failed")))=$W87)),"PASS","FAIL")</f>
        <v/>
      </c>
    </row>
    <row r="88">
      <c r="X88" s="553">
        <f>IF(IFERROR(INDEX('Hidden_Value_Audit'!$Q$2:$Q$8,MATCH($B88,'Hidden_Value_Audit'!$A$2:$A$8,0)),FALSE),IF(OR(IFERROR(INDEX(HV_Base_Status,MATCH($G88,HV_Base_MetricKey,0)),"")="source_backed",IFERROR(INDEX(HV_Base_Status,MATCH($G88,HV_Base_MetricKey,0)),"")="formula_calculated",IFERROR(INDEX(HV_Base_Status,MATCH($G88,HV_Base_MetricKey,0)),"")="derived_calculated"),IFERROR(INDEX(HV_Base_Value,MATCH($G88,HV_Base_MetricKey,0)),""),""),"")</f>
        <v/>
      </c>
      <c r="Y88" s="553">
        <f>IF(NOT(IFERROR(INDEX('Hidden_Value_Audit'!$Q$2:$Q$8,MATCH($B88,'Hidden_Value_Audit'!$A$2:$A$8,0)),FALSE)),"",IF($I88&lt;&gt;"",IF(OR(IFERROR(INDEX(HV_Base_Status,MATCH($I88,HV_Base_MetricKey,0)),"")="source_backed",IFERROR(INDEX(HV_Base_Status,MATCH($I88,HV_Base_MetricKey,0)),"")="formula_calculated",IFERROR(INDEX(HV_Base_Status,MATCH($I88,HV_Base_MetricKey,0)),"")="derived_calculated"),IFERROR(INDEX(HV_Base_Value,MATCH($I88,HV_Base_MetricKey,0)),""),""),IF($J88="","",$J88)))</f>
        <v/>
      </c>
      <c r="Z88">
        <f>IF(OR($X88="",$Y88=""),"",IF($H88="gt",$X88&gt;$Y88,IF($H88="gte",$X88&gt;=$Y88,IF($H88="lt",$X88&lt;$Y88,IF($H88="lte",$X88&lt;=$Y88,IF($H88="eq",$X88=$Y88,FALSE))))))</f>
        <v/>
      </c>
      <c r="AA88">
        <f>""</f>
        <v/>
      </c>
      <c r="AB88">
        <f>""</f>
        <v/>
      </c>
      <c r="AC88">
        <f>""</f>
        <v/>
      </c>
      <c r="AD88">
        <f>IF(AND(IF(OR($X88="",$Q88=""),AND($X88="",$Q88=""),IF(AND(ISNUMBER($X88),ISNUMBER($Q88)),ABS($X88-$Q88)&lt;=1E-10,$X88=$Q88)),IF(OR($Y88="",$R88=""),AND($Y88="",$R88=""),IF(AND(ISNUMBER($Y88),ISNUMBER($R88)),ABS($Y88-$R88)&lt;=1E-10,$Y88=$R88)),IF(OR($Z88="",$S88=""),AND($Z88="",$S88=""),IF(AND(ISNUMBER($Z88),ISNUMBER($S88)),ABS($Z88-$S88)&lt;=1E-10,$Z88=$S88)),(IF(NOT(IFERROR(INDEX('Hidden_Value_Audit'!$Q$2:$Q$8,MATCH($B88,'Hidden_Value_Audit'!$A$2:$A$8,0)),FALSE)),"module_or_profile_pack_disabled",IF($Z88="","predicate_input_unavailable",IF($Z88,"passed","failed")))=$W88)),"PASS","FAIL")</f>
        <v/>
      </c>
    </row>
    <row r="89">
      <c r="X89" s="553">
        <f>IF(IFERROR(INDEX('Hidden_Value_Audit'!$Q$2:$Q$8,MATCH($B89,'Hidden_Value_Audit'!$A$2:$A$8,0)),FALSE),IF(OR(IFERROR(INDEX(HV_Base_Status,MATCH($G89,HV_Base_MetricKey,0)),"")="source_backed",IFERROR(INDEX(HV_Base_Status,MATCH($G89,HV_Base_MetricKey,0)),"")="formula_calculated",IFERROR(INDEX(HV_Base_Status,MATCH($G89,HV_Base_MetricKey,0)),"")="derived_calculated"),IFERROR(INDEX(HV_Base_Value,MATCH($G89,HV_Base_MetricKey,0)),""),""),"")</f>
        <v/>
      </c>
      <c r="Y89" s="553">
        <f>IF(NOT(IFERROR(INDEX('Hidden_Value_Audit'!$Q$2:$Q$8,MATCH($B89,'Hidden_Value_Audit'!$A$2:$A$8,0)),FALSE)),"",IF($I89&lt;&gt;"",IF(OR(IFERROR(INDEX(HV_Base_Status,MATCH($I89,HV_Base_MetricKey,0)),"")="source_backed",IFERROR(INDEX(HV_Base_Status,MATCH($I89,HV_Base_MetricKey,0)),"")="formula_calculated",IFERROR(INDEX(HV_Base_Status,MATCH($I89,HV_Base_MetricKey,0)),"")="derived_calculated"),IFERROR(INDEX(HV_Base_Value,MATCH($I89,HV_Base_MetricKey,0)),""),""),IF($J89="","",$J89)))</f>
        <v/>
      </c>
      <c r="Z89">
        <f>IF(OR($X89="",$Y89=""),"",IF($H89="gt",$X89&gt;$Y89,IF($H89="gte",$X89&gt;=$Y89,IF($H89="lt",$X89&lt;$Y89,IF($H89="lte",$X89&lt;=$Y89,IF($H89="eq",$X89=$Y89,FALSE))))))</f>
        <v/>
      </c>
      <c r="AA89">
        <f>""</f>
        <v/>
      </c>
      <c r="AB89">
        <f>""</f>
        <v/>
      </c>
      <c r="AC89">
        <f>""</f>
        <v/>
      </c>
      <c r="AD89">
        <f>IF(AND(IF(OR($X89="",$Q89=""),AND($X89="",$Q89=""),IF(AND(ISNUMBER($X89),ISNUMBER($Q89)),ABS($X89-$Q89)&lt;=1E-10,$X89=$Q89)),IF(OR($Y89="",$R89=""),AND($Y89="",$R89=""),IF(AND(ISNUMBER($Y89),ISNUMBER($R89)),ABS($Y89-$R89)&lt;=1E-10,$Y89=$R89)),IF(OR($Z89="",$S89=""),AND($Z89="",$S89=""),IF(AND(ISNUMBER($Z89),ISNUMBER($S89)),ABS($Z89-$S89)&lt;=1E-10,$Z89=$S89)),(IF(NOT(IFERROR(INDEX('Hidden_Value_Audit'!$Q$2:$Q$8,MATCH($B89,'Hidden_Value_Audit'!$A$2:$A$8,0)),FALSE)),"module_or_profile_pack_disabled",IF($Z89="","predicate_input_unavailable",IF($Z89,"passed","failed")))=$W89)),"PASS","FAIL")</f>
        <v/>
      </c>
    </row>
    <row r="90">
      <c r="X90" s="553">
        <f>IF(IFERROR(INDEX('Hidden_Value_Audit'!$Q$2:$Q$8,MATCH($B90,'Hidden_Value_Audit'!$A$2:$A$8,0)),FALSE),IF(OR(IFERROR(INDEX(HV_Base_Status,MATCH($G90,HV_Base_MetricKey,0)),"")="source_backed",IFERROR(INDEX(HV_Base_Status,MATCH($G90,HV_Base_MetricKey,0)),"")="formula_calculated",IFERROR(INDEX(HV_Base_Status,MATCH($G90,HV_Base_MetricKey,0)),"")="derived_calculated"),IFERROR(INDEX(HV_Base_Value,MATCH($G90,HV_Base_MetricKey,0)),""),""),"")</f>
        <v/>
      </c>
      <c r="Y90">
        <f>IF(IFERROR(INDEX('Hidden_Value_Audit'!$Q$2:$Q$8,MATCH($B90,'Hidden_Value_Audit'!$A$2:$A$8,0)),FALSE),IFERROR(INDEX(HV_Base_Status,MATCH($G90,HV_Base_MetricKey,0)),""),"unavailable")</f>
        <v/>
      </c>
      <c r="Z90">
        <f>IF(NOT(IFERROR(INDEX('Hidden_Value_Audit'!$Q$2:$Q$8,MATCH($B90,'Hidden_Value_Audit'!$A$2:$A$8,0)),FALSE)),FALSE,AND(ISNUMBER($X90),OR($Y90="source_backed",$Y90="formula_calculated",$Y90="derived_calculated")))</f>
        <v/>
      </c>
      <c r="AA90" s="553">
        <f>IF($Z90,$L90,0)</f>
        <v/>
      </c>
      <c r="AB90" s="553">
        <f>IF(NOT($Z90),"",IF(OR(NOT(ISNUMBER($N90)),NOT(ISNUMBER($O90)),$O90&lt;=0,NOT(ISNUMBER($P90)),AND($M90&lt;&gt;"higher",$M90&lt;&gt;"lower")),"",MAX(0,MIN(1,IF($M90="lower",($N90-$X90)/$O90+$P90,($X90-$N90)/$O90+$P90)))))</f>
        <v/>
      </c>
      <c r="AC90" s="553">
        <f>IF($AB90="","",$AB90*$AA90)</f>
        <v/>
      </c>
      <c r="AD90">
        <f>IF(AND(IF(OR($X90="",$Q90=""),AND($X90="",$Q90=""),IF(AND(ISNUMBER($X90),ISNUMBER($Q90)),ABS($X90-$Q90)&lt;=1E-10,$X90=$Q90)),IF(OR($AA90="",$T90=""),AND($AA90="",$T90=""),IF(AND(ISNUMBER($AA90),ISNUMBER($T90)),ABS($AA90-$T90)&lt;=1E-10,$AA90=$T90)),IF(OR($AB90="",$U90=""),AND($AB90="",$U90=""),IF(AND(ISNUMBER($AB90),ISNUMBER($U90)),ABS($AB90-$U90)&lt;=1E-10,$AB90=$U90)),IF(OR($AC90="",$V90=""),AND($AC90="",$V90=""),IF(AND(ISNUMBER($AC90),ISNUMBER($V90)),ABS($AC90-$V90)&lt;=1E-10,$AC90=$V90)),(IF($Z90,"calculated","unavailable")=$W90)),"PASS","FAIL")</f>
        <v/>
      </c>
    </row>
    <row r="91">
      <c r="X91" s="553">
        <f>IF(IFERROR(INDEX('Hidden_Value_Audit'!$Q$2:$Q$8,MATCH($B91,'Hidden_Value_Audit'!$A$2:$A$8,0)),FALSE),IF(OR(IFERROR(INDEX(HV_Base_Status,MATCH($G91,HV_Base_MetricKey,0)),"")="source_backed",IFERROR(INDEX(HV_Base_Status,MATCH($G91,HV_Base_MetricKey,0)),"")="formula_calculated",IFERROR(INDEX(HV_Base_Status,MATCH($G91,HV_Base_MetricKey,0)),"")="derived_calculated"),IFERROR(INDEX(HV_Base_Value,MATCH($G91,HV_Base_MetricKey,0)),""),""),"")</f>
        <v/>
      </c>
      <c r="Y91">
        <f>IF(IFERROR(INDEX('Hidden_Value_Audit'!$Q$2:$Q$8,MATCH($B91,'Hidden_Value_Audit'!$A$2:$A$8,0)),FALSE),IFERROR(INDEX(HV_Base_Status,MATCH($G91,HV_Base_MetricKey,0)),""),"unavailable")</f>
        <v/>
      </c>
      <c r="Z91">
        <f>IF(NOT(IFERROR(INDEX('Hidden_Value_Audit'!$Q$2:$Q$8,MATCH($B91,'Hidden_Value_Audit'!$A$2:$A$8,0)),FALSE)),FALSE,AND(ISNUMBER($X91),OR($Y91="source_backed",$Y91="formula_calculated",$Y91="derived_calculated")))</f>
        <v/>
      </c>
      <c r="AA91" s="553">
        <f>IF($Z91,$L91,0)</f>
        <v/>
      </c>
      <c r="AB91" s="553">
        <f>IF(NOT($Z91),"",IF(OR(NOT(ISNUMBER($N91)),NOT(ISNUMBER($O91)),$O91&lt;=0,NOT(ISNUMBER($P91)),AND($M91&lt;&gt;"higher",$M91&lt;&gt;"lower")),"",MAX(0,MIN(1,IF($M91="lower",($N91-$X91)/$O91+$P91,($X91-$N91)/$O91+$P91)))))</f>
        <v/>
      </c>
      <c r="AC91" s="553">
        <f>IF($AB91="","",$AB91*$AA91)</f>
        <v/>
      </c>
      <c r="AD91">
        <f>IF(AND(IF(OR($X91="",$Q91=""),AND($X91="",$Q91=""),IF(AND(ISNUMBER($X91),ISNUMBER($Q91)),ABS($X91-$Q91)&lt;=1E-10,$X91=$Q91)),IF(OR($AA91="",$T91=""),AND($AA91="",$T91=""),IF(AND(ISNUMBER($AA91),ISNUMBER($T91)),ABS($AA91-$T91)&lt;=1E-10,$AA91=$T91)),IF(OR($AB91="",$U91=""),AND($AB91="",$U91=""),IF(AND(ISNUMBER($AB91),ISNUMBER($U91)),ABS($AB91-$U91)&lt;=1E-10,$AB91=$U91)),IF(OR($AC91="",$V91=""),AND($AC91="",$V91=""),IF(AND(ISNUMBER($AC91),ISNUMBER($V91)),ABS($AC91-$V91)&lt;=1E-10,$AC91=$V91)),(IF($Z91,"calculated","unavailable")=$W91)),"PASS","FAIL")</f>
        <v/>
      </c>
    </row>
    <row r="92">
      <c r="X92" s="553">
        <f>IF(IFERROR(INDEX('Hidden_Value_Audit'!$Q$2:$Q$8,MATCH($B92,'Hidden_Value_Audit'!$A$2:$A$8,0)),FALSE),IF(OR(IFERROR(INDEX(HV_Base_Status,MATCH($G92,HV_Base_MetricKey,0)),"")="source_backed",IFERROR(INDEX(HV_Base_Status,MATCH($G92,HV_Base_MetricKey,0)),"")="formula_calculated",IFERROR(INDEX(HV_Base_Status,MATCH($G92,HV_Base_MetricKey,0)),"")="derived_calculated"),IFERROR(INDEX(HV_Base_Value,MATCH($G92,HV_Base_MetricKey,0)),""),""),"")</f>
        <v/>
      </c>
      <c r="Y92">
        <f>IF(IFERROR(INDEX('Hidden_Value_Audit'!$Q$2:$Q$8,MATCH($B92,'Hidden_Value_Audit'!$A$2:$A$8,0)),FALSE),IFERROR(INDEX(HV_Base_Status,MATCH($G92,HV_Base_MetricKey,0)),""),"unavailable")</f>
        <v/>
      </c>
      <c r="Z92">
        <f>IF(NOT(IFERROR(INDEX('Hidden_Value_Audit'!$Q$2:$Q$8,MATCH($B92,'Hidden_Value_Audit'!$A$2:$A$8,0)),FALSE)),FALSE,AND(ISNUMBER($X92),OR($Y92="source_backed",$Y92="formula_calculated",$Y92="derived_calculated")))</f>
        <v/>
      </c>
      <c r="AA92" s="553">
        <f>IF($Z92,$L92,0)</f>
        <v/>
      </c>
      <c r="AB92" s="553">
        <f>IF(NOT($Z92),"",IF(OR(NOT(ISNUMBER($N92)),NOT(ISNUMBER($O92)),$O92&lt;=0,NOT(ISNUMBER($P92)),AND($M92&lt;&gt;"higher",$M92&lt;&gt;"lower")),"",MAX(0,MIN(1,IF($M92="lower",($N92-$X92)/$O92+$P92,($X92-$N92)/$O92+$P92)))))</f>
        <v/>
      </c>
      <c r="AC92" s="553">
        <f>IF($AB92="","",$AB92*$AA92)</f>
        <v/>
      </c>
      <c r="AD92">
        <f>IF(AND(IF(OR($X92="",$Q92=""),AND($X92="",$Q92=""),IF(AND(ISNUMBER($X92),ISNUMBER($Q92)),ABS($X92-$Q92)&lt;=1E-10,$X92=$Q92)),IF(OR($AA92="",$T92=""),AND($AA92="",$T92=""),IF(AND(ISNUMBER($AA92),ISNUMBER($T92)),ABS($AA92-$T92)&lt;=1E-10,$AA92=$T92)),IF(OR($AB92="",$U92=""),AND($AB92="",$U92=""),IF(AND(ISNUMBER($AB92),ISNUMBER($U92)),ABS($AB92-$U92)&lt;=1E-10,$AB92=$U92)),IF(OR($AC92="",$V92=""),AND($AC92="",$V92=""),IF(AND(ISNUMBER($AC92),ISNUMBER($V92)),ABS($AC92-$V92)&lt;=1E-10,$AC92=$V92)),(IF($Z92,"calculated","unavailable")=$W92)),"PASS","FAIL")</f>
        <v/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3" customWidth="1" min="6" max="6"/>
    <col width="14" customWidth="1" min="7" max="7"/>
    <col width="12" customWidth="1" min="8" max="8"/>
    <col width="12" customWidth="1" min="9" max="9"/>
    <col width="12" customWidth="1" min="10" max="10"/>
    <col width="14" customWidth="1" min="11" max="11"/>
    <col width="13" customWidth="1" min="12" max="12"/>
    <col width="13" customWidth="1" min="13" max="13"/>
  </cols>
  <sheetData>
    <row r="1" ht="20" customHeight="1">
      <c r="A1" s="549" t="inlineStr">
        <is>
          <t>metric_key</t>
        </is>
      </c>
      <c r="B1" s="549" t="inlineStr">
        <is>
          <t>metric_id</t>
        </is>
      </c>
      <c r="C1" s="549" t="inlineStr">
        <is>
          <t>value</t>
        </is>
      </c>
      <c r="D1" s="549" t="inlineStr">
        <is>
          <t>unit</t>
        </is>
      </c>
      <c r="E1" s="549" t="inlineStr">
        <is>
          <t>period</t>
        </is>
      </c>
      <c r="F1" s="549" t="inlineStr">
        <is>
          <t>period_role</t>
        </is>
      </c>
      <c r="G1" s="549" t="inlineStr">
        <is>
          <t>dimension_id</t>
        </is>
      </c>
      <c r="H1" s="549" t="inlineStr">
        <is>
          <t>member</t>
        </is>
      </c>
      <c r="I1" s="549" t="inlineStr">
        <is>
          <t>status</t>
        </is>
      </c>
      <c r="J1" s="549" t="inlineStr">
        <is>
          <t>reason</t>
        </is>
      </c>
      <c r="K1" s="549" t="inlineStr">
        <is>
          <t>evidence_ids</t>
        </is>
      </c>
      <c r="L1" s="549" t="inlineStr">
        <is>
          <t>source_refs</t>
        </is>
      </c>
      <c r="M1" s="549" t="inlineStr">
        <is>
          <t>formula_ids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P15"/>
  <sheetViews>
    <sheetView showGridLines="0" zoomScale="90" zoomScaleNormal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12" customWidth="1" min="4" max="4"/>
    <col width="12" customWidth="1" min="5" max="5"/>
    <col width="10" customWidth="1" min="6" max="6"/>
    <col width="13" customWidth="1" min="7" max="7"/>
    <col width="13" customWidth="1" min="8" max="8"/>
    <col width="13" customWidth="1" min="9" max="9"/>
    <col width="13" customWidth="1" min="10" max="10"/>
    <col width="11" customWidth="1" min="11" max="11"/>
    <col width="16" customWidth="1" min="12" max="12"/>
    <col width="12" customWidth="1" min="13" max="13"/>
    <col width="20" customWidth="1" min="14" max="14"/>
    <col width="24" customWidth="1" min="15" max="15"/>
    <col width="44" customWidth="1" min="16" max="16"/>
  </cols>
  <sheetData>
    <row r="1" ht="24" customHeight="1">
      <c r="A1" s="554" t="inlineStr">
        <is>
          <t>Revolver history</t>
        </is>
      </c>
      <c r="B1" s="555" t="n"/>
      <c r="C1" s="555" t="n"/>
      <c r="D1" s="555" t="n"/>
      <c r="E1" s="555" t="n"/>
      <c r="F1" s="555" t="n"/>
      <c r="G1" s="555" t="n"/>
      <c r="H1" s="555" t="n"/>
      <c r="I1" s="555" t="n"/>
      <c r="J1" s="555" t="n"/>
      <c r="K1" s="555" t="n"/>
      <c r="L1" s="555" t="n"/>
      <c r="M1" s="555" t="n"/>
      <c r="N1" s="555" t="n"/>
      <c r="O1" s="555" t="n"/>
      <c r="P1" s="555" t="n"/>
    </row>
    <row r="2" ht="8" customHeight="1"/>
    <row r="3" ht="36" customHeight="1">
      <c r="A3" s="556" t="inlineStr">
        <is>
          <t>As of</t>
        </is>
      </c>
      <c r="B3" s="556" t="inlineStr">
        <is>
          <t>Publication date</t>
        </is>
      </c>
      <c r="C3" s="556" t="inlineStr">
        <is>
          <t>Facility</t>
        </is>
      </c>
      <c r="D3" s="556" t="inlineStr">
        <is>
          <t>Commitment</t>
        </is>
      </c>
      <c r="E3" s="556" t="inlineStr">
        <is>
          <t>Loan cap</t>
        </is>
      </c>
      <c r="F3" s="556" t="inlineStr">
        <is>
          <t>Drawn</t>
        </is>
      </c>
      <c r="G3" s="556" t="inlineStr">
        <is>
          <t>Letters of credit</t>
        </is>
      </c>
      <c r="H3" s="556" t="inlineStr">
        <is>
          <t>Gross capacity</t>
        </is>
      </c>
      <c r="I3" s="556" t="inlineStr">
        <is>
          <t>Minimum excess</t>
        </is>
      </c>
      <c r="J3" s="556" t="inlineStr">
        <is>
          <t>Net availability</t>
        </is>
      </c>
      <c r="K3" s="556" t="inlineStr">
        <is>
          <t>Utilization</t>
        </is>
      </c>
      <c r="L3" s="556" t="inlineStr">
        <is>
          <t>Rate basis</t>
        </is>
      </c>
      <c r="M3" s="556" t="inlineStr">
        <is>
          <t>Expiry</t>
        </is>
      </c>
      <c r="N3" s="556" t="inlineStr">
        <is>
          <t>Covenant state</t>
        </is>
      </c>
      <c r="O3" s="556" t="inlineStr">
        <is>
          <t>Source state</t>
        </is>
      </c>
      <c r="P3" s="556" t="inlineStr">
        <is>
          <t>Evidence / source</t>
        </is>
      </c>
    </row>
    <row r="4" ht="32" customHeight="1">
      <c r="K4" s="536">
        <f>IFERROR(IF(OR(NOT(ISNUMBER(F4)),NOT(ISNUMBER(D4)),D4=0),"",F4/D4),"")</f>
        <v/>
      </c>
      <c r="N4" s="557" t="n"/>
      <c r="O4" s="557" t="n"/>
      <c r="P4" s="557" t="n"/>
    </row>
    <row r="5" ht="32" customHeight="1">
      <c r="K5" s="536">
        <f>IFERROR(IF(OR(NOT(ISNUMBER(F5)),NOT(ISNUMBER(D5)),D5=0),"",F5/D5),"")</f>
        <v/>
      </c>
      <c r="N5" s="557" t="n"/>
      <c r="O5" s="557" t="n"/>
      <c r="P5" s="557" t="n"/>
    </row>
    <row r="6" ht="32" customHeight="1">
      <c r="K6" s="536">
        <f>IFERROR(IF(OR(NOT(ISNUMBER(F6)),NOT(ISNUMBER(D6)),D6=0),"",F6/D6),"")</f>
        <v/>
      </c>
      <c r="N6" s="557" t="n"/>
      <c r="O6" s="557" t="n"/>
      <c r="P6" s="557" t="n"/>
    </row>
    <row r="7" ht="32" customHeight="1">
      <c r="K7" s="536">
        <f>IFERROR(IF(OR(NOT(ISNUMBER(F7)),NOT(ISNUMBER(D7)),D7=0),"",F7/D7),"")</f>
        <v/>
      </c>
      <c r="N7" s="557" t="n"/>
      <c r="O7" s="557" t="n"/>
      <c r="P7" s="557" t="n"/>
    </row>
    <row r="8" ht="32" customHeight="1">
      <c r="K8" s="536">
        <f>IFERROR(IF(OR(NOT(ISNUMBER(F8)),NOT(ISNUMBER(D8)),D8=0),"",F8/D8),"")</f>
        <v/>
      </c>
      <c r="N8" s="557" t="n"/>
      <c r="O8" s="557" t="n"/>
      <c r="P8" s="557" t="n"/>
    </row>
    <row r="9" ht="32" customHeight="1">
      <c r="K9" s="536">
        <f>IFERROR(IF(OR(NOT(ISNUMBER(F9)),NOT(ISNUMBER(D9)),D9=0),"",F9/D9),"")</f>
        <v/>
      </c>
      <c r="N9" s="557" t="n"/>
      <c r="O9" s="557" t="n"/>
      <c r="P9" s="557" t="n"/>
    </row>
    <row r="10" ht="32" customHeight="1">
      <c r="K10" s="536">
        <f>IFERROR(IF(OR(NOT(ISNUMBER(F10)),NOT(ISNUMBER(D10)),D10=0),"",F10/D10),"")</f>
        <v/>
      </c>
      <c r="N10" s="557" t="n"/>
      <c r="O10" s="557" t="n"/>
      <c r="P10" s="557" t="n"/>
    </row>
    <row r="11" ht="32" customHeight="1">
      <c r="K11" s="536">
        <f>IFERROR(IF(OR(NOT(ISNUMBER(F11)),NOT(ISNUMBER(D11)),D11=0),"",F11/D11),"")</f>
        <v/>
      </c>
      <c r="N11" s="557" t="n"/>
      <c r="O11" s="557" t="n"/>
      <c r="P11" s="557" t="n"/>
    </row>
    <row r="12" ht="32" customHeight="1">
      <c r="K12" s="536">
        <f>IFERROR(IF(OR(NOT(ISNUMBER(F12)),NOT(ISNUMBER(D12)),D12=0),"",F12/D12),"")</f>
        <v/>
      </c>
      <c r="N12" s="557" t="n"/>
      <c r="O12" s="557" t="n"/>
      <c r="P12" s="557" t="n"/>
    </row>
    <row r="13" ht="32" customHeight="1">
      <c r="K13" s="536">
        <f>IFERROR(IF(OR(NOT(ISNUMBER(F13)),NOT(ISNUMBER(D13)),D13=0),"",F13/D13),"")</f>
        <v/>
      </c>
      <c r="N13" s="557" t="n"/>
      <c r="O13" s="557" t="n"/>
      <c r="P13" s="557" t="n"/>
    </row>
    <row r="14" ht="32" customHeight="1">
      <c r="K14" s="536">
        <f>IFERROR(IF(OR(NOT(ISNUMBER(F14)),NOT(ISNUMBER(D14)),D14=0),"",F14/D14),"")</f>
        <v/>
      </c>
      <c r="N14" s="557" t="n"/>
      <c r="O14" s="557" t="n"/>
      <c r="P14" s="557" t="n"/>
    </row>
    <row r="15" ht="32" customHeight="1">
      <c r="K15" s="536">
        <f>IFERROR(IF(OR(NOT(ISNUMBER(F15)),NOT(ISNUMBER(D15)),D15=0),"",F15/D15),"")</f>
        <v/>
      </c>
      <c r="N15" s="557" t="n"/>
      <c r="O15" s="557" t="n"/>
      <c r="P15" s="557" t="n"/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 ht="20" customHeight="1">
      <c r="A1" s="549" t="inlineStr">
        <is>
          <t>instrument</t>
        </is>
      </c>
      <c r="B1" s="549" t="inlineStr">
        <is>
          <t>principal</t>
        </is>
      </c>
      <c r="C1" s="549" t="inlineStr">
        <is>
          <t>coupon</t>
        </is>
      </c>
      <c r="D1" s="549" t="inlineStr">
        <is>
          <t>maturity</t>
        </is>
      </c>
      <c r="E1" s="549" t="inlineStr">
        <is>
          <t>secured</t>
        </is>
      </c>
      <c r="F1" s="549" t="inlineStr">
        <is>
          <t>source_ref</t>
        </is>
      </c>
      <c r="G1" s="549" t="inlineStr">
        <is>
          <t>status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16"/>
  <sheetViews>
    <sheetView showGridLines="0" zoomScale="95" zoomScaleNormal="9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24" customWidth="1" min="3" max="3"/>
    <col width="12" customWidth="1" min="4" max="4"/>
    <col width="9" customWidth="1" min="5" max="5"/>
    <col width="13" customWidth="1" min="6" max="6"/>
    <col width="16" customWidth="1" min="7" max="7"/>
    <col width="22" customWidth="1" min="8" max="8"/>
    <col width="30" customWidth="1" min="9" max="9"/>
    <col width="44" customWidth="1" min="10" max="10"/>
  </cols>
  <sheetData>
    <row r="1" ht="24" customHeight="1">
      <c r="A1" s="554" t="inlineStr">
        <is>
          <t>Debt and liquidity profile</t>
        </is>
      </c>
      <c r="B1" s="555" t="n"/>
      <c r="C1" s="555" t="n"/>
      <c r="D1" s="555" t="n"/>
      <c r="E1" s="555" t="n"/>
      <c r="F1" s="555" t="n"/>
      <c r="G1" s="555" t="n"/>
      <c r="H1" s="555" t="n"/>
      <c r="I1" s="555" t="n"/>
      <c r="J1" s="555" t="n"/>
    </row>
    <row r="2" ht="8" customHeight="1"/>
    <row r="3" ht="32" customHeight="1">
      <c r="A3" s="556" t="inlineStr">
        <is>
          <t>Category</t>
        </is>
      </c>
      <c r="B3" s="556" t="inlineStr">
        <is>
          <t>Item</t>
        </is>
      </c>
      <c r="C3" s="556" t="inlineStr">
        <is>
          <t>Facility or instrument</t>
        </is>
      </c>
      <c r="D3" s="556" t="inlineStr">
        <is>
          <t>Value</t>
        </is>
      </c>
      <c r="E3" s="556" t="inlineStr">
        <is>
          <t>Unit</t>
        </is>
      </c>
      <c r="F3" s="556" t="inlineStr">
        <is>
          <t>As of</t>
        </is>
      </c>
      <c r="G3" s="556" t="inlineStr">
        <is>
          <t>Expiry or maturity</t>
        </is>
      </c>
      <c r="H3" s="556" t="inlineStr">
        <is>
          <t>State</t>
        </is>
      </c>
      <c r="I3" s="556" t="inlineStr">
        <is>
          <t>Evidence</t>
        </is>
      </c>
      <c r="J3" s="556" t="inlineStr">
        <is>
          <t>Definition or source</t>
        </is>
      </c>
    </row>
    <row r="4" ht="32" customHeight="1">
      <c r="B4" s="557" t="n"/>
      <c r="C4" s="557" t="n"/>
      <c r="H4" s="557" t="n"/>
      <c r="I4" s="557" t="n"/>
      <c r="J4" s="557" t="n"/>
    </row>
    <row r="5" ht="32" customHeight="1">
      <c r="B5" s="557" t="n"/>
      <c r="C5" s="557" t="n"/>
      <c r="H5" s="557" t="n"/>
      <c r="I5" s="557" t="n"/>
      <c r="J5" s="557" t="n"/>
    </row>
    <row r="6" ht="32" customHeight="1">
      <c r="B6" s="557" t="n"/>
      <c r="C6" s="557" t="n"/>
      <c r="H6" s="557" t="n"/>
      <c r="I6" s="557" t="n"/>
      <c r="J6" s="557" t="n"/>
    </row>
    <row r="7" ht="32" customHeight="1">
      <c r="B7" s="557" t="n"/>
      <c r="C7" s="557" t="n"/>
      <c r="H7" s="557" t="n"/>
      <c r="I7" s="557" t="n"/>
      <c r="J7" s="557" t="n"/>
    </row>
    <row r="8" ht="32" customHeight="1">
      <c r="B8" s="557" t="n"/>
      <c r="C8" s="557" t="n"/>
      <c r="H8" s="557" t="n"/>
      <c r="I8" s="557" t="n"/>
      <c r="J8" s="557" t="n"/>
    </row>
    <row r="9" ht="32" customHeight="1">
      <c r="B9" s="557" t="n"/>
      <c r="C9" s="557" t="n"/>
      <c r="H9" s="557" t="n"/>
      <c r="I9" s="557" t="n"/>
      <c r="J9" s="557" t="n"/>
    </row>
    <row r="10" ht="32" customHeight="1">
      <c r="B10" s="557" t="n"/>
      <c r="C10" s="557" t="n"/>
      <c r="H10" s="557" t="n"/>
      <c r="I10" s="557" t="n"/>
      <c r="J10" s="557" t="n"/>
    </row>
    <row r="11" ht="32" customHeight="1">
      <c r="B11" s="557" t="n"/>
      <c r="C11" s="557" t="n"/>
      <c r="H11" s="557" t="n"/>
      <c r="I11" s="557" t="n"/>
      <c r="J11" s="557" t="n"/>
    </row>
    <row r="12" ht="32" customHeight="1">
      <c r="B12" s="557" t="n"/>
      <c r="C12" s="557" t="n"/>
      <c r="H12" s="557" t="n"/>
      <c r="I12" s="557" t="n"/>
      <c r="J12" s="557" t="n"/>
    </row>
    <row r="13" ht="32" customHeight="1">
      <c r="B13" s="557" t="n"/>
      <c r="C13" s="557" t="n"/>
      <c r="H13" s="557" t="n"/>
      <c r="I13" s="557" t="n"/>
      <c r="J13" s="557" t="n"/>
    </row>
    <row r="14" ht="32" customHeight="1">
      <c r="B14" s="557" t="n"/>
      <c r="C14" s="557" t="n"/>
      <c r="H14" s="557" t="n"/>
      <c r="I14" s="557" t="n"/>
      <c r="J14" s="557" t="n"/>
    </row>
    <row r="15" ht="32" customHeight="1">
      <c r="B15" s="557" t="n"/>
      <c r="C15" s="557" t="n"/>
      <c r="H15" s="557" t="n"/>
      <c r="I15" s="557" t="n"/>
      <c r="J15" s="557" t="n"/>
    </row>
    <row r="16" ht="32" customHeight="1">
      <c r="B16" s="557" t="n"/>
      <c r="C16" s="557" t="n"/>
      <c r="H16" s="557" t="n"/>
      <c r="I16" s="557" t="n"/>
      <c r="J16" s="557" t="n"/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zoomScale="95" zoomScaleNormal="9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12" customWidth="1" min="3" max="3"/>
    <col width="13" customWidth="1" min="4" max="4"/>
    <col width="64" customWidth="1" min="5" max="5"/>
    <col width="14" customWidth="1" min="6" max="6"/>
    <col width="38" customWidth="1" min="7" max="7"/>
    <col width="20" customWidth="1" min="8" max="8"/>
  </cols>
  <sheetData>
    <row r="1" ht="24" customHeight="1">
      <c r="A1" s="554" t="inlineStr">
        <is>
          <t>Debt and credit notes</t>
        </is>
      </c>
      <c r="B1" s="555" t="n"/>
      <c r="C1" s="555" t="n"/>
      <c r="D1" s="555" t="n"/>
      <c r="E1" s="555" t="n"/>
      <c r="F1" s="555" t="n"/>
      <c r="G1" s="555" t="n"/>
      <c r="H1" s="555" t="n"/>
    </row>
    <row r="2" ht="8" customHeight="1"/>
    <row r="3" ht="34" customHeight="1">
      <c r="A3" s="556" t="inlineStr">
        <is>
          <t>Topic</t>
        </is>
      </c>
      <c r="B3" s="556" t="inlineStr">
        <is>
          <t>Facility / instrument</t>
        </is>
      </c>
      <c r="C3" s="556" t="inlineStr">
        <is>
          <t>As of</t>
        </is>
      </c>
      <c r="D3" s="556" t="inlineStr">
        <is>
          <t>Publication date</t>
        </is>
      </c>
      <c r="E3" s="556" t="inlineStr">
        <is>
          <t>Exact bounded note</t>
        </is>
      </c>
      <c r="F3" s="556" t="inlineStr">
        <is>
          <t>State</t>
        </is>
      </c>
      <c r="G3" s="556" t="inlineStr">
        <is>
          <t>Evidence</t>
        </is>
      </c>
      <c r="H3" s="556" t="inlineStr">
        <is>
          <t>Source</t>
        </is>
      </c>
    </row>
    <row r="4" ht="48" customHeight="1">
      <c r="A4" s="557" t="n"/>
      <c r="E4" s="557" t="n"/>
      <c r="G4" s="557" t="n"/>
      <c r="H4" s="557" t="n"/>
    </row>
    <row r="5" ht="48" customHeight="1">
      <c r="A5" s="557" t="n"/>
      <c r="E5" s="557" t="n"/>
      <c r="G5" s="557" t="n"/>
      <c r="H5" s="557" t="n"/>
    </row>
    <row r="6" ht="48" customHeight="1">
      <c r="A6" s="557" t="n"/>
      <c r="E6" s="557" t="n"/>
      <c r="G6" s="557" t="n"/>
      <c r="H6" s="557" t="n"/>
    </row>
    <row r="7" ht="48" customHeight="1">
      <c r="A7" s="557" t="n"/>
      <c r="E7" s="557" t="n"/>
      <c r="G7" s="557" t="n"/>
      <c r="H7" s="557" t="n"/>
    </row>
    <row r="8" ht="48" customHeight="1">
      <c r="A8" s="557" t="n"/>
      <c r="E8" s="557" t="n"/>
      <c r="G8" s="557" t="n"/>
      <c r="H8" s="557" t="n"/>
    </row>
    <row r="9" ht="48" customHeight="1">
      <c r="A9" s="557" t="n"/>
      <c r="E9" s="557" t="n"/>
      <c r="G9" s="557" t="n"/>
      <c r="H9" s="557" t="n"/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N15"/>
  <sheetViews>
    <sheetView showGridLines="0" zoomScale="90" zoomScaleNormal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3" customWidth="1" min="3" max="3"/>
    <col width="11" customWidth="1" min="4" max="4"/>
    <col width="14" customWidth="1" min="5" max="5"/>
    <col width="11" customWidth="1" min="6" max="6"/>
    <col width="14" customWidth="1" min="7" max="7"/>
    <col width="14" customWidth="1" min="8" max="8"/>
    <col width="12" customWidth="1" min="9" max="9"/>
    <col width="12" customWidth="1" min="10" max="10"/>
    <col width="13" customWidth="1" min="11" max="11"/>
    <col width="22" customWidth="1" min="12" max="12"/>
    <col width="38" customWidth="1" min="13" max="13"/>
    <col width="52" customWidth="1" min="14" max="14"/>
  </cols>
  <sheetData>
    <row r="1" ht="24" customHeight="1">
      <c r="A1" s="554" t="inlineStr">
        <is>
          <t>Leverage and liquidity</t>
        </is>
      </c>
      <c r="B1" s="555" t="n"/>
      <c r="C1" s="555" t="n"/>
      <c r="D1" s="555" t="n"/>
      <c r="E1" s="555" t="n"/>
      <c r="F1" s="555" t="n"/>
      <c r="G1" s="555" t="n"/>
      <c r="H1" s="555" t="n"/>
      <c r="I1" s="555" t="n"/>
      <c r="J1" s="555" t="n"/>
      <c r="K1" s="555" t="n"/>
      <c r="L1" s="555" t="n"/>
      <c r="M1" s="555" t="n"/>
      <c r="N1" s="555" t="n"/>
    </row>
    <row r="2" ht="8" customHeight="1"/>
    <row r="3" ht="36" customHeight="1">
      <c r="A3" s="556" t="inlineStr">
        <is>
          <t>Period</t>
        </is>
      </c>
      <c r="B3" s="556" t="inlineStr">
        <is>
          <t>Cash</t>
        </is>
      </c>
      <c r="C3" s="556" t="inlineStr">
        <is>
          <t>Restricted cash</t>
        </is>
      </c>
      <c r="D3" s="556" t="inlineStr">
        <is>
          <t>Core debt</t>
        </is>
      </c>
      <c r="E3" s="556" t="inlineStr">
        <is>
          <t>Operating leases</t>
        </is>
      </c>
      <c r="F3" s="556" t="inlineStr">
        <is>
          <t>Net debt</t>
        </is>
      </c>
      <c r="G3" s="556" t="inlineStr">
        <is>
          <t>Revolver availability</t>
        </is>
      </c>
      <c r="H3" s="556" t="inlineStr">
        <is>
          <t>Same-date liquidity</t>
        </is>
      </c>
      <c r="I3" s="556" t="inlineStr">
        <is>
          <t>Gross leverage</t>
        </is>
      </c>
      <c r="J3" s="556" t="inlineStr">
        <is>
          <t>Net leverage</t>
        </is>
      </c>
      <c r="K3" s="556" t="inlineStr">
        <is>
          <t>Interest coverage</t>
        </is>
      </c>
      <c r="L3" s="556" t="inlineStr">
        <is>
          <t>Disposition / state</t>
        </is>
      </c>
      <c r="M3" s="556" t="inlineStr">
        <is>
          <t>Evidence</t>
        </is>
      </c>
      <c r="N3" s="556" t="inlineStr">
        <is>
          <t>Component-period explanation</t>
        </is>
      </c>
    </row>
    <row r="4" ht="48" customHeight="1">
      <c r="F4" s="505">
        <f>IFERROR(IF(OR(NOT(ISNUMBER(D4)),NOT(ISNUMBER(B4))),"",D4-B4),"")</f>
        <v/>
      </c>
      <c r="H4" s="505">
        <f>IFERROR(IF(OR(NOT(ISNUMBER(B4)),NOT(ISNUMBER(G4))),"",B4+G4),"")</f>
        <v/>
      </c>
      <c r="I4" s="558">
        <f>IFERROR(IF(OR($A4="",COUNTIF('Valuation'!$B$6:$M$6,$A4)&lt;&gt;1,NOT(ISNUMBER(D4)),NOT(ISNUMBER(INDEX('Valuation'!$B$21:$M$21,1,MATCH($A4,'Valuation'!$B$6:$M$6,0)))),INDEX('Valuation'!$B$21:$M$21,1,MATCH($A4,'Valuation'!$B$6:$M$6,0))=0),"",D4/INDEX('Valuation'!$B$21:$M$21,1,MATCH($A4,'Valuation'!$B$6:$M$6,0))),"")</f>
        <v/>
      </c>
      <c r="J4" s="558">
        <f>IFERROR(IF(OR($A4="",COUNTIF('Valuation'!$B$6:$M$6,$A4)&lt;&gt;1,NOT(ISNUMBER(F4)),NOT(ISNUMBER(INDEX('Valuation'!$B$21:$M$21,1,MATCH($A4,'Valuation'!$B$6:$M$6,0)))),INDEX('Valuation'!$B$21:$M$21,1,MATCH($A4,'Valuation'!$B$6:$M$6,0))=0),"",F4/INDEX('Valuation'!$B$21:$M$21,1,MATCH($A4,'Valuation'!$B$6:$M$6,0))),"")</f>
        <v/>
      </c>
      <c r="K4" s="558">
        <f>IFERROR(IF(OR($A4="",COUNTIF('Valuation'!$B$6:$M$6,$A4)&lt;&gt;1,NOT(ISNUMBER(INDEX('Valuation'!$B$88:$M$88,1,MATCH($A4,'Valuation'!$B$6:$M$6,0))))),"",INDEX('Valuation'!$B$88:$M$88,1,MATCH($A4,'Valuation'!$B$6:$M$6,0))),"")</f>
        <v/>
      </c>
      <c r="L4" s="557" t="n"/>
      <c r="M4" s="557" t="n"/>
      <c r="N4" s="557" t="n"/>
    </row>
    <row r="5" ht="48" customHeight="1">
      <c r="F5" s="505">
        <f>IFERROR(IF(OR(NOT(ISNUMBER(D5)),NOT(ISNUMBER(B5))),"",D5-B5),"")</f>
        <v/>
      </c>
      <c r="H5" s="505">
        <f>IFERROR(IF(OR(NOT(ISNUMBER(B5)),NOT(ISNUMBER(G5))),"",B5+G5),"")</f>
        <v/>
      </c>
      <c r="I5" s="558">
        <f>IFERROR(IF(OR($A5="",COUNTIF('Valuation'!$B$6:$M$6,$A5)&lt;&gt;1,NOT(ISNUMBER(D5)),NOT(ISNUMBER(INDEX('Valuation'!$B$21:$M$21,1,MATCH($A5,'Valuation'!$B$6:$M$6,0)))),INDEX('Valuation'!$B$21:$M$21,1,MATCH($A5,'Valuation'!$B$6:$M$6,0))=0),"",D5/INDEX('Valuation'!$B$21:$M$21,1,MATCH($A5,'Valuation'!$B$6:$M$6,0))),"")</f>
        <v/>
      </c>
      <c r="J5" s="558">
        <f>IFERROR(IF(OR($A5="",COUNTIF('Valuation'!$B$6:$M$6,$A5)&lt;&gt;1,NOT(ISNUMBER(F5)),NOT(ISNUMBER(INDEX('Valuation'!$B$21:$M$21,1,MATCH($A5,'Valuation'!$B$6:$M$6,0)))),INDEX('Valuation'!$B$21:$M$21,1,MATCH($A5,'Valuation'!$B$6:$M$6,0))=0),"",F5/INDEX('Valuation'!$B$21:$M$21,1,MATCH($A5,'Valuation'!$B$6:$M$6,0))),"")</f>
        <v/>
      </c>
      <c r="K5" s="558">
        <f>IFERROR(IF(OR($A5="",COUNTIF('Valuation'!$B$6:$M$6,$A5)&lt;&gt;1,NOT(ISNUMBER(INDEX('Valuation'!$B$88:$M$88,1,MATCH($A5,'Valuation'!$B$6:$M$6,0))))),"",INDEX('Valuation'!$B$88:$M$88,1,MATCH($A5,'Valuation'!$B$6:$M$6,0))),"")</f>
        <v/>
      </c>
      <c r="L5" s="557" t="n"/>
      <c r="M5" s="557" t="n"/>
      <c r="N5" s="557" t="n"/>
    </row>
    <row r="6" ht="48" customHeight="1">
      <c r="F6" s="505">
        <f>IFERROR(IF(OR(NOT(ISNUMBER(D6)),NOT(ISNUMBER(B6))),"",D6-B6),"")</f>
        <v/>
      </c>
      <c r="H6" s="505">
        <f>IFERROR(IF(OR(NOT(ISNUMBER(B6)),NOT(ISNUMBER(G6))),"",B6+G6),"")</f>
        <v/>
      </c>
      <c r="I6" s="558">
        <f>IFERROR(IF(OR($A6="",COUNTIF('Valuation'!$B$6:$M$6,$A6)&lt;&gt;1,NOT(ISNUMBER(D6)),NOT(ISNUMBER(INDEX('Valuation'!$B$21:$M$21,1,MATCH($A6,'Valuation'!$B$6:$M$6,0)))),INDEX('Valuation'!$B$21:$M$21,1,MATCH($A6,'Valuation'!$B$6:$M$6,0))=0),"",D6/INDEX('Valuation'!$B$21:$M$21,1,MATCH($A6,'Valuation'!$B$6:$M$6,0))),"")</f>
        <v/>
      </c>
      <c r="J6" s="558">
        <f>IFERROR(IF(OR($A6="",COUNTIF('Valuation'!$B$6:$M$6,$A6)&lt;&gt;1,NOT(ISNUMBER(F6)),NOT(ISNUMBER(INDEX('Valuation'!$B$21:$M$21,1,MATCH($A6,'Valuation'!$B$6:$M$6,0)))),INDEX('Valuation'!$B$21:$M$21,1,MATCH($A6,'Valuation'!$B$6:$M$6,0))=0),"",F6/INDEX('Valuation'!$B$21:$M$21,1,MATCH($A6,'Valuation'!$B$6:$M$6,0))),"")</f>
        <v/>
      </c>
      <c r="K6" s="558">
        <f>IFERROR(IF(OR($A6="",COUNTIF('Valuation'!$B$6:$M$6,$A6)&lt;&gt;1,NOT(ISNUMBER(INDEX('Valuation'!$B$88:$M$88,1,MATCH($A6,'Valuation'!$B$6:$M$6,0))))),"",INDEX('Valuation'!$B$88:$M$88,1,MATCH($A6,'Valuation'!$B$6:$M$6,0))),"")</f>
        <v/>
      </c>
      <c r="L6" s="557" t="n"/>
      <c r="M6" s="557" t="n"/>
      <c r="N6" s="557" t="n"/>
    </row>
    <row r="7" ht="48" customHeight="1">
      <c r="F7" s="505">
        <f>IFERROR(IF(OR(NOT(ISNUMBER(D7)),NOT(ISNUMBER(B7))),"",D7-B7),"")</f>
        <v/>
      </c>
      <c r="H7" s="505">
        <f>IFERROR(IF(OR(NOT(ISNUMBER(B7)),NOT(ISNUMBER(G7))),"",B7+G7),"")</f>
        <v/>
      </c>
      <c r="I7" s="558">
        <f>IFERROR(IF(OR($A7="",COUNTIF('Valuation'!$B$6:$M$6,$A7)&lt;&gt;1,NOT(ISNUMBER(D7)),NOT(ISNUMBER(INDEX('Valuation'!$B$21:$M$21,1,MATCH($A7,'Valuation'!$B$6:$M$6,0)))),INDEX('Valuation'!$B$21:$M$21,1,MATCH($A7,'Valuation'!$B$6:$M$6,0))=0),"",D7/INDEX('Valuation'!$B$21:$M$21,1,MATCH($A7,'Valuation'!$B$6:$M$6,0))),"")</f>
        <v/>
      </c>
      <c r="J7" s="558">
        <f>IFERROR(IF(OR($A7="",COUNTIF('Valuation'!$B$6:$M$6,$A7)&lt;&gt;1,NOT(ISNUMBER(F7)),NOT(ISNUMBER(INDEX('Valuation'!$B$21:$M$21,1,MATCH($A7,'Valuation'!$B$6:$M$6,0)))),INDEX('Valuation'!$B$21:$M$21,1,MATCH($A7,'Valuation'!$B$6:$M$6,0))=0),"",F7/INDEX('Valuation'!$B$21:$M$21,1,MATCH($A7,'Valuation'!$B$6:$M$6,0))),"")</f>
        <v/>
      </c>
      <c r="K7" s="558">
        <f>IFERROR(IF(OR($A7="",COUNTIF('Valuation'!$B$6:$M$6,$A7)&lt;&gt;1,NOT(ISNUMBER(INDEX('Valuation'!$B$88:$M$88,1,MATCH($A7,'Valuation'!$B$6:$M$6,0))))),"",INDEX('Valuation'!$B$88:$M$88,1,MATCH($A7,'Valuation'!$B$6:$M$6,0))),"")</f>
        <v/>
      </c>
      <c r="L7" s="557" t="n"/>
      <c r="M7" s="557" t="n"/>
      <c r="N7" s="557" t="n"/>
    </row>
    <row r="8" ht="48" customHeight="1">
      <c r="F8" s="505">
        <f>IFERROR(IF(OR(NOT(ISNUMBER(D8)),NOT(ISNUMBER(B8))),"",D8-B8),"")</f>
        <v/>
      </c>
      <c r="H8" s="505">
        <f>IFERROR(IF(OR(NOT(ISNUMBER(B8)),NOT(ISNUMBER(G8))),"",B8+G8),"")</f>
        <v/>
      </c>
      <c r="I8" s="558">
        <f>IFERROR(IF(OR($A8="",COUNTIF('Valuation'!$B$6:$M$6,$A8)&lt;&gt;1,NOT(ISNUMBER(D8)),NOT(ISNUMBER(INDEX('Valuation'!$B$21:$M$21,1,MATCH($A8,'Valuation'!$B$6:$M$6,0)))),INDEX('Valuation'!$B$21:$M$21,1,MATCH($A8,'Valuation'!$B$6:$M$6,0))=0),"",D8/INDEX('Valuation'!$B$21:$M$21,1,MATCH($A8,'Valuation'!$B$6:$M$6,0))),"")</f>
        <v/>
      </c>
      <c r="J8" s="558">
        <f>IFERROR(IF(OR($A8="",COUNTIF('Valuation'!$B$6:$M$6,$A8)&lt;&gt;1,NOT(ISNUMBER(F8)),NOT(ISNUMBER(INDEX('Valuation'!$B$21:$M$21,1,MATCH($A8,'Valuation'!$B$6:$M$6,0)))),INDEX('Valuation'!$B$21:$M$21,1,MATCH($A8,'Valuation'!$B$6:$M$6,0))=0),"",F8/INDEX('Valuation'!$B$21:$M$21,1,MATCH($A8,'Valuation'!$B$6:$M$6,0))),"")</f>
        <v/>
      </c>
      <c r="K8" s="558">
        <f>IFERROR(IF(OR($A8="",COUNTIF('Valuation'!$B$6:$M$6,$A8)&lt;&gt;1,NOT(ISNUMBER(INDEX('Valuation'!$B$88:$M$88,1,MATCH($A8,'Valuation'!$B$6:$M$6,0))))),"",INDEX('Valuation'!$B$88:$M$88,1,MATCH($A8,'Valuation'!$B$6:$M$6,0))),"")</f>
        <v/>
      </c>
      <c r="L8" s="557" t="n"/>
      <c r="M8" s="557" t="n"/>
      <c r="N8" s="557" t="n"/>
    </row>
    <row r="9" ht="48" customHeight="1">
      <c r="F9" s="505">
        <f>IFERROR(IF(OR(NOT(ISNUMBER(D9)),NOT(ISNUMBER(B9))),"",D9-B9),"")</f>
        <v/>
      </c>
      <c r="H9" s="505">
        <f>IFERROR(IF(OR(NOT(ISNUMBER(B9)),NOT(ISNUMBER(G9))),"",B9+G9),"")</f>
        <v/>
      </c>
      <c r="I9" s="558">
        <f>IFERROR(IF(OR($A9="",COUNTIF('Valuation'!$B$6:$M$6,$A9)&lt;&gt;1,NOT(ISNUMBER(D9)),NOT(ISNUMBER(INDEX('Valuation'!$B$21:$M$21,1,MATCH($A9,'Valuation'!$B$6:$M$6,0)))),INDEX('Valuation'!$B$21:$M$21,1,MATCH($A9,'Valuation'!$B$6:$M$6,0))=0),"",D9/INDEX('Valuation'!$B$21:$M$21,1,MATCH($A9,'Valuation'!$B$6:$M$6,0))),"")</f>
        <v/>
      </c>
      <c r="J9" s="558">
        <f>IFERROR(IF(OR($A9="",COUNTIF('Valuation'!$B$6:$M$6,$A9)&lt;&gt;1,NOT(ISNUMBER(F9)),NOT(ISNUMBER(INDEX('Valuation'!$B$21:$M$21,1,MATCH($A9,'Valuation'!$B$6:$M$6,0)))),INDEX('Valuation'!$B$21:$M$21,1,MATCH($A9,'Valuation'!$B$6:$M$6,0))=0),"",F9/INDEX('Valuation'!$B$21:$M$21,1,MATCH($A9,'Valuation'!$B$6:$M$6,0))),"")</f>
        <v/>
      </c>
      <c r="K9" s="558">
        <f>IFERROR(IF(OR($A9="",COUNTIF('Valuation'!$B$6:$M$6,$A9)&lt;&gt;1,NOT(ISNUMBER(INDEX('Valuation'!$B$88:$M$88,1,MATCH($A9,'Valuation'!$B$6:$M$6,0))))),"",INDEX('Valuation'!$B$88:$M$88,1,MATCH($A9,'Valuation'!$B$6:$M$6,0))),"")</f>
        <v/>
      </c>
      <c r="L9" s="557" t="n"/>
      <c r="M9" s="557" t="n"/>
      <c r="N9" s="557" t="n"/>
    </row>
    <row r="10" ht="48" customHeight="1">
      <c r="F10" s="505">
        <f>IFERROR(IF(OR(NOT(ISNUMBER(D10)),NOT(ISNUMBER(B10))),"",D10-B10),"")</f>
        <v/>
      </c>
      <c r="H10" s="505">
        <f>IFERROR(IF(OR(NOT(ISNUMBER(B10)),NOT(ISNUMBER(G10))),"",B10+G10),"")</f>
        <v/>
      </c>
      <c r="I10" s="558">
        <f>IFERROR(IF(OR($A10="",COUNTIF('Valuation'!$B$6:$M$6,$A10)&lt;&gt;1,NOT(ISNUMBER(D10)),NOT(ISNUMBER(INDEX('Valuation'!$B$21:$M$21,1,MATCH($A10,'Valuation'!$B$6:$M$6,0)))),INDEX('Valuation'!$B$21:$M$21,1,MATCH($A10,'Valuation'!$B$6:$M$6,0))=0),"",D10/INDEX('Valuation'!$B$21:$M$21,1,MATCH($A10,'Valuation'!$B$6:$M$6,0))),"")</f>
        <v/>
      </c>
      <c r="J10" s="558">
        <f>IFERROR(IF(OR($A10="",COUNTIF('Valuation'!$B$6:$M$6,$A10)&lt;&gt;1,NOT(ISNUMBER(F10)),NOT(ISNUMBER(INDEX('Valuation'!$B$21:$M$21,1,MATCH($A10,'Valuation'!$B$6:$M$6,0)))),INDEX('Valuation'!$B$21:$M$21,1,MATCH($A10,'Valuation'!$B$6:$M$6,0))=0),"",F10/INDEX('Valuation'!$B$21:$M$21,1,MATCH($A10,'Valuation'!$B$6:$M$6,0))),"")</f>
        <v/>
      </c>
      <c r="K10" s="558">
        <f>IFERROR(IF(OR($A10="",COUNTIF('Valuation'!$B$6:$M$6,$A10)&lt;&gt;1,NOT(ISNUMBER(INDEX('Valuation'!$B$88:$M$88,1,MATCH($A10,'Valuation'!$B$6:$M$6,0))))),"",INDEX('Valuation'!$B$88:$M$88,1,MATCH($A10,'Valuation'!$B$6:$M$6,0))),"")</f>
        <v/>
      </c>
      <c r="L10" s="557" t="n"/>
      <c r="M10" s="557" t="n"/>
      <c r="N10" s="557" t="n"/>
    </row>
    <row r="11" ht="48" customHeight="1">
      <c r="F11" s="505">
        <f>IFERROR(IF(OR(NOT(ISNUMBER(D11)),NOT(ISNUMBER(B11))),"",D11-B11),"")</f>
        <v/>
      </c>
      <c r="H11" s="505">
        <f>IFERROR(IF(OR(NOT(ISNUMBER(B11)),NOT(ISNUMBER(G11))),"",B11+G11),"")</f>
        <v/>
      </c>
      <c r="I11" s="558">
        <f>IFERROR(IF(OR($A11="",COUNTIF('Valuation'!$B$6:$M$6,$A11)&lt;&gt;1,NOT(ISNUMBER(D11)),NOT(ISNUMBER(INDEX('Valuation'!$B$21:$M$21,1,MATCH($A11,'Valuation'!$B$6:$M$6,0)))),INDEX('Valuation'!$B$21:$M$21,1,MATCH($A11,'Valuation'!$B$6:$M$6,0))=0),"",D11/INDEX('Valuation'!$B$21:$M$21,1,MATCH($A11,'Valuation'!$B$6:$M$6,0))),"")</f>
        <v/>
      </c>
      <c r="J11" s="558">
        <f>IFERROR(IF(OR($A11="",COUNTIF('Valuation'!$B$6:$M$6,$A11)&lt;&gt;1,NOT(ISNUMBER(F11)),NOT(ISNUMBER(INDEX('Valuation'!$B$21:$M$21,1,MATCH($A11,'Valuation'!$B$6:$M$6,0)))),INDEX('Valuation'!$B$21:$M$21,1,MATCH($A11,'Valuation'!$B$6:$M$6,0))=0),"",F11/INDEX('Valuation'!$B$21:$M$21,1,MATCH($A11,'Valuation'!$B$6:$M$6,0))),"")</f>
        <v/>
      </c>
      <c r="K11" s="558">
        <f>IFERROR(IF(OR($A11="",COUNTIF('Valuation'!$B$6:$M$6,$A11)&lt;&gt;1,NOT(ISNUMBER(INDEX('Valuation'!$B$88:$M$88,1,MATCH($A11,'Valuation'!$B$6:$M$6,0))))),"",INDEX('Valuation'!$B$88:$M$88,1,MATCH($A11,'Valuation'!$B$6:$M$6,0))),"")</f>
        <v/>
      </c>
      <c r="L11" s="557" t="n"/>
      <c r="M11" s="557" t="n"/>
      <c r="N11" s="557" t="n"/>
    </row>
    <row r="12" ht="48" customHeight="1">
      <c r="F12" s="505">
        <f>IFERROR(IF(OR(NOT(ISNUMBER(D12)),NOT(ISNUMBER(B12))),"",D12-B12),"")</f>
        <v/>
      </c>
      <c r="H12" s="505">
        <f>IFERROR(IF(OR(NOT(ISNUMBER(B12)),NOT(ISNUMBER(G12))),"",B12+G12),"")</f>
        <v/>
      </c>
      <c r="I12" s="558">
        <f>IFERROR(IF(OR($A12="",COUNTIF('Valuation'!$B$6:$M$6,$A12)&lt;&gt;1,NOT(ISNUMBER(D12)),NOT(ISNUMBER(INDEX('Valuation'!$B$21:$M$21,1,MATCH($A12,'Valuation'!$B$6:$M$6,0)))),INDEX('Valuation'!$B$21:$M$21,1,MATCH($A12,'Valuation'!$B$6:$M$6,0))=0),"",D12/INDEX('Valuation'!$B$21:$M$21,1,MATCH($A12,'Valuation'!$B$6:$M$6,0))),"")</f>
        <v/>
      </c>
      <c r="J12" s="558">
        <f>IFERROR(IF(OR($A12="",COUNTIF('Valuation'!$B$6:$M$6,$A12)&lt;&gt;1,NOT(ISNUMBER(F12)),NOT(ISNUMBER(INDEX('Valuation'!$B$21:$M$21,1,MATCH($A12,'Valuation'!$B$6:$M$6,0)))),INDEX('Valuation'!$B$21:$M$21,1,MATCH($A12,'Valuation'!$B$6:$M$6,0))=0),"",F12/INDEX('Valuation'!$B$21:$M$21,1,MATCH($A12,'Valuation'!$B$6:$M$6,0))),"")</f>
        <v/>
      </c>
      <c r="K12" s="558">
        <f>IFERROR(IF(OR($A12="",COUNTIF('Valuation'!$B$6:$M$6,$A12)&lt;&gt;1,NOT(ISNUMBER(INDEX('Valuation'!$B$88:$M$88,1,MATCH($A12,'Valuation'!$B$6:$M$6,0))))),"",INDEX('Valuation'!$B$88:$M$88,1,MATCH($A12,'Valuation'!$B$6:$M$6,0))),"")</f>
        <v/>
      </c>
      <c r="L12" s="557" t="n"/>
      <c r="M12" s="557" t="n"/>
      <c r="N12" s="557" t="n"/>
    </row>
    <row r="13" ht="48" customHeight="1">
      <c r="F13" s="505">
        <f>IFERROR(IF(OR(NOT(ISNUMBER(D13)),NOT(ISNUMBER(B13))),"",D13-B13),"")</f>
        <v/>
      </c>
      <c r="H13" s="505">
        <f>IFERROR(IF(OR(NOT(ISNUMBER(B13)),NOT(ISNUMBER(G13))),"",B13+G13),"")</f>
        <v/>
      </c>
      <c r="I13" s="558">
        <f>IFERROR(IF(OR($A13="",COUNTIF('Valuation'!$B$6:$M$6,$A13)&lt;&gt;1,NOT(ISNUMBER(D13)),NOT(ISNUMBER(INDEX('Valuation'!$B$21:$M$21,1,MATCH($A13,'Valuation'!$B$6:$M$6,0)))),INDEX('Valuation'!$B$21:$M$21,1,MATCH($A13,'Valuation'!$B$6:$M$6,0))=0),"",D13/INDEX('Valuation'!$B$21:$M$21,1,MATCH($A13,'Valuation'!$B$6:$M$6,0))),"")</f>
        <v/>
      </c>
      <c r="J13" s="558">
        <f>IFERROR(IF(OR($A13="",COUNTIF('Valuation'!$B$6:$M$6,$A13)&lt;&gt;1,NOT(ISNUMBER(F13)),NOT(ISNUMBER(INDEX('Valuation'!$B$21:$M$21,1,MATCH($A13,'Valuation'!$B$6:$M$6,0)))),INDEX('Valuation'!$B$21:$M$21,1,MATCH($A13,'Valuation'!$B$6:$M$6,0))=0),"",F13/INDEX('Valuation'!$B$21:$M$21,1,MATCH($A13,'Valuation'!$B$6:$M$6,0))),"")</f>
        <v/>
      </c>
      <c r="K13" s="558">
        <f>IFERROR(IF(OR($A13="",COUNTIF('Valuation'!$B$6:$M$6,$A13)&lt;&gt;1,NOT(ISNUMBER(INDEX('Valuation'!$B$88:$M$88,1,MATCH($A13,'Valuation'!$B$6:$M$6,0))))),"",INDEX('Valuation'!$B$88:$M$88,1,MATCH($A13,'Valuation'!$B$6:$M$6,0))),"")</f>
        <v/>
      </c>
      <c r="L13" s="557" t="n"/>
      <c r="M13" s="557" t="n"/>
      <c r="N13" s="557" t="n"/>
    </row>
    <row r="14" ht="48" customHeight="1">
      <c r="F14" s="505">
        <f>IFERROR(IF(OR(NOT(ISNUMBER(D14)),NOT(ISNUMBER(B14))),"",D14-B14),"")</f>
        <v/>
      </c>
      <c r="H14" s="505">
        <f>IFERROR(IF(OR(NOT(ISNUMBER(B14)),NOT(ISNUMBER(G14))),"",B14+G14),"")</f>
        <v/>
      </c>
      <c r="I14" s="558">
        <f>IFERROR(IF(OR($A14="",COUNTIF('Valuation'!$B$6:$M$6,$A14)&lt;&gt;1,NOT(ISNUMBER(D14)),NOT(ISNUMBER(INDEX('Valuation'!$B$21:$M$21,1,MATCH($A14,'Valuation'!$B$6:$M$6,0)))),INDEX('Valuation'!$B$21:$M$21,1,MATCH($A14,'Valuation'!$B$6:$M$6,0))=0),"",D14/INDEX('Valuation'!$B$21:$M$21,1,MATCH($A14,'Valuation'!$B$6:$M$6,0))),"")</f>
        <v/>
      </c>
      <c r="J14" s="558">
        <f>IFERROR(IF(OR($A14="",COUNTIF('Valuation'!$B$6:$M$6,$A14)&lt;&gt;1,NOT(ISNUMBER(F14)),NOT(ISNUMBER(INDEX('Valuation'!$B$21:$M$21,1,MATCH($A14,'Valuation'!$B$6:$M$6,0)))),INDEX('Valuation'!$B$21:$M$21,1,MATCH($A14,'Valuation'!$B$6:$M$6,0))=0),"",F14/INDEX('Valuation'!$B$21:$M$21,1,MATCH($A14,'Valuation'!$B$6:$M$6,0))),"")</f>
        <v/>
      </c>
      <c r="K14" s="558">
        <f>IFERROR(IF(OR($A14="",COUNTIF('Valuation'!$B$6:$M$6,$A14)&lt;&gt;1,NOT(ISNUMBER(INDEX('Valuation'!$B$88:$M$88,1,MATCH($A14,'Valuation'!$B$6:$M$6,0))))),"",INDEX('Valuation'!$B$88:$M$88,1,MATCH($A14,'Valuation'!$B$6:$M$6,0))),"")</f>
        <v/>
      </c>
      <c r="L14" s="557" t="n"/>
      <c r="M14" s="557" t="n"/>
      <c r="N14" s="557" t="n"/>
    </row>
    <row r="15" ht="48" customHeight="1">
      <c r="F15" s="505">
        <f>IFERROR(IF(OR(NOT(ISNUMBER(D15)),NOT(ISNUMBER(B15))),"",D15-B15),"")</f>
        <v/>
      </c>
      <c r="H15" s="505">
        <f>IFERROR(IF(OR(NOT(ISNUMBER(B15)),NOT(ISNUMBER(G15))),"",B15+G15),"")</f>
        <v/>
      </c>
      <c r="I15" s="558">
        <f>IFERROR(IF(OR($A15="",COUNTIF('Valuation'!$B$6:$M$6,$A15)&lt;&gt;1,NOT(ISNUMBER(D15)),NOT(ISNUMBER(INDEX('Valuation'!$B$21:$M$21,1,MATCH($A15,'Valuation'!$B$6:$M$6,0)))),INDEX('Valuation'!$B$21:$M$21,1,MATCH($A15,'Valuation'!$B$6:$M$6,0))=0),"",D15/INDEX('Valuation'!$B$21:$M$21,1,MATCH($A15,'Valuation'!$B$6:$M$6,0))),"")</f>
        <v/>
      </c>
      <c r="J15" s="558">
        <f>IFERROR(IF(OR($A15="",COUNTIF('Valuation'!$B$6:$M$6,$A15)&lt;&gt;1,NOT(ISNUMBER(F15)),NOT(ISNUMBER(INDEX('Valuation'!$B$21:$M$21,1,MATCH($A15,'Valuation'!$B$6:$M$6,0)))),INDEX('Valuation'!$B$21:$M$21,1,MATCH($A15,'Valuation'!$B$6:$M$6,0))=0),"",F15/INDEX('Valuation'!$B$21:$M$21,1,MATCH($A15,'Valuation'!$B$6:$M$6,0))),"")</f>
        <v/>
      </c>
      <c r="K15" s="558">
        <f>IFERROR(IF(OR($A15="",COUNTIF('Valuation'!$B$6:$M$6,$A15)&lt;&gt;1,NOT(ISNUMBER(INDEX('Valuation'!$B$88:$M$88,1,MATCH($A15,'Valuation'!$B$6:$M$6,0))))),"",INDEX('Valuation'!$B$88:$M$88,1,MATCH($A15,'Valuation'!$B$6:$M$6,0))),"")</f>
        <v/>
      </c>
      <c r="L15" s="557" t="n"/>
      <c r="M15" s="557" t="n"/>
      <c r="N15" s="557" t="n"/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6" customWidth="1" min="4" max="4"/>
    <col width="13" customWidth="1" min="5" max="5"/>
    <col width="13" customWidth="1" min="6" max="6"/>
    <col width="12" customWidth="1" min="7" max="7"/>
    <col width="12" customWidth="1" min="8" max="8"/>
  </cols>
  <sheetData>
    <row r="1" ht="20" customHeight="1">
      <c r="A1" s="549" t="inlineStr">
        <is>
          <t>period</t>
        </is>
      </c>
      <c r="B1" s="549" t="inlineStr">
        <is>
          <t>metric</t>
        </is>
      </c>
      <c r="C1" s="549" t="inlineStr">
        <is>
          <t>gaap_value</t>
        </is>
      </c>
      <c r="D1" s="549" t="inlineStr">
        <is>
          <t>adjusted_value</t>
        </is>
      </c>
      <c r="E1" s="549" t="inlineStr">
        <is>
          <t>adjustments</t>
        </is>
      </c>
      <c r="F1" s="549" t="inlineStr">
        <is>
          <t>credibility</t>
        </is>
      </c>
      <c r="G1" s="549" t="inlineStr">
        <is>
          <t>source_ref</t>
        </is>
      </c>
      <c r="H1" s="549" t="inlineStr">
        <is>
          <t>status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6" customWidth="1" min="4" max="4"/>
    <col width="12" customWidth="1" min="5" max="5"/>
    <col width="12" customWidth="1" min="6" max="6"/>
    <col width="12" customWidth="1" min="7" max="7"/>
  </cols>
  <sheetData>
    <row r="1" ht="20" customHeight="1">
      <c r="A1" s="549" t="inlineStr">
        <is>
          <t>period</t>
        </is>
      </c>
      <c r="B1" s="549" t="inlineStr">
        <is>
          <t>metric</t>
        </is>
      </c>
      <c r="C1" s="549" t="inlineStr">
        <is>
          <t>gaap_value</t>
        </is>
      </c>
      <c r="D1" s="549" t="inlineStr">
        <is>
          <t>adjusted_value</t>
        </is>
      </c>
      <c r="E1" s="549" t="inlineStr">
        <is>
          <t>unit</t>
        </is>
      </c>
      <c r="F1" s="549" t="inlineStr">
        <is>
          <t>source_ref</t>
        </is>
      </c>
      <c r="G1" s="549" t="inlineStr">
        <is>
          <t>status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</cols>
  <sheetData>
    <row r="1" ht="20" customHeight="1">
      <c r="A1" s="549" t="inlineStr">
        <is>
          <t>period</t>
        </is>
      </c>
      <c r="B1" s="549" t="inlineStr">
        <is>
          <t>adjustment</t>
        </is>
      </c>
      <c r="C1" s="549" t="inlineStr">
        <is>
          <t>amount</t>
        </is>
      </c>
      <c r="D1" s="549" t="inlineStr">
        <is>
          <t>tax_treatment</t>
        </is>
      </c>
      <c r="E1" s="549" t="inlineStr">
        <is>
          <t>recurring</t>
        </is>
      </c>
      <c r="F1" s="549" t="inlineStr">
        <is>
          <t>source_ref</t>
        </is>
      </c>
      <c r="G1" s="549" t="inlineStr">
        <is>
          <t>status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R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7" customWidth="1" min="3" max="3"/>
    <col width="13" customWidth="1" min="4" max="4"/>
    <col width="12" customWidth="1" min="5" max="5"/>
    <col width="15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3" customWidth="1" min="12" max="12"/>
    <col width="15" customWidth="1" min="13" max="13"/>
    <col width="21" customWidth="1" min="14" max="14"/>
    <col width="18" customWidth="1" min="15" max="15"/>
    <col width="12" customWidth="1" min="16" max="16"/>
    <col width="12" customWidth="1" min="17" max="17"/>
    <col width="12" customWidth="1" min="18" max="18"/>
  </cols>
  <sheetData>
    <row r="1" ht="20" customHeight="1">
      <c r="A1" s="549" t="inlineStr">
        <is>
          <t>scenario_id</t>
        </is>
      </c>
      <c r="B1" s="549" t="inlineStr">
        <is>
          <t>driver_id</t>
        </is>
      </c>
      <c r="C1" s="549" t="inlineStr">
        <is>
          <t>profile_pack_id</t>
        </is>
      </c>
      <c r="D1" s="549" t="inlineStr">
        <is>
          <t>driver_type</t>
        </is>
      </c>
      <c r="E1" s="549" t="inlineStr">
        <is>
          <t>metric</t>
        </is>
      </c>
      <c r="F1" s="549" t="inlineStr">
        <is>
          <t>impact_metric</t>
        </is>
      </c>
      <c r="G1" s="549" t="inlineStr">
        <is>
          <t>value</t>
        </is>
      </c>
      <c r="H1" s="549" t="inlineStr">
        <is>
          <t>unit</t>
        </is>
      </c>
      <c r="I1" s="549" t="inlineStr">
        <is>
          <t>horizon</t>
        </is>
      </c>
      <c r="J1" s="549" t="inlineStr">
        <is>
          <t>dimension_id</t>
        </is>
      </c>
      <c r="K1" s="549" t="inlineStr">
        <is>
          <t>member</t>
        </is>
      </c>
      <c r="L1" s="549" t="inlineStr">
        <is>
          <t>source_classification</t>
        </is>
      </c>
      <c r="M1" s="549" t="inlineStr">
        <is>
          <t>tax_treatment</t>
        </is>
      </c>
      <c r="N1" s="549" t="inlineStr">
        <is>
          <t>cash_classification</t>
        </is>
      </c>
      <c r="O1" s="549" t="inlineStr">
        <is>
          <t>propagation_rule</t>
        </is>
      </c>
      <c r="P1" s="549" t="inlineStr">
        <is>
          <t>status</t>
        </is>
      </c>
      <c r="Q1" s="549" t="inlineStr">
        <is>
          <t>source_ref</t>
        </is>
      </c>
      <c r="R1" s="549" t="inlineStr">
        <is>
          <t>reason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4" customWidth="1" min="3" max="3"/>
    <col width="12" customWidth="1" min="4" max="4"/>
    <col width="17" customWidth="1" min="5" max="5"/>
    <col width="12" customWidth="1" min="6" max="6"/>
    <col width="12" customWidth="1" min="7" max="7"/>
  </cols>
  <sheetData>
    <row r="1" ht="20" customHeight="1">
      <c r="A1" s="549" t="inlineStr">
        <is>
          <t>scenario_id</t>
        </is>
      </c>
      <c r="B1" s="549" t="inlineStr">
        <is>
          <t>adjustment</t>
        </is>
      </c>
      <c r="C1" s="549" t="inlineStr">
        <is>
          <t>pretax_value</t>
        </is>
      </c>
      <c r="D1" s="549" t="inlineStr">
        <is>
          <t>tax_rate</t>
        </is>
      </c>
      <c r="E1" s="549" t="inlineStr">
        <is>
          <t>after_tax_value</t>
        </is>
      </c>
      <c r="F1" s="549" t="inlineStr">
        <is>
          <t>source_ref</t>
        </is>
      </c>
      <c r="G1" s="549" t="inlineStr">
        <is>
          <t>status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U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3" customWidth="1" min="12" max="12"/>
    <col width="18" customWidth="1" min="13" max="13"/>
    <col width="12" customWidth="1" min="14" max="14"/>
    <col width="12" customWidth="1" min="15" max="15"/>
    <col width="12" customWidth="1" min="16" max="16"/>
    <col width="17" customWidth="1" min="17" max="17"/>
  </cols>
  <sheetData>
    <row r="1" ht="20" customHeight="1">
      <c r="A1" s="549" t="inlineStr">
        <is>
          <t>scenario_id</t>
        </is>
      </c>
      <c r="B1" s="549" t="inlineStr">
        <is>
          <t>assumption_id</t>
        </is>
      </c>
      <c r="C1" s="549" t="inlineStr">
        <is>
          <t>metric</t>
        </is>
      </c>
      <c r="D1" s="549" t="inlineStr">
        <is>
          <t>value_kind</t>
        </is>
      </c>
      <c r="E1" s="549" t="inlineStr">
        <is>
          <t>value</t>
        </is>
      </c>
      <c r="F1" s="549" t="inlineStr">
        <is>
          <t>low_value</t>
        </is>
      </c>
      <c r="G1" s="549" t="inlineStr">
        <is>
          <t>high_value</t>
        </is>
      </c>
      <c r="H1" s="549" t="inlineStr">
        <is>
          <t>unit</t>
        </is>
      </c>
      <c r="I1" s="549" t="inlineStr">
        <is>
          <t>horizon</t>
        </is>
      </c>
      <c r="J1" s="549" t="inlineStr">
        <is>
          <t>dimension_id</t>
        </is>
      </c>
      <c r="K1" s="549" t="inlineStr">
        <is>
          <t>member</t>
        </is>
      </c>
      <c r="L1" s="549" t="inlineStr">
        <is>
          <t>source_classification</t>
        </is>
      </c>
      <c r="M1" s="549" t="inlineStr">
        <is>
          <t>propagation_rule</t>
        </is>
      </c>
      <c r="N1" s="549" t="inlineStr">
        <is>
          <t>status</t>
        </is>
      </c>
      <c r="O1" s="549" t="inlineStr">
        <is>
          <t>source_ref</t>
        </is>
      </c>
      <c r="P1" s="549" t="inlineStr">
        <is>
          <t>reason</t>
        </is>
      </c>
      <c r="Q1" s="549" t="inlineStr">
        <is>
          <t>profile_pack_id</t>
        </is>
      </c>
    </row>
    <row r="2"/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4" customWidth="1" min="3" max="3"/>
    <col width="10" customWidth="1" min="4" max="4"/>
    <col width="14" customWidth="1" min="5" max="5"/>
    <col width="14" customWidth="1" min="6" max="6"/>
    <col width="20" customWidth="1" min="7" max="7"/>
    <col width="40" customWidth="1" min="8" max="8"/>
  </cols>
  <sheetData>
    <row r="1" ht="24" customHeight="1">
      <c r="A1" s="554" t="inlineStr">
        <is>
          <t>Debt maturity ladder</t>
        </is>
      </c>
      <c r="B1" s="555" t="n"/>
      <c r="C1" s="555" t="n"/>
      <c r="D1" s="555" t="n"/>
      <c r="E1" s="555" t="n"/>
      <c r="F1" s="555" t="n"/>
      <c r="G1" s="555" t="n"/>
      <c r="H1" s="555" t="n"/>
    </row>
    <row r="2" ht="8" customHeight="1"/>
    <row r="3" ht="20" customHeight="1">
      <c r="A3" s="549" t="inlineStr">
        <is>
          <t>Instrument</t>
        </is>
      </c>
      <c r="B3" s="549" t="inlineStr">
        <is>
          <t>Bucket</t>
        </is>
      </c>
      <c r="C3" s="549" t="inlineStr">
        <is>
          <t>Amount</t>
        </is>
      </c>
      <c r="D3" s="549" t="inlineStr">
        <is>
          <t>Unit</t>
        </is>
      </c>
      <c r="E3" s="549" t="inlineStr">
        <is>
          <t>Due date</t>
        </is>
      </c>
      <c r="F3" s="549" t="inlineStr">
        <is>
          <t>As of</t>
        </is>
      </c>
      <c r="G3" s="549" t="inlineStr">
        <is>
          <t>State</t>
        </is>
      </c>
      <c r="H3" s="549" t="inlineStr">
        <is>
          <t>Evidence / source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 ht="20" customHeight="1">
      <c r="A1" s="549" t="inlineStr">
        <is>
          <t>bucket</t>
        </is>
      </c>
      <c r="B1" s="549" t="inlineStr">
        <is>
          <t>amount</t>
        </is>
      </c>
      <c r="C1" s="549" t="inlineStr">
        <is>
          <t>unit</t>
        </is>
      </c>
      <c r="D1" s="549" t="inlineStr">
        <is>
          <t>as_of</t>
        </is>
      </c>
      <c r="E1" s="549" t="inlineStr">
        <is>
          <t>source_ref</t>
        </is>
      </c>
      <c r="F1" s="549" t="inlineStr">
        <is>
          <t>status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3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0" customHeight="1">
      <c r="A1" s="549" t="inlineStr">
        <is>
          <t>period</t>
        </is>
      </c>
      <c r="B1" s="549" t="inlineStr">
        <is>
          <t>opening</t>
        </is>
      </c>
      <c r="C1" s="549" t="inlineStr">
        <is>
          <t>debt_issued</t>
        </is>
      </c>
      <c r="D1" s="549" t="inlineStr">
        <is>
          <t>debt_repaid</t>
        </is>
      </c>
      <c r="E1" s="549" t="inlineStr">
        <is>
          <t>other</t>
        </is>
      </c>
      <c r="F1" s="549" t="inlineStr">
        <is>
          <t>closing</t>
        </is>
      </c>
      <c r="G1" s="549" t="inlineStr">
        <is>
          <t>source_ref</t>
        </is>
      </c>
      <c r="H1" s="549" t="inlineStr">
        <is>
          <t>status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0" customHeight="1">
      <c r="A1" s="549" t="inlineStr">
        <is>
          <t>period</t>
        </is>
      </c>
      <c r="B1" s="549" t="inlineStr">
        <is>
          <t>instrument</t>
        </is>
      </c>
      <c r="C1" s="549" t="inlineStr">
        <is>
          <t>principal</t>
        </is>
      </c>
      <c r="D1" s="549" t="inlineStr">
        <is>
          <t>coupon</t>
        </is>
      </c>
      <c r="E1" s="549" t="inlineStr">
        <is>
          <t>maturity</t>
        </is>
      </c>
      <c r="F1" s="549" t="inlineStr">
        <is>
          <t>secured</t>
        </is>
      </c>
      <c r="G1" s="549" t="inlineStr">
        <is>
          <t>source_ref</t>
        </is>
      </c>
      <c r="H1" s="549" t="inlineStr">
        <is>
          <t>status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5" customWidth="1" min="3" max="3"/>
    <col width="15" customWidth="1" min="4" max="4"/>
    <col width="12" customWidth="1" min="5" max="5"/>
    <col width="12" customWidth="1" min="6" max="6"/>
  </cols>
  <sheetData>
    <row r="1" ht="20" customHeight="1">
      <c r="A1" s="549" t="inlineStr">
        <is>
          <t>scenario_id</t>
        </is>
      </c>
      <c r="B1" s="549" t="inlineStr">
        <is>
          <t>row_driver</t>
        </is>
      </c>
      <c r="C1" s="549" t="inlineStr">
        <is>
          <t>column_driver</t>
        </is>
      </c>
      <c r="D1" s="549" t="inlineStr">
        <is>
          <t>output_metric</t>
        </is>
      </c>
      <c r="E1" s="549" t="inlineStr">
        <is>
          <t>value</t>
        </is>
      </c>
      <c r="F1" s="549" t="inlineStr">
        <is>
          <t>status</t>
        </is>
      </c>
    </row>
    <row r="2">
      <c r="A2">
        <f>"dcf"</f>
        <v/>
      </c>
      <c r="B2" s="500">
        <f>IF('Valuation'!$G$227="","",'Valuation'!$G$227)</f>
        <v/>
      </c>
      <c r="C2" s="500">
        <f>IF('Valuation'!$H$226="","",'Valuation'!$H$226)</f>
        <v/>
      </c>
      <c r="D2" t="inlineStr">
        <is>
          <t>implied_price</t>
        </is>
      </c>
      <c r="E2" s="507">
        <f>IF('Valuation'!$H$227="","",'Valuation'!$H$227)</f>
        <v/>
      </c>
      <c r="F2">
        <f>IF(E2="","unavailable","calculated")</f>
        <v/>
      </c>
    </row>
    <row r="3">
      <c r="A3">
        <f>"dcf"</f>
        <v/>
      </c>
      <c r="B3" s="500">
        <f>IF('Valuation'!$G$227="","",'Valuation'!$G$227)</f>
        <v/>
      </c>
      <c r="C3" s="500">
        <f>IF('Valuation'!$I$226="","",'Valuation'!$I$226)</f>
        <v/>
      </c>
      <c r="D3" t="inlineStr">
        <is>
          <t>implied_price</t>
        </is>
      </c>
      <c r="E3" s="507">
        <f>IF('Valuation'!$I$227="","",'Valuation'!$I$227)</f>
        <v/>
      </c>
      <c r="F3">
        <f>IF(E3="","unavailable","calculated")</f>
        <v/>
      </c>
    </row>
    <row r="4">
      <c r="A4">
        <f>"dcf"</f>
        <v/>
      </c>
      <c r="B4" s="500">
        <f>IF('Valuation'!$G$227="","",'Valuation'!$G$227)</f>
        <v/>
      </c>
      <c r="C4" s="500">
        <f>IF('Valuation'!$J$226="","",'Valuation'!$J$226)</f>
        <v/>
      </c>
      <c r="D4" t="inlineStr">
        <is>
          <t>implied_price</t>
        </is>
      </c>
      <c r="E4" s="507">
        <f>IF('Valuation'!$J$227="","",'Valuation'!$J$227)</f>
        <v/>
      </c>
      <c r="F4">
        <f>IF(E4="","unavailable","calculated")</f>
        <v/>
      </c>
    </row>
    <row r="5">
      <c r="A5">
        <f>"dcf"</f>
        <v/>
      </c>
      <c r="B5" s="500">
        <f>IF('Valuation'!$G$227="","",'Valuation'!$G$227)</f>
        <v/>
      </c>
      <c r="C5" s="500">
        <f>IF('Valuation'!$K$226="","",'Valuation'!$K$226)</f>
        <v/>
      </c>
      <c r="D5" t="inlineStr">
        <is>
          <t>implied_price</t>
        </is>
      </c>
      <c r="E5" s="507">
        <f>IF('Valuation'!$K$227="","",'Valuation'!$K$227)</f>
        <v/>
      </c>
      <c r="F5">
        <f>IF(E5="","unavailable","calculated")</f>
        <v/>
      </c>
    </row>
    <row r="6">
      <c r="A6">
        <f>"dcf"</f>
        <v/>
      </c>
      <c r="B6" s="500">
        <f>IF('Valuation'!$G$227="","",'Valuation'!$G$227)</f>
        <v/>
      </c>
      <c r="C6" s="500">
        <f>IF('Valuation'!$L$226="","",'Valuation'!$L$226)</f>
        <v/>
      </c>
      <c r="D6" t="inlineStr">
        <is>
          <t>implied_price</t>
        </is>
      </c>
      <c r="E6" s="507">
        <f>IF('Valuation'!$L$227="","",'Valuation'!$L$227)</f>
        <v/>
      </c>
      <c r="F6">
        <f>IF(E6="","unavailable","calculated")</f>
        <v/>
      </c>
    </row>
    <row r="7">
      <c r="A7">
        <f>"dcf"</f>
        <v/>
      </c>
      <c r="B7" s="500">
        <f>IF('Valuation'!$G$228="","",'Valuation'!$G$228)</f>
        <v/>
      </c>
      <c r="C7" s="500">
        <f>IF('Valuation'!$H$226="","",'Valuation'!$H$226)</f>
        <v/>
      </c>
      <c r="D7" t="inlineStr">
        <is>
          <t>implied_price</t>
        </is>
      </c>
      <c r="E7" s="507">
        <f>IF('Valuation'!$H$228="","",'Valuation'!$H$228)</f>
        <v/>
      </c>
      <c r="F7">
        <f>IF(E7="","unavailable","calculated")</f>
        <v/>
      </c>
    </row>
    <row r="8">
      <c r="A8">
        <f>"dcf"</f>
        <v/>
      </c>
      <c r="B8" s="500">
        <f>IF('Valuation'!$G$228="","",'Valuation'!$G$228)</f>
        <v/>
      </c>
      <c r="C8" s="500">
        <f>IF('Valuation'!$I$226="","",'Valuation'!$I$226)</f>
        <v/>
      </c>
      <c r="D8" t="inlineStr">
        <is>
          <t>implied_price</t>
        </is>
      </c>
      <c r="E8" s="507">
        <f>IF('Valuation'!$I$228="","",'Valuation'!$I$228)</f>
        <v/>
      </c>
      <c r="F8">
        <f>IF(E8="","unavailable","calculated")</f>
        <v/>
      </c>
    </row>
    <row r="9">
      <c r="A9">
        <f>"dcf"</f>
        <v/>
      </c>
      <c r="B9" s="500">
        <f>IF('Valuation'!$G$228="","",'Valuation'!$G$228)</f>
        <v/>
      </c>
      <c r="C9" s="500">
        <f>IF('Valuation'!$J$226="","",'Valuation'!$J$226)</f>
        <v/>
      </c>
      <c r="D9" t="inlineStr">
        <is>
          <t>implied_price</t>
        </is>
      </c>
      <c r="E9" s="507">
        <f>IF('Valuation'!$J$228="","",'Valuation'!$J$228)</f>
        <v/>
      </c>
      <c r="F9">
        <f>IF(E9="","unavailable","calculated")</f>
        <v/>
      </c>
    </row>
    <row r="10">
      <c r="A10">
        <f>"dcf"</f>
        <v/>
      </c>
      <c r="B10" s="500">
        <f>IF('Valuation'!$G$228="","",'Valuation'!$G$228)</f>
        <v/>
      </c>
      <c r="C10" s="500">
        <f>IF('Valuation'!$K$226="","",'Valuation'!$K$226)</f>
        <v/>
      </c>
      <c r="D10" t="inlineStr">
        <is>
          <t>implied_price</t>
        </is>
      </c>
      <c r="E10" s="507">
        <f>IF('Valuation'!$K$228="","",'Valuation'!$K$228)</f>
        <v/>
      </c>
      <c r="F10">
        <f>IF(E10="","unavailable","calculated")</f>
        <v/>
      </c>
    </row>
    <row r="11">
      <c r="A11">
        <f>"dcf"</f>
        <v/>
      </c>
      <c r="B11" s="500">
        <f>IF('Valuation'!$G$228="","",'Valuation'!$G$228)</f>
        <v/>
      </c>
      <c r="C11" s="500">
        <f>IF('Valuation'!$L$226="","",'Valuation'!$L$226)</f>
        <v/>
      </c>
      <c r="D11" t="inlineStr">
        <is>
          <t>implied_price</t>
        </is>
      </c>
      <c r="E11" s="507">
        <f>IF('Valuation'!$L$228="","",'Valuation'!$L$228)</f>
        <v/>
      </c>
      <c r="F11">
        <f>IF(E11="","unavailable","calculated")</f>
        <v/>
      </c>
    </row>
    <row r="12">
      <c r="A12">
        <f>"dcf"</f>
        <v/>
      </c>
      <c r="B12" s="500">
        <f>IF('Valuation'!$G$229="","",'Valuation'!$G$229)</f>
        <v/>
      </c>
      <c r="C12" s="500">
        <f>IF('Valuation'!$H$226="","",'Valuation'!$H$226)</f>
        <v/>
      </c>
      <c r="D12" t="inlineStr">
        <is>
          <t>implied_price</t>
        </is>
      </c>
      <c r="E12" s="507">
        <f>IF('Valuation'!$H$229="","",'Valuation'!$H$229)</f>
        <v/>
      </c>
      <c r="F12">
        <f>IF(E12="","unavailable","calculated")</f>
        <v/>
      </c>
    </row>
    <row r="13">
      <c r="A13">
        <f>"dcf"</f>
        <v/>
      </c>
      <c r="B13" s="500">
        <f>IF('Valuation'!$G$229="","",'Valuation'!$G$229)</f>
        <v/>
      </c>
      <c r="C13" s="500">
        <f>IF('Valuation'!$I$226="","",'Valuation'!$I$226)</f>
        <v/>
      </c>
      <c r="D13" t="inlineStr">
        <is>
          <t>implied_price</t>
        </is>
      </c>
      <c r="E13" s="507">
        <f>IF('Valuation'!$I$229="","",'Valuation'!$I$229)</f>
        <v/>
      </c>
      <c r="F13">
        <f>IF(E13="","unavailable","calculated")</f>
        <v/>
      </c>
    </row>
    <row r="14">
      <c r="A14">
        <f>"dcf"</f>
        <v/>
      </c>
      <c r="B14" s="500">
        <f>IF('Valuation'!$G$229="","",'Valuation'!$G$229)</f>
        <v/>
      </c>
      <c r="C14" s="500">
        <f>IF('Valuation'!$J$226="","",'Valuation'!$J$226)</f>
        <v/>
      </c>
      <c r="D14" t="inlineStr">
        <is>
          <t>implied_price</t>
        </is>
      </c>
      <c r="E14" s="507">
        <f>IF('Valuation'!$J$229="","",'Valuation'!$J$229)</f>
        <v/>
      </c>
      <c r="F14">
        <f>IF(E14="","unavailable","calculated")</f>
        <v/>
      </c>
    </row>
    <row r="15">
      <c r="A15">
        <f>"dcf"</f>
        <v/>
      </c>
      <c r="B15" s="500">
        <f>IF('Valuation'!$G$229="","",'Valuation'!$G$229)</f>
        <v/>
      </c>
      <c r="C15" s="500">
        <f>IF('Valuation'!$K$226="","",'Valuation'!$K$226)</f>
        <v/>
      </c>
      <c r="D15" t="inlineStr">
        <is>
          <t>implied_price</t>
        </is>
      </c>
      <c r="E15" s="507">
        <f>IF('Valuation'!$K$229="","",'Valuation'!$K$229)</f>
        <v/>
      </c>
      <c r="F15">
        <f>IF(E15="","unavailable","calculated")</f>
        <v/>
      </c>
    </row>
    <row r="16">
      <c r="A16">
        <f>"dcf"</f>
        <v/>
      </c>
      <c r="B16" s="500">
        <f>IF('Valuation'!$G$229="","",'Valuation'!$G$229)</f>
        <v/>
      </c>
      <c r="C16" s="500">
        <f>IF('Valuation'!$L$226="","",'Valuation'!$L$226)</f>
        <v/>
      </c>
      <c r="D16" t="inlineStr">
        <is>
          <t>implied_price</t>
        </is>
      </c>
      <c r="E16" s="507">
        <f>IF('Valuation'!$L$229="","",'Valuation'!$L$229)</f>
        <v/>
      </c>
      <c r="F16">
        <f>IF(E16="","unavailable","calculated")</f>
        <v/>
      </c>
    </row>
    <row r="17">
      <c r="A17">
        <f>"dcf"</f>
        <v/>
      </c>
      <c r="B17" s="500">
        <f>IF('Valuation'!$G$230="","",'Valuation'!$G$230)</f>
        <v/>
      </c>
      <c r="C17" s="500">
        <f>IF('Valuation'!$H$226="","",'Valuation'!$H$226)</f>
        <v/>
      </c>
      <c r="D17" t="inlineStr">
        <is>
          <t>implied_price</t>
        </is>
      </c>
      <c r="E17" s="507">
        <f>IF('Valuation'!$H$230="","",'Valuation'!$H$230)</f>
        <v/>
      </c>
      <c r="F17">
        <f>IF(E17="","unavailable","calculated")</f>
        <v/>
      </c>
    </row>
    <row r="18">
      <c r="A18">
        <f>"dcf"</f>
        <v/>
      </c>
      <c r="B18" s="500">
        <f>IF('Valuation'!$G$230="","",'Valuation'!$G$230)</f>
        <v/>
      </c>
      <c r="C18" s="500">
        <f>IF('Valuation'!$I$226="","",'Valuation'!$I$226)</f>
        <v/>
      </c>
      <c r="D18" t="inlineStr">
        <is>
          <t>implied_price</t>
        </is>
      </c>
      <c r="E18" s="507">
        <f>IF('Valuation'!$I$230="","",'Valuation'!$I$230)</f>
        <v/>
      </c>
      <c r="F18">
        <f>IF(E18="","unavailable","calculated")</f>
        <v/>
      </c>
    </row>
    <row r="19">
      <c r="A19">
        <f>"dcf"</f>
        <v/>
      </c>
      <c r="B19" s="500">
        <f>IF('Valuation'!$G$230="","",'Valuation'!$G$230)</f>
        <v/>
      </c>
      <c r="C19" s="500">
        <f>IF('Valuation'!$J$226="","",'Valuation'!$J$226)</f>
        <v/>
      </c>
      <c r="D19" t="inlineStr">
        <is>
          <t>implied_price</t>
        </is>
      </c>
      <c r="E19" s="507">
        <f>IF('Valuation'!$J$230="","",'Valuation'!$J$230)</f>
        <v/>
      </c>
      <c r="F19">
        <f>IF(E19="","unavailable","calculated")</f>
        <v/>
      </c>
    </row>
    <row r="20">
      <c r="A20">
        <f>"dcf"</f>
        <v/>
      </c>
      <c r="B20" s="500">
        <f>IF('Valuation'!$G$230="","",'Valuation'!$G$230)</f>
        <v/>
      </c>
      <c r="C20" s="500">
        <f>IF('Valuation'!$K$226="","",'Valuation'!$K$226)</f>
        <v/>
      </c>
      <c r="D20" t="inlineStr">
        <is>
          <t>implied_price</t>
        </is>
      </c>
      <c r="E20" s="507">
        <f>IF('Valuation'!$K$230="","",'Valuation'!$K$230)</f>
        <v/>
      </c>
      <c r="F20">
        <f>IF(E20="","unavailable","calculated")</f>
        <v/>
      </c>
    </row>
    <row r="21">
      <c r="A21">
        <f>"dcf"</f>
        <v/>
      </c>
      <c r="B21" s="500">
        <f>IF('Valuation'!$G$230="","",'Valuation'!$G$230)</f>
        <v/>
      </c>
      <c r="C21" s="500">
        <f>IF('Valuation'!$L$226="","",'Valuation'!$L$226)</f>
        <v/>
      </c>
      <c r="D21" t="inlineStr">
        <is>
          <t>implied_price</t>
        </is>
      </c>
      <c r="E21" s="507">
        <f>IF('Valuation'!$L$230="","",'Valuation'!$L$230)</f>
        <v/>
      </c>
      <c r="F21">
        <f>IF(E21="","unavailable","calculated")</f>
        <v/>
      </c>
    </row>
    <row r="22">
      <c r="A22">
        <f>"dcf"</f>
        <v/>
      </c>
      <c r="B22" s="500">
        <f>IF('Valuation'!$G$231="","",'Valuation'!$G$231)</f>
        <v/>
      </c>
      <c r="C22" s="500">
        <f>IF('Valuation'!$H$226="","",'Valuation'!$H$226)</f>
        <v/>
      </c>
      <c r="D22" t="inlineStr">
        <is>
          <t>implied_price</t>
        </is>
      </c>
      <c r="E22" s="507">
        <f>IF('Valuation'!$H$231="","",'Valuation'!$H$231)</f>
        <v/>
      </c>
      <c r="F22">
        <f>IF(E22="","unavailable","calculated")</f>
        <v/>
      </c>
    </row>
    <row r="23">
      <c r="A23">
        <f>"dcf"</f>
        <v/>
      </c>
      <c r="B23" s="500">
        <f>IF('Valuation'!$G$231="","",'Valuation'!$G$231)</f>
        <v/>
      </c>
      <c r="C23" s="500">
        <f>IF('Valuation'!$I$226="","",'Valuation'!$I$226)</f>
        <v/>
      </c>
      <c r="D23" t="inlineStr">
        <is>
          <t>implied_price</t>
        </is>
      </c>
      <c r="E23" s="507">
        <f>IF('Valuation'!$I$231="","",'Valuation'!$I$231)</f>
        <v/>
      </c>
      <c r="F23">
        <f>IF(E23="","unavailable","calculated")</f>
        <v/>
      </c>
    </row>
    <row r="24">
      <c r="A24">
        <f>"dcf"</f>
        <v/>
      </c>
      <c r="B24" s="500">
        <f>IF('Valuation'!$G$231="","",'Valuation'!$G$231)</f>
        <v/>
      </c>
      <c r="C24" s="500">
        <f>IF('Valuation'!$J$226="","",'Valuation'!$J$226)</f>
        <v/>
      </c>
      <c r="D24" t="inlineStr">
        <is>
          <t>implied_price</t>
        </is>
      </c>
      <c r="E24" s="507">
        <f>IF('Valuation'!$J$231="","",'Valuation'!$J$231)</f>
        <v/>
      </c>
      <c r="F24">
        <f>IF(E24="","unavailable","calculated")</f>
        <v/>
      </c>
    </row>
    <row r="25">
      <c r="A25">
        <f>"dcf"</f>
        <v/>
      </c>
      <c r="B25" s="500">
        <f>IF('Valuation'!$G$231="","",'Valuation'!$G$231)</f>
        <v/>
      </c>
      <c r="C25" s="500">
        <f>IF('Valuation'!$K$226="","",'Valuation'!$K$226)</f>
        <v/>
      </c>
      <c r="D25" t="inlineStr">
        <is>
          <t>implied_price</t>
        </is>
      </c>
      <c r="E25" s="507">
        <f>IF('Valuation'!$K$231="","",'Valuation'!$K$231)</f>
        <v/>
      </c>
      <c r="F25">
        <f>IF(E25="","unavailable","calculated")</f>
        <v/>
      </c>
    </row>
    <row r="26">
      <c r="A26">
        <f>"dcf"</f>
        <v/>
      </c>
      <c r="B26" s="500">
        <f>IF('Valuation'!$G$231="","",'Valuation'!$G$231)</f>
        <v/>
      </c>
      <c r="C26" s="500">
        <f>IF('Valuation'!$L$226="","",'Valuation'!$L$226)</f>
        <v/>
      </c>
      <c r="D26" t="inlineStr">
        <is>
          <t>implied_price</t>
        </is>
      </c>
      <c r="E26" s="507">
        <f>IF('Valuation'!$L$231="","",'Valuation'!$L$231)</f>
        <v/>
      </c>
      <c r="F26">
        <f>IF(E26="","unavailable","calculated")</f>
        <v/>
      </c>
    </row>
    <row r="27">
      <c r="A27">
        <f>"dcf"</f>
        <v/>
      </c>
      <c r="B27" s="500">
        <f>IF('Valuation'!$G$232="","",'Valuation'!$G$232)</f>
        <v/>
      </c>
      <c r="C27" s="500">
        <f>IF('Valuation'!$H$226="","",'Valuation'!$H$226)</f>
        <v/>
      </c>
      <c r="D27" t="inlineStr">
        <is>
          <t>implied_price</t>
        </is>
      </c>
      <c r="E27" s="507">
        <f>IF('Valuation'!$H$232="","",'Valuation'!$H$232)</f>
        <v/>
      </c>
      <c r="F27">
        <f>IF(E27="","unavailable","calculated")</f>
        <v/>
      </c>
    </row>
    <row r="28">
      <c r="A28">
        <f>"dcf"</f>
        <v/>
      </c>
      <c r="B28" s="500">
        <f>IF('Valuation'!$G$232="","",'Valuation'!$G$232)</f>
        <v/>
      </c>
      <c r="C28" s="500">
        <f>IF('Valuation'!$I$226="","",'Valuation'!$I$226)</f>
        <v/>
      </c>
      <c r="D28" t="inlineStr">
        <is>
          <t>implied_price</t>
        </is>
      </c>
      <c r="E28" s="507">
        <f>IF('Valuation'!$I$232="","",'Valuation'!$I$232)</f>
        <v/>
      </c>
      <c r="F28">
        <f>IF(E28="","unavailable","calculated")</f>
        <v/>
      </c>
    </row>
    <row r="29">
      <c r="A29">
        <f>"dcf"</f>
        <v/>
      </c>
      <c r="B29" s="500">
        <f>IF('Valuation'!$G$232="","",'Valuation'!$G$232)</f>
        <v/>
      </c>
      <c r="C29" s="500">
        <f>IF('Valuation'!$J$226="","",'Valuation'!$J$226)</f>
        <v/>
      </c>
      <c r="D29" t="inlineStr">
        <is>
          <t>implied_price</t>
        </is>
      </c>
      <c r="E29" s="507">
        <f>IF('Valuation'!$J$232="","",'Valuation'!$J$232)</f>
        <v/>
      </c>
      <c r="F29">
        <f>IF(E29="","unavailable","calculated")</f>
        <v/>
      </c>
    </row>
    <row r="30">
      <c r="A30">
        <f>"dcf"</f>
        <v/>
      </c>
      <c r="B30" s="500">
        <f>IF('Valuation'!$G$232="","",'Valuation'!$G$232)</f>
        <v/>
      </c>
      <c r="C30" s="500">
        <f>IF('Valuation'!$K$226="","",'Valuation'!$K$226)</f>
        <v/>
      </c>
      <c r="D30" t="inlineStr">
        <is>
          <t>implied_price</t>
        </is>
      </c>
      <c r="E30" s="507">
        <f>IF('Valuation'!$K$232="","",'Valuation'!$K$232)</f>
        <v/>
      </c>
      <c r="F30">
        <f>IF(E30="","unavailable","calculated")</f>
        <v/>
      </c>
    </row>
    <row r="31">
      <c r="A31">
        <f>"dcf"</f>
        <v/>
      </c>
      <c r="B31" s="500">
        <f>IF('Valuation'!$G$232="","",'Valuation'!$G$232)</f>
        <v/>
      </c>
      <c r="C31" s="500">
        <f>IF('Valuation'!$L$226="","",'Valuation'!$L$226)</f>
        <v/>
      </c>
      <c r="D31" t="inlineStr">
        <is>
          <t>implied_price</t>
        </is>
      </c>
      <c r="E31" s="507">
        <f>IF('Valuation'!$L$232="","",'Valuation'!$L$232)</f>
        <v/>
      </c>
      <c r="F31">
        <f>IF(E31="","unavailable","calculated")</f>
        <v/>
      </c>
    </row>
    <row r="32">
      <c r="A32">
        <f>"dcf"</f>
        <v/>
      </c>
      <c r="B32" s="500">
        <f>IF('Valuation'!$G$233="","",'Valuation'!$G$233)</f>
        <v/>
      </c>
      <c r="C32" s="500">
        <f>IF('Valuation'!$H$226="","",'Valuation'!$H$226)</f>
        <v/>
      </c>
      <c r="D32" t="inlineStr">
        <is>
          <t>implied_price</t>
        </is>
      </c>
      <c r="E32" s="507">
        <f>IF('Valuation'!$H$233="","",'Valuation'!$H$233)</f>
        <v/>
      </c>
      <c r="F32">
        <f>IF(E32="","unavailable","calculated")</f>
        <v/>
      </c>
    </row>
    <row r="33">
      <c r="A33">
        <f>"dcf"</f>
        <v/>
      </c>
      <c r="B33" s="500">
        <f>IF('Valuation'!$G$233="","",'Valuation'!$G$233)</f>
        <v/>
      </c>
      <c r="C33" s="500">
        <f>IF('Valuation'!$I$226="","",'Valuation'!$I$226)</f>
        <v/>
      </c>
      <c r="D33" t="inlineStr">
        <is>
          <t>implied_price</t>
        </is>
      </c>
      <c r="E33" s="507">
        <f>IF('Valuation'!$I$233="","",'Valuation'!$I$233)</f>
        <v/>
      </c>
      <c r="F33">
        <f>IF(E33="","unavailable","calculated")</f>
        <v/>
      </c>
    </row>
    <row r="34">
      <c r="A34">
        <f>"dcf"</f>
        <v/>
      </c>
      <c r="B34" s="500">
        <f>IF('Valuation'!$G$233="","",'Valuation'!$G$233)</f>
        <v/>
      </c>
      <c r="C34" s="500">
        <f>IF('Valuation'!$J$226="","",'Valuation'!$J$226)</f>
        <v/>
      </c>
      <c r="D34" t="inlineStr">
        <is>
          <t>implied_price</t>
        </is>
      </c>
      <c r="E34" s="507">
        <f>IF('Valuation'!$J$233="","",'Valuation'!$J$233)</f>
        <v/>
      </c>
      <c r="F34">
        <f>IF(E34="","unavailable","calculated")</f>
        <v/>
      </c>
    </row>
    <row r="35">
      <c r="A35">
        <f>"dcf"</f>
        <v/>
      </c>
      <c r="B35" s="500">
        <f>IF('Valuation'!$G$233="","",'Valuation'!$G$233)</f>
        <v/>
      </c>
      <c r="C35" s="500">
        <f>IF('Valuation'!$K$226="","",'Valuation'!$K$226)</f>
        <v/>
      </c>
      <c r="D35" t="inlineStr">
        <is>
          <t>implied_price</t>
        </is>
      </c>
      <c r="E35" s="507">
        <f>IF('Valuation'!$K$233="","",'Valuation'!$K$233)</f>
        <v/>
      </c>
      <c r="F35">
        <f>IF(E35="","unavailable","calculated")</f>
        <v/>
      </c>
    </row>
    <row r="36">
      <c r="A36">
        <f>"dcf"</f>
        <v/>
      </c>
      <c r="B36" s="500">
        <f>IF('Valuation'!$G$233="","",'Valuation'!$G$233)</f>
        <v/>
      </c>
      <c r="C36" s="500">
        <f>IF('Valuation'!$L$226="","",'Valuation'!$L$226)</f>
        <v/>
      </c>
      <c r="D36" t="inlineStr">
        <is>
          <t>implied_price</t>
        </is>
      </c>
      <c r="E36" s="507">
        <f>IF('Valuation'!$L$233="","",'Valuation'!$L$233)</f>
        <v/>
      </c>
      <c r="F36">
        <f>IF(E36="","unavailable","calculated")</f>
        <v/>
      </c>
    </row>
    <row r="37">
      <c r="A37">
        <f>"dcf"</f>
        <v/>
      </c>
      <c r="B37" s="500">
        <f>IF('Valuation'!$G$234="","",'Valuation'!$G$234)</f>
        <v/>
      </c>
      <c r="C37" s="500">
        <f>IF('Valuation'!$H$226="","",'Valuation'!$H$226)</f>
        <v/>
      </c>
      <c r="D37" t="inlineStr">
        <is>
          <t>implied_price</t>
        </is>
      </c>
      <c r="E37" s="507">
        <f>IF('Valuation'!$H$234="","",'Valuation'!$H$234)</f>
        <v/>
      </c>
      <c r="F37">
        <f>IF(E37="","unavailable","calculated")</f>
        <v/>
      </c>
    </row>
    <row r="38">
      <c r="A38">
        <f>"dcf"</f>
        <v/>
      </c>
      <c r="B38" s="500">
        <f>IF('Valuation'!$G$234="","",'Valuation'!$G$234)</f>
        <v/>
      </c>
      <c r="C38" s="500">
        <f>IF('Valuation'!$I$226="","",'Valuation'!$I$226)</f>
        <v/>
      </c>
      <c r="D38" t="inlineStr">
        <is>
          <t>implied_price</t>
        </is>
      </c>
      <c r="E38" s="507">
        <f>IF('Valuation'!$I$234="","",'Valuation'!$I$234)</f>
        <v/>
      </c>
      <c r="F38">
        <f>IF(E38="","unavailable","calculated")</f>
        <v/>
      </c>
    </row>
    <row r="39">
      <c r="A39">
        <f>"dcf"</f>
        <v/>
      </c>
      <c r="B39" s="500">
        <f>IF('Valuation'!$G$234="","",'Valuation'!$G$234)</f>
        <v/>
      </c>
      <c r="C39" s="500">
        <f>IF('Valuation'!$J$226="","",'Valuation'!$J$226)</f>
        <v/>
      </c>
      <c r="D39" t="inlineStr">
        <is>
          <t>implied_price</t>
        </is>
      </c>
      <c r="E39" s="507">
        <f>IF('Valuation'!$J$234="","",'Valuation'!$J$234)</f>
        <v/>
      </c>
      <c r="F39">
        <f>IF(E39="","unavailable","calculated")</f>
        <v/>
      </c>
    </row>
    <row r="40">
      <c r="A40">
        <f>"dcf"</f>
        <v/>
      </c>
      <c r="B40" s="500">
        <f>IF('Valuation'!$G$234="","",'Valuation'!$G$234)</f>
        <v/>
      </c>
      <c r="C40" s="500">
        <f>IF('Valuation'!$K$226="","",'Valuation'!$K$226)</f>
        <v/>
      </c>
      <c r="D40" t="inlineStr">
        <is>
          <t>implied_price</t>
        </is>
      </c>
      <c r="E40" s="507">
        <f>IF('Valuation'!$K$234="","",'Valuation'!$K$234)</f>
        <v/>
      </c>
      <c r="F40">
        <f>IF(E40="","unavailable","calculated")</f>
        <v/>
      </c>
    </row>
    <row r="41">
      <c r="A41">
        <f>"dcf"</f>
        <v/>
      </c>
      <c r="B41" s="500">
        <f>IF('Valuation'!$G$234="","",'Valuation'!$G$234)</f>
        <v/>
      </c>
      <c r="C41" s="500">
        <f>IF('Valuation'!$L$226="","",'Valuation'!$L$226)</f>
        <v/>
      </c>
      <c r="D41" t="inlineStr">
        <is>
          <t>implied_price</t>
        </is>
      </c>
      <c r="E41" s="507">
        <f>IF('Valuation'!$L$234="","",'Valuation'!$L$234)</f>
        <v/>
      </c>
      <c r="F41">
        <f>IF(E41="","unavailable","calculated")</f>
        <v/>
      </c>
    </row>
    <row r="42">
      <c r="A42">
        <f>IF(ScenarioProfile="","",ScenarioProfile)</f>
        <v/>
      </c>
      <c r="B42">
        <f>IF(ScenarioProfile="","","selected_scenario")</f>
        <v/>
      </c>
      <c r="C42">
        <f>IF(AsOfQuarter="","",AsOfQuarter)</f>
        <v/>
      </c>
      <c r="D42" t="inlineStr">
        <is>
          <t>scenario_implied_price</t>
        </is>
      </c>
      <c r="E42" s="507">
        <f>IF(ScenarioImpliedPrice="","",ScenarioImpliedPrice)</f>
        <v/>
      </c>
      <c r="F42">
        <f>IF(E42="","unavailable","calculated")</f>
        <v/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H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0" customHeight="1">
      <c r="A1" s="549" t="inlineStr">
        <is>
          <t>promise_key</t>
        </is>
      </c>
      <c r="B1" s="549" t="inlineStr">
        <is>
          <t>metric</t>
        </is>
      </c>
      <c r="C1" s="549" t="inlineStr">
        <is>
          <t>horizon</t>
        </is>
      </c>
      <c r="D1" s="549" t="inlineStr">
        <is>
          <t>stage</t>
        </is>
      </c>
      <c r="E1" s="549" t="inlineStr">
        <is>
          <t>value</t>
        </is>
      </c>
      <c r="F1" s="549" t="inlineStr">
        <is>
          <t>actual</t>
        </is>
      </c>
      <c r="G1" s="549" t="inlineStr">
        <is>
          <t>status</t>
        </is>
      </c>
      <c r="H1" s="549" t="inlineStr">
        <is>
          <t>source_ref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I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  <col width="15" customWidth="1" min="7" max="7"/>
    <col width="12" customWidth="1" min="8" max="8"/>
    <col width="12" customWidth="1" min="9" max="9"/>
  </cols>
  <sheetData>
    <row r="1" ht="20" customHeight="1">
      <c r="A1" s="549" t="inlineStr">
        <is>
          <t>period</t>
        </is>
      </c>
      <c r="B1" s="549" t="inlineStr">
        <is>
          <t>adjustment</t>
        </is>
      </c>
      <c r="C1" s="549" t="inlineStr">
        <is>
          <t>amount</t>
        </is>
      </c>
      <c r="D1" s="549" t="inlineStr">
        <is>
          <t>unit</t>
        </is>
      </c>
      <c r="E1" s="549" t="inlineStr">
        <is>
          <t>recurring</t>
        </is>
      </c>
      <c r="F1" s="549" t="inlineStr">
        <is>
          <t>cash_noncash</t>
        </is>
      </c>
      <c r="G1" s="549" t="inlineStr">
        <is>
          <t>tax_treatment</t>
        </is>
      </c>
      <c r="H1" s="549" t="inlineStr">
        <is>
          <t>source_ref</t>
        </is>
      </c>
      <c r="I1" s="549" t="inlineStr">
        <is>
          <t>status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5" customWidth="1" min="5" max="5"/>
    <col width="15" customWidth="1" min="6" max="6"/>
  </cols>
  <sheetData>
    <row r="1" ht="20" customHeight="1">
      <c r="A1" s="549" t="inlineStr">
        <is>
          <t>source_ref</t>
        </is>
      </c>
      <c r="B1" s="549" t="inlineStr">
        <is>
          <t>page</t>
        </is>
      </c>
      <c r="C1" s="549" t="inlineStr">
        <is>
          <t>row_key</t>
        </is>
      </c>
      <c r="D1" s="549" t="inlineStr">
        <is>
          <t>text</t>
        </is>
      </c>
      <c r="E1" s="549" t="inlineStr">
        <is>
          <t>parser_status</t>
        </is>
      </c>
      <c r="F1" s="549" t="inlineStr">
        <is>
          <t>review_status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Standard Stock Model Template</dc:creator>
  <dcterms:created xsi:type="dcterms:W3CDTF">2000-01-01T00:00:00Z</dcterms:created>
  <dcterms:modified xsi:type="dcterms:W3CDTF">2000-01-01T00:00:00Z</dcterms:modified>
  <cp:lastModifiedBy>Standard Stock Model Template</cp:lastModifiedBy>
</cp:coreProperties>
</file>