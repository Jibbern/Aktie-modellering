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Hidden_Value_Flags" sheetId="8" state="hidden" r:id="rId8"/>
    <sheet xmlns:r="http://schemas.openxmlformats.org/officeDocument/2006/relationships" name="Revolver_History" sheetId="9" state="hidden" r:id="rId9"/>
    <sheet xmlns:r="http://schemas.openxmlformats.org/officeDocument/2006/relationships" name="Debt_Tranches_Latest" sheetId="10" state="hidden" r:id="rId10"/>
    <sheet xmlns:r="http://schemas.openxmlformats.org/officeDocument/2006/relationships" name="Debt_Profile" sheetId="11" state="hidden" r:id="rId11"/>
    <sheet xmlns:r="http://schemas.openxmlformats.org/officeDocument/2006/relationships" name="Quarter_Notes" sheetId="12" state="hidden" r:id="rId12"/>
    <sheet xmlns:r="http://schemas.openxmlformats.org/officeDocument/2006/relationships" name="Promise_Progress" sheetId="13" state="hidden" r:id="rId13"/>
    <sheet xmlns:r="http://schemas.openxmlformats.org/officeDocument/2006/relationships" name="Guidance_Normalized" sheetId="14" state="hidden" r:id="rId14"/>
    <sheet xmlns:r="http://schemas.openxmlformats.org/officeDocument/2006/relationships" name="History_Q" sheetId="15" state="hidden" r:id="rId15"/>
    <sheet xmlns:r="http://schemas.openxmlformats.org/officeDocument/2006/relationships" name="QA_Log" sheetId="16" state="visible" r:id="rId16"/>
    <sheet xmlns:r="http://schemas.openxmlformats.org/officeDocument/2006/relationships" name="Needs_Review" sheetId="17" state="visible" r:id="rId17"/>
    <sheet xmlns:r="http://schemas.openxmlformats.org/officeDocument/2006/relationships" name="QA_Checks" sheetId="18" state="visible" r:id="rId18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ScenarioProfile">'Valuation'!$E$236</definedName>
    <definedName name="ScenarioGrowth">'Valuation'!$E$237</definedName>
    <definedName name="ScenarioMargin">'Valuation'!$E$238</definedName>
    <definedName name="ScenarioRefiNorm">'Valuation'!$E$239</definedName>
    <definedName name="ScenarioBuyback">'Valuation'!$E$240</definedName>
    <definedName name="ScenarioAdjEBITDA">'Valuation'!$E$241</definedName>
    <definedName name="ScenarioOwnerEarnings">'Valuation'!$E$242</definedName>
    <definedName name="ScenarioEqShare_EVAdj">'Valuation'!$E$243</definedName>
    <definedName name="ScenarioEqShare_Yield">'Valuation'!$E$244</definedName>
    <definedName name="calculation_history_quarterly_rows">'History_Q'!$A$2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as_of_quarter">'SUMMARY'!$B$26</definedName>
    <definedName name="summary_latest_net_income">'SUMMARY'!$B$30</definedName>
    <definedName name="summary_net_leverage">'SUMMARY'!$B$41</definedName>
    <definedName name="valuation_guidance_rows">'Valuation'!$O$9</definedName>
    <definedName name="valuation_guidance_status_rows">'Valuation'!$AA$9</definedName>
    <definedName name="bs_annual_financial_period_headers">'BS_Segments'!$B$82</definedName>
    <definedName name="bs_annual_financial_revenue_series">'BS_Segments'!$B$83</definedName>
    <definedName name="bs_annual_financial_gross_profit_series">'BS_Segments'!$B$84</definedName>
    <definedName name="bs_annual_financial_operating_income_series">'BS_Segments'!$B$86</definedName>
    <definedName name="bs_annual_financial_base_ebitda_series">'BS_Segments'!$B$88</definedName>
    <definedName name="bs_annual_financial_adjusted_ebitda_series">'BS_Segments'!$B$90</definedName>
    <definedName name="bs_annual_financial_net_income_series">'BS_Segments'!$B$92</definedName>
    <definedName name="bs_annual_financial_operating_cash_flow_series">'BS_Segments'!$B$94</definedName>
    <definedName name="bs_annual_financial_capital_expenditures_series">'BS_Segments'!$B$95</definedName>
    <definedName name="bs_annual_financial_shares_outstanding_series">'BS_Segments'!$B$98</definedName>
    <definedName name="bs_annual_financial_eps_series">'BS_Segments'!$B$99</definedName>
    <definedName name="bs_annual_financial_total_equity_series">'BS_Segments'!$B$100</definedName>
    <definedName name="bs_annual_financial_cash_series">'BS_Segments'!$B$102</definedName>
    <definedName name="bs_annual_financial_debt_core_series">'BS_Segments'!$B$103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ic_investment_summary">'{ticker}_Investment_Case'!$B$5</definedName>
    <definedName name="ic_key_debate">'{ticker}_Investment_Case'!$B$7</definedName>
    <definedName name="qn_quarter_note_rows">'Quarter_Notes_UI'!$A$10</definedName>
    <definedName name="qn_quarter_summary_rows">'Quarter_Notes_UI'!$B$3</definedName>
    <definedName name="pp_guidance_timeline_rows">'Promise_Progress_UI'!$A$61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summary_revenue_mix_label">'SUMMARY'!$A$8</definedName>
    <definedName name="summary_liquidity">'SUMMARY'!$B$45</definedName>
    <definedName name="summary_liquidity_as_of">'SUMMARY'!$D$45</definedName>
    <definedName name="ic_investment_case_title">'{ticker}_Investment_Case'!$A$1</definedName>
    <definedName name="valuation_period_headers">'Valuation'!$B$6</definedName>
    <definedName name="valuation_revenue_series">'Valuation'!$B$9</definedName>
    <definedName name="valuation_ebitda_series">'Valuation'!$B$18</definedName>
    <definedName name="valuation_adjusted_ebitda_series">'Valuation'!$B$24</definedName>
    <definedName name="valuation_operating_income_series">'Valuation'!$B$32</definedName>
    <definedName name="valuation_net_income_series">'Valuation'!$B$36</definedName>
    <definedName name="valuation_operating_cash_flow_series">'Valuation'!$B$43</definedName>
    <definedName name="valuation_capital_expenditures_series">'Valuation'!$B$44</definedName>
    <definedName name="valuation_interest_paid_series">'Valuation'!$B$59</definedName>
    <definedName name="valuation_buybacks_cash_series">'Valuation'!$B$62</definedName>
    <definedName name="valuation_cash_series">'Valuation'!$B$70</definedName>
    <definedName name="valuation_marketable_securities_series">'Valuation'!$B$71</definedName>
    <definedName name="valuation_debt_core_series">'Valuation'!$B$72</definedName>
    <definedName name="valuation_lease_liabilities_series">'Valuation'!$B$79</definedName>
    <definedName name="valuation_pension_obligation_net_series">'Valuation'!$B$82</definedName>
    <definedName name="valuation_revolver_availability_series">'Valuation'!$B$95</definedName>
    <definedName name="valuation_diluted_shares_series">'Valuation'!$B$102</definedName>
    <definedName name="valuation_shares_outstanding_series">'Valuation'!$B$103</definedName>
    <definedName name="valuation_eps_series">'Valuation'!$B$107</definedName>
    <definedName name="valuation_adjusted_eps_series">'Valuation'!$B$110</definedName>
    <definedName name="valuation_gross_profit_series">'Valuation'!$B$262</definedName>
    <definedName name="valuation_interest_expense_series">'Valuation'!$B$263</definedName>
    <definedName name="valuation_dividends_cash_series">'Valuation'!$B$264</definedName>
    <definedName name="valuation_acquisitions_cash_series">'Valuation'!$B$265</definedName>
    <definedName name="valuation_debt_repayment_series">'Valuation'!$B$266</definedName>
    <definedName name="valuation_debt_issuance_series">'Valuation'!$B$267</definedName>
    <definedName name="valuation_total_equity_series">'Valuation'!$B$268</definedName>
    <definedName name="valuation_goodwill_series">'Valuation'!$B$269</definedName>
    <definedName name="valuation_intangibles_series">'Valuation'!$B$270</definedName>
    <definedName name="bs_quarterly_period_headers">'BS_Segments'!$B$7</definedName>
    <definedName name="bs_cash_series">'BS_Segments'!$B$9</definedName>
    <definedName name="bs_restricted_cash_series">'BS_Segments'!$B$10</definedName>
    <definedName name="bs_marketable_securities_series">'BS_Segments'!$B$13</definedName>
    <definedName name="bs_accounts_receivable_series">'BS_Segments'!$B$14</definedName>
    <definedName name="bs_inventory_series">'BS_Segments'!$B$15</definedName>
    <definedName name="bs_current_assets_series">'BS_Segments'!$B$18</definedName>
    <definedName name="bs_property_plant_equipment_net_series">'BS_Segments'!$B$19</definedName>
    <definedName name="bs_goodwill_series">'BS_Segments'!$B$22</definedName>
    <definedName name="bs_intangibles_series">'BS_Segments'!$B$23</definedName>
    <definedName name="bs_other_assets_noncurrent_series">'BS_Segments'!$B$24</definedName>
    <definedName name="bs_total_assets_series">'BS_Segments'!$B$25</definedName>
    <definedName name="bs_accounts_payable_series">'BS_Segments'!$B$28</definedName>
    <definedName name="bs_accrued_liabilities_series">'BS_Segments'!$B$29</definedName>
    <definedName name="bs_short_term_borrowings_series">'BS_Segments'!$B$32</definedName>
    <definedName name="bs_debt_current_series">'BS_Segments'!$B$33</definedName>
    <definedName name="bs_lease_liabilities_current_series">'BS_Segments'!$B$34</definedName>
    <definedName name="bs_current_liabilities_series">'BS_Segments'!$B$35</definedName>
    <definedName name="bs_debt_core_series">'BS_Segments'!$B$40</definedName>
    <definedName name="bs_lease_liabilities_noncurrent_series">'BS_Segments'!$B$42</definedName>
    <definedName name="bs_pension_obligation_net_series">'BS_Segments'!$B$43</definedName>
    <definedName name="bs_other_liabilities_noncurrent_series">'BS_Segments'!$B$44</definedName>
    <definedName name="bs_total_liabilities_series">'BS_Segments'!$B$45</definedName>
    <definedName name="bs_total_equity_series">'BS_Segments'!$B$47</definedName>
    <definedName name="bs_shares_outstanding_series">'BS_Segments'!$B$48</definedName>
    <definedName name="bs_diluted_shares_series">'BS_Segments'!$B$49</definedName>
    <definedName name="bs_annual_period_headers">'BS_Segments'!$B$70</definedName>
    <definedName name="bs_annual_revenue_series">'BS_Segments'!$B$71</definedName>
    <definedName name="valuation_input_as_of">'Valuation'!$D$195</definedName>
    <definedName name="valuation_input_shares_outstanding">'Valuation'!$D$196</definedName>
    <definedName name="valuation_input_diluted_shares">'Valuation'!$D$197</definedName>
    <definedName name="valuation_input_net_debt">'Valuation'!$D$198</definedName>
    <definedName name="valuation_input_base_ebitda_ttm">'Valuation'!$D$199</definedName>
    <definedName name="valuation_input_adjusted_ebitda_ttm">'Valuation'!$D$200</definedName>
    <definedName name="valuation_input_fcf_ttm">'Valuation'!$D$201</definedName>
    <definedName name="valuation_input_operating_cash_flow_ttm">'Valuation'!$D$202</definedName>
    <definedName name="valuation_input_revenue_ttm">'Valuation'!$D$203</definedName>
    <definedName name="valuation_input_eps_ttm">'Valuation'!$D$204</definedName>
    <definedName name="valuation_input_adjusted_eps_ttm">'Valuation'!$D$205</definedName>
    <definedName name="valuation_input_book_value_per_share">'Valuation'!$D$206</definedName>
    <definedName name="valuation_input_tangible_book_value_per_share">'Valuation'!$D$207</definedName>
    <definedName name="valuation_input_capex_ttm">'Valuation'!$D$211</definedName>
    <definedName name="valuation_input_interest_paid_ttm">'Valuation'!$D$212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'BS_Segments'!$A$9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9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  <numFmt numFmtId="177" formatCode="#,##0.0;[Red]-#,##0.0"/>
    <numFmt numFmtId="178" formatCode="0.0%;[Red]-0.0%"/>
    <numFmt numFmtId="179" formatCode="0.00x;[Red]-0.00x"/>
    <numFmt numFmtId="180" formatCode="0.000;[Red]-0.000"/>
    <numFmt numFmtId="181" formatCode="$0.00;[Red]-$0.00"/>
    <numFmt numFmtId="182" formatCode="$#,##0.00;[Red]-$#,##0.00"/>
  </numFmts>
  <fonts count="4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</fonts>
  <fills count="33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</fills>
  <borders count="55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</borders>
  <cellStyleXfs count="1">
    <xf numFmtId="0" fontId="0" fillId="0" borderId="0"/>
  </cellStyleXfs>
  <cellXfs count="5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0" fontId="0" fillId="3" borderId="0" applyAlignment="1" pivotButton="0" quotePrefix="0" xfId="0">
      <alignment horizontal="center" vertical="center"/>
    </xf>
    <xf numFmtId="0" fontId="7" fillId="11" borderId="2" applyAlignment="1" applyProtection="1" pivotButton="0" quotePrefix="0" xfId="0">
      <alignment horizontal="center"/>
      <protection locked="0" hidden="0"/>
    </xf>
    <xf numFmtId="0" fontId="7" fillId="11" borderId="25" applyAlignment="1" applyProtection="1" pivotButton="0" quotePrefix="0" xfId="0">
      <alignment horizontal="center"/>
      <protection locked="0" hidden="0"/>
    </xf>
    <xf numFmtId="0" fontId="12" fillId="5" borderId="19" applyAlignment="1" pivotButton="0" quotePrefix="0" xfId="0">
      <alignment horizontal="left" vertical="center" wrapText="1"/>
    </xf>
    <xf numFmtId="165" fontId="17" fillId="0" borderId="0" applyProtection="1" pivotButton="0" quotePrefix="0" xfId="0">
      <protection locked="0" hidden="0"/>
    </xf>
    <xf numFmtId="177" fontId="17" fillId="0" borderId="0" pivotButton="0" quotePrefix="0" xfId="0"/>
    <xf numFmtId="178" fontId="17" fillId="0" borderId="0" pivotButton="0" quotePrefix="0" xfId="0"/>
    <xf numFmtId="0" fontId="12" fillId="0" borderId="19" applyAlignment="1" pivotButton="0" quotePrefix="0" xfId="0">
      <alignment horizontal="left" vertical="center"/>
    </xf>
    <xf numFmtId="0" fontId="45" fillId="11" borderId="19" applyAlignment="1" pivotButton="0" quotePrefix="0" xfId="0">
      <alignment horizontal="left" vertical="center" wrapText="1"/>
    </xf>
    <xf numFmtId="165" fontId="45" fillId="11" borderId="19" applyAlignment="1" pivotButton="0" quotePrefix="0" xfId="0">
      <alignment horizontal="left" vertical="center" wrapText="1"/>
    </xf>
    <xf numFmtId="169" fontId="14" fillId="0" borderId="19" applyAlignment="1" pivotButton="0" quotePrefix="0" xfId="0">
      <alignment horizontal="left" vertical="center"/>
    </xf>
    <xf numFmtId="170" fontId="14" fillId="0" borderId="19" applyAlignment="1" pivotButton="0" quotePrefix="0" xfId="0">
      <alignment horizontal="left" vertical="center"/>
    </xf>
    <xf numFmtId="171" fontId="15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177" fontId="14" fillId="16" borderId="19" applyAlignment="1" pivotButton="0" quotePrefix="0" xfId="0">
      <alignment horizontal="left" vertical="center"/>
    </xf>
    <xf numFmtId="177" fontId="14" fillId="19" borderId="19" applyAlignment="1" pivotButton="0" quotePrefix="0" xfId="0">
      <alignment horizontal="left" vertical="center"/>
    </xf>
    <xf numFmtId="182" fontId="14" fillId="19" borderId="19" applyAlignment="1" pivotButton="0" quotePrefix="0" xfId="0">
      <alignment horizontal="left" vertical="center"/>
    </xf>
    <xf numFmtId="182" fontId="14" fillId="16" borderId="19" applyAlignment="1" pivotButton="0" quotePrefix="0" xfId="0">
      <alignment horizontal="left" vertical="center"/>
    </xf>
    <xf numFmtId="179" fontId="17" fillId="0" borderId="0" pivotButton="0" quotePrefix="0" xfId="0"/>
    <xf numFmtId="180" fontId="17" fillId="0" borderId="0" pivotButton="0" quotePrefix="0" xfId="0"/>
    <xf numFmtId="181" fontId="17" fillId="0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0" fontId="12" fillId="5" borderId="9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left" vertical="center" wrapText="1"/>
    </xf>
    <xf numFmtId="0" fontId="12" fillId="5" borderId="46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center" vertical="center"/>
    </xf>
    <xf numFmtId="0" fontId="45" fillId="11" borderId="46" applyAlignment="1" pivotButton="0" quotePrefix="0" xfId="0">
      <alignment horizontal="center" vertical="center"/>
    </xf>
    <xf numFmtId="0" fontId="43" fillId="5" borderId="47" applyAlignment="1" pivotButton="0" quotePrefix="0" xfId="0">
      <alignment horizontal="left" vertical="center" wrapText="1"/>
    </xf>
    <xf numFmtId="168" fontId="9" fillId="14" borderId="0" applyProtection="1" pivotButton="0" quotePrefix="0" xfId="0">
      <protection locked="0" hidden="0"/>
    </xf>
    <xf numFmtId="169" fontId="17" fillId="0" borderId="0" pivotButton="0" quotePrefix="0" xfId="0"/>
    <xf numFmtId="164" fontId="17" fillId="0" borderId="0" applyAlignment="1" applyProtection="1" pivotButton="0" quotePrefix="0" xfId="0">
      <alignment horizontal="left" vertical="center" shrinkToFit="1"/>
      <protection locked="0" hidden="0"/>
    </xf>
    <xf numFmtId="171" fontId="17" fillId="14" borderId="0" applyProtection="1" pivotButton="0" quotePrefix="0" xfId="0">
      <protection locked="0" hidden="0"/>
    </xf>
    <xf numFmtId="166" fontId="17" fillId="14" borderId="0" applyProtection="1" pivotButton="0" quotePrefix="0" xfId="0">
      <protection locked="0" hidden="0"/>
    </xf>
    <xf numFmtId="165" fontId="17" fillId="14" borderId="0" applyProtection="1" pivotButton="0" quotePrefix="0" xfId="0">
      <protection locked="0" hidden="0"/>
    </xf>
    <xf numFmtId="0" fontId="17" fillId="14" borderId="27" applyProtection="1" pivotButton="0" quotePrefix="0" xfId="0">
      <protection locked="0" hidden="0"/>
    </xf>
    <xf numFmtId="0" fontId="17" fillId="14" borderId="0" applyProtection="1" pivotButton="0" quotePrefix="0" xfId="0">
      <protection locked="0" hidden="0"/>
    </xf>
    <xf numFmtId="0" fontId="12" fillId="0" borderId="0" applyAlignment="1" pivotButton="0" quotePrefix="0" xfId="0">
      <alignment horizontal="left" vertical="top" wrapText="1"/>
    </xf>
    <xf numFmtId="177" fontId="0" fillId="0" borderId="0" applyProtection="1" pivotButton="0" quotePrefix="0" xfId="0">
      <protection locked="0" hidden="0"/>
    </xf>
    <xf numFmtId="177" fontId="0" fillId="0" borderId="0" pivotButton="0" quotePrefix="0" xfId="0"/>
    <xf numFmtId="169" fontId="22" fillId="19" borderId="2" applyAlignment="1" applyProtection="1" pivotButton="0" quotePrefix="0" xfId="0">
      <alignment horizontal="right"/>
      <protection locked="0" hidden="0"/>
    </xf>
    <xf numFmtId="177" fontId="22" fillId="19" borderId="2" applyAlignment="1" pivotButton="0" quotePrefix="0" xfId="0">
      <alignment horizontal="right"/>
    </xf>
    <xf numFmtId="169" fontId="22" fillId="19" borderId="2" applyAlignment="1" pivotButton="0" quotePrefix="0" xfId="0">
      <alignment horizontal="right"/>
    </xf>
    <xf numFmtId="178" fontId="22" fillId="19" borderId="2" applyAlignment="1" pivotButton="0" quotePrefix="0" xfId="0">
      <alignment horizontal="right"/>
    </xf>
    <xf numFmtId="175" fontId="22" fillId="19" borderId="2" applyAlignment="1" applyProtection="1" pivotButton="0" quotePrefix="0" xfId="0">
      <alignment horizontal="right"/>
      <protection locked="0" hidden="0"/>
    </xf>
    <xf numFmtId="0" fontId="0" fillId="19" borderId="2" pivotButton="0" quotePrefix="0" xfId="0"/>
    <xf numFmtId="0" fontId="0" fillId="0" borderId="2" applyProtection="1" pivotButton="0" quotePrefix="0" xfId="0">
      <protection locked="0" hidden="0"/>
    </xf>
    <xf numFmtId="177" fontId="0" fillId="13" borderId="2" applyProtection="1" pivotButton="0" quotePrefix="0" xfId="0">
      <protection locked="0" hidden="0"/>
    </xf>
    <xf numFmtId="178" fontId="0" fillId="13" borderId="2" pivotButton="0" quotePrefix="0" xfId="0"/>
    <xf numFmtId="177" fontId="0" fillId="13" borderId="2" pivotButton="0" quotePrefix="0" xfId="0"/>
    <xf numFmtId="181" fontId="0" fillId="13" borderId="2" applyProtection="1" pivotButton="0" quotePrefix="0" xfId="0">
      <protection locked="0" hidden="0"/>
    </xf>
    <xf numFmtId="181" fontId="0" fillId="13" borderId="2" pivotButton="0" quotePrefix="0" xfId="0"/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164" fontId="17" fillId="0" borderId="0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6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n"/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24" customHeight="1">
      <c r="A17" s="5" t="n"/>
    </row>
    <row r="18" ht="24" customHeight="1">
      <c r="A18" s="4" t="n"/>
    </row>
    <row r="19" ht="24" customHeight="1">
      <c r="A19" s="5" t="n"/>
    </row>
    <row r="20" ht="24" customHeight="1">
      <c r="A20" s="4" t="n"/>
    </row>
    <row r="21" ht="34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24" customHeight="1">
      <c r="A23" s="4" t="n"/>
    </row>
    <row r="24" ht="24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(TTM)</t>
        </is>
      </c>
      <c r="B27" s="14" t="n"/>
      <c r="C27" s="15" t="inlineStr">
        <is>
          <t>$m</t>
        </is>
      </c>
      <c r="D27" s="16" t="n"/>
      <c r="E27" s="16" t="n"/>
      <c r="F27" s="16" t="n"/>
    </row>
    <row r="28" ht="22" customHeight="1">
      <c r="A28" s="9" t="inlineStr">
        <is>
          <t>Revenue (latest quarter)</t>
        </is>
      </c>
      <c r="B28" s="17" t="n"/>
      <c r="C28" s="11" t="inlineStr">
        <is>
          <t>$m</t>
        </is>
      </c>
      <c r="D28" s="12" t="n"/>
      <c r="E28" s="12" t="n"/>
      <c r="F28" s="12" t="n"/>
    </row>
    <row r="29" ht="22" customHeight="1">
      <c r="A29" s="13" t="inlineStr">
        <is>
          <t>Revenue YoY (latest vs LY quarter)</t>
        </is>
      </c>
      <c r="B29" s="18" t="n"/>
      <c r="C29" s="15" t="inlineStr">
        <is>
          <t>%</t>
        </is>
      </c>
      <c r="D29" s="16" t="n"/>
      <c r="E29" s="16" t="n"/>
      <c r="F29" s="16" t="n"/>
    </row>
    <row r="30" ht="22" customHeight="1">
      <c r="A30" s="9" t="inlineStr">
        <is>
          <t>Net income (latest quarter)</t>
        </is>
      </c>
      <c r="B30" s="17" t="n"/>
      <c r="C30" s="11" t="inlineStr">
        <is>
          <t>$m</t>
        </is>
      </c>
      <c r="D30" s="12" t="n"/>
      <c r="E30" s="12" t="n"/>
      <c r="F30" s="12" t="n"/>
    </row>
    <row r="31" ht="22" customHeight="1">
      <c r="A31" s="13" t="inlineStr">
        <is>
          <t>Net income YoY (latest vs LY quarter)</t>
        </is>
      </c>
      <c r="B31" s="18" t="n"/>
      <c r="C31" s="15" t="inlineStr">
        <is>
          <t>%</t>
        </is>
      </c>
      <c r="D31" s="16" t="n"/>
      <c r="E31" s="16" t="n"/>
      <c r="F31" s="16" t="n"/>
    </row>
    <row r="32" ht="22" customHeight="1">
      <c r="A32" s="9" t="inlineStr">
        <is>
          <t>EPS (latest quarter, GAAP diluted)</t>
        </is>
      </c>
      <c r="B32" s="17" t="n"/>
      <c r="C32" s="11" t="inlineStr">
        <is>
          <t>$/share</t>
        </is>
      </c>
      <c r="D32" s="12" t="n"/>
      <c r="E32" s="12" t="n"/>
      <c r="F32" s="12" t="n"/>
    </row>
    <row r="33" ht="22" customHeight="1">
      <c r="A33" s="13" t="inlineStr">
        <is>
          <t>EPS YoY Δ (latest vs LY quarter)</t>
        </is>
      </c>
      <c r="B33" s="14" t="n"/>
      <c r="C33" s="15" t="inlineStr">
        <is>
          <t>$/share</t>
        </is>
      </c>
      <c r="D33" s="16" t="n"/>
      <c r="E33" s="16" t="n"/>
      <c r="F33" s="16" t="n"/>
    </row>
    <row r="34" ht="22" customHeight="1">
      <c r="A34" s="9" t="inlineStr">
        <is>
          <t>Total debt (latest quarter)</t>
        </is>
      </c>
      <c r="B34" s="19" t="n"/>
      <c r="C34" s="11" t="inlineStr">
        <is>
          <t>$m</t>
        </is>
      </c>
      <c r="D34" s="12" t="n"/>
      <c r="E34" s="12" t="n"/>
      <c r="F34" s="12" t="n"/>
    </row>
    <row r="35" ht="22" customHeight="1">
      <c r="A35" s="13" t="inlineStr">
        <is>
          <t>Debt-to-equity (latest quarter)</t>
        </is>
      </c>
      <c r="B35" s="20" t="n"/>
      <c r="C35" s="15" t="n"/>
      <c r="D35" s="16" t="n"/>
      <c r="E35" s="16" t="n"/>
      <c r="F35" s="16" t="n"/>
    </row>
    <row r="36" ht="22" customHeight="1">
      <c r="A36" s="9" t="inlineStr">
        <is>
          <t>Free cash flow (TTM)</t>
        </is>
      </c>
      <c r="B36" s="17" t="n"/>
      <c r="C36" s="11" t="inlineStr">
        <is>
          <t>$m</t>
        </is>
      </c>
      <c r="D36" s="12" t="n"/>
      <c r="E36" s="12" t="n"/>
      <c r="F36" s="12" t="n"/>
    </row>
    <row r="37" ht="22" customHeight="1">
      <c r="A37" s="13" t="inlineStr">
        <is>
          <t>FCF YoY (latest quarter vs LY quarter)</t>
        </is>
      </c>
      <c r="B37" s="18" t="n"/>
      <c r="C37" s="15" t="inlineStr">
        <is>
          <t>%</t>
        </is>
      </c>
      <c r="D37" s="16" t="n"/>
      <c r="E37" s="16" t="n"/>
      <c r="F37" s="16" t="n"/>
    </row>
    <row r="38" ht="22" customHeight="1">
      <c r="A38" s="9" t="inlineStr">
        <is>
          <t>P/E (price-linked)</t>
        </is>
      </c>
      <c r="B38" s="19" t="n"/>
      <c r="C38" s="11" t="n"/>
      <c r="D38" s="12" t="n"/>
      <c r="E38" s="12" t="n"/>
      <c r="F38" s="12" t="n"/>
    </row>
    <row r="39" ht="22" customHeight="1">
      <c r="A39" s="13" t="inlineStr">
        <is>
          <t>P/S (price-linked)</t>
        </is>
      </c>
      <c r="B39" s="20" t="n"/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</t>
        </is>
      </c>
      <c r="B41" s="19" t="n"/>
      <c r="C41" s="11" t="inlineStr">
        <is>
          <t>x</t>
        </is>
      </c>
      <c r="D41" s="12" t="n"/>
      <c r="E41" s="12" t="n"/>
      <c r="F41" s="12" t="n"/>
    </row>
    <row r="42" ht="22" customHeight="1">
      <c r="A42" s="13" t="inlineStr">
        <is>
          <t>Interest coverage (P&amp;L)</t>
        </is>
      </c>
      <c r="B42" s="21" t="n"/>
      <c r="C42" s="15" t="inlineStr">
        <is>
          <t>x</t>
        </is>
      </c>
      <c r="D42" s="16" t="n"/>
      <c r="E42" s="16" t="n"/>
      <c r="F42" s="16" t="n"/>
    </row>
    <row r="43" ht="22" customHeight="1">
      <c r="A43" s="9" t="inlineStr">
        <is>
          <t>Interest coverage (cash)</t>
        </is>
      </c>
      <c r="B43" s="19" t="n"/>
      <c r="C43" s="11" t="inlineStr">
        <is>
          <t>x</t>
        </is>
      </c>
      <c r="D43" s="12" t="n"/>
      <c r="E43" s="12" t="n"/>
      <c r="F43" s="12" t="n"/>
    </row>
    <row r="44" ht="22" customHeight="1">
      <c r="A44" s="13" t="inlineStr">
        <is>
          <t>Revolver availability</t>
        </is>
      </c>
      <c r="B44" s="20" t="n"/>
      <c r="C44" s="15" t="inlineStr">
        <is>
          <t>$m</t>
        </is>
      </c>
      <c r="D44" s="16" t="n"/>
      <c r="E44" s="16" t="n"/>
      <c r="F44" s="16" t="n"/>
    </row>
    <row r="45" ht="22" customHeight="1">
      <c r="A45" s="9" t="inlineStr">
        <is>
          <t>Total liquidity</t>
        </is>
      </c>
      <c r="B45" s="17" t="n"/>
      <c r="C45" s="11" t="inlineStr">
        <is>
          <t>$m</t>
        </is>
      </c>
      <c r="D45" s="441" t="n"/>
    </row>
  </sheetData>
  <mergeCells count="27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B9:F9"/>
    <mergeCell ref="A24:F24"/>
    <mergeCell ref="B15:F15"/>
    <mergeCell ref="A1:F1"/>
    <mergeCell ref="A6:F6"/>
    <mergeCell ref="D45:F45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71"/>
  <sheetViews>
    <sheetView zoomScale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width="12" customWidth="1" min="30" max="30"/>
    <col hidden="1" width="13" customWidth="1" min="35" max="35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442" t="n"/>
      <c r="C6" s="442" t="n"/>
      <c r="D6" s="442" t="n"/>
      <c r="E6" s="442" t="n"/>
      <c r="F6" s="442" t="n"/>
      <c r="G6" s="442" t="n"/>
      <c r="H6" s="442" t="n"/>
      <c r="I6" s="442" t="n"/>
      <c r="J6" s="442" t="n"/>
      <c r="K6" s="442" t="n"/>
      <c r="L6" s="442" t="n"/>
      <c r="M6" s="443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4" t="inlineStr">
        <is>
          <t>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5" t="inlineStr">
        <is>
          <t>Metric</t>
        </is>
      </c>
      <c r="P8" s="46" t="n"/>
      <c r="Q8" s="45" t="inlineStr">
        <is>
          <t>Stated in</t>
        </is>
      </c>
      <c r="R8" s="45" t="inlineStr">
        <is>
          <t>Applies to</t>
        </is>
      </c>
      <c r="S8" s="45" t="inlineStr">
        <is>
          <t>Guidance</t>
        </is>
      </c>
      <c r="T8" s="47" t="n"/>
      <c r="U8" s="47" t="n"/>
      <c r="V8" s="47" t="n"/>
      <c r="W8" s="47" t="n"/>
      <c r="X8" s="47" t="n"/>
      <c r="Y8" s="47" t="n"/>
      <c r="Z8" s="46" t="n"/>
      <c r="AA8" s="45" t="inlineStr">
        <is>
          <t>Trend / realized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445" t="n"/>
      <c r="C9" s="445" t="n"/>
      <c r="D9" s="445" t="n"/>
      <c r="E9" s="445" t="n"/>
      <c r="F9" s="445" t="n"/>
      <c r="G9" s="445" t="n"/>
      <c r="H9" s="445" t="n"/>
      <c r="I9" s="445" t="n"/>
      <c r="J9" s="445" t="n"/>
      <c r="K9" s="445" t="n"/>
      <c r="L9" s="445" t="n"/>
      <c r="M9" s="445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7" t="n"/>
      <c r="X9" s="47" t="n"/>
      <c r="Y9" s="47" t="n"/>
      <c r="Z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446">
        <f>IF(OR(B$6=""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3),""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0" s="446">
        <f>IF(OR(C$6=""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3),""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0" s="446">
        <f>IF(OR(D$6=""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3),""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0" s="446">
        <f>IF(OR(E$6=""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3),""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0" s="446">
        <f>IF(OR(F$6=""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3),""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0" s="446">
        <f>IF(OR(G$6=""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3),""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0" s="446">
        <f>IF(OR(H$6=""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3),""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0" s="446">
        <f>IF(OR(I$6=""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3),""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0" s="446">
        <f>IF(OR(J$6=""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3),""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0" s="446">
        <f>IF(OR(K$6=""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3),""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0" s="446">
        <f>IF(OR(L$6=""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3),""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0" s="446">
        <f>IF(OR(M$6=""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3),""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7" t="n"/>
      <c r="X10" s="47" t="n"/>
      <c r="Y10" s="47" t="n"/>
      <c r="Z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447">
        <f>IF(OR(B$6="",COUNTIFS(History_Q!$C$2:$C$1000,"revenue",History_Q!$B$2:$B$1000,(SUMIFS(History_Q!$B$2:$B$1000,History_Q!$A$2:$A$1000,B$6,History_Q!$C$2:$C$1000,"revenue")),History_Q!$E$2:$E$1000,"$m",History_Q!$G$2:$G$1000,"populated")&lt;&gt;1,COUNTIFS(History_Q!$C$2:$C$1000,"revenue",History_Q!$B$2:$B$1000,(SUMIFS(History_Q!$B$2:$B$1000,History_Q!$A$2:$A$1000,B$6,History_Q!$C$2:$C$1000,"revenue")-4),History_Q!$E$2:$E$1000,"$m",History_Q!$G$2:$G$1000,"populated")&lt;&gt;1,SUMIFS(History_Q!$D$2:$D$1000,History_Q!$C$2:$C$1000,"revenue",History_Q!$B$2:$B$1000,(SUMIFS(History_Q!$B$2:$B$1000,History_Q!$A$2:$A$1000,B$6,History_Q!$C$2:$C$1000,"revenue")-4),History_Q!$E$2:$E$1000,"$m",History_Q!$G$2:$G$1000,"populated")=0),"",SUMIFS(History_Q!$D$2:$D$1000,History_Q!$C$2:$C$1000,"revenue",History_Q!$B$2:$B$1000,(SUMIFS(History_Q!$B$2:$B$1000,History_Q!$A$2:$A$1000,B$6,History_Q!$C$2:$C$1000,"revenue")),History_Q!$E$2:$E$1000,"$m",History_Q!$G$2:$G$1000,"populated")/SUMIFS(History_Q!$D$2:$D$1000,History_Q!$C$2:$C$1000,"revenue",History_Q!$B$2:$B$1000,(SUMIFS(History_Q!$B$2:$B$1000,History_Q!$A$2:$A$1000,B$6,History_Q!$C$2:$C$1000,"revenue")-4),History_Q!$E$2:$E$1000,"$m",History_Q!$G$2:$G$1000,"populated")-1)</f>
        <v/>
      </c>
      <c r="C11" s="447">
        <f>IF(OR(C$6="",COUNTIFS(History_Q!$C$2:$C$1000,"revenue",History_Q!$B$2:$B$1000,(SUMIFS(History_Q!$B$2:$B$1000,History_Q!$A$2:$A$1000,C$6,History_Q!$C$2:$C$1000,"revenue")),History_Q!$E$2:$E$1000,"$m",History_Q!$G$2:$G$1000,"populated")&lt;&gt;1,COUNTIFS(History_Q!$C$2:$C$1000,"revenue",History_Q!$B$2:$B$1000,(SUMIFS(History_Q!$B$2:$B$1000,History_Q!$A$2:$A$1000,C$6,History_Q!$C$2:$C$1000,"revenue")-4),History_Q!$E$2:$E$1000,"$m",History_Q!$G$2:$G$1000,"populated")&lt;&gt;1,SUMIFS(History_Q!$D$2:$D$1000,History_Q!$C$2:$C$1000,"revenue",History_Q!$B$2:$B$1000,(SUMIFS(History_Q!$B$2:$B$1000,History_Q!$A$2:$A$1000,C$6,History_Q!$C$2:$C$1000,"revenue")-4),History_Q!$E$2:$E$1000,"$m",History_Q!$G$2:$G$1000,"populated")=0),"",SUMIFS(History_Q!$D$2:$D$1000,History_Q!$C$2:$C$1000,"revenue",History_Q!$B$2:$B$1000,(SUMIFS(History_Q!$B$2:$B$1000,History_Q!$A$2:$A$1000,C$6,History_Q!$C$2:$C$1000,"revenue")),History_Q!$E$2:$E$1000,"$m",History_Q!$G$2:$G$1000,"populated")/SUMIFS(History_Q!$D$2:$D$1000,History_Q!$C$2:$C$1000,"revenue",History_Q!$B$2:$B$1000,(SUMIFS(History_Q!$B$2:$B$1000,History_Q!$A$2:$A$1000,C$6,History_Q!$C$2:$C$1000,"revenue")-4),History_Q!$E$2:$E$1000,"$m",History_Q!$G$2:$G$1000,"populated")-1)</f>
        <v/>
      </c>
      <c r="D11" s="447">
        <f>IF(OR(D$6="",COUNTIFS(History_Q!$C$2:$C$1000,"revenue",History_Q!$B$2:$B$1000,(SUMIFS(History_Q!$B$2:$B$1000,History_Q!$A$2:$A$1000,D$6,History_Q!$C$2:$C$1000,"revenue")),History_Q!$E$2:$E$1000,"$m",History_Q!$G$2:$G$1000,"populated")&lt;&gt;1,COUNTIFS(History_Q!$C$2:$C$1000,"revenue",History_Q!$B$2:$B$1000,(SUMIFS(History_Q!$B$2:$B$1000,History_Q!$A$2:$A$1000,D$6,History_Q!$C$2:$C$1000,"revenue")-4),History_Q!$E$2:$E$1000,"$m",History_Q!$G$2:$G$1000,"populated")&lt;&gt;1,SUMIFS(History_Q!$D$2:$D$1000,History_Q!$C$2:$C$1000,"revenue",History_Q!$B$2:$B$1000,(SUMIFS(History_Q!$B$2:$B$1000,History_Q!$A$2:$A$1000,D$6,History_Q!$C$2:$C$1000,"revenue")-4),History_Q!$E$2:$E$1000,"$m",History_Q!$G$2:$G$1000,"populated")=0),"",SUMIFS(History_Q!$D$2:$D$1000,History_Q!$C$2:$C$1000,"revenue",History_Q!$B$2:$B$1000,(SUMIFS(History_Q!$B$2:$B$1000,History_Q!$A$2:$A$1000,D$6,History_Q!$C$2:$C$1000,"revenue")),History_Q!$E$2:$E$1000,"$m",History_Q!$G$2:$G$1000,"populated")/SUMIFS(History_Q!$D$2:$D$1000,History_Q!$C$2:$C$1000,"revenue",History_Q!$B$2:$B$1000,(SUMIFS(History_Q!$B$2:$B$1000,History_Q!$A$2:$A$1000,D$6,History_Q!$C$2:$C$1000,"revenue")-4),History_Q!$E$2:$E$1000,"$m",History_Q!$G$2:$G$1000,"populated")-1)</f>
        <v/>
      </c>
      <c r="E11" s="447">
        <f>IF(OR(E$6="",COUNTIFS(History_Q!$C$2:$C$1000,"revenue",History_Q!$B$2:$B$1000,(SUMIFS(History_Q!$B$2:$B$1000,History_Q!$A$2:$A$1000,E$6,History_Q!$C$2:$C$1000,"revenue")),History_Q!$E$2:$E$1000,"$m",History_Q!$G$2:$G$1000,"populated")&lt;&gt;1,COUNTIFS(History_Q!$C$2:$C$1000,"revenue",History_Q!$B$2:$B$1000,(SUMIFS(History_Q!$B$2:$B$1000,History_Q!$A$2:$A$1000,E$6,History_Q!$C$2:$C$1000,"revenue")-4),History_Q!$E$2:$E$1000,"$m",History_Q!$G$2:$G$1000,"populated")&lt;&gt;1,SUMIFS(History_Q!$D$2:$D$1000,History_Q!$C$2:$C$1000,"revenue",History_Q!$B$2:$B$1000,(SUMIFS(History_Q!$B$2:$B$1000,History_Q!$A$2:$A$1000,E$6,History_Q!$C$2:$C$1000,"revenue")-4),History_Q!$E$2:$E$1000,"$m",History_Q!$G$2:$G$1000,"populated")=0),"",SUMIFS(History_Q!$D$2:$D$1000,History_Q!$C$2:$C$1000,"revenue",History_Q!$B$2:$B$1000,(SUMIFS(History_Q!$B$2:$B$1000,History_Q!$A$2:$A$1000,E$6,History_Q!$C$2:$C$1000,"revenue")),History_Q!$E$2:$E$1000,"$m",History_Q!$G$2:$G$1000,"populated")/SUMIFS(History_Q!$D$2:$D$1000,History_Q!$C$2:$C$1000,"revenue",History_Q!$B$2:$B$1000,(SUMIFS(History_Q!$B$2:$B$1000,History_Q!$A$2:$A$1000,E$6,History_Q!$C$2:$C$1000,"revenue")-4),History_Q!$E$2:$E$1000,"$m",History_Q!$G$2:$G$1000,"populated")-1)</f>
        <v/>
      </c>
      <c r="F11" s="447">
        <f>IF(OR(F$6="",COUNTIFS(History_Q!$C$2:$C$1000,"revenue",History_Q!$B$2:$B$1000,(SUMIFS(History_Q!$B$2:$B$1000,History_Q!$A$2:$A$1000,F$6,History_Q!$C$2:$C$1000,"revenue")),History_Q!$E$2:$E$1000,"$m",History_Q!$G$2:$G$1000,"populated")&lt;&gt;1,COUNTIFS(History_Q!$C$2:$C$1000,"revenue",History_Q!$B$2:$B$1000,(SUMIFS(History_Q!$B$2:$B$1000,History_Q!$A$2:$A$1000,F$6,History_Q!$C$2:$C$1000,"revenue")-4),History_Q!$E$2:$E$1000,"$m",History_Q!$G$2:$G$1000,"populated")&lt;&gt;1,SUMIFS(History_Q!$D$2:$D$1000,History_Q!$C$2:$C$1000,"revenue",History_Q!$B$2:$B$1000,(SUMIFS(History_Q!$B$2:$B$1000,History_Q!$A$2:$A$1000,F$6,History_Q!$C$2:$C$1000,"revenue")-4),History_Q!$E$2:$E$1000,"$m",History_Q!$G$2:$G$1000,"populated")=0),"",SUMIFS(History_Q!$D$2:$D$1000,History_Q!$C$2:$C$1000,"revenue",History_Q!$B$2:$B$1000,(SUMIFS(History_Q!$B$2:$B$1000,History_Q!$A$2:$A$1000,F$6,History_Q!$C$2:$C$1000,"revenue")),History_Q!$E$2:$E$1000,"$m",History_Q!$G$2:$G$1000,"populated")/SUMIFS(History_Q!$D$2:$D$1000,History_Q!$C$2:$C$1000,"revenue",History_Q!$B$2:$B$1000,(SUMIFS(History_Q!$B$2:$B$1000,History_Q!$A$2:$A$1000,F$6,History_Q!$C$2:$C$1000,"revenue")-4),History_Q!$E$2:$E$1000,"$m",History_Q!$G$2:$G$1000,"populated")-1)</f>
        <v/>
      </c>
      <c r="G11" s="447">
        <f>IF(OR(G$6="",COUNTIFS(History_Q!$C$2:$C$1000,"revenue",History_Q!$B$2:$B$1000,(SUMIFS(History_Q!$B$2:$B$1000,History_Q!$A$2:$A$1000,G$6,History_Q!$C$2:$C$1000,"revenue")),History_Q!$E$2:$E$1000,"$m",History_Q!$G$2:$G$1000,"populated")&lt;&gt;1,COUNTIFS(History_Q!$C$2:$C$1000,"revenue",History_Q!$B$2:$B$1000,(SUMIFS(History_Q!$B$2:$B$1000,History_Q!$A$2:$A$1000,G$6,History_Q!$C$2:$C$1000,"revenue")-4),History_Q!$E$2:$E$1000,"$m",History_Q!$G$2:$G$1000,"populated")&lt;&gt;1,SUMIFS(History_Q!$D$2:$D$1000,History_Q!$C$2:$C$1000,"revenue",History_Q!$B$2:$B$1000,(SUMIFS(History_Q!$B$2:$B$1000,History_Q!$A$2:$A$1000,G$6,History_Q!$C$2:$C$1000,"revenue")-4),History_Q!$E$2:$E$1000,"$m",History_Q!$G$2:$G$1000,"populated")=0),"",SUMIFS(History_Q!$D$2:$D$1000,History_Q!$C$2:$C$1000,"revenue",History_Q!$B$2:$B$1000,(SUMIFS(History_Q!$B$2:$B$1000,History_Q!$A$2:$A$1000,G$6,History_Q!$C$2:$C$1000,"revenue")),History_Q!$E$2:$E$1000,"$m",History_Q!$G$2:$G$1000,"populated")/SUMIFS(History_Q!$D$2:$D$1000,History_Q!$C$2:$C$1000,"revenue",History_Q!$B$2:$B$1000,(SUMIFS(History_Q!$B$2:$B$1000,History_Q!$A$2:$A$1000,G$6,History_Q!$C$2:$C$1000,"revenue")-4),History_Q!$E$2:$E$1000,"$m",History_Q!$G$2:$G$1000,"populated")-1)</f>
        <v/>
      </c>
      <c r="H11" s="447">
        <f>IF(OR(H$6="",COUNTIFS(History_Q!$C$2:$C$1000,"revenue",History_Q!$B$2:$B$1000,(SUMIFS(History_Q!$B$2:$B$1000,History_Q!$A$2:$A$1000,H$6,History_Q!$C$2:$C$1000,"revenue")),History_Q!$E$2:$E$1000,"$m",History_Q!$G$2:$G$1000,"populated")&lt;&gt;1,COUNTIFS(History_Q!$C$2:$C$1000,"revenue",History_Q!$B$2:$B$1000,(SUMIFS(History_Q!$B$2:$B$1000,History_Q!$A$2:$A$1000,H$6,History_Q!$C$2:$C$1000,"revenue")-4),History_Q!$E$2:$E$1000,"$m",History_Q!$G$2:$G$1000,"populated")&lt;&gt;1,SUMIFS(History_Q!$D$2:$D$1000,History_Q!$C$2:$C$1000,"revenue",History_Q!$B$2:$B$1000,(SUMIFS(History_Q!$B$2:$B$1000,History_Q!$A$2:$A$1000,H$6,History_Q!$C$2:$C$1000,"revenue")-4),History_Q!$E$2:$E$1000,"$m",History_Q!$G$2:$G$1000,"populated")=0),"",SUMIFS(History_Q!$D$2:$D$1000,History_Q!$C$2:$C$1000,"revenue",History_Q!$B$2:$B$1000,(SUMIFS(History_Q!$B$2:$B$1000,History_Q!$A$2:$A$1000,H$6,History_Q!$C$2:$C$1000,"revenue")),History_Q!$E$2:$E$1000,"$m",History_Q!$G$2:$G$1000,"populated")/SUMIFS(History_Q!$D$2:$D$1000,History_Q!$C$2:$C$1000,"revenue",History_Q!$B$2:$B$1000,(SUMIFS(History_Q!$B$2:$B$1000,History_Q!$A$2:$A$1000,H$6,History_Q!$C$2:$C$1000,"revenue")-4),History_Q!$E$2:$E$1000,"$m",History_Q!$G$2:$G$1000,"populated")-1)</f>
        <v/>
      </c>
      <c r="I11" s="447">
        <f>IF(OR(I$6="",COUNTIFS(History_Q!$C$2:$C$1000,"revenue",History_Q!$B$2:$B$1000,(SUMIFS(History_Q!$B$2:$B$1000,History_Q!$A$2:$A$1000,I$6,History_Q!$C$2:$C$1000,"revenue")),History_Q!$E$2:$E$1000,"$m",History_Q!$G$2:$G$1000,"populated")&lt;&gt;1,COUNTIFS(History_Q!$C$2:$C$1000,"revenue",History_Q!$B$2:$B$1000,(SUMIFS(History_Q!$B$2:$B$1000,History_Q!$A$2:$A$1000,I$6,History_Q!$C$2:$C$1000,"revenue")-4),History_Q!$E$2:$E$1000,"$m",History_Q!$G$2:$G$1000,"populated")&lt;&gt;1,SUMIFS(History_Q!$D$2:$D$1000,History_Q!$C$2:$C$1000,"revenue",History_Q!$B$2:$B$1000,(SUMIFS(History_Q!$B$2:$B$1000,History_Q!$A$2:$A$1000,I$6,History_Q!$C$2:$C$1000,"revenue")-4),History_Q!$E$2:$E$1000,"$m",History_Q!$G$2:$G$1000,"populated")=0),"",SUMIFS(History_Q!$D$2:$D$1000,History_Q!$C$2:$C$1000,"revenue",History_Q!$B$2:$B$1000,(SUMIFS(History_Q!$B$2:$B$1000,History_Q!$A$2:$A$1000,I$6,History_Q!$C$2:$C$1000,"revenue")),History_Q!$E$2:$E$1000,"$m",History_Q!$G$2:$G$1000,"populated")/SUMIFS(History_Q!$D$2:$D$1000,History_Q!$C$2:$C$1000,"revenue",History_Q!$B$2:$B$1000,(SUMIFS(History_Q!$B$2:$B$1000,History_Q!$A$2:$A$1000,I$6,History_Q!$C$2:$C$1000,"revenue")-4),History_Q!$E$2:$E$1000,"$m",History_Q!$G$2:$G$1000,"populated")-1)</f>
        <v/>
      </c>
      <c r="J11" s="447">
        <f>IF(OR(J$6="",COUNTIFS(History_Q!$C$2:$C$1000,"revenue",History_Q!$B$2:$B$1000,(SUMIFS(History_Q!$B$2:$B$1000,History_Q!$A$2:$A$1000,J$6,History_Q!$C$2:$C$1000,"revenue")),History_Q!$E$2:$E$1000,"$m",History_Q!$G$2:$G$1000,"populated")&lt;&gt;1,COUNTIFS(History_Q!$C$2:$C$1000,"revenue",History_Q!$B$2:$B$1000,(SUMIFS(History_Q!$B$2:$B$1000,History_Q!$A$2:$A$1000,J$6,History_Q!$C$2:$C$1000,"revenue")-4),History_Q!$E$2:$E$1000,"$m",History_Q!$G$2:$G$1000,"populated")&lt;&gt;1,SUMIFS(History_Q!$D$2:$D$1000,History_Q!$C$2:$C$1000,"revenue",History_Q!$B$2:$B$1000,(SUMIFS(History_Q!$B$2:$B$1000,History_Q!$A$2:$A$1000,J$6,History_Q!$C$2:$C$1000,"revenue")-4),History_Q!$E$2:$E$1000,"$m",History_Q!$G$2:$G$1000,"populated")=0),"",SUMIFS(History_Q!$D$2:$D$1000,History_Q!$C$2:$C$1000,"revenue",History_Q!$B$2:$B$1000,(SUMIFS(History_Q!$B$2:$B$1000,History_Q!$A$2:$A$1000,J$6,History_Q!$C$2:$C$1000,"revenue")),History_Q!$E$2:$E$1000,"$m",History_Q!$G$2:$G$1000,"populated")/SUMIFS(History_Q!$D$2:$D$1000,History_Q!$C$2:$C$1000,"revenue",History_Q!$B$2:$B$1000,(SUMIFS(History_Q!$B$2:$B$1000,History_Q!$A$2:$A$1000,J$6,History_Q!$C$2:$C$1000,"revenue")-4),History_Q!$E$2:$E$1000,"$m",History_Q!$G$2:$G$1000,"populated")-1)</f>
        <v/>
      </c>
      <c r="K11" s="447">
        <f>IF(OR(K$6="",COUNTIFS(History_Q!$C$2:$C$1000,"revenue",History_Q!$B$2:$B$1000,(SUMIFS(History_Q!$B$2:$B$1000,History_Q!$A$2:$A$1000,K$6,History_Q!$C$2:$C$1000,"revenue")),History_Q!$E$2:$E$1000,"$m",History_Q!$G$2:$G$1000,"populated")&lt;&gt;1,COUNTIFS(History_Q!$C$2:$C$1000,"revenue",History_Q!$B$2:$B$1000,(SUMIFS(History_Q!$B$2:$B$1000,History_Q!$A$2:$A$1000,K$6,History_Q!$C$2:$C$1000,"revenue")-4),History_Q!$E$2:$E$1000,"$m",History_Q!$G$2:$G$1000,"populated")&lt;&gt;1,SUMIFS(History_Q!$D$2:$D$1000,History_Q!$C$2:$C$1000,"revenue",History_Q!$B$2:$B$1000,(SUMIFS(History_Q!$B$2:$B$1000,History_Q!$A$2:$A$1000,K$6,History_Q!$C$2:$C$1000,"revenue")-4),History_Q!$E$2:$E$1000,"$m",History_Q!$G$2:$G$1000,"populated")=0),"",SUMIFS(History_Q!$D$2:$D$1000,History_Q!$C$2:$C$1000,"revenue",History_Q!$B$2:$B$1000,(SUMIFS(History_Q!$B$2:$B$1000,History_Q!$A$2:$A$1000,K$6,History_Q!$C$2:$C$1000,"revenue")),History_Q!$E$2:$E$1000,"$m",History_Q!$G$2:$G$1000,"populated")/SUMIFS(History_Q!$D$2:$D$1000,History_Q!$C$2:$C$1000,"revenue",History_Q!$B$2:$B$1000,(SUMIFS(History_Q!$B$2:$B$1000,History_Q!$A$2:$A$1000,K$6,History_Q!$C$2:$C$1000,"revenue")-4),History_Q!$E$2:$E$1000,"$m",History_Q!$G$2:$G$1000,"populated")-1)</f>
        <v/>
      </c>
      <c r="L11" s="447">
        <f>IF(OR(L$6="",COUNTIFS(History_Q!$C$2:$C$1000,"revenue",History_Q!$B$2:$B$1000,(SUMIFS(History_Q!$B$2:$B$1000,History_Q!$A$2:$A$1000,L$6,History_Q!$C$2:$C$1000,"revenue")),History_Q!$E$2:$E$1000,"$m",History_Q!$G$2:$G$1000,"populated")&lt;&gt;1,COUNTIFS(History_Q!$C$2:$C$1000,"revenue",History_Q!$B$2:$B$1000,(SUMIFS(History_Q!$B$2:$B$1000,History_Q!$A$2:$A$1000,L$6,History_Q!$C$2:$C$1000,"revenue")-4),History_Q!$E$2:$E$1000,"$m",History_Q!$G$2:$G$1000,"populated")&lt;&gt;1,SUMIFS(History_Q!$D$2:$D$1000,History_Q!$C$2:$C$1000,"revenue",History_Q!$B$2:$B$1000,(SUMIFS(History_Q!$B$2:$B$1000,History_Q!$A$2:$A$1000,L$6,History_Q!$C$2:$C$1000,"revenue")-4),History_Q!$E$2:$E$1000,"$m",History_Q!$G$2:$G$1000,"populated")=0),"",SUMIFS(History_Q!$D$2:$D$1000,History_Q!$C$2:$C$1000,"revenue",History_Q!$B$2:$B$1000,(SUMIFS(History_Q!$B$2:$B$1000,History_Q!$A$2:$A$1000,L$6,History_Q!$C$2:$C$1000,"revenue")),History_Q!$E$2:$E$1000,"$m",History_Q!$G$2:$G$1000,"populated")/SUMIFS(History_Q!$D$2:$D$1000,History_Q!$C$2:$C$1000,"revenue",History_Q!$B$2:$B$1000,(SUMIFS(History_Q!$B$2:$B$1000,History_Q!$A$2:$A$1000,L$6,History_Q!$C$2:$C$1000,"revenue")-4),History_Q!$E$2:$E$1000,"$m",History_Q!$G$2:$G$1000,"populated")-1)</f>
        <v/>
      </c>
      <c r="M11" s="447">
        <f>IF(OR(M$6="",COUNTIFS(History_Q!$C$2:$C$1000,"revenue",History_Q!$B$2:$B$1000,(SUMIFS(History_Q!$B$2:$B$1000,History_Q!$A$2:$A$1000,M$6,History_Q!$C$2:$C$1000,"revenue")),History_Q!$E$2:$E$1000,"$m",History_Q!$G$2:$G$1000,"populated")&lt;&gt;1,COUNTIFS(History_Q!$C$2:$C$1000,"revenue",History_Q!$B$2:$B$1000,(SUMIFS(History_Q!$B$2:$B$1000,History_Q!$A$2:$A$1000,M$6,History_Q!$C$2:$C$1000,"revenue")-4),History_Q!$E$2:$E$1000,"$m",History_Q!$G$2:$G$1000,"populated")&lt;&gt;1,SUMIFS(History_Q!$D$2:$D$1000,History_Q!$C$2:$C$1000,"revenue",History_Q!$B$2:$B$1000,(SUMIFS(History_Q!$B$2:$B$1000,History_Q!$A$2:$A$1000,M$6,History_Q!$C$2:$C$1000,"revenue")-4),History_Q!$E$2:$E$1000,"$m",History_Q!$G$2:$G$1000,"populated")=0),"",SUMIFS(History_Q!$D$2:$D$1000,History_Q!$C$2:$C$1000,"revenue",History_Q!$B$2:$B$1000,(SUMIFS(History_Q!$B$2:$B$1000,History_Q!$A$2:$A$1000,M$6,History_Q!$C$2:$C$1000,"revenue")),History_Q!$E$2:$E$1000,"$m",History_Q!$G$2:$G$1000,"populated")/SUMIFS(History_Q!$D$2:$D$1000,History_Q!$C$2:$C$1000,"revenue",History_Q!$B$2:$B$1000,(SUMIFS(History_Q!$B$2:$B$1000,History_Q!$A$2:$A$1000,M$6,History_Q!$C$2:$C$1000,"revenue")-4),History_Q!$E$2:$E$1000,"$m",History_Q!$G$2:$G$1000,"populated")-1)</f>
        <v/>
      </c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7" t="n"/>
      <c r="X11" s="47" t="n"/>
      <c r="Y11" s="47" t="n"/>
      <c r="Z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7" t="n"/>
      <c r="X12" s="47" t="n"/>
      <c r="Y12" s="47" t="n"/>
      <c r="Z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447">
        <f>IF(OR(B262="",B9="",B9=0),"",B262/B9)</f>
        <v/>
      </c>
      <c r="C13" s="447">
        <f>IF(OR(C262="",C9="",C9=0),"",C262/C9)</f>
        <v/>
      </c>
      <c r="D13" s="447">
        <f>IF(OR(D262="",D9="",D9=0),"",D262/D9)</f>
        <v/>
      </c>
      <c r="E13" s="447">
        <f>IF(OR(E262="",E9="",E9=0),"",E262/E9)</f>
        <v/>
      </c>
      <c r="F13" s="447">
        <f>IF(OR(F262="",F9="",F9=0),"",F262/F9)</f>
        <v/>
      </c>
      <c r="G13" s="447">
        <f>IF(OR(G262="",G9="",G9=0),"",G262/G9)</f>
        <v/>
      </c>
      <c r="H13" s="447">
        <f>IF(OR(H262="",H9="",H9=0),"",H262/H9)</f>
        <v/>
      </c>
      <c r="I13" s="447">
        <f>IF(OR(I262="",I9="",I9=0),"",I262/I9)</f>
        <v/>
      </c>
      <c r="J13" s="447">
        <f>IF(OR(J262="",J9="",J9=0),"",J262/J9)</f>
        <v/>
      </c>
      <c r="K13" s="447">
        <f>IF(OR(K262="",K9="",K9=0),"",K262/K9)</f>
        <v/>
      </c>
      <c r="L13" s="447">
        <f>IF(OR(L262="",L9="",L9=0),"",L262/L9)</f>
        <v/>
      </c>
      <c r="M13" s="447">
        <f>IF(OR(M262="",M9="",M9=0),"",M262/M9)</f>
        <v/>
      </c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7" t="n"/>
      <c r="X13" s="47" t="n"/>
      <c r="Y13" s="47" t="n"/>
      <c r="Z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447">
        <f>IF(OR(B32="",B9="",B9=0),"",B32/B9)</f>
        <v/>
      </c>
      <c r="C14" s="447">
        <f>IF(OR(C32="",C9="",C9=0),"",C32/C9)</f>
        <v/>
      </c>
      <c r="D14" s="447">
        <f>IF(OR(D32="",D9="",D9=0),"",D32/D9)</f>
        <v/>
      </c>
      <c r="E14" s="447">
        <f>IF(OR(E32="",E9="",E9=0),"",E32/E9)</f>
        <v/>
      </c>
      <c r="F14" s="447">
        <f>IF(OR(F32="",F9="",F9=0),"",F32/F9)</f>
        <v/>
      </c>
      <c r="G14" s="447">
        <f>IF(OR(G32="",G9="",G9=0),"",G32/G9)</f>
        <v/>
      </c>
      <c r="H14" s="447">
        <f>IF(OR(H32="",H9="",H9=0),"",H32/H9)</f>
        <v/>
      </c>
      <c r="I14" s="447">
        <f>IF(OR(I32="",I9="",I9=0),"",I32/I9)</f>
        <v/>
      </c>
      <c r="J14" s="447">
        <f>IF(OR(J32="",J9="",J9=0),"",J32/J9)</f>
        <v/>
      </c>
      <c r="K14" s="447">
        <f>IF(OR(K32="",K9="",K9=0),"",K32/K9)</f>
        <v/>
      </c>
      <c r="L14" s="447">
        <f>IF(OR(L32="",L9="",L9=0),"",L32/L9)</f>
        <v/>
      </c>
      <c r="M14" s="447">
        <f>IF(OR(M32="",M9="",M9=0),"",M32/M9)</f>
        <v/>
      </c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7" t="n"/>
      <c r="X14" s="47" t="n"/>
      <c r="Y14" s="47" t="n"/>
      <c r="Z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447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5" s="447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5" s="447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5" s="447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5" s="447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5" s="447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5" s="447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5" s="447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5" s="447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5" s="447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5" s="447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5" s="447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7" t="n"/>
      <c r="X15" s="47" t="n"/>
      <c r="Y15" s="47" t="n"/>
      <c r="Z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7" t="n"/>
      <c r="X16" s="47" t="n"/>
      <c r="Y16" s="47" t="n"/>
      <c r="Z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7" t="n"/>
      <c r="X17" s="47" t="n"/>
      <c r="Y17" s="47" t="n"/>
      <c r="Z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 (base)</t>
        </is>
      </c>
      <c r="B18" s="445" t="n"/>
      <c r="C18" s="445" t="n"/>
      <c r="D18" s="445" t="n"/>
      <c r="E18" s="445" t="n"/>
      <c r="F18" s="445" t="n"/>
      <c r="G18" s="445" t="n"/>
      <c r="H18" s="445" t="n"/>
      <c r="I18" s="445" t="n"/>
      <c r="J18" s="445" t="n"/>
      <c r="K18" s="445" t="n"/>
      <c r="L18" s="445" t="n"/>
      <c r="M18" s="445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7" t="n"/>
      <c r="X18" s="47" t="n"/>
      <c r="Y18" s="47" t="n"/>
      <c r="Z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447">
        <f>IF(OR(B18="",B9="",B9=0),"",B18/B9)</f>
        <v/>
      </c>
      <c r="C19" s="447">
        <f>IF(OR(C18="",C9="",C9=0),"",C18/C9)</f>
        <v/>
      </c>
      <c r="D19" s="447">
        <f>IF(OR(D18="",D9="",D9=0),"",D18/D9)</f>
        <v/>
      </c>
      <c r="E19" s="447">
        <f>IF(OR(E18="",E9="",E9=0),"",E18/E9)</f>
        <v/>
      </c>
      <c r="F19" s="447">
        <f>IF(OR(F18="",F9="",F9=0),"",F18/F9)</f>
        <v/>
      </c>
      <c r="G19" s="447">
        <f>IF(OR(G18="",G9="",G9=0),"",G18/G9)</f>
        <v/>
      </c>
      <c r="H19" s="447">
        <f>IF(OR(H18="",H9="",H9=0),"",H18/H9)</f>
        <v/>
      </c>
      <c r="I19" s="447">
        <f>IF(OR(I18="",I9="",I9=0),"",I18/I9)</f>
        <v/>
      </c>
      <c r="J19" s="447">
        <f>IF(OR(J18="",J9="",J9=0),"",J18/J9)</f>
        <v/>
      </c>
      <c r="K19" s="447">
        <f>IF(OR(K18="",K9="",K9=0),"",K18/K9)</f>
        <v/>
      </c>
      <c r="L19" s="447">
        <f>IF(OR(L18="",L9="",L9=0),"",L18/L9)</f>
        <v/>
      </c>
      <c r="M19" s="447">
        <f>IF(OR(M18="",M9="",M9=0),"",M18/M9)</f>
        <v/>
      </c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7" t="n"/>
      <c r="X19" s="47" t="n"/>
      <c r="Y19" s="47" t="n"/>
      <c r="Z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447">
        <f>IF(OR(B$6="",COUNTIFS(History_Q!$C$2:$C$1000,"base_ebitda",History_Q!$B$2:$B$1000,(SUMIFS(History_Q!$B$2:$B$1000,History_Q!$A$2:$A$1000,B$6,History_Q!$C$2:$C$1000,"base_ebitda")),History_Q!$E$2:$E$1000,"$m",History_Q!$G$2:$G$1000,"populated")&lt;&gt;1,COUNTIFS(History_Q!$C$2:$C$1000,"base_ebitda",History_Q!$B$2:$B$1000,(SUMIFS(History_Q!$B$2:$B$1000,History_Q!$A$2:$A$1000,B$6,History_Q!$C$2:$C$1000,"base_ebitda")-4),History_Q!$E$2:$E$1000,"$m",History_Q!$G$2:$G$1000,"populated")&lt;&gt;1,SUMIFS(History_Q!$D$2:$D$1000,History_Q!$C$2:$C$1000,"base_ebitda",History_Q!$B$2:$B$1000,(SUMIFS(History_Q!$B$2:$B$1000,History_Q!$A$2:$A$1000,B$6,History_Q!$C$2:$C$1000,"base_ebitda")-4),History_Q!$E$2:$E$1000,"$m",History_Q!$G$2:$G$1000,"populated")=0),"",SUMIFS(History_Q!$D$2:$D$1000,History_Q!$C$2:$C$1000,"base_ebitda",History_Q!$B$2:$B$1000,(SUMIFS(History_Q!$B$2:$B$1000,History_Q!$A$2:$A$1000,B$6,History_Q!$C$2:$C$1000,"base_ebitda")),History_Q!$E$2:$E$1000,"$m",History_Q!$G$2:$G$1000,"populated")/SUMIFS(History_Q!$D$2:$D$1000,History_Q!$C$2:$C$1000,"base_ebitda",History_Q!$B$2:$B$1000,(SUMIFS(History_Q!$B$2:$B$1000,History_Q!$A$2:$A$1000,B$6,History_Q!$C$2:$C$1000,"base_ebitda")-4),History_Q!$E$2:$E$1000,"$m",History_Q!$G$2:$G$1000,"populated")-1)</f>
        <v/>
      </c>
      <c r="C20" s="447">
        <f>IF(OR(C$6="",COUNTIFS(History_Q!$C$2:$C$1000,"base_ebitda",History_Q!$B$2:$B$1000,(SUMIFS(History_Q!$B$2:$B$1000,History_Q!$A$2:$A$1000,C$6,History_Q!$C$2:$C$1000,"base_ebitda")),History_Q!$E$2:$E$1000,"$m",History_Q!$G$2:$G$1000,"populated")&lt;&gt;1,COUNTIFS(History_Q!$C$2:$C$1000,"base_ebitda",History_Q!$B$2:$B$1000,(SUMIFS(History_Q!$B$2:$B$1000,History_Q!$A$2:$A$1000,C$6,History_Q!$C$2:$C$1000,"base_ebitda")-4),History_Q!$E$2:$E$1000,"$m",History_Q!$G$2:$G$1000,"populated")&lt;&gt;1,SUMIFS(History_Q!$D$2:$D$1000,History_Q!$C$2:$C$1000,"base_ebitda",History_Q!$B$2:$B$1000,(SUMIFS(History_Q!$B$2:$B$1000,History_Q!$A$2:$A$1000,C$6,History_Q!$C$2:$C$1000,"base_ebitda")-4),History_Q!$E$2:$E$1000,"$m",History_Q!$G$2:$G$1000,"populated")=0),"",SUMIFS(History_Q!$D$2:$D$1000,History_Q!$C$2:$C$1000,"base_ebitda",History_Q!$B$2:$B$1000,(SUMIFS(History_Q!$B$2:$B$1000,History_Q!$A$2:$A$1000,C$6,History_Q!$C$2:$C$1000,"base_ebitda")),History_Q!$E$2:$E$1000,"$m",History_Q!$G$2:$G$1000,"populated")/SUMIFS(History_Q!$D$2:$D$1000,History_Q!$C$2:$C$1000,"base_ebitda",History_Q!$B$2:$B$1000,(SUMIFS(History_Q!$B$2:$B$1000,History_Q!$A$2:$A$1000,C$6,History_Q!$C$2:$C$1000,"base_ebitda")-4),History_Q!$E$2:$E$1000,"$m",History_Q!$G$2:$G$1000,"populated")-1)</f>
        <v/>
      </c>
      <c r="D20" s="447">
        <f>IF(OR(D$6="",COUNTIFS(History_Q!$C$2:$C$1000,"base_ebitda",History_Q!$B$2:$B$1000,(SUMIFS(History_Q!$B$2:$B$1000,History_Q!$A$2:$A$1000,D$6,History_Q!$C$2:$C$1000,"base_ebitda")),History_Q!$E$2:$E$1000,"$m",History_Q!$G$2:$G$1000,"populated")&lt;&gt;1,COUNTIFS(History_Q!$C$2:$C$1000,"base_ebitda",History_Q!$B$2:$B$1000,(SUMIFS(History_Q!$B$2:$B$1000,History_Q!$A$2:$A$1000,D$6,History_Q!$C$2:$C$1000,"base_ebitda")-4),History_Q!$E$2:$E$1000,"$m",History_Q!$G$2:$G$1000,"populated")&lt;&gt;1,SUMIFS(History_Q!$D$2:$D$1000,History_Q!$C$2:$C$1000,"base_ebitda",History_Q!$B$2:$B$1000,(SUMIFS(History_Q!$B$2:$B$1000,History_Q!$A$2:$A$1000,D$6,History_Q!$C$2:$C$1000,"base_ebitda")-4),History_Q!$E$2:$E$1000,"$m",History_Q!$G$2:$G$1000,"populated")=0),"",SUMIFS(History_Q!$D$2:$D$1000,History_Q!$C$2:$C$1000,"base_ebitda",History_Q!$B$2:$B$1000,(SUMIFS(History_Q!$B$2:$B$1000,History_Q!$A$2:$A$1000,D$6,History_Q!$C$2:$C$1000,"base_ebitda")),History_Q!$E$2:$E$1000,"$m",History_Q!$G$2:$G$1000,"populated")/SUMIFS(History_Q!$D$2:$D$1000,History_Q!$C$2:$C$1000,"base_ebitda",History_Q!$B$2:$B$1000,(SUMIFS(History_Q!$B$2:$B$1000,History_Q!$A$2:$A$1000,D$6,History_Q!$C$2:$C$1000,"base_ebitda")-4),History_Q!$E$2:$E$1000,"$m",History_Q!$G$2:$G$1000,"populated")-1)</f>
        <v/>
      </c>
      <c r="E20" s="447">
        <f>IF(OR(E$6="",COUNTIFS(History_Q!$C$2:$C$1000,"base_ebitda",History_Q!$B$2:$B$1000,(SUMIFS(History_Q!$B$2:$B$1000,History_Q!$A$2:$A$1000,E$6,History_Q!$C$2:$C$1000,"base_ebitda")),History_Q!$E$2:$E$1000,"$m",History_Q!$G$2:$G$1000,"populated")&lt;&gt;1,COUNTIFS(History_Q!$C$2:$C$1000,"base_ebitda",History_Q!$B$2:$B$1000,(SUMIFS(History_Q!$B$2:$B$1000,History_Q!$A$2:$A$1000,E$6,History_Q!$C$2:$C$1000,"base_ebitda")-4),History_Q!$E$2:$E$1000,"$m",History_Q!$G$2:$G$1000,"populated")&lt;&gt;1,SUMIFS(History_Q!$D$2:$D$1000,History_Q!$C$2:$C$1000,"base_ebitda",History_Q!$B$2:$B$1000,(SUMIFS(History_Q!$B$2:$B$1000,History_Q!$A$2:$A$1000,E$6,History_Q!$C$2:$C$1000,"base_ebitda")-4),History_Q!$E$2:$E$1000,"$m",History_Q!$G$2:$G$1000,"populated")=0),"",SUMIFS(History_Q!$D$2:$D$1000,History_Q!$C$2:$C$1000,"base_ebitda",History_Q!$B$2:$B$1000,(SUMIFS(History_Q!$B$2:$B$1000,History_Q!$A$2:$A$1000,E$6,History_Q!$C$2:$C$1000,"base_ebitda")),History_Q!$E$2:$E$1000,"$m",History_Q!$G$2:$G$1000,"populated")/SUMIFS(History_Q!$D$2:$D$1000,History_Q!$C$2:$C$1000,"base_ebitda",History_Q!$B$2:$B$1000,(SUMIFS(History_Q!$B$2:$B$1000,History_Q!$A$2:$A$1000,E$6,History_Q!$C$2:$C$1000,"base_ebitda")-4),History_Q!$E$2:$E$1000,"$m",History_Q!$G$2:$G$1000,"populated")-1)</f>
        <v/>
      </c>
      <c r="F20" s="447">
        <f>IF(OR(F$6="",COUNTIFS(History_Q!$C$2:$C$1000,"base_ebitda",History_Q!$B$2:$B$1000,(SUMIFS(History_Q!$B$2:$B$1000,History_Q!$A$2:$A$1000,F$6,History_Q!$C$2:$C$1000,"base_ebitda")),History_Q!$E$2:$E$1000,"$m",History_Q!$G$2:$G$1000,"populated")&lt;&gt;1,COUNTIFS(History_Q!$C$2:$C$1000,"base_ebitda",History_Q!$B$2:$B$1000,(SUMIFS(History_Q!$B$2:$B$1000,History_Q!$A$2:$A$1000,F$6,History_Q!$C$2:$C$1000,"base_ebitda")-4),History_Q!$E$2:$E$1000,"$m",History_Q!$G$2:$G$1000,"populated")&lt;&gt;1,SUMIFS(History_Q!$D$2:$D$1000,History_Q!$C$2:$C$1000,"base_ebitda",History_Q!$B$2:$B$1000,(SUMIFS(History_Q!$B$2:$B$1000,History_Q!$A$2:$A$1000,F$6,History_Q!$C$2:$C$1000,"base_ebitda")-4),History_Q!$E$2:$E$1000,"$m",History_Q!$G$2:$G$1000,"populated")=0),"",SUMIFS(History_Q!$D$2:$D$1000,History_Q!$C$2:$C$1000,"base_ebitda",History_Q!$B$2:$B$1000,(SUMIFS(History_Q!$B$2:$B$1000,History_Q!$A$2:$A$1000,F$6,History_Q!$C$2:$C$1000,"base_ebitda")),History_Q!$E$2:$E$1000,"$m",History_Q!$G$2:$G$1000,"populated")/SUMIFS(History_Q!$D$2:$D$1000,History_Q!$C$2:$C$1000,"base_ebitda",History_Q!$B$2:$B$1000,(SUMIFS(History_Q!$B$2:$B$1000,History_Q!$A$2:$A$1000,F$6,History_Q!$C$2:$C$1000,"base_ebitda")-4),History_Q!$E$2:$E$1000,"$m",History_Q!$G$2:$G$1000,"populated")-1)</f>
        <v/>
      </c>
      <c r="G20" s="447">
        <f>IF(OR(G$6="",COUNTIFS(History_Q!$C$2:$C$1000,"base_ebitda",History_Q!$B$2:$B$1000,(SUMIFS(History_Q!$B$2:$B$1000,History_Q!$A$2:$A$1000,G$6,History_Q!$C$2:$C$1000,"base_ebitda")),History_Q!$E$2:$E$1000,"$m",History_Q!$G$2:$G$1000,"populated")&lt;&gt;1,COUNTIFS(History_Q!$C$2:$C$1000,"base_ebitda",History_Q!$B$2:$B$1000,(SUMIFS(History_Q!$B$2:$B$1000,History_Q!$A$2:$A$1000,G$6,History_Q!$C$2:$C$1000,"base_ebitda")-4),History_Q!$E$2:$E$1000,"$m",History_Q!$G$2:$G$1000,"populated")&lt;&gt;1,SUMIFS(History_Q!$D$2:$D$1000,History_Q!$C$2:$C$1000,"base_ebitda",History_Q!$B$2:$B$1000,(SUMIFS(History_Q!$B$2:$B$1000,History_Q!$A$2:$A$1000,G$6,History_Q!$C$2:$C$1000,"base_ebitda")-4),History_Q!$E$2:$E$1000,"$m",History_Q!$G$2:$G$1000,"populated")=0),"",SUMIFS(History_Q!$D$2:$D$1000,History_Q!$C$2:$C$1000,"base_ebitda",History_Q!$B$2:$B$1000,(SUMIFS(History_Q!$B$2:$B$1000,History_Q!$A$2:$A$1000,G$6,History_Q!$C$2:$C$1000,"base_ebitda")),History_Q!$E$2:$E$1000,"$m",History_Q!$G$2:$G$1000,"populated")/SUMIFS(History_Q!$D$2:$D$1000,History_Q!$C$2:$C$1000,"base_ebitda",History_Q!$B$2:$B$1000,(SUMIFS(History_Q!$B$2:$B$1000,History_Q!$A$2:$A$1000,G$6,History_Q!$C$2:$C$1000,"base_ebitda")-4),History_Q!$E$2:$E$1000,"$m",History_Q!$G$2:$G$1000,"populated")-1)</f>
        <v/>
      </c>
      <c r="H20" s="447">
        <f>IF(OR(H$6="",COUNTIFS(History_Q!$C$2:$C$1000,"base_ebitda",History_Q!$B$2:$B$1000,(SUMIFS(History_Q!$B$2:$B$1000,History_Q!$A$2:$A$1000,H$6,History_Q!$C$2:$C$1000,"base_ebitda")),History_Q!$E$2:$E$1000,"$m",History_Q!$G$2:$G$1000,"populated")&lt;&gt;1,COUNTIFS(History_Q!$C$2:$C$1000,"base_ebitda",History_Q!$B$2:$B$1000,(SUMIFS(History_Q!$B$2:$B$1000,History_Q!$A$2:$A$1000,H$6,History_Q!$C$2:$C$1000,"base_ebitda")-4),History_Q!$E$2:$E$1000,"$m",History_Q!$G$2:$G$1000,"populated")&lt;&gt;1,SUMIFS(History_Q!$D$2:$D$1000,History_Q!$C$2:$C$1000,"base_ebitda",History_Q!$B$2:$B$1000,(SUMIFS(History_Q!$B$2:$B$1000,History_Q!$A$2:$A$1000,H$6,History_Q!$C$2:$C$1000,"base_ebitda")-4),History_Q!$E$2:$E$1000,"$m",History_Q!$G$2:$G$1000,"populated")=0),"",SUMIFS(History_Q!$D$2:$D$1000,History_Q!$C$2:$C$1000,"base_ebitda",History_Q!$B$2:$B$1000,(SUMIFS(History_Q!$B$2:$B$1000,History_Q!$A$2:$A$1000,H$6,History_Q!$C$2:$C$1000,"base_ebitda")),History_Q!$E$2:$E$1000,"$m",History_Q!$G$2:$G$1000,"populated")/SUMIFS(History_Q!$D$2:$D$1000,History_Q!$C$2:$C$1000,"base_ebitda",History_Q!$B$2:$B$1000,(SUMIFS(History_Q!$B$2:$B$1000,History_Q!$A$2:$A$1000,H$6,History_Q!$C$2:$C$1000,"base_ebitda")-4),History_Q!$E$2:$E$1000,"$m",History_Q!$G$2:$G$1000,"populated")-1)</f>
        <v/>
      </c>
      <c r="I20" s="447">
        <f>IF(OR(I$6="",COUNTIFS(History_Q!$C$2:$C$1000,"base_ebitda",History_Q!$B$2:$B$1000,(SUMIFS(History_Q!$B$2:$B$1000,History_Q!$A$2:$A$1000,I$6,History_Q!$C$2:$C$1000,"base_ebitda")),History_Q!$E$2:$E$1000,"$m",History_Q!$G$2:$G$1000,"populated")&lt;&gt;1,COUNTIFS(History_Q!$C$2:$C$1000,"base_ebitda",History_Q!$B$2:$B$1000,(SUMIFS(History_Q!$B$2:$B$1000,History_Q!$A$2:$A$1000,I$6,History_Q!$C$2:$C$1000,"base_ebitda")-4),History_Q!$E$2:$E$1000,"$m",History_Q!$G$2:$G$1000,"populated")&lt;&gt;1,SUMIFS(History_Q!$D$2:$D$1000,History_Q!$C$2:$C$1000,"base_ebitda",History_Q!$B$2:$B$1000,(SUMIFS(History_Q!$B$2:$B$1000,History_Q!$A$2:$A$1000,I$6,History_Q!$C$2:$C$1000,"base_ebitda")-4),History_Q!$E$2:$E$1000,"$m",History_Q!$G$2:$G$1000,"populated")=0),"",SUMIFS(History_Q!$D$2:$D$1000,History_Q!$C$2:$C$1000,"base_ebitda",History_Q!$B$2:$B$1000,(SUMIFS(History_Q!$B$2:$B$1000,History_Q!$A$2:$A$1000,I$6,History_Q!$C$2:$C$1000,"base_ebitda")),History_Q!$E$2:$E$1000,"$m",History_Q!$G$2:$G$1000,"populated")/SUMIFS(History_Q!$D$2:$D$1000,History_Q!$C$2:$C$1000,"base_ebitda",History_Q!$B$2:$B$1000,(SUMIFS(History_Q!$B$2:$B$1000,History_Q!$A$2:$A$1000,I$6,History_Q!$C$2:$C$1000,"base_ebitda")-4),History_Q!$E$2:$E$1000,"$m",History_Q!$G$2:$G$1000,"populated")-1)</f>
        <v/>
      </c>
      <c r="J20" s="447">
        <f>IF(OR(J$6="",COUNTIFS(History_Q!$C$2:$C$1000,"base_ebitda",History_Q!$B$2:$B$1000,(SUMIFS(History_Q!$B$2:$B$1000,History_Q!$A$2:$A$1000,J$6,History_Q!$C$2:$C$1000,"base_ebitda")),History_Q!$E$2:$E$1000,"$m",History_Q!$G$2:$G$1000,"populated")&lt;&gt;1,COUNTIFS(History_Q!$C$2:$C$1000,"base_ebitda",History_Q!$B$2:$B$1000,(SUMIFS(History_Q!$B$2:$B$1000,History_Q!$A$2:$A$1000,J$6,History_Q!$C$2:$C$1000,"base_ebitda")-4),History_Q!$E$2:$E$1000,"$m",History_Q!$G$2:$G$1000,"populated")&lt;&gt;1,SUMIFS(History_Q!$D$2:$D$1000,History_Q!$C$2:$C$1000,"base_ebitda",History_Q!$B$2:$B$1000,(SUMIFS(History_Q!$B$2:$B$1000,History_Q!$A$2:$A$1000,J$6,History_Q!$C$2:$C$1000,"base_ebitda")-4),History_Q!$E$2:$E$1000,"$m",History_Q!$G$2:$G$1000,"populated")=0),"",SUMIFS(History_Q!$D$2:$D$1000,History_Q!$C$2:$C$1000,"base_ebitda",History_Q!$B$2:$B$1000,(SUMIFS(History_Q!$B$2:$B$1000,History_Q!$A$2:$A$1000,J$6,History_Q!$C$2:$C$1000,"base_ebitda")),History_Q!$E$2:$E$1000,"$m",History_Q!$G$2:$G$1000,"populated")/SUMIFS(History_Q!$D$2:$D$1000,History_Q!$C$2:$C$1000,"base_ebitda",History_Q!$B$2:$B$1000,(SUMIFS(History_Q!$B$2:$B$1000,History_Q!$A$2:$A$1000,J$6,History_Q!$C$2:$C$1000,"base_ebitda")-4),History_Q!$E$2:$E$1000,"$m",History_Q!$G$2:$G$1000,"populated")-1)</f>
        <v/>
      </c>
      <c r="K20" s="447">
        <f>IF(OR(K$6="",COUNTIFS(History_Q!$C$2:$C$1000,"base_ebitda",History_Q!$B$2:$B$1000,(SUMIFS(History_Q!$B$2:$B$1000,History_Q!$A$2:$A$1000,K$6,History_Q!$C$2:$C$1000,"base_ebitda")),History_Q!$E$2:$E$1000,"$m",History_Q!$G$2:$G$1000,"populated")&lt;&gt;1,COUNTIFS(History_Q!$C$2:$C$1000,"base_ebitda",History_Q!$B$2:$B$1000,(SUMIFS(History_Q!$B$2:$B$1000,History_Q!$A$2:$A$1000,K$6,History_Q!$C$2:$C$1000,"base_ebitda")-4),History_Q!$E$2:$E$1000,"$m",History_Q!$G$2:$G$1000,"populated")&lt;&gt;1,SUMIFS(History_Q!$D$2:$D$1000,History_Q!$C$2:$C$1000,"base_ebitda",History_Q!$B$2:$B$1000,(SUMIFS(History_Q!$B$2:$B$1000,History_Q!$A$2:$A$1000,K$6,History_Q!$C$2:$C$1000,"base_ebitda")-4),History_Q!$E$2:$E$1000,"$m",History_Q!$G$2:$G$1000,"populated")=0),"",SUMIFS(History_Q!$D$2:$D$1000,History_Q!$C$2:$C$1000,"base_ebitda",History_Q!$B$2:$B$1000,(SUMIFS(History_Q!$B$2:$B$1000,History_Q!$A$2:$A$1000,K$6,History_Q!$C$2:$C$1000,"base_ebitda")),History_Q!$E$2:$E$1000,"$m",History_Q!$G$2:$G$1000,"populated")/SUMIFS(History_Q!$D$2:$D$1000,History_Q!$C$2:$C$1000,"base_ebitda",History_Q!$B$2:$B$1000,(SUMIFS(History_Q!$B$2:$B$1000,History_Q!$A$2:$A$1000,K$6,History_Q!$C$2:$C$1000,"base_ebitda")-4),History_Q!$E$2:$E$1000,"$m",History_Q!$G$2:$G$1000,"populated")-1)</f>
        <v/>
      </c>
      <c r="L20" s="447">
        <f>IF(OR(L$6="",COUNTIFS(History_Q!$C$2:$C$1000,"base_ebitda",History_Q!$B$2:$B$1000,(SUMIFS(History_Q!$B$2:$B$1000,History_Q!$A$2:$A$1000,L$6,History_Q!$C$2:$C$1000,"base_ebitda")),History_Q!$E$2:$E$1000,"$m",History_Q!$G$2:$G$1000,"populated")&lt;&gt;1,COUNTIFS(History_Q!$C$2:$C$1000,"base_ebitda",History_Q!$B$2:$B$1000,(SUMIFS(History_Q!$B$2:$B$1000,History_Q!$A$2:$A$1000,L$6,History_Q!$C$2:$C$1000,"base_ebitda")-4),History_Q!$E$2:$E$1000,"$m",History_Q!$G$2:$G$1000,"populated")&lt;&gt;1,SUMIFS(History_Q!$D$2:$D$1000,History_Q!$C$2:$C$1000,"base_ebitda",History_Q!$B$2:$B$1000,(SUMIFS(History_Q!$B$2:$B$1000,History_Q!$A$2:$A$1000,L$6,History_Q!$C$2:$C$1000,"base_ebitda")-4),History_Q!$E$2:$E$1000,"$m",History_Q!$G$2:$G$1000,"populated")=0),"",SUMIFS(History_Q!$D$2:$D$1000,History_Q!$C$2:$C$1000,"base_ebitda",History_Q!$B$2:$B$1000,(SUMIFS(History_Q!$B$2:$B$1000,History_Q!$A$2:$A$1000,L$6,History_Q!$C$2:$C$1000,"base_ebitda")),History_Q!$E$2:$E$1000,"$m",History_Q!$G$2:$G$1000,"populated")/SUMIFS(History_Q!$D$2:$D$1000,History_Q!$C$2:$C$1000,"base_ebitda",History_Q!$B$2:$B$1000,(SUMIFS(History_Q!$B$2:$B$1000,History_Q!$A$2:$A$1000,L$6,History_Q!$C$2:$C$1000,"base_ebitda")-4),History_Q!$E$2:$E$1000,"$m",History_Q!$G$2:$G$1000,"populated")-1)</f>
        <v/>
      </c>
      <c r="M20" s="447">
        <f>IF(OR(M$6="",COUNTIFS(History_Q!$C$2:$C$1000,"base_ebitda",History_Q!$B$2:$B$1000,(SUMIFS(History_Q!$B$2:$B$1000,History_Q!$A$2:$A$1000,M$6,History_Q!$C$2:$C$1000,"base_ebitda")),History_Q!$E$2:$E$1000,"$m",History_Q!$G$2:$G$1000,"populated")&lt;&gt;1,COUNTIFS(History_Q!$C$2:$C$1000,"base_ebitda",History_Q!$B$2:$B$1000,(SUMIFS(History_Q!$B$2:$B$1000,History_Q!$A$2:$A$1000,M$6,History_Q!$C$2:$C$1000,"base_ebitda")-4),History_Q!$E$2:$E$1000,"$m",History_Q!$G$2:$G$1000,"populated")&lt;&gt;1,SUMIFS(History_Q!$D$2:$D$1000,History_Q!$C$2:$C$1000,"base_ebitda",History_Q!$B$2:$B$1000,(SUMIFS(History_Q!$B$2:$B$1000,History_Q!$A$2:$A$1000,M$6,History_Q!$C$2:$C$1000,"base_ebitda")-4),History_Q!$E$2:$E$1000,"$m",History_Q!$G$2:$G$1000,"populated")=0),"",SUMIFS(History_Q!$D$2:$D$1000,History_Q!$C$2:$C$1000,"base_ebitda",History_Q!$B$2:$B$1000,(SUMIFS(History_Q!$B$2:$B$1000,History_Q!$A$2:$A$1000,M$6,History_Q!$C$2:$C$1000,"base_ebitda")),History_Q!$E$2:$E$1000,"$m",History_Q!$G$2:$G$1000,"populated")/SUMIFS(History_Q!$D$2:$D$1000,History_Q!$C$2:$C$1000,"base_ebitda",History_Q!$B$2:$B$1000,(SUMIFS(History_Q!$B$2:$B$1000,History_Q!$A$2:$A$1000,M$6,History_Q!$C$2:$C$1000,"base_ebitda")-4),History_Q!$E$2:$E$1000,"$m",History_Q!$G$2:$G$1000,"populated")-1)</f>
        <v/>
      </c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7" t="n"/>
      <c r="X20" s="47" t="n"/>
      <c r="Y20" s="47" t="n"/>
      <c r="Z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(base, TTM)</t>
        </is>
      </c>
      <c r="B21" s="446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)</f>
        <v/>
      </c>
      <c r="C21" s="446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)</f>
        <v/>
      </c>
      <c r="D21" s="446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)</f>
        <v/>
      </c>
      <c r="E21" s="446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)</f>
        <v/>
      </c>
      <c r="F21" s="446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)</f>
        <v/>
      </c>
      <c r="G21" s="446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)</f>
        <v/>
      </c>
      <c r="H21" s="446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)</f>
        <v/>
      </c>
      <c r="I21" s="446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)</f>
        <v/>
      </c>
      <c r="J21" s="446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)</f>
        <v/>
      </c>
      <c r="K21" s="446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)</f>
        <v/>
      </c>
      <c r="L21" s="446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)</f>
        <v/>
      </c>
      <c r="M21" s="446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)</f>
        <v/>
      </c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7" t="n"/>
      <c r="X21" s="47" t="n"/>
      <c r="Y21" s="47" t="n"/>
      <c r="Z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447">
        <f>IF(OR(B21="",B10="",B10=0),"",B21/B10)</f>
        <v/>
      </c>
      <c r="C22" s="447">
        <f>IF(OR(C21="",C10="",C10=0),"",C21/C10)</f>
        <v/>
      </c>
      <c r="D22" s="447">
        <f>IF(OR(D21="",D10="",D10=0),"",D21/D10)</f>
        <v/>
      </c>
      <c r="E22" s="447">
        <f>IF(OR(E21="",E10="",E10=0),"",E21/E10)</f>
        <v/>
      </c>
      <c r="F22" s="447">
        <f>IF(OR(F21="",F10="",F10=0),"",F21/F10)</f>
        <v/>
      </c>
      <c r="G22" s="447">
        <f>IF(OR(G21="",G10="",G10=0),"",G21/G10)</f>
        <v/>
      </c>
      <c r="H22" s="447">
        <f>IF(OR(H21="",H10="",H10=0),"",H21/H10)</f>
        <v/>
      </c>
      <c r="I22" s="447">
        <f>IF(OR(I21="",I10="",I10=0),"",I21/I10)</f>
        <v/>
      </c>
      <c r="J22" s="447">
        <f>IF(OR(J21="",J10="",J10=0),"",J21/J10)</f>
        <v/>
      </c>
      <c r="K22" s="447">
        <f>IF(OR(K21="",K10="",K10=0),"",K21/K10)</f>
        <v/>
      </c>
      <c r="L22" s="447">
        <f>IF(OR(L21="",L10="",L10=0),"",L21/L10)</f>
        <v/>
      </c>
      <c r="M22" s="447">
        <f>IF(OR(M21="",M10="",M10=0),"",M21/M10)</f>
        <v/>
      </c>
      <c r="N22" s="22" t="n"/>
      <c r="O22" s="53" t="n"/>
      <c r="P22" s="46" t="n"/>
      <c r="Q22" s="53" t="n"/>
      <c r="R22" s="53" t="n"/>
      <c r="S22" s="53" t="n"/>
      <c r="T22" s="47" t="n"/>
      <c r="U22" s="47" t="n"/>
      <c r="V22" s="47" t="n"/>
      <c r="W22" s="47" t="n"/>
      <c r="X22" s="47" t="n"/>
      <c r="Y22" s="47" t="n"/>
      <c r="Z22" s="46" t="n"/>
      <c r="AA22" s="53" t="n"/>
      <c r="AB22" s="47" t="n"/>
      <c r="AC22" s="46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O23" s="52" t="n"/>
      <c r="P23" s="46" t="n"/>
      <c r="Q23" s="52" t="n"/>
      <c r="R23" s="52" t="n"/>
      <c r="S23" s="52" t="n"/>
      <c r="T23" s="47" t="n"/>
      <c r="U23" s="47" t="n"/>
      <c r="V23" s="47" t="n"/>
      <c r="W23" s="47" t="n"/>
      <c r="X23" s="47" t="n"/>
      <c r="Y23" s="47" t="n"/>
      <c r="Z23" s="46" t="n"/>
      <c r="AA23" s="52" t="n"/>
      <c r="AB23" s="47" t="n"/>
      <c r="AC23" s="46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Adjusted EBITDA</t>
        </is>
      </c>
      <c r="B24" s="445" t="n"/>
      <c r="C24" s="445" t="n"/>
      <c r="D24" s="445" t="n"/>
      <c r="E24" s="445" t="n"/>
      <c r="F24" s="445" t="n"/>
      <c r="G24" s="445" t="n"/>
      <c r="H24" s="445" t="n"/>
      <c r="I24" s="445" t="n"/>
      <c r="J24" s="445" t="n"/>
      <c r="K24" s="445" t="n"/>
      <c r="L24" s="445" t="n"/>
      <c r="M24" s="445" t="n"/>
      <c r="N24" s="22" t="n"/>
      <c r="O24" s="53" t="n"/>
      <c r="P24" s="46" t="n"/>
      <c r="Q24" s="53" t="n"/>
      <c r="R24" s="53" t="n"/>
      <c r="S24" s="53" t="n"/>
      <c r="T24" s="47" t="n"/>
      <c r="U24" s="47" t="n"/>
      <c r="V24" s="47" t="n"/>
      <c r="W24" s="47" t="n"/>
      <c r="X24" s="47" t="n"/>
      <c r="Y24" s="47" t="n"/>
      <c r="Z24" s="46" t="n"/>
      <c r="AA24" s="53" t="n"/>
      <c r="AB24" s="47" t="n"/>
      <c r="AC24" s="46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Adjusted EBITDA (TTM)</t>
        </is>
      </c>
      <c r="B25" s="446">
        <f>IF(OR(B$6="",COUNTIFS(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-MIN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)</f>
        <v/>
      </c>
      <c r="C25" s="446">
        <f>IF(OR(C$6="",COUNTIFS(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-MIN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)</f>
        <v/>
      </c>
      <c r="D25" s="446">
        <f>IF(OR(D$6="",COUNTIFS(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-MIN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)</f>
        <v/>
      </c>
      <c r="E25" s="446">
        <f>IF(OR(E$6="",COUNTIFS(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-MIN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)</f>
        <v/>
      </c>
      <c r="F25" s="446">
        <f>IF(OR(F$6="",COUNTIFS(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-MIN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)</f>
        <v/>
      </c>
      <c r="G25" s="446">
        <f>IF(OR(G$6="",COUNTIFS(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-MIN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)</f>
        <v/>
      </c>
      <c r="H25" s="446">
        <f>IF(OR(H$6="",COUNTIFS(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-MIN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)</f>
        <v/>
      </c>
      <c r="I25" s="446">
        <f>IF(OR(I$6="",COUNTIFS(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-MIN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)</f>
        <v/>
      </c>
      <c r="J25" s="446">
        <f>IF(OR(J$6="",COUNTIFS(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-MIN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)</f>
        <v/>
      </c>
      <c r="K25" s="446">
        <f>IF(OR(K$6="",COUNTIFS(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-MIN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)</f>
        <v/>
      </c>
      <c r="L25" s="446">
        <f>IF(OR(L$6="",COUNTIFS(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-MIN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)</f>
        <v/>
      </c>
      <c r="M25" s="446">
        <f>IF(OR(M$6="",COUNTIFS(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4,MAX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-MIN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)</f>
        <v/>
      </c>
      <c r="N25" s="22" t="n"/>
      <c r="O25" s="52" t="n"/>
      <c r="P25" s="46" t="n"/>
      <c r="Q25" s="52" t="n"/>
      <c r="R25" s="52" t="n"/>
      <c r="S25" s="52" t="n"/>
      <c r="T25" s="47" t="n"/>
      <c r="U25" s="47" t="n"/>
      <c r="V25" s="47" t="n"/>
      <c r="W25" s="47" t="n"/>
      <c r="X25" s="47" t="n"/>
      <c r="Y25" s="47" t="n"/>
      <c r="Z25" s="46" t="n"/>
      <c r="AA25" s="52" t="n"/>
      <c r="AB25" s="47" t="n"/>
      <c r="AC25" s="46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Adjusted EBITDA - EBITDA</t>
        </is>
      </c>
      <c r="B26" s="446">
        <f>IF(OR(B24="",B18=""),"",B24-B18)</f>
        <v/>
      </c>
      <c r="C26" s="446">
        <f>IF(OR(C24="",C18=""),"",C24-C18)</f>
        <v/>
      </c>
      <c r="D26" s="446">
        <f>IF(OR(D24="",D18=""),"",D24-D18)</f>
        <v/>
      </c>
      <c r="E26" s="446">
        <f>IF(OR(E24="",E18=""),"",E24-E18)</f>
        <v/>
      </c>
      <c r="F26" s="446">
        <f>IF(OR(F24="",F18=""),"",F24-F18)</f>
        <v/>
      </c>
      <c r="G26" s="446">
        <f>IF(OR(G24="",G18=""),"",G24-G18)</f>
        <v/>
      </c>
      <c r="H26" s="446">
        <f>IF(OR(H24="",H18=""),"",H24-H18)</f>
        <v/>
      </c>
      <c r="I26" s="446">
        <f>IF(OR(I24="",I18=""),"",I24-I18)</f>
        <v/>
      </c>
      <c r="J26" s="446">
        <f>IF(OR(J24="",J18=""),"",J24-J18)</f>
        <v/>
      </c>
      <c r="K26" s="446">
        <f>IF(OR(K24="",K18=""),"",K24-K18)</f>
        <v/>
      </c>
      <c r="L26" s="446">
        <f>IF(OR(L24="",L18=""),"",L24-L18)</f>
        <v/>
      </c>
      <c r="M26" s="446">
        <f>IF(OR(M24="",M18=""),"",M24-M18)</f>
        <v/>
      </c>
      <c r="N26" s="22" t="n"/>
      <c r="O26" s="63" t="n"/>
      <c r="P26" s="64" t="n"/>
      <c r="Q26" s="64" t="n"/>
      <c r="R26" s="63" t="n"/>
      <c r="S26" s="64" t="n"/>
      <c r="T26" s="64" t="n"/>
      <c r="U26" s="63" t="n"/>
      <c r="V26" s="64" t="n"/>
      <c r="W26" s="64" t="n"/>
      <c r="X26" s="64" t="n"/>
      <c r="Y26" s="64" t="n"/>
      <c r="Z26" s="64" t="n"/>
      <c r="AA26" s="63" t="n"/>
      <c r="AB26" s="64" t="n"/>
      <c r="AC26" s="64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Adjusted EBITDA margin %</t>
        </is>
      </c>
      <c r="B27" s="447">
        <f>IF(OR(B24="",B9="",B9=0),"",B24/B9)</f>
        <v/>
      </c>
      <c r="C27" s="447">
        <f>IF(OR(C24="",C9="",C9=0),"",C24/C9)</f>
        <v/>
      </c>
      <c r="D27" s="447">
        <f>IF(OR(D24="",D9="",D9=0),"",D24/D9)</f>
        <v/>
      </c>
      <c r="E27" s="447">
        <f>IF(OR(E24="",E9="",E9=0),"",E24/E9)</f>
        <v/>
      </c>
      <c r="F27" s="447">
        <f>IF(OR(F24="",F9="",F9=0),"",F24/F9)</f>
        <v/>
      </c>
      <c r="G27" s="447">
        <f>IF(OR(G24="",G9="",G9=0),"",G24/G9)</f>
        <v/>
      </c>
      <c r="H27" s="447">
        <f>IF(OR(H24="",H9="",H9=0),"",H24/H9)</f>
        <v/>
      </c>
      <c r="I27" s="447">
        <f>IF(OR(I24="",I9="",I9=0),"",I24/I9)</f>
        <v/>
      </c>
      <c r="J27" s="447">
        <f>IF(OR(J24="",J9="",J9=0),"",J24/J9)</f>
        <v/>
      </c>
      <c r="K27" s="447">
        <f>IF(OR(K24="",K9="",K9=0),"",K24/K9)</f>
        <v/>
      </c>
      <c r="L27" s="447">
        <f>IF(OR(L24="",L9="",L9=0),"",L24/L9)</f>
        <v/>
      </c>
      <c r="M27" s="447">
        <f>IF(OR(M24="",M9="",M9=0),"",M24/M9)</f>
        <v/>
      </c>
      <c r="N27" s="22" t="n"/>
      <c r="O27" s="448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Adjusted EBITDA YoY %</t>
        </is>
      </c>
      <c r="B28" s="447">
        <f>IF(OR(B$6="",COUNTIFS(History_Q!$C$2:$C$1000,"adjusted_ebitda",History_Q!$B$2:$B$1000,(SUMIFS(History_Q!$B$2:$B$1000,History_Q!$A$2:$A$1000,B$6,History_Q!$C$2:$C$1000,"adjusted_ebitda")),History_Q!$E$2:$E$1000,"$m",History_Q!$G$2:$G$1000,"populated")&lt;&gt;1,COUNTIFS(History_Q!$C$2:$C$1000,"adjusted_ebitda",History_Q!$B$2:$B$1000,(SUMIFS(History_Q!$B$2:$B$1000,History_Q!$A$2:$A$1000,B$6,History_Q!$C$2:$C$1000,"adjusted_ebitda")-4),History_Q!$E$2:$E$1000,"$m",History_Q!$G$2:$G$1000,"populated")&lt;&gt;1,SUMIFS(History_Q!$D$2:$D$1000,History_Q!$C$2:$C$1000,"adjusted_ebitda",History_Q!$B$2:$B$1000,(SUMIFS(History_Q!$B$2:$B$1000,History_Q!$A$2:$A$1000,B$6,History_Q!$C$2:$C$1000,"adjusted_ebitda")-4),History_Q!$E$2:$E$1000,"$m",History_Q!$G$2:$G$1000,"populated")=0),"",SUMIFS(History_Q!$D$2:$D$1000,History_Q!$C$2:$C$1000,"adjusted_ebitda",History_Q!$B$2:$B$1000,(SUMIFS(History_Q!$B$2:$B$1000,History_Q!$A$2:$A$1000,B$6,History_Q!$C$2:$C$1000,"adjusted_ebitda")),History_Q!$E$2:$E$1000,"$m",History_Q!$G$2:$G$1000,"populated")/SUMIFS(History_Q!$D$2:$D$1000,History_Q!$C$2:$C$1000,"adjusted_ebitda",History_Q!$B$2:$B$1000,(SUMIFS(History_Q!$B$2:$B$1000,History_Q!$A$2:$A$1000,B$6,History_Q!$C$2:$C$1000,"adjusted_ebitda")-4),History_Q!$E$2:$E$1000,"$m",History_Q!$G$2:$G$1000,"populated")-1)</f>
        <v/>
      </c>
      <c r="C28" s="447">
        <f>IF(OR(C$6="",COUNTIFS(History_Q!$C$2:$C$1000,"adjusted_ebitda",History_Q!$B$2:$B$1000,(SUMIFS(History_Q!$B$2:$B$1000,History_Q!$A$2:$A$1000,C$6,History_Q!$C$2:$C$1000,"adjusted_ebitda")),History_Q!$E$2:$E$1000,"$m",History_Q!$G$2:$G$1000,"populated")&lt;&gt;1,COUNTIFS(History_Q!$C$2:$C$1000,"adjusted_ebitda",History_Q!$B$2:$B$1000,(SUMIFS(History_Q!$B$2:$B$1000,History_Q!$A$2:$A$1000,C$6,History_Q!$C$2:$C$1000,"adjusted_ebitda")-4),History_Q!$E$2:$E$1000,"$m",History_Q!$G$2:$G$1000,"populated")&lt;&gt;1,SUMIFS(History_Q!$D$2:$D$1000,History_Q!$C$2:$C$1000,"adjusted_ebitda",History_Q!$B$2:$B$1000,(SUMIFS(History_Q!$B$2:$B$1000,History_Q!$A$2:$A$1000,C$6,History_Q!$C$2:$C$1000,"adjusted_ebitda")-4),History_Q!$E$2:$E$1000,"$m",History_Q!$G$2:$G$1000,"populated")=0),"",SUMIFS(History_Q!$D$2:$D$1000,History_Q!$C$2:$C$1000,"adjusted_ebitda",History_Q!$B$2:$B$1000,(SUMIFS(History_Q!$B$2:$B$1000,History_Q!$A$2:$A$1000,C$6,History_Q!$C$2:$C$1000,"adjusted_ebitda")),History_Q!$E$2:$E$1000,"$m",History_Q!$G$2:$G$1000,"populated")/SUMIFS(History_Q!$D$2:$D$1000,History_Q!$C$2:$C$1000,"adjusted_ebitda",History_Q!$B$2:$B$1000,(SUMIFS(History_Q!$B$2:$B$1000,History_Q!$A$2:$A$1000,C$6,History_Q!$C$2:$C$1000,"adjusted_ebitda")-4),History_Q!$E$2:$E$1000,"$m",History_Q!$G$2:$G$1000,"populated")-1)</f>
        <v/>
      </c>
      <c r="D28" s="447">
        <f>IF(OR(D$6="",COUNTIFS(History_Q!$C$2:$C$1000,"adjusted_ebitda",History_Q!$B$2:$B$1000,(SUMIFS(History_Q!$B$2:$B$1000,History_Q!$A$2:$A$1000,D$6,History_Q!$C$2:$C$1000,"adjusted_ebitda")),History_Q!$E$2:$E$1000,"$m",History_Q!$G$2:$G$1000,"populated")&lt;&gt;1,COUNTIFS(History_Q!$C$2:$C$1000,"adjusted_ebitda",History_Q!$B$2:$B$1000,(SUMIFS(History_Q!$B$2:$B$1000,History_Q!$A$2:$A$1000,D$6,History_Q!$C$2:$C$1000,"adjusted_ebitda")-4),History_Q!$E$2:$E$1000,"$m",History_Q!$G$2:$G$1000,"populated")&lt;&gt;1,SUMIFS(History_Q!$D$2:$D$1000,History_Q!$C$2:$C$1000,"adjusted_ebitda",History_Q!$B$2:$B$1000,(SUMIFS(History_Q!$B$2:$B$1000,History_Q!$A$2:$A$1000,D$6,History_Q!$C$2:$C$1000,"adjusted_ebitda")-4),History_Q!$E$2:$E$1000,"$m",History_Q!$G$2:$G$1000,"populated")=0),"",SUMIFS(History_Q!$D$2:$D$1000,History_Q!$C$2:$C$1000,"adjusted_ebitda",History_Q!$B$2:$B$1000,(SUMIFS(History_Q!$B$2:$B$1000,History_Q!$A$2:$A$1000,D$6,History_Q!$C$2:$C$1000,"adjusted_ebitda")),History_Q!$E$2:$E$1000,"$m",History_Q!$G$2:$G$1000,"populated")/SUMIFS(History_Q!$D$2:$D$1000,History_Q!$C$2:$C$1000,"adjusted_ebitda",History_Q!$B$2:$B$1000,(SUMIFS(History_Q!$B$2:$B$1000,History_Q!$A$2:$A$1000,D$6,History_Q!$C$2:$C$1000,"adjusted_ebitda")-4),History_Q!$E$2:$E$1000,"$m",History_Q!$G$2:$G$1000,"populated")-1)</f>
        <v/>
      </c>
      <c r="E28" s="447">
        <f>IF(OR(E$6="",COUNTIFS(History_Q!$C$2:$C$1000,"adjusted_ebitda",History_Q!$B$2:$B$1000,(SUMIFS(History_Q!$B$2:$B$1000,History_Q!$A$2:$A$1000,E$6,History_Q!$C$2:$C$1000,"adjusted_ebitda")),History_Q!$E$2:$E$1000,"$m",History_Q!$G$2:$G$1000,"populated")&lt;&gt;1,COUNTIFS(History_Q!$C$2:$C$1000,"adjusted_ebitda",History_Q!$B$2:$B$1000,(SUMIFS(History_Q!$B$2:$B$1000,History_Q!$A$2:$A$1000,E$6,History_Q!$C$2:$C$1000,"adjusted_ebitda")-4),History_Q!$E$2:$E$1000,"$m",History_Q!$G$2:$G$1000,"populated")&lt;&gt;1,SUMIFS(History_Q!$D$2:$D$1000,History_Q!$C$2:$C$1000,"adjusted_ebitda",History_Q!$B$2:$B$1000,(SUMIFS(History_Q!$B$2:$B$1000,History_Q!$A$2:$A$1000,E$6,History_Q!$C$2:$C$1000,"adjusted_ebitda")-4),History_Q!$E$2:$E$1000,"$m",History_Q!$G$2:$G$1000,"populated")=0),"",SUMIFS(History_Q!$D$2:$D$1000,History_Q!$C$2:$C$1000,"adjusted_ebitda",History_Q!$B$2:$B$1000,(SUMIFS(History_Q!$B$2:$B$1000,History_Q!$A$2:$A$1000,E$6,History_Q!$C$2:$C$1000,"adjusted_ebitda")),History_Q!$E$2:$E$1000,"$m",History_Q!$G$2:$G$1000,"populated")/SUMIFS(History_Q!$D$2:$D$1000,History_Q!$C$2:$C$1000,"adjusted_ebitda",History_Q!$B$2:$B$1000,(SUMIFS(History_Q!$B$2:$B$1000,History_Q!$A$2:$A$1000,E$6,History_Q!$C$2:$C$1000,"adjusted_ebitda")-4),History_Q!$E$2:$E$1000,"$m",History_Q!$G$2:$G$1000,"populated")-1)</f>
        <v/>
      </c>
      <c r="F28" s="447">
        <f>IF(OR(F$6="",COUNTIFS(History_Q!$C$2:$C$1000,"adjusted_ebitda",History_Q!$B$2:$B$1000,(SUMIFS(History_Q!$B$2:$B$1000,History_Q!$A$2:$A$1000,F$6,History_Q!$C$2:$C$1000,"adjusted_ebitda")),History_Q!$E$2:$E$1000,"$m",History_Q!$G$2:$G$1000,"populated")&lt;&gt;1,COUNTIFS(History_Q!$C$2:$C$1000,"adjusted_ebitda",History_Q!$B$2:$B$1000,(SUMIFS(History_Q!$B$2:$B$1000,History_Q!$A$2:$A$1000,F$6,History_Q!$C$2:$C$1000,"adjusted_ebitda")-4),History_Q!$E$2:$E$1000,"$m",History_Q!$G$2:$G$1000,"populated")&lt;&gt;1,SUMIFS(History_Q!$D$2:$D$1000,History_Q!$C$2:$C$1000,"adjusted_ebitda",History_Q!$B$2:$B$1000,(SUMIFS(History_Q!$B$2:$B$1000,History_Q!$A$2:$A$1000,F$6,History_Q!$C$2:$C$1000,"adjusted_ebitda")-4),History_Q!$E$2:$E$1000,"$m",History_Q!$G$2:$G$1000,"populated")=0),"",SUMIFS(History_Q!$D$2:$D$1000,History_Q!$C$2:$C$1000,"adjusted_ebitda",History_Q!$B$2:$B$1000,(SUMIFS(History_Q!$B$2:$B$1000,History_Q!$A$2:$A$1000,F$6,History_Q!$C$2:$C$1000,"adjusted_ebitda")),History_Q!$E$2:$E$1000,"$m",History_Q!$G$2:$G$1000,"populated")/SUMIFS(History_Q!$D$2:$D$1000,History_Q!$C$2:$C$1000,"adjusted_ebitda",History_Q!$B$2:$B$1000,(SUMIFS(History_Q!$B$2:$B$1000,History_Q!$A$2:$A$1000,F$6,History_Q!$C$2:$C$1000,"adjusted_ebitda")-4),History_Q!$E$2:$E$1000,"$m",History_Q!$G$2:$G$1000,"populated")-1)</f>
        <v/>
      </c>
      <c r="G28" s="447">
        <f>IF(OR(G$6="",COUNTIFS(History_Q!$C$2:$C$1000,"adjusted_ebitda",History_Q!$B$2:$B$1000,(SUMIFS(History_Q!$B$2:$B$1000,History_Q!$A$2:$A$1000,G$6,History_Q!$C$2:$C$1000,"adjusted_ebitda")),History_Q!$E$2:$E$1000,"$m",History_Q!$G$2:$G$1000,"populated")&lt;&gt;1,COUNTIFS(History_Q!$C$2:$C$1000,"adjusted_ebitda",History_Q!$B$2:$B$1000,(SUMIFS(History_Q!$B$2:$B$1000,History_Q!$A$2:$A$1000,G$6,History_Q!$C$2:$C$1000,"adjusted_ebitda")-4),History_Q!$E$2:$E$1000,"$m",History_Q!$G$2:$G$1000,"populated")&lt;&gt;1,SUMIFS(History_Q!$D$2:$D$1000,History_Q!$C$2:$C$1000,"adjusted_ebitda",History_Q!$B$2:$B$1000,(SUMIFS(History_Q!$B$2:$B$1000,History_Q!$A$2:$A$1000,G$6,History_Q!$C$2:$C$1000,"adjusted_ebitda")-4),History_Q!$E$2:$E$1000,"$m",History_Q!$G$2:$G$1000,"populated")=0),"",SUMIFS(History_Q!$D$2:$D$1000,History_Q!$C$2:$C$1000,"adjusted_ebitda",History_Q!$B$2:$B$1000,(SUMIFS(History_Q!$B$2:$B$1000,History_Q!$A$2:$A$1000,G$6,History_Q!$C$2:$C$1000,"adjusted_ebitda")),History_Q!$E$2:$E$1000,"$m",History_Q!$G$2:$G$1000,"populated")/SUMIFS(History_Q!$D$2:$D$1000,History_Q!$C$2:$C$1000,"adjusted_ebitda",History_Q!$B$2:$B$1000,(SUMIFS(History_Q!$B$2:$B$1000,History_Q!$A$2:$A$1000,G$6,History_Q!$C$2:$C$1000,"adjusted_ebitda")-4),History_Q!$E$2:$E$1000,"$m",History_Q!$G$2:$G$1000,"populated")-1)</f>
        <v/>
      </c>
      <c r="H28" s="447">
        <f>IF(OR(H$6="",COUNTIFS(History_Q!$C$2:$C$1000,"adjusted_ebitda",History_Q!$B$2:$B$1000,(SUMIFS(History_Q!$B$2:$B$1000,History_Q!$A$2:$A$1000,H$6,History_Q!$C$2:$C$1000,"adjusted_ebitda")),History_Q!$E$2:$E$1000,"$m",History_Q!$G$2:$G$1000,"populated")&lt;&gt;1,COUNTIFS(History_Q!$C$2:$C$1000,"adjusted_ebitda",History_Q!$B$2:$B$1000,(SUMIFS(History_Q!$B$2:$B$1000,History_Q!$A$2:$A$1000,H$6,History_Q!$C$2:$C$1000,"adjusted_ebitda")-4),History_Q!$E$2:$E$1000,"$m",History_Q!$G$2:$G$1000,"populated")&lt;&gt;1,SUMIFS(History_Q!$D$2:$D$1000,History_Q!$C$2:$C$1000,"adjusted_ebitda",History_Q!$B$2:$B$1000,(SUMIFS(History_Q!$B$2:$B$1000,History_Q!$A$2:$A$1000,H$6,History_Q!$C$2:$C$1000,"adjusted_ebitda")-4),History_Q!$E$2:$E$1000,"$m",History_Q!$G$2:$G$1000,"populated")=0),"",SUMIFS(History_Q!$D$2:$D$1000,History_Q!$C$2:$C$1000,"adjusted_ebitda",History_Q!$B$2:$B$1000,(SUMIFS(History_Q!$B$2:$B$1000,History_Q!$A$2:$A$1000,H$6,History_Q!$C$2:$C$1000,"adjusted_ebitda")),History_Q!$E$2:$E$1000,"$m",History_Q!$G$2:$G$1000,"populated")/SUMIFS(History_Q!$D$2:$D$1000,History_Q!$C$2:$C$1000,"adjusted_ebitda",History_Q!$B$2:$B$1000,(SUMIFS(History_Q!$B$2:$B$1000,History_Q!$A$2:$A$1000,H$6,History_Q!$C$2:$C$1000,"adjusted_ebitda")-4),History_Q!$E$2:$E$1000,"$m",History_Q!$G$2:$G$1000,"populated")-1)</f>
        <v/>
      </c>
      <c r="I28" s="447">
        <f>IF(OR(I$6="",COUNTIFS(History_Q!$C$2:$C$1000,"adjusted_ebitda",History_Q!$B$2:$B$1000,(SUMIFS(History_Q!$B$2:$B$1000,History_Q!$A$2:$A$1000,I$6,History_Q!$C$2:$C$1000,"adjusted_ebitda")),History_Q!$E$2:$E$1000,"$m",History_Q!$G$2:$G$1000,"populated")&lt;&gt;1,COUNTIFS(History_Q!$C$2:$C$1000,"adjusted_ebitda",History_Q!$B$2:$B$1000,(SUMIFS(History_Q!$B$2:$B$1000,History_Q!$A$2:$A$1000,I$6,History_Q!$C$2:$C$1000,"adjusted_ebitda")-4),History_Q!$E$2:$E$1000,"$m",History_Q!$G$2:$G$1000,"populated")&lt;&gt;1,SUMIFS(History_Q!$D$2:$D$1000,History_Q!$C$2:$C$1000,"adjusted_ebitda",History_Q!$B$2:$B$1000,(SUMIFS(History_Q!$B$2:$B$1000,History_Q!$A$2:$A$1000,I$6,History_Q!$C$2:$C$1000,"adjusted_ebitda")-4),History_Q!$E$2:$E$1000,"$m",History_Q!$G$2:$G$1000,"populated")=0),"",SUMIFS(History_Q!$D$2:$D$1000,History_Q!$C$2:$C$1000,"adjusted_ebitda",History_Q!$B$2:$B$1000,(SUMIFS(History_Q!$B$2:$B$1000,History_Q!$A$2:$A$1000,I$6,History_Q!$C$2:$C$1000,"adjusted_ebitda")),History_Q!$E$2:$E$1000,"$m",History_Q!$G$2:$G$1000,"populated")/SUMIFS(History_Q!$D$2:$D$1000,History_Q!$C$2:$C$1000,"adjusted_ebitda",History_Q!$B$2:$B$1000,(SUMIFS(History_Q!$B$2:$B$1000,History_Q!$A$2:$A$1000,I$6,History_Q!$C$2:$C$1000,"adjusted_ebitda")-4),History_Q!$E$2:$E$1000,"$m",History_Q!$G$2:$G$1000,"populated")-1)</f>
        <v/>
      </c>
      <c r="J28" s="447">
        <f>IF(OR(J$6="",COUNTIFS(History_Q!$C$2:$C$1000,"adjusted_ebitda",History_Q!$B$2:$B$1000,(SUMIFS(History_Q!$B$2:$B$1000,History_Q!$A$2:$A$1000,J$6,History_Q!$C$2:$C$1000,"adjusted_ebitda")),History_Q!$E$2:$E$1000,"$m",History_Q!$G$2:$G$1000,"populated")&lt;&gt;1,COUNTIFS(History_Q!$C$2:$C$1000,"adjusted_ebitda",History_Q!$B$2:$B$1000,(SUMIFS(History_Q!$B$2:$B$1000,History_Q!$A$2:$A$1000,J$6,History_Q!$C$2:$C$1000,"adjusted_ebitda")-4),History_Q!$E$2:$E$1000,"$m",History_Q!$G$2:$G$1000,"populated")&lt;&gt;1,SUMIFS(History_Q!$D$2:$D$1000,History_Q!$C$2:$C$1000,"adjusted_ebitda",History_Q!$B$2:$B$1000,(SUMIFS(History_Q!$B$2:$B$1000,History_Q!$A$2:$A$1000,J$6,History_Q!$C$2:$C$1000,"adjusted_ebitda")-4),History_Q!$E$2:$E$1000,"$m",History_Q!$G$2:$G$1000,"populated")=0),"",SUMIFS(History_Q!$D$2:$D$1000,History_Q!$C$2:$C$1000,"adjusted_ebitda",History_Q!$B$2:$B$1000,(SUMIFS(History_Q!$B$2:$B$1000,History_Q!$A$2:$A$1000,J$6,History_Q!$C$2:$C$1000,"adjusted_ebitda")),History_Q!$E$2:$E$1000,"$m",History_Q!$G$2:$G$1000,"populated")/SUMIFS(History_Q!$D$2:$D$1000,History_Q!$C$2:$C$1000,"adjusted_ebitda",History_Q!$B$2:$B$1000,(SUMIFS(History_Q!$B$2:$B$1000,History_Q!$A$2:$A$1000,J$6,History_Q!$C$2:$C$1000,"adjusted_ebitda")-4),History_Q!$E$2:$E$1000,"$m",History_Q!$G$2:$G$1000,"populated")-1)</f>
        <v/>
      </c>
      <c r="K28" s="447">
        <f>IF(OR(K$6="",COUNTIFS(History_Q!$C$2:$C$1000,"adjusted_ebitda",History_Q!$B$2:$B$1000,(SUMIFS(History_Q!$B$2:$B$1000,History_Q!$A$2:$A$1000,K$6,History_Q!$C$2:$C$1000,"adjusted_ebitda")),History_Q!$E$2:$E$1000,"$m",History_Q!$G$2:$G$1000,"populated")&lt;&gt;1,COUNTIFS(History_Q!$C$2:$C$1000,"adjusted_ebitda",History_Q!$B$2:$B$1000,(SUMIFS(History_Q!$B$2:$B$1000,History_Q!$A$2:$A$1000,K$6,History_Q!$C$2:$C$1000,"adjusted_ebitda")-4),History_Q!$E$2:$E$1000,"$m",History_Q!$G$2:$G$1000,"populated")&lt;&gt;1,SUMIFS(History_Q!$D$2:$D$1000,History_Q!$C$2:$C$1000,"adjusted_ebitda",History_Q!$B$2:$B$1000,(SUMIFS(History_Q!$B$2:$B$1000,History_Q!$A$2:$A$1000,K$6,History_Q!$C$2:$C$1000,"adjusted_ebitda")-4),History_Q!$E$2:$E$1000,"$m",History_Q!$G$2:$G$1000,"populated")=0),"",SUMIFS(History_Q!$D$2:$D$1000,History_Q!$C$2:$C$1000,"adjusted_ebitda",History_Q!$B$2:$B$1000,(SUMIFS(History_Q!$B$2:$B$1000,History_Q!$A$2:$A$1000,K$6,History_Q!$C$2:$C$1000,"adjusted_ebitda")),History_Q!$E$2:$E$1000,"$m",History_Q!$G$2:$G$1000,"populated")/SUMIFS(History_Q!$D$2:$D$1000,History_Q!$C$2:$C$1000,"adjusted_ebitda",History_Q!$B$2:$B$1000,(SUMIFS(History_Q!$B$2:$B$1000,History_Q!$A$2:$A$1000,K$6,History_Q!$C$2:$C$1000,"adjusted_ebitda")-4),History_Q!$E$2:$E$1000,"$m",History_Q!$G$2:$G$1000,"populated")-1)</f>
        <v/>
      </c>
      <c r="L28" s="447">
        <f>IF(OR(L$6="",COUNTIFS(History_Q!$C$2:$C$1000,"adjusted_ebitda",History_Q!$B$2:$B$1000,(SUMIFS(History_Q!$B$2:$B$1000,History_Q!$A$2:$A$1000,L$6,History_Q!$C$2:$C$1000,"adjusted_ebitda")),History_Q!$E$2:$E$1000,"$m",History_Q!$G$2:$G$1000,"populated")&lt;&gt;1,COUNTIFS(History_Q!$C$2:$C$1000,"adjusted_ebitda",History_Q!$B$2:$B$1000,(SUMIFS(History_Q!$B$2:$B$1000,History_Q!$A$2:$A$1000,L$6,History_Q!$C$2:$C$1000,"adjusted_ebitda")-4),History_Q!$E$2:$E$1000,"$m",History_Q!$G$2:$G$1000,"populated")&lt;&gt;1,SUMIFS(History_Q!$D$2:$D$1000,History_Q!$C$2:$C$1000,"adjusted_ebitda",History_Q!$B$2:$B$1000,(SUMIFS(History_Q!$B$2:$B$1000,History_Q!$A$2:$A$1000,L$6,History_Q!$C$2:$C$1000,"adjusted_ebitda")-4),History_Q!$E$2:$E$1000,"$m",History_Q!$G$2:$G$1000,"populated")=0),"",SUMIFS(History_Q!$D$2:$D$1000,History_Q!$C$2:$C$1000,"adjusted_ebitda",History_Q!$B$2:$B$1000,(SUMIFS(History_Q!$B$2:$B$1000,History_Q!$A$2:$A$1000,L$6,History_Q!$C$2:$C$1000,"adjusted_ebitda")),History_Q!$E$2:$E$1000,"$m",History_Q!$G$2:$G$1000,"populated")/SUMIFS(History_Q!$D$2:$D$1000,History_Q!$C$2:$C$1000,"adjusted_ebitda",History_Q!$B$2:$B$1000,(SUMIFS(History_Q!$B$2:$B$1000,History_Q!$A$2:$A$1000,L$6,History_Q!$C$2:$C$1000,"adjusted_ebitda")-4),History_Q!$E$2:$E$1000,"$m",History_Q!$G$2:$G$1000,"populated")-1)</f>
        <v/>
      </c>
      <c r="M28" s="447">
        <f>IF(OR(M$6="",COUNTIFS(History_Q!$C$2:$C$1000,"adjusted_ebitda",History_Q!$B$2:$B$1000,(SUMIFS(History_Q!$B$2:$B$1000,History_Q!$A$2:$A$1000,M$6,History_Q!$C$2:$C$1000,"adjusted_ebitda")),History_Q!$E$2:$E$1000,"$m",History_Q!$G$2:$G$1000,"populated")&lt;&gt;1,COUNTIFS(History_Q!$C$2:$C$1000,"adjusted_ebitda",History_Q!$B$2:$B$1000,(SUMIFS(History_Q!$B$2:$B$1000,History_Q!$A$2:$A$1000,M$6,History_Q!$C$2:$C$1000,"adjusted_ebitda")-4),History_Q!$E$2:$E$1000,"$m",History_Q!$G$2:$G$1000,"populated")&lt;&gt;1,SUMIFS(History_Q!$D$2:$D$1000,History_Q!$C$2:$C$1000,"adjusted_ebitda",History_Q!$B$2:$B$1000,(SUMIFS(History_Q!$B$2:$B$1000,History_Q!$A$2:$A$1000,M$6,History_Q!$C$2:$C$1000,"adjusted_ebitda")-4),History_Q!$E$2:$E$1000,"$m",History_Q!$G$2:$G$1000,"populated")=0),"",SUMIFS(History_Q!$D$2:$D$1000,History_Q!$C$2:$C$1000,"adjusted_ebitda",History_Q!$B$2:$B$1000,(SUMIFS(History_Q!$B$2:$B$1000,History_Q!$A$2:$A$1000,M$6,History_Q!$C$2:$C$1000,"adjusted_ebitda")),History_Q!$E$2:$E$1000,"$m",History_Q!$G$2:$G$1000,"populated")/SUMIFS(History_Q!$D$2:$D$1000,History_Q!$C$2:$C$1000,"adjusted_ebitda",History_Q!$B$2:$B$1000,(SUMIFS(History_Q!$B$2:$B$1000,History_Q!$A$2:$A$1000,M$6,History_Q!$C$2:$C$1000,"adjusted_ebitda")-4),History_Q!$E$2:$E$1000,"$m",History_Q!$G$2:$G$1000,"populated")-1)</f>
        <v/>
      </c>
      <c r="N28" s="22" t="n"/>
      <c r="O28" s="449" t="inlineStr">
        <is>
          <t>Metric</t>
        </is>
      </c>
      <c r="P28" s="46" t="n"/>
      <c r="Q28" s="449" t="inlineStr">
        <is>
          <t>Stated in</t>
        </is>
      </c>
      <c r="R28" s="449" t="inlineStr">
        <is>
          <t>Applies to</t>
        </is>
      </c>
      <c r="S28" s="449" t="inlineStr">
        <is>
          <t>Guidance</t>
        </is>
      </c>
      <c r="T28" s="47" t="n"/>
      <c r="U28" s="47" t="n"/>
      <c r="V28" s="47" t="n"/>
      <c r="W28" s="47" t="n"/>
      <c r="X28" s="47" t="n"/>
      <c r="Y28" s="47" t="n"/>
      <c r="Z28" s="46" t="n"/>
      <c r="AA28" s="449" t="inlineStr">
        <is>
          <t>Trend / realized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Adjusted EBITDA margin (TTM)</t>
        </is>
      </c>
      <c r="B29" s="447">
        <f>IF(OR(B25="",B10="",B10=0),"",B25/B10)</f>
        <v/>
      </c>
      <c r="C29" s="447">
        <f>IF(OR(C25="",C10="",C10=0),"",C25/C10)</f>
        <v/>
      </c>
      <c r="D29" s="447">
        <f>IF(OR(D25="",D10="",D10=0),"",D25/D10)</f>
        <v/>
      </c>
      <c r="E29" s="447">
        <f>IF(OR(E25="",E10="",E10=0),"",E25/E10)</f>
        <v/>
      </c>
      <c r="F29" s="447">
        <f>IF(OR(F25="",F10="",F10=0),"",F25/F10)</f>
        <v/>
      </c>
      <c r="G29" s="447">
        <f>IF(OR(G25="",G10="",G10=0),"",G25/G10)</f>
        <v/>
      </c>
      <c r="H29" s="447">
        <f>IF(OR(H25="",H10="",H10=0),"",H25/H10)</f>
        <v/>
      </c>
      <c r="I29" s="447">
        <f>IF(OR(I25="",I10="",I10=0),"",I25/I10)</f>
        <v/>
      </c>
      <c r="J29" s="447">
        <f>IF(OR(J25="",J10="",J10=0),"",J25/J10)</f>
        <v/>
      </c>
      <c r="K29" s="447">
        <f>IF(OR(K25="",K10="",K10=0),"",K25/K10)</f>
        <v/>
      </c>
      <c r="L29" s="447">
        <f>IF(OR(L25="",L10="",L10=0),"",L25/L10)</f>
        <v/>
      </c>
      <c r="M29" s="447">
        <f>IF(OR(M25="",M10="",M10=0),"",M25/M10)</f>
        <v/>
      </c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7" t="n"/>
      <c r="X29" s="47" t="n"/>
      <c r="Y29" s="47" t="n"/>
      <c r="Z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7" t="n"/>
      <c r="X30" s="47" t="n"/>
      <c r="Y30" s="47" t="n"/>
      <c r="Z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7" t="n"/>
      <c r="X31" s="47" t="n"/>
      <c r="Y31" s="47" t="n"/>
      <c r="Z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445" t="n"/>
      <c r="C32" s="445" t="n"/>
      <c r="D32" s="445" t="n"/>
      <c r="E32" s="445" t="n"/>
      <c r="F32" s="445" t="n"/>
      <c r="G32" s="445" t="n"/>
      <c r="H32" s="445" t="n"/>
      <c r="I32" s="445" t="n"/>
      <c r="J32" s="445" t="n"/>
      <c r="K32" s="445" t="n"/>
      <c r="L32" s="445" t="n"/>
      <c r="M32" s="445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7" t="n"/>
      <c r="X32" s="47" t="n"/>
      <c r="Y32" s="47" t="n"/>
      <c r="Z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447">
        <f>IF(OR(B32="",B9="",B9=0),"",B32/B9)</f>
        <v/>
      </c>
      <c r="C33" s="447">
        <f>IF(OR(C32="",C9="",C9=0),"",C32/C9)</f>
        <v/>
      </c>
      <c r="D33" s="447">
        <f>IF(OR(D32="",D9="",D9=0),"",D32/D9)</f>
        <v/>
      </c>
      <c r="E33" s="447">
        <f>IF(OR(E32="",E9="",E9=0),"",E32/E9)</f>
        <v/>
      </c>
      <c r="F33" s="447">
        <f>IF(OR(F32="",F9="",F9=0),"",F32/F9)</f>
        <v/>
      </c>
      <c r="G33" s="447">
        <f>IF(OR(G32="",G9="",G9=0),"",G32/G9)</f>
        <v/>
      </c>
      <c r="H33" s="447">
        <f>IF(OR(H32="",H9="",H9=0),"",H32/H9)</f>
        <v/>
      </c>
      <c r="I33" s="447">
        <f>IF(OR(I32="",I9="",I9=0),"",I32/I9)</f>
        <v/>
      </c>
      <c r="J33" s="447">
        <f>IF(OR(J32="",J9="",J9=0),"",J32/J9)</f>
        <v/>
      </c>
      <c r="K33" s="447">
        <f>IF(OR(K32="",K9="",K9=0),"",K32/K9)</f>
        <v/>
      </c>
      <c r="L33" s="447">
        <f>IF(OR(L32="",L9="",L9=0),"",L32/L9)</f>
        <v/>
      </c>
      <c r="M33" s="447">
        <f>IF(OR(M32="",M9="",M9=0),"",M32/M9)</f>
        <v/>
      </c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7" t="n"/>
      <c r="X33" s="47" t="n"/>
      <c r="Y33" s="47" t="n"/>
      <c r="Z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446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)</f>
        <v/>
      </c>
      <c r="C34" s="446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)</f>
        <v/>
      </c>
      <c r="D34" s="446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)</f>
        <v/>
      </c>
      <c r="E34" s="446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)</f>
        <v/>
      </c>
      <c r="F34" s="446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)</f>
        <v/>
      </c>
      <c r="G34" s="446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)</f>
        <v/>
      </c>
      <c r="H34" s="446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)</f>
        <v/>
      </c>
      <c r="I34" s="446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)</f>
        <v/>
      </c>
      <c r="J34" s="446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)</f>
        <v/>
      </c>
      <c r="K34" s="446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)</f>
        <v/>
      </c>
      <c r="L34" s="446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)</f>
        <v/>
      </c>
      <c r="M34" s="446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)</f>
        <v/>
      </c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7" t="n"/>
      <c r="X34" s="47" t="n"/>
      <c r="Y34" s="47" t="n"/>
      <c r="Z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447">
        <f>IF(OR(B34="",B10="",B10=0),"",B34/B10)</f>
        <v/>
      </c>
      <c r="C35" s="447">
        <f>IF(OR(C34="",C10="",C10=0),"",C34/C10)</f>
        <v/>
      </c>
      <c r="D35" s="447">
        <f>IF(OR(D34="",D10="",D10=0),"",D34/D10)</f>
        <v/>
      </c>
      <c r="E35" s="447">
        <f>IF(OR(E34="",E10="",E10=0),"",E34/E10)</f>
        <v/>
      </c>
      <c r="F35" s="447">
        <f>IF(OR(F34="",F10="",F10=0),"",F34/F10)</f>
        <v/>
      </c>
      <c r="G35" s="447">
        <f>IF(OR(G34="",G10="",G10=0),"",G34/G10)</f>
        <v/>
      </c>
      <c r="H35" s="447">
        <f>IF(OR(H34="",H10="",H10=0),"",H34/H10)</f>
        <v/>
      </c>
      <c r="I35" s="447">
        <f>IF(OR(I34="",I10="",I10=0),"",I34/I10)</f>
        <v/>
      </c>
      <c r="J35" s="447">
        <f>IF(OR(J34="",J10="",J10=0),"",J34/J10)</f>
        <v/>
      </c>
      <c r="K35" s="447">
        <f>IF(OR(K34="",K10="",K10=0),"",K34/K10)</f>
        <v/>
      </c>
      <c r="L35" s="447">
        <f>IF(OR(L34="",L10="",L10=0),"",L34/L10)</f>
        <v/>
      </c>
      <c r="M35" s="447">
        <f>IF(OR(M34="",M10="",M10=0),"",M34/M10)</f>
        <v/>
      </c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7" t="n"/>
      <c r="X35" s="47" t="n"/>
      <c r="Y35" s="47" t="n"/>
      <c r="Z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</t>
        </is>
      </c>
      <c r="B36" s="445" t="n"/>
      <c r="C36" s="445" t="n"/>
      <c r="D36" s="445" t="n"/>
      <c r="E36" s="445" t="n"/>
      <c r="F36" s="445" t="n"/>
      <c r="G36" s="445" t="n"/>
      <c r="H36" s="445" t="n"/>
      <c r="I36" s="445" t="n"/>
      <c r="J36" s="445" t="n"/>
      <c r="K36" s="445" t="n"/>
      <c r="L36" s="445" t="n"/>
      <c r="M36" s="445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margin %</t>
        </is>
      </c>
      <c r="B37" s="447">
        <f>IF(OR(B36="",B9="",B9=0),"",B36/B9)</f>
        <v/>
      </c>
      <c r="C37" s="447">
        <f>IF(OR(C36="",C9="",C9=0),"",C36/C9)</f>
        <v/>
      </c>
      <c r="D37" s="447">
        <f>IF(OR(D36="",D9="",D9=0),"",D36/D9)</f>
        <v/>
      </c>
      <c r="E37" s="447">
        <f>IF(OR(E36="",E9="",E9=0),"",E36/E9)</f>
        <v/>
      </c>
      <c r="F37" s="447">
        <f>IF(OR(F36="",F9="",F9=0),"",F36/F9)</f>
        <v/>
      </c>
      <c r="G37" s="447">
        <f>IF(OR(G36="",G9="",G9=0),"",G36/G9)</f>
        <v/>
      </c>
      <c r="H37" s="447">
        <f>IF(OR(H36="",H9="",H9=0),"",H36/H9)</f>
        <v/>
      </c>
      <c r="I37" s="447">
        <f>IF(OR(I36="",I9="",I9=0),"",I36/I9)</f>
        <v/>
      </c>
      <c r="J37" s="447">
        <f>IF(OR(J36="",J9="",J9=0),"",J36/J9)</f>
        <v/>
      </c>
      <c r="K37" s="447">
        <f>IF(OR(K36="",K9="",K9=0),"",K36/K9)</f>
        <v/>
      </c>
      <c r="L37" s="447">
        <f>IF(OR(L36="",L9="",L9=0),"",L36/L9)</f>
        <v/>
      </c>
      <c r="M37" s="447">
        <f>IF(OR(M36="",M9="",M9=0),"",M36/M9)</f>
        <v/>
      </c>
      <c r="N37" s="22" t="n"/>
      <c r="O37" s="444" t="inlineStr">
        <is>
          <t>Operating Drivers</t>
        </is>
      </c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  <c r="AA37" s="47" t="n"/>
      <c r="AB37" s="47" t="n"/>
      <c r="AC37" s="46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YoY %</t>
        </is>
      </c>
      <c r="B38" s="447">
        <f>IF(OR(B$6="",COUNTIFS(History_Q!$C$2:$C$1000,"net_income",History_Q!$B$2:$B$1000,(SUMIFS(History_Q!$B$2:$B$1000,History_Q!$A$2:$A$1000,B$6,History_Q!$C$2:$C$1000,"net_income")),History_Q!$E$2:$E$1000,"$m",History_Q!$G$2:$G$1000,"populated")&lt;&gt;1,COUNTIFS(History_Q!$C$2:$C$1000,"net_income",History_Q!$B$2:$B$1000,(SUMIFS(History_Q!$B$2:$B$1000,History_Q!$A$2:$A$1000,B$6,History_Q!$C$2:$C$1000,"net_income")-4),History_Q!$E$2:$E$1000,"$m",History_Q!$G$2:$G$1000,"populated")&lt;&gt;1,SUMIFS(History_Q!$D$2:$D$1000,History_Q!$C$2:$C$1000,"net_income",History_Q!$B$2:$B$1000,(SUMIFS(History_Q!$B$2:$B$1000,History_Q!$A$2:$A$1000,B$6,History_Q!$C$2:$C$1000,"net_income")-4),History_Q!$E$2:$E$1000,"$m",History_Q!$G$2:$G$1000,"populated")=0),"",SUMIFS(History_Q!$D$2:$D$1000,History_Q!$C$2:$C$1000,"net_income",History_Q!$B$2:$B$1000,(SUMIFS(History_Q!$B$2:$B$1000,History_Q!$A$2:$A$1000,B$6,History_Q!$C$2:$C$1000,"net_income")),History_Q!$E$2:$E$1000,"$m",History_Q!$G$2:$G$1000,"populated")/SUMIFS(History_Q!$D$2:$D$1000,History_Q!$C$2:$C$1000,"net_income",History_Q!$B$2:$B$1000,(SUMIFS(History_Q!$B$2:$B$1000,History_Q!$A$2:$A$1000,B$6,History_Q!$C$2:$C$1000,"net_income")-4),History_Q!$E$2:$E$1000,"$m",History_Q!$G$2:$G$1000,"populated")-1)</f>
        <v/>
      </c>
      <c r="C38" s="447">
        <f>IF(OR(C$6="",COUNTIFS(History_Q!$C$2:$C$1000,"net_income",History_Q!$B$2:$B$1000,(SUMIFS(History_Q!$B$2:$B$1000,History_Q!$A$2:$A$1000,C$6,History_Q!$C$2:$C$1000,"net_income")),History_Q!$E$2:$E$1000,"$m",History_Q!$G$2:$G$1000,"populated")&lt;&gt;1,COUNTIFS(History_Q!$C$2:$C$1000,"net_income",History_Q!$B$2:$B$1000,(SUMIFS(History_Q!$B$2:$B$1000,History_Q!$A$2:$A$1000,C$6,History_Q!$C$2:$C$1000,"net_income")-4),History_Q!$E$2:$E$1000,"$m",History_Q!$G$2:$G$1000,"populated")&lt;&gt;1,SUMIFS(History_Q!$D$2:$D$1000,History_Q!$C$2:$C$1000,"net_income",History_Q!$B$2:$B$1000,(SUMIFS(History_Q!$B$2:$B$1000,History_Q!$A$2:$A$1000,C$6,History_Q!$C$2:$C$1000,"net_income")-4),History_Q!$E$2:$E$1000,"$m",History_Q!$G$2:$G$1000,"populated")=0),"",SUMIFS(History_Q!$D$2:$D$1000,History_Q!$C$2:$C$1000,"net_income",History_Q!$B$2:$B$1000,(SUMIFS(History_Q!$B$2:$B$1000,History_Q!$A$2:$A$1000,C$6,History_Q!$C$2:$C$1000,"net_income")),History_Q!$E$2:$E$1000,"$m",History_Q!$G$2:$G$1000,"populated")/SUMIFS(History_Q!$D$2:$D$1000,History_Q!$C$2:$C$1000,"net_income",History_Q!$B$2:$B$1000,(SUMIFS(History_Q!$B$2:$B$1000,History_Q!$A$2:$A$1000,C$6,History_Q!$C$2:$C$1000,"net_income")-4),History_Q!$E$2:$E$1000,"$m",History_Q!$G$2:$G$1000,"populated")-1)</f>
        <v/>
      </c>
      <c r="D38" s="447">
        <f>IF(OR(D$6="",COUNTIFS(History_Q!$C$2:$C$1000,"net_income",History_Q!$B$2:$B$1000,(SUMIFS(History_Q!$B$2:$B$1000,History_Q!$A$2:$A$1000,D$6,History_Q!$C$2:$C$1000,"net_income")),History_Q!$E$2:$E$1000,"$m",History_Q!$G$2:$G$1000,"populated")&lt;&gt;1,COUNTIFS(History_Q!$C$2:$C$1000,"net_income",History_Q!$B$2:$B$1000,(SUMIFS(History_Q!$B$2:$B$1000,History_Q!$A$2:$A$1000,D$6,History_Q!$C$2:$C$1000,"net_income")-4),History_Q!$E$2:$E$1000,"$m",History_Q!$G$2:$G$1000,"populated")&lt;&gt;1,SUMIFS(History_Q!$D$2:$D$1000,History_Q!$C$2:$C$1000,"net_income",History_Q!$B$2:$B$1000,(SUMIFS(History_Q!$B$2:$B$1000,History_Q!$A$2:$A$1000,D$6,History_Q!$C$2:$C$1000,"net_income")-4),History_Q!$E$2:$E$1000,"$m",History_Q!$G$2:$G$1000,"populated")=0),"",SUMIFS(History_Q!$D$2:$D$1000,History_Q!$C$2:$C$1000,"net_income",History_Q!$B$2:$B$1000,(SUMIFS(History_Q!$B$2:$B$1000,History_Q!$A$2:$A$1000,D$6,History_Q!$C$2:$C$1000,"net_income")),History_Q!$E$2:$E$1000,"$m",History_Q!$G$2:$G$1000,"populated")/SUMIFS(History_Q!$D$2:$D$1000,History_Q!$C$2:$C$1000,"net_income",History_Q!$B$2:$B$1000,(SUMIFS(History_Q!$B$2:$B$1000,History_Q!$A$2:$A$1000,D$6,History_Q!$C$2:$C$1000,"net_income")-4),History_Q!$E$2:$E$1000,"$m",History_Q!$G$2:$G$1000,"populated")-1)</f>
        <v/>
      </c>
      <c r="E38" s="447">
        <f>IF(OR(E$6="",COUNTIFS(History_Q!$C$2:$C$1000,"net_income",History_Q!$B$2:$B$1000,(SUMIFS(History_Q!$B$2:$B$1000,History_Q!$A$2:$A$1000,E$6,History_Q!$C$2:$C$1000,"net_income")),History_Q!$E$2:$E$1000,"$m",History_Q!$G$2:$G$1000,"populated")&lt;&gt;1,COUNTIFS(History_Q!$C$2:$C$1000,"net_income",History_Q!$B$2:$B$1000,(SUMIFS(History_Q!$B$2:$B$1000,History_Q!$A$2:$A$1000,E$6,History_Q!$C$2:$C$1000,"net_income")-4),History_Q!$E$2:$E$1000,"$m",History_Q!$G$2:$G$1000,"populated")&lt;&gt;1,SUMIFS(History_Q!$D$2:$D$1000,History_Q!$C$2:$C$1000,"net_income",History_Q!$B$2:$B$1000,(SUMIFS(History_Q!$B$2:$B$1000,History_Q!$A$2:$A$1000,E$6,History_Q!$C$2:$C$1000,"net_income")-4),History_Q!$E$2:$E$1000,"$m",History_Q!$G$2:$G$1000,"populated")=0),"",SUMIFS(History_Q!$D$2:$D$1000,History_Q!$C$2:$C$1000,"net_income",History_Q!$B$2:$B$1000,(SUMIFS(History_Q!$B$2:$B$1000,History_Q!$A$2:$A$1000,E$6,History_Q!$C$2:$C$1000,"net_income")),History_Q!$E$2:$E$1000,"$m",History_Q!$G$2:$G$1000,"populated")/SUMIFS(History_Q!$D$2:$D$1000,History_Q!$C$2:$C$1000,"net_income",History_Q!$B$2:$B$1000,(SUMIFS(History_Q!$B$2:$B$1000,History_Q!$A$2:$A$1000,E$6,History_Q!$C$2:$C$1000,"net_income")-4),History_Q!$E$2:$E$1000,"$m",History_Q!$G$2:$G$1000,"populated")-1)</f>
        <v/>
      </c>
      <c r="F38" s="447">
        <f>IF(OR(F$6="",COUNTIFS(History_Q!$C$2:$C$1000,"net_income",History_Q!$B$2:$B$1000,(SUMIFS(History_Q!$B$2:$B$1000,History_Q!$A$2:$A$1000,F$6,History_Q!$C$2:$C$1000,"net_income")),History_Q!$E$2:$E$1000,"$m",History_Q!$G$2:$G$1000,"populated")&lt;&gt;1,COUNTIFS(History_Q!$C$2:$C$1000,"net_income",History_Q!$B$2:$B$1000,(SUMIFS(History_Q!$B$2:$B$1000,History_Q!$A$2:$A$1000,F$6,History_Q!$C$2:$C$1000,"net_income")-4),History_Q!$E$2:$E$1000,"$m",History_Q!$G$2:$G$1000,"populated")&lt;&gt;1,SUMIFS(History_Q!$D$2:$D$1000,History_Q!$C$2:$C$1000,"net_income",History_Q!$B$2:$B$1000,(SUMIFS(History_Q!$B$2:$B$1000,History_Q!$A$2:$A$1000,F$6,History_Q!$C$2:$C$1000,"net_income")-4),History_Q!$E$2:$E$1000,"$m",History_Q!$G$2:$G$1000,"populated")=0),"",SUMIFS(History_Q!$D$2:$D$1000,History_Q!$C$2:$C$1000,"net_income",History_Q!$B$2:$B$1000,(SUMIFS(History_Q!$B$2:$B$1000,History_Q!$A$2:$A$1000,F$6,History_Q!$C$2:$C$1000,"net_income")),History_Q!$E$2:$E$1000,"$m",History_Q!$G$2:$G$1000,"populated")/SUMIFS(History_Q!$D$2:$D$1000,History_Q!$C$2:$C$1000,"net_income",History_Q!$B$2:$B$1000,(SUMIFS(History_Q!$B$2:$B$1000,History_Q!$A$2:$A$1000,F$6,History_Q!$C$2:$C$1000,"net_income")-4),History_Q!$E$2:$E$1000,"$m",History_Q!$G$2:$G$1000,"populated")-1)</f>
        <v/>
      </c>
      <c r="G38" s="447">
        <f>IF(OR(G$6="",COUNTIFS(History_Q!$C$2:$C$1000,"net_income",History_Q!$B$2:$B$1000,(SUMIFS(History_Q!$B$2:$B$1000,History_Q!$A$2:$A$1000,G$6,History_Q!$C$2:$C$1000,"net_income")),History_Q!$E$2:$E$1000,"$m",History_Q!$G$2:$G$1000,"populated")&lt;&gt;1,COUNTIFS(History_Q!$C$2:$C$1000,"net_income",History_Q!$B$2:$B$1000,(SUMIFS(History_Q!$B$2:$B$1000,History_Q!$A$2:$A$1000,G$6,History_Q!$C$2:$C$1000,"net_income")-4),History_Q!$E$2:$E$1000,"$m",History_Q!$G$2:$G$1000,"populated")&lt;&gt;1,SUMIFS(History_Q!$D$2:$D$1000,History_Q!$C$2:$C$1000,"net_income",History_Q!$B$2:$B$1000,(SUMIFS(History_Q!$B$2:$B$1000,History_Q!$A$2:$A$1000,G$6,History_Q!$C$2:$C$1000,"net_income")-4),History_Q!$E$2:$E$1000,"$m",History_Q!$G$2:$G$1000,"populated")=0),"",SUMIFS(History_Q!$D$2:$D$1000,History_Q!$C$2:$C$1000,"net_income",History_Q!$B$2:$B$1000,(SUMIFS(History_Q!$B$2:$B$1000,History_Q!$A$2:$A$1000,G$6,History_Q!$C$2:$C$1000,"net_income")),History_Q!$E$2:$E$1000,"$m",History_Q!$G$2:$G$1000,"populated")/SUMIFS(History_Q!$D$2:$D$1000,History_Q!$C$2:$C$1000,"net_income",History_Q!$B$2:$B$1000,(SUMIFS(History_Q!$B$2:$B$1000,History_Q!$A$2:$A$1000,G$6,History_Q!$C$2:$C$1000,"net_income")-4),History_Q!$E$2:$E$1000,"$m",History_Q!$G$2:$G$1000,"populated")-1)</f>
        <v/>
      </c>
      <c r="H38" s="447">
        <f>IF(OR(H$6="",COUNTIFS(History_Q!$C$2:$C$1000,"net_income",History_Q!$B$2:$B$1000,(SUMIFS(History_Q!$B$2:$B$1000,History_Q!$A$2:$A$1000,H$6,History_Q!$C$2:$C$1000,"net_income")),History_Q!$E$2:$E$1000,"$m",History_Q!$G$2:$G$1000,"populated")&lt;&gt;1,COUNTIFS(History_Q!$C$2:$C$1000,"net_income",History_Q!$B$2:$B$1000,(SUMIFS(History_Q!$B$2:$B$1000,History_Q!$A$2:$A$1000,H$6,History_Q!$C$2:$C$1000,"net_income")-4),History_Q!$E$2:$E$1000,"$m",History_Q!$G$2:$G$1000,"populated")&lt;&gt;1,SUMIFS(History_Q!$D$2:$D$1000,History_Q!$C$2:$C$1000,"net_income",History_Q!$B$2:$B$1000,(SUMIFS(History_Q!$B$2:$B$1000,History_Q!$A$2:$A$1000,H$6,History_Q!$C$2:$C$1000,"net_income")-4),History_Q!$E$2:$E$1000,"$m",History_Q!$G$2:$G$1000,"populated")=0),"",SUMIFS(History_Q!$D$2:$D$1000,History_Q!$C$2:$C$1000,"net_income",History_Q!$B$2:$B$1000,(SUMIFS(History_Q!$B$2:$B$1000,History_Q!$A$2:$A$1000,H$6,History_Q!$C$2:$C$1000,"net_income")),History_Q!$E$2:$E$1000,"$m",History_Q!$G$2:$G$1000,"populated")/SUMIFS(History_Q!$D$2:$D$1000,History_Q!$C$2:$C$1000,"net_income",History_Q!$B$2:$B$1000,(SUMIFS(History_Q!$B$2:$B$1000,History_Q!$A$2:$A$1000,H$6,History_Q!$C$2:$C$1000,"net_income")-4),History_Q!$E$2:$E$1000,"$m",History_Q!$G$2:$G$1000,"populated")-1)</f>
        <v/>
      </c>
      <c r="I38" s="447">
        <f>IF(OR(I$6="",COUNTIFS(History_Q!$C$2:$C$1000,"net_income",History_Q!$B$2:$B$1000,(SUMIFS(History_Q!$B$2:$B$1000,History_Q!$A$2:$A$1000,I$6,History_Q!$C$2:$C$1000,"net_income")),History_Q!$E$2:$E$1000,"$m",History_Q!$G$2:$G$1000,"populated")&lt;&gt;1,COUNTIFS(History_Q!$C$2:$C$1000,"net_income",History_Q!$B$2:$B$1000,(SUMIFS(History_Q!$B$2:$B$1000,History_Q!$A$2:$A$1000,I$6,History_Q!$C$2:$C$1000,"net_income")-4),History_Q!$E$2:$E$1000,"$m",History_Q!$G$2:$G$1000,"populated")&lt;&gt;1,SUMIFS(History_Q!$D$2:$D$1000,History_Q!$C$2:$C$1000,"net_income",History_Q!$B$2:$B$1000,(SUMIFS(History_Q!$B$2:$B$1000,History_Q!$A$2:$A$1000,I$6,History_Q!$C$2:$C$1000,"net_income")-4),History_Q!$E$2:$E$1000,"$m",History_Q!$G$2:$G$1000,"populated")=0),"",SUMIFS(History_Q!$D$2:$D$1000,History_Q!$C$2:$C$1000,"net_income",History_Q!$B$2:$B$1000,(SUMIFS(History_Q!$B$2:$B$1000,History_Q!$A$2:$A$1000,I$6,History_Q!$C$2:$C$1000,"net_income")),History_Q!$E$2:$E$1000,"$m",History_Q!$G$2:$G$1000,"populated")/SUMIFS(History_Q!$D$2:$D$1000,History_Q!$C$2:$C$1000,"net_income",History_Q!$B$2:$B$1000,(SUMIFS(History_Q!$B$2:$B$1000,History_Q!$A$2:$A$1000,I$6,History_Q!$C$2:$C$1000,"net_income")-4),History_Q!$E$2:$E$1000,"$m",History_Q!$G$2:$G$1000,"populated")-1)</f>
        <v/>
      </c>
      <c r="J38" s="447">
        <f>IF(OR(J$6="",COUNTIFS(History_Q!$C$2:$C$1000,"net_income",History_Q!$B$2:$B$1000,(SUMIFS(History_Q!$B$2:$B$1000,History_Q!$A$2:$A$1000,J$6,History_Q!$C$2:$C$1000,"net_income")),History_Q!$E$2:$E$1000,"$m",History_Q!$G$2:$G$1000,"populated")&lt;&gt;1,COUNTIFS(History_Q!$C$2:$C$1000,"net_income",History_Q!$B$2:$B$1000,(SUMIFS(History_Q!$B$2:$B$1000,History_Q!$A$2:$A$1000,J$6,History_Q!$C$2:$C$1000,"net_income")-4),History_Q!$E$2:$E$1000,"$m",History_Q!$G$2:$G$1000,"populated")&lt;&gt;1,SUMIFS(History_Q!$D$2:$D$1000,History_Q!$C$2:$C$1000,"net_income",History_Q!$B$2:$B$1000,(SUMIFS(History_Q!$B$2:$B$1000,History_Q!$A$2:$A$1000,J$6,History_Q!$C$2:$C$1000,"net_income")-4),History_Q!$E$2:$E$1000,"$m",History_Q!$G$2:$G$1000,"populated")=0),"",SUMIFS(History_Q!$D$2:$D$1000,History_Q!$C$2:$C$1000,"net_income",History_Q!$B$2:$B$1000,(SUMIFS(History_Q!$B$2:$B$1000,History_Q!$A$2:$A$1000,J$6,History_Q!$C$2:$C$1000,"net_income")),History_Q!$E$2:$E$1000,"$m",History_Q!$G$2:$G$1000,"populated")/SUMIFS(History_Q!$D$2:$D$1000,History_Q!$C$2:$C$1000,"net_income",History_Q!$B$2:$B$1000,(SUMIFS(History_Q!$B$2:$B$1000,History_Q!$A$2:$A$1000,J$6,History_Q!$C$2:$C$1000,"net_income")-4),History_Q!$E$2:$E$1000,"$m",History_Q!$G$2:$G$1000,"populated")-1)</f>
        <v/>
      </c>
      <c r="K38" s="447">
        <f>IF(OR(K$6="",COUNTIFS(History_Q!$C$2:$C$1000,"net_income",History_Q!$B$2:$B$1000,(SUMIFS(History_Q!$B$2:$B$1000,History_Q!$A$2:$A$1000,K$6,History_Q!$C$2:$C$1000,"net_income")),History_Q!$E$2:$E$1000,"$m",History_Q!$G$2:$G$1000,"populated")&lt;&gt;1,COUNTIFS(History_Q!$C$2:$C$1000,"net_income",History_Q!$B$2:$B$1000,(SUMIFS(History_Q!$B$2:$B$1000,History_Q!$A$2:$A$1000,K$6,History_Q!$C$2:$C$1000,"net_income")-4),History_Q!$E$2:$E$1000,"$m",History_Q!$G$2:$G$1000,"populated")&lt;&gt;1,SUMIFS(History_Q!$D$2:$D$1000,History_Q!$C$2:$C$1000,"net_income",History_Q!$B$2:$B$1000,(SUMIFS(History_Q!$B$2:$B$1000,History_Q!$A$2:$A$1000,K$6,History_Q!$C$2:$C$1000,"net_income")-4),History_Q!$E$2:$E$1000,"$m",History_Q!$G$2:$G$1000,"populated")=0),"",SUMIFS(History_Q!$D$2:$D$1000,History_Q!$C$2:$C$1000,"net_income",History_Q!$B$2:$B$1000,(SUMIFS(History_Q!$B$2:$B$1000,History_Q!$A$2:$A$1000,K$6,History_Q!$C$2:$C$1000,"net_income")),History_Q!$E$2:$E$1000,"$m",History_Q!$G$2:$G$1000,"populated")/SUMIFS(History_Q!$D$2:$D$1000,History_Q!$C$2:$C$1000,"net_income",History_Q!$B$2:$B$1000,(SUMIFS(History_Q!$B$2:$B$1000,History_Q!$A$2:$A$1000,K$6,History_Q!$C$2:$C$1000,"net_income")-4),History_Q!$E$2:$E$1000,"$m",History_Q!$G$2:$G$1000,"populated")-1)</f>
        <v/>
      </c>
      <c r="L38" s="447">
        <f>IF(OR(L$6="",COUNTIFS(History_Q!$C$2:$C$1000,"net_income",History_Q!$B$2:$B$1000,(SUMIFS(History_Q!$B$2:$B$1000,History_Q!$A$2:$A$1000,L$6,History_Q!$C$2:$C$1000,"net_income")),History_Q!$E$2:$E$1000,"$m",History_Q!$G$2:$G$1000,"populated")&lt;&gt;1,COUNTIFS(History_Q!$C$2:$C$1000,"net_income",History_Q!$B$2:$B$1000,(SUMIFS(History_Q!$B$2:$B$1000,History_Q!$A$2:$A$1000,L$6,History_Q!$C$2:$C$1000,"net_income")-4),History_Q!$E$2:$E$1000,"$m",History_Q!$G$2:$G$1000,"populated")&lt;&gt;1,SUMIFS(History_Q!$D$2:$D$1000,History_Q!$C$2:$C$1000,"net_income",History_Q!$B$2:$B$1000,(SUMIFS(History_Q!$B$2:$B$1000,History_Q!$A$2:$A$1000,L$6,History_Q!$C$2:$C$1000,"net_income")-4),History_Q!$E$2:$E$1000,"$m",History_Q!$G$2:$G$1000,"populated")=0),"",SUMIFS(History_Q!$D$2:$D$1000,History_Q!$C$2:$C$1000,"net_income",History_Q!$B$2:$B$1000,(SUMIFS(History_Q!$B$2:$B$1000,History_Q!$A$2:$A$1000,L$6,History_Q!$C$2:$C$1000,"net_income")),History_Q!$E$2:$E$1000,"$m",History_Q!$G$2:$G$1000,"populated")/SUMIFS(History_Q!$D$2:$D$1000,History_Q!$C$2:$C$1000,"net_income",History_Q!$B$2:$B$1000,(SUMIFS(History_Q!$B$2:$B$1000,History_Q!$A$2:$A$1000,L$6,History_Q!$C$2:$C$1000,"net_income")-4),History_Q!$E$2:$E$1000,"$m",History_Q!$G$2:$G$1000,"populated")-1)</f>
        <v/>
      </c>
      <c r="M38" s="447">
        <f>IF(OR(M$6="",COUNTIFS(History_Q!$C$2:$C$1000,"net_income",History_Q!$B$2:$B$1000,(SUMIFS(History_Q!$B$2:$B$1000,History_Q!$A$2:$A$1000,M$6,History_Q!$C$2:$C$1000,"net_income")),History_Q!$E$2:$E$1000,"$m",History_Q!$G$2:$G$1000,"populated")&lt;&gt;1,COUNTIFS(History_Q!$C$2:$C$1000,"net_income",History_Q!$B$2:$B$1000,(SUMIFS(History_Q!$B$2:$B$1000,History_Q!$A$2:$A$1000,M$6,History_Q!$C$2:$C$1000,"net_income")-4),History_Q!$E$2:$E$1000,"$m",History_Q!$G$2:$G$1000,"populated")&lt;&gt;1,SUMIFS(History_Q!$D$2:$D$1000,History_Q!$C$2:$C$1000,"net_income",History_Q!$B$2:$B$1000,(SUMIFS(History_Q!$B$2:$B$1000,History_Q!$A$2:$A$1000,M$6,History_Q!$C$2:$C$1000,"net_income")-4),History_Q!$E$2:$E$1000,"$m",History_Q!$G$2:$G$1000,"populated")=0),"",SUMIFS(History_Q!$D$2:$D$1000,History_Q!$C$2:$C$1000,"net_income",History_Q!$B$2:$B$1000,(SUMIFS(History_Q!$B$2:$B$1000,History_Q!$A$2:$A$1000,M$6,History_Q!$C$2:$C$1000,"net_income")),History_Q!$E$2:$E$1000,"$m",History_Q!$G$2:$G$1000,"populated")/SUMIFS(History_Q!$D$2:$D$1000,History_Q!$C$2:$C$1000,"net_income",History_Q!$B$2:$B$1000,(SUMIFS(History_Q!$B$2:$B$1000,History_Q!$A$2:$A$1000,M$6,History_Q!$C$2:$C$1000,"net_income")-4),History_Q!$E$2:$E$1000,"$m",History_Q!$G$2:$G$1000,"populated")-1)</f>
        <v/>
      </c>
      <c r="N38" s="22" t="n"/>
      <c r="O38" s="449" t="inlineStr">
        <is>
          <t>Driver group</t>
        </is>
      </c>
      <c r="P38" s="47" t="n"/>
      <c r="Q38" s="46" t="n"/>
      <c r="R38" s="449" t="inlineStr">
        <is>
          <t>Driver</t>
        </is>
      </c>
      <c r="S38" s="47" t="n"/>
      <c r="T38" s="46" t="n"/>
      <c r="U38" s="450" t="inlineStr">
        <is>
          <t>Why it matters</t>
        </is>
      </c>
      <c r="V38" s="47" t="n"/>
      <c r="W38" s="47" t="n"/>
      <c r="X38" s="47" t="n"/>
      <c r="Y38" s="47" t="n"/>
      <c r="Z38" s="46" t="n"/>
      <c r="AA38" s="449" t="inlineStr">
        <is>
          <t>Source/type</t>
        </is>
      </c>
      <c r="AB38" s="47" t="n"/>
      <c r="AC38" s="46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(TTM)</t>
        </is>
      </c>
      <c r="B39" s="446">
        <f>IF(OR(B$6="",COUNTIFS(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4,MAX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-MIN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3),"",SUMIFS(History_Q!$D$2:$D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)</f>
        <v/>
      </c>
      <c r="C39" s="446">
        <f>IF(OR(C$6="",COUNTIFS(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4,MAX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-MIN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3),"",SUMIFS(History_Q!$D$2:$D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)</f>
        <v/>
      </c>
      <c r="D39" s="446">
        <f>IF(OR(D$6="",COUNTIFS(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4,MAX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-MIN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3),"",SUMIFS(History_Q!$D$2:$D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)</f>
        <v/>
      </c>
      <c r="E39" s="446">
        <f>IF(OR(E$6="",COUNTIFS(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4,MAX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-MIN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3),"",SUMIFS(History_Q!$D$2:$D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)</f>
        <v/>
      </c>
      <c r="F39" s="446">
        <f>IF(OR(F$6="",COUNTIFS(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4,MAX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-MIN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3),"",SUMIFS(History_Q!$D$2:$D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)</f>
        <v/>
      </c>
      <c r="G39" s="446">
        <f>IF(OR(G$6="",COUNTIFS(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4,MAX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-MIN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3),"",SUMIFS(History_Q!$D$2:$D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)</f>
        <v/>
      </c>
      <c r="H39" s="446">
        <f>IF(OR(H$6="",COUNTIFS(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4,MAX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-MIN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3),"",SUMIFS(History_Q!$D$2:$D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)</f>
        <v/>
      </c>
      <c r="I39" s="446">
        <f>IF(OR(I$6="",COUNTIFS(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4,MAX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-MIN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3),"",SUMIFS(History_Q!$D$2:$D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)</f>
        <v/>
      </c>
      <c r="J39" s="446">
        <f>IF(OR(J$6="",COUNTIFS(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4,MAX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-MIN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3),"",SUMIFS(History_Q!$D$2:$D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)</f>
        <v/>
      </c>
      <c r="K39" s="446">
        <f>IF(OR(K$6="",COUNTIFS(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4,MAX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-MIN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3),"",SUMIFS(History_Q!$D$2:$D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)</f>
        <v/>
      </c>
      <c r="L39" s="446">
        <f>IF(OR(L$6="",COUNTIFS(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4,MAX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-MIN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3),"",SUMIFS(History_Q!$D$2:$D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)</f>
        <v/>
      </c>
      <c r="M39" s="446">
        <f>IF(OR(M$6="",COUNTIFS(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4,MAX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-MIN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3),"",SUMIFS(History_Q!$D$2:$D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)</f>
        <v/>
      </c>
      <c r="N39" s="22" t="n"/>
      <c r="O39" s="52" t="n"/>
      <c r="P39" s="47" t="n"/>
      <c r="Q39" s="46" t="n"/>
      <c r="R39" s="67" t="n"/>
      <c r="S39" s="47" t="n"/>
      <c r="T39" s="46" t="n"/>
      <c r="U39" s="52" t="n"/>
      <c r="V39" s="47" t="n"/>
      <c r="W39" s="47" t="n"/>
      <c r="X39" s="47" t="n"/>
      <c r="Y39" s="47" t="n"/>
      <c r="Z39" s="46" t="n"/>
      <c r="AA39" s="52" t="n"/>
      <c r="AB39" s="47" t="n"/>
      <c r="AC39" s="46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margin (TTM)</t>
        </is>
      </c>
      <c r="B40" s="447">
        <f>IF(OR(B39="",B10="",B10=0),"",B39/B10)</f>
        <v/>
      </c>
      <c r="C40" s="447">
        <f>IF(OR(C39="",C10="",C10=0),"",C39/C10)</f>
        <v/>
      </c>
      <c r="D40" s="447">
        <f>IF(OR(D39="",D10="",D10=0),"",D39/D10)</f>
        <v/>
      </c>
      <c r="E40" s="447">
        <f>IF(OR(E39="",E10="",E10=0),"",E39/E10)</f>
        <v/>
      </c>
      <c r="F40" s="447">
        <f>IF(OR(F39="",F10="",F10=0),"",F39/F10)</f>
        <v/>
      </c>
      <c r="G40" s="447">
        <f>IF(OR(G39="",G10="",G10=0),"",G39/G10)</f>
        <v/>
      </c>
      <c r="H40" s="447">
        <f>IF(OR(H39="",H10="",H10=0),"",H39/H10)</f>
        <v/>
      </c>
      <c r="I40" s="447">
        <f>IF(OR(I39="",I10="",I10=0),"",I39/I10)</f>
        <v/>
      </c>
      <c r="J40" s="447">
        <f>IF(OR(J39="",J10="",J10=0),"",J39/J10)</f>
        <v/>
      </c>
      <c r="K40" s="447">
        <f>IF(OR(K39="",K10="",K10=0),"",K39/K10)</f>
        <v/>
      </c>
      <c r="L40" s="447">
        <f>IF(OR(L39="",L10="",L10=0),"",L39/L10)</f>
        <v/>
      </c>
      <c r="M40" s="447">
        <f>IF(OR(M39="",M10="",M10=0),"",M39/M10)</f>
        <v/>
      </c>
      <c r="N40" s="22" t="n"/>
      <c r="O40" s="53" t="n"/>
      <c r="P40" s="47" t="n"/>
      <c r="Q40" s="46" t="n"/>
      <c r="R40" s="68" t="n"/>
      <c r="S40" s="47" t="n"/>
      <c r="T40" s="46" t="n"/>
      <c r="U40" s="69" t="n"/>
      <c r="V40" s="47" t="n"/>
      <c r="W40" s="47" t="n"/>
      <c r="X40" s="47" t="n"/>
      <c r="Y40" s="47" t="n"/>
      <c r="Z40" s="46" t="n"/>
      <c r="AA40" s="53" t="n"/>
      <c r="AB40" s="47" t="n"/>
      <c r="AC40" s="46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O41" s="52" t="n"/>
      <c r="P41" s="47" t="n"/>
      <c r="Q41" s="46" t="n"/>
      <c r="R41" s="67" t="n"/>
      <c r="S41" s="47" t="n"/>
      <c r="T41" s="46" t="n"/>
      <c r="U41" s="70" t="n"/>
      <c r="V41" s="47" t="n"/>
      <c r="W41" s="47" t="n"/>
      <c r="X41" s="47" t="n"/>
      <c r="Y41" s="47" t="n"/>
      <c r="Z41" s="46" t="n"/>
      <c r="AA41" s="52" t="n"/>
      <c r="AB41" s="47" t="n"/>
      <c r="AC41" s="46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O42" s="53" t="n"/>
      <c r="P42" s="47" t="n"/>
      <c r="Q42" s="46" t="n"/>
      <c r="R42" s="68" t="n"/>
      <c r="S42" s="47" t="n"/>
      <c r="T42" s="46" t="n"/>
      <c r="U42" s="69" t="n"/>
      <c r="V42" s="47" t="n"/>
      <c r="W42" s="47" t="n"/>
      <c r="X42" s="47" t="n"/>
      <c r="Y42" s="47" t="n"/>
      <c r="Z42" s="46" t="n"/>
      <c r="AA42" s="53" t="n"/>
      <c r="AB42" s="47" t="n"/>
      <c r="AC42" s="46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445" t="n"/>
      <c r="C43" s="445" t="n"/>
      <c r="D43" s="445" t="n"/>
      <c r="E43" s="445" t="n"/>
      <c r="F43" s="445" t="n"/>
      <c r="G43" s="445" t="n"/>
      <c r="H43" s="445" t="n"/>
      <c r="I43" s="445" t="n"/>
      <c r="J43" s="445" t="n"/>
      <c r="K43" s="445" t="n"/>
      <c r="L43" s="445" t="n"/>
      <c r="M43" s="445" t="n"/>
      <c r="N43" s="22" t="n"/>
      <c r="O43" s="52" t="n"/>
      <c r="P43" s="47" t="n"/>
      <c r="Q43" s="46" t="n"/>
      <c r="R43" s="67" t="n"/>
      <c r="S43" s="47" t="n"/>
      <c r="T43" s="46" t="n"/>
      <c r="U43" s="70" t="n"/>
      <c r="V43" s="47" t="n"/>
      <c r="W43" s="47" t="n"/>
      <c r="X43" s="47" t="n"/>
      <c r="Y43" s="47" t="n"/>
      <c r="Z43" s="46" t="n"/>
      <c r="AA43" s="52" t="n"/>
      <c r="AB43" s="47" t="n"/>
      <c r="AC43" s="46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445" t="n"/>
      <c r="C44" s="445" t="n"/>
      <c r="D44" s="445" t="n"/>
      <c r="E44" s="445" t="n"/>
      <c r="F44" s="445" t="n"/>
      <c r="G44" s="445" t="n"/>
      <c r="H44" s="445" t="n"/>
      <c r="I44" s="445" t="n"/>
      <c r="J44" s="445" t="n"/>
      <c r="K44" s="445" t="n"/>
      <c r="L44" s="445" t="n"/>
      <c r="M44" s="445" t="n"/>
      <c r="N44" s="22" t="n"/>
      <c r="O44" s="53" t="n"/>
      <c r="P44" s="47" t="n"/>
      <c r="Q44" s="46" t="n"/>
      <c r="R44" s="68" t="n"/>
      <c r="S44" s="47" t="n"/>
      <c r="T44" s="46" t="n"/>
      <c r="U44" s="69" t="n"/>
      <c r="V44" s="47" t="n"/>
      <c r="W44" s="47" t="n"/>
      <c r="X44" s="47" t="n"/>
      <c r="Y44" s="47" t="n"/>
      <c r="Z44" s="46" t="n"/>
      <c r="AA44" s="53" t="n"/>
      <c r="AB44" s="47" t="n"/>
      <c r="AC44" s="46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447">
        <f>IF(OR(B44="",B9="",B9=0),"",B44/B9)</f>
        <v/>
      </c>
      <c r="C45" s="447">
        <f>IF(OR(C44="",C9="",C9=0),"",C44/C9)</f>
        <v/>
      </c>
      <c r="D45" s="447">
        <f>IF(OR(D44="",D9="",D9=0),"",D44/D9)</f>
        <v/>
      </c>
      <c r="E45" s="447">
        <f>IF(OR(E44="",E9="",E9=0),"",E44/E9)</f>
        <v/>
      </c>
      <c r="F45" s="447">
        <f>IF(OR(F44="",F9="",F9=0),"",F44/F9)</f>
        <v/>
      </c>
      <c r="G45" s="447">
        <f>IF(OR(G44="",G9="",G9=0),"",G44/G9)</f>
        <v/>
      </c>
      <c r="H45" s="447">
        <f>IF(OR(H44="",H9="",H9=0),"",H44/H9)</f>
        <v/>
      </c>
      <c r="I45" s="447">
        <f>IF(OR(I44="",I9="",I9=0),"",I44/I9)</f>
        <v/>
      </c>
      <c r="J45" s="447">
        <f>IF(OR(J44="",J9="",J9=0),"",J44/J9)</f>
        <v/>
      </c>
      <c r="K45" s="447">
        <f>IF(OR(K44="",K9="",K9=0),"",K44/K9)</f>
        <v/>
      </c>
      <c r="L45" s="447">
        <f>IF(OR(L44="",L9="",L9=0),"",L44/L9)</f>
        <v/>
      </c>
      <c r="M45" s="447">
        <f>IF(OR(M44="",M9="",M9=0),"",M44/M9)</f>
        <v/>
      </c>
      <c r="N45" s="22" t="n"/>
      <c r="O45" s="52" t="n"/>
      <c r="P45" s="47" t="n"/>
      <c r="Q45" s="46" t="n"/>
      <c r="R45" s="67" t="n"/>
      <c r="S45" s="47" t="n"/>
      <c r="T45" s="46" t="n"/>
      <c r="U45" s="52" t="n"/>
      <c r="V45" s="47" t="n"/>
      <c r="W45" s="47" t="n"/>
      <c r="X45" s="47" t="n"/>
      <c r="Y45" s="47" t="n"/>
      <c r="Z45" s="46" t="n"/>
      <c r="AA45" s="52" t="n"/>
      <c r="AB45" s="47" t="n"/>
      <c r="AC45" s="46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447">
        <f>IF(OR(B$6=""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46" s="447">
        <f>IF(OR(C$6=""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46" s="447">
        <f>IF(OR(D$6=""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46" s="447">
        <f>IF(OR(E$6=""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46" s="447">
        <f>IF(OR(F$6=""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46" s="447">
        <f>IF(OR(G$6=""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46" s="447">
        <f>IF(OR(H$6=""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46" s="447">
        <f>IF(OR(I$6=""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46" s="447">
        <f>IF(OR(J$6=""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46" s="447">
        <f>IF(OR(K$6=""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46" s="447">
        <f>IF(OR(L$6=""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46" s="447">
        <f>IF(OR(M$6=""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46" s="22" t="n"/>
      <c r="O46" s="53" t="n"/>
      <c r="P46" s="47" t="n"/>
      <c r="Q46" s="46" t="n"/>
      <c r="R46" s="68" t="n"/>
      <c r="S46" s="47" t="n"/>
      <c r="T46" s="46" t="n"/>
      <c r="U46" s="349" t="n"/>
      <c r="V46" s="47" t="n"/>
      <c r="W46" s="47" t="n"/>
      <c r="X46" s="47" t="n"/>
      <c r="Y46" s="47" t="n"/>
      <c r="Z46" s="46" t="n"/>
      <c r="AA46" s="53" t="n"/>
      <c r="AB46" s="47" t="n"/>
      <c r="AC46" s="46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 - Capex)</t>
        </is>
      </c>
      <c r="B47" s="446">
        <f>IF(OR(B43="",B44=""),"",B43-B44)</f>
        <v/>
      </c>
      <c r="C47" s="446">
        <f>IF(OR(C43="",C44=""),"",C43-C44)</f>
        <v/>
      </c>
      <c r="D47" s="446">
        <f>IF(OR(D43="",D44=""),"",D43-D44)</f>
        <v/>
      </c>
      <c r="E47" s="446">
        <f>IF(OR(E43="",E44=""),"",E43-E44)</f>
        <v/>
      </c>
      <c r="F47" s="446">
        <f>IF(OR(F43="",F44=""),"",F43-F44)</f>
        <v/>
      </c>
      <c r="G47" s="446">
        <f>IF(OR(G43="",G44=""),"",G43-G44)</f>
        <v/>
      </c>
      <c r="H47" s="446">
        <f>IF(OR(H43="",H44=""),"",H43-H44)</f>
        <v/>
      </c>
      <c r="I47" s="446">
        <f>IF(OR(I43="",I44=""),"",I43-I44)</f>
        <v/>
      </c>
      <c r="J47" s="446">
        <f>IF(OR(J43="",J44=""),"",J43-J44)</f>
        <v/>
      </c>
      <c r="K47" s="446">
        <f>IF(OR(K43="",K44=""),"",K43-K44)</f>
        <v/>
      </c>
      <c r="L47" s="446">
        <f>IF(OR(L43="",L44=""),"",L43-L44)</f>
        <v/>
      </c>
      <c r="M47" s="446">
        <f>IF(OR(M43="",M44=""),"",M43-M44)</f>
        <v/>
      </c>
      <c r="N47" s="22" t="n"/>
      <c r="O47" s="63" t="n"/>
      <c r="P47" s="64" t="n"/>
      <c r="Q47" s="64" t="n"/>
      <c r="R47" s="64" t="n"/>
      <c r="S47" s="64" t="n"/>
      <c r="T47" s="64" t="n"/>
      <c r="U47" s="350" t="n"/>
      <c r="V47" s="64" t="n"/>
      <c r="W47" s="64" t="n"/>
      <c r="X47" s="63" t="n"/>
      <c r="Y47" s="64" t="n"/>
      <c r="Z47" s="64" t="n"/>
      <c r="AA47" s="64" t="n"/>
      <c r="AB47" s="64" t="n"/>
      <c r="AC47" s="64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446">
        <f>IF(OR(B$6="",COUNTIFS(History_Q!$C$2:$C$1000,"operating_cash_flow",History_Q!$B$2:$B$1000,(SUMIFS(History_Q!$B$2:$B$1000,History_Q!$A$2:$A$1000,B$6,History_Q!$C$2:$C$1000,"operating_cash_flow")),History_Q!$E$2:$E$1000,"$m",History_Q!$G$2:$G$1000,"populated")&lt;&gt;1,COUNTIFS(History_Q!$C$2:$C$1000,"capital_expenditures",History_Q!$B$2:$B$1000,(SUMIFS(History_Q!$B$2:$B$1000,History_Q!$A$2:$A$1000,B$6,History_Q!$C$2:$C$1000,"capital_expenditures")),History_Q!$E$2:$E$1000,"$m",History_Q!$G$2:$G$1000,"populated")&lt;&gt;1,COUNTIFS(History_Q!$C$2:$C$1000,"operating_cash_flow",History_Q!$B$2:$B$1000,(SUMIFS(History_Q!$B$2:$B$1000,History_Q!$A$2:$A$1000,B$6,History_Q!$C$2:$C$1000,"operating_cash_flow")-4),History_Q!$E$2:$E$1000,"$m",History_Q!$G$2:$G$1000,"populated")&lt;&gt;1,COUNTIFS(History_Q!$C$2:$C$1000,"capital_expenditures",History_Q!$B$2:$B$1000,(SUMIFS(History_Q!$B$2:$B$1000,History_Q!$A$2:$A$1000,B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B$6,History_Q!$C$2:$C$1000,"operating_cash_flow")),History_Q!$E$2:$E$1000,"$m",History_Q!$G$2:$G$1000,"populated")-SUMIFS(History_Q!$D$2:$D$1000,History_Q!$C$2:$C$1000,"capital_expenditures",History_Q!$B$2:$B$1000,(SUMIFS(History_Q!$B$2:$B$1000,History_Q!$A$2:$A$1000,B$6,History_Q!$C$2:$C$1000,"capital_expenditures")),History_Q!$E$2:$E$1000,"$m",History_Q!$G$2:$G$1000,"populated"))-(SUMIFS(History_Q!$D$2:$D$1000,History_Q!$C$2:$C$1000,"operating_cash_flow",History_Q!$B$2:$B$1000,(SUMIFS(History_Q!$B$2:$B$1000,History_Q!$A$2:$A$1000,B$6,History_Q!$C$2:$C$1000,"operating_cash_flow")-4),History_Q!$E$2:$E$1000,"$m",History_Q!$G$2:$G$1000,"populated")-SUMIFS(History_Q!$D$2:$D$1000,History_Q!$C$2:$C$1000,"capital_expenditures",History_Q!$B$2:$B$1000,(SUMIFS(History_Q!$B$2:$B$1000,History_Q!$A$2:$A$1000,B$6,History_Q!$C$2:$C$1000,"capital_expenditures")-4),History_Q!$E$2:$E$1000,"$m",History_Q!$G$2:$G$1000,"populated")))</f>
        <v/>
      </c>
      <c r="C48" s="446">
        <f>IF(OR(C$6="",COUNTIFS(History_Q!$C$2:$C$1000,"operating_cash_flow",History_Q!$B$2:$B$1000,(SUMIFS(History_Q!$B$2:$B$1000,History_Q!$A$2:$A$1000,C$6,History_Q!$C$2:$C$1000,"operating_cash_flow")),History_Q!$E$2:$E$1000,"$m",History_Q!$G$2:$G$1000,"populated")&lt;&gt;1,COUNTIFS(History_Q!$C$2:$C$1000,"capital_expenditures",History_Q!$B$2:$B$1000,(SUMIFS(History_Q!$B$2:$B$1000,History_Q!$A$2:$A$1000,C$6,History_Q!$C$2:$C$1000,"capital_expenditures")),History_Q!$E$2:$E$1000,"$m",History_Q!$G$2:$G$1000,"populated")&lt;&gt;1,COUNTIFS(History_Q!$C$2:$C$1000,"operating_cash_flow",History_Q!$B$2:$B$1000,(SUMIFS(History_Q!$B$2:$B$1000,History_Q!$A$2:$A$1000,C$6,History_Q!$C$2:$C$1000,"operating_cash_flow")-4),History_Q!$E$2:$E$1000,"$m",History_Q!$G$2:$G$1000,"populated")&lt;&gt;1,COUNTIFS(History_Q!$C$2:$C$1000,"capital_expenditures",History_Q!$B$2:$B$1000,(SUMIFS(History_Q!$B$2:$B$1000,History_Q!$A$2:$A$1000,C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C$6,History_Q!$C$2:$C$1000,"operating_cash_flow")),History_Q!$E$2:$E$1000,"$m",History_Q!$G$2:$G$1000,"populated")-SUMIFS(History_Q!$D$2:$D$1000,History_Q!$C$2:$C$1000,"capital_expenditures",History_Q!$B$2:$B$1000,(SUMIFS(History_Q!$B$2:$B$1000,History_Q!$A$2:$A$1000,C$6,History_Q!$C$2:$C$1000,"capital_expenditures")),History_Q!$E$2:$E$1000,"$m",History_Q!$G$2:$G$1000,"populated"))-(SUMIFS(History_Q!$D$2:$D$1000,History_Q!$C$2:$C$1000,"operating_cash_flow",History_Q!$B$2:$B$1000,(SUMIFS(History_Q!$B$2:$B$1000,History_Q!$A$2:$A$1000,C$6,History_Q!$C$2:$C$1000,"operating_cash_flow")-4),History_Q!$E$2:$E$1000,"$m",History_Q!$G$2:$G$1000,"populated")-SUMIFS(History_Q!$D$2:$D$1000,History_Q!$C$2:$C$1000,"capital_expenditures",History_Q!$B$2:$B$1000,(SUMIFS(History_Q!$B$2:$B$1000,History_Q!$A$2:$A$1000,C$6,History_Q!$C$2:$C$1000,"capital_expenditures")-4),History_Q!$E$2:$E$1000,"$m",History_Q!$G$2:$G$1000,"populated")))</f>
        <v/>
      </c>
      <c r="D48" s="446">
        <f>IF(OR(D$6="",COUNTIFS(History_Q!$C$2:$C$1000,"operating_cash_flow",History_Q!$B$2:$B$1000,(SUMIFS(History_Q!$B$2:$B$1000,History_Q!$A$2:$A$1000,D$6,History_Q!$C$2:$C$1000,"operating_cash_flow")),History_Q!$E$2:$E$1000,"$m",History_Q!$G$2:$G$1000,"populated")&lt;&gt;1,COUNTIFS(History_Q!$C$2:$C$1000,"capital_expenditures",History_Q!$B$2:$B$1000,(SUMIFS(History_Q!$B$2:$B$1000,History_Q!$A$2:$A$1000,D$6,History_Q!$C$2:$C$1000,"capital_expenditures")),History_Q!$E$2:$E$1000,"$m",History_Q!$G$2:$G$1000,"populated")&lt;&gt;1,COUNTIFS(History_Q!$C$2:$C$1000,"operating_cash_flow",History_Q!$B$2:$B$1000,(SUMIFS(History_Q!$B$2:$B$1000,History_Q!$A$2:$A$1000,D$6,History_Q!$C$2:$C$1000,"operating_cash_flow")-4),History_Q!$E$2:$E$1000,"$m",History_Q!$G$2:$G$1000,"populated")&lt;&gt;1,COUNTIFS(History_Q!$C$2:$C$1000,"capital_expenditures",History_Q!$B$2:$B$1000,(SUMIFS(History_Q!$B$2:$B$1000,History_Q!$A$2:$A$1000,D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D$6,History_Q!$C$2:$C$1000,"operating_cash_flow")),History_Q!$E$2:$E$1000,"$m",History_Q!$G$2:$G$1000,"populated")-SUMIFS(History_Q!$D$2:$D$1000,History_Q!$C$2:$C$1000,"capital_expenditures",History_Q!$B$2:$B$1000,(SUMIFS(History_Q!$B$2:$B$1000,History_Q!$A$2:$A$1000,D$6,History_Q!$C$2:$C$1000,"capital_expenditures")),History_Q!$E$2:$E$1000,"$m",History_Q!$G$2:$G$1000,"populated"))-(SUMIFS(History_Q!$D$2:$D$1000,History_Q!$C$2:$C$1000,"operating_cash_flow",History_Q!$B$2:$B$1000,(SUMIFS(History_Q!$B$2:$B$1000,History_Q!$A$2:$A$1000,D$6,History_Q!$C$2:$C$1000,"operating_cash_flow")-4),History_Q!$E$2:$E$1000,"$m",History_Q!$G$2:$G$1000,"populated")-SUMIFS(History_Q!$D$2:$D$1000,History_Q!$C$2:$C$1000,"capital_expenditures",History_Q!$B$2:$B$1000,(SUMIFS(History_Q!$B$2:$B$1000,History_Q!$A$2:$A$1000,D$6,History_Q!$C$2:$C$1000,"capital_expenditures")-4),History_Q!$E$2:$E$1000,"$m",History_Q!$G$2:$G$1000,"populated")))</f>
        <v/>
      </c>
      <c r="E48" s="446">
        <f>IF(OR(E$6="",COUNTIFS(History_Q!$C$2:$C$1000,"operating_cash_flow",History_Q!$B$2:$B$1000,(SUMIFS(History_Q!$B$2:$B$1000,History_Q!$A$2:$A$1000,E$6,History_Q!$C$2:$C$1000,"operating_cash_flow")),History_Q!$E$2:$E$1000,"$m",History_Q!$G$2:$G$1000,"populated")&lt;&gt;1,COUNTIFS(History_Q!$C$2:$C$1000,"capital_expenditures",History_Q!$B$2:$B$1000,(SUMIFS(History_Q!$B$2:$B$1000,History_Q!$A$2:$A$1000,E$6,History_Q!$C$2:$C$1000,"capital_expenditures")),History_Q!$E$2:$E$1000,"$m",History_Q!$G$2:$G$1000,"populated")&lt;&gt;1,COUNTIFS(History_Q!$C$2:$C$1000,"operating_cash_flow",History_Q!$B$2:$B$1000,(SUMIFS(History_Q!$B$2:$B$1000,History_Q!$A$2:$A$1000,E$6,History_Q!$C$2:$C$1000,"operating_cash_flow")-4),History_Q!$E$2:$E$1000,"$m",History_Q!$G$2:$G$1000,"populated")&lt;&gt;1,COUNTIFS(History_Q!$C$2:$C$1000,"capital_expenditures",History_Q!$B$2:$B$1000,(SUMIFS(History_Q!$B$2:$B$1000,History_Q!$A$2:$A$1000,E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E$6,History_Q!$C$2:$C$1000,"operating_cash_flow")),History_Q!$E$2:$E$1000,"$m",History_Q!$G$2:$G$1000,"populated")-SUMIFS(History_Q!$D$2:$D$1000,History_Q!$C$2:$C$1000,"capital_expenditures",History_Q!$B$2:$B$1000,(SUMIFS(History_Q!$B$2:$B$1000,History_Q!$A$2:$A$1000,E$6,History_Q!$C$2:$C$1000,"capital_expenditures")),History_Q!$E$2:$E$1000,"$m",History_Q!$G$2:$G$1000,"populated"))-(SUMIFS(History_Q!$D$2:$D$1000,History_Q!$C$2:$C$1000,"operating_cash_flow",History_Q!$B$2:$B$1000,(SUMIFS(History_Q!$B$2:$B$1000,History_Q!$A$2:$A$1000,E$6,History_Q!$C$2:$C$1000,"operating_cash_flow")-4),History_Q!$E$2:$E$1000,"$m",History_Q!$G$2:$G$1000,"populated")-SUMIFS(History_Q!$D$2:$D$1000,History_Q!$C$2:$C$1000,"capital_expenditures",History_Q!$B$2:$B$1000,(SUMIFS(History_Q!$B$2:$B$1000,History_Q!$A$2:$A$1000,E$6,History_Q!$C$2:$C$1000,"capital_expenditures")-4),History_Q!$E$2:$E$1000,"$m",History_Q!$G$2:$G$1000,"populated")))</f>
        <v/>
      </c>
      <c r="F48" s="446">
        <f>IF(OR(F$6="",COUNTIFS(History_Q!$C$2:$C$1000,"operating_cash_flow",History_Q!$B$2:$B$1000,(SUMIFS(History_Q!$B$2:$B$1000,History_Q!$A$2:$A$1000,F$6,History_Q!$C$2:$C$1000,"operating_cash_flow")),History_Q!$E$2:$E$1000,"$m",History_Q!$G$2:$G$1000,"populated")&lt;&gt;1,COUNTIFS(History_Q!$C$2:$C$1000,"capital_expenditures",History_Q!$B$2:$B$1000,(SUMIFS(History_Q!$B$2:$B$1000,History_Q!$A$2:$A$1000,F$6,History_Q!$C$2:$C$1000,"capital_expenditures")),History_Q!$E$2:$E$1000,"$m",History_Q!$G$2:$G$1000,"populated")&lt;&gt;1,COUNTIFS(History_Q!$C$2:$C$1000,"operating_cash_flow",History_Q!$B$2:$B$1000,(SUMIFS(History_Q!$B$2:$B$1000,History_Q!$A$2:$A$1000,F$6,History_Q!$C$2:$C$1000,"operating_cash_flow")-4),History_Q!$E$2:$E$1000,"$m",History_Q!$G$2:$G$1000,"populated")&lt;&gt;1,COUNTIFS(History_Q!$C$2:$C$1000,"capital_expenditures",History_Q!$B$2:$B$1000,(SUMIFS(History_Q!$B$2:$B$1000,History_Q!$A$2:$A$1000,F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F$6,History_Q!$C$2:$C$1000,"operating_cash_flow")),History_Q!$E$2:$E$1000,"$m",History_Q!$G$2:$G$1000,"populated")-SUMIFS(History_Q!$D$2:$D$1000,History_Q!$C$2:$C$1000,"capital_expenditures",History_Q!$B$2:$B$1000,(SUMIFS(History_Q!$B$2:$B$1000,History_Q!$A$2:$A$1000,F$6,History_Q!$C$2:$C$1000,"capital_expenditures")),History_Q!$E$2:$E$1000,"$m",History_Q!$G$2:$G$1000,"populated"))-(SUMIFS(History_Q!$D$2:$D$1000,History_Q!$C$2:$C$1000,"operating_cash_flow",History_Q!$B$2:$B$1000,(SUMIFS(History_Q!$B$2:$B$1000,History_Q!$A$2:$A$1000,F$6,History_Q!$C$2:$C$1000,"operating_cash_flow")-4),History_Q!$E$2:$E$1000,"$m",History_Q!$G$2:$G$1000,"populated")-SUMIFS(History_Q!$D$2:$D$1000,History_Q!$C$2:$C$1000,"capital_expenditures",History_Q!$B$2:$B$1000,(SUMIFS(History_Q!$B$2:$B$1000,History_Q!$A$2:$A$1000,F$6,History_Q!$C$2:$C$1000,"capital_expenditures")-4),History_Q!$E$2:$E$1000,"$m",History_Q!$G$2:$G$1000,"populated")))</f>
        <v/>
      </c>
      <c r="G48" s="446">
        <f>IF(OR(G$6="",COUNTIFS(History_Q!$C$2:$C$1000,"operating_cash_flow",History_Q!$B$2:$B$1000,(SUMIFS(History_Q!$B$2:$B$1000,History_Q!$A$2:$A$1000,G$6,History_Q!$C$2:$C$1000,"operating_cash_flow")),History_Q!$E$2:$E$1000,"$m",History_Q!$G$2:$G$1000,"populated")&lt;&gt;1,COUNTIFS(History_Q!$C$2:$C$1000,"capital_expenditures",History_Q!$B$2:$B$1000,(SUMIFS(History_Q!$B$2:$B$1000,History_Q!$A$2:$A$1000,G$6,History_Q!$C$2:$C$1000,"capital_expenditures")),History_Q!$E$2:$E$1000,"$m",History_Q!$G$2:$G$1000,"populated")&lt;&gt;1,COUNTIFS(History_Q!$C$2:$C$1000,"operating_cash_flow",History_Q!$B$2:$B$1000,(SUMIFS(History_Q!$B$2:$B$1000,History_Q!$A$2:$A$1000,G$6,History_Q!$C$2:$C$1000,"operating_cash_flow")-4),History_Q!$E$2:$E$1000,"$m",History_Q!$G$2:$G$1000,"populated")&lt;&gt;1,COUNTIFS(History_Q!$C$2:$C$1000,"capital_expenditures",History_Q!$B$2:$B$1000,(SUMIFS(History_Q!$B$2:$B$1000,History_Q!$A$2:$A$1000,G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G$6,History_Q!$C$2:$C$1000,"operating_cash_flow")),History_Q!$E$2:$E$1000,"$m",History_Q!$G$2:$G$1000,"populated")-SUMIFS(History_Q!$D$2:$D$1000,History_Q!$C$2:$C$1000,"capital_expenditures",History_Q!$B$2:$B$1000,(SUMIFS(History_Q!$B$2:$B$1000,History_Q!$A$2:$A$1000,G$6,History_Q!$C$2:$C$1000,"capital_expenditures")),History_Q!$E$2:$E$1000,"$m",History_Q!$G$2:$G$1000,"populated"))-(SUMIFS(History_Q!$D$2:$D$1000,History_Q!$C$2:$C$1000,"operating_cash_flow",History_Q!$B$2:$B$1000,(SUMIFS(History_Q!$B$2:$B$1000,History_Q!$A$2:$A$1000,G$6,History_Q!$C$2:$C$1000,"operating_cash_flow")-4),History_Q!$E$2:$E$1000,"$m",History_Q!$G$2:$G$1000,"populated")-SUMIFS(History_Q!$D$2:$D$1000,History_Q!$C$2:$C$1000,"capital_expenditures",History_Q!$B$2:$B$1000,(SUMIFS(History_Q!$B$2:$B$1000,History_Q!$A$2:$A$1000,G$6,History_Q!$C$2:$C$1000,"capital_expenditures")-4),History_Q!$E$2:$E$1000,"$m",History_Q!$G$2:$G$1000,"populated")))</f>
        <v/>
      </c>
      <c r="H48" s="446">
        <f>IF(OR(H$6="",COUNTIFS(History_Q!$C$2:$C$1000,"operating_cash_flow",History_Q!$B$2:$B$1000,(SUMIFS(History_Q!$B$2:$B$1000,History_Q!$A$2:$A$1000,H$6,History_Q!$C$2:$C$1000,"operating_cash_flow")),History_Q!$E$2:$E$1000,"$m",History_Q!$G$2:$G$1000,"populated")&lt;&gt;1,COUNTIFS(History_Q!$C$2:$C$1000,"capital_expenditures",History_Q!$B$2:$B$1000,(SUMIFS(History_Q!$B$2:$B$1000,History_Q!$A$2:$A$1000,H$6,History_Q!$C$2:$C$1000,"capital_expenditures")),History_Q!$E$2:$E$1000,"$m",History_Q!$G$2:$G$1000,"populated")&lt;&gt;1,COUNTIFS(History_Q!$C$2:$C$1000,"operating_cash_flow",History_Q!$B$2:$B$1000,(SUMIFS(History_Q!$B$2:$B$1000,History_Q!$A$2:$A$1000,H$6,History_Q!$C$2:$C$1000,"operating_cash_flow")-4),History_Q!$E$2:$E$1000,"$m",History_Q!$G$2:$G$1000,"populated")&lt;&gt;1,COUNTIFS(History_Q!$C$2:$C$1000,"capital_expenditures",History_Q!$B$2:$B$1000,(SUMIFS(History_Q!$B$2:$B$1000,History_Q!$A$2:$A$1000,H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H$6,History_Q!$C$2:$C$1000,"operating_cash_flow")),History_Q!$E$2:$E$1000,"$m",History_Q!$G$2:$G$1000,"populated")-SUMIFS(History_Q!$D$2:$D$1000,History_Q!$C$2:$C$1000,"capital_expenditures",History_Q!$B$2:$B$1000,(SUMIFS(History_Q!$B$2:$B$1000,History_Q!$A$2:$A$1000,H$6,History_Q!$C$2:$C$1000,"capital_expenditures")),History_Q!$E$2:$E$1000,"$m",History_Q!$G$2:$G$1000,"populated"))-(SUMIFS(History_Q!$D$2:$D$1000,History_Q!$C$2:$C$1000,"operating_cash_flow",History_Q!$B$2:$B$1000,(SUMIFS(History_Q!$B$2:$B$1000,History_Q!$A$2:$A$1000,H$6,History_Q!$C$2:$C$1000,"operating_cash_flow")-4),History_Q!$E$2:$E$1000,"$m",History_Q!$G$2:$G$1000,"populated")-SUMIFS(History_Q!$D$2:$D$1000,History_Q!$C$2:$C$1000,"capital_expenditures",History_Q!$B$2:$B$1000,(SUMIFS(History_Q!$B$2:$B$1000,History_Q!$A$2:$A$1000,H$6,History_Q!$C$2:$C$1000,"capital_expenditures")-4),History_Q!$E$2:$E$1000,"$m",History_Q!$G$2:$G$1000,"populated")))</f>
        <v/>
      </c>
      <c r="I48" s="446">
        <f>IF(OR(I$6="",COUNTIFS(History_Q!$C$2:$C$1000,"operating_cash_flow",History_Q!$B$2:$B$1000,(SUMIFS(History_Q!$B$2:$B$1000,History_Q!$A$2:$A$1000,I$6,History_Q!$C$2:$C$1000,"operating_cash_flow")),History_Q!$E$2:$E$1000,"$m",History_Q!$G$2:$G$1000,"populated")&lt;&gt;1,COUNTIFS(History_Q!$C$2:$C$1000,"capital_expenditures",History_Q!$B$2:$B$1000,(SUMIFS(History_Q!$B$2:$B$1000,History_Q!$A$2:$A$1000,I$6,History_Q!$C$2:$C$1000,"capital_expenditures")),History_Q!$E$2:$E$1000,"$m",History_Q!$G$2:$G$1000,"populated")&lt;&gt;1,COUNTIFS(History_Q!$C$2:$C$1000,"operating_cash_flow",History_Q!$B$2:$B$1000,(SUMIFS(History_Q!$B$2:$B$1000,History_Q!$A$2:$A$1000,I$6,History_Q!$C$2:$C$1000,"operating_cash_flow")-4),History_Q!$E$2:$E$1000,"$m",History_Q!$G$2:$G$1000,"populated")&lt;&gt;1,COUNTIFS(History_Q!$C$2:$C$1000,"capital_expenditures",History_Q!$B$2:$B$1000,(SUMIFS(History_Q!$B$2:$B$1000,History_Q!$A$2:$A$1000,I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I$6,History_Q!$C$2:$C$1000,"operating_cash_flow")),History_Q!$E$2:$E$1000,"$m",History_Q!$G$2:$G$1000,"populated")-SUMIFS(History_Q!$D$2:$D$1000,History_Q!$C$2:$C$1000,"capital_expenditures",History_Q!$B$2:$B$1000,(SUMIFS(History_Q!$B$2:$B$1000,History_Q!$A$2:$A$1000,I$6,History_Q!$C$2:$C$1000,"capital_expenditures")),History_Q!$E$2:$E$1000,"$m",History_Q!$G$2:$G$1000,"populated"))-(SUMIFS(History_Q!$D$2:$D$1000,History_Q!$C$2:$C$1000,"operating_cash_flow",History_Q!$B$2:$B$1000,(SUMIFS(History_Q!$B$2:$B$1000,History_Q!$A$2:$A$1000,I$6,History_Q!$C$2:$C$1000,"operating_cash_flow")-4),History_Q!$E$2:$E$1000,"$m",History_Q!$G$2:$G$1000,"populated")-SUMIFS(History_Q!$D$2:$D$1000,History_Q!$C$2:$C$1000,"capital_expenditures",History_Q!$B$2:$B$1000,(SUMIFS(History_Q!$B$2:$B$1000,History_Q!$A$2:$A$1000,I$6,History_Q!$C$2:$C$1000,"capital_expenditures")-4),History_Q!$E$2:$E$1000,"$m",History_Q!$G$2:$G$1000,"populated")))</f>
        <v/>
      </c>
      <c r="J48" s="446">
        <f>IF(OR(J$6="",COUNTIFS(History_Q!$C$2:$C$1000,"operating_cash_flow",History_Q!$B$2:$B$1000,(SUMIFS(History_Q!$B$2:$B$1000,History_Q!$A$2:$A$1000,J$6,History_Q!$C$2:$C$1000,"operating_cash_flow")),History_Q!$E$2:$E$1000,"$m",History_Q!$G$2:$G$1000,"populated")&lt;&gt;1,COUNTIFS(History_Q!$C$2:$C$1000,"capital_expenditures",History_Q!$B$2:$B$1000,(SUMIFS(History_Q!$B$2:$B$1000,History_Q!$A$2:$A$1000,J$6,History_Q!$C$2:$C$1000,"capital_expenditures")),History_Q!$E$2:$E$1000,"$m",History_Q!$G$2:$G$1000,"populated")&lt;&gt;1,COUNTIFS(History_Q!$C$2:$C$1000,"operating_cash_flow",History_Q!$B$2:$B$1000,(SUMIFS(History_Q!$B$2:$B$1000,History_Q!$A$2:$A$1000,J$6,History_Q!$C$2:$C$1000,"operating_cash_flow")-4),History_Q!$E$2:$E$1000,"$m",History_Q!$G$2:$G$1000,"populated")&lt;&gt;1,COUNTIFS(History_Q!$C$2:$C$1000,"capital_expenditures",History_Q!$B$2:$B$1000,(SUMIFS(History_Q!$B$2:$B$1000,History_Q!$A$2:$A$1000,J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J$6,History_Q!$C$2:$C$1000,"operating_cash_flow")),History_Q!$E$2:$E$1000,"$m",History_Q!$G$2:$G$1000,"populated")-SUMIFS(History_Q!$D$2:$D$1000,History_Q!$C$2:$C$1000,"capital_expenditures",History_Q!$B$2:$B$1000,(SUMIFS(History_Q!$B$2:$B$1000,History_Q!$A$2:$A$1000,J$6,History_Q!$C$2:$C$1000,"capital_expenditures")),History_Q!$E$2:$E$1000,"$m",History_Q!$G$2:$G$1000,"populated"))-(SUMIFS(History_Q!$D$2:$D$1000,History_Q!$C$2:$C$1000,"operating_cash_flow",History_Q!$B$2:$B$1000,(SUMIFS(History_Q!$B$2:$B$1000,History_Q!$A$2:$A$1000,J$6,History_Q!$C$2:$C$1000,"operating_cash_flow")-4),History_Q!$E$2:$E$1000,"$m",History_Q!$G$2:$G$1000,"populated")-SUMIFS(History_Q!$D$2:$D$1000,History_Q!$C$2:$C$1000,"capital_expenditures",History_Q!$B$2:$B$1000,(SUMIFS(History_Q!$B$2:$B$1000,History_Q!$A$2:$A$1000,J$6,History_Q!$C$2:$C$1000,"capital_expenditures")-4),History_Q!$E$2:$E$1000,"$m",History_Q!$G$2:$G$1000,"populated")))</f>
        <v/>
      </c>
      <c r="K48" s="446">
        <f>IF(OR(K$6="",COUNTIFS(History_Q!$C$2:$C$1000,"operating_cash_flow",History_Q!$B$2:$B$1000,(SUMIFS(History_Q!$B$2:$B$1000,History_Q!$A$2:$A$1000,K$6,History_Q!$C$2:$C$1000,"operating_cash_flow")),History_Q!$E$2:$E$1000,"$m",History_Q!$G$2:$G$1000,"populated")&lt;&gt;1,COUNTIFS(History_Q!$C$2:$C$1000,"capital_expenditures",History_Q!$B$2:$B$1000,(SUMIFS(History_Q!$B$2:$B$1000,History_Q!$A$2:$A$1000,K$6,History_Q!$C$2:$C$1000,"capital_expenditures")),History_Q!$E$2:$E$1000,"$m",History_Q!$G$2:$G$1000,"populated")&lt;&gt;1,COUNTIFS(History_Q!$C$2:$C$1000,"operating_cash_flow",History_Q!$B$2:$B$1000,(SUMIFS(History_Q!$B$2:$B$1000,History_Q!$A$2:$A$1000,K$6,History_Q!$C$2:$C$1000,"operating_cash_flow")-4),History_Q!$E$2:$E$1000,"$m",History_Q!$G$2:$G$1000,"populated")&lt;&gt;1,COUNTIFS(History_Q!$C$2:$C$1000,"capital_expenditures",History_Q!$B$2:$B$1000,(SUMIFS(History_Q!$B$2:$B$1000,History_Q!$A$2:$A$1000,K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K$6,History_Q!$C$2:$C$1000,"operating_cash_flow")),History_Q!$E$2:$E$1000,"$m",History_Q!$G$2:$G$1000,"populated")-SUMIFS(History_Q!$D$2:$D$1000,History_Q!$C$2:$C$1000,"capital_expenditures",History_Q!$B$2:$B$1000,(SUMIFS(History_Q!$B$2:$B$1000,History_Q!$A$2:$A$1000,K$6,History_Q!$C$2:$C$1000,"capital_expenditures")),History_Q!$E$2:$E$1000,"$m",History_Q!$G$2:$G$1000,"populated"))-(SUMIFS(History_Q!$D$2:$D$1000,History_Q!$C$2:$C$1000,"operating_cash_flow",History_Q!$B$2:$B$1000,(SUMIFS(History_Q!$B$2:$B$1000,History_Q!$A$2:$A$1000,K$6,History_Q!$C$2:$C$1000,"operating_cash_flow")-4),History_Q!$E$2:$E$1000,"$m",History_Q!$G$2:$G$1000,"populated")-SUMIFS(History_Q!$D$2:$D$1000,History_Q!$C$2:$C$1000,"capital_expenditures",History_Q!$B$2:$B$1000,(SUMIFS(History_Q!$B$2:$B$1000,History_Q!$A$2:$A$1000,K$6,History_Q!$C$2:$C$1000,"capital_expenditures")-4),History_Q!$E$2:$E$1000,"$m",History_Q!$G$2:$G$1000,"populated")))</f>
        <v/>
      </c>
      <c r="L48" s="446">
        <f>IF(OR(L$6="",COUNTIFS(History_Q!$C$2:$C$1000,"operating_cash_flow",History_Q!$B$2:$B$1000,(SUMIFS(History_Q!$B$2:$B$1000,History_Q!$A$2:$A$1000,L$6,History_Q!$C$2:$C$1000,"operating_cash_flow")),History_Q!$E$2:$E$1000,"$m",History_Q!$G$2:$G$1000,"populated")&lt;&gt;1,COUNTIFS(History_Q!$C$2:$C$1000,"capital_expenditures",History_Q!$B$2:$B$1000,(SUMIFS(History_Q!$B$2:$B$1000,History_Q!$A$2:$A$1000,L$6,History_Q!$C$2:$C$1000,"capital_expenditures")),History_Q!$E$2:$E$1000,"$m",History_Q!$G$2:$G$1000,"populated")&lt;&gt;1,COUNTIFS(History_Q!$C$2:$C$1000,"operating_cash_flow",History_Q!$B$2:$B$1000,(SUMIFS(History_Q!$B$2:$B$1000,History_Q!$A$2:$A$1000,L$6,History_Q!$C$2:$C$1000,"operating_cash_flow")-4),History_Q!$E$2:$E$1000,"$m",History_Q!$G$2:$G$1000,"populated")&lt;&gt;1,COUNTIFS(History_Q!$C$2:$C$1000,"capital_expenditures",History_Q!$B$2:$B$1000,(SUMIFS(History_Q!$B$2:$B$1000,History_Q!$A$2:$A$1000,L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L$6,History_Q!$C$2:$C$1000,"operating_cash_flow")),History_Q!$E$2:$E$1000,"$m",History_Q!$G$2:$G$1000,"populated")-SUMIFS(History_Q!$D$2:$D$1000,History_Q!$C$2:$C$1000,"capital_expenditures",History_Q!$B$2:$B$1000,(SUMIFS(History_Q!$B$2:$B$1000,History_Q!$A$2:$A$1000,L$6,History_Q!$C$2:$C$1000,"capital_expenditures")),History_Q!$E$2:$E$1000,"$m",History_Q!$G$2:$G$1000,"populated"))-(SUMIFS(History_Q!$D$2:$D$1000,History_Q!$C$2:$C$1000,"operating_cash_flow",History_Q!$B$2:$B$1000,(SUMIFS(History_Q!$B$2:$B$1000,History_Q!$A$2:$A$1000,L$6,History_Q!$C$2:$C$1000,"operating_cash_flow")-4),History_Q!$E$2:$E$1000,"$m",History_Q!$G$2:$G$1000,"populated")-SUMIFS(History_Q!$D$2:$D$1000,History_Q!$C$2:$C$1000,"capital_expenditures",History_Q!$B$2:$B$1000,(SUMIFS(History_Q!$B$2:$B$1000,History_Q!$A$2:$A$1000,L$6,History_Q!$C$2:$C$1000,"capital_expenditures")-4),History_Q!$E$2:$E$1000,"$m",History_Q!$G$2:$G$1000,"populated")))</f>
        <v/>
      </c>
      <c r="M48" s="446">
        <f>IF(OR(M$6="",COUNTIFS(History_Q!$C$2:$C$1000,"operating_cash_flow",History_Q!$B$2:$B$1000,(SUMIFS(History_Q!$B$2:$B$1000,History_Q!$A$2:$A$1000,M$6,History_Q!$C$2:$C$1000,"operating_cash_flow")),History_Q!$E$2:$E$1000,"$m",History_Q!$G$2:$G$1000,"populated")&lt;&gt;1,COUNTIFS(History_Q!$C$2:$C$1000,"capital_expenditures",History_Q!$B$2:$B$1000,(SUMIFS(History_Q!$B$2:$B$1000,History_Q!$A$2:$A$1000,M$6,History_Q!$C$2:$C$1000,"capital_expenditures")),History_Q!$E$2:$E$1000,"$m",History_Q!$G$2:$G$1000,"populated")&lt;&gt;1,COUNTIFS(History_Q!$C$2:$C$1000,"operating_cash_flow",History_Q!$B$2:$B$1000,(SUMIFS(History_Q!$B$2:$B$1000,History_Q!$A$2:$A$1000,M$6,History_Q!$C$2:$C$1000,"operating_cash_flow")-4),History_Q!$E$2:$E$1000,"$m",History_Q!$G$2:$G$1000,"populated")&lt;&gt;1,COUNTIFS(History_Q!$C$2:$C$1000,"capital_expenditures",History_Q!$B$2:$B$1000,(SUMIFS(History_Q!$B$2:$B$1000,History_Q!$A$2:$A$1000,M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M$6,History_Q!$C$2:$C$1000,"operating_cash_flow")),History_Q!$E$2:$E$1000,"$m",History_Q!$G$2:$G$1000,"populated")-SUMIFS(History_Q!$D$2:$D$1000,History_Q!$C$2:$C$1000,"capital_expenditures",History_Q!$B$2:$B$1000,(SUMIFS(History_Q!$B$2:$B$1000,History_Q!$A$2:$A$1000,M$6,History_Q!$C$2:$C$1000,"capital_expenditures")),History_Q!$E$2:$E$1000,"$m",History_Q!$G$2:$G$1000,"populated"))-(SUMIFS(History_Q!$D$2:$D$1000,History_Q!$C$2:$C$1000,"operating_cash_flow",History_Q!$B$2:$B$1000,(SUMIFS(History_Q!$B$2:$B$1000,History_Q!$A$2:$A$1000,M$6,History_Q!$C$2:$C$1000,"operating_cash_flow")-4),History_Q!$E$2:$E$1000,"$m",History_Q!$G$2:$G$1000,"populated")-SUMIFS(History_Q!$D$2:$D$1000,History_Q!$C$2:$C$1000,"capital_expenditures",History_Q!$B$2:$B$1000,(SUMIFS(History_Q!$B$2:$B$1000,History_Q!$A$2:$A$1000,M$6,History_Q!$C$2:$C$1000,"capital_expenditures")-4),History_Q!$E$2:$E$1000,"$m",History_Q!$G$2:$G$1000,"populated")))</f>
        <v/>
      </c>
      <c r="N48" s="22" t="n"/>
      <c r="O48" s="444" t="inlineStr">
        <is>
          <t>Thesis Bridge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446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</f>
        <v/>
      </c>
      <c r="C49" s="446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</f>
        <v/>
      </c>
      <c r="D49" s="446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</f>
        <v/>
      </c>
      <c r="E49" s="446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</f>
        <v/>
      </c>
      <c r="F49" s="446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</f>
        <v/>
      </c>
      <c r="G49" s="446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</f>
        <v/>
      </c>
      <c r="H49" s="446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</f>
        <v/>
      </c>
      <c r="I49" s="446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</f>
        <v/>
      </c>
      <c r="J49" s="446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</f>
        <v/>
      </c>
      <c r="K49" s="446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</f>
        <v/>
      </c>
      <c r="L49" s="446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</f>
        <v/>
      </c>
      <c r="M49" s="446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</f>
        <v/>
      </c>
      <c r="N49" s="22" t="n"/>
      <c r="O49" s="449" t="inlineStr">
        <is>
          <t>Quick valuation bridge; no market price required.</t>
        </is>
      </c>
      <c r="P49" s="47" t="n"/>
      <c r="Q49" s="47" t="n"/>
      <c r="R49" s="47" t="n"/>
      <c r="S49" s="47" t="n"/>
      <c r="T49" s="46" t="n"/>
      <c r="U49" s="52" t="inlineStr"/>
      <c r="V49" s="47" t="n"/>
      <c r="W49" s="46" t="n"/>
      <c r="X49" s="52" t="inlineStr"/>
      <c r="Y49" s="47" t="n"/>
      <c r="Z49" s="47" t="n"/>
      <c r="AA49" s="47" t="n"/>
      <c r="AB49" s="47" t="n"/>
      <c r="AC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446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COUNTIFS(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3,COUNTIFS(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))</f>
        <v/>
      </c>
      <c r="C50" s="446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COUNTIFS(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3,COUNTIFS(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))</f>
        <v/>
      </c>
      <c r="D50" s="446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COUNTIFS(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3,COUNTIFS(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))</f>
        <v/>
      </c>
      <c r="E50" s="446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COUNTIFS(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3,COUNTIFS(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))</f>
        <v/>
      </c>
      <c r="F50" s="446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COUNTIFS(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3,COUNTIFS(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))</f>
        <v/>
      </c>
      <c r="G50" s="446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COUNTIFS(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3,COUNTIFS(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))</f>
        <v/>
      </c>
      <c r="H50" s="446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COUNTIFS(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3,COUNTIFS(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))</f>
        <v/>
      </c>
      <c r="I50" s="446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COUNTIFS(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3,COUNTIFS(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))</f>
        <v/>
      </c>
      <c r="J50" s="446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COUNTIFS(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3,COUNTIFS(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))</f>
        <v/>
      </c>
      <c r="K50" s="446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COUNTIFS(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3,COUNTIFS(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))</f>
        <v/>
      </c>
      <c r="L50" s="446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COUNTIFS(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3,COUNTIFS(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))</f>
        <v/>
      </c>
      <c r="M50" s="446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COUNTIFS(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3,COUNTIFS(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4,MAX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-MIN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))</f>
        <v/>
      </c>
      <c r="N50" s="22" t="n"/>
      <c r="O50" s="449" t="inlineStr">
        <is>
          <t>Bridge item</t>
        </is>
      </c>
      <c r="P50" s="47" t="n"/>
      <c r="Q50" s="47" t="n"/>
      <c r="R50" s="47" t="n"/>
      <c r="S50" s="47" t="n"/>
      <c r="T50" s="46" t="n"/>
      <c r="U50" s="449" t="inlineStr">
        <is>
          <t>Value</t>
        </is>
      </c>
      <c r="V50" s="47" t="n"/>
      <c r="W50" s="46" t="n"/>
      <c r="X50" s="449" t="inlineStr">
        <is>
          <t>Notes</t>
        </is>
      </c>
      <c r="Y50" s="47" t="n"/>
      <c r="Z50" s="47" t="n"/>
      <c r="AA50" s="47" t="n"/>
      <c r="AB50" s="47" t="n"/>
      <c r="AC50" s="46" t="n"/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7" t="n"/>
      <c r="Q51" s="47" t="n"/>
      <c r="R51" s="47" t="n"/>
      <c r="S51" s="47" t="n"/>
      <c r="T51" s="46" t="n"/>
      <c r="U51" s="451" t="n"/>
      <c r="V51" s="47" t="n"/>
      <c r="W51" s="46" t="n"/>
      <c r="X51" s="52" t="n"/>
      <c r="Y51" s="47" t="n"/>
      <c r="Z51" s="47" t="n"/>
      <c r="AA51" s="47" t="n"/>
      <c r="AB51" s="47" t="n"/>
      <c r="AC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7" t="n"/>
      <c r="Q52" s="47" t="n"/>
      <c r="R52" s="47" t="n"/>
      <c r="S52" s="47" t="n"/>
      <c r="T52" s="46" t="n"/>
      <c r="U52" s="352" t="n"/>
      <c r="V52" s="47" t="n"/>
      <c r="W52" s="46" t="n"/>
      <c r="X52" s="53" t="n"/>
      <c r="Y52" s="47" t="n"/>
      <c r="Z52" s="47" t="n"/>
      <c r="AA52" s="47" t="n"/>
      <c r="AB52" s="47" t="n"/>
      <c r="AC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7" t="n"/>
      <c r="Q53" s="47" t="n"/>
      <c r="R53" s="47" t="n"/>
      <c r="S53" s="47" t="n"/>
      <c r="T53" s="46" t="n"/>
      <c r="U53" s="451" t="n"/>
      <c r="V53" s="47" t="n"/>
      <c r="W53" s="46" t="n"/>
      <c r="X53" s="52" t="n"/>
      <c r="Y53" s="47" t="n"/>
      <c r="Z53" s="47" t="n"/>
      <c r="AA53" s="47" t="n"/>
      <c r="AB53" s="47" t="n"/>
      <c r="AC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7" t="n"/>
      <c r="Q54" s="47" t="n"/>
      <c r="R54" s="47" t="n"/>
      <c r="S54" s="47" t="n"/>
      <c r="T54" s="46" t="n"/>
      <c r="U54" s="352" t="n"/>
      <c r="V54" s="47" t="n"/>
      <c r="W54" s="46" t="n"/>
      <c r="X54" s="53" t="n"/>
      <c r="Y54" s="47" t="n"/>
      <c r="Z54" s="47" t="n"/>
      <c r="AA54" s="47" t="n"/>
      <c r="AB54" s="47" t="n"/>
      <c r="AC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7" t="n"/>
      <c r="Q55" s="47" t="n"/>
      <c r="R55" s="47" t="n"/>
      <c r="S55" s="47" t="n"/>
      <c r="T55" s="46" t="n"/>
      <c r="U55" s="452" t="n"/>
      <c r="V55" s="47" t="n"/>
      <c r="W55" s="46" t="n"/>
      <c r="X55" s="52" t="n"/>
      <c r="Y55" s="47" t="n"/>
      <c r="Z55" s="47" t="n"/>
      <c r="AA55" s="47" t="n"/>
      <c r="AB55" s="47" t="n"/>
      <c r="AC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7" t="n"/>
      <c r="Q56" s="47" t="n"/>
      <c r="R56" s="47" t="n"/>
      <c r="S56" s="47" t="n"/>
      <c r="T56" s="46" t="n"/>
      <c r="U56" s="453" t="n"/>
      <c r="V56" s="47" t="n"/>
      <c r="W56" s="46" t="n"/>
      <c r="X56" s="53" t="n"/>
      <c r="Y56" s="47" t="n"/>
      <c r="Z56" s="47" t="n"/>
      <c r="AA56" s="47" t="n"/>
      <c r="AB56" s="47" t="n"/>
      <c r="AC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447">
        <f>IF(OR(B47="",B9="",B9=0),"",B47/B9)</f>
        <v/>
      </c>
      <c r="C57" s="447">
        <f>IF(OR(C47="",C9="",C9=0),"",C47/C9)</f>
        <v/>
      </c>
      <c r="D57" s="447">
        <f>IF(OR(D47="",D9="",D9=0),"",D47/D9)</f>
        <v/>
      </c>
      <c r="E57" s="447">
        <f>IF(OR(E47="",E9="",E9=0),"",E47/E9)</f>
        <v/>
      </c>
      <c r="F57" s="447">
        <f>IF(OR(F47="",F9="",F9=0),"",F47/F9)</f>
        <v/>
      </c>
      <c r="G57" s="447">
        <f>IF(OR(G47="",G9="",G9=0),"",G47/G9)</f>
        <v/>
      </c>
      <c r="H57" s="447">
        <f>IF(OR(H47="",H9="",H9=0),"",H47/H9)</f>
        <v/>
      </c>
      <c r="I57" s="447">
        <f>IF(OR(I47="",I9="",I9=0),"",I47/I9)</f>
        <v/>
      </c>
      <c r="J57" s="447">
        <f>IF(OR(J47="",J9="",J9=0),"",J47/J9)</f>
        <v/>
      </c>
      <c r="K57" s="447">
        <f>IF(OR(K47="",K9="",K9=0),"",K47/K9)</f>
        <v/>
      </c>
      <c r="L57" s="447">
        <f>IF(OR(L47="",L9="",L9=0),"",L47/L9)</f>
        <v/>
      </c>
      <c r="M57" s="447">
        <f>IF(OR(M47="",M9="",M9=0),"",M47/M9)</f>
        <v/>
      </c>
      <c r="N57" s="22" t="n"/>
      <c r="O57" s="52" t="n"/>
      <c r="P57" s="47" t="n"/>
      <c r="Q57" s="47" t="n"/>
      <c r="R57" s="47" t="n"/>
      <c r="S57" s="47" t="n"/>
      <c r="T57" s="46" t="n"/>
      <c r="U57" s="453" t="n"/>
      <c r="V57" s="47" t="n"/>
      <c r="W57" s="46" t="n"/>
      <c r="X57" s="52" t="n"/>
      <c r="Y57" s="47" t="n"/>
      <c r="Z57" s="47" t="n"/>
      <c r="AA57" s="47" t="n"/>
      <c r="AB57" s="47" t="n"/>
      <c r="AC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447">
        <f>IF(OR(B49="",B10="",B10=0),"",B49/B10)</f>
        <v/>
      </c>
      <c r="C58" s="447">
        <f>IF(OR(C49="",C10="",C10=0),"",C49/C10)</f>
        <v/>
      </c>
      <c r="D58" s="447">
        <f>IF(OR(D49="",D10="",D10=0),"",D49/D10)</f>
        <v/>
      </c>
      <c r="E58" s="447">
        <f>IF(OR(E49="",E10="",E10=0),"",E49/E10)</f>
        <v/>
      </c>
      <c r="F58" s="447">
        <f>IF(OR(F49="",F10="",F10=0),"",F49/F10)</f>
        <v/>
      </c>
      <c r="G58" s="447">
        <f>IF(OR(G49="",G10="",G10=0),"",G49/G10)</f>
        <v/>
      </c>
      <c r="H58" s="447">
        <f>IF(OR(H49="",H10="",H10=0),"",H49/H10)</f>
        <v/>
      </c>
      <c r="I58" s="447">
        <f>IF(OR(I49="",I10="",I10=0),"",I49/I10)</f>
        <v/>
      </c>
      <c r="J58" s="447">
        <f>IF(OR(J49="",J10="",J10=0),"",J49/J10)</f>
        <v/>
      </c>
      <c r="K58" s="447">
        <f>IF(OR(K49="",K10="",K10=0),"",K49/K10)</f>
        <v/>
      </c>
      <c r="L58" s="447">
        <f>IF(OR(L49="",L10="",L10=0),"",L49/L10)</f>
        <v/>
      </c>
      <c r="M58" s="447">
        <f>IF(OR(M49="",M10="",M10=0),"",M49/M10)</f>
        <v/>
      </c>
      <c r="N58" s="22" t="n"/>
      <c r="O58" s="53" t="n"/>
      <c r="P58" s="47" t="n"/>
      <c r="Q58" s="47" t="n"/>
      <c r="R58" s="47" t="n"/>
      <c r="S58" s="47" t="n"/>
      <c r="T58" s="46" t="n"/>
      <c r="U58" s="454" t="n"/>
      <c r="V58" s="47" t="n"/>
      <c r="W58" s="46" t="n"/>
      <c r="X58" s="53" t="n"/>
      <c r="Y58" s="47" t="n"/>
      <c r="Z58" s="47" t="n"/>
      <c r="AA58" s="47" t="n"/>
      <c r="AB58" s="47" t="n"/>
      <c r="AC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445" t="n"/>
      <c r="C59" s="445" t="n"/>
      <c r="D59" s="445" t="n"/>
      <c r="E59" s="445" t="n"/>
      <c r="F59" s="445" t="n"/>
      <c r="G59" s="445" t="n"/>
      <c r="H59" s="445" t="n"/>
      <c r="I59" s="445" t="n"/>
      <c r="J59" s="445" t="n"/>
      <c r="K59" s="445" t="n"/>
      <c r="L59" s="445" t="n"/>
      <c r="M59" s="445" t="n"/>
      <c r="N59" s="22" t="n"/>
      <c r="O59" s="52" t="n"/>
      <c r="P59" s="47" t="n"/>
      <c r="Q59" s="47" t="n"/>
      <c r="R59" s="47" t="n"/>
      <c r="S59" s="47" t="n"/>
      <c r="T59" s="46" t="n"/>
      <c r="U59" s="451" t="n"/>
      <c r="V59" s="47" t="n"/>
      <c r="W59" s="46" t="n"/>
      <c r="X59" s="52" t="n"/>
      <c r="Y59" s="47" t="n"/>
      <c r="Z59" s="47" t="n"/>
      <c r="AA59" s="47" t="n"/>
      <c r="AB59" s="47" t="n"/>
      <c r="AC59" s="46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n"/>
      <c r="P60" s="47" t="n"/>
      <c r="Q60" s="47" t="n"/>
      <c r="R60" s="47" t="n"/>
      <c r="S60" s="47" t="n"/>
      <c r="T60" s="46" t="n"/>
      <c r="U60" s="454" t="n"/>
      <c r="V60" s="47" t="n"/>
      <c r="W60" s="46" t="n"/>
      <c r="X60" s="53" t="n"/>
      <c r="Y60" s="47" t="n"/>
      <c r="Z60" s="47" t="n"/>
      <c r="AA60" s="47" t="n"/>
      <c r="AB60" s="47" t="n"/>
      <c r="AC60" s="46" t="n"/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n"/>
      <c r="P61" s="47" t="n"/>
      <c r="Q61" s="47" t="n"/>
      <c r="R61" s="47" t="n"/>
      <c r="S61" s="47" t="n"/>
      <c r="T61" s="46" t="n"/>
      <c r="U61" s="455" t="n"/>
      <c r="V61" s="47" t="n"/>
      <c r="W61" s="46" t="n"/>
      <c r="X61" s="52" t="n"/>
      <c r="Y61" s="47" t="n"/>
      <c r="Z61" s="47" t="n"/>
      <c r="AA61" s="47" t="n"/>
      <c r="AB61" s="47" t="n"/>
      <c r="AC61" s="46" t="n"/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445" t="n"/>
      <c r="C62" s="445" t="n"/>
      <c r="D62" s="445" t="n"/>
      <c r="E62" s="445" t="n"/>
      <c r="F62" s="445" t="n"/>
      <c r="G62" s="445" t="n"/>
      <c r="H62" s="445" t="n"/>
      <c r="I62" s="445" t="n"/>
      <c r="J62" s="445" t="n"/>
      <c r="K62" s="445" t="n"/>
      <c r="L62" s="445" t="n"/>
      <c r="M62" s="445" t="n"/>
      <c r="N62" s="22" t="n"/>
      <c r="O62" s="53" t="n"/>
      <c r="P62" s="47" t="n"/>
      <c r="Q62" s="47" t="n"/>
      <c r="R62" s="47" t="n"/>
      <c r="S62" s="47" t="n"/>
      <c r="T62" s="46" t="n"/>
      <c r="U62" s="456" t="n"/>
      <c r="V62" s="47" t="n"/>
      <c r="W62" s="46" t="n"/>
      <c r="X62" s="53" t="n"/>
      <c r="Y62" s="47" t="n"/>
      <c r="Z62" s="47" t="n"/>
      <c r="AA62" s="47" t="n"/>
      <c r="AB62" s="47" t="n"/>
      <c r="AC62" s="46" t="n"/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446">
        <f>IF(OR(B$6="",COUNTIFS(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4,MAX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-MIN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)</f>
        <v/>
      </c>
      <c r="C63" s="446">
        <f>IF(OR(C$6="",COUNTIFS(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4,MAX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-MIN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)</f>
        <v/>
      </c>
      <c r="D63" s="446">
        <f>IF(OR(D$6="",COUNTIFS(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4,MAX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-MIN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)</f>
        <v/>
      </c>
      <c r="E63" s="446">
        <f>IF(OR(E$6="",COUNTIFS(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4,MAX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-MIN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)</f>
        <v/>
      </c>
      <c r="F63" s="446">
        <f>IF(OR(F$6="",COUNTIFS(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4,MAX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-MIN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)</f>
        <v/>
      </c>
      <c r="G63" s="446">
        <f>IF(OR(G$6="",COUNTIFS(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4,MAX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-MIN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)</f>
        <v/>
      </c>
      <c r="H63" s="446">
        <f>IF(OR(H$6="",COUNTIFS(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4,MAX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-MIN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)</f>
        <v/>
      </c>
      <c r="I63" s="446">
        <f>IF(OR(I$6="",COUNTIFS(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4,MAX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-MIN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)</f>
        <v/>
      </c>
      <c r="J63" s="446">
        <f>IF(OR(J$6="",COUNTIFS(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4,MAX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-MIN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)</f>
        <v/>
      </c>
      <c r="K63" s="446">
        <f>IF(OR(K$6="",COUNTIFS(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4,MAX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-MIN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)</f>
        <v/>
      </c>
      <c r="L63" s="446">
        <f>IF(OR(L$6="",COUNTIFS(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4,MAX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-MIN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)</f>
        <v/>
      </c>
      <c r="M63" s="446">
        <f>IF(OR(M$6="",COUNTIFS(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4,MAX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-MIN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)</f>
        <v/>
      </c>
      <c r="N63" s="22" t="n"/>
      <c r="O63" s="449" t="inlineStr">
        <is>
          <t>Output</t>
        </is>
      </c>
      <c r="P63" s="47" t="n"/>
      <c r="Q63" s="47" t="n"/>
      <c r="R63" s="47" t="n"/>
      <c r="S63" s="47" t="n"/>
      <c r="T63" s="46" t="n"/>
      <c r="U63" s="449" t="inlineStr">
        <is>
          <t>Value</t>
        </is>
      </c>
      <c r="V63" s="47" t="n"/>
      <c r="W63" s="46" t="n"/>
      <c r="X63" s="449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446">
        <f>IF(OR(B$6="",COUNTIFS(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4,MAX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-MIN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)</f>
        <v/>
      </c>
      <c r="C64" s="446">
        <f>IF(OR(C$6="",COUNTIFS(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4,MAX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-MIN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)</f>
        <v/>
      </c>
      <c r="D64" s="446">
        <f>IF(OR(D$6="",COUNTIFS(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4,MAX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-MIN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)</f>
        <v/>
      </c>
      <c r="E64" s="446">
        <f>IF(OR(E$6="",COUNTIFS(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4,MAX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-MIN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)</f>
        <v/>
      </c>
      <c r="F64" s="446">
        <f>IF(OR(F$6="",COUNTIFS(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4,MAX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-MIN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)</f>
        <v/>
      </c>
      <c r="G64" s="446">
        <f>IF(OR(G$6="",COUNTIFS(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4,MAX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-MIN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)</f>
        <v/>
      </c>
      <c r="H64" s="446">
        <f>IF(OR(H$6="",COUNTIFS(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4,MAX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-MIN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)</f>
        <v/>
      </c>
      <c r="I64" s="446">
        <f>IF(OR(I$6="",COUNTIFS(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4,MAX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-MIN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)</f>
        <v/>
      </c>
      <c r="J64" s="446">
        <f>IF(OR(J$6="",COUNTIFS(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4,MAX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-MIN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)</f>
        <v/>
      </c>
      <c r="K64" s="446">
        <f>IF(OR(K$6="",COUNTIFS(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4,MAX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-MIN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)</f>
        <v/>
      </c>
      <c r="L64" s="446">
        <f>IF(OR(L$6="",COUNTIFS(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4,MAX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-MIN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)</f>
        <v/>
      </c>
      <c r="M64" s="446">
        <f>IF(OR(M$6="",COUNTIFS(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4,MAX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-MIN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)</f>
        <v/>
      </c>
      <c r="N64" s="22" t="n"/>
      <c r="O64" s="52" t="inlineStr">
        <is>
          <t>Adjusted EBITDA TTM</t>
        </is>
      </c>
      <c r="P64" s="47" t="n"/>
      <c r="Q64" s="47" t="n"/>
      <c r="R64" s="47" t="n"/>
      <c r="S64" s="47" t="n"/>
      <c r="T64" s="46" t="n"/>
      <c r="U64" s="457">
        <f>IF(Adj_EBITDA="","",Adj_EBITDA)</f>
        <v/>
      </c>
      <c r="V64" s="47" t="n"/>
      <c r="W64" s="46" t="n"/>
      <c r="X64" s="52" t="inlineStr">
        <is>
          <t>Adjusted EBITDA TTM base</t>
        </is>
      </c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446">
        <f>IF(OR(B$6="",COUNTIFS(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-MIN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)</f>
        <v/>
      </c>
      <c r="C65" s="446">
        <f>IF(OR(C$6="",COUNTIFS(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-MIN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)</f>
        <v/>
      </c>
      <c r="D65" s="446">
        <f>IF(OR(D$6="",COUNTIFS(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-MIN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)</f>
        <v/>
      </c>
      <c r="E65" s="446">
        <f>IF(OR(E$6="",COUNTIFS(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-MIN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)</f>
        <v/>
      </c>
      <c r="F65" s="446">
        <f>IF(OR(F$6="",COUNTIFS(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-MIN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)</f>
        <v/>
      </c>
      <c r="G65" s="446">
        <f>IF(OR(G$6="",COUNTIFS(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-MIN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)</f>
        <v/>
      </c>
      <c r="H65" s="446">
        <f>IF(OR(H$6="",COUNTIFS(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-MIN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)</f>
        <v/>
      </c>
      <c r="I65" s="446">
        <f>IF(OR(I$6="",COUNTIFS(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-MIN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)</f>
        <v/>
      </c>
      <c r="J65" s="446">
        <f>IF(OR(J$6="",COUNTIFS(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-MIN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)</f>
        <v/>
      </c>
      <c r="K65" s="446">
        <f>IF(OR(K$6="",COUNTIFS(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-MIN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)</f>
        <v/>
      </c>
      <c r="L65" s="446">
        <f>IF(OR(L$6="",COUNTIFS(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-MIN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)</f>
        <v/>
      </c>
      <c r="M65" s="446">
        <f>IF(OR(M$6="",COUNTIFS(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4,MAX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-MIN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)</f>
        <v/>
      </c>
      <c r="N65" s="22" t="n"/>
      <c r="O65" s="53" t="inlineStr">
        <is>
          <t>FCF TTM</t>
        </is>
      </c>
      <c r="P65" s="47" t="n"/>
      <c r="Q65" s="47" t="n"/>
      <c r="R65" s="47" t="n"/>
      <c r="S65" s="47" t="n"/>
      <c r="T65" s="46" t="n"/>
      <c r="U65" s="458">
        <f>IF(FCF_TTM="","",FCF_TTM)</f>
        <v/>
      </c>
      <c r="V65" s="47" t="n"/>
      <c r="W65" s="46" t="n"/>
      <c r="X65" s="53" t="inlineStr">
        <is>
          <t>FCF TTM base</t>
        </is>
      </c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446">
        <f>IF(OR(B$6="",COUNTIFS(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4,MAX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-MIN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)</f>
        <v/>
      </c>
      <c r="C66" s="446">
        <f>IF(OR(C$6="",COUNTIFS(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4,MAX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-MIN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)</f>
        <v/>
      </c>
      <c r="D66" s="446">
        <f>IF(OR(D$6="",COUNTIFS(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4,MAX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-MIN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)</f>
        <v/>
      </c>
      <c r="E66" s="446">
        <f>IF(OR(E$6="",COUNTIFS(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4,MAX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-MIN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)</f>
        <v/>
      </c>
      <c r="F66" s="446">
        <f>IF(OR(F$6="",COUNTIFS(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4,MAX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-MIN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)</f>
        <v/>
      </c>
      <c r="G66" s="446">
        <f>IF(OR(G$6="",COUNTIFS(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4,MAX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-MIN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)</f>
        <v/>
      </c>
      <c r="H66" s="446">
        <f>IF(OR(H$6="",COUNTIFS(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4,MAX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-MIN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)</f>
        <v/>
      </c>
      <c r="I66" s="446">
        <f>IF(OR(I$6="",COUNTIFS(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4,MAX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-MIN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)</f>
        <v/>
      </c>
      <c r="J66" s="446">
        <f>IF(OR(J$6="",COUNTIFS(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4,MAX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-MIN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)</f>
        <v/>
      </c>
      <c r="K66" s="446">
        <f>IF(OR(K$6="",COUNTIFS(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4,MAX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-MIN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)</f>
        <v/>
      </c>
      <c r="L66" s="446">
        <f>IF(OR(L$6="",COUNTIFS(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4,MAX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-MIN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)</f>
        <v/>
      </c>
      <c r="M66" s="446">
        <f>IF(OR(M$6="",COUNTIFS(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4,MAX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-MIN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)</f>
        <v/>
      </c>
      <c r="N66" s="22" t="n"/>
      <c r="O66" s="52" t="inlineStr">
        <is>
          <t>Diluted EPS (GAAP, TTM)</t>
        </is>
      </c>
      <c r="P66" s="47" t="n"/>
      <c r="Q66" s="47" t="n"/>
      <c r="R66" s="47" t="n"/>
      <c r="S66" s="47" t="n"/>
      <c r="T66" s="46" t="n"/>
      <c r="U66" s="457">
        <f>IF(EPS_TTM="","",EPS_TTM)</f>
        <v/>
      </c>
      <c r="V66" s="47" t="n"/>
      <c r="W66" s="46" t="n"/>
      <c r="X66" s="52" t="inlineStr">
        <is>
          <t>Guided midpoint</t>
        </is>
      </c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446">
        <f>IF(OR(B$6="",COUNTIFS(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4,MAX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-MIN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)</f>
        <v/>
      </c>
      <c r="C67" s="446">
        <f>IF(OR(C$6="",COUNTIFS(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4,MAX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-MIN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)</f>
        <v/>
      </c>
      <c r="D67" s="446">
        <f>IF(OR(D$6="",COUNTIFS(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4,MAX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-MIN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)</f>
        <v/>
      </c>
      <c r="E67" s="446">
        <f>IF(OR(E$6="",COUNTIFS(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4,MAX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-MIN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)</f>
        <v/>
      </c>
      <c r="F67" s="446">
        <f>IF(OR(F$6="",COUNTIFS(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4,MAX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-MIN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)</f>
        <v/>
      </c>
      <c r="G67" s="446">
        <f>IF(OR(G$6="",COUNTIFS(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4,MAX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-MIN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)</f>
        <v/>
      </c>
      <c r="H67" s="446">
        <f>IF(OR(H$6="",COUNTIFS(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4,MAX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-MIN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)</f>
        <v/>
      </c>
      <c r="I67" s="446">
        <f>IF(OR(I$6="",COUNTIFS(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4,MAX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-MIN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)</f>
        <v/>
      </c>
      <c r="J67" s="446">
        <f>IF(OR(J$6="",COUNTIFS(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4,MAX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-MIN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)</f>
        <v/>
      </c>
      <c r="K67" s="446">
        <f>IF(OR(K$6="",COUNTIFS(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4,MAX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-MIN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)</f>
        <v/>
      </c>
      <c r="L67" s="446">
        <f>IF(OR(L$6="",COUNTIFS(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4,MAX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-MIN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)</f>
        <v/>
      </c>
      <c r="M67" s="446">
        <f>IF(OR(M$6="",COUNTIFS(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4,MAX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-MIN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)</f>
        <v/>
      </c>
      <c r="N67" s="22" t="n"/>
      <c r="O67" s="53" t="inlineStr">
        <is>
          <t>EV @ target EV/Adjusted EBITDA</t>
        </is>
      </c>
      <c r="P67" s="47" t="n"/>
      <c r="Q67" s="47" t="n"/>
      <c r="R67" s="47" t="n"/>
      <c r="S67" s="47" t="n"/>
      <c r="T67" s="46" t="n"/>
      <c r="U67" s="458">
        <f>IF(OR(Adj_EBITDA="",Target_EV_AdjEBITDA=""),"",Adj_EBITDA*Target_EV_AdjEBITDA)</f>
        <v/>
      </c>
      <c r="V67" s="47" t="n"/>
      <c r="W67" s="46" t="n"/>
      <c r="X67" s="53" t="inlineStr">
        <is>
          <t>Adjusted EBITDA × EV multiple</t>
        </is>
      </c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inlineStr">
        <is>
          <t>Equity value @ target EV/Adjusted EBITDA</t>
        </is>
      </c>
      <c r="P68" s="47" t="n"/>
      <c r="Q68" s="47" t="n"/>
      <c r="R68" s="47" t="n"/>
      <c r="S68" s="47" t="n"/>
      <c r="T68" s="46" t="n"/>
      <c r="U68" s="457">
        <f>IF(OR(U67="",NetDebt=""),"",U67-NetDebt)</f>
        <v/>
      </c>
      <c r="V68" s="47" t="n"/>
      <c r="W68" s="46" t="n"/>
      <c r="X68" s="52" t="inlineStr">
        <is>
          <t>Uses core net cash</t>
        </is>
      </c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inlineStr">
        <is>
          <t>EV @ target EV/EBITDA</t>
        </is>
      </c>
      <c r="P69" s="47" t="n"/>
      <c r="Q69" s="47" t="n"/>
      <c r="R69" s="47" t="n"/>
      <c r="S69" s="47" t="n"/>
      <c r="T69" s="46" t="n"/>
      <c r="U69" s="458">
        <f>IF(OR(Base_EBITDA="",Target_EV_EBITDA=""),"",Base_EBITDA*Target_EV_EBITDA)</f>
        <v/>
      </c>
      <c r="V69" s="47" t="n"/>
      <c r="W69" s="46" t="n"/>
      <c r="X69" s="53" t="inlineStr">
        <is>
          <t>per-share earnings × P/E × diluted shares</t>
        </is>
      </c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445" t="n"/>
      <c r="C70" s="445" t="n"/>
      <c r="D70" s="445" t="n"/>
      <c r="E70" s="445" t="n"/>
      <c r="F70" s="445" t="n"/>
      <c r="G70" s="445" t="n"/>
      <c r="H70" s="445" t="n"/>
      <c r="I70" s="445" t="n"/>
      <c r="J70" s="445" t="n"/>
      <c r="K70" s="445" t="n"/>
      <c r="L70" s="445" t="n"/>
      <c r="M70" s="445" t="n"/>
      <c r="N70" s="22" t="n"/>
      <c r="O70" s="52" t="inlineStr">
        <is>
          <t>Equity value @ target EV/EBITDA</t>
        </is>
      </c>
      <c r="P70" s="47" t="n"/>
      <c r="Q70" s="47" t="n"/>
      <c r="R70" s="47" t="n"/>
      <c r="S70" s="47" t="n"/>
      <c r="T70" s="46" t="n"/>
      <c r="U70" s="457">
        <f>IF(OR(U69="",NetDebt=""),"",U69-NetDebt)</f>
        <v/>
      </c>
      <c r="V70" s="47" t="n"/>
      <c r="W70" s="46" t="n"/>
      <c r="X70" s="52" t="inlineStr">
        <is>
          <t>FCF / yield</t>
        </is>
      </c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445" t="n"/>
      <c r="C71" s="445" t="n"/>
      <c r="D71" s="445" t="n"/>
      <c r="E71" s="445" t="n"/>
      <c r="F71" s="445" t="n"/>
      <c r="G71" s="445" t="n"/>
      <c r="H71" s="445" t="n"/>
      <c r="I71" s="445" t="n"/>
      <c r="J71" s="445" t="n"/>
      <c r="K71" s="445" t="n"/>
      <c r="L71" s="445" t="n"/>
      <c r="M71" s="445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445" t="n"/>
      <c r="C72" s="445" t="n"/>
      <c r="D72" s="445" t="n"/>
      <c r="E72" s="445" t="n"/>
      <c r="F72" s="445" t="n"/>
      <c r="G72" s="445" t="n"/>
      <c r="H72" s="445" t="n"/>
      <c r="I72" s="445" t="n"/>
      <c r="J72" s="445" t="n"/>
      <c r="K72" s="445" t="n"/>
      <c r="L72" s="445" t="n"/>
      <c r="M72" s="445" t="n"/>
      <c r="N72" s="22" t="n"/>
      <c r="O72" s="52" t="inlineStr">
        <is>
          <t>Per-share valuation outputs</t>
        </is>
      </c>
      <c r="P72" s="47" t="n"/>
      <c r="Q72" s="47" t="n"/>
      <c r="R72" s="47" t="n"/>
      <c r="S72" s="47" t="n"/>
      <c r="T72" s="46" t="n"/>
      <c r="U72" s="357">
        <f>TEXT(MIN(U73,U74,U75),"$0")&amp;"-"&amp;TEXT(MAX(U73,U74,U75),"$0")</f>
        <v/>
      </c>
      <c r="V72" s="47" t="n"/>
      <c r="W72" s="46" t="n"/>
      <c r="X72" s="52" t="inlineStr">
        <is>
          <t>Per-share output range</t>
        </is>
      </c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446">
        <f>IF(OR(B72="",B70=""),"",B72-B70)</f>
        <v/>
      </c>
      <c r="C73" s="446">
        <f>IF(OR(C72="",C70=""),"",C72-C70)</f>
        <v/>
      </c>
      <c r="D73" s="446">
        <f>IF(OR(D72="",D70=""),"",D72-D70)</f>
        <v/>
      </c>
      <c r="E73" s="446">
        <f>IF(OR(E72="",E70=""),"",E72-E70)</f>
        <v/>
      </c>
      <c r="F73" s="446">
        <f>IF(OR(F72="",F70=""),"",F72-F70)</f>
        <v/>
      </c>
      <c r="G73" s="446">
        <f>IF(OR(G72="",G70=""),"",G72-G70)</f>
        <v/>
      </c>
      <c r="H73" s="446">
        <f>IF(OR(H72="",H70=""),"",H72-H70)</f>
        <v/>
      </c>
      <c r="I73" s="446">
        <f>IF(OR(I72="",I70=""),"",I72-I70)</f>
        <v/>
      </c>
      <c r="J73" s="446">
        <f>IF(OR(J72="",J70=""),"",J72-J70)</f>
        <v/>
      </c>
      <c r="K73" s="446">
        <f>IF(OR(K72="",K70=""),"",K72-K70)</f>
        <v/>
      </c>
      <c r="L73" s="446">
        <f>IF(OR(L72="",L70=""),"",L72-L70)</f>
        <v/>
      </c>
      <c r="M73" s="446">
        <f>IF(OR(M72="",M70=""),"",M72-M70)</f>
        <v/>
      </c>
      <c r="N73" s="22" t="n"/>
      <c r="O73" s="53" t="inlineStr">
        <is>
          <t>Value/share @ target EV/Adjusted EBITDA</t>
        </is>
      </c>
      <c r="P73" s="47" t="n"/>
      <c r="Q73" s="47" t="n"/>
      <c r="R73" s="47" t="n"/>
      <c r="S73" s="47" t="n"/>
      <c r="T73" s="46" t="n"/>
      <c r="U73" s="459">
        <f>IF(EqShare_Target_Adj="","",EqShare_Target_Adj)</f>
        <v/>
      </c>
      <c r="V73" s="47" t="n"/>
      <c r="W73" s="46" t="n"/>
      <c r="X73" s="53" t="inlineStr">
        <is>
          <t>Guided per-share earnings midpoint × P/E</t>
        </is>
      </c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446">
        <f>""</f>
        <v/>
      </c>
      <c r="C74" s="446">
        <f>IF(OR(C73="",B73=""),"",C73-B73)</f>
        <v/>
      </c>
      <c r="D74" s="446">
        <f>IF(OR(D73="",C73=""),"",D73-C73)</f>
        <v/>
      </c>
      <c r="E74" s="446">
        <f>IF(OR(E73="",D73=""),"",E73-D73)</f>
        <v/>
      </c>
      <c r="F74" s="446">
        <f>IF(OR(F73="",E73=""),"",F73-E73)</f>
        <v/>
      </c>
      <c r="G74" s="446">
        <f>IF(OR(G73="",F73=""),"",G73-F73)</f>
        <v/>
      </c>
      <c r="H74" s="446">
        <f>IF(OR(H73="",G73=""),"",H73-G73)</f>
        <v/>
      </c>
      <c r="I74" s="446">
        <f>IF(OR(I73="",H73=""),"",I73-H73)</f>
        <v/>
      </c>
      <c r="J74" s="446">
        <f>IF(OR(J73="",I73=""),"",J73-I73)</f>
        <v/>
      </c>
      <c r="K74" s="446">
        <f>IF(OR(K73="",J73=""),"",K73-J73)</f>
        <v/>
      </c>
      <c r="L74" s="446">
        <f>IF(OR(L73="",K73=""),"",L73-K73)</f>
        <v/>
      </c>
      <c r="M74" s="446">
        <f>IF(OR(M73="",L73=""),"",M73-L73)</f>
        <v/>
      </c>
      <c r="N74" s="22" t="n"/>
      <c r="O74" s="52" t="inlineStr">
        <is>
          <t>Value/share @ target EV/EBITDA</t>
        </is>
      </c>
      <c r="P74" s="47" t="n"/>
      <c r="Q74" s="47" t="n"/>
      <c r="R74" s="47" t="n"/>
      <c r="S74" s="47" t="n"/>
      <c r="T74" s="46" t="n"/>
      <c r="U74" s="460">
        <f>IF(EqShare_Target_EV="","",EqShare_Target_EV)</f>
        <v/>
      </c>
      <c r="V74" s="47" t="n"/>
      <c r="W74" s="46" t="n"/>
      <c r="X74" s="52" t="inlineStr">
        <is>
          <t>Equity value divided by diluted shares</t>
        </is>
      </c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446">
        <f>""</f>
        <v/>
      </c>
      <c r="C75" s="446">
        <f>""</f>
        <v/>
      </c>
      <c r="D75" s="446">
        <f>""</f>
        <v/>
      </c>
      <c r="E75" s="446">
        <f>""</f>
        <v/>
      </c>
      <c r="F75" s="446">
        <f>IF(OR(F73="",B73=""),"",F73-B73)</f>
        <v/>
      </c>
      <c r="G75" s="446">
        <f>IF(OR(G73="",C73=""),"",G73-C73)</f>
        <v/>
      </c>
      <c r="H75" s="446">
        <f>IF(OR(H73="",D73=""),"",H73-D73)</f>
        <v/>
      </c>
      <c r="I75" s="446">
        <f>IF(OR(I73="",E73=""),"",I73-E73)</f>
        <v/>
      </c>
      <c r="J75" s="446">
        <f>IF(OR(J73="",F73=""),"",J73-F73)</f>
        <v/>
      </c>
      <c r="K75" s="446">
        <f>IF(OR(K73="",G73=""),"",K73-G73)</f>
        <v/>
      </c>
      <c r="L75" s="446">
        <f>IF(OR(L73="",H73=""),"",L73-H73)</f>
        <v/>
      </c>
      <c r="M75" s="446">
        <f>IF(OR(M73="",I73=""),"",M73-I73)</f>
        <v/>
      </c>
      <c r="N75" s="22" t="n"/>
      <c r="O75" s="53" t="inlineStr">
        <is>
          <t>Value/share @ target FCFF yield</t>
        </is>
      </c>
      <c r="P75" s="47" t="n"/>
      <c r="Q75" s="47" t="n"/>
      <c r="R75" s="47" t="n"/>
      <c r="S75" s="47" t="n"/>
      <c r="T75" s="46" t="n"/>
      <c r="U75" s="459">
        <f>IF(EqShare_Target_Yield="","",EqShare_Target_Yield)</f>
        <v/>
      </c>
      <c r="V75" s="47" t="n"/>
      <c r="W75" s="46" t="n"/>
      <c r="X75" s="53" t="inlineStr">
        <is>
          <t>FCF-yield value / shares</t>
        </is>
      </c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446">
        <f>IF(B73="","",-B73)</f>
        <v/>
      </c>
      <c r="C77" s="446">
        <f>IF(C73="","",-C73)</f>
        <v/>
      </c>
      <c r="D77" s="446">
        <f>IF(D73="","",-D73)</f>
        <v/>
      </c>
      <c r="E77" s="446">
        <f>IF(E73="","",-E73)</f>
        <v/>
      </c>
      <c r="F77" s="446">
        <f>IF(F73="","",-F73)</f>
        <v/>
      </c>
      <c r="G77" s="446">
        <f>IF(G73="","",-G73)</f>
        <v/>
      </c>
      <c r="H77" s="446">
        <f>IF(H73="","",-H73)</f>
        <v/>
      </c>
      <c r="I77" s="446">
        <f>IF(I73="","",-I73)</f>
        <v/>
      </c>
      <c r="J77" s="446">
        <f>IF(J73="","",-J73)</f>
        <v/>
      </c>
      <c r="K77" s="446">
        <f>IF(K73="","",-K73)</f>
        <v/>
      </c>
      <c r="L77" s="446">
        <f>IF(L73="","",-L73)</f>
        <v/>
      </c>
      <c r="M77" s="446">
        <f>IF(M73="","",-M73)</f>
        <v/>
      </c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446">
        <f>IF(OR(B70="",B71="",B72=""),"",B70+B71-B72)</f>
        <v/>
      </c>
      <c r="C78" s="446">
        <f>IF(OR(C70="",C71="",C72=""),"",C70+C71-C72)</f>
        <v/>
      </c>
      <c r="D78" s="446">
        <f>IF(OR(D70="",D71="",D72=""),"",D70+D71-D72)</f>
        <v/>
      </c>
      <c r="E78" s="446">
        <f>IF(OR(E70="",E71="",E72=""),"",E70+E71-E72)</f>
        <v/>
      </c>
      <c r="F78" s="446">
        <f>IF(OR(F70="",F71="",F72=""),"",F70+F71-F72)</f>
        <v/>
      </c>
      <c r="G78" s="446">
        <f>IF(OR(G70="",G71="",G72=""),"",G70+G71-G72)</f>
        <v/>
      </c>
      <c r="H78" s="446">
        <f>IF(OR(H70="",H71="",H72=""),"",H70+H71-H72)</f>
        <v/>
      </c>
      <c r="I78" s="446">
        <f>IF(OR(I70="",I71="",I72=""),"",I70+I71-I72)</f>
        <v/>
      </c>
      <c r="J78" s="446">
        <f>IF(OR(J70="",J71="",J72=""),"",J70+J71-J72)</f>
        <v/>
      </c>
      <c r="K78" s="446">
        <f>IF(OR(K70="",K71="",K72=""),"",K70+K71-K72)</f>
        <v/>
      </c>
      <c r="L78" s="446">
        <f>IF(OR(L70="",L71="",L72=""),"",L70+L71-L72)</f>
        <v/>
      </c>
      <c r="M78" s="446">
        <f>IF(OR(M70="",M71="",M72=""),"",M70+M71-M72)</f>
        <v/>
      </c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445" t="n"/>
      <c r="C79" s="445" t="n"/>
      <c r="D79" s="445" t="n"/>
      <c r="E79" s="445" t="n"/>
      <c r="F79" s="445" t="n"/>
      <c r="G79" s="445" t="n"/>
      <c r="H79" s="445" t="n"/>
      <c r="I79" s="445" t="n"/>
      <c r="J79" s="445" t="n"/>
      <c r="K79" s="445" t="n"/>
      <c r="L79" s="445" t="n"/>
      <c r="M79" s="445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446">
        <f>IF(OR(B70="",B72="",B79=""),"",B72+B79-B70)</f>
        <v/>
      </c>
      <c r="C80" s="446">
        <f>IF(OR(C70="",C72="",C79=""),"",C72+C79-C70)</f>
        <v/>
      </c>
      <c r="D80" s="446">
        <f>IF(OR(D70="",D72="",D79=""),"",D72+D79-D70)</f>
        <v/>
      </c>
      <c r="E80" s="446">
        <f>IF(OR(E70="",E72="",E79=""),"",E72+E79-E70)</f>
        <v/>
      </c>
      <c r="F80" s="446">
        <f>IF(OR(F70="",F72="",F79=""),"",F72+F79-F70)</f>
        <v/>
      </c>
      <c r="G80" s="446">
        <f>IF(OR(G70="",G72="",G79=""),"",G72+G79-G70)</f>
        <v/>
      </c>
      <c r="H80" s="446">
        <f>IF(OR(H70="",H72="",H79=""),"",H72+H79-H70)</f>
        <v/>
      </c>
      <c r="I80" s="446">
        <f>IF(OR(I70="",I72="",I79=""),"",I72+I79-I70)</f>
        <v/>
      </c>
      <c r="J80" s="446">
        <f>IF(OR(J70="",J72="",J79=""),"",J72+J79-J70)</f>
        <v/>
      </c>
      <c r="K80" s="446">
        <f>IF(OR(K70="",K72="",K79=""),"",K72+K79-K70)</f>
        <v/>
      </c>
      <c r="L80" s="446">
        <f>IF(OR(L70="",L72="",L79=""),"",L72+L79-L70)</f>
        <v/>
      </c>
      <c r="M80" s="446">
        <f>IF(OR(M70="",M72="",M79=""),"",M72+M79-M70)</f>
        <v/>
      </c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446">
        <f>IF(OR(B70="",B71="",B72="",B79=""),"",B72+B79-B70-B71)</f>
        <v/>
      </c>
      <c r="C81" s="446">
        <f>IF(OR(C70="",C71="",C72="",C79=""),"",C72+C79-C70-C71)</f>
        <v/>
      </c>
      <c r="D81" s="446">
        <f>IF(OR(D70="",D71="",D72="",D79=""),"",D72+D79-D70-D71)</f>
        <v/>
      </c>
      <c r="E81" s="446">
        <f>IF(OR(E70="",E71="",E72="",E79=""),"",E72+E79-E70-E71)</f>
        <v/>
      </c>
      <c r="F81" s="446">
        <f>IF(OR(F70="",F71="",F72="",F79=""),"",F72+F79-F70-F71)</f>
        <v/>
      </c>
      <c r="G81" s="446">
        <f>IF(OR(G70="",G71="",G72="",G79=""),"",G72+G79-G70-G71)</f>
        <v/>
      </c>
      <c r="H81" s="446">
        <f>IF(OR(H70="",H71="",H72="",H79=""),"",H72+H79-H70-H71)</f>
        <v/>
      </c>
      <c r="I81" s="446">
        <f>IF(OR(I70="",I71="",I72="",I79=""),"",I72+I79-I70-I71)</f>
        <v/>
      </c>
      <c r="J81" s="446">
        <f>IF(OR(J70="",J71="",J72="",J79=""),"",J72+J79-J70-J71)</f>
        <v/>
      </c>
      <c r="K81" s="446">
        <f>IF(OR(K70="",K71="",K72="",K79=""),"",K72+K79-K70-K71)</f>
        <v/>
      </c>
      <c r="L81" s="446">
        <f>IF(OR(L70="",L71="",L72="",L79=""),"",L72+L79-L70-L71)</f>
        <v/>
      </c>
      <c r="M81" s="446">
        <f>IF(OR(M70="",M71="",M72="",M79=""),"",M72+M79-M70-M71)</f>
        <v/>
      </c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445" t="n"/>
      <c r="C82" s="445" t="n"/>
      <c r="D82" s="445" t="n"/>
      <c r="E82" s="445" t="n"/>
      <c r="F82" s="445" t="n"/>
      <c r="G82" s="445" t="n"/>
      <c r="H82" s="445" t="n"/>
      <c r="I82" s="445" t="n"/>
      <c r="J82" s="445" t="n"/>
      <c r="K82" s="445" t="n"/>
      <c r="L82" s="445" t="n"/>
      <c r="M82" s="445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446">
        <f>IF(B21="","",B21)</f>
        <v/>
      </c>
      <c r="C84" s="446">
        <f>IF(C21="","",C21)</f>
        <v/>
      </c>
      <c r="D84" s="446">
        <f>IF(D21="","",D21)</f>
        <v/>
      </c>
      <c r="E84" s="446">
        <f>IF(E21="","",E21)</f>
        <v/>
      </c>
      <c r="F84" s="446">
        <f>IF(F21="","",F21)</f>
        <v/>
      </c>
      <c r="G84" s="446">
        <f>IF(G21="","",G21)</f>
        <v/>
      </c>
      <c r="H84" s="446">
        <f>IF(H21="","",H21)</f>
        <v/>
      </c>
      <c r="I84" s="446">
        <f>IF(I21="","",I21)</f>
        <v/>
      </c>
      <c r="J84" s="446">
        <f>IF(J21="","",J21)</f>
        <v/>
      </c>
      <c r="K84" s="446">
        <f>IF(K21="","",K21)</f>
        <v/>
      </c>
      <c r="L84" s="446">
        <f>IF(L21="","",L21)</f>
        <v/>
      </c>
      <c r="M84" s="446">
        <f>IF(M21="","",M21)</f>
        <v/>
      </c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446">
        <f>IF(B25="","",B25)</f>
        <v/>
      </c>
      <c r="C85" s="446">
        <f>IF(C25="","",C25)</f>
        <v/>
      </c>
      <c r="D85" s="446">
        <f>IF(D25="","",D25)</f>
        <v/>
      </c>
      <c r="E85" s="446">
        <f>IF(E25="","",E25)</f>
        <v/>
      </c>
      <c r="F85" s="446">
        <f>IF(F25="","",F25)</f>
        <v/>
      </c>
      <c r="G85" s="446">
        <f>IF(G25="","",G25)</f>
        <v/>
      </c>
      <c r="H85" s="446">
        <f>IF(H25="","",H25)</f>
        <v/>
      </c>
      <c r="I85" s="446">
        <f>IF(I25="","",I25)</f>
        <v/>
      </c>
      <c r="J85" s="446">
        <f>IF(J25="","",J25)</f>
        <v/>
      </c>
      <c r="K85" s="446">
        <f>IF(K25="","",K25)</f>
        <v/>
      </c>
      <c r="L85" s="446">
        <f>IF(L25="","",L25)</f>
        <v/>
      </c>
      <c r="M85" s="446">
        <f>IF(M25="","",M25)</f>
        <v/>
      </c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461">
        <f>IF(OR(B73="",B84="",B84=0),"",B73/B84)</f>
        <v/>
      </c>
      <c r="C86" s="461">
        <f>IF(OR(C73="",C84="",C84=0),"",C73/C84)</f>
        <v/>
      </c>
      <c r="D86" s="461">
        <f>IF(OR(D73="",D84="",D84=0),"",D73/D84)</f>
        <v/>
      </c>
      <c r="E86" s="461">
        <f>IF(OR(E73="",E84="",E84=0),"",E73/E84)</f>
        <v/>
      </c>
      <c r="F86" s="461">
        <f>IF(OR(F73="",F84="",F84=0),"",F73/F84)</f>
        <v/>
      </c>
      <c r="G86" s="461">
        <f>IF(OR(G73="",G84="",G84=0),"",G73/G84)</f>
        <v/>
      </c>
      <c r="H86" s="461">
        <f>IF(OR(H73="",H84="",H84=0),"",H73/H84)</f>
        <v/>
      </c>
      <c r="I86" s="461">
        <f>IF(OR(I73="",I84="",I84=0),"",I73/I84)</f>
        <v/>
      </c>
      <c r="J86" s="461">
        <f>IF(OR(J73="",J84="",J84=0),"",J73/J84)</f>
        <v/>
      </c>
      <c r="K86" s="461">
        <f>IF(OR(K73="",K84="",K84=0),"",K73/K84)</f>
        <v/>
      </c>
      <c r="L86" s="461">
        <f>IF(OR(L73="",L84="",L84=0),"",L73/L84)</f>
        <v/>
      </c>
      <c r="M86" s="461">
        <f>IF(OR(M73="",M84="",M84=0),"",M73/M84)</f>
        <v/>
      </c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461">
        <f>IF(OR(B73="",B85="",B85=0),"",B73/B85)</f>
        <v/>
      </c>
      <c r="C87" s="461">
        <f>IF(OR(C73="",C85="",C85=0),"",C73/C85)</f>
        <v/>
      </c>
      <c r="D87" s="461">
        <f>IF(OR(D73="",D85="",D85=0),"",D73/D85)</f>
        <v/>
      </c>
      <c r="E87" s="461">
        <f>IF(OR(E73="",E85="",E85=0),"",E73/E85)</f>
        <v/>
      </c>
      <c r="F87" s="461">
        <f>IF(OR(F73="",F85="",F85=0),"",F73/F85)</f>
        <v/>
      </c>
      <c r="G87" s="461">
        <f>IF(OR(G73="",G85="",G85=0),"",G73/G85)</f>
        <v/>
      </c>
      <c r="H87" s="461">
        <f>IF(OR(H73="",H85="",H85=0),"",H73/H85)</f>
        <v/>
      </c>
      <c r="I87" s="461">
        <f>IF(OR(I73="",I85="",I85=0),"",I73/I85)</f>
        <v/>
      </c>
      <c r="J87" s="461">
        <f>IF(OR(J73="",J85="",J85=0),"",J73/J85)</f>
        <v/>
      </c>
      <c r="K87" s="461">
        <f>IF(OR(K73="",K85="",K85=0),"",K73/K85)</f>
        <v/>
      </c>
      <c r="L87" s="461">
        <f>IF(OR(L73="",L85="",L85=0),"",L73/L85)</f>
        <v/>
      </c>
      <c r="M87" s="461">
        <f>IF(OR(M73="",M85="",M85=0),"",M73/M85)</f>
        <v/>
      </c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461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-MIN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)</f>
        <v/>
      </c>
      <c r="C88" s="461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-MIN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)</f>
        <v/>
      </c>
      <c r="D88" s="461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-MIN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)</f>
        <v/>
      </c>
      <c r="E88" s="461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-MIN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)</f>
        <v/>
      </c>
      <c r="F88" s="461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-MIN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)</f>
        <v/>
      </c>
      <c r="G88" s="461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-MIN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)</f>
        <v/>
      </c>
      <c r="H88" s="461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-MIN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)</f>
        <v/>
      </c>
      <c r="I88" s="461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-MIN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)</f>
        <v/>
      </c>
      <c r="J88" s="461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-MIN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)</f>
        <v/>
      </c>
      <c r="K88" s="461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-MIN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)</f>
        <v/>
      </c>
      <c r="L88" s="461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-MIN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)</f>
        <v/>
      </c>
      <c r="M88" s="461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4,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MAX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-MIN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)</f>
        <v/>
      </c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461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COUNTIFS(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4,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,MAX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-MIN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3,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=0)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/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)</f>
        <v/>
      </c>
      <c r="C89" s="461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COUNTIFS(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4,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,MAX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-MIN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3,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=0)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/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)</f>
        <v/>
      </c>
      <c r="D89" s="461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COUNTIFS(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4,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,MAX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-MIN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3,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=0)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/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)</f>
        <v/>
      </c>
      <c r="E89" s="461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COUNTIFS(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4,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,MAX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-MIN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3,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=0)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/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)</f>
        <v/>
      </c>
      <c r="F89" s="461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COUNTIFS(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4,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,MAX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-MIN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3,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=0)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/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)</f>
        <v/>
      </c>
      <c r="G89" s="461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COUNTIFS(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4,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,MAX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-MIN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3,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=0)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/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)</f>
        <v/>
      </c>
      <c r="H89" s="461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COUNTIFS(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4,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,MAX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-MIN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3,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=0)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/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)</f>
        <v/>
      </c>
      <c r="I89" s="461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COUNTIFS(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4,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,MAX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-MIN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3,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=0)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/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)</f>
        <v/>
      </c>
      <c r="J89" s="461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COUNTIFS(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4,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,MAX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-MIN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3,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=0)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/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)</f>
        <v/>
      </c>
      <c r="K89" s="461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COUNTIFS(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4,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,MAX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-MIN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3,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=0)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/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)</f>
        <v/>
      </c>
      <c r="L89" s="461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COUNTIFS(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4,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,MAX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-MIN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3,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=0)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/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)</f>
        <v/>
      </c>
      <c r="M89" s="461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COUNTIFS(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4,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,MAX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-MIN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3,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=0)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/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)</f>
        <v/>
      </c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447">
        <f>IF(OR(B49="",B21="",B21=0),"",B49/B21)</f>
        <v/>
      </c>
      <c r="C90" s="447">
        <f>IF(OR(C49="",C21="",C21=0),"",C49/C21)</f>
        <v/>
      </c>
      <c r="D90" s="447">
        <f>IF(OR(D49="",D21="",D21=0),"",D49/D21)</f>
        <v/>
      </c>
      <c r="E90" s="447">
        <f>IF(OR(E49="",E21="",E21=0),"",E49/E21)</f>
        <v/>
      </c>
      <c r="F90" s="447">
        <f>IF(OR(F49="",F21="",F21=0),"",F49/F21)</f>
        <v/>
      </c>
      <c r="G90" s="447">
        <f>IF(OR(G49="",G21="",G21=0),"",G49/G21)</f>
        <v/>
      </c>
      <c r="H90" s="447">
        <f>IF(OR(H49="",H21="",H21=0),"",H49/H21)</f>
        <v/>
      </c>
      <c r="I90" s="447">
        <f>IF(OR(I49="",I21="",I21=0),"",I49/I21)</f>
        <v/>
      </c>
      <c r="J90" s="447">
        <f>IF(OR(J49="",J21="",J21=0),"",J49/J21)</f>
        <v/>
      </c>
      <c r="K90" s="447">
        <f>IF(OR(K49="",K21="",K21=0),"",K49/K21)</f>
        <v/>
      </c>
      <c r="L90" s="447">
        <f>IF(OR(L49="",L21="",L21=0),"",L49/L21)</f>
        <v/>
      </c>
      <c r="M90" s="447">
        <f>IF(OR(M49="",M21="",M21=0),"",M49/M21)</f>
        <v/>
      </c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445" t="n"/>
      <c r="C95" s="445" t="n"/>
      <c r="D95" s="445" t="n"/>
      <c r="E95" s="445" t="n"/>
      <c r="F95" s="445" t="n"/>
      <c r="G95" s="445" t="n"/>
      <c r="H95" s="445" t="n"/>
      <c r="I95" s="445" t="n"/>
      <c r="J95" s="445" t="n"/>
      <c r="K95" s="445" t="n"/>
      <c r="L95" s="445" t="n"/>
      <c r="M95" s="445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445" t="n"/>
      <c r="C102" s="445" t="n"/>
      <c r="D102" s="445" t="n"/>
      <c r="E102" s="445" t="n"/>
      <c r="F102" s="445" t="n"/>
      <c r="G102" s="445" t="n"/>
      <c r="H102" s="445" t="n"/>
      <c r="I102" s="445" t="n"/>
      <c r="J102" s="445" t="n"/>
      <c r="K102" s="445" t="n"/>
      <c r="L102" s="445" t="n"/>
      <c r="M102" s="445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445" t="n"/>
      <c r="C103" s="445" t="n"/>
      <c r="D103" s="445" t="n"/>
      <c r="E103" s="445" t="n"/>
      <c r="F103" s="445" t="n"/>
      <c r="G103" s="445" t="n"/>
      <c r="H103" s="445" t="n"/>
      <c r="I103" s="445" t="n"/>
      <c r="J103" s="445" t="n"/>
      <c r="K103" s="445" t="n"/>
      <c r="L103" s="445" t="n"/>
      <c r="M103" s="445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462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shares",History_Q!$G$2:$G$1000,"populated")&lt;&gt;1,COUNTIFS(History_Q!$C$2:$C$1000,"diluted_shares",History_Q!$B$2:$B$1000,(SUMIFS(History_Q!$B$2:$B$1000,History_Q!$A$2:$A$1000,B$6,History_Q!$C$2:$C$1000,"diluted_shares")-1),History_Q!$E$2:$E$1000,"m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shares",History_Q!$G$2:$G$1000,"populated")-SUMIFS(History_Q!$D$2:$D$1000,History_Q!$C$2:$C$1000,"diluted_shares",History_Q!$B$2:$B$1000,(SUMIFS(History_Q!$B$2:$B$1000,History_Q!$A$2:$A$1000,B$6,History_Q!$C$2:$C$1000,"diluted_shares")-1),History_Q!$E$2:$E$1000,"m shares",History_Q!$G$2:$G$1000,"populated"))</f>
        <v/>
      </c>
      <c r="C104" s="462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shares",History_Q!$G$2:$G$1000,"populated")&lt;&gt;1,COUNTIFS(History_Q!$C$2:$C$1000,"diluted_shares",History_Q!$B$2:$B$1000,(SUMIFS(History_Q!$B$2:$B$1000,History_Q!$A$2:$A$1000,C$6,History_Q!$C$2:$C$1000,"diluted_shares")-1),History_Q!$E$2:$E$1000,"m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shares",History_Q!$G$2:$G$1000,"populated")-SUMIFS(History_Q!$D$2:$D$1000,History_Q!$C$2:$C$1000,"diluted_shares",History_Q!$B$2:$B$1000,(SUMIFS(History_Q!$B$2:$B$1000,History_Q!$A$2:$A$1000,C$6,History_Q!$C$2:$C$1000,"diluted_shares")-1),History_Q!$E$2:$E$1000,"m shares",History_Q!$G$2:$G$1000,"populated"))</f>
        <v/>
      </c>
      <c r="D104" s="462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shares",History_Q!$G$2:$G$1000,"populated")&lt;&gt;1,COUNTIFS(History_Q!$C$2:$C$1000,"diluted_shares",History_Q!$B$2:$B$1000,(SUMIFS(History_Q!$B$2:$B$1000,History_Q!$A$2:$A$1000,D$6,History_Q!$C$2:$C$1000,"diluted_shares")-1),History_Q!$E$2:$E$1000,"m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shares",History_Q!$G$2:$G$1000,"populated")-SUMIFS(History_Q!$D$2:$D$1000,History_Q!$C$2:$C$1000,"diluted_shares",History_Q!$B$2:$B$1000,(SUMIFS(History_Q!$B$2:$B$1000,History_Q!$A$2:$A$1000,D$6,History_Q!$C$2:$C$1000,"diluted_shares")-1),History_Q!$E$2:$E$1000,"m shares",History_Q!$G$2:$G$1000,"populated"))</f>
        <v/>
      </c>
      <c r="E104" s="462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shares",History_Q!$G$2:$G$1000,"populated")&lt;&gt;1,COUNTIFS(History_Q!$C$2:$C$1000,"diluted_shares",History_Q!$B$2:$B$1000,(SUMIFS(History_Q!$B$2:$B$1000,History_Q!$A$2:$A$1000,E$6,History_Q!$C$2:$C$1000,"diluted_shares")-1),History_Q!$E$2:$E$1000,"m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shares",History_Q!$G$2:$G$1000,"populated")-SUMIFS(History_Q!$D$2:$D$1000,History_Q!$C$2:$C$1000,"diluted_shares",History_Q!$B$2:$B$1000,(SUMIFS(History_Q!$B$2:$B$1000,History_Q!$A$2:$A$1000,E$6,History_Q!$C$2:$C$1000,"diluted_shares")-1),History_Q!$E$2:$E$1000,"m shares",History_Q!$G$2:$G$1000,"populated"))</f>
        <v/>
      </c>
      <c r="F104" s="462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shares",History_Q!$G$2:$G$1000,"populated")&lt;&gt;1,COUNTIFS(History_Q!$C$2:$C$1000,"diluted_shares",History_Q!$B$2:$B$1000,(SUMIFS(History_Q!$B$2:$B$1000,History_Q!$A$2:$A$1000,F$6,History_Q!$C$2:$C$1000,"diluted_shares")-1),History_Q!$E$2:$E$1000,"m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shares",History_Q!$G$2:$G$1000,"populated")-SUMIFS(History_Q!$D$2:$D$1000,History_Q!$C$2:$C$1000,"diluted_shares",History_Q!$B$2:$B$1000,(SUMIFS(History_Q!$B$2:$B$1000,History_Q!$A$2:$A$1000,F$6,History_Q!$C$2:$C$1000,"diluted_shares")-1),History_Q!$E$2:$E$1000,"m shares",History_Q!$G$2:$G$1000,"populated"))</f>
        <v/>
      </c>
      <c r="G104" s="462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shares",History_Q!$G$2:$G$1000,"populated")&lt;&gt;1,COUNTIFS(History_Q!$C$2:$C$1000,"diluted_shares",History_Q!$B$2:$B$1000,(SUMIFS(History_Q!$B$2:$B$1000,History_Q!$A$2:$A$1000,G$6,History_Q!$C$2:$C$1000,"diluted_shares")-1),History_Q!$E$2:$E$1000,"m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shares",History_Q!$G$2:$G$1000,"populated")-SUMIFS(History_Q!$D$2:$D$1000,History_Q!$C$2:$C$1000,"diluted_shares",History_Q!$B$2:$B$1000,(SUMIFS(History_Q!$B$2:$B$1000,History_Q!$A$2:$A$1000,G$6,History_Q!$C$2:$C$1000,"diluted_shares")-1),History_Q!$E$2:$E$1000,"m shares",History_Q!$G$2:$G$1000,"populated"))</f>
        <v/>
      </c>
      <c r="H104" s="462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shares",History_Q!$G$2:$G$1000,"populated")&lt;&gt;1,COUNTIFS(History_Q!$C$2:$C$1000,"diluted_shares",History_Q!$B$2:$B$1000,(SUMIFS(History_Q!$B$2:$B$1000,History_Q!$A$2:$A$1000,H$6,History_Q!$C$2:$C$1000,"diluted_shares")-1),History_Q!$E$2:$E$1000,"m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shares",History_Q!$G$2:$G$1000,"populated")-SUMIFS(History_Q!$D$2:$D$1000,History_Q!$C$2:$C$1000,"diluted_shares",History_Q!$B$2:$B$1000,(SUMIFS(History_Q!$B$2:$B$1000,History_Q!$A$2:$A$1000,H$6,History_Q!$C$2:$C$1000,"diluted_shares")-1),History_Q!$E$2:$E$1000,"m shares",History_Q!$G$2:$G$1000,"populated"))</f>
        <v/>
      </c>
      <c r="I104" s="462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shares",History_Q!$G$2:$G$1000,"populated")&lt;&gt;1,COUNTIFS(History_Q!$C$2:$C$1000,"diluted_shares",History_Q!$B$2:$B$1000,(SUMIFS(History_Q!$B$2:$B$1000,History_Q!$A$2:$A$1000,I$6,History_Q!$C$2:$C$1000,"diluted_shares")-1),History_Q!$E$2:$E$1000,"m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shares",History_Q!$G$2:$G$1000,"populated")-SUMIFS(History_Q!$D$2:$D$1000,History_Q!$C$2:$C$1000,"diluted_shares",History_Q!$B$2:$B$1000,(SUMIFS(History_Q!$B$2:$B$1000,History_Q!$A$2:$A$1000,I$6,History_Q!$C$2:$C$1000,"diluted_shares")-1),History_Q!$E$2:$E$1000,"m shares",History_Q!$G$2:$G$1000,"populated"))</f>
        <v/>
      </c>
      <c r="J104" s="462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shares",History_Q!$G$2:$G$1000,"populated")&lt;&gt;1,COUNTIFS(History_Q!$C$2:$C$1000,"diluted_shares",History_Q!$B$2:$B$1000,(SUMIFS(History_Q!$B$2:$B$1000,History_Q!$A$2:$A$1000,J$6,History_Q!$C$2:$C$1000,"diluted_shares")-1),History_Q!$E$2:$E$1000,"m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shares",History_Q!$G$2:$G$1000,"populated")-SUMIFS(History_Q!$D$2:$D$1000,History_Q!$C$2:$C$1000,"diluted_shares",History_Q!$B$2:$B$1000,(SUMIFS(History_Q!$B$2:$B$1000,History_Q!$A$2:$A$1000,J$6,History_Q!$C$2:$C$1000,"diluted_shares")-1),History_Q!$E$2:$E$1000,"m shares",History_Q!$G$2:$G$1000,"populated"))</f>
        <v/>
      </c>
      <c r="K104" s="462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shares",History_Q!$G$2:$G$1000,"populated")&lt;&gt;1,COUNTIFS(History_Q!$C$2:$C$1000,"diluted_shares",History_Q!$B$2:$B$1000,(SUMIFS(History_Q!$B$2:$B$1000,History_Q!$A$2:$A$1000,K$6,History_Q!$C$2:$C$1000,"diluted_shares")-1),History_Q!$E$2:$E$1000,"m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shares",History_Q!$G$2:$G$1000,"populated")-SUMIFS(History_Q!$D$2:$D$1000,History_Q!$C$2:$C$1000,"diluted_shares",History_Q!$B$2:$B$1000,(SUMIFS(History_Q!$B$2:$B$1000,History_Q!$A$2:$A$1000,K$6,History_Q!$C$2:$C$1000,"diluted_shares")-1),History_Q!$E$2:$E$1000,"m shares",History_Q!$G$2:$G$1000,"populated"))</f>
        <v/>
      </c>
      <c r="L104" s="462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shares",History_Q!$G$2:$G$1000,"populated")&lt;&gt;1,COUNTIFS(History_Q!$C$2:$C$1000,"diluted_shares",History_Q!$B$2:$B$1000,(SUMIFS(History_Q!$B$2:$B$1000,History_Q!$A$2:$A$1000,L$6,History_Q!$C$2:$C$1000,"diluted_shares")-1),History_Q!$E$2:$E$1000,"m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shares",History_Q!$G$2:$G$1000,"populated")-SUMIFS(History_Q!$D$2:$D$1000,History_Q!$C$2:$C$1000,"diluted_shares",History_Q!$B$2:$B$1000,(SUMIFS(History_Q!$B$2:$B$1000,History_Q!$A$2:$A$1000,L$6,History_Q!$C$2:$C$1000,"diluted_shares")-1),History_Q!$E$2:$E$1000,"m shares",History_Q!$G$2:$G$1000,"populated"))</f>
        <v/>
      </c>
      <c r="M104" s="462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shares",History_Q!$G$2:$G$1000,"populated")&lt;&gt;1,COUNTIFS(History_Q!$C$2:$C$1000,"diluted_shares",History_Q!$B$2:$B$1000,(SUMIFS(History_Q!$B$2:$B$1000,History_Q!$A$2:$A$1000,M$6,History_Q!$C$2:$C$1000,"diluted_shares")-1),History_Q!$E$2:$E$1000,"m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shares",History_Q!$G$2:$G$1000,"populated")-SUMIFS(History_Q!$D$2:$D$1000,History_Q!$C$2:$C$1000,"diluted_shares",History_Q!$B$2:$B$1000,(SUMIFS(History_Q!$B$2:$B$1000,History_Q!$A$2:$A$1000,M$6,History_Q!$C$2:$C$1000,"diluted_shares")-1),History_Q!$E$2:$E$1000,"m shares",History_Q!$G$2:$G$1000,"populated"))</f>
        <v/>
      </c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462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shares",History_Q!$G$2:$G$1000,"populated")&lt;&gt;1,COUNTIFS(History_Q!$C$2:$C$1000,"diluted_shares",History_Q!$B$2:$B$1000,(SUMIFS(History_Q!$B$2:$B$1000,History_Q!$A$2:$A$1000,B$6,History_Q!$C$2:$C$1000,"diluted_shares")-4),History_Q!$E$2:$E$1000,"m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shares",History_Q!$G$2:$G$1000,"populated")-SUMIFS(History_Q!$D$2:$D$1000,History_Q!$C$2:$C$1000,"diluted_shares",History_Q!$B$2:$B$1000,(SUMIFS(History_Q!$B$2:$B$1000,History_Q!$A$2:$A$1000,B$6,History_Q!$C$2:$C$1000,"diluted_shares")-4),History_Q!$E$2:$E$1000,"m shares",History_Q!$G$2:$G$1000,"populated"))</f>
        <v/>
      </c>
      <c r="C105" s="462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shares",History_Q!$G$2:$G$1000,"populated")&lt;&gt;1,COUNTIFS(History_Q!$C$2:$C$1000,"diluted_shares",History_Q!$B$2:$B$1000,(SUMIFS(History_Q!$B$2:$B$1000,History_Q!$A$2:$A$1000,C$6,History_Q!$C$2:$C$1000,"diluted_shares")-4),History_Q!$E$2:$E$1000,"m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shares",History_Q!$G$2:$G$1000,"populated")-SUMIFS(History_Q!$D$2:$D$1000,History_Q!$C$2:$C$1000,"diluted_shares",History_Q!$B$2:$B$1000,(SUMIFS(History_Q!$B$2:$B$1000,History_Q!$A$2:$A$1000,C$6,History_Q!$C$2:$C$1000,"diluted_shares")-4),History_Q!$E$2:$E$1000,"m shares",History_Q!$G$2:$G$1000,"populated"))</f>
        <v/>
      </c>
      <c r="D105" s="462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shares",History_Q!$G$2:$G$1000,"populated")&lt;&gt;1,COUNTIFS(History_Q!$C$2:$C$1000,"diluted_shares",History_Q!$B$2:$B$1000,(SUMIFS(History_Q!$B$2:$B$1000,History_Q!$A$2:$A$1000,D$6,History_Q!$C$2:$C$1000,"diluted_shares")-4),History_Q!$E$2:$E$1000,"m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shares",History_Q!$G$2:$G$1000,"populated")-SUMIFS(History_Q!$D$2:$D$1000,History_Q!$C$2:$C$1000,"diluted_shares",History_Q!$B$2:$B$1000,(SUMIFS(History_Q!$B$2:$B$1000,History_Q!$A$2:$A$1000,D$6,History_Q!$C$2:$C$1000,"diluted_shares")-4),History_Q!$E$2:$E$1000,"m shares",History_Q!$G$2:$G$1000,"populated"))</f>
        <v/>
      </c>
      <c r="E105" s="462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shares",History_Q!$G$2:$G$1000,"populated")&lt;&gt;1,COUNTIFS(History_Q!$C$2:$C$1000,"diluted_shares",History_Q!$B$2:$B$1000,(SUMIFS(History_Q!$B$2:$B$1000,History_Q!$A$2:$A$1000,E$6,History_Q!$C$2:$C$1000,"diluted_shares")-4),History_Q!$E$2:$E$1000,"m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shares",History_Q!$G$2:$G$1000,"populated")-SUMIFS(History_Q!$D$2:$D$1000,History_Q!$C$2:$C$1000,"diluted_shares",History_Q!$B$2:$B$1000,(SUMIFS(History_Q!$B$2:$B$1000,History_Q!$A$2:$A$1000,E$6,History_Q!$C$2:$C$1000,"diluted_shares")-4),History_Q!$E$2:$E$1000,"m shares",History_Q!$G$2:$G$1000,"populated"))</f>
        <v/>
      </c>
      <c r="F105" s="462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shares",History_Q!$G$2:$G$1000,"populated")&lt;&gt;1,COUNTIFS(History_Q!$C$2:$C$1000,"diluted_shares",History_Q!$B$2:$B$1000,(SUMIFS(History_Q!$B$2:$B$1000,History_Q!$A$2:$A$1000,F$6,History_Q!$C$2:$C$1000,"diluted_shares")-4),History_Q!$E$2:$E$1000,"m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shares",History_Q!$G$2:$G$1000,"populated")-SUMIFS(History_Q!$D$2:$D$1000,History_Q!$C$2:$C$1000,"diluted_shares",History_Q!$B$2:$B$1000,(SUMIFS(History_Q!$B$2:$B$1000,History_Q!$A$2:$A$1000,F$6,History_Q!$C$2:$C$1000,"diluted_shares")-4),History_Q!$E$2:$E$1000,"m shares",History_Q!$G$2:$G$1000,"populated"))</f>
        <v/>
      </c>
      <c r="G105" s="462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shares",History_Q!$G$2:$G$1000,"populated")&lt;&gt;1,COUNTIFS(History_Q!$C$2:$C$1000,"diluted_shares",History_Q!$B$2:$B$1000,(SUMIFS(History_Q!$B$2:$B$1000,History_Q!$A$2:$A$1000,G$6,History_Q!$C$2:$C$1000,"diluted_shares")-4),History_Q!$E$2:$E$1000,"m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shares",History_Q!$G$2:$G$1000,"populated")-SUMIFS(History_Q!$D$2:$D$1000,History_Q!$C$2:$C$1000,"diluted_shares",History_Q!$B$2:$B$1000,(SUMIFS(History_Q!$B$2:$B$1000,History_Q!$A$2:$A$1000,G$6,History_Q!$C$2:$C$1000,"diluted_shares")-4),History_Q!$E$2:$E$1000,"m shares",History_Q!$G$2:$G$1000,"populated"))</f>
        <v/>
      </c>
      <c r="H105" s="462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shares",History_Q!$G$2:$G$1000,"populated")&lt;&gt;1,COUNTIFS(History_Q!$C$2:$C$1000,"diluted_shares",History_Q!$B$2:$B$1000,(SUMIFS(History_Q!$B$2:$B$1000,History_Q!$A$2:$A$1000,H$6,History_Q!$C$2:$C$1000,"diluted_shares")-4),History_Q!$E$2:$E$1000,"m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shares",History_Q!$G$2:$G$1000,"populated")-SUMIFS(History_Q!$D$2:$D$1000,History_Q!$C$2:$C$1000,"diluted_shares",History_Q!$B$2:$B$1000,(SUMIFS(History_Q!$B$2:$B$1000,History_Q!$A$2:$A$1000,H$6,History_Q!$C$2:$C$1000,"diluted_shares")-4),History_Q!$E$2:$E$1000,"m shares",History_Q!$G$2:$G$1000,"populated"))</f>
        <v/>
      </c>
      <c r="I105" s="462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shares",History_Q!$G$2:$G$1000,"populated")&lt;&gt;1,COUNTIFS(History_Q!$C$2:$C$1000,"diluted_shares",History_Q!$B$2:$B$1000,(SUMIFS(History_Q!$B$2:$B$1000,History_Q!$A$2:$A$1000,I$6,History_Q!$C$2:$C$1000,"diluted_shares")-4),History_Q!$E$2:$E$1000,"m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shares",History_Q!$G$2:$G$1000,"populated")-SUMIFS(History_Q!$D$2:$D$1000,History_Q!$C$2:$C$1000,"diluted_shares",History_Q!$B$2:$B$1000,(SUMIFS(History_Q!$B$2:$B$1000,History_Q!$A$2:$A$1000,I$6,History_Q!$C$2:$C$1000,"diluted_shares")-4),History_Q!$E$2:$E$1000,"m shares",History_Q!$G$2:$G$1000,"populated"))</f>
        <v/>
      </c>
      <c r="J105" s="462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shares",History_Q!$G$2:$G$1000,"populated")&lt;&gt;1,COUNTIFS(History_Q!$C$2:$C$1000,"diluted_shares",History_Q!$B$2:$B$1000,(SUMIFS(History_Q!$B$2:$B$1000,History_Q!$A$2:$A$1000,J$6,History_Q!$C$2:$C$1000,"diluted_shares")-4),History_Q!$E$2:$E$1000,"m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shares",History_Q!$G$2:$G$1000,"populated")-SUMIFS(History_Q!$D$2:$D$1000,History_Q!$C$2:$C$1000,"diluted_shares",History_Q!$B$2:$B$1000,(SUMIFS(History_Q!$B$2:$B$1000,History_Q!$A$2:$A$1000,J$6,History_Q!$C$2:$C$1000,"diluted_shares")-4),History_Q!$E$2:$E$1000,"m shares",History_Q!$G$2:$G$1000,"populated"))</f>
        <v/>
      </c>
      <c r="K105" s="462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shares",History_Q!$G$2:$G$1000,"populated")&lt;&gt;1,COUNTIFS(History_Q!$C$2:$C$1000,"diluted_shares",History_Q!$B$2:$B$1000,(SUMIFS(History_Q!$B$2:$B$1000,History_Q!$A$2:$A$1000,K$6,History_Q!$C$2:$C$1000,"diluted_shares")-4),History_Q!$E$2:$E$1000,"m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shares",History_Q!$G$2:$G$1000,"populated")-SUMIFS(History_Q!$D$2:$D$1000,History_Q!$C$2:$C$1000,"diluted_shares",History_Q!$B$2:$B$1000,(SUMIFS(History_Q!$B$2:$B$1000,History_Q!$A$2:$A$1000,K$6,History_Q!$C$2:$C$1000,"diluted_shares")-4),History_Q!$E$2:$E$1000,"m shares",History_Q!$G$2:$G$1000,"populated"))</f>
        <v/>
      </c>
      <c r="L105" s="462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shares",History_Q!$G$2:$G$1000,"populated")&lt;&gt;1,COUNTIFS(History_Q!$C$2:$C$1000,"diluted_shares",History_Q!$B$2:$B$1000,(SUMIFS(History_Q!$B$2:$B$1000,History_Q!$A$2:$A$1000,L$6,History_Q!$C$2:$C$1000,"diluted_shares")-4),History_Q!$E$2:$E$1000,"m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shares",History_Q!$G$2:$G$1000,"populated")-SUMIFS(History_Q!$D$2:$D$1000,History_Q!$C$2:$C$1000,"diluted_shares",History_Q!$B$2:$B$1000,(SUMIFS(History_Q!$B$2:$B$1000,History_Q!$A$2:$A$1000,L$6,History_Q!$C$2:$C$1000,"diluted_shares")-4),History_Q!$E$2:$E$1000,"m shares",History_Q!$G$2:$G$1000,"populated"))</f>
        <v/>
      </c>
      <c r="M105" s="462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shares",History_Q!$G$2:$G$1000,"populated")&lt;&gt;1,COUNTIFS(History_Q!$C$2:$C$1000,"diluted_shares",History_Q!$B$2:$B$1000,(SUMIFS(History_Q!$B$2:$B$1000,History_Q!$A$2:$A$1000,M$6,History_Q!$C$2:$C$1000,"diluted_shares")-4),History_Q!$E$2:$E$1000,"m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shares",History_Q!$G$2:$G$1000,"populated")-SUMIFS(History_Q!$D$2:$D$1000,History_Q!$C$2:$C$1000,"diluted_shares",History_Q!$B$2:$B$1000,(SUMIFS(History_Q!$B$2:$B$1000,History_Q!$A$2:$A$1000,M$6,History_Q!$C$2:$C$1000,"diluted_shares")-4),History_Q!$E$2:$E$1000,"m shares",History_Q!$G$2:$G$1000,"populated"))</f>
        <v/>
      </c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Diluted EPS (GAAP)</t>
        </is>
      </c>
      <c r="B107" s="445" t="n"/>
      <c r="C107" s="445" t="n"/>
      <c r="D107" s="445" t="n"/>
      <c r="E107" s="445" t="n"/>
      <c r="F107" s="445" t="n"/>
      <c r="G107" s="445" t="n"/>
      <c r="H107" s="445" t="n"/>
      <c r="I107" s="445" t="n"/>
      <c r="J107" s="445" t="n"/>
      <c r="K107" s="445" t="n"/>
      <c r="L107" s="445" t="n"/>
      <c r="M107" s="445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Diluted EPS YoY %</t>
        </is>
      </c>
      <c r="B108" s="447">
        <f>IF(OR(B$6="",COUNTIFS(History_Q!$C$2:$C$1000,"eps",History_Q!$B$2:$B$1000,(SUMIFS(History_Q!$B$2:$B$1000,History_Q!$A$2:$A$1000,B$6,History_Q!$C$2:$C$1000,"eps")),History_Q!$E$2:$E$1000,"$/share",History_Q!$G$2:$G$1000,"populated")&lt;&gt;1,COUNTIFS(History_Q!$C$2:$C$1000,"eps",History_Q!$B$2:$B$1000,(SUMIFS(History_Q!$B$2:$B$1000,History_Q!$A$2:$A$1000,B$6,History_Q!$C$2:$C$1000,"eps")-4),History_Q!$E$2:$E$1000,"$/share",History_Q!$G$2:$G$1000,"populated")&lt;&gt;1,SUMIFS(History_Q!$D$2:$D$1000,History_Q!$C$2:$C$1000,"eps",History_Q!$B$2:$B$1000,(SUMIFS(History_Q!$B$2:$B$1000,History_Q!$A$2:$A$1000,B$6,History_Q!$C$2:$C$1000,"eps")-4),History_Q!$E$2:$E$1000,"$/share",History_Q!$G$2:$G$1000,"populated")=0),"",SUMIFS(History_Q!$D$2:$D$1000,History_Q!$C$2:$C$1000,"eps",History_Q!$B$2:$B$1000,(SUMIFS(History_Q!$B$2:$B$1000,History_Q!$A$2:$A$1000,B$6,History_Q!$C$2:$C$1000,"eps")),History_Q!$E$2:$E$1000,"$/share",History_Q!$G$2:$G$1000,"populated")/SUMIFS(History_Q!$D$2:$D$1000,History_Q!$C$2:$C$1000,"eps",History_Q!$B$2:$B$1000,(SUMIFS(History_Q!$B$2:$B$1000,History_Q!$A$2:$A$1000,B$6,History_Q!$C$2:$C$1000,"eps")-4),History_Q!$E$2:$E$1000,"$/share",History_Q!$G$2:$G$1000,"populated")-1)</f>
        <v/>
      </c>
      <c r="C108" s="447">
        <f>IF(OR(C$6="",COUNTIFS(History_Q!$C$2:$C$1000,"eps",History_Q!$B$2:$B$1000,(SUMIFS(History_Q!$B$2:$B$1000,History_Q!$A$2:$A$1000,C$6,History_Q!$C$2:$C$1000,"eps")),History_Q!$E$2:$E$1000,"$/share",History_Q!$G$2:$G$1000,"populated")&lt;&gt;1,COUNTIFS(History_Q!$C$2:$C$1000,"eps",History_Q!$B$2:$B$1000,(SUMIFS(History_Q!$B$2:$B$1000,History_Q!$A$2:$A$1000,C$6,History_Q!$C$2:$C$1000,"eps")-4),History_Q!$E$2:$E$1000,"$/share",History_Q!$G$2:$G$1000,"populated")&lt;&gt;1,SUMIFS(History_Q!$D$2:$D$1000,History_Q!$C$2:$C$1000,"eps",History_Q!$B$2:$B$1000,(SUMIFS(History_Q!$B$2:$B$1000,History_Q!$A$2:$A$1000,C$6,History_Q!$C$2:$C$1000,"eps")-4),History_Q!$E$2:$E$1000,"$/share",History_Q!$G$2:$G$1000,"populated")=0),"",SUMIFS(History_Q!$D$2:$D$1000,History_Q!$C$2:$C$1000,"eps",History_Q!$B$2:$B$1000,(SUMIFS(History_Q!$B$2:$B$1000,History_Q!$A$2:$A$1000,C$6,History_Q!$C$2:$C$1000,"eps")),History_Q!$E$2:$E$1000,"$/share",History_Q!$G$2:$G$1000,"populated")/SUMIFS(History_Q!$D$2:$D$1000,History_Q!$C$2:$C$1000,"eps",History_Q!$B$2:$B$1000,(SUMIFS(History_Q!$B$2:$B$1000,History_Q!$A$2:$A$1000,C$6,History_Q!$C$2:$C$1000,"eps")-4),History_Q!$E$2:$E$1000,"$/share",History_Q!$G$2:$G$1000,"populated")-1)</f>
        <v/>
      </c>
      <c r="D108" s="447">
        <f>IF(OR(D$6="",COUNTIFS(History_Q!$C$2:$C$1000,"eps",History_Q!$B$2:$B$1000,(SUMIFS(History_Q!$B$2:$B$1000,History_Q!$A$2:$A$1000,D$6,History_Q!$C$2:$C$1000,"eps")),History_Q!$E$2:$E$1000,"$/share",History_Q!$G$2:$G$1000,"populated")&lt;&gt;1,COUNTIFS(History_Q!$C$2:$C$1000,"eps",History_Q!$B$2:$B$1000,(SUMIFS(History_Q!$B$2:$B$1000,History_Q!$A$2:$A$1000,D$6,History_Q!$C$2:$C$1000,"eps")-4),History_Q!$E$2:$E$1000,"$/share",History_Q!$G$2:$G$1000,"populated")&lt;&gt;1,SUMIFS(History_Q!$D$2:$D$1000,History_Q!$C$2:$C$1000,"eps",History_Q!$B$2:$B$1000,(SUMIFS(History_Q!$B$2:$B$1000,History_Q!$A$2:$A$1000,D$6,History_Q!$C$2:$C$1000,"eps")-4),History_Q!$E$2:$E$1000,"$/share",History_Q!$G$2:$G$1000,"populated")=0),"",SUMIFS(History_Q!$D$2:$D$1000,History_Q!$C$2:$C$1000,"eps",History_Q!$B$2:$B$1000,(SUMIFS(History_Q!$B$2:$B$1000,History_Q!$A$2:$A$1000,D$6,History_Q!$C$2:$C$1000,"eps")),History_Q!$E$2:$E$1000,"$/share",History_Q!$G$2:$G$1000,"populated")/SUMIFS(History_Q!$D$2:$D$1000,History_Q!$C$2:$C$1000,"eps",History_Q!$B$2:$B$1000,(SUMIFS(History_Q!$B$2:$B$1000,History_Q!$A$2:$A$1000,D$6,History_Q!$C$2:$C$1000,"eps")-4),History_Q!$E$2:$E$1000,"$/share",History_Q!$G$2:$G$1000,"populated")-1)</f>
        <v/>
      </c>
      <c r="E108" s="447">
        <f>IF(OR(E$6="",COUNTIFS(History_Q!$C$2:$C$1000,"eps",History_Q!$B$2:$B$1000,(SUMIFS(History_Q!$B$2:$B$1000,History_Q!$A$2:$A$1000,E$6,History_Q!$C$2:$C$1000,"eps")),History_Q!$E$2:$E$1000,"$/share",History_Q!$G$2:$G$1000,"populated")&lt;&gt;1,COUNTIFS(History_Q!$C$2:$C$1000,"eps",History_Q!$B$2:$B$1000,(SUMIFS(History_Q!$B$2:$B$1000,History_Q!$A$2:$A$1000,E$6,History_Q!$C$2:$C$1000,"eps")-4),History_Q!$E$2:$E$1000,"$/share",History_Q!$G$2:$G$1000,"populated")&lt;&gt;1,SUMIFS(History_Q!$D$2:$D$1000,History_Q!$C$2:$C$1000,"eps",History_Q!$B$2:$B$1000,(SUMIFS(History_Q!$B$2:$B$1000,History_Q!$A$2:$A$1000,E$6,History_Q!$C$2:$C$1000,"eps")-4),History_Q!$E$2:$E$1000,"$/share",History_Q!$G$2:$G$1000,"populated")=0),"",SUMIFS(History_Q!$D$2:$D$1000,History_Q!$C$2:$C$1000,"eps",History_Q!$B$2:$B$1000,(SUMIFS(History_Q!$B$2:$B$1000,History_Q!$A$2:$A$1000,E$6,History_Q!$C$2:$C$1000,"eps")),History_Q!$E$2:$E$1000,"$/share",History_Q!$G$2:$G$1000,"populated")/SUMIFS(History_Q!$D$2:$D$1000,History_Q!$C$2:$C$1000,"eps",History_Q!$B$2:$B$1000,(SUMIFS(History_Q!$B$2:$B$1000,History_Q!$A$2:$A$1000,E$6,History_Q!$C$2:$C$1000,"eps")-4),History_Q!$E$2:$E$1000,"$/share",History_Q!$G$2:$G$1000,"populated")-1)</f>
        <v/>
      </c>
      <c r="F108" s="447">
        <f>IF(OR(F$6="",COUNTIFS(History_Q!$C$2:$C$1000,"eps",History_Q!$B$2:$B$1000,(SUMIFS(History_Q!$B$2:$B$1000,History_Q!$A$2:$A$1000,F$6,History_Q!$C$2:$C$1000,"eps")),History_Q!$E$2:$E$1000,"$/share",History_Q!$G$2:$G$1000,"populated")&lt;&gt;1,COUNTIFS(History_Q!$C$2:$C$1000,"eps",History_Q!$B$2:$B$1000,(SUMIFS(History_Q!$B$2:$B$1000,History_Q!$A$2:$A$1000,F$6,History_Q!$C$2:$C$1000,"eps")-4),History_Q!$E$2:$E$1000,"$/share",History_Q!$G$2:$G$1000,"populated")&lt;&gt;1,SUMIFS(History_Q!$D$2:$D$1000,History_Q!$C$2:$C$1000,"eps",History_Q!$B$2:$B$1000,(SUMIFS(History_Q!$B$2:$B$1000,History_Q!$A$2:$A$1000,F$6,History_Q!$C$2:$C$1000,"eps")-4),History_Q!$E$2:$E$1000,"$/share",History_Q!$G$2:$G$1000,"populated")=0),"",SUMIFS(History_Q!$D$2:$D$1000,History_Q!$C$2:$C$1000,"eps",History_Q!$B$2:$B$1000,(SUMIFS(History_Q!$B$2:$B$1000,History_Q!$A$2:$A$1000,F$6,History_Q!$C$2:$C$1000,"eps")),History_Q!$E$2:$E$1000,"$/share",History_Q!$G$2:$G$1000,"populated")/SUMIFS(History_Q!$D$2:$D$1000,History_Q!$C$2:$C$1000,"eps",History_Q!$B$2:$B$1000,(SUMIFS(History_Q!$B$2:$B$1000,History_Q!$A$2:$A$1000,F$6,History_Q!$C$2:$C$1000,"eps")-4),History_Q!$E$2:$E$1000,"$/share",History_Q!$G$2:$G$1000,"populated")-1)</f>
        <v/>
      </c>
      <c r="G108" s="447">
        <f>IF(OR(G$6="",COUNTIFS(History_Q!$C$2:$C$1000,"eps",History_Q!$B$2:$B$1000,(SUMIFS(History_Q!$B$2:$B$1000,History_Q!$A$2:$A$1000,G$6,History_Q!$C$2:$C$1000,"eps")),History_Q!$E$2:$E$1000,"$/share",History_Q!$G$2:$G$1000,"populated")&lt;&gt;1,COUNTIFS(History_Q!$C$2:$C$1000,"eps",History_Q!$B$2:$B$1000,(SUMIFS(History_Q!$B$2:$B$1000,History_Q!$A$2:$A$1000,G$6,History_Q!$C$2:$C$1000,"eps")-4),History_Q!$E$2:$E$1000,"$/share",History_Q!$G$2:$G$1000,"populated")&lt;&gt;1,SUMIFS(History_Q!$D$2:$D$1000,History_Q!$C$2:$C$1000,"eps",History_Q!$B$2:$B$1000,(SUMIFS(History_Q!$B$2:$B$1000,History_Q!$A$2:$A$1000,G$6,History_Q!$C$2:$C$1000,"eps")-4),History_Q!$E$2:$E$1000,"$/share",History_Q!$G$2:$G$1000,"populated")=0),"",SUMIFS(History_Q!$D$2:$D$1000,History_Q!$C$2:$C$1000,"eps",History_Q!$B$2:$B$1000,(SUMIFS(History_Q!$B$2:$B$1000,History_Q!$A$2:$A$1000,G$6,History_Q!$C$2:$C$1000,"eps")),History_Q!$E$2:$E$1000,"$/share",History_Q!$G$2:$G$1000,"populated")/SUMIFS(History_Q!$D$2:$D$1000,History_Q!$C$2:$C$1000,"eps",History_Q!$B$2:$B$1000,(SUMIFS(History_Q!$B$2:$B$1000,History_Q!$A$2:$A$1000,G$6,History_Q!$C$2:$C$1000,"eps")-4),History_Q!$E$2:$E$1000,"$/share",History_Q!$G$2:$G$1000,"populated")-1)</f>
        <v/>
      </c>
      <c r="H108" s="447">
        <f>IF(OR(H$6="",COUNTIFS(History_Q!$C$2:$C$1000,"eps",History_Q!$B$2:$B$1000,(SUMIFS(History_Q!$B$2:$B$1000,History_Q!$A$2:$A$1000,H$6,History_Q!$C$2:$C$1000,"eps")),History_Q!$E$2:$E$1000,"$/share",History_Q!$G$2:$G$1000,"populated")&lt;&gt;1,COUNTIFS(History_Q!$C$2:$C$1000,"eps",History_Q!$B$2:$B$1000,(SUMIFS(History_Q!$B$2:$B$1000,History_Q!$A$2:$A$1000,H$6,History_Q!$C$2:$C$1000,"eps")-4),History_Q!$E$2:$E$1000,"$/share",History_Q!$G$2:$G$1000,"populated")&lt;&gt;1,SUMIFS(History_Q!$D$2:$D$1000,History_Q!$C$2:$C$1000,"eps",History_Q!$B$2:$B$1000,(SUMIFS(History_Q!$B$2:$B$1000,History_Q!$A$2:$A$1000,H$6,History_Q!$C$2:$C$1000,"eps")-4),History_Q!$E$2:$E$1000,"$/share",History_Q!$G$2:$G$1000,"populated")=0),"",SUMIFS(History_Q!$D$2:$D$1000,History_Q!$C$2:$C$1000,"eps",History_Q!$B$2:$B$1000,(SUMIFS(History_Q!$B$2:$B$1000,History_Q!$A$2:$A$1000,H$6,History_Q!$C$2:$C$1000,"eps")),History_Q!$E$2:$E$1000,"$/share",History_Q!$G$2:$G$1000,"populated")/SUMIFS(History_Q!$D$2:$D$1000,History_Q!$C$2:$C$1000,"eps",History_Q!$B$2:$B$1000,(SUMIFS(History_Q!$B$2:$B$1000,History_Q!$A$2:$A$1000,H$6,History_Q!$C$2:$C$1000,"eps")-4),History_Q!$E$2:$E$1000,"$/share",History_Q!$G$2:$G$1000,"populated")-1)</f>
        <v/>
      </c>
      <c r="I108" s="447">
        <f>IF(OR(I$6="",COUNTIFS(History_Q!$C$2:$C$1000,"eps",History_Q!$B$2:$B$1000,(SUMIFS(History_Q!$B$2:$B$1000,History_Q!$A$2:$A$1000,I$6,History_Q!$C$2:$C$1000,"eps")),History_Q!$E$2:$E$1000,"$/share",History_Q!$G$2:$G$1000,"populated")&lt;&gt;1,COUNTIFS(History_Q!$C$2:$C$1000,"eps",History_Q!$B$2:$B$1000,(SUMIFS(History_Q!$B$2:$B$1000,History_Q!$A$2:$A$1000,I$6,History_Q!$C$2:$C$1000,"eps")-4),History_Q!$E$2:$E$1000,"$/share",History_Q!$G$2:$G$1000,"populated")&lt;&gt;1,SUMIFS(History_Q!$D$2:$D$1000,History_Q!$C$2:$C$1000,"eps",History_Q!$B$2:$B$1000,(SUMIFS(History_Q!$B$2:$B$1000,History_Q!$A$2:$A$1000,I$6,History_Q!$C$2:$C$1000,"eps")-4),History_Q!$E$2:$E$1000,"$/share",History_Q!$G$2:$G$1000,"populated")=0),"",SUMIFS(History_Q!$D$2:$D$1000,History_Q!$C$2:$C$1000,"eps",History_Q!$B$2:$B$1000,(SUMIFS(History_Q!$B$2:$B$1000,History_Q!$A$2:$A$1000,I$6,History_Q!$C$2:$C$1000,"eps")),History_Q!$E$2:$E$1000,"$/share",History_Q!$G$2:$G$1000,"populated")/SUMIFS(History_Q!$D$2:$D$1000,History_Q!$C$2:$C$1000,"eps",History_Q!$B$2:$B$1000,(SUMIFS(History_Q!$B$2:$B$1000,History_Q!$A$2:$A$1000,I$6,History_Q!$C$2:$C$1000,"eps")-4),History_Q!$E$2:$E$1000,"$/share",History_Q!$G$2:$G$1000,"populated")-1)</f>
        <v/>
      </c>
      <c r="J108" s="447">
        <f>IF(OR(J$6="",COUNTIFS(History_Q!$C$2:$C$1000,"eps",History_Q!$B$2:$B$1000,(SUMIFS(History_Q!$B$2:$B$1000,History_Q!$A$2:$A$1000,J$6,History_Q!$C$2:$C$1000,"eps")),History_Q!$E$2:$E$1000,"$/share",History_Q!$G$2:$G$1000,"populated")&lt;&gt;1,COUNTIFS(History_Q!$C$2:$C$1000,"eps",History_Q!$B$2:$B$1000,(SUMIFS(History_Q!$B$2:$B$1000,History_Q!$A$2:$A$1000,J$6,History_Q!$C$2:$C$1000,"eps")-4),History_Q!$E$2:$E$1000,"$/share",History_Q!$G$2:$G$1000,"populated")&lt;&gt;1,SUMIFS(History_Q!$D$2:$D$1000,History_Q!$C$2:$C$1000,"eps",History_Q!$B$2:$B$1000,(SUMIFS(History_Q!$B$2:$B$1000,History_Q!$A$2:$A$1000,J$6,History_Q!$C$2:$C$1000,"eps")-4),History_Q!$E$2:$E$1000,"$/share",History_Q!$G$2:$G$1000,"populated")=0),"",SUMIFS(History_Q!$D$2:$D$1000,History_Q!$C$2:$C$1000,"eps",History_Q!$B$2:$B$1000,(SUMIFS(History_Q!$B$2:$B$1000,History_Q!$A$2:$A$1000,J$6,History_Q!$C$2:$C$1000,"eps")),History_Q!$E$2:$E$1000,"$/share",History_Q!$G$2:$G$1000,"populated")/SUMIFS(History_Q!$D$2:$D$1000,History_Q!$C$2:$C$1000,"eps",History_Q!$B$2:$B$1000,(SUMIFS(History_Q!$B$2:$B$1000,History_Q!$A$2:$A$1000,J$6,History_Q!$C$2:$C$1000,"eps")-4),History_Q!$E$2:$E$1000,"$/share",History_Q!$G$2:$G$1000,"populated")-1)</f>
        <v/>
      </c>
      <c r="K108" s="447">
        <f>IF(OR(K$6="",COUNTIFS(History_Q!$C$2:$C$1000,"eps",History_Q!$B$2:$B$1000,(SUMIFS(History_Q!$B$2:$B$1000,History_Q!$A$2:$A$1000,K$6,History_Q!$C$2:$C$1000,"eps")),History_Q!$E$2:$E$1000,"$/share",History_Q!$G$2:$G$1000,"populated")&lt;&gt;1,COUNTIFS(History_Q!$C$2:$C$1000,"eps",History_Q!$B$2:$B$1000,(SUMIFS(History_Q!$B$2:$B$1000,History_Q!$A$2:$A$1000,K$6,History_Q!$C$2:$C$1000,"eps")-4),History_Q!$E$2:$E$1000,"$/share",History_Q!$G$2:$G$1000,"populated")&lt;&gt;1,SUMIFS(History_Q!$D$2:$D$1000,History_Q!$C$2:$C$1000,"eps",History_Q!$B$2:$B$1000,(SUMIFS(History_Q!$B$2:$B$1000,History_Q!$A$2:$A$1000,K$6,History_Q!$C$2:$C$1000,"eps")-4),History_Q!$E$2:$E$1000,"$/share",History_Q!$G$2:$G$1000,"populated")=0),"",SUMIFS(History_Q!$D$2:$D$1000,History_Q!$C$2:$C$1000,"eps",History_Q!$B$2:$B$1000,(SUMIFS(History_Q!$B$2:$B$1000,History_Q!$A$2:$A$1000,K$6,History_Q!$C$2:$C$1000,"eps")),History_Q!$E$2:$E$1000,"$/share",History_Q!$G$2:$G$1000,"populated")/SUMIFS(History_Q!$D$2:$D$1000,History_Q!$C$2:$C$1000,"eps",History_Q!$B$2:$B$1000,(SUMIFS(History_Q!$B$2:$B$1000,History_Q!$A$2:$A$1000,K$6,History_Q!$C$2:$C$1000,"eps")-4),History_Q!$E$2:$E$1000,"$/share",History_Q!$G$2:$G$1000,"populated")-1)</f>
        <v/>
      </c>
      <c r="L108" s="447">
        <f>IF(OR(L$6="",COUNTIFS(History_Q!$C$2:$C$1000,"eps",History_Q!$B$2:$B$1000,(SUMIFS(History_Q!$B$2:$B$1000,History_Q!$A$2:$A$1000,L$6,History_Q!$C$2:$C$1000,"eps")),History_Q!$E$2:$E$1000,"$/share",History_Q!$G$2:$G$1000,"populated")&lt;&gt;1,COUNTIFS(History_Q!$C$2:$C$1000,"eps",History_Q!$B$2:$B$1000,(SUMIFS(History_Q!$B$2:$B$1000,History_Q!$A$2:$A$1000,L$6,History_Q!$C$2:$C$1000,"eps")-4),History_Q!$E$2:$E$1000,"$/share",History_Q!$G$2:$G$1000,"populated")&lt;&gt;1,SUMIFS(History_Q!$D$2:$D$1000,History_Q!$C$2:$C$1000,"eps",History_Q!$B$2:$B$1000,(SUMIFS(History_Q!$B$2:$B$1000,History_Q!$A$2:$A$1000,L$6,History_Q!$C$2:$C$1000,"eps")-4),History_Q!$E$2:$E$1000,"$/share",History_Q!$G$2:$G$1000,"populated")=0),"",SUMIFS(History_Q!$D$2:$D$1000,History_Q!$C$2:$C$1000,"eps",History_Q!$B$2:$B$1000,(SUMIFS(History_Q!$B$2:$B$1000,History_Q!$A$2:$A$1000,L$6,History_Q!$C$2:$C$1000,"eps")),History_Q!$E$2:$E$1000,"$/share",History_Q!$G$2:$G$1000,"populated")/SUMIFS(History_Q!$D$2:$D$1000,History_Q!$C$2:$C$1000,"eps",History_Q!$B$2:$B$1000,(SUMIFS(History_Q!$B$2:$B$1000,History_Q!$A$2:$A$1000,L$6,History_Q!$C$2:$C$1000,"eps")-4),History_Q!$E$2:$E$1000,"$/share",History_Q!$G$2:$G$1000,"populated")-1)</f>
        <v/>
      </c>
      <c r="M108" s="447">
        <f>IF(OR(M$6="",COUNTIFS(History_Q!$C$2:$C$1000,"eps",History_Q!$B$2:$B$1000,(SUMIFS(History_Q!$B$2:$B$1000,History_Q!$A$2:$A$1000,M$6,History_Q!$C$2:$C$1000,"eps")),History_Q!$E$2:$E$1000,"$/share",History_Q!$G$2:$G$1000,"populated")&lt;&gt;1,COUNTIFS(History_Q!$C$2:$C$1000,"eps",History_Q!$B$2:$B$1000,(SUMIFS(History_Q!$B$2:$B$1000,History_Q!$A$2:$A$1000,M$6,History_Q!$C$2:$C$1000,"eps")-4),History_Q!$E$2:$E$1000,"$/share",History_Q!$G$2:$G$1000,"populated")&lt;&gt;1,SUMIFS(History_Q!$D$2:$D$1000,History_Q!$C$2:$C$1000,"eps",History_Q!$B$2:$B$1000,(SUMIFS(History_Q!$B$2:$B$1000,History_Q!$A$2:$A$1000,M$6,History_Q!$C$2:$C$1000,"eps")-4),History_Q!$E$2:$E$1000,"$/share",History_Q!$G$2:$G$1000,"populated")=0),"",SUMIFS(History_Q!$D$2:$D$1000,History_Q!$C$2:$C$1000,"eps",History_Q!$B$2:$B$1000,(SUMIFS(History_Q!$B$2:$B$1000,History_Q!$A$2:$A$1000,M$6,History_Q!$C$2:$C$1000,"eps")),History_Q!$E$2:$E$1000,"$/share",History_Q!$G$2:$G$1000,"populated")/SUMIFS(History_Q!$D$2:$D$1000,History_Q!$C$2:$C$1000,"eps",History_Q!$B$2:$B$1000,(SUMIFS(History_Q!$B$2:$B$1000,History_Q!$A$2:$A$1000,M$6,History_Q!$C$2:$C$1000,"eps")-4),History_Q!$E$2:$E$1000,"$/share",History_Q!$G$2:$G$1000,"populated")-1)</f>
        <v/>
      </c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Diluted EPS (GAAP, TTM)</t>
        </is>
      </c>
      <c r="B109" s="463">
        <f>IF(OR(B$6="",COUNTIFS(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4,MAX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-MIN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3),"",SUMIFS(History_Q!$D$2:$D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)</f>
        <v/>
      </c>
      <c r="C109" s="463">
        <f>IF(OR(C$6="",COUNTIFS(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4,MAX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-MIN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3),"",SUMIFS(History_Q!$D$2:$D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)</f>
        <v/>
      </c>
      <c r="D109" s="463">
        <f>IF(OR(D$6="",COUNTIFS(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4,MAX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-MIN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3),"",SUMIFS(History_Q!$D$2:$D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)</f>
        <v/>
      </c>
      <c r="E109" s="463">
        <f>IF(OR(E$6="",COUNTIFS(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4,MAX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-MIN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3),"",SUMIFS(History_Q!$D$2:$D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)</f>
        <v/>
      </c>
      <c r="F109" s="463">
        <f>IF(OR(F$6="",COUNTIFS(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4,MAX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-MIN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3),"",SUMIFS(History_Q!$D$2:$D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)</f>
        <v/>
      </c>
      <c r="G109" s="463">
        <f>IF(OR(G$6="",COUNTIFS(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4,MAX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-MIN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3),"",SUMIFS(History_Q!$D$2:$D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)</f>
        <v/>
      </c>
      <c r="H109" s="463">
        <f>IF(OR(H$6="",COUNTIFS(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4,MAX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-MIN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3),"",SUMIFS(History_Q!$D$2:$D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)</f>
        <v/>
      </c>
      <c r="I109" s="463">
        <f>IF(OR(I$6="",COUNTIFS(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4,MAX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-MIN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3),"",SUMIFS(History_Q!$D$2:$D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)</f>
        <v/>
      </c>
      <c r="J109" s="463">
        <f>IF(OR(J$6="",COUNTIFS(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4,MAX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-MIN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3),"",SUMIFS(History_Q!$D$2:$D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)</f>
        <v/>
      </c>
      <c r="K109" s="463">
        <f>IF(OR(K$6="",COUNTIFS(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4,MAX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-MIN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3),"",SUMIFS(History_Q!$D$2:$D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)</f>
        <v/>
      </c>
      <c r="L109" s="463">
        <f>IF(OR(L$6="",COUNTIFS(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4,MAX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-MIN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3),"",SUMIFS(History_Q!$D$2:$D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)</f>
        <v/>
      </c>
      <c r="M109" s="463">
        <f>IF(OR(M$6="",COUNTIFS(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4,MAX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-MIN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3),"",SUMIFS(History_Q!$D$2:$D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)</f>
        <v/>
      </c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Adjusted diluted EPS</t>
        </is>
      </c>
      <c r="B110" s="445" t="n"/>
      <c r="C110" s="445" t="n"/>
      <c r="D110" s="445" t="n"/>
      <c r="E110" s="445" t="n"/>
      <c r="F110" s="445" t="n"/>
      <c r="G110" s="445" t="n"/>
      <c r="H110" s="445" t="n"/>
      <c r="I110" s="445" t="n"/>
      <c r="J110" s="445" t="n"/>
      <c r="K110" s="445" t="n"/>
      <c r="L110" s="445" t="n"/>
      <c r="M110" s="445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Adjusted diluted EPS (TTM)</t>
        </is>
      </c>
      <c r="B111" s="463">
        <f>IF(OR(B$6="",COUNTIFS(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4,MAX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-MIN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)</f>
        <v/>
      </c>
      <c r="C111" s="463">
        <f>IF(OR(C$6="",COUNTIFS(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4,MAX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-MIN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)</f>
        <v/>
      </c>
      <c r="D111" s="463">
        <f>IF(OR(D$6="",COUNTIFS(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4,MAX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-MIN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)</f>
        <v/>
      </c>
      <c r="E111" s="463">
        <f>IF(OR(E$6="",COUNTIFS(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4,MAX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-MIN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)</f>
        <v/>
      </c>
      <c r="F111" s="463">
        <f>IF(OR(F$6="",COUNTIFS(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4,MAX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-MIN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)</f>
        <v/>
      </c>
      <c r="G111" s="463">
        <f>IF(OR(G$6="",COUNTIFS(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4,MAX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-MIN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)</f>
        <v/>
      </c>
      <c r="H111" s="463">
        <f>IF(OR(H$6="",COUNTIFS(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4,MAX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-MIN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)</f>
        <v/>
      </c>
      <c r="I111" s="463">
        <f>IF(OR(I$6="",COUNTIFS(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4,MAX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-MIN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)</f>
        <v/>
      </c>
      <c r="J111" s="463">
        <f>IF(OR(J$6="",COUNTIFS(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4,MAX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-MIN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)</f>
        <v/>
      </c>
      <c r="K111" s="463">
        <f>IF(OR(K$6="",COUNTIFS(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4,MAX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-MIN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)</f>
        <v/>
      </c>
      <c r="L111" s="463">
        <f>IF(OR(L$6="",COUNTIFS(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4,MAX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-MIN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)</f>
        <v/>
      </c>
      <c r="M111" s="463">
        <f>IF(OR(M$6="",COUNTIFS(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4,MAX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-MIN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)</f>
        <v/>
      </c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Book value/share</t>
        </is>
      </c>
      <c r="B113" s="463">
        <f>IF(OR(B268="",B103="",B103=0),"",B268/B103)</f>
        <v/>
      </c>
      <c r="C113" s="463">
        <f>IF(OR(C268="",C103="",C103=0),"",C268/C103)</f>
        <v/>
      </c>
      <c r="D113" s="463">
        <f>IF(OR(D268="",D103="",D103=0),"",D268/D103)</f>
        <v/>
      </c>
      <c r="E113" s="463">
        <f>IF(OR(E268="",E103="",E103=0),"",E268/E103)</f>
        <v/>
      </c>
      <c r="F113" s="463">
        <f>IF(OR(F268="",F103="",F103=0),"",F268/F103)</f>
        <v/>
      </c>
      <c r="G113" s="463">
        <f>IF(OR(G268="",G103="",G103=0),"",G268/G103)</f>
        <v/>
      </c>
      <c r="H113" s="463">
        <f>IF(OR(H268="",H103="",H103=0),"",H268/H103)</f>
        <v/>
      </c>
      <c r="I113" s="463">
        <f>IF(OR(I268="",I103="",I103=0),"",I268/I103)</f>
        <v/>
      </c>
      <c r="J113" s="463">
        <f>IF(OR(J268="",J103="",J103=0),"",J268/J103)</f>
        <v/>
      </c>
      <c r="K113" s="463">
        <f>IF(OR(K268="",K103="",K103=0),"",K268/K103)</f>
        <v/>
      </c>
      <c r="L113" s="463">
        <f>IF(OR(L268="",L103="",L103=0),"",L268/L103)</f>
        <v/>
      </c>
      <c r="M113" s="463">
        <f>IF(OR(M268="",M103="",M103=0),"",M268/M103)</f>
        <v/>
      </c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Tangible book value/share</t>
        </is>
      </c>
      <c r="B114" s="463">
        <f>IF(OR(B268="",B269="",B270="",B103="",B103=0),"",(B268-B269-B270)/B103)</f>
        <v/>
      </c>
      <c r="C114" s="463">
        <f>IF(OR(C268="",C269="",C270="",C103="",C103=0),"",(C268-C269-C270)/C103)</f>
        <v/>
      </c>
      <c r="D114" s="463">
        <f>IF(OR(D268="",D269="",D270="",D103="",D103=0),"",(D268-D269-D270)/D103)</f>
        <v/>
      </c>
      <c r="E114" s="463">
        <f>IF(OR(E268="",E269="",E270="",E103="",E103=0),"",(E268-E269-E270)/E103)</f>
        <v/>
      </c>
      <c r="F114" s="463">
        <f>IF(OR(F268="",F269="",F270="",F103="",F103=0),"",(F268-F269-F270)/F103)</f>
        <v/>
      </c>
      <c r="G114" s="463">
        <f>IF(OR(G268="",G269="",G270="",G103="",G103=0),"",(G268-G269-G270)/G103)</f>
        <v/>
      </c>
      <c r="H114" s="463">
        <f>IF(OR(H268="",H269="",H270="",H103="",H103=0),"",(H268-H269-H270)/H103)</f>
        <v/>
      </c>
      <c r="I114" s="463">
        <f>IF(OR(I268="",I269="",I270="",I103="",I103=0),"",(I268-I269-I270)/I103)</f>
        <v/>
      </c>
      <c r="J114" s="463">
        <f>IF(OR(J268="",J269="",J270="",J103="",J103=0),"",(J268-J269-J270)/J103)</f>
        <v/>
      </c>
      <c r="K114" s="463">
        <f>IF(OR(K268="",K269="",K270="",K103="",K103=0),"",(K268-K269-K270)/K103)</f>
        <v/>
      </c>
      <c r="L114" s="463">
        <f>IF(OR(L268="",L269="",L270="",L103="",L103=0),"",(L268-L269-L270)/L103)</f>
        <v/>
      </c>
      <c r="M114" s="463">
        <f>IF(OR(M268="",M269="",M270="",M103="",M103=0),"",(M268-M269-M270)/M103)</f>
        <v/>
      </c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463">
        <f>IF(OR(B49="",B102="",B102=0),"",B49/B102)</f>
        <v/>
      </c>
      <c r="C115" s="463">
        <f>IF(OR(C49="",C102="",C102=0),"",C49/C102)</f>
        <v/>
      </c>
      <c r="D115" s="463">
        <f>IF(OR(D49="",D102="",D102=0),"",D49/D102)</f>
        <v/>
      </c>
      <c r="E115" s="463">
        <f>IF(OR(E49="",E102="",E102=0),"",E49/E102)</f>
        <v/>
      </c>
      <c r="F115" s="463">
        <f>IF(OR(F49="",F102="",F102=0),"",F49/F102)</f>
        <v/>
      </c>
      <c r="G115" s="463">
        <f>IF(OR(G49="",G102="",G102=0),"",G49/G102)</f>
        <v/>
      </c>
      <c r="H115" s="463">
        <f>IF(OR(H49="",H102="",H102=0),"",H49/H102)</f>
        <v/>
      </c>
      <c r="I115" s="463">
        <f>IF(OR(I49="",I102="",I102=0),"",I49/I102)</f>
        <v/>
      </c>
      <c r="J115" s="463">
        <f>IF(OR(J49="",J102="",J102=0),"",J49/J102)</f>
        <v/>
      </c>
      <c r="K115" s="463">
        <f>IF(OR(K49="",K102="",K102=0),"",K49/K102)</f>
        <v/>
      </c>
      <c r="L115" s="463">
        <f>IF(OR(L49="",L102="",L102=0),"",L49/L102)</f>
        <v/>
      </c>
      <c r="M115" s="463">
        <f>IF(OR(M49="",M102="",M102=0),"",M49/M102)</f>
        <v/>
      </c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64" t="inlineStr">
        <is>
          <t>Debt Detail (latest)</t>
        </is>
      </c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91" t="inlineStr">
        <is>
          <t>Year/Label</t>
        </is>
      </c>
      <c r="B123" s="465" t="inlineStr">
        <is>
          <t>Principal due ($m)</t>
        </is>
      </c>
      <c r="C123" s="465" t="inlineStr">
        <is>
          <t>Rate type</t>
        </is>
      </c>
      <c r="D123" s="465" t="inlineStr">
        <is>
          <t>Coupon/Spread %</t>
        </is>
      </c>
      <c r="F123" s="465" t="inlineStr">
        <is>
          <t>Maturity</t>
        </is>
      </c>
      <c r="G123" s="465" t="inlineStr">
        <is>
          <t>Conversion price</t>
        </is>
      </c>
      <c r="I123" s="465" t="inlineStr">
        <is>
          <t>Added shares on full conversion (m)</t>
        </is>
      </c>
      <c r="L123" s="465" t="inlineStr">
        <is>
          <t>Concurrent repurchased shares (m)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64" t="inlineStr">
        <is>
          <t>Hidden value flags</t>
        </is>
      </c>
      <c r="N137" s="466" t="inlineStr">
        <is>
          <t>Hidden Value Panel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Flag</t>
        </is>
      </c>
      <c r="B138" s="467" t="inlineStr">
        <is>
          <t>Summary</t>
        </is>
      </c>
      <c r="C138" s="467" t="inlineStr"/>
      <c r="D138" s="467" t="inlineStr"/>
      <c r="E138" s="467" t="inlineStr"/>
      <c r="F138" s="467" t="inlineStr">
        <is>
          <t>Score</t>
        </is>
      </c>
      <c r="G138" s="467" t="inlineStr">
        <is>
          <t>Severity</t>
        </is>
      </c>
      <c r="H138" s="467" t="inlineStr">
        <is>
          <t>Result / support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Hidden value score (0-100)</t>
        </is>
      </c>
      <c r="O138" s="104" t="n"/>
      <c r="P138" s="104" t="n"/>
      <c r="Q138" s="105" t="n"/>
      <c r="R138" s="100" t="n"/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19.5" customHeight="1">
      <c r="A139" s="102" t="inlineStr">
        <is>
          <t>No triggered flags</t>
        </is>
      </c>
      <c r="B139" s="103" t="n"/>
      <c r="C139" s="104" t="n"/>
      <c r="D139" s="104" t="n"/>
      <c r="E139" s="105" t="n"/>
      <c r="F139" s="106" t="n"/>
      <c r="G139" s="103" t="n"/>
      <c r="H139" s="107" t="n"/>
      <c r="I139" s="104" t="n"/>
      <c r="J139" s="104" t="n"/>
      <c r="K139" s="104" t="n"/>
      <c r="L139" s="104" t="n"/>
      <c r="M139" s="105" t="n"/>
      <c r="N139" s="98" t="inlineStr">
        <is>
          <t>Profitability inflection</t>
        </is>
      </c>
      <c r="O139" s="104" t="n"/>
      <c r="P139" s="104" t="n"/>
      <c r="Q139" s="105" t="n"/>
      <c r="R139" s="100" t="n"/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>
        <f>IFERROR(MATCH(1,'Hidden_Value_Flags'!$L$2:$L$100,0)+1,"")</f>
        <v/>
      </c>
    </row>
    <row r="140" ht="19.5" customHeight="1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98" t="inlineStr">
        <is>
          <t>Cash engine</t>
        </is>
      </c>
      <c r="O140" s="104" t="n"/>
      <c r="P140" s="104" t="n"/>
      <c r="Q140" s="105" t="n"/>
      <c r="R140" s="100" t="n"/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19.5" customHeight="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98" t="inlineStr">
        <is>
          <t>Deleveraging/risk down</t>
        </is>
      </c>
      <c r="O141" s="104" t="n"/>
      <c r="P141" s="104" t="n"/>
      <c r="Q141" s="105" t="n"/>
      <c r="R141" s="100" t="n"/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19.5" customHeight="1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98" t="inlineStr">
        <is>
          <t>Quality of earnings</t>
        </is>
      </c>
      <c r="O142" s="104" t="n"/>
      <c r="P142" s="104" t="n"/>
      <c r="Q142" s="105" t="n"/>
      <c r="R142" s="100" t="n"/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19.5" customHeight="1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98" t="inlineStr">
        <is>
          <t>Narrative confirmation</t>
        </is>
      </c>
      <c r="O143" s="104" t="n"/>
      <c r="P143" s="104" t="n"/>
      <c r="Q143" s="105" t="n"/>
      <c r="R143" s="100" t="n"/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t="19.5" customHeight="1">
      <c r="A145" s="464" t="inlineStr">
        <is>
          <t>Operating signals</t>
        </is>
      </c>
      <c r="B145" s="31" t="n"/>
      <c r="C145" s="31" t="n"/>
      <c r="D145" s="31" t="n"/>
      <c r="E145" s="31" t="n"/>
      <c r="F145" s="31" t="n"/>
      <c r="G145" s="31" t="n"/>
      <c r="H145" s="31" t="n"/>
      <c r="I145" s="31" t="n"/>
      <c r="J145" s="31" t="n"/>
      <c r="K145" s="31" t="n"/>
      <c r="L145" s="31" t="n"/>
      <c r="M145" s="31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t="19.5" customHeight="1">
      <c r="A146" s="108" t="inlineStr">
        <is>
          <t>Signal 1</t>
        </is>
      </c>
      <c r="B146" s="101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t="19.5" customHeight="1">
      <c r="A147" s="108" t="inlineStr">
        <is>
          <t>Signal 2</t>
        </is>
      </c>
      <c r="B147" s="101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t="19.5" customHeight="1">
      <c r="A148" s="108" t="inlineStr">
        <is>
          <t>Signal 3</t>
        </is>
      </c>
      <c r="B148" s="101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t="19.5" customHeight="1">
      <c r="A149" s="108" t="inlineStr">
        <is>
          <t>Signal 4</t>
        </is>
      </c>
      <c r="B149" s="101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t="19.5" customHeight="1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t="19.5" customHeight="1">
      <c r="A151" s="464" t="inlineStr">
        <is>
          <t>Capital return</t>
        </is>
      </c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1" t="n"/>
      <c r="K151" s="31" t="n"/>
      <c r="L151" s="31" t="n"/>
      <c r="M151" s="31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t="19.5" customHeight="1">
      <c r="A152" s="108" t="inlineStr">
        <is>
          <t>Buybacks (shares)</t>
        </is>
      </c>
      <c r="B152" s="101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t="19.5" customHeight="1">
      <c r="A153" s="108" t="inlineStr">
        <is>
          <t>Buybacks note</t>
        </is>
      </c>
      <c r="B153" s="101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t="19.5" customHeight="1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t="19.5" customHeight="1">
      <c r="A155" s="108" t="inlineStr">
        <is>
          <t>Dividends ($/share)</t>
        </is>
      </c>
      <c r="B155" s="101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t="19.5" customHeight="1">
      <c r="A156" s="108" t="inlineStr">
        <is>
          <t>Dividends note</t>
        </is>
      </c>
      <c r="B156" s="101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t="19.5" customHeight="1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t="19.5" customHeight="1">
      <c r="A158" s="468" t="inlineStr">
        <is>
          <t>Trend/Δ (last 4Q)</t>
        </is>
      </c>
      <c r="B158" s="110" t="n"/>
      <c r="C158" s="110" t="n"/>
      <c r="D158" s="110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t="19.5" customHeight="1">
      <c r="A159" s="111" t="inlineStr">
        <is>
          <t>Metric</t>
        </is>
      </c>
      <c r="B159" s="469" t="inlineStr">
        <is>
          <t>Δ</t>
        </is>
      </c>
      <c r="C159" s="469" t="inlineStr">
        <is>
          <t>Direction</t>
        </is>
      </c>
      <c r="D159" s="469" t="inlineStr">
        <is>
          <t>As-of</t>
        </is>
      </c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t="19.5" customHeight="1">
      <c r="A160" s="28" t="inlineStr">
        <is>
          <t>Revenue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t="19.5" customHeight="1">
      <c r="A161" s="28" t="inlineStr">
        <is>
          <t>Gross margin</t>
        </is>
      </c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t="19.5" customHeight="1">
      <c r="A162" s="28" t="inlineStr">
        <is>
          <t>Operating margin</t>
        </is>
      </c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t="19.5" customHeight="1">
      <c r="A163" s="28" t="inlineStr">
        <is>
          <t>Net margin</t>
        </is>
      </c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t="19.5" customHeight="1">
      <c r="A164" s="28" t="inlineStr">
        <is>
          <t>FCF TTM (YoY)</t>
        </is>
      </c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t="19.5" customHeight="1">
      <c r="A165" s="28" t="inlineStr">
        <is>
          <t>Net debt (YoY Δ)</t>
        </is>
      </c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t="19.5" customHeight="1">
      <c r="A166" s="28" t="inlineStr">
        <is>
          <t>Shares out (YoY)</t>
        </is>
      </c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t="19.5" customHeight="1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t="19.5" customHeight="1">
      <c r="A168" s="470" t="inlineStr">
        <is>
          <t>Red/Green Flags</t>
        </is>
      </c>
      <c r="J168" s="28" t="n"/>
      <c r="K168" s="28" t="n"/>
      <c r="L168" s="28" t="n"/>
      <c r="M168" s="28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t="19.5" customHeight="1">
      <c r="A169" s="471" t="inlineStr">
        <is>
          <t>Flag</t>
        </is>
      </c>
      <c r="B169" s="471" t="inlineStr">
        <is>
          <t>Status</t>
        </is>
      </c>
      <c r="C169" s="472" t="inlineStr">
        <is>
          <t>Evidence</t>
        </is>
      </c>
      <c r="I169" s="471" t="inlineStr">
        <is>
          <t>As-of</t>
        </is>
      </c>
      <c r="J169" s="28" t="n"/>
      <c r="K169" s="28" t="n"/>
      <c r="L169" s="28" t="n"/>
      <c r="M169" s="28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t="19.5" customHeight="1">
      <c r="A170" s="28" t="inlineStr">
        <is>
          <t>Red: Revenue up but CFO down (YoY)</t>
        </is>
      </c>
      <c r="B170" s="28" t="n"/>
      <c r="C170" s="362" t="n"/>
      <c r="I170" s="28" t="n"/>
      <c r="J170" s="28" t="n"/>
      <c r="K170" s="28" t="n"/>
      <c r="L170" s="28" t="n"/>
      <c r="M170" s="28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t="19.5" customHeight="1">
      <c r="A171" s="28" t="inlineStr">
        <is>
          <t>Red: Earnings quality CFO/NI (TTM)</t>
        </is>
      </c>
      <c r="B171" s="28" t="n"/>
      <c r="C171" s="362" t="n"/>
      <c r="I171" s="28" t="n"/>
      <c r="J171" s="28" t="n"/>
      <c r="K171" s="28" t="n"/>
      <c r="L171" s="28" t="n"/>
      <c r="M171" s="28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</row>
    <row r="172" ht="19.5" customHeight="1">
      <c r="A172" s="28" t="inlineStr">
        <is>
          <t>Red: AR growing faster than revenue (YoY)</t>
        </is>
      </c>
      <c r="B172" s="28" t="n"/>
      <c r="C172" s="362" t="n"/>
      <c r="I172" s="28" t="n"/>
      <c r="J172" s="28" t="n"/>
      <c r="K172" s="28" t="n"/>
      <c r="L172" s="28" t="n"/>
      <c r="M172" s="28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t="19.5" customHeight="1">
      <c r="A173" s="28" t="inlineStr">
        <is>
          <t>Red: Inventory build without revenue growth</t>
        </is>
      </c>
      <c r="B173" s="28" t="n"/>
      <c r="C173" s="362" t="n"/>
      <c r="I173" s="28" t="n"/>
      <c r="J173" s="28" t="n"/>
      <c r="K173" s="28" t="n"/>
      <c r="L173" s="28" t="n"/>
      <c r="M173" s="28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t="19.5" customHeight="1">
      <c r="A174" s="28" t="inlineStr">
        <is>
          <t>Red: Debt growing faster than revenue (YoY)</t>
        </is>
      </c>
      <c r="B174" s="28" t="n"/>
      <c r="C174" s="362" t="n"/>
      <c r="I174" s="28" t="n"/>
      <c r="J174" s="28" t="n"/>
      <c r="K174" s="28" t="n"/>
      <c r="L174" s="28" t="n"/>
      <c r="M174" s="28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t="19.5" customHeight="1">
      <c r="A175" s="28" t="inlineStr">
        <is>
          <t>Red: Leverage rising (YoY Δ)</t>
        </is>
      </c>
      <c r="B175" s="28" t="n"/>
      <c r="C175" s="362" t="n"/>
      <c r="I175" s="28" t="n"/>
      <c r="J175" s="28" t="n"/>
      <c r="K175" s="28" t="n"/>
      <c r="L175" s="28" t="n"/>
      <c r="M175" s="28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t="19.5" customHeight="1">
      <c r="A176" s="28" t="inlineStr">
        <is>
          <t>Red: Interest coverage low (cash)</t>
        </is>
      </c>
      <c r="B176" s="28" t="n"/>
      <c r="C176" s="362" t="n"/>
      <c r="I176" s="28" t="n"/>
      <c r="J176" s="28" t="n"/>
      <c r="K176" s="28" t="n"/>
      <c r="L176" s="28" t="n"/>
      <c r="M176" s="28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t="19.5" customHeight="1">
      <c r="A177" s="28" t="inlineStr">
        <is>
          <t>Red: FCF negative while EBITDA positive (TTM)</t>
        </is>
      </c>
      <c r="B177" s="28" t="n"/>
      <c r="C177" s="362" t="n"/>
      <c r="I177" s="28" t="n"/>
      <c r="J177" s="28" t="n"/>
      <c r="K177" s="28" t="n"/>
      <c r="L177" s="28" t="n"/>
      <c r="M177" s="28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t="19.5" customHeight="1">
      <c r="A178" s="28" t="inlineStr">
        <is>
          <t>Watch: Buybacks exceeded FCF</t>
        </is>
      </c>
      <c r="B178" s="28" t="n"/>
      <c r="C178" s="362" t="n"/>
      <c r="I178" s="28" t="n"/>
      <c r="J178" s="28" t="n"/>
      <c r="K178" s="28" t="n"/>
      <c r="L178" s="28" t="n"/>
      <c r="M178" s="28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t="19.5" customHeight="1">
      <c r="A179" s="28" t="inlineStr">
        <is>
          <t>Red: Goodwill heavy</t>
        </is>
      </c>
      <c r="B179" s="28" t="n"/>
      <c r="C179" s="362" t="n"/>
      <c r="I179" s="28" t="n"/>
      <c r="J179" s="28" t="n"/>
      <c r="K179" s="28" t="n"/>
      <c r="L179" s="28" t="n"/>
      <c r="M179" s="28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t="19.5" customHeight="1">
      <c r="A180" s="28" t="inlineStr">
        <is>
          <t>Red: Share dilution (YoY)</t>
        </is>
      </c>
      <c r="B180" s="28" t="n"/>
      <c r="C180" s="362" t="n"/>
      <c r="I180" s="28" t="n"/>
      <c r="J180" s="28" t="n"/>
      <c r="K180" s="28" t="n"/>
      <c r="L180" s="28" t="n"/>
      <c r="M180" s="28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t="19.5" customHeight="1">
      <c r="A181" s="28" t="inlineStr">
        <is>
          <t>Red: Pension obligations pressure</t>
        </is>
      </c>
      <c r="B181" s="28" t="n"/>
      <c r="C181" s="362" t="n"/>
      <c r="I181" s="28" t="n"/>
      <c r="J181" s="28" t="n"/>
      <c r="K181" s="28" t="n"/>
      <c r="L181" s="28" t="n"/>
      <c r="M181" s="28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t="19.5" customHeight="1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t="19.5" customHeight="1">
      <c r="A183" s="28" t="inlineStr">
        <is>
          <t>Green: Operating margin trend QoQ</t>
        </is>
      </c>
      <c r="B183" s="28" t="n"/>
      <c r="C183" s="362" t="n"/>
      <c r="I183" s="28" t="n"/>
      <c r="J183" s="28" t="n"/>
      <c r="K183" s="28" t="n"/>
      <c r="L183" s="28" t="n"/>
      <c r="M183" s="28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t="19.5" customHeight="1">
      <c r="A184" s="28" t="inlineStr">
        <is>
          <t>Green: FCF TTM growth (YoY)</t>
        </is>
      </c>
      <c r="B184" s="28" t="n"/>
      <c r="C184" s="362" t="n"/>
      <c r="I184" s="28" t="n"/>
      <c r="J184" s="28" t="n"/>
      <c r="K184" s="28" t="n"/>
      <c r="L184" s="28" t="n"/>
      <c r="M184" s="28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t="19.5" customHeight="1">
      <c r="A185" s="28" t="inlineStr">
        <is>
          <t>Green: Net debt decreasing (YoY)</t>
        </is>
      </c>
      <c r="B185" s="28" t="n"/>
      <c r="C185" s="362" t="n"/>
      <c r="I185" s="28" t="n"/>
      <c r="J185" s="28" t="n"/>
      <c r="K185" s="28" t="n"/>
      <c r="L185" s="28" t="n"/>
      <c r="M185" s="28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t="19.5" customHeight="1">
      <c r="A186" s="28" t="inlineStr">
        <is>
          <t>Green: Interest coverage improving (YoY)</t>
        </is>
      </c>
      <c r="B186" s="28" t="n"/>
      <c r="C186" s="362" t="n"/>
      <c r="I186" s="28" t="n"/>
      <c r="J186" s="28" t="n"/>
      <c r="K186" s="28" t="n"/>
      <c r="L186" s="28" t="n"/>
      <c r="M186" s="28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t="19.5" customHeight="1">
      <c r="A187" s="28" t="inlineStr">
        <is>
          <t>Green: Shares outstanding decreasing (YoY)</t>
        </is>
      </c>
      <c r="B187" s="28" t="n"/>
      <c r="C187" s="362" t="n"/>
      <c r="I187" s="28" t="n"/>
      <c r="J187" s="28" t="n"/>
      <c r="K187" s="28" t="n"/>
      <c r="L187" s="28" t="n"/>
      <c r="M187" s="28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t="19.5" customHeight="1">
      <c r="A188" s="28" t="inlineStr">
        <is>
          <t>Green: Liquidity improving (YoY)</t>
        </is>
      </c>
      <c r="B188" s="28" t="n"/>
      <c r="C188" s="362" t="n"/>
      <c r="I188" s="28" t="n"/>
      <c r="J188" s="28" t="n"/>
      <c r="K188" s="28" t="n"/>
      <c r="L188" s="28" t="n"/>
      <c r="M188" s="28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73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474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475">
        <f>IF(OR(Price="",Shares=""),"",Price*Shares)</f>
        <v/>
      </c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476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475">
        <f>IF(OR(MarketCap="",NetDebt=""),"",MarketCap+NetDebt)</f>
        <v/>
      </c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445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>
        <f>IF(OR(EV="",Adj_EBITDA="",Adj_EBITDA=0),"",EV/Adj_EBITDA)</f>
        <v/>
      </c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445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>
        <f>IF(OR(EV="",Base_EBITDA="",Base_EBITDA=0),"",EV/Base_EBITDA)</f>
        <v/>
      </c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445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475">
        <f>IF(OR(FCF_TTM="",InterestPaid_TTM=""),"",FCF_TTM+InterestPaid_TTM)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(base, TTM)</t>
        </is>
      </c>
      <c r="D199" s="445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>
        <f>IF(OR(FCFF_Proxy_TTM="",EV="",EV=0),"",FCFF_Proxy_TTM/EV)</f>
        <v/>
      </c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Adjusted EBITDA (TTM)</t>
        </is>
      </c>
      <c r="D200" s="445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>
        <f>IF(OR(FCF_TTM="",MarketCap="",MarketCap=0),"",FCF_TTM/MarketCap)</f>
        <v/>
      </c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445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475">
        <f>IF(OR(FCF_TTM="",Capex_TTM="",MaintCapexRatio="",RecurringCashCosts="",WCNormalization=""),"",FCF_TTM+(1-MaintCapexRatio)*Capex_TTM-RecurringCashCosts+WCNormalization)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CFO TTM ($m)</t>
        </is>
      </c>
      <c r="D202" s="445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>
        <f>IF(OR(OwnerEarnings_TTM="",EV="",EV=0),"",OwnerEarnings_TTM/EV)</f>
        <v/>
      </c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445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475">
        <f>IF(OR(Target_EV_AdjEBITDA="",Adj_EBITDA="",NetDebt="",IF(PerShareMode="Outstanding",Shares,IF(PerShareMode="Diluted",SharesDiluted,""))="",IF(PerShareMode="Outstanding",Shares,IF(PerShareMode="Diluted",SharesDiluted,""))=0),"",(Target_EV_AdjEBITDA*Adj_EBITDA-NetDebt)/IF(PerShareMode="Outstanding",Shares,IF(PerShareMode="Diluted",SharesDiluted,"")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Diluted EPS (GAAP, TTM)</t>
        </is>
      </c>
      <c r="D204" s="445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475">
        <f>IF(OR(Target_EV_EBITDA="",Base_EBITDA="",NetDebt="",IF(PerShareMode="Outstanding",Shares,IF(PerShareMode="Diluted",SharesDiluted,""))="",IF(PerShareMode="Outstanding",Shares,IF(PerShareMode="Diluted",SharesDiluted,""))=0),"",(Target_EV_EBITDA*Base_EBITDA-NetDebt)/IF(PerShareMode="Outstanding",Shares,IF(PerShareMode="Diluted",SharesDiluted,"")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Adjusted diluted EPS (TTM)</t>
        </is>
      </c>
      <c r="D205" s="445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475">
        <f>IF(OR(Target_EV_Yield="",Target_EV_Yield&lt;=0,FCFF_Proxy_TTM="",NetDebt="",IF(PerShareMode="Outstanding",Shares,IF(PerShareMode="Diluted",SharesDiluted,""))="",IF(PerShareMode="Outstanding",Shares,IF(PerShareMode="Diluted",SharesDiluted,""))=0),"",(FCFF_Proxy_TTM/IF(Target_EV_Yield&gt;1,Target_EV_Yield/100,Target_EV_Yield)-NetDebt)/IF(PerShareMode="Outstanding",Shares,IF(PerShareMode="Diluted",SharesDiluted,"")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Book value/share</t>
        </is>
      </c>
      <c r="D206" s="445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(GAAP, TTM)</t>
        </is>
      </c>
      <c r="N206" s="359">
        <f>IF(OR(Price="",EPS_TTM="",EPS_TTM=0),"",Price/EPS_TTM)</f>
        <v/>
      </c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Tangible book value/share</t>
        </is>
      </c>
      <c r="D207" s="445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(adjusted, TTM)</t>
        </is>
      </c>
      <c r="N207" s="359">
        <f>IF(OR(Price="",Adj_EPS_TTM="",Adj_EPS_TTM=0),"",Price/Adj_EPS_TTM)</f>
        <v/>
      </c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477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>
        <f>IF(OR(EV="",Revenue_TTM="",Revenue_TTM=0),"",EV/Revenue_TTM)</f>
        <v/>
      </c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477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359">
        <f>IF(OR(Price="",BV_PerShare="",BV_PerShare=0),"",Price/BV_PerShare)</f>
        <v/>
      </c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478" t="n"/>
      <c r="E210" s="124" t="inlineStr">
        <is>
          <t>User</t>
        </is>
      </c>
      <c r="F210" s="368" t="inlineStr">
        <is>
          <t>Target EV yield accepts 0.10 or 10%.</t>
        </is>
      </c>
      <c r="J210" s="364" t="n"/>
      <c r="K210" s="125" t="inlineStr">
        <is>
          <t>Price/TBV</t>
        </is>
      </c>
      <c r="N210" s="359">
        <f>IF(OR(Price="",TBV_PerShare="",TBV_PerShare=0),"",Price/TBV_PerShare)</f>
        <v/>
      </c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445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445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478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479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479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480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n"/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n"/>
      <c r="C218" s="22" t="n"/>
      <c r="D218" s="22" t="n"/>
      <c r="E218" s="22" t="n"/>
      <c r="F218" s="22" t="n"/>
      <c r="G218" s="48" t="inlineStr">
        <is>
          <t>Starting FCFF ($m) [ASSUMPTION]</t>
        </is>
      </c>
      <c r="J218" s="131">
        <f>IF(Adj_FCF_TTM&lt;&gt;"",Adj_FCF_TTM,IF(FCF_TTM&lt;&gt;"",FCF_TTM,""))</f>
        <v/>
      </c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n"/>
      <c r="C219" s="22" t="n"/>
      <c r="D219" s="22" t="n"/>
      <c r="E219" s="22" t="n"/>
      <c r="F219" s="22" t="n"/>
      <c r="G219" s="48" t="inlineStr">
        <is>
          <t>g (Years 1-5) [ASSUMPTION]</t>
        </is>
      </c>
      <c r="J219" s="129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62">
        <f>J222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n"/>
      <c r="C220" s="22" t="n"/>
      <c r="D220" s="22" t="n"/>
      <c r="E220" s="22" t="n"/>
      <c r="F220" s="22" t="n"/>
      <c r="G220" s="48" t="inlineStr">
        <is>
          <t>Terminal g [ASSUMPTION]</t>
        </is>
      </c>
      <c r="J220" s="129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J221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 [ASSUMPTION]</t>
        </is>
      </c>
      <c r="J221" s="129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J220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62">
        <f>IF(OR(J218="",J218&lt;=0,J221&lt;=0,J221&lt;=J220),"",(J218*(1+J219)/(J221-J219)*(1-((1+J219)/(1+J221))^5)+(J218*(1+J219)^5*(1+J220)/(J221-J220)/((1+J221)^5))))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369">
        <f>IF(OR(J222="",IF(PerShareMode="Outstanding",Shares,SharesDiluted)="",IF(PerShareMode="Outstanding",Shares,SharesDiluted)&lt;=0),"",(J222-NetDebt)/IF(PerShareMode="Outstanding",Shares,SharesDiluted))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\ gT</t>
        </is>
      </c>
      <c r="H226" s="144" t="n"/>
      <c r="I226" s="145" t="n"/>
      <c r="J226" s="145" t="n"/>
      <c r="K226" s="145" t="n"/>
      <c r="L226" s="144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144" t="n"/>
      <c r="H227" s="375">
        <f>IF(OR(J218="",J218&lt;=0,$G$227&lt;=0,$G$227&lt;=$H$226,IF(PerShareMode="Outstanding",Shares,SharesDiluted)="",IF(PerShareMode="Outstanding",Shares,SharesDiluted)&lt;=0),"",((J218*(1+J219)/($G$227-J219)*(1-((1+J219)/(1+$G$227))^5)+(J218*(1+J219)^5*(1+$H$226)/($G$227-$H$226)/((1+$G$227)^5))-NetDebt)/IF(PerShareMode="Outstanding",Shares,SharesDiluted)))</f>
        <v/>
      </c>
      <c r="I227" s="375">
        <f>IF(OR(J218="",J218&lt;=0,$G$227&lt;=0,$G$227&lt;=$I$226,IF(PerShareMode="Outstanding",Shares,SharesDiluted)="",IF(PerShareMode="Outstanding",Shares,SharesDiluted)&lt;=0),"",((J218*(1+J219)/($G$227-J219)*(1-((1+J219)/(1+$G$227))^5)+(J218*(1+J219)^5*(1+$I$226)/($G$227-$I$226)/((1+$G$227)^5))-NetDebt)/IF(PerShareMode="Outstanding",Shares,SharesDiluted)))</f>
        <v/>
      </c>
      <c r="J227" s="375">
        <f>IF(OR(J218="",J218&lt;=0,$G$227&lt;=0,$G$227&lt;=$J$226,IF(PerShareMode="Outstanding",Shares,SharesDiluted)="",IF(PerShareMode="Outstanding",Shares,SharesDiluted)&lt;=0),"",((J218*(1+J219)/($G$227-J219)*(1-((1+J219)/(1+$G$227))^5)+(J218*(1+J219)^5*(1+$J$226)/($G$227-$J$226)/((1+$G$227)^5))-NetDebt)/IF(PerShareMode="Outstanding",Shares,SharesDiluted)))</f>
        <v/>
      </c>
      <c r="K227" s="375">
        <f>IF(OR(J218="",J218&lt;=0,$G$227&lt;=0,$G$227&lt;=$K$226,IF(PerShareMode="Outstanding",Shares,SharesDiluted)="",IF(PerShareMode="Outstanding",Shares,SharesDiluted)&lt;=0),"",((J218*(1+J219)/($G$227-J219)*(1-((1+J219)/(1+$G$227))^5)+(J218*(1+J219)^5*(1+$K$226)/($G$227-$K$226)/((1+$G$227)^5))-NetDebt)/IF(PerShareMode="Outstanding",Shares,SharesDiluted)))</f>
        <v/>
      </c>
      <c r="L227" s="375">
        <f>IF(OR(J218="",J218&lt;=0,$G$227&lt;=0,$G$227&lt;=$L$226,IF(PerShareMode="Outstanding",Shares,SharesDiluted)="",IF(PerShareMode="Outstanding",Shares,SharesDiluted)&lt;=0),"",((J218*(1+J219)/($G$227-J219)*(1-((1+J219)/(1+$G$227))^5)+(J218*(1+J219)^5*(1+$L$226)/($G$227-$L$226)/((1+$G$227)^5))-NetDebt)/IF(PerShareMode="Outstanding",Shares,SharesDiluted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145" t="n"/>
      <c r="H228" s="375">
        <f>IF(OR(J218="",J218&lt;=0,$G$228&lt;=0,$G$228&lt;=$H$226,IF(PerShareMode="Outstanding",Shares,SharesDiluted)="",IF(PerShareMode="Outstanding",Shares,SharesDiluted)&lt;=0),"",((J218*(1+J219)/($G$228-J219)*(1-((1+J219)/(1+$G$228))^5)+(J218*(1+J219)^5*(1+$H$226)/($G$228-$H$226)/((1+$G$228)^5))-NetDebt)/IF(PerShareMode="Outstanding",Shares,SharesDiluted)))</f>
        <v/>
      </c>
      <c r="I228" s="376">
        <f>IF(OR(J218="",J218&lt;=0,$G$228&lt;=0,$G$228&lt;=$I$226,IF(PerShareMode="Outstanding",Shares,SharesDiluted)="",IF(PerShareMode="Outstanding",Shares,SharesDiluted)&lt;=0),"",((J218*(1+J219)/($G$228-J219)*(1-((1+J219)/(1+$G$228))^5)+(J218*(1+J219)^5*(1+$I$226)/($G$228-$I$226)/((1+$G$228)^5))-NetDebt)/IF(PerShareMode="Outstanding",Shares,SharesDiluted)))</f>
        <v/>
      </c>
      <c r="J228" s="377">
        <f>IF(OR(J218="",J218&lt;=0,$G$228&lt;=0,$G$228&lt;=$J$226,IF(PerShareMode="Outstanding",Shares,SharesDiluted)="",IF(PerShareMode="Outstanding",Shares,SharesDiluted)&lt;=0),"",((J218*(1+J219)/($G$228-J219)*(1-((1+J219)/(1+$G$228))^5)+(J218*(1+J219)^5*(1+$J$226)/($G$228-$J$226)/((1+$G$228)^5))-NetDebt)/IF(PerShareMode="Outstanding",Shares,SharesDiluted)))</f>
        <v/>
      </c>
      <c r="K228" s="378">
        <f>IF(OR(J218="",J218&lt;=0,$G$228&lt;=0,$G$228&lt;=$K$226,IF(PerShareMode="Outstanding",Shares,SharesDiluted)="",IF(PerShareMode="Outstanding",Shares,SharesDiluted)&lt;=0),"",((J218*(1+J219)/($G$228-J219)*(1-((1+J219)/(1+$G$228))^5)+(J218*(1+J219)^5*(1+$K$226)/($G$228-$K$226)/((1+$G$228)^5))-NetDebt)/IF(PerShareMode="Outstanding",Shares,SharesDiluted)))</f>
        <v/>
      </c>
      <c r="L228" s="375">
        <f>IF(OR(J218="",J218&lt;=0,$G$228&lt;=0,$G$228&lt;=$L$226,IF(PerShareMode="Outstanding",Shares,SharesDiluted)="",IF(PerShareMode="Outstanding",Shares,SharesDiluted)&lt;=0),"",((J218*(1+J219)/($G$228-J219)*(1-((1+J219)/(1+$G$228))^5)+(J218*(1+J219)^5*(1+$L$226)/($G$228-$L$226)/((1+$G$228)^5))-NetDebt)/IF(PerShareMode="Outstanding",Shares,SharesDiluted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145" t="n"/>
      <c r="H229" s="375">
        <f>IF(OR(J218="",J218&lt;=0,$G$229&lt;=0,$G$229&lt;=$H$226,IF(PerShareMode="Outstanding",Shares,SharesDiluted)="",IF(PerShareMode="Outstanding",Shares,SharesDiluted)&lt;=0),"",((J218*(1+J219)/($G$229-J219)*(1-((1+J219)/(1+$G$229))^5)+(J218*(1+J219)^5*(1+$H$226)/($G$229-$H$226)/((1+$G$229)^5))-NetDebt)/IF(PerShareMode="Outstanding",Shares,SharesDiluted)))</f>
        <v/>
      </c>
      <c r="I229" s="379">
        <f>IF(OR(J218="",J218&lt;=0,$G$229&lt;=0,$G$229&lt;=$I$226,IF(PerShareMode="Outstanding",Shares,SharesDiluted)="",IF(PerShareMode="Outstanding",Shares,SharesDiluted)&lt;=0),"",((J218*(1+J219)/($G$229-J219)*(1-((1+J219)/(1+$G$229))^5)+(J218*(1+J219)^5*(1+$I$226)/($G$229-$I$226)/((1+$G$229)^5))-NetDebt)/IF(PerShareMode="Outstanding",Shares,SharesDiluted)))</f>
        <v/>
      </c>
      <c r="J229" s="380">
        <f>IF(OR(J218="",J218&lt;=0,$G$229&lt;=0,$G$229&lt;=$J$226,IF(PerShareMode="Outstanding",Shares,SharesDiluted)="",IF(PerShareMode="Outstanding",Shares,SharesDiluted)&lt;=0),"",((J218*(1+J219)/($G$229-J219)*(1-((1+J219)/(1+$G$229))^5)+(J218*(1+J219)^5*(1+$J$226)/($G$229-$J$226)/((1+$G$229)^5))-NetDebt)/IF(PerShareMode="Outstanding",Shares,SharesDiluted)))</f>
        <v/>
      </c>
      <c r="K229" s="381">
        <f>IF(OR(J218="",J218&lt;=0,$G$229&lt;=0,$G$229&lt;=$K$226,IF(PerShareMode="Outstanding",Shares,SharesDiluted)="",IF(PerShareMode="Outstanding",Shares,SharesDiluted)&lt;=0),"",((J218*(1+J219)/($G$229-J219)*(1-((1+J219)/(1+$G$229))^5)+(J218*(1+J219)^5*(1+$K$226)/($G$229-$K$226)/((1+$G$229)^5))-NetDebt)/IF(PerShareMode="Outstanding",Shares,SharesDiluted)))</f>
        <v/>
      </c>
      <c r="L229" s="375">
        <f>IF(OR(J218="",J218&lt;=0,$G$229&lt;=0,$G$229&lt;=$L$226,IF(PerShareMode="Outstanding",Shares,SharesDiluted)="",IF(PerShareMode="Outstanding",Shares,SharesDiluted)&lt;=0),"",((J218*(1+J219)/($G$229-J219)*(1-((1+J219)/(1+$G$229))^5)+(J218*(1+J219)^5*(1+$L$226)/($G$229-$L$226)/((1+$G$229)^5))-NetDebt)/IF(PerShareMode="Outstanding",Shares,SharesDiluted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145" t="n"/>
      <c r="H230" s="375">
        <f>IF(OR(J218="",J218&lt;=0,$G$230&lt;=0,$G$230&lt;=$H$226,IF(PerShareMode="Outstanding",Shares,SharesDiluted)="",IF(PerShareMode="Outstanding",Shares,SharesDiluted)&lt;=0),"",((J218*(1+J219)/($G$230-J219)*(1-((1+J219)/(1+$G$230))^5)+(J218*(1+J219)^5*(1+$H$226)/($G$230-$H$226)/((1+$G$230)^5))-NetDebt)/IF(PerShareMode="Outstanding",Shares,SharesDiluted)))</f>
        <v/>
      </c>
      <c r="I230" s="379">
        <f>IF(OR(J218="",J218&lt;=0,$G$230&lt;=0,$G$230&lt;=$I$226,IF(PerShareMode="Outstanding",Shares,SharesDiluted)="",IF(PerShareMode="Outstanding",Shares,SharesDiluted)&lt;=0),"",((J218*(1+J219)/($G$230-J219)*(1-((1+J219)/(1+$G$230))^5)+(J218*(1+J219)^5*(1+$I$226)/($G$230-$I$226)/((1+$G$230)^5))-NetDebt)/IF(PerShareMode="Outstanding",Shares,SharesDiluted)))</f>
        <v/>
      </c>
      <c r="J230" s="380">
        <f>IF(OR(J218="",J218&lt;=0,$G$230&lt;=0,$G$230&lt;=$J$226,IF(PerShareMode="Outstanding",Shares,SharesDiluted)="",IF(PerShareMode="Outstanding",Shares,SharesDiluted)&lt;=0),"",((J218*(1+J219)/($G$230-J219)*(1-((1+J219)/(1+$G$230))^5)+(J218*(1+J219)^5*(1+$J$226)/($G$230-$J$226)/((1+$G$230)^5))-NetDebt)/IF(PerShareMode="Outstanding",Shares,SharesDiluted)))</f>
        <v/>
      </c>
      <c r="K230" s="381">
        <f>IF(OR(J218="",J218&lt;=0,$G$230&lt;=0,$G$230&lt;=$K$226,IF(PerShareMode="Outstanding",Shares,SharesDiluted)="",IF(PerShareMode="Outstanding",Shares,SharesDiluted)&lt;=0),"",((J218*(1+J219)/($G$230-J219)*(1-((1+J219)/(1+$G$230))^5)+(J218*(1+J219)^5*(1+$K$226)/($G$230-$K$226)/((1+$G$230)^5))-NetDebt)/IF(PerShareMode="Outstanding",Shares,SharesDiluted)))</f>
        <v/>
      </c>
      <c r="L230" s="375">
        <f>IF(OR(J218="",J218&lt;=0,$G$230&lt;=0,$G$230&lt;=$L$226,IF(PerShareMode="Outstanding",Shares,SharesDiluted)="",IF(PerShareMode="Outstanding",Shares,SharesDiluted)&lt;=0),"",((J218*(1+J219)/($G$230-J219)*(1-((1+J219)/(1+$G$230))^5)+(J218*(1+J219)^5*(1+$L$226)/($G$230-$L$226)/((1+$G$230)^5))-NetDebt)/IF(PerShareMode="Outstanding",Shares,SharesDiluted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145" t="n"/>
      <c r="H231" s="375">
        <f>IF(OR(J218="",J218&lt;=0,$G$231&lt;=0,$G$231&lt;=$H$226,IF(PerShareMode="Outstanding",Shares,SharesDiluted)="",IF(PerShareMode="Outstanding",Shares,SharesDiluted)&lt;=0),"",((J218*(1+J219)/($G$231-J219)*(1-((1+J219)/(1+$G$231))^5)+(J218*(1+J219)^5*(1+$H$226)/($G$231-$H$226)/((1+$G$231)^5))-NetDebt)/IF(PerShareMode="Outstanding",Shares,SharesDiluted)))</f>
        <v/>
      </c>
      <c r="I231" s="379">
        <f>IF(OR(J218="",J218&lt;=0,$G$231&lt;=0,$G$231&lt;=$I$226,IF(PerShareMode="Outstanding",Shares,SharesDiluted)="",IF(PerShareMode="Outstanding",Shares,SharesDiluted)&lt;=0),"",((J218*(1+J219)/($G$231-J219)*(1-((1+J219)/(1+$G$231))^5)+(J218*(1+J219)^5*(1+$I$226)/($G$231-$I$226)/((1+$G$231)^5))-NetDebt)/IF(PerShareMode="Outstanding",Shares,SharesDiluted)))</f>
        <v/>
      </c>
      <c r="J231" s="380">
        <f>IF(OR(J218="",J218&lt;=0,$G$231&lt;=0,$G$231&lt;=$J$226,IF(PerShareMode="Outstanding",Shares,SharesDiluted)="",IF(PerShareMode="Outstanding",Shares,SharesDiluted)&lt;=0),"",((J218*(1+J219)/($G$231-J219)*(1-((1+J219)/(1+$G$231))^5)+(J218*(1+J219)^5*(1+$J$226)/($G$231-$J$226)/((1+$G$231)^5))-NetDebt)/IF(PerShareMode="Outstanding",Shares,SharesDiluted)))</f>
        <v/>
      </c>
      <c r="K231" s="381">
        <f>IF(OR(J218="",J218&lt;=0,$G$231&lt;=0,$G$231&lt;=$K$226,IF(PerShareMode="Outstanding",Shares,SharesDiluted)="",IF(PerShareMode="Outstanding",Shares,SharesDiluted)&lt;=0),"",((J218*(1+J219)/($G$231-J219)*(1-((1+J219)/(1+$G$231))^5)+(J218*(1+J219)^5*(1+$K$226)/($G$231-$K$226)/((1+$G$231)^5))-NetDebt)/IF(PerShareMode="Outstanding",Shares,SharesDiluted)))</f>
        <v/>
      </c>
      <c r="L231" s="375">
        <f>IF(OR(J218="",J218&lt;=0,$G$231&lt;=0,$G$231&lt;=$L$226,IF(PerShareMode="Outstanding",Shares,SharesDiluted)="",IF(PerShareMode="Outstanding",Shares,SharesDiluted)&lt;=0),"",((J218*(1+J219)/($G$231-J219)*(1-((1+J219)/(1+$G$231))^5)+(J218*(1+J219)^5*(1+$L$226)/($G$231-$L$226)/((1+$G$231)^5))-NetDebt)/IF(PerShareMode="Outstanding",Shares,SharesDiluted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145" t="n"/>
      <c r="H232" s="375">
        <f>IF(OR(J218="",J218&lt;=0,$G$232&lt;=0,$G$232&lt;=$H$226,IF(PerShareMode="Outstanding",Shares,SharesDiluted)="",IF(PerShareMode="Outstanding",Shares,SharesDiluted)&lt;=0),"",((J218*(1+J219)/($G$232-J219)*(1-((1+J219)/(1+$G$232))^5)+(J218*(1+J219)^5*(1+$H$226)/($G$232-$H$226)/((1+$G$232)^5))-NetDebt)/IF(PerShareMode="Outstanding",Shares,SharesDiluted)))</f>
        <v/>
      </c>
      <c r="I232" s="382">
        <f>IF(OR(J218="",J218&lt;=0,$G$232&lt;=0,$G$232&lt;=$I$226,IF(PerShareMode="Outstanding",Shares,SharesDiluted)="",IF(PerShareMode="Outstanding",Shares,SharesDiluted)&lt;=0),"",((J218*(1+J219)/($G$232-J219)*(1-((1+J219)/(1+$G$232))^5)+(J218*(1+J219)^5*(1+$I$226)/($G$232-$I$226)/((1+$G$232)^5))-NetDebt)/IF(PerShareMode="Outstanding",Shares,SharesDiluted)))</f>
        <v/>
      </c>
      <c r="J232" s="383">
        <f>IF(OR(J218="",J218&lt;=0,$G$232&lt;=0,$G$232&lt;=$J$226,IF(PerShareMode="Outstanding",Shares,SharesDiluted)="",IF(PerShareMode="Outstanding",Shares,SharesDiluted)&lt;=0),"",((J218*(1+J219)/($G$232-J219)*(1-((1+J219)/(1+$G$232))^5)+(J218*(1+J219)^5*(1+$J$226)/($G$232-$J$226)/((1+$G$232)^5))-NetDebt)/IF(PerShareMode="Outstanding",Shares,SharesDiluted)))</f>
        <v/>
      </c>
      <c r="K232" s="384">
        <f>IF(OR(J218="",J218&lt;=0,$G$232&lt;=0,$G$232&lt;=$K$226,IF(PerShareMode="Outstanding",Shares,SharesDiluted)="",IF(PerShareMode="Outstanding",Shares,SharesDiluted)&lt;=0),"",((J218*(1+J219)/($G$232-J219)*(1-((1+J219)/(1+$G$232))^5)+(J218*(1+J219)^5*(1+$K$226)/($G$232-$K$226)/((1+$G$232)^5))-NetDebt)/IF(PerShareMode="Outstanding",Shares,SharesDiluted)))</f>
        <v/>
      </c>
      <c r="L232" s="375">
        <f>IF(OR(J218="",J218&lt;=0,$G$232&lt;=0,$G$232&lt;=$L$226,IF(PerShareMode="Outstanding",Shares,SharesDiluted)="",IF(PerShareMode="Outstanding",Shares,SharesDiluted)&lt;=0),"",((J218*(1+J219)/($G$232-J219)*(1-((1+J219)/(1+$G$232))^5)+(J218*(1+J219)^5*(1+$L$226)/($G$232-$L$226)/((1+$G$232)^5))-NetDebt)/IF(PerShareMode="Outstanding",Shares,SharesDiluted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144" t="n"/>
      <c r="H233" s="375">
        <f>IF(OR(J218="",J218&lt;=0,$G$233&lt;=0,$G$233&lt;=$H$226,IF(PerShareMode="Outstanding",Shares,SharesDiluted)="",IF(PerShareMode="Outstanding",Shares,SharesDiluted)&lt;=0),"",((J218*(1+J219)/($G$233-J219)*(1-((1+J219)/(1+$G$233))^5)+(J218*(1+J219)^5*(1+$H$226)/($G$233-$H$226)/((1+$G$233)^5))-NetDebt)/IF(PerShareMode="Outstanding",Shares,SharesDiluted)))</f>
        <v/>
      </c>
      <c r="I233" s="375">
        <f>IF(OR(J218="",J218&lt;=0,$G$233&lt;=0,$G$233&lt;=$I$226,IF(PerShareMode="Outstanding",Shares,SharesDiluted)="",IF(PerShareMode="Outstanding",Shares,SharesDiluted)&lt;=0),"",((J218*(1+J219)/($G$233-J219)*(1-((1+J219)/(1+$G$233))^5)+(J218*(1+J219)^5*(1+$I$226)/($G$233-$I$226)/((1+$G$233)^5))-NetDebt)/IF(PerShareMode="Outstanding",Shares,SharesDiluted)))</f>
        <v/>
      </c>
      <c r="J233" s="375">
        <f>IF(OR(J218="",J218&lt;=0,$G$233&lt;=0,$G$233&lt;=$J$226,IF(PerShareMode="Outstanding",Shares,SharesDiluted)="",IF(PerShareMode="Outstanding",Shares,SharesDiluted)&lt;=0),"",((J218*(1+J219)/($G$233-J219)*(1-((1+J219)/(1+$G$233))^5)+(J218*(1+J219)^5*(1+$J$226)/($G$233-$J$226)/((1+$G$233)^5))-NetDebt)/IF(PerShareMode="Outstanding",Shares,SharesDiluted)))</f>
        <v/>
      </c>
      <c r="K233" s="375">
        <f>IF(OR(J218="",J218&lt;=0,$G$233&lt;=0,$G$233&lt;=$K$226,IF(PerShareMode="Outstanding",Shares,SharesDiluted)="",IF(PerShareMode="Outstanding",Shares,SharesDiluted)&lt;=0),"",((J218*(1+J219)/($G$233-J219)*(1-((1+J219)/(1+$G$233))^5)+(J218*(1+J219)^5*(1+$K$226)/($G$233-$K$226)/((1+$G$233)^5))-NetDebt)/IF(PerShareMode="Outstanding",Shares,SharesDiluted)))</f>
        <v/>
      </c>
      <c r="L233" s="375">
        <f>IF(OR(J218="",J218&lt;=0,$G$233&lt;=0,$G$233&lt;=$L$226,IF(PerShareMode="Outstanding",Shares,SharesDiluted)="",IF(PerShareMode="Outstanding",Shares,SharesDiluted)&lt;=0),"",((J218*(1+J219)/($G$233-J219)*(1-((1+J219)/(1+$G$233))^5)+(J218*(1+J219)^5*(1+$L$226)/($G$233-$L$226)/((1+$G$233)^5))-NetDebt)/IF(PerShareMode="Outstanding",Shares,SharesDiluted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156" t="n"/>
      <c r="H234" s="385">
        <f>IF(OR(J218="",J218&lt;=0,$G$234&lt;=0,$G$234&lt;=$H$226,IF(PerShareMode="Outstanding",Shares,SharesDiluted)="",IF(PerShareMode="Outstanding",Shares,SharesDiluted)&lt;=0),"",((J218*(1+J219)/($G$234-J219)*(1-((1+J219)/(1+$G$234))^5)+(J218*(1+J219)^5*(1+$H$226)/($G$234-$H$226)/((1+$G$234)^5))-NetDebt)/IF(PerShareMode="Outstanding",Shares,SharesDiluted)))</f>
        <v/>
      </c>
      <c r="I234" s="385">
        <f>IF(OR(J218="",J218&lt;=0,$G$234&lt;=0,$G$234&lt;=$I$226,IF(PerShareMode="Outstanding",Shares,SharesDiluted)="",IF(PerShareMode="Outstanding",Shares,SharesDiluted)&lt;=0),"",((J218*(1+J219)/($G$234-J219)*(1-((1+J219)/(1+$G$234))^5)+(J218*(1+J219)^5*(1+$I$226)/($G$234-$I$226)/((1+$G$234)^5))-NetDebt)/IF(PerShareMode="Outstanding",Shares,SharesDiluted)))</f>
        <v/>
      </c>
      <c r="J234" s="385">
        <f>IF(OR(J218="",J218&lt;=0,$G$234&lt;=0,$G$234&lt;=$J$226,IF(PerShareMode="Outstanding",Shares,SharesDiluted)="",IF(PerShareMode="Outstanding",Shares,SharesDiluted)&lt;=0),"",((J218*(1+J219)/($G$234-J219)*(1-((1+J219)/(1+$G$234))^5)+(J218*(1+J219)^5*(1+$J$226)/($G$234-$J$226)/((1+$G$234)^5))-NetDebt)/IF(PerShareMode="Outstanding",Shares,SharesDiluted)))</f>
        <v/>
      </c>
      <c r="K234" s="385">
        <f>IF(OR(J218="",J218&lt;=0,$G$234&lt;=0,$G$234&lt;=$K$226,IF(PerShareMode="Outstanding",Shares,SharesDiluted)="",IF(PerShareMode="Outstanding",Shares,SharesDiluted)&lt;=0),"",((J218*(1+J219)/($G$234-J219)*(1-((1+J219)/(1+$G$234))^5)+(J218*(1+J219)^5*(1+$K$226)/($G$234-$K$226)/((1+$G$234)^5))-NetDebt)/IF(PerShareMode="Outstanding",Shares,SharesDiluted)))</f>
        <v/>
      </c>
      <c r="L234" s="385">
        <f>IF(OR(J218="",J218&lt;=0,$G$234&lt;=0,$G$234&lt;=$L$226,IF(PerShareMode="Outstanding",Shares,SharesDiluted)="",IF(PerShareMode="Outstanding",Shares,SharesDiluted)&lt;=0),"",((J218*(1+J219)/($G$234-J219)*(1-((1+J219)/(1+$G$234))^5)+(J218*(1+J219)^5*(1+$L$226)/($G$234-$L$226)/((1+$G$234)^5))-NetDebt)/IF(PerShareMode="Outstanding",Shares,SharesDiluted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Trigger Scenarios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preset (Base/Bull/Bear/Custom)</t>
        </is>
      </c>
      <c r="E236" s="481" t="n"/>
      <c r="F236" s="368">
        <f>IF(E236="","",IF(OR(E236="Base",E236="Bull",E236="Bear"),"Preset selected","Custom"))</f>
        <v/>
      </c>
      <c r="K236" s="364" t="n"/>
      <c r="L236" s="125" t="inlineStr">
        <is>
          <t>Required Adj EBITDA @ target multiple ($m)</t>
        </is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 growth assumption</t>
        </is>
      </c>
      <c r="E237" s="478" t="n"/>
      <c r="F237" s="368" t="inlineStr">
        <is>
          <t>Default from historical revenue growth distribution (recent 8 quarters).</t>
        </is>
      </c>
      <c r="K237" s="364" t="n"/>
      <c r="L237" s="125" t="inlineStr">
        <is>
          <t>Implied Adj EBITDA change vs current</t>
        </is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Adj EBITDA margin assumption</t>
        </is>
      </c>
      <c r="E238" s="478" t="n"/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FCFF @ target EV yield ($m)</t>
        </is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Refi interest normalization ($m)</t>
        </is>
      </c>
      <c r="E239" s="479" t="n"/>
      <c r="F239" s="368" t="inlineStr">
        <is>
          <t>Manual refinancing normalization assumption.</t>
        </is>
      </c>
      <c r="K239" s="364" t="n"/>
      <c r="L239" s="125" t="inlineStr">
        <is>
          <t>Implied FCFF change vs current</t>
        </is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Buyback continuation (m shares)</t>
        </is>
      </c>
      <c r="E240" s="479" t="n"/>
      <c r="F240" s="368" t="inlineStr">
        <is>
          <t>Manual share-count continuation assumption.</t>
        </is>
      </c>
      <c r="K240" s="364" t="n"/>
      <c r="L240" s="125" t="inlineStr">
        <is>
          <t>Required owner earnings @ target EV yield ($m)</t>
        </is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Adj EBITDA ($m)</t>
        </is>
      </c>
      <c r="E241" s="62">
        <f>IFERROR(IF(OR(Revenue_TTM="",E237="",E238=""),"",Revenue_TTM*(1+E237)*E238),"")</f>
        <v/>
      </c>
      <c r="F241" s="368" t="inlineStr">
        <is>
          <t>Scenario revenue × scenario margin.</t>
        </is>
      </c>
      <c r="K241" s="364" t="n"/>
      <c r="L241" s="125" t="inlineStr">
        <is>
          <t>Implied owner earnings change</t>
        </is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owner earnings ($m)</t>
        </is>
      </c>
      <c r="E242" s="62">
        <f>IFERROR(IF(OR(OwnerEarnings_TTM="",E241="",Adj_EBITDA=""),"",OwnerEarnings_TTM+(E241-Adj_EBITDA)+E239),"")</f>
        <v/>
      </c>
      <c r="F242" s="368" t="inlineStr">
        <is>
          <t>Owner earnings bridge adjusted by scenario EBITDA and refinancing.</t>
        </is>
      </c>
      <c r="K242" s="364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Eq/share scenario (EV/Adj)</t>
        </is>
      </c>
      <c r="E243" s="369">
        <f>IFERROR(IF(OR(E241="",IF(PerShareMode="Outstanding",Shares,SharesDiluted)="",E259="",E259&lt;=0),"",((E259*E241)-NetDebt)/MAX(0.001,IF(PerShareMode="Outstanding",Shares,SharesDiluted)-E240)),"")</f>
        <v/>
      </c>
      <c r="F243" s="368" t="inlineStr">
        <is>
          <t>Scenario per-share value with quality-adjusted EV/Adj multiple.</t>
        </is>
      </c>
      <c r="K243" s="364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Eq/share scenario (EV owner earnings yield)</t>
        </is>
      </c>
      <c r="E244" s="369">
        <f>IFERROR(IF(OR(E242="",E242&lt;=0,IF(PerShareMode="Outstanding",Shares,SharesDiluted)="",E261="",E261&lt;=0),"",((E242/E261)-NetDebt)/MAX(0.001,IF(PerShareMode="Outstanding",Shares,SharesDiluted)-E240)),"")</f>
        <v/>
      </c>
      <c r="F244" s="368" t="inlineStr">
        <is>
          <t>Scenario per-share value with quality-adjusted owner-earnings yield.</t>
        </is>
      </c>
      <c r="K244" s="364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Scenario drivers (internal)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482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Revenue trend driver</t>
        </is>
      </c>
      <c r="D247" s="389" t="n"/>
      <c r="K247" s="364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Margin driver</t>
        </is>
      </c>
      <c r="D248" s="389" t="n"/>
      <c r="K248" s="364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FCF conversion driver</t>
        </is>
      </c>
      <c r="D249" s="389" t="n"/>
      <c r="K249" s="364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Leverage/cap allocation driver</t>
        </is>
      </c>
      <c r="D250" s="389" t="n"/>
      <c r="K250" s="364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Quality toggles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Regulatory dependency?</t>
        </is>
      </c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Persistent non-GAAP gap?</t>
        </is>
      </c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Balance-sheet optionality constrained?</t>
        </is>
      </c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Customer concentration disclosed?</t>
        </is>
      </c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Quality-adjusted target multiple/yield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Adj target EV/Adj EBITDA (x)</t>
        </is>
      </c>
      <c r="E259" s="359">
        <f>IF(Target_EV_AdjEBITDA="","",MAX(0,Target_EV_AdjEBITDA-IF(E255="Yes",0.25,0)))</f>
        <v/>
      </c>
      <c r="F259" s="368" t="inlineStr">
        <is>
          <t>Multiple adjusted for balance-sheet optionality toggle.</t>
        </is>
      </c>
      <c r="K259" s="364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Adj target EV/EBITDA (x)</t>
        </is>
      </c>
      <c r="E260" s="359">
        <f>IF(Target_EV_EBITDA="","",MAX(0,Target_EV_EBITDA-IF(E255="Yes",0.25,0)))</f>
        <v/>
      </c>
      <c r="F260" s="368" t="inlineStr">
        <is>
          <t>Cross-check multiple adjusted for balance-sheet optionality toggle.</t>
        </is>
      </c>
      <c r="K260" s="364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Adj target EV yield</t>
        </is>
      </c>
      <c r="C261" s="371" t="n"/>
      <c r="D261" s="371" t="n"/>
      <c r="E261" s="170">
        <f>IF(OR((IF(OR(Target_EV_Yield="",Target_EV_Yield&lt;=0),"",IF(Target_EV_Yield&gt;1,Target_EV_Yield/100,Target_EV_Yield)))="",(IF(OR(Target_EV_Yield="",Target_EV_Yield&lt;=0),"",IF(Target_EV_Yield&gt;1,Target_EV_Yield/100,Target_EV_Yield)))&lt;=0),"",(IF(OR(Target_EV_Yield="",Target_EV_Yield&lt;=0),"",IF(Target_EV_Yield&gt;1,Target_EV_Yield/100,Target_EV_Yield)))+IF(E253="Yes",0.005,0)+IF(E254="Yes",0.005,0)+IF(E256="Yes",0.0025,0))</f>
        <v/>
      </c>
      <c r="F261" s="372" t="inlineStr">
        <is>
          <t>Yield uplift from regulatory/non-GAAP/customer-concentration toggles.</t>
        </is>
      </c>
      <c r="G261" s="371" t="n"/>
      <c r="H261" s="371" t="n"/>
      <c r="I261" s="371" t="n"/>
      <c r="J261" s="371" t="n"/>
      <c r="K261" s="373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  <row r="262" hidden="1">
      <c r="A262" t="inlineStr">
        <is>
          <t>Formula input: gross_profit</t>
        </is>
      </c>
      <c r="B262" s="483" t="n"/>
      <c r="C262" s="483" t="n"/>
      <c r="D262" s="483" t="n"/>
      <c r="E262" s="483" t="n"/>
      <c r="F262" s="483" t="n"/>
      <c r="G262" s="483" t="n"/>
      <c r="H262" s="483" t="n"/>
      <c r="I262" s="483" t="n"/>
      <c r="J262" s="483" t="n"/>
      <c r="K262" s="483" t="n"/>
      <c r="L262" s="483" t="n"/>
      <c r="M262" s="483" t="n"/>
    </row>
    <row r="263" hidden="1">
      <c r="A263" t="inlineStr">
        <is>
          <t>Formula input: interest_expense</t>
        </is>
      </c>
      <c r="B263" s="483" t="n"/>
      <c r="C263" s="483" t="n"/>
      <c r="D263" s="483" t="n"/>
      <c r="E263" s="483" t="n"/>
      <c r="F263" s="483" t="n"/>
      <c r="G263" s="483" t="n"/>
      <c r="H263" s="483" t="n"/>
      <c r="I263" s="483" t="n"/>
      <c r="J263" s="483" t="n"/>
      <c r="K263" s="483" t="n"/>
      <c r="L263" s="483" t="n"/>
      <c r="M263" s="483" t="n"/>
    </row>
    <row r="264" hidden="1">
      <c r="A264" t="inlineStr">
        <is>
          <t>Formula input: dividends_cash</t>
        </is>
      </c>
      <c r="B264" s="483" t="n"/>
      <c r="C264" s="483" t="n"/>
      <c r="D264" s="483" t="n"/>
      <c r="E264" s="483" t="n"/>
      <c r="F264" s="483" t="n"/>
      <c r="G264" s="483" t="n"/>
      <c r="H264" s="483" t="n"/>
      <c r="I264" s="483" t="n"/>
      <c r="J264" s="483" t="n"/>
      <c r="K264" s="483" t="n"/>
      <c r="L264" s="483" t="n"/>
      <c r="M264" s="483" t="n"/>
    </row>
    <row r="265" hidden="1">
      <c r="A265" t="inlineStr">
        <is>
          <t>Formula input: acquisitions_cash</t>
        </is>
      </c>
      <c r="B265" s="483" t="n"/>
      <c r="C265" s="483" t="n"/>
      <c r="D265" s="483" t="n"/>
      <c r="E265" s="483" t="n"/>
      <c r="F265" s="483" t="n"/>
      <c r="G265" s="483" t="n"/>
      <c r="H265" s="483" t="n"/>
      <c r="I265" s="483" t="n"/>
      <c r="J265" s="483" t="n"/>
      <c r="K265" s="483" t="n"/>
      <c r="L265" s="483" t="n"/>
      <c r="M265" s="483" t="n"/>
    </row>
    <row r="266" hidden="1">
      <c r="A266" t="inlineStr">
        <is>
          <t>Formula input: debt_repayment</t>
        </is>
      </c>
      <c r="B266" s="483" t="n"/>
      <c r="C266" s="483" t="n"/>
      <c r="D266" s="483" t="n"/>
      <c r="E266" s="483" t="n"/>
      <c r="F266" s="483" t="n"/>
      <c r="G266" s="483" t="n"/>
      <c r="H266" s="483" t="n"/>
      <c r="I266" s="483" t="n"/>
      <c r="J266" s="483" t="n"/>
      <c r="K266" s="483" t="n"/>
      <c r="L266" s="483" t="n"/>
      <c r="M266" s="483" t="n"/>
    </row>
    <row r="267" hidden="1">
      <c r="A267" t="inlineStr">
        <is>
          <t>Formula input: debt_issuance</t>
        </is>
      </c>
      <c r="B267" s="483" t="n"/>
      <c r="C267" s="483" t="n"/>
      <c r="D267" s="483" t="n"/>
      <c r="E267" s="483" t="n"/>
      <c r="F267" s="483" t="n"/>
      <c r="G267" s="483" t="n"/>
      <c r="H267" s="483" t="n"/>
      <c r="I267" s="483" t="n"/>
      <c r="J267" s="483" t="n"/>
      <c r="K267" s="483" t="n"/>
      <c r="L267" s="483" t="n"/>
      <c r="M267" s="483" t="n"/>
    </row>
    <row r="268" hidden="1">
      <c r="A268" t="inlineStr">
        <is>
          <t>Formula input: total_equity</t>
        </is>
      </c>
      <c r="B268" s="483" t="n"/>
      <c r="C268" s="483" t="n"/>
      <c r="D268" s="483" t="n"/>
      <c r="E268" s="483" t="n"/>
      <c r="F268" s="483" t="n"/>
      <c r="G268" s="483" t="n"/>
      <c r="H268" s="483" t="n"/>
      <c r="I268" s="483" t="n"/>
      <c r="J268" s="483" t="n"/>
      <c r="K268" s="483" t="n"/>
      <c r="L268" s="483" t="n"/>
      <c r="M268" s="483" t="n"/>
    </row>
    <row r="269" hidden="1">
      <c r="A269" t="inlineStr">
        <is>
          <t>Formula input: goodwill</t>
        </is>
      </c>
      <c r="B269" s="483" t="n"/>
      <c r="C269" s="483" t="n"/>
      <c r="D269" s="483" t="n"/>
      <c r="E269" s="483" t="n"/>
      <c r="F269" s="483" t="n"/>
      <c r="G269" s="483" t="n"/>
      <c r="H269" s="483" t="n"/>
      <c r="I269" s="483" t="n"/>
      <c r="J269" s="483" t="n"/>
      <c r="K269" s="483" t="n"/>
      <c r="L269" s="483" t="n"/>
      <c r="M269" s="483" t="n"/>
    </row>
    <row r="270" hidden="1">
      <c r="A270" t="inlineStr">
        <is>
          <t>Formula input: intangibles</t>
        </is>
      </c>
      <c r="B270" s="483" t="n"/>
      <c r="C270" s="483" t="n"/>
      <c r="D270" s="483" t="n"/>
      <c r="E270" s="483" t="n"/>
      <c r="F270" s="483" t="n"/>
      <c r="G270" s="483" t="n"/>
      <c r="H270" s="483" t="n"/>
      <c r="I270" s="483" t="n"/>
      <c r="J270" s="483" t="n"/>
      <c r="K270" s="483" t="n"/>
      <c r="L270" s="483" t="n"/>
      <c r="M270" s="483" t="n"/>
    </row>
    <row r="271" hidden="1">
      <c r="A271" t="inlineStr">
        <is>
          <t>Formula output: operating_cash_flow_ttm</t>
        </is>
      </c>
      <c r="B271" s="484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)</f>
        <v/>
      </c>
      <c r="C271" s="484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)</f>
        <v/>
      </c>
      <c r="D271" s="484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)</f>
        <v/>
      </c>
      <c r="E271" s="484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)</f>
        <v/>
      </c>
      <c r="F271" s="484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)</f>
        <v/>
      </c>
      <c r="G271" s="484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)</f>
        <v/>
      </c>
      <c r="H271" s="484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)</f>
        <v/>
      </c>
      <c r="I271" s="484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)</f>
        <v/>
      </c>
      <c r="J271" s="484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)</f>
        <v/>
      </c>
      <c r="K271" s="484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)</f>
        <v/>
      </c>
      <c r="L271" s="484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)</f>
        <v/>
      </c>
      <c r="M271" s="484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)</f>
        <v/>
      </c>
    </row>
  </sheetData>
  <mergeCells count="424">
    <mergeCell ref="O49:T49"/>
    <mergeCell ref="C183:H183"/>
    <mergeCell ref="S25:Z25"/>
    <mergeCell ref="B139:E139"/>
    <mergeCell ref="O207:S207"/>
    <mergeCell ref="X55:AC55"/>
    <mergeCell ref="O50:T50"/>
    <mergeCell ref="B248:C248"/>
    <mergeCell ref="X73:AC73"/>
    <mergeCell ref="D248:K248"/>
    <mergeCell ref="A31:M31"/>
    <mergeCell ref="O200:S200"/>
    <mergeCell ref="U58:W58"/>
    <mergeCell ref="O32:P32"/>
    <mergeCell ref="U39:Z39"/>
    <mergeCell ref="O52:T52"/>
    <mergeCell ref="B241:D241"/>
    <mergeCell ref="S28:Z28"/>
    <mergeCell ref="O202:S202"/>
    <mergeCell ref="U73:W73"/>
    <mergeCell ref="B249:C249"/>
    <mergeCell ref="B205:C205"/>
    <mergeCell ref="F237:K237"/>
    <mergeCell ref="B242:D242"/>
    <mergeCell ref="X66:AC66"/>
    <mergeCell ref="C184:H184"/>
    <mergeCell ref="U247:W247"/>
    <mergeCell ref="C171:H171"/>
    <mergeCell ref="A42:M42"/>
    <mergeCell ref="B146:K146"/>
    <mergeCell ref="B200:C200"/>
    <mergeCell ref="O63:T63"/>
    <mergeCell ref="C173:H173"/>
    <mergeCell ref="O195:S195"/>
    <mergeCell ref="Q238:U238"/>
    <mergeCell ref="O74:T74"/>
    <mergeCell ref="O55:T55"/>
    <mergeCell ref="L123:N123"/>
    <mergeCell ref="B195:C195"/>
    <mergeCell ref="O46:Q46"/>
    <mergeCell ref="O27:AC27"/>
    <mergeCell ref="B239:D239"/>
    <mergeCell ref="AA12:AC12"/>
    <mergeCell ref="F194:J194"/>
    <mergeCell ref="B5:M5"/>
    <mergeCell ref="F260:K260"/>
    <mergeCell ref="AA14:AC14"/>
    <mergeCell ref="S34:Z34"/>
    <mergeCell ref="C186:H186"/>
    <mergeCell ref="B235:K235"/>
    <mergeCell ref="A137:M137"/>
    <mergeCell ref="AA43:AC43"/>
    <mergeCell ref="S30:Z30"/>
    <mergeCell ref="O53:T53"/>
    <mergeCell ref="B213:C213"/>
    <mergeCell ref="S29:Z29"/>
    <mergeCell ref="U74:W74"/>
    <mergeCell ref="O208:S208"/>
    <mergeCell ref="B244:D244"/>
    <mergeCell ref="A76:M76"/>
    <mergeCell ref="S31:Z31"/>
    <mergeCell ref="O41:Q41"/>
    <mergeCell ref="F238:K238"/>
    <mergeCell ref="F205:J205"/>
    <mergeCell ref="B208:C208"/>
    <mergeCell ref="S247:T247"/>
    <mergeCell ref="O43:Q43"/>
    <mergeCell ref="F240:K240"/>
    <mergeCell ref="AA25:AC25"/>
    <mergeCell ref="B210:C210"/>
    <mergeCell ref="I123:K123"/>
    <mergeCell ref="B260:D260"/>
    <mergeCell ref="C181:H181"/>
    <mergeCell ref="O58:T58"/>
    <mergeCell ref="B156:K156"/>
    <mergeCell ref="X69:AC69"/>
    <mergeCell ref="C174:H174"/>
    <mergeCell ref="O73:T73"/>
    <mergeCell ref="B155:K155"/>
    <mergeCell ref="B149:K149"/>
    <mergeCell ref="F200:J200"/>
    <mergeCell ref="O66:T66"/>
    <mergeCell ref="S24:Z24"/>
    <mergeCell ref="O68:T68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O59:T59"/>
    <mergeCell ref="X247:AA247"/>
    <mergeCell ref="F213:J213"/>
    <mergeCell ref="O61:T61"/>
    <mergeCell ref="O48:AC48"/>
    <mergeCell ref="F215:J215"/>
    <mergeCell ref="H138:I138"/>
    <mergeCell ref="K205:M205"/>
    <mergeCell ref="B261:D261"/>
    <mergeCell ref="AA28:AC28"/>
    <mergeCell ref="F210:J210"/>
    <mergeCell ref="A3:M3"/>
    <mergeCell ref="B207:C207"/>
    <mergeCell ref="AA30:AC30"/>
    <mergeCell ref="A97:M97"/>
    <mergeCell ref="Q239:U239"/>
    <mergeCell ref="X49:AC49"/>
    <mergeCell ref="U72:W72"/>
    <mergeCell ref="F201:J201"/>
    <mergeCell ref="L238:O238"/>
    <mergeCell ref="B254:D254"/>
    <mergeCell ref="X63:AC63"/>
    <mergeCell ref="F203:J203"/>
    <mergeCell ref="O16:P16"/>
    <mergeCell ref="B256:D256"/>
    <mergeCell ref="N141:Q141"/>
    <mergeCell ref="Q236:U236"/>
    <mergeCell ref="U63:W63"/>
    <mergeCell ref="K197:M197"/>
    <mergeCell ref="U50:W50"/>
    <mergeCell ref="K201:M201"/>
    <mergeCell ref="O17:P17"/>
    <mergeCell ref="O11:P11"/>
    <mergeCell ref="Q237:U237"/>
    <mergeCell ref="X52:AC52"/>
    <mergeCell ref="B197:C197"/>
    <mergeCell ref="F216:J216"/>
    <mergeCell ref="AA34:AC34"/>
    <mergeCell ref="B259:D259"/>
    <mergeCell ref="X53:AC53"/>
    <mergeCell ref="F193:J193"/>
    <mergeCell ref="S8:Z8"/>
    <mergeCell ref="U42:Z42"/>
    <mergeCell ref="AA31:AC31"/>
    <mergeCell ref="K210:M210"/>
    <mergeCell ref="B250:C250"/>
    <mergeCell ref="U55:W55"/>
    <mergeCell ref="Q240:U240"/>
    <mergeCell ref="O38:Q38"/>
    <mergeCell ref="K193:M193"/>
    <mergeCell ref="R39:T39"/>
    <mergeCell ref="N137:R137"/>
    <mergeCell ref="O37:AC37"/>
    <mergeCell ref="Q222:R222"/>
    <mergeCell ref="C172:H172"/>
    <mergeCell ref="O194:S194"/>
    <mergeCell ref="F206:J206"/>
    <mergeCell ref="K209:M209"/>
    <mergeCell ref="K203:M203"/>
    <mergeCell ref="A116:M116"/>
    <mergeCell ref="O19:P19"/>
    <mergeCell ref="B194:C194"/>
    <mergeCell ref="K217:O217"/>
    <mergeCell ref="A17:M17"/>
    <mergeCell ref="S21:Z21"/>
    <mergeCell ref="U66:W66"/>
    <mergeCell ref="U53:W53"/>
    <mergeCell ref="N142:Q142"/>
    <mergeCell ref="K204:M204"/>
    <mergeCell ref="U68:W68"/>
    <mergeCell ref="O20:P20"/>
    <mergeCell ref="O22:P22"/>
    <mergeCell ref="X59:AC59"/>
    <mergeCell ref="O205:S205"/>
    <mergeCell ref="S10:Z10"/>
    <mergeCell ref="C179:H179"/>
    <mergeCell ref="A12:M12"/>
    <mergeCell ref="B216:C216"/>
    <mergeCell ref="U45:Z45"/>
    <mergeCell ref="A106:M106"/>
    <mergeCell ref="D247:K247"/>
    <mergeCell ref="F212:J212"/>
    <mergeCell ref="G220:I220"/>
    <mergeCell ref="O33:P33"/>
    <mergeCell ref="U56:W56"/>
    <mergeCell ref="X74:AC74"/>
    <mergeCell ref="D249:K249"/>
    <mergeCell ref="X68:AC68"/>
    <mergeCell ref="F214:J214"/>
    <mergeCell ref="G222:I222"/>
    <mergeCell ref="O51:T51"/>
    <mergeCell ref="X51:AC51"/>
    <mergeCell ref="S23:Z23"/>
    <mergeCell ref="O197:S197"/>
    <mergeCell ref="U67:W67"/>
    <mergeCell ref="K206:M206"/>
    <mergeCell ref="O201:S201"/>
    <mergeCell ref="B237:D237"/>
    <mergeCell ref="A69:M69"/>
    <mergeCell ref="K220:O220"/>
    <mergeCell ref="U69:W69"/>
    <mergeCell ref="Q247:R247"/>
    <mergeCell ref="B201:C201"/>
    <mergeCell ref="K222:O222"/>
    <mergeCell ref="X67:AC67"/>
    <mergeCell ref="X61:AC61"/>
    <mergeCell ref="K221:O221"/>
    <mergeCell ref="B203:C203"/>
    <mergeCell ref="B217:E217"/>
    <mergeCell ref="B253:D253"/>
    <mergeCell ref="K223:O223"/>
    <mergeCell ref="X62:AC62"/>
    <mergeCell ref="C180:H180"/>
    <mergeCell ref="O44:Q44"/>
    <mergeCell ref="O69:T69"/>
    <mergeCell ref="B215:C215"/>
    <mergeCell ref="X64:AC64"/>
    <mergeCell ref="R42:T42"/>
    <mergeCell ref="O210:S210"/>
    <mergeCell ref="F243:K243"/>
    <mergeCell ref="S17:Z17"/>
    <mergeCell ref="C169:H169"/>
    <mergeCell ref="U62:W62"/>
    <mergeCell ref="AA46:AC46"/>
    <mergeCell ref="S11:Z11"/>
    <mergeCell ref="F259:K259"/>
    <mergeCell ref="G225:L225"/>
    <mergeCell ref="O64:T64"/>
    <mergeCell ref="O35:P35"/>
    <mergeCell ref="U64:W64"/>
    <mergeCell ref="O193:S193"/>
    <mergeCell ref="A51:M51"/>
    <mergeCell ref="R46:T46"/>
    <mergeCell ref="U51:W51"/>
    <mergeCell ref="F261:K261"/>
    <mergeCell ref="G221:I221"/>
    <mergeCell ref="O72:T72"/>
    <mergeCell ref="AA8:AC8"/>
    <mergeCell ref="G123:H123"/>
    <mergeCell ref="G223:I223"/>
    <mergeCell ref="AA10:AC10"/>
    <mergeCell ref="C187:H187"/>
    <mergeCell ref="O209:S209"/>
    <mergeCell ref="O203:S203"/>
    <mergeCell ref="S32:Z32"/>
    <mergeCell ref="AA39:AC39"/>
    <mergeCell ref="B209:C209"/>
    <mergeCell ref="O54:T54"/>
    <mergeCell ref="U75:W75"/>
    <mergeCell ref="O204:S204"/>
    <mergeCell ref="F208:J208"/>
    <mergeCell ref="O29:P29"/>
    <mergeCell ref="O31:P31"/>
    <mergeCell ref="AA21:AC21"/>
    <mergeCell ref="X72:AC72"/>
    <mergeCell ref="O67:T67"/>
    <mergeCell ref="AA32:AC32"/>
    <mergeCell ref="A61:M61"/>
    <mergeCell ref="S19:Z19"/>
    <mergeCell ref="AA23:AC23"/>
    <mergeCell ref="B152:K152"/>
    <mergeCell ref="C185:H185"/>
    <mergeCell ref="S20:Z20"/>
    <mergeCell ref="U65:W65"/>
    <mergeCell ref="A56:M56"/>
    <mergeCell ref="B258:K258"/>
    <mergeCell ref="B147:K147"/>
    <mergeCell ref="S22:Z22"/>
    <mergeCell ref="F196:J196"/>
    <mergeCell ref="B199:C199"/>
    <mergeCell ref="O9:P9"/>
    <mergeCell ref="B243:D243"/>
    <mergeCell ref="C188:H188"/>
    <mergeCell ref="L241:O241"/>
    <mergeCell ref="O62:T62"/>
    <mergeCell ref="O56:T56"/>
    <mergeCell ref="AA18:AC18"/>
    <mergeCell ref="O206:S206"/>
    <mergeCell ref="B252:E252"/>
    <mergeCell ref="AA11:AC11"/>
    <mergeCell ref="F209:J209"/>
    <mergeCell ref="O57:T57"/>
    <mergeCell ref="S33:Z33"/>
    <mergeCell ref="AA29:AC29"/>
    <mergeCell ref="F211:J211"/>
    <mergeCell ref="R44:T44"/>
    <mergeCell ref="S35:Z35"/>
    <mergeCell ref="G219:I219"/>
    <mergeCell ref="AA44:AC44"/>
    <mergeCell ref="AA24:AC24"/>
    <mergeCell ref="C176:H176"/>
    <mergeCell ref="O75:T75"/>
    <mergeCell ref="A91:M91"/>
    <mergeCell ref="G217:J217"/>
    <mergeCell ref="C178:H178"/>
    <mergeCell ref="B153:K153"/>
    <mergeCell ref="F204:J204"/>
    <mergeCell ref="F198:J198"/>
    <mergeCell ref="O70:T70"/>
    <mergeCell ref="AA42:AC42"/>
    <mergeCell ref="L246:AA246"/>
    <mergeCell ref="AA17:AC17"/>
    <mergeCell ref="F199:J199"/>
    <mergeCell ref="K196:M196"/>
    <mergeCell ref="U44:Z44"/>
    <mergeCell ref="O12:P12"/>
    <mergeCell ref="L248:AA248"/>
    <mergeCell ref="AA19:AC19"/>
    <mergeCell ref="U59:W59"/>
    <mergeCell ref="B148:K148"/>
    <mergeCell ref="K198:M198"/>
    <mergeCell ref="O14:P14"/>
    <mergeCell ref="L236:O236"/>
    <mergeCell ref="U61:W61"/>
    <mergeCell ref="O13:P13"/>
    <mergeCell ref="O15:P15"/>
    <mergeCell ref="B193:C193"/>
    <mergeCell ref="R45:T45"/>
    <mergeCell ref="B247:C247"/>
    <mergeCell ref="B192:S192"/>
    <mergeCell ref="O25:P25"/>
    <mergeCell ref="U38:Z38"/>
    <mergeCell ref="L239:O239"/>
    <mergeCell ref="B211:C211"/>
    <mergeCell ref="U40:Z40"/>
    <mergeCell ref="O7:AC7"/>
    <mergeCell ref="O8:P8"/>
    <mergeCell ref="Q241:U241"/>
    <mergeCell ref="R38:T38"/>
    <mergeCell ref="U49:W49"/>
    <mergeCell ref="A101:M101"/>
    <mergeCell ref="O39:Q39"/>
    <mergeCell ref="F207:J207"/>
    <mergeCell ref="R40:T40"/>
    <mergeCell ref="B212:C212"/>
    <mergeCell ref="B206:C206"/>
    <mergeCell ref="S16:Z16"/>
    <mergeCell ref="AA45:AC45"/>
    <mergeCell ref="AA20:AC20"/>
    <mergeCell ref="F202:J202"/>
    <mergeCell ref="K199:M199"/>
    <mergeCell ref="A112:M112"/>
    <mergeCell ref="S18:Z18"/>
    <mergeCell ref="AA35:AC35"/>
    <mergeCell ref="N139:Q139"/>
    <mergeCell ref="L237:O237"/>
    <mergeCell ref="K207:M207"/>
    <mergeCell ref="U54:W54"/>
    <mergeCell ref="N138:Q138"/>
    <mergeCell ref="H139:M139"/>
    <mergeCell ref="K200:M200"/>
    <mergeCell ref="X54:AC54"/>
    <mergeCell ref="O21:P21"/>
    <mergeCell ref="B196:C196"/>
    <mergeCell ref="N140:Q140"/>
    <mergeCell ref="K202:M202"/>
    <mergeCell ref="F241:K241"/>
    <mergeCell ref="X56:AC56"/>
    <mergeCell ref="S9:Z9"/>
    <mergeCell ref="L235:U235"/>
    <mergeCell ref="AA38:AC38"/>
    <mergeCell ref="U46:Z46"/>
    <mergeCell ref="AA40:AC40"/>
    <mergeCell ref="X57:AC57"/>
    <mergeCell ref="A168:I168"/>
    <mergeCell ref="F236:K236"/>
    <mergeCell ref="D250:K250"/>
    <mergeCell ref="AA33:AC33"/>
    <mergeCell ref="L240:O240"/>
    <mergeCell ref="C177:H177"/>
    <mergeCell ref="A8:M8"/>
    <mergeCell ref="O34:P34"/>
    <mergeCell ref="O28:P28"/>
    <mergeCell ref="S12:Z12"/>
    <mergeCell ref="U41:Z41"/>
    <mergeCell ref="U57:W57"/>
    <mergeCell ref="B214:C214"/>
    <mergeCell ref="K195:M195"/>
    <mergeCell ref="O30:P30"/>
    <mergeCell ref="U43:Z43"/>
    <mergeCell ref="R41:T41"/>
    <mergeCell ref="B255:D255"/>
    <mergeCell ref="O42:Q42"/>
    <mergeCell ref="U52:W52"/>
    <mergeCell ref="X75:AC75"/>
    <mergeCell ref="R43:T43"/>
    <mergeCell ref="O60:T60"/>
    <mergeCell ref="G218:I218"/>
    <mergeCell ref="O196:S196"/>
    <mergeCell ref="O198:S198"/>
    <mergeCell ref="X70:AC70"/>
    <mergeCell ref="C175:H175"/>
    <mergeCell ref="B204:C204"/>
    <mergeCell ref="O23:P23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B202:C202"/>
    <mergeCell ref="O24:P24"/>
    <mergeCell ref="O18:P18"/>
    <mergeCell ref="X65:AC65"/>
    <mergeCell ref="F244:K244"/>
    <mergeCell ref="AA41:AC41"/>
    <mergeCell ref="AA16:AC16"/>
    <mergeCell ref="K219:O219"/>
    <mergeCell ref="X58:AC58"/>
    <mergeCell ref="O40:Q40"/>
    <mergeCell ref="X50:AC50"/>
    <mergeCell ref="S14:Z14"/>
    <mergeCell ref="A83:M83"/>
    <mergeCell ref="X60:AC60"/>
    <mergeCell ref="F239:K239"/>
    <mergeCell ref="S13:Z13"/>
    <mergeCell ref="C170:H170"/>
    <mergeCell ref="N143:Q143"/>
    <mergeCell ref="U60:W60"/>
    <mergeCell ref="S15:Z15"/>
    <mergeCell ref="AA22:AC22"/>
    <mergeCell ref="P217:S217"/>
    <mergeCell ref="P234:Q234"/>
    <mergeCell ref="B236:D236"/>
    <mergeCell ref="AA9:AC9"/>
    <mergeCell ref="O45:Q45"/>
    <mergeCell ref="D123:E123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zoomScale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  <col width="11.29" customWidth="1" min="10" max="10"/>
    <col width="11.29" customWidth="1" min="11" max="11"/>
    <col width="11.29" customWidth="1" min="12" max="12"/>
    <col width="11.29" customWidth="1" min="13" max="13"/>
  </cols>
  <sheetData>
    <row r="1">
      <c r="A1" s="22" t="inlineStr">
        <is>
          <t>Balance Sheet &amp; Segments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>
      <c r="A2" t="inlineStr">
        <is>
          <t>Quarter labels are fiscal periods. Values are scaled to $m unless otherwise stated.</t>
        </is>
      </c>
    </row>
    <row r="3">
      <c r="A3" s="171" t="inlineStr">
        <is>
          <t>QA checks populate after normalized data is planned.</t>
        </is>
      </c>
    </row>
    <row r="4" ht="24" customHeight="1">
      <c r="A4" s="172" t="inlineStr">
        <is>
          <t>Balance sheet &amp;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 ht="19.5" customHeight="1">
      <c r="A7" s="176" t="inlineStr">
        <is>
          <t>Quarter</t>
        </is>
      </c>
      <c r="B7" s="442" t="n"/>
      <c r="C7" s="442" t="n"/>
      <c r="D7" s="442" t="n"/>
      <c r="E7" s="442" t="n"/>
      <c r="F7" s="442" t="n"/>
      <c r="G7" s="442" t="n"/>
      <c r="H7" s="442" t="n"/>
      <c r="I7" s="442" t="n"/>
      <c r="J7" s="442" t="n"/>
      <c r="K7" s="442" t="n"/>
      <c r="L7" s="442" t="n"/>
      <c r="M7" s="442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</row>
    <row r="9" ht="18" customHeight="1">
      <c r="A9" s="179" t="inlineStr">
        <is>
          <t>Cash &amp; cash equivalents</t>
        </is>
      </c>
      <c r="B9" s="485" t="n"/>
      <c r="C9" s="485" t="n"/>
      <c r="D9" s="485" t="n"/>
      <c r="E9" s="485" t="n"/>
      <c r="F9" s="485" t="n"/>
      <c r="G9" s="485" t="n"/>
      <c r="H9" s="485" t="n"/>
      <c r="I9" s="485" t="n"/>
      <c r="J9" s="485" t="n"/>
      <c r="K9" s="485" t="n"/>
      <c r="L9" s="485" t="n"/>
      <c r="M9" s="485" t="n"/>
    </row>
    <row r="10" ht="18" customHeight="1">
      <c r="A10" s="179" t="inlineStr">
        <is>
          <t>Restricted cash</t>
        </is>
      </c>
      <c r="B10" s="485" t="n"/>
      <c r="C10" s="485" t="n"/>
      <c r="D10" s="485" t="n"/>
      <c r="E10" s="485" t="n"/>
      <c r="F10" s="485" t="n"/>
      <c r="G10" s="485" t="n"/>
      <c r="H10" s="485" t="n"/>
      <c r="I10" s="485" t="n"/>
      <c r="J10" s="485" t="n"/>
      <c r="K10" s="485" t="n"/>
      <c r="L10" s="485" t="n"/>
      <c r="M10" s="485" t="n"/>
    </row>
    <row r="11" ht="18" customHeight="1">
      <c r="A11" s="179" t="inlineStr">
        <is>
          <t>Total cash + restricted cash</t>
        </is>
      </c>
      <c r="B11" s="486">
        <f>IF(OR(B9="",B10=""),"",B9+B10)</f>
        <v/>
      </c>
      <c r="C11" s="486">
        <f>IF(OR(C9="",C10=""),"",C9+C10)</f>
        <v/>
      </c>
      <c r="D11" s="486">
        <f>IF(OR(D9="",D10=""),"",D9+D10)</f>
        <v/>
      </c>
      <c r="E11" s="486">
        <f>IF(OR(E9="",E10=""),"",E9+E10)</f>
        <v/>
      </c>
      <c r="F11" s="486">
        <f>IF(OR(F9="",F10=""),"",F9+F10)</f>
        <v/>
      </c>
      <c r="G11" s="486">
        <f>IF(OR(G9="",G10=""),"",G9+G10)</f>
        <v/>
      </c>
      <c r="H11" s="486">
        <f>IF(OR(H9="",H10=""),"",H9+H10)</f>
        <v/>
      </c>
      <c r="I11" s="486">
        <f>IF(OR(I9="",I10=""),"",I9+I10)</f>
        <v/>
      </c>
      <c r="J11" s="486">
        <f>IF(OR(J9="",J10=""),"",J9+J10)</f>
        <v/>
      </c>
      <c r="K11" s="486">
        <f>IF(OR(K9="",K10=""),"",K9+K10)</f>
        <v/>
      </c>
      <c r="L11" s="486">
        <f>IF(OR(L9="",L10=""),"",L9+L10)</f>
        <v/>
      </c>
      <c r="M11" s="486">
        <f>IF(OR(M9="",M10=""),"",M9+M10)</f>
        <v/>
      </c>
    </row>
    <row r="12" ht="18" customHeight="1">
      <c r="A12" s="179" t="inlineStr">
        <is>
          <t>Δ Cash QoQ ($m)</t>
        </is>
      </c>
      <c r="B12" s="486">
        <f>""</f>
        <v/>
      </c>
      <c r="C12" s="486">
        <f>IF(OR(C9="",B9=""),"",C9-B9)</f>
        <v/>
      </c>
      <c r="D12" s="486">
        <f>IF(OR(D9="",C9=""),"",D9-C9)</f>
        <v/>
      </c>
      <c r="E12" s="486">
        <f>IF(OR(E9="",D9=""),"",E9-D9)</f>
        <v/>
      </c>
      <c r="F12" s="486">
        <f>IF(OR(F9="",E9=""),"",F9-E9)</f>
        <v/>
      </c>
      <c r="G12" s="486">
        <f>IF(OR(G9="",F9=""),"",G9-F9)</f>
        <v/>
      </c>
      <c r="H12" s="486">
        <f>IF(OR(H9="",G9=""),"",H9-G9)</f>
        <v/>
      </c>
      <c r="I12" s="486">
        <f>IF(OR(I9="",H9=""),"",I9-H9)</f>
        <v/>
      </c>
      <c r="J12" s="486">
        <f>IF(OR(J9="",I9=""),"",J9-I9)</f>
        <v/>
      </c>
      <c r="K12" s="486">
        <f>IF(OR(K9="",J9=""),"",K9-J9)</f>
        <v/>
      </c>
      <c r="L12" s="486">
        <f>IF(OR(L9="",K9=""),"",L9-K9)</f>
        <v/>
      </c>
      <c r="M12" s="486">
        <f>IF(OR(M9="",L9=""),"",M9-L9)</f>
        <v/>
      </c>
    </row>
    <row r="13" ht="18" customHeight="1">
      <c r="A13" s="179" t="inlineStr">
        <is>
          <t>Short-term investments / marketable securities</t>
        </is>
      </c>
      <c r="B13" s="485" t="n"/>
      <c r="C13" s="485" t="n"/>
      <c r="D13" s="485" t="n"/>
      <c r="E13" s="485" t="n"/>
      <c r="F13" s="485" t="n"/>
      <c r="G13" s="485" t="n"/>
      <c r="H13" s="485" t="n"/>
      <c r="I13" s="485" t="n"/>
      <c r="J13" s="485" t="n"/>
      <c r="K13" s="485" t="n"/>
      <c r="L13" s="485" t="n"/>
      <c r="M13" s="485" t="n"/>
    </row>
    <row r="14" ht="18" customHeight="1">
      <c r="A14" s="179" t="inlineStr">
        <is>
          <t>Accounts receivable (net)</t>
        </is>
      </c>
      <c r="B14" s="485" t="n"/>
      <c r="C14" s="485" t="n"/>
      <c r="D14" s="485" t="n"/>
      <c r="E14" s="485" t="n"/>
      <c r="F14" s="485" t="n"/>
      <c r="G14" s="485" t="n"/>
      <c r="H14" s="485" t="n"/>
      <c r="I14" s="485" t="n"/>
      <c r="J14" s="485" t="n"/>
      <c r="K14" s="485" t="n"/>
      <c r="L14" s="485" t="n"/>
      <c r="M14" s="485" t="n"/>
    </row>
    <row r="15" ht="18" customHeight="1">
      <c r="A15" s="179" t="inlineStr">
        <is>
          <t>Inventory</t>
        </is>
      </c>
      <c r="B15" s="485" t="n"/>
      <c r="C15" s="485" t="n"/>
      <c r="D15" s="485" t="n"/>
      <c r="E15" s="485" t="n"/>
      <c r="F15" s="485" t="n"/>
      <c r="G15" s="485" t="n"/>
      <c r="H15" s="485" t="n"/>
      <c r="I15" s="485" t="n"/>
      <c r="J15" s="485" t="n"/>
      <c r="K15" s="485" t="n"/>
      <c r="L15" s="485" t="n"/>
      <c r="M15" s="485" t="n"/>
    </row>
    <row r="16" ht="18" customHeight="1">
      <c r="A16" s="179" t="inlineStr">
        <is>
          <t>Derivative financial instruments (asset)</t>
        </is>
      </c>
      <c r="B16" s="487" t="n"/>
      <c r="C16" s="487" t="n"/>
      <c r="D16" s="487" t="n"/>
      <c r="E16" s="487" t="n"/>
      <c r="F16" s="487" t="n"/>
      <c r="G16" s="487" t="n"/>
      <c r="H16" s="487" t="n"/>
      <c r="I16" s="487" t="n"/>
      <c r="J16" s="487" t="n"/>
      <c r="K16" s="487" t="n"/>
      <c r="L16" s="487" t="n"/>
      <c r="M16" s="487" t="n"/>
    </row>
    <row r="17" ht="18" customHeight="1">
      <c r="A17" s="179" t="inlineStr">
        <is>
          <t>Prepaid &amp; other current assets</t>
        </is>
      </c>
      <c r="B17" s="487" t="n"/>
      <c r="C17" s="487" t="n"/>
      <c r="D17" s="487" t="n"/>
      <c r="E17" s="487" t="n"/>
      <c r="F17" s="487" t="n"/>
      <c r="G17" s="487" t="n"/>
      <c r="H17" s="487" t="n"/>
      <c r="I17" s="487" t="n"/>
      <c r="J17" s="487" t="n"/>
      <c r="K17" s="487" t="n"/>
      <c r="L17" s="487" t="n"/>
      <c r="M17" s="487" t="n"/>
    </row>
    <row r="18" ht="18" customHeight="1">
      <c r="A18" s="179" t="inlineStr">
        <is>
          <t>Total current assets</t>
        </is>
      </c>
      <c r="B18" s="485" t="n"/>
      <c r="C18" s="485" t="n"/>
      <c r="D18" s="485" t="n"/>
      <c r="E18" s="485" t="n"/>
      <c r="F18" s="485" t="n"/>
      <c r="G18" s="485" t="n"/>
      <c r="H18" s="485" t="n"/>
      <c r="I18" s="485" t="n"/>
      <c r="J18" s="485" t="n"/>
      <c r="K18" s="485" t="n"/>
      <c r="L18" s="485" t="n"/>
      <c r="M18" s="485" t="n"/>
    </row>
    <row r="19" ht="18" customHeight="1">
      <c r="A19" s="179" t="inlineStr">
        <is>
          <t>Property, plant &amp; equipment (net)</t>
        </is>
      </c>
      <c r="B19" s="485" t="n"/>
      <c r="C19" s="485" t="n"/>
      <c r="D19" s="485" t="n"/>
      <c r="E19" s="485" t="n"/>
      <c r="F19" s="485" t="n"/>
      <c r="G19" s="485" t="n"/>
      <c r="H19" s="485" t="n"/>
      <c r="I19" s="485" t="n"/>
      <c r="J19" s="485" t="n"/>
      <c r="K19" s="485" t="n"/>
      <c r="L19" s="485" t="n"/>
      <c r="M19" s="485" t="n"/>
    </row>
    <row r="20" ht="18" customHeight="1">
      <c r="A20" s="179" t="inlineStr">
        <is>
          <t>Operating lease right-of-use assets</t>
        </is>
      </c>
      <c r="B20" s="487" t="n"/>
      <c r="C20" s="487" t="n"/>
      <c r="D20" s="487" t="n"/>
      <c r="E20" s="487" t="n"/>
      <c r="F20" s="487" t="n"/>
      <c r="G20" s="487" t="n"/>
      <c r="H20" s="487" t="n"/>
      <c r="I20" s="487" t="n"/>
      <c r="J20" s="487" t="n"/>
      <c r="K20" s="487" t="n"/>
      <c r="L20" s="487" t="n"/>
      <c r="M20" s="487" t="n"/>
    </row>
    <row r="21" ht="18" customHeight="1">
      <c r="A21" s="179" t="inlineStr">
        <is>
          <t>Deferred income taxes, net</t>
        </is>
      </c>
      <c r="B21" s="487" t="n"/>
      <c r="C21" s="487" t="n"/>
      <c r="D21" s="487" t="n"/>
      <c r="E21" s="487" t="n"/>
      <c r="F21" s="487" t="n"/>
      <c r="G21" s="487" t="n"/>
      <c r="H21" s="487" t="n"/>
      <c r="I21" s="487" t="n"/>
      <c r="J21" s="487" t="n"/>
      <c r="K21" s="487" t="n"/>
      <c r="L21" s="487" t="n"/>
      <c r="M21" s="487" t="n"/>
    </row>
    <row r="22" ht="18" customHeight="1">
      <c r="A22" s="179" t="inlineStr">
        <is>
          <t>Goodwill</t>
        </is>
      </c>
      <c r="B22" s="485" t="n"/>
      <c r="C22" s="485" t="n"/>
      <c r="D22" s="485" t="n"/>
      <c r="E22" s="485" t="n"/>
      <c r="F22" s="485" t="n"/>
      <c r="G22" s="485" t="n"/>
      <c r="H22" s="485" t="n"/>
      <c r="I22" s="485" t="n"/>
      <c r="J22" s="485" t="n"/>
      <c r="K22" s="485" t="n"/>
      <c r="L22" s="485" t="n"/>
      <c r="M22" s="485" t="n"/>
    </row>
    <row r="23" ht="18" customHeight="1">
      <c r="A23" s="179" t="inlineStr">
        <is>
          <t>Intangibles (net)</t>
        </is>
      </c>
      <c r="B23" s="485" t="n"/>
      <c r="C23" s="485" t="n"/>
      <c r="D23" s="485" t="n"/>
      <c r="E23" s="485" t="n"/>
      <c r="F23" s="485" t="n"/>
      <c r="G23" s="485" t="n"/>
      <c r="H23" s="485" t="n"/>
      <c r="I23" s="485" t="n"/>
      <c r="J23" s="485" t="n"/>
      <c r="K23" s="485" t="n"/>
      <c r="L23" s="485" t="n"/>
      <c r="M23" s="485" t="n"/>
    </row>
    <row r="24" ht="18" customHeight="1">
      <c r="A24" s="179" t="inlineStr">
        <is>
          <t>Other long-term assets</t>
        </is>
      </c>
      <c r="B24" s="485" t="n"/>
      <c r="C24" s="485" t="n"/>
      <c r="D24" s="485" t="n"/>
      <c r="E24" s="485" t="n"/>
      <c r="F24" s="485" t="n"/>
      <c r="G24" s="485" t="n"/>
      <c r="H24" s="485" t="n"/>
      <c r="I24" s="485" t="n"/>
      <c r="J24" s="485" t="n"/>
      <c r="K24" s="485" t="n"/>
      <c r="L24" s="485" t="n"/>
      <c r="M24" s="485" t="n"/>
    </row>
    <row r="25" ht="18" customHeight="1">
      <c r="A25" s="179" t="inlineStr">
        <is>
          <t>Total assets</t>
        </is>
      </c>
      <c r="B25" s="485" t="n"/>
      <c r="C25" s="485" t="n"/>
      <c r="D25" s="485" t="n"/>
      <c r="E25" s="485" t="n"/>
      <c r="F25" s="485" t="n"/>
      <c r="G25" s="485" t="n"/>
      <c r="H25" s="485" t="n"/>
      <c r="I25" s="485" t="n"/>
      <c r="J25" s="485" t="n"/>
      <c r="K25" s="485" t="n"/>
      <c r="L25" s="485" t="n"/>
      <c r="M25" s="485" t="n"/>
    </row>
    <row r="26" ht="18" customHeight="1">
      <c r="A26" s="179" t="inlineStr">
        <is>
          <t>Goodwill % of assets</t>
        </is>
      </c>
      <c r="B26" s="488">
        <f>IF(OR(B22="",B25="",B25=0),"",B22/B25)</f>
        <v/>
      </c>
      <c r="C26" s="488">
        <f>IF(OR(C22="",C25="",C25=0),"",C22/C25)</f>
        <v/>
      </c>
      <c r="D26" s="488">
        <f>IF(OR(D22="",D25="",D25=0),"",D22/D25)</f>
        <v/>
      </c>
      <c r="E26" s="488">
        <f>IF(OR(E22="",E25="",E25=0),"",E22/E25)</f>
        <v/>
      </c>
      <c r="F26" s="488">
        <f>IF(OR(F22="",F25="",F25=0),"",F22/F25)</f>
        <v/>
      </c>
      <c r="G26" s="488">
        <f>IF(OR(G22="",G25="",G25=0),"",G22/G25)</f>
        <v/>
      </c>
      <c r="H26" s="488">
        <f>IF(OR(H22="",H25="",H25=0),"",H22/H25)</f>
        <v/>
      </c>
      <c r="I26" s="488">
        <f>IF(OR(I22="",I25="",I25=0),"",I22/I25)</f>
        <v/>
      </c>
      <c r="J26" s="488">
        <f>IF(OR(J22="",J25="",J25=0),"",J22/J25)</f>
        <v/>
      </c>
      <c r="K26" s="488">
        <f>IF(OR(K22="",K25="",K25=0),"",K22/K25)</f>
        <v/>
      </c>
      <c r="L26" s="488">
        <f>IF(OR(L22="",L25="",L25=0),"",L22/L25)</f>
        <v/>
      </c>
      <c r="M26" s="488">
        <f>IF(OR(M22="",M25="",M25=0),"",M22/M25)</f>
        <v/>
      </c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8" t="n"/>
      <c r="L27" s="178" t="n"/>
      <c r="M27" s="178" t="n"/>
    </row>
    <row r="28" ht="18" customHeight="1">
      <c r="A28" s="179" t="inlineStr">
        <is>
          <t>Accounts payable</t>
        </is>
      </c>
      <c r="B28" s="485" t="n"/>
      <c r="C28" s="485" t="n"/>
      <c r="D28" s="485" t="n"/>
      <c r="E28" s="485" t="n"/>
      <c r="F28" s="485" t="n"/>
      <c r="G28" s="485" t="n"/>
      <c r="H28" s="485" t="n"/>
      <c r="I28" s="485" t="n"/>
      <c r="J28" s="485" t="n"/>
      <c r="K28" s="485" t="n"/>
      <c r="L28" s="485" t="n"/>
      <c r="M28" s="485" t="n"/>
    </row>
    <row r="29" ht="18" customHeight="1">
      <c r="A29" s="179" t="inlineStr">
        <is>
          <t>Accrued liabilities</t>
        </is>
      </c>
      <c r="B29" s="485" t="n"/>
      <c r="C29" s="485" t="n"/>
      <c r="D29" s="485" t="n"/>
      <c r="E29" s="485" t="n"/>
      <c r="F29" s="485" t="n"/>
      <c r="G29" s="485" t="n"/>
      <c r="H29" s="485" t="n"/>
      <c r="I29" s="485" t="n"/>
      <c r="J29" s="485" t="n"/>
      <c r="K29" s="485" t="n"/>
      <c r="L29" s="485" t="n"/>
      <c r="M29" s="485" t="n"/>
    </row>
    <row r="30" ht="18" customHeight="1">
      <c r="A30" s="179" t="inlineStr">
        <is>
          <t>Deferred revenue / customer deposits</t>
        </is>
      </c>
      <c r="B30" s="487" t="n"/>
      <c r="C30" s="487" t="n"/>
      <c r="D30" s="487" t="n"/>
      <c r="E30" s="487" t="n"/>
      <c r="F30" s="487" t="n"/>
      <c r="G30" s="487" t="n"/>
      <c r="H30" s="487" t="n"/>
      <c r="I30" s="487" t="n"/>
      <c r="J30" s="487" t="n"/>
      <c r="K30" s="487" t="n"/>
      <c r="L30" s="487" t="n"/>
      <c r="M30" s="487" t="n"/>
    </row>
    <row r="31" ht="18" customHeight="1">
      <c r="A31" s="179" t="inlineStr">
        <is>
          <t>Derivative financial instruments (liability)</t>
        </is>
      </c>
      <c r="B31" s="487" t="n"/>
      <c r="C31" s="487" t="n"/>
      <c r="D31" s="487" t="n"/>
      <c r="E31" s="487" t="n"/>
      <c r="F31" s="487" t="n"/>
      <c r="G31" s="487" t="n"/>
      <c r="H31" s="487" t="n"/>
      <c r="I31" s="487" t="n"/>
      <c r="J31" s="487" t="n"/>
      <c r="K31" s="487" t="n"/>
      <c r="L31" s="487" t="n"/>
      <c r="M31" s="487" t="n"/>
    </row>
    <row r="32" ht="18" customHeight="1">
      <c r="A32" s="179" t="inlineStr">
        <is>
          <t>Short-term borrowings</t>
        </is>
      </c>
      <c r="B32" s="485" t="n"/>
      <c r="C32" s="485" t="n"/>
      <c r="D32" s="485" t="n"/>
      <c r="E32" s="485" t="n"/>
      <c r="F32" s="485" t="n"/>
      <c r="G32" s="485" t="n"/>
      <c r="H32" s="485" t="n"/>
      <c r="I32" s="485" t="n"/>
      <c r="J32" s="485" t="n"/>
      <c r="K32" s="485" t="n"/>
      <c r="L32" s="485" t="n"/>
      <c r="M32" s="485" t="n"/>
    </row>
    <row r="33" ht="18" customHeight="1">
      <c r="A33" s="179" t="inlineStr">
        <is>
          <t>Current maturities of long-term debt</t>
        </is>
      </c>
      <c r="B33" s="485" t="n"/>
      <c r="C33" s="485" t="n"/>
      <c r="D33" s="485" t="n"/>
      <c r="E33" s="485" t="n"/>
      <c r="F33" s="485" t="n"/>
      <c r="G33" s="485" t="n"/>
      <c r="H33" s="485" t="n"/>
      <c r="I33" s="485" t="n"/>
      <c r="J33" s="485" t="n"/>
      <c r="K33" s="485" t="n"/>
      <c r="L33" s="485" t="n"/>
      <c r="M33" s="485" t="n"/>
    </row>
    <row r="34" ht="18" customHeight="1">
      <c r="A34" s="179" t="inlineStr">
        <is>
          <t>Operating lease current liabilities</t>
        </is>
      </c>
      <c r="B34" s="485" t="n"/>
      <c r="C34" s="485" t="n"/>
      <c r="D34" s="485" t="n"/>
      <c r="E34" s="485" t="n"/>
      <c r="F34" s="485" t="n"/>
      <c r="G34" s="485" t="n"/>
      <c r="H34" s="485" t="n"/>
      <c r="I34" s="485" t="n"/>
      <c r="J34" s="485" t="n"/>
      <c r="K34" s="485" t="n"/>
      <c r="L34" s="485" t="n"/>
      <c r="M34" s="485" t="n"/>
    </row>
    <row r="35" ht="18" customHeight="1">
      <c r="A35" s="179" t="inlineStr">
        <is>
          <t>Total current liabilities</t>
        </is>
      </c>
      <c r="B35" s="485" t="n"/>
      <c r="C35" s="485" t="n"/>
      <c r="D35" s="485" t="n"/>
      <c r="E35" s="485" t="n"/>
      <c r="F35" s="485" t="n"/>
      <c r="G35" s="485" t="n"/>
      <c r="H35" s="485" t="n"/>
      <c r="I35" s="485" t="n"/>
      <c r="J35" s="485" t="n"/>
      <c r="K35" s="485" t="n"/>
      <c r="L35" s="485" t="n"/>
      <c r="M35" s="485" t="n"/>
    </row>
    <row r="36" ht="18" customHeight="1">
      <c r="A36" s="179" t="inlineStr">
        <is>
          <t>Net working capital</t>
        </is>
      </c>
      <c r="B36" s="486">
        <f>IF(OR(B18="",B35=""),"",B18-B35)</f>
        <v/>
      </c>
      <c r="C36" s="486">
        <f>IF(OR(C18="",C35=""),"",C18-C35)</f>
        <v/>
      </c>
      <c r="D36" s="486">
        <f>IF(OR(D18="",D35=""),"",D18-D35)</f>
        <v/>
      </c>
      <c r="E36" s="486">
        <f>IF(OR(E18="",E35=""),"",E18-E35)</f>
        <v/>
      </c>
      <c r="F36" s="486">
        <f>IF(OR(F18="",F35=""),"",F18-F35)</f>
        <v/>
      </c>
      <c r="G36" s="486">
        <f>IF(OR(G18="",G35=""),"",G18-G35)</f>
        <v/>
      </c>
      <c r="H36" s="486">
        <f>IF(OR(H18="",H35=""),"",H18-H35)</f>
        <v/>
      </c>
      <c r="I36" s="486">
        <f>IF(OR(I18="",I35=""),"",I18-I35)</f>
        <v/>
      </c>
      <c r="J36" s="486">
        <f>IF(OR(J18="",J35=""),"",J18-J35)</f>
        <v/>
      </c>
      <c r="K36" s="486">
        <f>IF(OR(K18="",K35=""),"",K18-K35)</f>
        <v/>
      </c>
      <c r="L36" s="486">
        <f>IF(OR(L18="",L35=""),"",L18-L35)</f>
        <v/>
      </c>
      <c r="M36" s="486">
        <f>IF(OR(M18="",M35=""),"",M18-M35)</f>
        <v/>
      </c>
    </row>
    <row r="37" ht="18" customHeight="1">
      <c r="A37" s="179" t="inlineStr">
        <is>
          <t>Δ NWC QoQ</t>
        </is>
      </c>
      <c r="B37" s="486">
        <f>""</f>
        <v/>
      </c>
      <c r="C37" s="486">
        <f>IF(OR(C36="",B36=""),"",C36-B36)</f>
        <v/>
      </c>
      <c r="D37" s="486">
        <f>IF(OR(D36="",C36=""),"",D36-C36)</f>
        <v/>
      </c>
      <c r="E37" s="486">
        <f>IF(OR(E36="",D36=""),"",E36-D36)</f>
        <v/>
      </c>
      <c r="F37" s="486">
        <f>IF(OR(F36="",E36=""),"",F36-E36)</f>
        <v/>
      </c>
      <c r="G37" s="486">
        <f>IF(OR(G36="",F36=""),"",G36-F36)</f>
        <v/>
      </c>
      <c r="H37" s="486">
        <f>IF(OR(H36="",G36=""),"",H36-G36)</f>
        <v/>
      </c>
      <c r="I37" s="486">
        <f>IF(OR(I36="",H36=""),"",I36-H36)</f>
        <v/>
      </c>
      <c r="J37" s="486">
        <f>IF(OR(J36="",I36=""),"",J36-I36)</f>
        <v/>
      </c>
      <c r="K37" s="486">
        <f>IF(OR(K36="",J36=""),"",K36-J36)</f>
        <v/>
      </c>
      <c r="L37" s="486">
        <f>IF(OR(L36="",K36=""),"",L36-K36)</f>
        <v/>
      </c>
      <c r="M37" s="486">
        <f>IF(OR(M36="",L36=""),"",M36-L36)</f>
        <v/>
      </c>
    </row>
    <row r="38" ht="18" customHeight="1">
      <c r="A38" s="179" t="inlineStr">
        <is>
          <t>Current ratio</t>
        </is>
      </c>
      <c r="B38" s="488">
        <f>IF(OR(B18="",B35="",B35=0),"",B18/B35)</f>
        <v/>
      </c>
      <c r="C38" s="488">
        <f>IF(OR(C18="",C35="",C35=0),"",C18/C35)</f>
        <v/>
      </c>
      <c r="D38" s="488">
        <f>IF(OR(D18="",D35="",D35=0),"",D18/D35)</f>
        <v/>
      </c>
      <c r="E38" s="488">
        <f>IF(OR(E18="",E35="",E35=0),"",E18/E35)</f>
        <v/>
      </c>
      <c r="F38" s="488">
        <f>IF(OR(F18="",F35="",F35=0),"",F18/F35)</f>
        <v/>
      </c>
      <c r="G38" s="488">
        <f>IF(OR(G18="",G35="",G35=0),"",G18/G35)</f>
        <v/>
      </c>
      <c r="H38" s="488">
        <f>IF(OR(H18="",H35="",H35=0),"",H18/H35)</f>
        <v/>
      </c>
      <c r="I38" s="488">
        <f>IF(OR(I18="",I35="",I35=0),"",I18/I35)</f>
        <v/>
      </c>
      <c r="J38" s="488">
        <f>IF(OR(J18="",J35="",J35=0),"",J18/J35)</f>
        <v/>
      </c>
      <c r="K38" s="488">
        <f>IF(OR(K18="",K35="",K35=0),"",K18/K35)</f>
        <v/>
      </c>
      <c r="L38" s="488">
        <f>IF(OR(L18="",L35="",L35=0),"",L18/L35)</f>
        <v/>
      </c>
      <c r="M38" s="488">
        <f>IF(OR(M18="",M35="",M35=0),"",M18/M35)</f>
        <v/>
      </c>
    </row>
    <row r="39" ht="18" customHeight="1">
      <c r="A39" s="179" t="inlineStr">
        <is>
          <t>Quick ratio</t>
        </is>
      </c>
      <c r="B39" s="488">
        <f>IF(OR(B18="",B15="",B35="",B35=0),"",(B18-B15)/B35)</f>
        <v/>
      </c>
      <c r="C39" s="488">
        <f>IF(OR(C18="",C15="",C35="",C35=0),"",(C18-C15)/C35)</f>
        <v/>
      </c>
      <c r="D39" s="488">
        <f>IF(OR(D18="",D15="",D35="",D35=0),"",(D18-D15)/D35)</f>
        <v/>
      </c>
      <c r="E39" s="488">
        <f>IF(OR(E18="",E15="",E35="",E35=0),"",(E18-E15)/E35)</f>
        <v/>
      </c>
      <c r="F39" s="488">
        <f>IF(OR(F18="",F15="",F35="",F35=0),"",(F18-F15)/F35)</f>
        <v/>
      </c>
      <c r="G39" s="488">
        <f>IF(OR(G18="",G15="",G35="",G35=0),"",(G18-G15)/G35)</f>
        <v/>
      </c>
      <c r="H39" s="488">
        <f>IF(OR(H18="",H15="",H35="",H35=0),"",(H18-H15)/H35)</f>
        <v/>
      </c>
      <c r="I39" s="488">
        <f>IF(OR(I18="",I15="",I35="",I35=0),"",(I18-I15)/I35)</f>
        <v/>
      </c>
      <c r="J39" s="488">
        <f>IF(OR(J18="",J15="",J35="",J35=0),"",(J18-J15)/J35)</f>
        <v/>
      </c>
      <c r="K39" s="488">
        <f>IF(OR(K18="",K15="",K35="",K35=0),"",(K18-K15)/K35)</f>
        <v/>
      </c>
      <c r="L39" s="488">
        <f>IF(OR(L18="",L15="",L35="",L35=0),"",(L18-L15)/L35)</f>
        <v/>
      </c>
      <c r="M39" s="488">
        <f>IF(OR(M18="",M15="",M35="",M35=0),"",(M18-M15)/M35)</f>
        <v/>
      </c>
    </row>
    <row r="40" ht="18" customHeight="1">
      <c r="A40" s="179" t="inlineStr">
        <is>
          <t>Debt (core borrowings)</t>
        </is>
      </c>
      <c r="B40" s="485" t="n"/>
      <c r="C40" s="485" t="n"/>
      <c r="D40" s="485" t="n"/>
      <c r="E40" s="485" t="n"/>
      <c r="F40" s="485" t="n"/>
      <c r="G40" s="485" t="n"/>
      <c r="H40" s="485" t="n"/>
      <c r="I40" s="485" t="n"/>
      <c r="J40" s="485" t="n"/>
      <c r="K40" s="485" t="n"/>
      <c r="L40" s="485" t="n"/>
      <c r="M40" s="485" t="n"/>
    </row>
    <row r="41" ht="18" customHeight="1">
      <c r="A41" s="179" t="inlineStr">
        <is>
          <t>Δ Total debt QoQ ($m)</t>
        </is>
      </c>
      <c r="B41" s="486">
        <f>""</f>
        <v/>
      </c>
      <c r="C41" s="486">
        <f>IF(OR(C40="",B40=""),"",C40-B40)</f>
        <v/>
      </c>
      <c r="D41" s="486">
        <f>IF(OR(D40="",C40=""),"",D40-C40)</f>
        <v/>
      </c>
      <c r="E41" s="486">
        <f>IF(OR(E40="",D40=""),"",E40-D40)</f>
        <v/>
      </c>
      <c r="F41" s="486">
        <f>IF(OR(F40="",E40=""),"",F40-E40)</f>
        <v/>
      </c>
      <c r="G41" s="486">
        <f>IF(OR(G40="",F40=""),"",G40-F40)</f>
        <v/>
      </c>
      <c r="H41" s="486">
        <f>IF(OR(H40="",G40=""),"",H40-G40)</f>
        <v/>
      </c>
      <c r="I41" s="486">
        <f>IF(OR(I40="",H40=""),"",I40-H40)</f>
        <v/>
      </c>
      <c r="J41" s="486">
        <f>IF(OR(J40="",I40=""),"",J40-I40)</f>
        <v/>
      </c>
      <c r="K41" s="486">
        <f>IF(OR(K40="",J40=""),"",K40-J40)</f>
        <v/>
      </c>
      <c r="L41" s="486">
        <f>IF(OR(L40="",K40=""),"",L40-K40)</f>
        <v/>
      </c>
      <c r="M41" s="486">
        <f>IF(OR(M40="",L40=""),"",M40-L40)</f>
        <v/>
      </c>
    </row>
    <row r="42" ht="18" customHeight="1">
      <c r="A42" s="179" t="inlineStr">
        <is>
          <t>Operating lease long-term liabilities</t>
        </is>
      </c>
      <c r="B42" s="485" t="n"/>
      <c r="C42" s="485" t="n"/>
      <c r="D42" s="485" t="n"/>
      <c r="E42" s="485" t="n"/>
      <c r="F42" s="485" t="n"/>
      <c r="G42" s="485" t="n"/>
      <c r="H42" s="485" t="n"/>
      <c r="I42" s="485" t="n"/>
      <c r="J42" s="485" t="n"/>
      <c r="K42" s="485" t="n"/>
      <c r="L42" s="485" t="n"/>
      <c r="M42" s="485" t="n"/>
    </row>
    <row r="43" ht="18" customHeight="1">
      <c r="A43" s="179" t="inlineStr">
        <is>
          <t>Pension / OPEB obligation (net)</t>
        </is>
      </c>
      <c r="B43" s="485" t="n"/>
      <c r="C43" s="485" t="n"/>
      <c r="D43" s="485" t="n"/>
      <c r="E43" s="485" t="n"/>
      <c r="F43" s="485" t="n"/>
      <c r="G43" s="485" t="n"/>
      <c r="H43" s="485" t="n"/>
      <c r="I43" s="485" t="n"/>
      <c r="J43" s="485" t="n"/>
      <c r="K43" s="485" t="n"/>
      <c r="L43" s="485" t="n"/>
      <c r="M43" s="485" t="n"/>
    </row>
    <row r="44" ht="18" customHeight="1">
      <c r="A44" s="179" t="inlineStr">
        <is>
          <t>Other long-term liabilities</t>
        </is>
      </c>
      <c r="B44" s="485" t="n"/>
      <c r="C44" s="485" t="n"/>
      <c r="D44" s="485" t="n"/>
      <c r="E44" s="485" t="n"/>
      <c r="F44" s="485" t="n"/>
      <c r="G44" s="485" t="n"/>
      <c r="H44" s="485" t="n"/>
      <c r="I44" s="485" t="n"/>
      <c r="J44" s="485" t="n"/>
      <c r="K44" s="485" t="n"/>
      <c r="L44" s="485" t="n"/>
      <c r="M44" s="485" t="n"/>
    </row>
    <row r="45" ht="18" customHeight="1">
      <c r="A45" s="179" t="inlineStr">
        <is>
          <t>Total liabilities</t>
        </is>
      </c>
      <c r="B45" s="485" t="n"/>
      <c r="C45" s="485" t="n"/>
      <c r="D45" s="485" t="n"/>
      <c r="E45" s="485" t="n"/>
      <c r="F45" s="485" t="n"/>
      <c r="G45" s="485" t="n"/>
      <c r="H45" s="485" t="n"/>
      <c r="I45" s="485" t="n"/>
      <c r="J45" s="485" t="n"/>
      <c r="K45" s="485" t="n"/>
      <c r="L45" s="485" t="n"/>
      <c r="M45" s="485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8" t="n"/>
      <c r="L46" s="178" t="n"/>
      <c r="M46" s="178" t="n"/>
    </row>
    <row r="47" ht="18" customHeight="1">
      <c r="A47" s="179" t="inlineStr">
        <is>
          <t>Total equity</t>
        </is>
      </c>
      <c r="B47" s="485" t="n"/>
      <c r="C47" s="485" t="n"/>
      <c r="D47" s="485" t="n"/>
      <c r="E47" s="485" t="n"/>
      <c r="F47" s="485" t="n"/>
      <c r="G47" s="485" t="n"/>
      <c r="H47" s="485" t="n"/>
      <c r="I47" s="485" t="n"/>
      <c r="J47" s="485" t="n"/>
      <c r="K47" s="485" t="n"/>
      <c r="L47" s="485" t="n"/>
      <c r="M47" s="485" t="n"/>
    </row>
    <row r="48" ht="18" customHeight="1">
      <c r="A48" s="179" t="inlineStr">
        <is>
          <t>Shares outstanding (m)</t>
        </is>
      </c>
      <c r="B48" s="489" t="n"/>
      <c r="C48" s="489" t="n"/>
      <c r="D48" s="489" t="n"/>
      <c r="E48" s="489" t="n"/>
      <c r="F48" s="489" t="n"/>
      <c r="G48" s="489" t="n"/>
      <c r="H48" s="489" t="n"/>
      <c r="I48" s="489" t="n"/>
      <c r="J48" s="489" t="n"/>
      <c r="K48" s="489" t="n"/>
      <c r="L48" s="489" t="n"/>
      <c r="M48" s="489" t="n"/>
    </row>
    <row r="49" ht="18" customHeight="1">
      <c r="A49" s="179" t="inlineStr">
        <is>
          <t>Shares diluted (m)</t>
        </is>
      </c>
      <c r="B49" s="489" t="n"/>
      <c r="C49" s="489" t="n"/>
      <c r="D49" s="489" t="n"/>
      <c r="E49" s="489" t="n"/>
      <c r="F49" s="489" t="n"/>
      <c r="G49" s="489" t="n"/>
      <c r="H49" s="489" t="n"/>
      <c r="I49" s="489" t="n"/>
      <c r="J49" s="489" t="n"/>
      <c r="K49" s="489" t="n"/>
      <c r="L49" s="489" t="n"/>
      <c r="M49" s="489" t="n"/>
    </row>
    <row r="50" ht="18" customHeight="1">
      <c r="A50" s="177" t="n"/>
      <c r="B50" s="490" t="n"/>
      <c r="C50" s="490" t="n"/>
      <c r="D50" s="490" t="n"/>
      <c r="E50" s="490" t="n"/>
      <c r="F50" s="490" t="n"/>
      <c r="G50" s="490" t="n"/>
      <c r="H50" s="490" t="n"/>
      <c r="I50" s="490" t="n"/>
      <c r="J50" s="490" t="n"/>
      <c r="K50" s="490" t="n"/>
      <c r="L50" s="490" t="n"/>
      <c r="M50" s="490" t="n"/>
    </row>
    <row r="51" ht="18" customHeight="1">
      <c r="A51" s="179" t="inlineStr">
        <is>
          <t>Inventory YoY</t>
        </is>
      </c>
      <c r="B51" s="488">
        <f>""</f>
        <v/>
      </c>
      <c r="C51" s="488">
        <f>""</f>
        <v/>
      </c>
      <c r="D51" s="488">
        <f>""</f>
        <v/>
      </c>
      <c r="E51" s="488">
        <f>""</f>
        <v/>
      </c>
      <c r="F51" s="488">
        <f>IF(OR(B15="",F15="",B15=0),"",F15/B15-1)</f>
        <v/>
      </c>
      <c r="G51" s="488">
        <f>IF(OR(C15="",G15="",C15=0),"",G15/C15-1)</f>
        <v/>
      </c>
      <c r="H51" s="488">
        <f>IF(OR(D15="",H15="",D15=0),"",H15/D15-1)</f>
        <v/>
      </c>
      <c r="I51" s="488">
        <f>IF(OR(E15="",I15="",E15=0),"",I15/E15-1)</f>
        <v/>
      </c>
      <c r="J51" s="488">
        <f>IF(OR(F15="",J15="",F15=0),"",J15/F15-1)</f>
        <v/>
      </c>
      <c r="K51" s="488">
        <f>IF(OR(G15="",K15="",G15=0),"",K15/G15-1)</f>
        <v/>
      </c>
      <c r="L51" s="488">
        <f>IF(OR(H15="",L15="",H15=0),"",L15/H15-1)</f>
        <v/>
      </c>
      <c r="M51" s="488">
        <f>IF(OR(I15="",M15="",I15=0),"",M15/I15-1)</f>
        <v/>
      </c>
    </row>
    <row r="52" ht="18" customHeight="1">
      <c r="A52" s="179" t="inlineStr">
        <is>
          <t>Sales YoY</t>
        </is>
      </c>
      <c r="B52" s="488">
        <f>IFERROR(IF(OR(INDEX('Valuation'!$B$9:$M$9,1,MATCH(B$7,'Valuation'!$B$6:$M$6,0))="",INDEX('Valuation'!$B$9:$M$9,1,MATCH(B$7,'Valuation'!$B$6:$M$6,0)-4)="",INDEX('Valuation'!$B$9:$M$9,1,MATCH(B$7,'Valuation'!$B$6:$M$6,0)-4)=0),"",INDEX('Valuation'!$B$9:$M$9,1,MATCH(B$7,'Valuation'!$B$6:$M$6,0))/INDEX('Valuation'!$B$9:$M$9,1,MATCH(B$7,'Valuation'!$B$6:$M$6,0)-4)-1),"")</f>
        <v/>
      </c>
      <c r="C52" s="488">
        <f>IFERROR(IF(OR(INDEX('Valuation'!$B$9:$M$9,1,MATCH(C$7,'Valuation'!$B$6:$M$6,0))="",INDEX('Valuation'!$B$9:$M$9,1,MATCH(C$7,'Valuation'!$B$6:$M$6,0)-4)="",INDEX('Valuation'!$B$9:$M$9,1,MATCH(C$7,'Valuation'!$B$6:$M$6,0)-4)=0),"",INDEX('Valuation'!$B$9:$M$9,1,MATCH(C$7,'Valuation'!$B$6:$M$6,0))/INDEX('Valuation'!$B$9:$M$9,1,MATCH(C$7,'Valuation'!$B$6:$M$6,0)-4)-1),"")</f>
        <v/>
      </c>
      <c r="D52" s="488">
        <f>IFERROR(IF(OR(INDEX('Valuation'!$B$9:$M$9,1,MATCH(D$7,'Valuation'!$B$6:$M$6,0))="",INDEX('Valuation'!$B$9:$M$9,1,MATCH(D$7,'Valuation'!$B$6:$M$6,0)-4)="",INDEX('Valuation'!$B$9:$M$9,1,MATCH(D$7,'Valuation'!$B$6:$M$6,0)-4)=0),"",INDEX('Valuation'!$B$9:$M$9,1,MATCH(D$7,'Valuation'!$B$6:$M$6,0))/INDEX('Valuation'!$B$9:$M$9,1,MATCH(D$7,'Valuation'!$B$6:$M$6,0)-4)-1),"")</f>
        <v/>
      </c>
      <c r="E52" s="488">
        <f>IFERROR(IF(OR(INDEX('Valuation'!$B$9:$M$9,1,MATCH(E$7,'Valuation'!$B$6:$M$6,0))="",INDEX('Valuation'!$B$9:$M$9,1,MATCH(E$7,'Valuation'!$B$6:$M$6,0)-4)="",INDEX('Valuation'!$B$9:$M$9,1,MATCH(E$7,'Valuation'!$B$6:$M$6,0)-4)=0),"",INDEX('Valuation'!$B$9:$M$9,1,MATCH(E$7,'Valuation'!$B$6:$M$6,0))/INDEX('Valuation'!$B$9:$M$9,1,MATCH(E$7,'Valuation'!$B$6:$M$6,0)-4)-1),"")</f>
        <v/>
      </c>
      <c r="F52" s="488">
        <f>IFERROR(IF(OR(INDEX('Valuation'!$B$9:$M$9,1,MATCH(F$7,'Valuation'!$B$6:$M$6,0))="",INDEX('Valuation'!$B$9:$M$9,1,MATCH(F$7,'Valuation'!$B$6:$M$6,0)-4)="",INDEX('Valuation'!$B$9:$M$9,1,MATCH(F$7,'Valuation'!$B$6:$M$6,0)-4)=0),"",INDEX('Valuation'!$B$9:$M$9,1,MATCH(F$7,'Valuation'!$B$6:$M$6,0))/INDEX('Valuation'!$B$9:$M$9,1,MATCH(F$7,'Valuation'!$B$6:$M$6,0)-4)-1),"")</f>
        <v/>
      </c>
      <c r="G52" s="488">
        <f>IFERROR(IF(OR(INDEX('Valuation'!$B$9:$M$9,1,MATCH(G$7,'Valuation'!$B$6:$M$6,0))="",INDEX('Valuation'!$B$9:$M$9,1,MATCH(G$7,'Valuation'!$B$6:$M$6,0)-4)="",INDEX('Valuation'!$B$9:$M$9,1,MATCH(G$7,'Valuation'!$B$6:$M$6,0)-4)=0),"",INDEX('Valuation'!$B$9:$M$9,1,MATCH(G$7,'Valuation'!$B$6:$M$6,0))/INDEX('Valuation'!$B$9:$M$9,1,MATCH(G$7,'Valuation'!$B$6:$M$6,0)-4)-1),"")</f>
        <v/>
      </c>
      <c r="H52" s="488">
        <f>IFERROR(IF(OR(INDEX('Valuation'!$B$9:$M$9,1,MATCH(H$7,'Valuation'!$B$6:$M$6,0))="",INDEX('Valuation'!$B$9:$M$9,1,MATCH(H$7,'Valuation'!$B$6:$M$6,0)-4)="",INDEX('Valuation'!$B$9:$M$9,1,MATCH(H$7,'Valuation'!$B$6:$M$6,0)-4)=0),"",INDEX('Valuation'!$B$9:$M$9,1,MATCH(H$7,'Valuation'!$B$6:$M$6,0))/INDEX('Valuation'!$B$9:$M$9,1,MATCH(H$7,'Valuation'!$B$6:$M$6,0)-4)-1),"")</f>
        <v/>
      </c>
      <c r="I52" s="488">
        <f>IFERROR(IF(OR(INDEX('Valuation'!$B$9:$M$9,1,MATCH(I$7,'Valuation'!$B$6:$M$6,0))="",INDEX('Valuation'!$B$9:$M$9,1,MATCH(I$7,'Valuation'!$B$6:$M$6,0)-4)="",INDEX('Valuation'!$B$9:$M$9,1,MATCH(I$7,'Valuation'!$B$6:$M$6,0)-4)=0),"",INDEX('Valuation'!$B$9:$M$9,1,MATCH(I$7,'Valuation'!$B$6:$M$6,0))/INDEX('Valuation'!$B$9:$M$9,1,MATCH(I$7,'Valuation'!$B$6:$M$6,0)-4)-1),"")</f>
        <v/>
      </c>
      <c r="J52" s="488">
        <f>IFERROR(IF(OR(INDEX('Valuation'!$B$9:$M$9,1,MATCH(J$7,'Valuation'!$B$6:$M$6,0))="",INDEX('Valuation'!$B$9:$M$9,1,MATCH(J$7,'Valuation'!$B$6:$M$6,0)-4)="",INDEX('Valuation'!$B$9:$M$9,1,MATCH(J$7,'Valuation'!$B$6:$M$6,0)-4)=0),"",INDEX('Valuation'!$B$9:$M$9,1,MATCH(J$7,'Valuation'!$B$6:$M$6,0))/INDEX('Valuation'!$B$9:$M$9,1,MATCH(J$7,'Valuation'!$B$6:$M$6,0)-4)-1),"")</f>
        <v/>
      </c>
      <c r="K52" s="488">
        <f>IFERROR(IF(OR(INDEX('Valuation'!$B$9:$M$9,1,MATCH(K$7,'Valuation'!$B$6:$M$6,0))="",INDEX('Valuation'!$B$9:$M$9,1,MATCH(K$7,'Valuation'!$B$6:$M$6,0)-4)="",INDEX('Valuation'!$B$9:$M$9,1,MATCH(K$7,'Valuation'!$B$6:$M$6,0)-4)=0),"",INDEX('Valuation'!$B$9:$M$9,1,MATCH(K$7,'Valuation'!$B$6:$M$6,0))/INDEX('Valuation'!$B$9:$M$9,1,MATCH(K$7,'Valuation'!$B$6:$M$6,0)-4)-1),"")</f>
        <v/>
      </c>
      <c r="L52" s="488">
        <f>IFERROR(IF(OR(INDEX('Valuation'!$B$9:$M$9,1,MATCH(L$7,'Valuation'!$B$6:$M$6,0))="",INDEX('Valuation'!$B$9:$M$9,1,MATCH(L$7,'Valuation'!$B$6:$M$6,0)-4)="",INDEX('Valuation'!$B$9:$M$9,1,MATCH(L$7,'Valuation'!$B$6:$M$6,0)-4)=0),"",INDEX('Valuation'!$B$9:$M$9,1,MATCH(L$7,'Valuation'!$B$6:$M$6,0))/INDEX('Valuation'!$B$9:$M$9,1,MATCH(L$7,'Valuation'!$B$6:$M$6,0)-4)-1),"")</f>
        <v/>
      </c>
      <c r="M52" s="488">
        <f>IFERROR(IF(OR(INDEX('Valuation'!$B$9:$M$9,1,MATCH(M$7,'Valuation'!$B$6:$M$6,0))="",INDEX('Valuation'!$B$9:$M$9,1,MATCH(M$7,'Valuation'!$B$6:$M$6,0)-4)="",INDEX('Valuation'!$B$9:$M$9,1,MATCH(M$7,'Valuation'!$B$6:$M$6,0)-4)=0),"",INDEX('Valuation'!$B$9:$M$9,1,MATCH(M$7,'Valuation'!$B$6:$M$6,0))/INDEX('Valuation'!$B$9:$M$9,1,MATCH(M$7,'Valuation'!$B$6:$M$6,0)-4)-1),"")</f>
        <v/>
      </c>
    </row>
    <row r="53" ht="18" customHeight="1">
      <c r="A53" s="179" t="inlineStr">
        <is>
          <t>Inventory less sales YoY</t>
        </is>
      </c>
      <c r="B53" s="488">
        <f>IF(OR(B51="",B52=""),"",B51-B52)</f>
        <v/>
      </c>
      <c r="C53" s="488">
        <f>IF(OR(C51="",C52=""),"",C51-C52)</f>
        <v/>
      </c>
      <c r="D53" s="488">
        <f>IF(OR(D51="",D52=""),"",D51-D52)</f>
        <v/>
      </c>
      <c r="E53" s="488">
        <f>IF(OR(E51="",E52=""),"",E51-E52)</f>
        <v/>
      </c>
      <c r="F53" s="488">
        <f>IF(OR(F51="",F52=""),"",F51-F52)</f>
        <v/>
      </c>
      <c r="G53" s="488">
        <f>IF(OR(G51="",G52=""),"",G51-G52)</f>
        <v/>
      </c>
      <c r="H53" s="488">
        <f>IF(OR(H51="",H52=""),"",H51-H52)</f>
        <v/>
      </c>
      <c r="I53" s="488">
        <f>IF(OR(I51="",I52=""),"",I51-I52)</f>
        <v/>
      </c>
      <c r="J53" s="488">
        <f>IF(OR(J51="",J52=""),"",J51-J52)</f>
        <v/>
      </c>
      <c r="K53" s="488">
        <f>IF(OR(K51="",K52=""),"",K51-K52)</f>
        <v/>
      </c>
      <c r="L53" s="488">
        <f>IF(OR(L51="",L52=""),"",L51-L52)</f>
        <v/>
      </c>
      <c r="M53" s="488">
        <f>IF(OR(M51="",M52=""),"",M51-M52)</f>
        <v/>
      </c>
    </row>
    <row r="54" ht="18" customHeight="1">
      <c r="A54" s="179" t="inlineStr">
        <is>
          <t>Net cash</t>
        </is>
      </c>
      <c r="B54" s="486">
        <f>IF(OR(B9="",B13="",B40=""),"",B9+B13-B40)</f>
        <v/>
      </c>
      <c r="C54" s="486">
        <f>IF(OR(C9="",C13="",C40=""),"",C9+C13-C40)</f>
        <v/>
      </c>
      <c r="D54" s="486">
        <f>IF(OR(D9="",D13="",D40=""),"",D9+D13-D40)</f>
        <v/>
      </c>
      <c r="E54" s="486">
        <f>IF(OR(E9="",E13="",E40=""),"",E9+E13-E40)</f>
        <v/>
      </c>
      <c r="F54" s="486">
        <f>IF(OR(F9="",F13="",F40=""),"",F9+F13-F40)</f>
        <v/>
      </c>
      <c r="G54" s="486">
        <f>IF(OR(G9="",G13="",G40=""),"",G9+G13-G40)</f>
        <v/>
      </c>
      <c r="H54" s="486">
        <f>IF(OR(H9="",H13="",H40=""),"",H9+H13-H40)</f>
        <v/>
      </c>
      <c r="I54" s="486">
        <f>IF(OR(I9="",I13="",I40=""),"",I9+I13-I40)</f>
        <v/>
      </c>
      <c r="J54" s="486">
        <f>IF(OR(J9="",J13="",J40=""),"",J9+J13-J40)</f>
        <v/>
      </c>
      <c r="K54" s="486">
        <f>IF(OR(K9="",K13="",K40=""),"",K9+K13-K40)</f>
        <v/>
      </c>
      <c r="L54" s="486">
        <f>IF(OR(L9="",L13="",L40=""),"",L9+L13-L40)</f>
        <v/>
      </c>
      <c r="M54" s="486">
        <f>IF(OR(M9="",M13="",M40=""),"",M9+M13-M40)</f>
        <v/>
      </c>
    </row>
    <row r="55" ht="18" customHeight="1">
      <c r="A55" s="179" t="inlineStr">
        <is>
          <t>Total lease liabilities</t>
        </is>
      </c>
      <c r="B55" s="486">
        <f>IF(OR(B34="",B42=""),"",B34+B42)</f>
        <v/>
      </c>
      <c r="C55" s="486">
        <f>IF(OR(C34="",C42=""),"",C34+C42)</f>
        <v/>
      </c>
      <c r="D55" s="486">
        <f>IF(OR(D34="",D42=""),"",D34+D42)</f>
        <v/>
      </c>
      <c r="E55" s="486">
        <f>IF(OR(E34="",E42=""),"",E34+E42)</f>
        <v/>
      </c>
      <c r="F55" s="486">
        <f>IF(OR(F34="",F42=""),"",F34+F42)</f>
        <v/>
      </c>
      <c r="G55" s="486">
        <f>IF(OR(G34="",G42=""),"",G34+G42)</f>
        <v/>
      </c>
      <c r="H55" s="486">
        <f>IF(OR(H34="",H42=""),"",H34+H42)</f>
        <v/>
      </c>
      <c r="I55" s="486">
        <f>IF(OR(I34="",I42=""),"",I34+I42)</f>
        <v/>
      </c>
      <c r="J55" s="486">
        <f>IF(OR(J34="",J42=""),"",J34+J42)</f>
        <v/>
      </c>
      <c r="K55" s="486">
        <f>IF(OR(K34="",K42=""),"",K34+K42)</f>
        <v/>
      </c>
      <c r="L55" s="486">
        <f>IF(OR(L34="",L42=""),"",L34+L42)</f>
        <v/>
      </c>
      <c r="M55" s="486">
        <f>IF(OR(M34="",M42=""),"",M34+M42)</f>
        <v/>
      </c>
    </row>
    <row r="56" ht="18" customHeight="1">
      <c r="A56" s="179" t="inlineStr">
        <is>
          <t>Diluted shares YoY</t>
        </is>
      </c>
      <c r="B56" s="488">
        <f>""</f>
        <v/>
      </c>
      <c r="C56" s="488">
        <f>""</f>
        <v/>
      </c>
      <c r="D56" s="488">
        <f>""</f>
        <v/>
      </c>
      <c r="E56" s="488">
        <f>""</f>
        <v/>
      </c>
      <c r="F56" s="488">
        <f>IF(OR(B49="",F49="",B49=0),"",F49/B49-1)</f>
        <v/>
      </c>
      <c r="G56" s="488">
        <f>IF(OR(C49="",G49="",C49=0),"",G49/C49-1)</f>
        <v/>
      </c>
      <c r="H56" s="488">
        <f>IF(OR(D49="",H49="",D49=0),"",H49/D49-1)</f>
        <v/>
      </c>
      <c r="I56" s="488">
        <f>IF(OR(E49="",I49="",E49=0),"",I49/E49-1)</f>
        <v/>
      </c>
      <c r="J56" s="488">
        <f>IF(OR(F49="",J49="",F49=0),"",J49/F49-1)</f>
        <v/>
      </c>
      <c r="K56" s="488">
        <f>IF(OR(G49="",K49="",G49=0),"",K49/G49-1)</f>
        <v/>
      </c>
      <c r="L56" s="488">
        <f>IF(OR(H49="",L49="",H49=0),"",L49/H49-1)</f>
        <v/>
      </c>
      <c r="M56" s="488">
        <f>IF(OR(I49="",M49="",I49=0),"",M49/I49-1)</f>
        <v/>
      </c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</row>
    <row r="58" ht="19.5" customHeight="1">
      <c r="A58" s="197" t="inlineStr">
        <is>
          <t>Quarterly segments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  <c r="J58" s="198" t="n"/>
      <c r="K58" s="198" t="n"/>
      <c r="L58" s="198" t="n"/>
      <c r="M58" s="198" t="n"/>
    </row>
    <row r="59" ht="18" customHeight="1">
      <c r="A59" s="199" t="n"/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  <c r="J61" s="395" t="n"/>
      <c r="K61" s="395" t="n"/>
      <c r="L61" s="395" t="n"/>
      <c r="M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  <c r="J62" s="395" t="n"/>
      <c r="K62" s="395" t="n"/>
      <c r="L62" s="395" t="n"/>
      <c r="M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  <c r="J63" s="395" t="n"/>
      <c r="K63" s="395" t="n"/>
      <c r="L63" s="395" t="n"/>
      <c r="M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78" t="n"/>
      <c r="L64" s="178" t="n"/>
      <c r="M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  <c r="J65" s="395" t="n"/>
      <c r="K65" s="395" t="n"/>
      <c r="L65" s="395" t="n"/>
      <c r="M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  <c r="J66" s="395" t="n"/>
      <c r="K66" s="395" t="n"/>
      <c r="L66" s="395" t="n"/>
      <c r="M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  <c r="J67" s="395" t="n"/>
      <c r="K67" s="395" t="n"/>
      <c r="L67" s="395" t="n"/>
      <c r="M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</row>
    <row r="69" ht="19.5" customHeight="1">
      <c r="A69" s="197" t="inlineStr">
        <is>
          <t>Annual segments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34" t="n"/>
      <c r="C70" s="34" t="n"/>
      <c r="D70" s="34" t="n"/>
      <c r="E70" s="174" t="n"/>
      <c r="F70" s="174" t="n"/>
      <c r="G70" s="174" t="n"/>
      <c r="H70" s="174" t="n"/>
      <c r="I70" s="17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/>
    <row r="77"/>
    <row r="78"/>
    <row r="79"/>
    <row r="80"/>
    <row r="81">
      <c r="A81" s="197" t="inlineStr">
        <is>
          <t>Annual financial history</t>
        </is>
      </c>
      <c r="B81" s="198" t="n"/>
      <c r="C81" s="198" t="n"/>
      <c r="D81" s="198" t="n"/>
      <c r="E81" s="198" t="n"/>
      <c r="F81" s="198" t="n"/>
      <c r="G81" s="198" t="n"/>
      <c r="H81" s="198" t="n"/>
      <c r="I81" s="198" t="n"/>
    </row>
    <row r="82">
      <c r="A82" s="200" t="inlineStr">
        <is>
          <t>Fiscal year</t>
        </is>
      </c>
      <c r="B82" s="442" t="n"/>
      <c r="C82" s="442" t="n"/>
      <c r="D82" s="442" t="n"/>
      <c r="E82" s="491" t="n"/>
      <c r="F82" s="491" t="n"/>
      <c r="G82" s="491" t="n"/>
      <c r="H82" s="491" t="n"/>
      <c r="I82" s="491" t="n"/>
    </row>
    <row r="83">
      <c r="A83" s="177" t="inlineStr">
        <is>
          <t>Revenue</t>
        </is>
      </c>
      <c r="B83" s="492" t="n"/>
      <c r="C83" s="492" t="n"/>
      <c r="D83" s="492" t="n"/>
      <c r="E83" s="492" t="n"/>
      <c r="F83" s="492" t="n"/>
      <c r="G83" s="492" t="n"/>
      <c r="H83" s="492" t="n"/>
      <c r="I83" s="492" t="n"/>
    </row>
    <row r="84">
      <c r="A84" s="177" t="inlineStr">
        <is>
          <t>Gross profit</t>
        </is>
      </c>
      <c r="B84" s="492" t="n"/>
      <c r="C84" s="492" t="n"/>
      <c r="D84" s="492" t="n"/>
      <c r="E84" s="492" t="n"/>
      <c r="F84" s="492" t="n"/>
      <c r="G84" s="492" t="n"/>
      <c r="H84" s="492" t="n"/>
      <c r="I84" s="492" t="n"/>
    </row>
    <row r="85">
      <c r="A85" s="177" t="inlineStr">
        <is>
          <t>Gross margin %</t>
        </is>
      </c>
      <c r="B85" s="493">
        <f>IF(OR(B84="",B83="",B83=0),"",B84/B83)</f>
        <v/>
      </c>
      <c r="C85" s="493">
        <f>IF(OR(C84="",C83="",C83=0),"",C84/C83)</f>
        <v/>
      </c>
      <c r="D85" s="493">
        <f>IF(OR(D84="",D83="",D83=0),"",D84/D83)</f>
        <v/>
      </c>
      <c r="E85" s="493">
        <f>IF(OR(E84="",E83="",E83=0),"",E84/E83)</f>
        <v/>
      </c>
      <c r="F85" s="493">
        <f>IF(OR(F84="",F83="",F83=0),"",F84/F83)</f>
        <v/>
      </c>
      <c r="G85" s="493">
        <f>IF(OR(G84="",G83="",G83=0),"",G84/G83)</f>
        <v/>
      </c>
      <c r="H85" s="493">
        <f>IF(OR(H84="",H83="",H83=0),"",H84/H83)</f>
        <v/>
      </c>
      <c r="I85" s="493">
        <f>IF(OR(I84="",I83="",I83=0),"",I84/I83)</f>
        <v/>
      </c>
    </row>
    <row r="86">
      <c r="A86" s="177" t="inlineStr">
        <is>
          <t>Operating income</t>
        </is>
      </c>
      <c r="B86" s="492" t="n"/>
      <c r="C86" s="492" t="n"/>
      <c r="D86" s="492" t="n"/>
      <c r="E86" s="492" t="n"/>
      <c r="F86" s="492" t="n"/>
      <c r="G86" s="492" t="n"/>
      <c r="H86" s="492" t="n"/>
      <c r="I86" s="492" t="n"/>
    </row>
    <row r="87">
      <c r="A87" s="177" t="inlineStr">
        <is>
          <t>Operating margin %</t>
        </is>
      </c>
      <c r="B87" s="493">
        <f>IF(OR(B86="",B83="",B83=0),"",B86/B83)</f>
        <v/>
      </c>
      <c r="C87" s="493">
        <f>IF(OR(C86="",C83="",C83=0),"",C86/C83)</f>
        <v/>
      </c>
      <c r="D87" s="493">
        <f>IF(OR(D86="",D83="",D83=0),"",D86/D83)</f>
        <v/>
      </c>
      <c r="E87" s="493">
        <f>IF(OR(E86="",E83="",E83=0),"",E86/E83)</f>
        <v/>
      </c>
      <c r="F87" s="493">
        <f>IF(OR(F86="",F83="",F83=0),"",F86/F83)</f>
        <v/>
      </c>
      <c r="G87" s="493">
        <f>IF(OR(G86="",G83="",G83=0),"",G86/G83)</f>
        <v/>
      </c>
      <c r="H87" s="493">
        <f>IF(OR(H86="",H83="",H83=0),"",H86/H83)</f>
        <v/>
      </c>
      <c r="I87" s="493">
        <f>IF(OR(I86="",I83="",I83=0),"",I86/I83)</f>
        <v/>
      </c>
    </row>
    <row r="88">
      <c r="A88" s="177" t="inlineStr">
        <is>
          <t>EBITDA (base)</t>
        </is>
      </c>
      <c r="B88" s="492" t="n"/>
      <c r="C88" s="492" t="n"/>
      <c r="D88" s="492" t="n"/>
      <c r="E88" s="492" t="n"/>
      <c r="F88" s="492" t="n"/>
      <c r="G88" s="492" t="n"/>
      <c r="H88" s="492" t="n"/>
      <c r="I88" s="492" t="n"/>
    </row>
    <row r="89">
      <c r="A89" s="177" t="inlineStr">
        <is>
          <t>EBITDA margin %</t>
        </is>
      </c>
      <c r="B89" s="493">
        <f>IF(OR(B88="",B83="",B83=0),"",B88/B83)</f>
        <v/>
      </c>
      <c r="C89" s="493">
        <f>IF(OR(C88="",C83="",C83=0),"",C88/C83)</f>
        <v/>
      </c>
      <c r="D89" s="493">
        <f>IF(OR(D88="",D83="",D83=0),"",D88/D83)</f>
        <v/>
      </c>
      <c r="E89" s="493">
        <f>IF(OR(E88="",E83="",E83=0),"",E88/E83)</f>
        <v/>
      </c>
      <c r="F89" s="493">
        <f>IF(OR(F88="",F83="",F83=0),"",F88/F83)</f>
        <v/>
      </c>
      <c r="G89" s="493">
        <f>IF(OR(G88="",G83="",G83=0),"",G88/G83)</f>
        <v/>
      </c>
      <c r="H89" s="493">
        <f>IF(OR(H88="",H83="",H83=0),"",H88/H83)</f>
        <v/>
      </c>
      <c r="I89" s="493">
        <f>IF(OR(I88="",I83="",I83=0),"",I88/I83)</f>
        <v/>
      </c>
    </row>
    <row r="90">
      <c r="A90" s="177" t="inlineStr">
        <is>
          <t>Adjusted EBITDA</t>
        </is>
      </c>
      <c r="B90" s="492" t="n"/>
      <c r="C90" s="492" t="n"/>
      <c r="D90" s="492" t="n"/>
      <c r="E90" s="492" t="n"/>
      <c r="F90" s="492" t="n"/>
      <c r="G90" s="492" t="n"/>
      <c r="H90" s="492" t="n"/>
      <c r="I90" s="492" t="n"/>
    </row>
    <row r="91">
      <c r="A91" s="177" t="inlineStr">
        <is>
          <t>Adjusted EBITDA margin %</t>
        </is>
      </c>
      <c r="B91" s="493">
        <f>IF(OR(B90="",B83="",B83=0),"",B90/B83)</f>
        <v/>
      </c>
      <c r="C91" s="493">
        <f>IF(OR(C90="",C83="",C83=0),"",C90/C83)</f>
        <v/>
      </c>
      <c r="D91" s="493">
        <f>IF(OR(D90="",D83="",D83=0),"",D90/D83)</f>
        <v/>
      </c>
      <c r="E91" s="493">
        <f>IF(OR(E90="",E83="",E83=0),"",E90/E83)</f>
        <v/>
      </c>
      <c r="F91" s="493">
        <f>IF(OR(F90="",F83="",F83=0),"",F90/F83)</f>
        <v/>
      </c>
      <c r="G91" s="493">
        <f>IF(OR(G90="",G83="",G83=0),"",G90/G83)</f>
        <v/>
      </c>
      <c r="H91" s="493">
        <f>IF(OR(H90="",H83="",H83=0),"",H90/H83)</f>
        <v/>
      </c>
      <c r="I91" s="493">
        <f>IF(OR(I90="",I83="",I83=0),"",I90/I83)</f>
        <v/>
      </c>
    </row>
    <row r="92">
      <c r="A92" s="177" t="inlineStr">
        <is>
          <t>Net income</t>
        </is>
      </c>
      <c r="B92" s="492" t="n"/>
      <c r="C92" s="492" t="n"/>
      <c r="D92" s="492" t="n"/>
      <c r="E92" s="492" t="n"/>
      <c r="F92" s="492" t="n"/>
      <c r="G92" s="492" t="n"/>
      <c r="H92" s="492" t="n"/>
      <c r="I92" s="492" t="n"/>
    </row>
    <row r="93">
      <c r="A93" s="177" t="inlineStr">
        <is>
          <t>Net margin %</t>
        </is>
      </c>
      <c r="B93" s="493">
        <f>IF(OR(B92="",B83="",B83=0),"",B92/B83)</f>
        <v/>
      </c>
      <c r="C93" s="493">
        <f>IF(OR(C92="",C83="",C83=0),"",C92/C83)</f>
        <v/>
      </c>
      <c r="D93" s="493">
        <f>IF(OR(D92="",D83="",D83=0),"",D92/D83)</f>
        <v/>
      </c>
      <c r="E93" s="493">
        <f>IF(OR(E92="",E83="",E83=0),"",E92/E83)</f>
        <v/>
      </c>
      <c r="F93" s="493">
        <f>IF(OR(F92="",F83="",F83=0),"",F92/F83)</f>
        <v/>
      </c>
      <c r="G93" s="493">
        <f>IF(OR(G92="",G83="",G83=0),"",G92/G83)</f>
        <v/>
      </c>
      <c r="H93" s="493">
        <f>IF(OR(H92="",H83="",H83=0),"",H92/H83)</f>
        <v/>
      </c>
      <c r="I93" s="493">
        <f>IF(OR(I92="",I83="",I83=0),"",I92/I83)</f>
        <v/>
      </c>
    </row>
    <row r="94">
      <c r="A94" s="177" t="inlineStr">
        <is>
          <t>CFO</t>
        </is>
      </c>
      <c r="B94" s="492" t="n"/>
      <c r="C94" s="492" t="n"/>
      <c r="D94" s="492" t="n"/>
      <c r="E94" s="492" t="n"/>
      <c r="F94" s="492" t="n"/>
      <c r="G94" s="492" t="n"/>
      <c r="H94" s="492" t="n"/>
      <c r="I94" s="492" t="n"/>
    </row>
    <row r="95">
      <c r="A95" s="177" t="inlineStr">
        <is>
          <t>Capex</t>
        </is>
      </c>
      <c r="B95" s="492" t="n"/>
      <c r="C95" s="492" t="n"/>
      <c r="D95" s="492" t="n"/>
      <c r="E95" s="492" t="n"/>
      <c r="F95" s="492" t="n"/>
      <c r="G95" s="492" t="n"/>
      <c r="H95" s="492" t="n"/>
      <c r="I95" s="492" t="n"/>
    </row>
    <row r="96">
      <c r="A96" s="177" t="inlineStr">
        <is>
          <t>FCF (CFO - Capex)</t>
        </is>
      </c>
      <c r="B96" s="494">
        <f>IF(OR(B94="",B95=""),"",B94-B95)</f>
        <v/>
      </c>
      <c r="C96" s="494">
        <f>IF(OR(C94="",C95=""),"",C94-C95)</f>
        <v/>
      </c>
      <c r="D96" s="494">
        <f>IF(OR(D94="",D95=""),"",D94-D95)</f>
        <v/>
      </c>
      <c r="E96" s="494">
        <f>IF(OR(E94="",E95=""),"",E94-E95)</f>
        <v/>
      </c>
      <c r="F96" s="494">
        <f>IF(OR(F94="",F95=""),"",F94-F95)</f>
        <v/>
      </c>
      <c r="G96" s="494">
        <f>IF(OR(G94="",G95=""),"",G94-G95)</f>
        <v/>
      </c>
      <c r="H96" s="494">
        <f>IF(OR(H94="",H95=""),"",H94-H95)</f>
        <v/>
      </c>
      <c r="I96" s="494">
        <f>IF(OR(I94="",I95=""),"",I94-I95)</f>
        <v/>
      </c>
    </row>
    <row r="97">
      <c r="A97" s="177" t="inlineStr">
        <is>
          <t>FCF margin %</t>
        </is>
      </c>
      <c r="B97" s="493">
        <f>IF(OR(B96="",B83="",B83=0),"",B96/B83)</f>
        <v/>
      </c>
      <c r="C97" s="493">
        <f>IF(OR(C96="",C83="",C83=0),"",C96/C83)</f>
        <v/>
      </c>
      <c r="D97" s="493">
        <f>IF(OR(D96="",D83="",D83=0),"",D96/D83)</f>
        <v/>
      </c>
      <c r="E97" s="493">
        <f>IF(OR(E96="",E83="",E83=0),"",E96/E83)</f>
        <v/>
      </c>
      <c r="F97" s="493">
        <f>IF(OR(F96="",F83="",F83=0),"",F96/F83)</f>
        <v/>
      </c>
      <c r="G97" s="493">
        <f>IF(OR(G96="",G83="",G83=0),"",G96/G83)</f>
        <v/>
      </c>
      <c r="H97" s="493">
        <f>IF(OR(H96="",H83="",H83=0),"",H96/H83)</f>
        <v/>
      </c>
      <c r="I97" s="493">
        <f>IF(OR(I96="",I83="",I83=0),"",I96/I83)</f>
        <v/>
      </c>
    </row>
    <row r="98">
      <c r="A98" s="177" t="inlineStr">
        <is>
          <t>Shares outstanding (year-end, m)</t>
        </is>
      </c>
      <c r="B98" s="492" t="n"/>
      <c r="C98" s="492" t="n"/>
      <c r="D98" s="492" t="n"/>
      <c r="E98" s="492" t="n"/>
      <c r="F98" s="492" t="n"/>
      <c r="G98" s="492" t="n"/>
      <c r="H98" s="492" t="n"/>
      <c r="I98" s="492" t="n"/>
    </row>
    <row r="99">
      <c r="A99" s="177" t="inlineStr">
        <is>
          <t>Diluted EPS (GAAP)</t>
        </is>
      </c>
      <c r="B99" s="495" t="n"/>
      <c r="C99" s="495" t="n"/>
      <c r="D99" s="495" t="n"/>
      <c r="E99" s="495" t="n"/>
      <c r="F99" s="495" t="n"/>
      <c r="G99" s="495" t="n"/>
      <c r="H99" s="495" t="n"/>
      <c r="I99" s="495" t="n"/>
    </row>
    <row r="100">
      <c r="A100" s="177" t="inlineStr">
        <is>
          <t>Total equity</t>
        </is>
      </c>
      <c r="B100" s="492" t="n"/>
      <c r="C100" s="492" t="n"/>
      <c r="D100" s="492" t="n"/>
      <c r="E100" s="492" t="n"/>
      <c r="F100" s="492" t="n"/>
      <c r="G100" s="492" t="n"/>
      <c r="H100" s="492" t="n"/>
      <c r="I100" s="492" t="n"/>
    </row>
    <row r="101">
      <c r="A101" s="177" t="inlineStr">
        <is>
          <t>Book value/share</t>
        </is>
      </c>
      <c r="B101" s="496">
        <f>IF(OR(B100="",B98="",B98=0),"",B100/B98)</f>
        <v/>
      </c>
      <c r="C101" s="496">
        <f>IF(OR(C100="",C98="",C98=0),"",C100/C98)</f>
        <v/>
      </c>
      <c r="D101" s="496">
        <f>IF(OR(D100="",D98="",D98=0),"",D100/D98)</f>
        <v/>
      </c>
      <c r="E101" s="496">
        <f>IF(OR(E100="",E98="",E98=0),"",E100/E98)</f>
        <v/>
      </c>
      <c r="F101" s="496">
        <f>IF(OR(F100="",F98="",F98=0),"",F100/F98)</f>
        <v/>
      </c>
      <c r="G101" s="496">
        <f>IF(OR(G100="",G98="",G98=0),"",G100/G98)</f>
        <v/>
      </c>
      <c r="H101" s="496">
        <f>IF(OR(H100="",H98="",H98=0),"",H100/H98)</f>
        <v/>
      </c>
      <c r="I101" s="496">
        <f>IF(OR(I100="",I98="",I98=0),"",I100/I98)</f>
        <v/>
      </c>
    </row>
    <row r="102">
      <c r="A102" s="177" t="inlineStr">
        <is>
          <t>Cash</t>
        </is>
      </c>
      <c r="B102" s="492" t="n"/>
      <c r="C102" s="492" t="n"/>
      <c r="D102" s="492" t="n"/>
      <c r="E102" s="492" t="n"/>
      <c r="F102" s="492" t="n"/>
      <c r="G102" s="492" t="n"/>
      <c r="H102" s="492" t="n"/>
      <c r="I102" s="492" t="n"/>
    </row>
    <row r="103">
      <c r="A103" s="177" t="inlineStr">
        <is>
          <t>Debt (core borrowings)</t>
        </is>
      </c>
      <c r="B103" s="492" t="n"/>
      <c r="C103" s="492" t="n"/>
      <c r="D103" s="492" t="n"/>
      <c r="E103" s="492" t="n"/>
      <c r="F103" s="492" t="n"/>
      <c r="G103" s="492" t="n"/>
      <c r="H103" s="492" t="n"/>
      <c r="I103" s="492" t="n"/>
    </row>
    <row r="104">
      <c r="A104" s="177" t="inlineStr">
        <is>
          <t>Net debt</t>
        </is>
      </c>
      <c r="B104" s="494">
        <f>IF(OR(B103="",B102=""),"",B103-B102)</f>
        <v/>
      </c>
      <c r="C104" s="494">
        <f>IF(OR(C103="",C102=""),"",C103-C102)</f>
        <v/>
      </c>
      <c r="D104" s="494">
        <f>IF(OR(D103="",D102=""),"",D103-D102)</f>
        <v/>
      </c>
      <c r="E104" s="494">
        <f>IF(OR(E103="",E102=""),"",E103-E102)</f>
        <v/>
      </c>
      <c r="F104" s="494">
        <f>IF(OR(F103="",F102=""),"",F103-F102)</f>
        <v/>
      </c>
      <c r="G104" s="494">
        <f>IF(OR(G103="",G102=""),"",G103-G102)</f>
        <v/>
      </c>
      <c r="H104" s="494">
        <f>IF(OR(H103="",H102=""),"",H103-H102)</f>
        <v/>
      </c>
      <c r="I104" s="494">
        <f>IF(OR(I103="",I102=""),"",I103-I102)</f>
        <v/>
      </c>
    </row>
  </sheetData>
  <mergeCells count="5">
    <mergeCell ref="B6:M6"/>
    <mergeCell ref="A81:I81"/>
    <mergeCell ref="A5:M5"/>
    <mergeCell ref="A4:M4"/>
    <mergeCell ref="A59:M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497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22.5" customHeight="1">
      <c r="A6" s="204" t="n"/>
      <c r="B6" s="432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22.5" customHeight="1">
      <c r="A7" s="206" t="n"/>
      <c r="B7" s="434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22.5" customHeight="1">
      <c r="A8" s="204" t="n"/>
      <c r="B8" s="432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22.5" customHeight="1">
      <c r="A9" s="206" t="n"/>
      <c r="B9" s="434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Current actual period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22.5" customHeight="1">
      <c r="A14" s="206" t="inlineStr">
        <is>
          <t>Current guidance period</t>
        </is>
      </c>
      <c r="B14" s="434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22.5" customHeight="1">
      <c r="A15" s="204" t="inlineStr">
        <is>
          <t>Margin bridge</t>
        </is>
      </c>
      <c r="B15" s="432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n"/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n"/>
      <c r="B21" s="210" t="n"/>
      <c r="C21" s="211" t="n"/>
    </row>
    <row r="22" ht="21" customHeight="1">
      <c r="A22" s="436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n"/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n"/>
      <c r="B25" s="210" t="n"/>
      <c r="C25" s="211" t="n"/>
    </row>
    <row r="26" ht="19.5" customHeight="1">
      <c r="A26" s="210" t="n"/>
      <c r="B26" s="210" t="n"/>
      <c r="C26" s="211" t="n"/>
    </row>
    <row r="27" ht="19.5" customHeight="1">
      <c r="A27" s="213" t="n"/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n"/>
      <c r="B28" s="210" t="n"/>
      <c r="C28" s="211" t="n"/>
    </row>
    <row r="29" ht="19.5" customHeight="1">
      <c r="A29" s="213" t="n"/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n"/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n"/>
      <c r="B32" s="210" t="n"/>
      <c r="C32" s="211" t="n"/>
    </row>
    <row r="33" ht="19.5" customHeight="1">
      <c r="A33" s="213" t="n"/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n"/>
      <c r="B34" s="210" t="n"/>
      <c r="C34" s="211" t="n"/>
    </row>
    <row r="35" ht="19.5" customHeight="1">
      <c r="A35" s="213" t="n"/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n"/>
      <c r="B36" s="210" t="n"/>
      <c r="C36" s="211" t="n"/>
    </row>
    <row r="37" ht="19.5" customHeight="1">
      <c r="A37" s="213" t="n"/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n"/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498" t="n"/>
      <c r="J40" s="498" t="n"/>
      <c r="K40" s="498" t="n"/>
      <c r="L40" s="498" t="n"/>
      <c r="M40" s="498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n"/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n"/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n"/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n"/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n"/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n"/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n"/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n"/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n"/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n"/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n"/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n"/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n"/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n"/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n"/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n"/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n"/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n"/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n"/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n"/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n"/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n"/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n"/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n"/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n"/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n"/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n"/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n"/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n"/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n"/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n"/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n"/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n"/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n"/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n"/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n"/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n"/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n"/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n"/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3"/>
  <sheetViews>
    <sheetView zoomScale="112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30" customWidth="1" min="3" max="3"/>
    <col width="28" customWidth="1" min="4" max="4"/>
    <col width="32" customWidth="1" min="5" max="5"/>
    <col width="24" customWidth="1" min="6" max="6"/>
    <col width="24" customWidth="1" min="7" max="7"/>
    <col width="24" customWidth="1" min="8" max="8"/>
    <col width="22" customWidth="1" min="9" max="9"/>
    <col width="22" customWidth="1" min="10" max="10"/>
    <col width="24" customWidth="1" min="11" max="11"/>
  </cols>
  <sheetData>
    <row r="1" ht="26" customHeight="1">
      <c r="A1" s="251" t="inlineStr"/>
    </row>
    <row r="2" ht="21" customHeight="1">
      <c r="A2" s="253" t="n"/>
    </row>
    <row r="3" ht="21" customHeight="1"/>
    <row r="4" ht="21" customHeight="1">
      <c r="A4" s="254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24" customHeight="1">
      <c r="A5" s="256" t="inlineStr">
        <is>
          <t>Model read</t>
        </is>
      </c>
      <c r="B5" s="257" t="n"/>
      <c r="C5" s="47" t="n"/>
      <c r="D5" s="47" t="n"/>
      <c r="E5" s="47" t="n"/>
      <c r="F5" s="47" t="n"/>
      <c r="G5" s="47" t="n"/>
      <c r="H5" s="47" t="n"/>
      <c r="I5" s="47" t="n"/>
      <c r="J5" s="46" t="n"/>
    </row>
    <row r="6" ht="24" customHeight="1">
      <c r="A6" s="52" t="inlineStr">
        <is>
          <t>Why it can work</t>
        </is>
      </c>
      <c r="B6" s="67" t="n"/>
      <c r="C6" s="47" t="n"/>
      <c r="D6" s="47" t="n"/>
      <c r="E6" s="47" t="n"/>
      <c r="F6" s="47" t="n"/>
      <c r="G6" s="47" t="n"/>
      <c r="H6" s="47" t="n"/>
      <c r="I6" s="47" t="n"/>
      <c r="J6" s="46" t="n"/>
    </row>
    <row r="7" ht="24" customHeight="1">
      <c r="A7" s="53" t="inlineStr">
        <is>
          <t>Key debate</t>
        </is>
      </c>
      <c r="B7" s="68" t="n"/>
      <c r="C7" s="47" t="n"/>
      <c r="D7" s="47" t="n"/>
      <c r="E7" s="47" t="n"/>
      <c r="F7" s="47" t="n"/>
      <c r="G7" s="47" t="n"/>
      <c r="H7" s="47" t="n"/>
      <c r="I7" s="47" t="n"/>
      <c r="J7" s="46" t="n"/>
    </row>
    <row r="8" ht="24" customHeight="1">
      <c r="A8" s="52" t="inlineStr">
        <is>
          <t>Upside path</t>
        </is>
      </c>
      <c r="B8" s="67" t="n"/>
      <c r="C8" s="47" t="n"/>
      <c r="D8" s="47" t="n"/>
      <c r="E8" s="47" t="n"/>
      <c r="F8" s="47" t="n"/>
      <c r="G8" s="47" t="n"/>
      <c r="H8" s="47" t="n"/>
      <c r="I8" s="47" t="n"/>
      <c r="J8" s="46" t="n"/>
    </row>
    <row r="9" ht="24" customHeight="1">
      <c r="A9" s="53" t="inlineStr">
        <is>
          <t>Downside path</t>
        </is>
      </c>
      <c r="B9" s="68" t="n"/>
      <c r="C9" s="47" t="n"/>
      <c r="D9" s="47" t="n"/>
      <c r="E9" s="47" t="n"/>
      <c r="F9" s="47" t="n"/>
      <c r="G9" s="47" t="n"/>
      <c r="H9" s="47" t="n"/>
      <c r="I9" s="47" t="n"/>
      <c r="J9" s="46" t="n"/>
    </row>
    <row r="10" ht="24" customHeight="1">
      <c r="A10" s="52" t="inlineStr">
        <is>
          <t>Watch next</t>
        </is>
      </c>
      <c r="B10" s="67" t="n"/>
      <c r="C10" s="47" t="n"/>
      <c r="D10" s="47" t="n"/>
      <c r="E10" s="47" t="n"/>
      <c r="F10" s="47" t="n"/>
      <c r="G10" s="47" t="n"/>
      <c r="H10" s="47" t="n"/>
      <c r="I10" s="47" t="n"/>
      <c r="J10" s="46" t="n"/>
    </row>
    <row r="11" ht="24" customHeight="1">
      <c r="A11" s="53" t="inlineStr">
        <is>
          <t>Current stance</t>
        </is>
      </c>
      <c r="B11" s="68" t="n"/>
      <c r="C11" s="47" t="n"/>
      <c r="D11" s="47" t="n"/>
      <c r="E11" s="47" t="n"/>
      <c r="F11" s="47" t="n"/>
      <c r="G11" s="47" t="n"/>
      <c r="H11" s="47" t="n"/>
      <c r="I11" s="47" t="n"/>
      <c r="J11" s="46" t="n"/>
    </row>
    <row r="12" ht="21" customHeight="1"/>
    <row r="13" ht="21" customHeight="1">
      <c r="A13" s="254" t="inlineStr">
        <is>
          <t>Manual Market / Scenario Inputs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6" t="n"/>
    </row>
    <row r="14" ht="21" customHeight="1">
      <c r="A14" s="296" t="inlineStr">
        <is>
          <t>Input</t>
        </is>
      </c>
      <c r="B14" s="296" t="n"/>
      <c r="C14" s="296" t="n"/>
      <c r="D14" s="296" t="n"/>
      <c r="E14" s="296" t="n"/>
      <c r="F14" s="296" t="n"/>
      <c r="G14" s="296" t="n"/>
      <c r="H14" s="259" t="n"/>
      <c r="I14" s="47" t="n"/>
      <c r="J14" s="46" t="n"/>
    </row>
    <row r="15" ht="21" customHeight="1">
      <c r="A15" s="67" t="inlineStr">
        <is>
          <t>Current share price</t>
        </is>
      </c>
      <c r="B15" s="353" t="n"/>
      <c r="C15" s="353" t="n"/>
      <c r="D15" s="353" t="n"/>
      <c r="E15" s="353" t="n"/>
      <c r="F15" s="409" t="n"/>
      <c r="G15" s="353" t="n"/>
      <c r="H15" s="67" t="n"/>
      <c r="I15" s="47" t="n"/>
      <c r="J15" s="46" t="n"/>
    </row>
    <row r="16" ht="21" customHeight="1">
      <c r="A16" s="68" t="inlineStr">
        <is>
          <t>Diluted shares</t>
        </is>
      </c>
      <c r="B16" s="352" t="n"/>
      <c r="C16" s="352" t="n"/>
      <c r="D16" s="352" t="n"/>
      <c r="E16" s="352" t="n"/>
      <c r="F16" s="410" t="n"/>
      <c r="G16" s="352" t="n"/>
      <c r="H16" s="68" t="n"/>
      <c r="I16" s="47" t="n"/>
      <c r="J16" s="46" t="n"/>
    </row>
    <row r="17" ht="21" customHeight="1">
      <c r="A17" s="67" t="inlineStr">
        <is>
          <t>Net debt / net cash</t>
        </is>
      </c>
      <c r="B17" s="351" t="n"/>
      <c r="C17" s="351" t="n"/>
      <c r="D17" s="351" t="n"/>
      <c r="E17" s="351" t="n"/>
      <c r="F17" s="410" t="n"/>
      <c r="G17" s="351" t="n"/>
      <c r="H17" s="67" t="n"/>
      <c r="I17" s="47" t="n"/>
      <c r="J17" s="46" t="n"/>
    </row>
    <row r="18" ht="21" customHeight="1">
      <c r="A18" s="68" t="inlineStr">
        <is>
          <t>Forward revenue</t>
        </is>
      </c>
      <c r="B18" s="352" t="n"/>
      <c r="C18" s="352" t="n"/>
      <c r="D18" s="352" t="n"/>
      <c r="E18" s="352" t="n"/>
      <c r="F18" s="410" t="n"/>
      <c r="G18" s="352" t="n"/>
      <c r="H18" s="68" t="n"/>
      <c r="I18" s="47" t="n"/>
      <c r="J18" s="46" t="n"/>
    </row>
    <row r="19" ht="21" customHeight="1">
      <c r="A19" s="67" t="inlineStr">
        <is>
          <t>Forward EPS</t>
        </is>
      </c>
      <c r="B19" s="353" t="n"/>
      <c r="C19" s="353" t="n"/>
      <c r="D19" s="353" t="n"/>
      <c r="E19" s="353" t="n"/>
      <c r="F19" s="409" t="n"/>
      <c r="G19" s="353" t="n"/>
      <c r="H19" s="67" t="n"/>
      <c r="I19" s="47" t="n"/>
      <c r="J19" s="46" t="n"/>
    </row>
    <row r="20" ht="21" customHeight="1">
      <c r="A20" s="68" t="inlineStr">
        <is>
          <t>Forward Adj EBITDA</t>
        </is>
      </c>
      <c r="B20" s="352" t="n"/>
      <c r="C20" s="352" t="n"/>
      <c r="D20" s="352" t="n"/>
      <c r="E20" s="352" t="n"/>
      <c r="F20" s="410" t="n"/>
      <c r="G20" s="352" t="n"/>
      <c r="H20" s="68" t="n"/>
      <c r="I20" s="47" t="n"/>
      <c r="J20" s="46" t="n"/>
    </row>
    <row r="21" ht="21" customHeight="1">
      <c r="A21" s="67" t="inlineStr">
        <is>
          <t>Forward FCF</t>
        </is>
      </c>
      <c r="B21" s="351" t="n"/>
      <c r="C21" s="351" t="n"/>
      <c r="D21" s="351" t="n"/>
      <c r="E21" s="351" t="n"/>
      <c r="F21" s="410" t="n"/>
      <c r="G21" s="351" t="n"/>
      <c r="H21" s="67" t="n"/>
      <c r="I21" s="47" t="n"/>
      <c r="J21" s="46" t="n"/>
    </row>
    <row r="22" ht="21" customHeight="1">
      <c r="A22" s="68" t="inlineStr">
        <is>
          <t>Capex</t>
        </is>
      </c>
      <c r="B22" s="352" t="n"/>
      <c r="C22" s="352" t="n"/>
      <c r="D22" s="352" t="n"/>
      <c r="E22" s="352" t="n"/>
      <c r="F22" s="410" t="n"/>
      <c r="G22" s="352" t="n"/>
      <c r="H22" s="68" t="n"/>
      <c r="I22" s="47" t="n"/>
      <c r="J22" s="46" t="n"/>
    </row>
    <row r="23" ht="21" customHeight="1">
      <c r="A23" s="67" t="inlineStr">
        <is>
          <t>P/E multiple</t>
        </is>
      </c>
      <c r="B23" s="411" t="n"/>
      <c r="C23" s="411" t="n"/>
      <c r="D23" s="411" t="n"/>
      <c r="E23" s="411" t="n"/>
      <c r="F23" s="412" t="n"/>
      <c r="G23" s="411" t="n"/>
      <c r="H23" s="67" t="n"/>
      <c r="I23" s="47" t="n"/>
      <c r="J23" s="46" t="n"/>
    </row>
    <row r="24" ht="21" customHeight="1">
      <c r="A24" s="68" t="inlineStr">
        <is>
          <t>EV/Adj EBITDA multiple</t>
        </is>
      </c>
      <c r="B24" s="413" t="n"/>
      <c r="C24" s="413" t="n"/>
      <c r="D24" s="413" t="n"/>
      <c r="E24" s="413" t="n"/>
      <c r="F24" s="412" t="n"/>
      <c r="G24" s="413" t="n"/>
      <c r="H24" s="68" t="n"/>
      <c r="I24" s="47" t="n"/>
      <c r="J24" s="46" t="n"/>
    </row>
    <row r="25" ht="21" customHeight="1">
      <c r="A25" s="67" t="inlineStr">
        <is>
          <t>FCF yield</t>
        </is>
      </c>
      <c r="B25" s="268" t="n"/>
      <c r="C25" s="268" t="n"/>
      <c r="D25" s="268" t="n"/>
      <c r="E25" s="268" t="n"/>
      <c r="F25" s="276" t="n"/>
      <c r="G25" s="268" t="n"/>
      <c r="H25" s="67" t="n"/>
      <c r="I25" s="47" t="n"/>
      <c r="J25" s="46" t="n"/>
    </row>
    <row r="26" ht="21" customHeight="1">
      <c r="A26" s="68" t="inlineStr">
        <is>
          <t>Sales growth</t>
        </is>
      </c>
      <c r="B26" s="270" t="n"/>
      <c r="C26" s="270" t="n"/>
      <c r="D26" s="270" t="n"/>
      <c r="E26" s="270" t="n"/>
      <c r="F26" s="276" t="n"/>
      <c r="G26" s="270" t="n"/>
      <c r="H26" s="68" t="n"/>
      <c r="I26" s="47" t="n"/>
      <c r="J26" s="46" t="n"/>
    </row>
    <row r="27" ht="21" customHeight="1">
      <c r="A27" s="67" t="inlineStr">
        <is>
          <t>Operating margin</t>
        </is>
      </c>
      <c r="B27" s="268" t="n"/>
      <c r="C27" s="268" t="n"/>
      <c r="D27" s="268" t="n"/>
      <c r="E27" s="268" t="n"/>
      <c r="F27" s="276" t="n"/>
      <c r="G27" s="268" t="n"/>
      <c r="H27" s="67" t="n"/>
      <c r="I27" s="47" t="n"/>
      <c r="J27" s="46" t="n"/>
    </row>
    <row r="28" ht="21" customHeight="1">
      <c r="A28" s="68" t="inlineStr">
        <is>
          <t>Buyback amount</t>
        </is>
      </c>
      <c r="B28" s="352" t="n"/>
      <c r="C28" s="352" t="n"/>
      <c r="D28" s="352" t="n"/>
      <c r="E28" s="352" t="n"/>
      <c r="F28" s="410" t="n"/>
      <c r="G28" s="352" t="n"/>
      <c r="H28" s="68" t="n"/>
      <c r="I28" s="47" t="n"/>
      <c r="J28" s="46" t="n"/>
    </row>
    <row r="29" ht="21" customHeight="1">
      <c r="A29" s="67" t="inlineStr">
        <is>
          <t>Buyback-adjusted shares</t>
        </is>
      </c>
      <c r="B29" s="351" t="n"/>
      <c r="C29" s="351" t="n"/>
      <c r="D29" s="351" t="n"/>
      <c r="E29" s="351" t="n"/>
      <c r="F29" s="410" t="n"/>
      <c r="G29" s="351" t="n"/>
      <c r="H29" s="67" t="n"/>
      <c r="I29" s="47" t="n"/>
      <c r="J29" s="46" t="n"/>
    </row>
    <row r="30" ht="21" customHeight="1">
      <c r="A30" s="68" t="n"/>
      <c r="B30" s="271" t="n"/>
      <c r="C30" s="271" t="n"/>
      <c r="D30" s="271" t="n"/>
      <c r="E30" s="271" t="n"/>
      <c r="F30" s="272" t="n"/>
      <c r="G30" s="271" t="n"/>
      <c r="H30" s="68" t="n"/>
      <c r="I30" s="47" t="n"/>
      <c r="J30" s="46" t="n"/>
    </row>
    <row r="31" ht="21" customHeight="1">
      <c r="A31" s="67" t="n"/>
      <c r="B31" s="273" t="n"/>
      <c r="C31" s="273" t="n"/>
      <c r="D31" s="273" t="n"/>
      <c r="E31" s="273" t="n"/>
      <c r="F31" s="272" t="n"/>
      <c r="G31" s="273" t="n"/>
      <c r="H31" s="67" t="n"/>
      <c r="I31" s="47" t="n"/>
      <c r="J31" s="46" t="n"/>
    </row>
    <row r="32" ht="21" customHeight="1">
      <c r="A32" s="68" t="n"/>
      <c r="B32" s="271" t="n"/>
      <c r="C32" s="271" t="n"/>
      <c r="D32" s="271" t="n"/>
      <c r="E32" s="271" t="n"/>
      <c r="F32" s="272" t="n"/>
      <c r="G32" s="271" t="n"/>
      <c r="H32" s="68" t="n"/>
      <c r="I32" s="47" t="n"/>
      <c r="J32" s="46" t="n"/>
    </row>
    <row r="33" ht="21" customHeight="1">
      <c r="A33" s="67" t="n"/>
      <c r="B33" s="273" t="n"/>
      <c r="C33" s="273" t="n"/>
      <c r="D33" s="273" t="n"/>
      <c r="E33" s="273" t="n"/>
      <c r="F33" s="272" t="n"/>
      <c r="G33" s="273" t="n"/>
      <c r="H33" s="67" t="n"/>
      <c r="I33" s="47" t="n"/>
      <c r="J33" s="46" t="n"/>
    </row>
    <row r="34" ht="21" customHeight="1">
      <c r="A34" s="68" t="inlineStr">
        <is>
          <t>Scenario tax rate</t>
        </is>
      </c>
      <c r="B34" s="270" t="n"/>
      <c r="C34" s="270" t="n"/>
      <c r="D34" s="270" t="n"/>
      <c r="E34" s="270" t="n"/>
      <c r="F34" s="276" t="n"/>
      <c r="G34" s="270" t="n"/>
      <c r="H34" s="68" t="n"/>
      <c r="I34" s="47" t="n"/>
      <c r="J34" s="46" t="n"/>
    </row>
    <row r="35" ht="21" customHeight="1"/>
    <row r="36" ht="21" customHeight="1">
      <c r="A36" s="254" t="inlineStr">
        <is>
          <t>Segment Scenario Inputs</t>
        </is>
      </c>
      <c r="B36" s="47" t="n"/>
      <c r="C36" s="47" t="n"/>
      <c r="D36" s="47" t="n"/>
      <c r="E36" s="47" t="n"/>
      <c r="F36" s="47" t="n"/>
      <c r="G36" s="47" t="n"/>
      <c r="H36" s="47" t="n"/>
      <c r="I36" s="47" t="n"/>
      <c r="J36" s="46" t="n"/>
    </row>
    <row r="37" ht="21" customHeight="1">
      <c r="A37" s="296" t="inlineStr">
        <is>
          <t>Segment / category</t>
        </is>
      </c>
      <c r="B37" s="296" t="n"/>
      <c r="C37" s="296" t="n"/>
      <c r="D37" s="296" t="n"/>
      <c r="E37" s="296" t="n"/>
      <c r="F37" s="296" t="n"/>
      <c r="G37" s="296" t="n"/>
      <c r="H37" s="296" t="n"/>
      <c r="I37" s="259" t="n"/>
      <c r="J37" s="46" t="n"/>
    </row>
    <row r="38" ht="21" customHeight="1">
      <c r="A38" s="68" t="inlineStr">
        <is>
          <t>Active basis</t>
        </is>
      </c>
      <c r="B38" s="274" t="n"/>
      <c r="C38" s="53" t="n"/>
      <c r="D38" s="53" t="n"/>
      <c r="E38" s="53" t="n"/>
      <c r="F38" s="53" t="n"/>
      <c r="G38" s="53" t="n"/>
      <c r="H38" s="53" t="n"/>
      <c r="I38" s="68" t="n"/>
      <c r="J38" s="46" t="n"/>
    </row>
    <row r="39" ht="21" customHeight="1">
      <c r="A39" s="275" t="inlineStr">
        <is>
          <t>Dimension view 1 - summed only when selected</t>
        </is>
      </c>
      <c r="B39" s="47" t="n"/>
      <c r="C39" s="47" t="n"/>
      <c r="D39" s="47" t="n"/>
      <c r="E39" s="47" t="n"/>
      <c r="F39" s="47" t="n"/>
      <c r="G39" s="47" t="n"/>
      <c r="H39" s="47" t="n"/>
      <c r="I39" s="47" t="n"/>
      <c r="J39" s="46" t="n"/>
    </row>
    <row r="40" ht="21" customHeight="1">
      <c r="A40" s="67" t="n"/>
      <c r="B40" s="67" t="n"/>
      <c r="C40" s="351" t="n"/>
      <c r="D40" s="276" t="n"/>
      <c r="E40" s="351" t="n"/>
      <c r="F40" s="268" t="n"/>
      <c r="G40" s="351" t="n"/>
      <c r="H40" s="52" t="n"/>
      <c r="I40" s="67" t="n"/>
      <c r="J40" s="46" t="n"/>
    </row>
    <row r="41" ht="21" customHeight="1">
      <c r="A41" s="68" t="n"/>
      <c r="B41" s="68" t="n"/>
      <c r="C41" s="352" t="n"/>
      <c r="D41" s="276" t="n"/>
      <c r="E41" s="352" t="n"/>
      <c r="F41" s="270" t="n"/>
      <c r="G41" s="352" t="n"/>
      <c r="H41" s="53" t="n"/>
      <c r="I41" s="68" t="n"/>
      <c r="J41" s="46" t="n"/>
    </row>
    <row r="42" ht="21" customHeight="1">
      <c r="A42" s="275" t="inlineStr">
        <is>
          <t>Dimension view 2 - summed only when selected</t>
        </is>
      </c>
      <c r="B42" s="47" t="n"/>
      <c r="C42" s="47" t="n"/>
      <c r="D42" s="47" t="n"/>
      <c r="E42" s="47" t="n"/>
      <c r="F42" s="47" t="n"/>
      <c r="G42" s="47" t="n"/>
      <c r="H42" s="47" t="n"/>
      <c r="I42" s="47" t="n"/>
      <c r="J42" s="46" t="n"/>
    </row>
    <row r="43" ht="21" customHeight="1">
      <c r="A43" s="67" t="n"/>
      <c r="B43" s="67" t="n"/>
      <c r="C43" s="351" t="n"/>
      <c r="D43" s="276" t="n"/>
      <c r="E43" s="351" t="n"/>
      <c r="F43" s="268" t="n"/>
      <c r="G43" s="351" t="n"/>
      <c r="H43" s="52" t="n"/>
      <c r="I43" s="67" t="n"/>
      <c r="J43" s="46" t="n"/>
    </row>
    <row r="44" ht="21" customHeight="1">
      <c r="A44" s="68" t="n"/>
      <c r="B44" s="68" t="n"/>
      <c r="C44" s="352" t="n"/>
      <c r="D44" s="276" t="n"/>
      <c r="E44" s="352" t="n"/>
      <c r="F44" s="270" t="n"/>
      <c r="G44" s="352" t="n"/>
      <c r="H44" s="53" t="n"/>
      <c r="I44" s="68" t="n"/>
      <c r="J44" s="46" t="n"/>
    </row>
    <row r="45" ht="21" customHeight="1">
      <c r="A45" s="67" t="n"/>
      <c r="B45" s="67" t="n"/>
      <c r="C45" s="351" t="n"/>
      <c r="D45" s="276" t="n"/>
      <c r="E45" s="351" t="n"/>
      <c r="F45" s="268" t="n"/>
      <c r="G45" s="351" t="n"/>
      <c r="H45" s="52" t="n"/>
      <c r="I45" s="67" t="n"/>
      <c r="J45" s="46" t="n"/>
    </row>
    <row r="46" ht="21" customHeight="1"/>
    <row r="47" ht="21" customHeight="1">
      <c r="A47" s="254" t="inlineStr">
        <is>
          <t>Scenario Driver Bridge</t>
        </is>
      </c>
      <c r="B47" s="47" t="n"/>
      <c r="C47" s="47" t="n"/>
      <c r="D47" s="47" t="n"/>
      <c r="E47" s="47" t="n"/>
      <c r="F47" s="47" t="n"/>
      <c r="G47" s="47" t="n"/>
      <c r="H47" s="47" t="n"/>
      <c r="I47" s="47" t="n"/>
      <c r="J47" s="46" t="n"/>
    </row>
    <row r="48" ht="21" customHeight="1">
      <c r="A48" s="68" t="inlineStr">
        <is>
          <t>Bridge-adjusted values start from active inputs and add incremental effects below | Taxable EPS impacts use active scenario tax rate.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  <c r="J48" s="46" t="n"/>
    </row>
    <row r="49" ht="21" customHeight="1">
      <c r="A49" s="296" t="inlineStr">
        <is>
          <t>Bridge item</t>
        </is>
      </c>
      <c r="B49" s="296" t="n"/>
      <c r="C49" s="296" t="n"/>
      <c r="D49" s="296" t="n"/>
      <c r="E49" s="296" t="n"/>
      <c r="F49" s="296" t="n"/>
      <c r="G49" s="296" t="n"/>
      <c r="H49" s="259" t="n"/>
      <c r="I49" s="47" t="n"/>
      <c r="J49" s="46" t="n"/>
    </row>
    <row r="50" ht="21" customHeight="1">
      <c r="A50" s="52" t="inlineStr">
        <is>
          <t>Margin bridge vs baseline</t>
        </is>
      </c>
      <c r="B50" s="351" t="n"/>
      <c r="C50" s="351" t="n"/>
      <c r="D50" s="351" t="n"/>
      <c r="E50" s="353" t="n"/>
      <c r="F50" s="351" t="n"/>
      <c r="G50" s="351" t="n"/>
      <c r="H50" s="67" t="n"/>
      <c r="I50" s="47" t="n"/>
      <c r="J50" s="46" t="n"/>
    </row>
    <row r="51" ht="21" customHeight="1">
      <c r="A51" s="53" t="inlineStr">
        <is>
          <t>Buyback/share-count effect</t>
        </is>
      </c>
      <c r="B51" s="352" t="n"/>
      <c r="C51" s="352" t="n"/>
      <c r="D51" s="352" t="n"/>
      <c r="E51" s="358" t="n"/>
      <c r="F51" s="352" t="n"/>
      <c r="G51" s="352" t="n"/>
      <c r="H51" s="68" t="n"/>
      <c r="I51" s="47" t="n"/>
      <c r="J51" s="46" t="n"/>
    </row>
    <row r="52" ht="21" customHeight="1">
      <c r="A52" s="52" t="inlineStr">
        <is>
          <t>Selected segment revenue/margin impact</t>
        </is>
      </c>
      <c r="B52" s="351" t="n"/>
      <c r="C52" s="351" t="n"/>
      <c r="D52" s="351" t="n"/>
      <c r="E52" s="353" t="n"/>
      <c r="F52" s="351" t="n"/>
      <c r="G52" s="351" t="n"/>
      <c r="H52" s="67" t="n"/>
      <c r="I52" s="47" t="n"/>
      <c r="J52" s="46" t="n"/>
    </row>
    <row r="53" ht="21" customHeight="1">
      <c r="A53" s="53" t="inlineStr">
        <is>
          <t>Capex change vs baseline</t>
        </is>
      </c>
      <c r="B53" s="352" t="n"/>
      <c r="C53" s="352" t="n"/>
      <c r="D53" s="352" t="n"/>
      <c r="E53" s="358" t="n"/>
      <c r="F53" s="352" t="n"/>
      <c r="G53" s="352" t="n"/>
      <c r="H53" s="68" t="n"/>
      <c r="I53" s="47" t="n"/>
      <c r="J53" s="46" t="n"/>
    </row>
    <row r="54" ht="21" customHeight="1"/>
    <row r="55" ht="21" customHeight="1">
      <c r="A55" s="296" t="inlineStr">
        <is>
          <t>Metric</t>
        </is>
      </c>
      <c r="B55" s="259" t="n"/>
      <c r="C55" s="46" t="n"/>
      <c r="D55" s="259" t="n"/>
      <c r="E55" s="46" t="n"/>
      <c r="F55" s="259" t="n"/>
      <c r="G55" s="46" t="n"/>
      <c r="H55" s="259" t="n"/>
      <c r="I55" s="47" t="n"/>
      <c r="J55" s="46" t="n"/>
    </row>
    <row r="56" ht="21" customHeight="1">
      <c r="A56" s="52" t="inlineStr">
        <is>
          <t>Bridge EPS ($/sh)</t>
        </is>
      </c>
      <c r="B56" s="353" t="n"/>
      <c r="C56" s="46" t="n"/>
      <c r="D56" s="353" t="n"/>
      <c r="E56" s="46" t="n"/>
      <c r="F56" s="353" t="n"/>
      <c r="G56" s="46" t="n"/>
      <c r="H56" s="67" t="n"/>
      <c r="I56" s="47" t="n"/>
      <c r="J56" s="46" t="n"/>
    </row>
    <row r="57" ht="21" customHeight="1">
      <c r="A57" s="53" t="inlineStr">
        <is>
          <t>Bridge Adj EBITDA ($m)</t>
        </is>
      </c>
      <c r="B57" s="352" t="n"/>
      <c r="C57" s="46" t="n"/>
      <c r="D57" s="352" t="n"/>
      <c r="E57" s="46" t="n"/>
      <c r="F57" s="352" t="n"/>
      <c r="G57" s="46" t="n"/>
      <c r="H57" s="68" t="n"/>
      <c r="I57" s="47" t="n"/>
      <c r="J57" s="46" t="n"/>
    </row>
    <row r="58" ht="21" customHeight="1">
      <c r="A58" s="52" t="inlineStr">
        <is>
          <t>Bridge FCF ($m)</t>
        </is>
      </c>
      <c r="B58" s="351" t="n"/>
      <c r="C58" s="46" t="n"/>
      <c r="D58" s="351" t="n"/>
      <c r="E58" s="46" t="n"/>
      <c r="F58" s="351" t="n"/>
      <c r="G58" s="46" t="n"/>
      <c r="H58" s="67" t="n"/>
      <c r="I58" s="47" t="n"/>
      <c r="J58" s="46" t="n"/>
    </row>
    <row r="59" ht="21" customHeight="1"/>
    <row r="60" ht="21" customHeight="1">
      <c r="A60" s="254" t="inlineStr">
        <is>
          <t>What Market Is Pricing</t>
        </is>
      </c>
      <c r="B60" s="47" t="n"/>
      <c r="C60" s="47" t="n"/>
      <c r="D60" s="47" t="n"/>
      <c r="E60" s="47" t="n"/>
      <c r="F60" s="47" t="n"/>
      <c r="G60" s="47" t="n"/>
      <c r="H60" s="47" t="n"/>
      <c r="I60" s="47" t="n"/>
      <c r="J60" s="46" t="n"/>
    </row>
    <row r="61" ht="21" customHeight="1">
      <c r="A61" s="296" t="inlineStr">
        <is>
          <t>Metric</t>
        </is>
      </c>
      <c r="B61" s="259" t="n"/>
      <c r="C61" s="47" t="n"/>
      <c r="D61" s="46" t="n"/>
      <c r="E61" s="259" t="n"/>
      <c r="F61" s="47" t="n"/>
      <c r="G61" s="47" t="n"/>
      <c r="H61" s="47" t="n"/>
      <c r="I61" s="47" t="n"/>
      <c r="J61" s="46" t="n"/>
    </row>
    <row r="62" ht="21" customHeight="1">
      <c r="A62" s="52" t="inlineStr">
        <is>
          <t>Market price input</t>
        </is>
      </c>
      <c r="B62" s="279" t="n"/>
      <c r="C62" s="47" t="n"/>
      <c r="D62" s="46" t="n"/>
      <c r="E62" s="67" t="n"/>
      <c r="F62" s="47" t="n"/>
      <c r="G62" s="47" t="n"/>
      <c r="H62" s="47" t="n"/>
      <c r="I62" s="47" t="n"/>
      <c r="J62" s="46" t="n"/>
    </row>
    <row r="63" ht="21" customHeight="1">
      <c r="A63" s="53" t="inlineStr">
        <is>
          <t>Implied market cap</t>
        </is>
      </c>
      <c r="B63" s="414" t="n"/>
      <c r="C63" s="47" t="n"/>
      <c r="D63" s="46" t="n"/>
      <c r="E63" s="68" t="n"/>
      <c r="F63" s="47" t="n"/>
      <c r="G63" s="47" t="n"/>
      <c r="H63" s="47" t="n"/>
      <c r="I63" s="47" t="n"/>
      <c r="J63" s="46" t="n"/>
    </row>
    <row r="64" ht="21" customHeight="1">
      <c r="A64" s="52" t="inlineStr">
        <is>
          <t>Implied EV</t>
        </is>
      </c>
      <c r="B64" s="415" t="n"/>
      <c r="C64" s="47" t="n"/>
      <c r="D64" s="46" t="n"/>
      <c r="E64" s="67" t="n"/>
      <c r="F64" s="47" t="n"/>
      <c r="G64" s="47" t="n"/>
      <c r="H64" s="47" t="n"/>
      <c r="I64" s="47" t="n"/>
      <c r="J64" s="46" t="n"/>
    </row>
    <row r="65" ht="21" customHeight="1">
      <c r="A65" s="53" t="inlineStr">
        <is>
          <t>Implied P/E</t>
        </is>
      </c>
      <c r="B65" s="416" t="n"/>
      <c r="C65" s="47" t="n"/>
      <c r="D65" s="46" t="n"/>
      <c r="E65" s="68" t="n"/>
      <c r="F65" s="47" t="n"/>
      <c r="G65" s="47" t="n"/>
      <c r="H65" s="47" t="n"/>
      <c r="I65" s="47" t="n"/>
      <c r="J65" s="46" t="n"/>
    </row>
    <row r="66" ht="21" customHeight="1">
      <c r="A66" s="52" t="inlineStr">
        <is>
          <t>Implied EV/Adj EBITDA</t>
        </is>
      </c>
      <c r="B66" s="417" t="n"/>
      <c r="C66" s="47" t="n"/>
      <c r="D66" s="46" t="n"/>
      <c r="E66" s="67" t="n"/>
      <c r="F66" s="47" t="n"/>
      <c r="G66" s="47" t="n"/>
      <c r="H66" s="47" t="n"/>
      <c r="I66" s="47" t="n"/>
      <c r="J66" s="46" t="n"/>
    </row>
    <row r="67" ht="21" customHeight="1">
      <c r="A67" s="53" t="inlineStr">
        <is>
          <t>Implied FCF yield</t>
        </is>
      </c>
      <c r="B67" s="284" t="n"/>
      <c r="C67" s="47" t="n"/>
      <c r="D67" s="46" t="n"/>
      <c r="E67" s="68" t="n"/>
      <c r="F67" s="47" t="n"/>
      <c r="G67" s="47" t="n"/>
      <c r="H67" s="47" t="n"/>
      <c r="I67" s="47" t="n"/>
      <c r="J67" s="46" t="n"/>
    </row>
    <row r="68" ht="21" customHeight="1"/>
    <row r="69" ht="21" customHeight="1">
      <c r="A69" s="254" t="inlineStr">
        <is>
          <t>Key Debate</t>
        </is>
      </c>
      <c r="B69" s="47" t="n"/>
      <c r="C69" s="47" t="n"/>
      <c r="D69" s="47" t="n"/>
      <c r="E69" s="47" t="n"/>
      <c r="F69" s="47" t="n"/>
      <c r="G69" s="47" t="n"/>
      <c r="H69" s="47" t="n"/>
      <c r="I69" s="47" t="n"/>
      <c r="J69" s="46" t="n"/>
    </row>
    <row r="70" ht="21" customHeight="1">
      <c r="A70" s="256" t="inlineStr">
        <is>
          <t>Debate</t>
        </is>
      </c>
      <c r="B70" s="285" t="n"/>
      <c r="C70" s="47" t="n"/>
      <c r="D70" s="47" t="n"/>
      <c r="E70" s="47" t="n"/>
      <c r="F70" s="47" t="n"/>
      <c r="G70" s="47" t="n"/>
      <c r="H70" s="47" t="n"/>
      <c r="I70" s="47" t="n"/>
      <c r="J70" s="46" t="n"/>
    </row>
    <row r="71" ht="21" customHeight="1"/>
    <row r="72" ht="21" customHeight="1">
      <c r="A72" s="254" t="inlineStr">
        <is>
          <t>Key Debates</t>
        </is>
      </c>
      <c r="B72" s="47" t="n"/>
      <c r="C72" s="47" t="n"/>
      <c r="D72" s="47" t="n"/>
      <c r="E72" s="47" t="n"/>
      <c r="F72" s="47" t="n"/>
      <c r="G72" s="47" t="n"/>
      <c r="H72" s="47" t="n"/>
      <c r="I72" s="47" t="n"/>
      <c r="J72" s="46" t="n"/>
    </row>
    <row r="73" ht="24" customHeight="1">
      <c r="A73" s="286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6" t="n"/>
    </row>
    <row r="74" ht="38" customHeight="1">
      <c r="A74" s="289" t="inlineStr">
        <is>
          <t>Bull evidence</t>
        </is>
      </c>
      <c r="B74" s="290" t="n"/>
      <c r="C74" s="47" t="n"/>
      <c r="D74" s="47" t="n"/>
      <c r="E74" s="46" t="n"/>
      <c r="F74" s="289" t="n"/>
      <c r="G74" s="290" t="n"/>
      <c r="H74" s="47" t="n"/>
      <c r="I74" s="47" t="n"/>
      <c r="J74" s="46" t="n"/>
    </row>
    <row r="75" ht="26" customHeight="1">
      <c r="A75" s="289" t="inlineStr">
        <is>
          <t>Next proof point</t>
        </is>
      </c>
      <c r="B75" s="290" t="n"/>
      <c r="C75" s="47" t="n"/>
      <c r="D75" s="47" t="n"/>
      <c r="E75" s="47" t="n"/>
      <c r="F75" s="47" t="n"/>
      <c r="G75" s="47" t="n"/>
      <c r="H75" s="47" t="n"/>
      <c r="I75" s="47" t="n"/>
      <c r="J75" s="46" t="n"/>
    </row>
    <row r="76" ht="24" customHeight="1">
      <c r="A76" s="286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6" t="n"/>
    </row>
    <row r="77" ht="38" customHeight="1">
      <c r="A77" s="293" t="inlineStr">
        <is>
          <t>Bull evidence</t>
        </is>
      </c>
      <c r="B77" s="294" t="n"/>
      <c r="C77" s="47" t="n"/>
      <c r="D77" s="47" t="n"/>
      <c r="E77" s="46" t="n"/>
      <c r="F77" s="293" t="n"/>
      <c r="G77" s="294" t="n"/>
      <c r="H77" s="47" t="n"/>
      <c r="I77" s="47" t="n"/>
      <c r="J77" s="46" t="n"/>
    </row>
    <row r="78" ht="26" customHeight="1">
      <c r="A78" s="293" t="inlineStr">
        <is>
          <t>Next proof point</t>
        </is>
      </c>
      <c r="B78" s="294" t="n"/>
      <c r="C78" s="47" t="n"/>
      <c r="D78" s="47" t="n"/>
      <c r="E78" s="47" t="n"/>
      <c r="F78" s="47" t="n"/>
      <c r="G78" s="47" t="n"/>
      <c r="H78" s="47" t="n"/>
      <c r="I78" s="47" t="n"/>
      <c r="J78" s="46" t="n"/>
    </row>
    <row r="79" ht="24" customHeight="1">
      <c r="A79" s="286" t="n"/>
      <c r="B79" s="47" t="n"/>
      <c r="C79" s="47" t="n"/>
      <c r="D79" s="47" t="n"/>
      <c r="E79" s="47" t="n"/>
      <c r="F79" s="47" t="n"/>
      <c r="G79" s="47" t="n"/>
      <c r="H79" s="47" t="n"/>
      <c r="I79" s="47" t="n"/>
      <c r="J79" s="46" t="n"/>
    </row>
    <row r="80" ht="38" customHeight="1">
      <c r="A80" s="289" t="inlineStr">
        <is>
          <t>Bull evidence</t>
        </is>
      </c>
      <c r="B80" s="290" t="n"/>
      <c r="C80" s="47" t="n"/>
      <c r="D80" s="47" t="n"/>
      <c r="E80" s="46" t="n"/>
      <c r="F80" s="289" t="n"/>
      <c r="G80" s="290" t="n"/>
      <c r="H80" s="47" t="n"/>
      <c r="I80" s="47" t="n"/>
      <c r="J80" s="46" t="n"/>
    </row>
    <row r="81" ht="26" customHeight="1">
      <c r="A81" s="289" t="inlineStr">
        <is>
          <t>Next proof point</t>
        </is>
      </c>
      <c r="B81" s="290" t="n"/>
      <c r="C81" s="47" t="n"/>
      <c r="D81" s="47" t="n"/>
      <c r="E81" s="47" t="n"/>
      <c r="F81" s="47" t="n"/>
      <c r="G81" s="47" t="n"/>
      <c r="H81" s="47" t="n"/>
      <c r="I81" s="47" t="n"/>
      <c r="J81" s="46" t="n"/>
    </row>
    <row r="82" ht="21" customHeight="1"/>
    <row r="83" ht="21" customHeight="1">
      <c r="A83" s="254" t="inlineStr">
        <is>
          <t>Bear / Base / Bull Scenario</t>
        </is>
      </c>
      <c r="B83" s="47" t="n"/>
      <c r="C83" s="47" t="n"/>
      <c r="D83" s="47" t="n"/>
      <c r="E83" s="47" t="n"/>
      <c r="F83" s="47" t="n"/>
      <c r="G83" s="47" t="n"/>
      <c r="H83" s="47" t="n"/>
      <c r="I83" s="47" t="n"/>
      <c r="J83" s="46" t="n"/>
    </row>
    <row r="84" ht="21" customHeight="1">
      <c r="A84" s="296" t="inlineStr">
        <is>
          <t>Scenario</t>
        </is>
      </c>
      <c r="B84" s="259" t="n"/>
      <c r="C84" s="46" t="n"/>
      <c r="D84" s="296" t="n"/>
      <c r="E84" s="296" t="n"/>
      <c r="F84" s="296" t="n"/>
      <c r="G84" s="296" t="n"/>
      <c r="H84" s="296" t="n"/>
      <c r="I84" s="296" t="n"/>
      <c r="J84" s="296" t="n"/>
    </row>
    <row r="85" ht="30" customHeight="1">
      <c r="A85" s="52" t="inlineStr">
        <is>
          <t>Bear</t>
        </is>
      </c>
      <c r="B85" s="67" t="n"/>
      <c r="C85" s="46" t="n"/>
      <c r="D85" s="353" t="n"/>
      <c r="E85" s="351" t="n"/>
      <c r="F85" s="351" t="n"/>
      <c r="G85" s="353" t="n"/>
      <c r="H85" s="353" t="n"/>
      <c r="I85" s="353" t="n"/>
      <c r="J85" s="52" t="n"/>
    </row>
    <row r="86" ht="30" customHeight="1">
      <c r="A86" s="53" t="inlineStr">
        <is>
          <t>Base</t>
        </is>
      </c>
      <c r="B86" s="68" t="n"/>
      <c r="C86" s="46" t="n"/>
      <c r="D86" s="358" t="n"/>
      <c r="E86" s="352" t="n"/>
      <c r="F86" s="352" t="n"/>
      <c r="G86" s="358" t="n"/>
      <c r="H86" s="358" t="n"/>
      <c r="I86" s="358" t="n"/>
      <c r="J86" s="53" t="n"/>
    </row>
    <row r="87" ht="30" customHeight="1">
      <c r="A87" s="52" t="inlineStr">
        <is>
          <t>Bull</t>
        </is>
      </c>
      <c r="B87" s="67" t="n"/>
      <c r="C87" s="46" t="n"/>
      <c r="D87" s="353" t="n"/>
      <c r="E87" s="351" t="n"/>
      <c r="F87" s="351" t="n"/>
      <c r="G87" s="353" t="n"/>
      <c r="H87" s="353" t="n"/>
      <c r="I87" s="353" t="n"/>
      <c r="J87" s="52" t="n"/>
    </row>
    <row r="88" ht="13.5" customHeight="1">
      <c r="A88" s="256" t="inlineStr">
        <is>
          <t>Uses Investment_Case manual inputs; may differ from Valuation Thesis Bridge.</t>
        </is>
      </c>
      <c r="B88" s="47" t="n"/>
      <c r="C88" s="47" t="n"/>
      <c r="D88" s="47" t="n"/>
      <c r="E88" s="47" t="n"/>
      <c r="F88" s="47" t="n"/>
      <c r="G88" s="47" t="n"/>
      <c r="H88" s="47" t="n"/>
      <c r="I88" s="47" t="n"/>
      <c r="J88" s="46" t="n"/>
    </row>
    <row r="89" ht="21" customHeight="1"/>
    <row r="90" ht="21" customHeight="1">
      <c r="A90" s="254" t="inlineStr">
        <is>
          <t>Quality of Earnings</t>
        </is>
      </c>
      <c r="B90" s="47" t="n"/>
      <c r="C90" s="47" t="n"/>
      <c r="D90" s="47" t="n"/>
      <c r="E90" s="47" t="n"/>
      <c r="F90" s="47" t="n"/>
      <c r="G90" s="47" t="n"/>
      <c r="H90" s="47" t="n"/>
      <c r="I90" s="47" t="n"/>
      <c r="J90" s="46" t="n"/>
    </row>
    <row r="91" ht="21" customHeight="1">
      <c r="A91" s="296" t="inlineStr">
        <is>
          <t>Item</t>
        </is>
      </c>
      <c r="B91" s="259" t="n"/>
      <c r="C91" s="46" t="n"/>
      <c r="D91" s="296" t="n"/>
      <c r="E91" s="296" t="n"/>
      <c r="F91" s="259" t="n"/>
      <c r="G91" s="47" t="n"/>
      <c r="H91" s="47" t="n"/>
      <c r="I91" s="47" t="n"/>
      <c r="J91" s="46" t="n"/>
    </row>
    <row r="92" ht="24" customHeight="1">
      <c r="A92" s="52" t="n"/>
      <c r="B92" s="67" t="n"/>
      <c r="C92" s="46" t="n"/>
      <c r="D92" s="52" t="n"/>
      <c r="E92" s="52" t="n"/>
      <c r="F92" s="67" t="n"/>
      <c r="G92" s="47" t="n"/>
      <c r="H92" s="47" t="n"/>
      <c r="I92" s="47" t="n"/>
      <c r="J92" s="46" t="n"/>
    </row>
    <row r="93" ht="24" customHeight="1">
      <c r="A93" s="53" t="n"/>
      <c r="B93" s="68" t="n"/>
      <c r="C93" s="46" t="n"/>
      <c r="D93" s="53" t="n"/>
      <c r="E93" s="53" t="n"/>
      <c r="F93" s="68" t="n"/>
      <c r="G93" s="47" t="n"/>
      <c r="H93" s="47" t="n"/>
      <c r="I93" s="47" t="n"/>
      <c r="J93" s="46" t="n"/>
    </row>
    <row r="94" ht="24" customHeight="1">
      <c r="A94" s="52" t="n"/>
      <c r="B94" s="67" t="n"/>
      <c r="C94" s="46" t="n"/>
      <c r="D94" s="52" t="n"/>
      <c r="E94" s="52" t="n"/>
      <c r="F94" s="67" t="n"/>
      <c r="G94" s="47" t="n"/>
      <c r="H94" s="47" t="n"/>
      <c r="I94" s="47" t="n"/>
      <c r="J94" s="46" t="n"/>
    </row>
    <row r="95" ht="24" customHeight="1">
      <c r="A95" s="53" t="n"/>
      <c r="B95" s="68" t="n"/>
      <c r="C95" s="46" t="n"/>
      <c r="D95" s="53" t="n"/>
      <c r="E95" s="53" t="n"/>
      <c r="F95" s="68" t="n"/>
      <c r="G95" s="47" t="n"/>
      <c r="H95" s="47" t="n"/>
      <c r="I95" s="47" t="n"/>
      <c r="J95" s="46" t="n"/>
    </row>
    <row r="96" ht="24" customHeight="1">
      <c r="A96" s="52" t="n"/>
      <c r="B96" s="67" t="n"/>
      <c r="C96" s="46" t="n"/>
      <c r="D96" s="52" t="n"/>
      <c r="E96" s="52" t="n"/>
      <c r="F96" s="67" t="n"/>
      <c r="G96" s="47" t="n"/>
      <c r="H96" s="47" t="n"/>
      <c r="I96" s="47" t="n"/>
      <c r="J96" s="46" t="n"/>
    </row>
    <row r="97" ht="21" customHeight="1"/>
    <row r="98" ht="21" customHeight="1">
      <c r="A98" s="254" t="inlineStr">
        <is>
          <t>What Needs To Happen For The Stock To Work</t>
        </is>
      </c>
      <c r="B98" s="47" t="n"/>
      <c r="C98" s="47" t="n"/>
      <c r="D98" s="47" t="n"/>
      <c r="E98" s="47" t="n"/>
      <c r="F98" s="47" t="n"/>
      <c r="G98" s="47" t="n"/>
      <c r="H98" s="47" t="n"/>
      <c r="I98" s="47" t="n"/>
      <c r="J98" s="46" t="n"/>
    </row>
    <row r="99" ht="21" customHeight="1">
      <c r="A99" s="296" t="inlineStr">
        <is>
          <t>Condition</t>
        </is>
      </c>
      <c r="B99" s="259" t="n"/>
      <c r="C99" s="47" t="n"/>
      <c r="D99" s="47" t="n"/>
      <c r="E99" s="47" t="n"/>
      <c r="F99" s="47" t="n"/>
      <c r="G99" s="47" t="n"/>
      <c r="H99" s="47" t="n"/>
      <c r="I99" s="47" t="n"/>
      <c r="J99" s="46" t="n"/>
    </row>
    <row r="100" ht="21" customHeight="1">
      <c r="A100" s="52" t="n"/>
      <c r="B100" s="67" t="n"/>
      <c r="C100" s="47" t="n"/>
      <c r="D100" s="47" t="n"/>
      <c r="E100" s="47" t="n"/>
      <c r="F100" s="47" t="n"/>
      <c r="G100" s="47" t="n"/>
      <c r="H100" s="47" t="n"/>
      <c r="I100" s="47" t="n"/>
      <c r="J100" s="46" t="n"/>
    </row>
    <row r="101" ht="21" customHeight="1">
      <c r="A101" s="53" t="n"/>
      <c r="B101" s="68" t="n"/>
      <c r="C101" s="47" t="n"/>
      <c r="D101" s="47" t="n"/>
      <c r="E101" s="47" t="n"/>
      <c r="F101" s="47" t="n"/>
      <c r="G101" s="47" t="n"/>
      <c r="H101" s="47" t="n"/>
      <c r="I101" s="47" t="n"/>
      <c r="J101" s="46" t="n"/>
    </row>
    <row r="102" ht="21" customHeight="1">
      <c r="A102" s="52" t="n"/>
      <c r="B102" s="67" t="n"/>
      <c r="C102" s="47" t="n"/>
      <c r="D102" s="47" t="n"/>
      <c r="E102" s="47" t="n"/>
      <c r="F102" s="47" t="n"/>
      <c r="G102" s="47" t="n"/>
      <c r="H102" s="47" t="n"/>
      <c r="I102" s="47" t="n"/>
      <c r="J102" s="46" t="n"/>
    </row>
    <row r="103" ht="21" customHeight="1">
      <c r="A103" s="53" t="n"/>
      <c r="B103" s="68" t="n"/>
      <c r="C103" s="47" t="n"/>
      <c r="D103" s="47" t="n"/>
      <c r="E103" s="47" t="n"/>
      <c r="F103" s="47" t="n"/>
      <c r="G103" s="47" t="n"/>
      <c r="H103" s="47" t="n"/>
      <c r="I103" s="47" t="n"/>
      <c r="J103" s="46" t="n"/>
    </row>
    <row r="104" ht="21" customHeight="1">
      <c r="A104" s="52" t="n"/>
      <c r="B104" s="67" t="n"/>
      <c r="C104" s="47" t="n"/>
      <c r="D104" s="47" t="n"/>
      <c r="E104" s="47" t="n"/>
      <c r="F104" s="47" t="n"/>
      <c r="G104" s="47" t="n"/>
      <c r="H104" s="47" t="n"/>
      <c r="I104" s="47" t="n"/>
      <c r="J104" s="46" t="n"/>
    </row>
    <row r="105" ht="21" customHeight="1"/>
    <row r="106" ht="21" customHeight="1">
      <c r="A106" s="254" t="n"/>
      <c r="B106" s="47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6" t="n"/>
    </row>
    <row r="107" ht="21" customHeight="1">
      <c r="A107" s="296" t="inlineStr">
        <is>
          <t>Bridge item</t>
        </is>
      </c>
      <c r="B107" s="259" t="n"/>
      <c r="C107" s="46" t="n"/>
      <c r="D107" s="259" t="n"/>
      <c r="E107" s="46" t="n"/>
      <c r="F107" s="259" t="n"/>
      <c r="G107" s="47" t="n"/>
      <c r="H107" s="47" t="n"/>
      <c r="I107" s="47" t="n"/>
      <c r="J107" s="47" t="n"/>
      <c r="K107" s="46" t="n"/>
    </row>
    <row r="108" ht="21" customHeight="1">
      <c r="A108" s="256" t="n"/>
      <c r="B108" s="257" t="n"/>
      <c r="C108" s="46" t="n"/>
      <c r="D108" s="257" t="n"/>
      <c r="E108" s="46" t="n"/>
      <c r="F108" s="257" t="n"/>
      <c r="G108" s="47" t="n"/>
      <c r="H108" s="47" t="n"/>
      <c r="I108" s="47" t="n"/>
      <c r="J108" s="47" t="n"/>
      <c r="K108" s="46" t="n"/>
    </row>
    <row r="109" ht="21" customHeight="1">
      <c r="A109" s="53" t="n"/>
      <c r="B109" s="68" t="n"/>
      <c r="C109" s="46" t="n"/>
      <c r="D109" s="68" t="n"/>
      <c r="E109" s="46" t="n"/>
      <c r="F109" s="68" t="n"/>
      <c r="G109" s="47" t="n"/>
      <c r="H109" s="47" t="n"/>
      <c r="I109" s="47" t="n"/>
      <c r="J109" s="47" t="n"/>
      <c r="K109" s="46" t="n"/>
    </row>
    <row r="110" ht="21" customHeight="1">
      <c r="A110" s="52" t="n"/>
      <c r="B110" s="67" t="n"/>
      <c r="C110" s="46" t="n"/>
      <c r="D110" s="67" t="n"/>
      <c r="E110" s="46" t="n"/>
      <c r="F110" s="67" t="n"/>
      <c r="G110" s="47" t="n"/>
      <c r="H110" s="47" t="n"/>
      <c r="I110" s="47" t="n"/>
      <c r="J110" s="47" t="n"/>
      <c r="K110" s="46" t="n"/>
    </row>
    <row r="111" ht="21" customHeight="1">
      <c r="A111" s="52" t="n"/>
      <c r="B111" s="67" t="n"/>
      <c r="C111" s="46" t="n"/>
      <c r="D111" s="67" t="n"/>
      <c r="E111" s="46" t="n"/>
      <c r="F111" s="67" t="n"/>
      <c r="G111" s="47" t="n"/>
      <c r="H111" s="47" t="n"/>
      <c r="I111" s="47" t="n"/>
      <c r="J111" s="47" t="n"/>
      <c r="K111" s="46" t="n"/>
    </row>
    <row r="112" ht="21" customHeight="1">
      <c r="A112" s="53" t="n"/>
      <c r="B112" s="68" t="n"/>
      <c r="C112" s="46" t="n"/>
      <c r="D112" s="68" t="n"/>
      <c r="E112" s="46" t="n"/>
      <c r="F112" s="68" t="n"/>
      <c r="G112" s="47" t="n"/>
      <c r="H112" s="47" t="n"/>
      <c r="I112" s="47" t="n"/>
      <c r="J112" s="47" t="n"/>
      <c r="K112" s="46" t="n"/>
    </row>
    <row r="113" ht="21" customHeight="1">
      <c r="A113" s="52" t="n"/>
      <c r="B113" s="67" t="n"/>
      <c r="C113" s="46" t="n"/>
      <c r="D113" s="67" t="n"/>
      <c r="E113" s="46" t="n"/>
      <c r="F113" s="67" t="n"/>
      <c r="G113" s="47" t="n"/>
      <c r="H113" s="47" t="n"/>
      <c r="I113" s="47" t="n"/>
      <c r="J113" s="47" t="n"/>
      <c r="K113" s="46" t="n"/>
    </row>
    <row r="114" ht="21" customHeight="1">
      <c r="A114" s="53" t="n"/>
      <c r="B114" s="68" t="n"/>
      <c r="C114" s="46" t="n"/>
      <c r="D114" s="68" t="n"/>
      <c r="E114" s="46" t="n"/>
      <c r="F114" s="68" t="n"/>
      <c r="G114" s="47" t="n"/>
      <c r="H114" s="47" t="n"/>
      <c r="I114" s="47" t="n"/>
      <c r="J114" s="47" t="n"/>
      <c r="K114" s="46" t="n"/>
    </row>
    <row r="115" ht="21" customHeight="1">
      <c r="A115" s="52" t="n"/>
      <c r="B115" s="67" t="n"/>
      <c r="C115" s="46" t="n"/>
      <c r="D115" s="67" t="n"/>
      <c r="E115" s="46" t="n"/>
      <c r="F115" s="67" t="n"/>
      <c r="G115" s="47" t="n"/>
      <c r="H115" s="47" t="n"/>
      <c r="I115" s="47" t="n"/>
      <c r="J115" s="47" t="n"/>
      <c r="K115" s="46" t="n"/>
    </row>
    <row r="116" ht="21" customHeight="1">
      <c r="A116" s="53" t="n"/>
      <c r="B116" s="68" t="n"/>
      <c r="C116" s="46" t="n"/>
      <c r="D116" s="68" t="n"/>
      <c r="E116" s="46" t="n"/>
      <c r="F116" s="68" t="n"/>
      <c r="G116" s="47" t="n"/>
      <c r="H116" s="47" t="n"/>
      <c r="I116" s="47" t="n"/>
      <c r="J116" s="47" t="n"/>
      <c r="K116" s="46" t="n"/>
    </row>
    <row r="117" ht="21" customHeight="1">
      <c r="A117" s="256" t="inlineStr">
        <is>
          <t>Bridge read</t>
        </is>
      </c>
      <c r="B117" s="257" t="n"/>
      <c r="C117" s="46" t="n"/>
      <c r="D117" s="257" t="n"/>
      <c r="E117" s="46" t="n"/>
      <c r="F117" s="257" t="n"/>
      <c r="G117" s="47" t="n"/>
      <c r="H117" s="47" t="n"/>
      <c r="I117" s="47" t="n"/>
      <c r="J117" s="47" t="n"/>
      <c r="K117" s="46" t="n"/>
    </row>
    <row r="118" ht="21" customHeight="1"/>
    <row r="119" ht="21" customHeight="1">
      <c r="A119" s="254" t="inlineStr">
        <is>
          <t>EPS Bridge</t>
        </is>
      </c>
      <c r="B119" s="47" t="n"/>
      <c r="C119" s="47" t="n"/>
      <c r="D119" s="47" t="n"/>
      <c r="E119" s="47" t="n"/>
      <c r="F119" s="47" t="n"/>
      <c r="G119" s="47" t="n"/>
      <c r="H119" s="47" t="n"/>
      <c r="I119" s="47" t="n"/>
      <c r="J119" s="46" t="n"/>
    </row>
    <row r="120" ht="21" customHeight="1">
      <c r="A120" s="296" t="inlineStr">
        <is>
          <t>Bridge item</t>
        </is>
      </c>
      <c r="B120" s="259" t="n"/>
      <c r="C120" s="47" t="n"/>
      <c r="D120" s="47" t="n"/>
      <c r="E120" s="46" t="n"/>
      <c r="F120" s="259" t="n"/>
      <c r="G120" s="47" t="n"/>
      <c r="H120" s="47" t="n"/>
      <c r="I120" s="47" t="n"/>
      <c r="J120" s="46" t="n"/>
    </row>
    <row r="121" ht="21" customHeight="1">
      <c r="A121" s="52" t="n"/>
      <c r="B121" s="67" t="n"/>
      <c r="C121" s="47" t="n"/>
      <c r="D121" s="47" t="n"/>
      <c r="E121" s="46" t="n"/>
      <c r="F121" s="67" t="n"/>
      <c r="G121" s="47" t="n"/>
      <c r="H121" s="47" t="n"/>
      <c r="I121" s="47" t="n"/>
      <c r="J121" s="46" t="n"/>
    </row>
    <row r="122" ht="21" customHeight="1">
      <c r="A122" s="53" t="inlineStr">
        <is>
          <t>Sales growth</t>
        </is>
      </c>
      <c r="B122" s="68" t="n"/>
      <c r="C122" s="47" t="n"/>
      <c r="D122" s="47" t="n"/>
      <c r="E122" s="46" t="n"/>
      <c r="F122" s="68" t="n"/>
      <c r="G122" s="47" t="n"/>
      <c r="H122" s="47" t="n"/>
      <c r="I122" s="47" t="n"/>
      <c r="J122" s="46" t="n"/>
    </row>
    <row r="123" ht="21" customHeight="1">
      <c r="A123" s="52" t="n"/>
      <c r="B123" s="67" t="n"/>
      <c r="C123" s="47" t="n"/>
      <c r="D123" s="47" t="n"/>
      <c r="E123" s="46" t="n"/>
      <c r="F123" s="67" t="n"/>
      <c r="G123" s="47" t="n"/>
      <c r="H123" s="47" t="n"/>
      <c r="I123" s="47" t="n"/>
      <c r="J123" s="46" t="n"/>
    </row>
    <row r="124" ht="21" customHeight="1">
      <c r="A124" s="53" t="inlineStr">
        <is>
          <t>SG&amp;A leverage / deleverage</t>
        </is>
      </c>
      <c r="B124" s="68" t="n"/>
      <c r="C124" s="47" t="n"/>
      <c r="D124" s="47" t="n"/>
      <c r="E124" s="46" t="n"/>
      <c r="F124" s="68" t="n"/>
      <c r="G124" s="47" t="n"/>
      <c r="H124" s="47" t="n"/>
      <c r="I124" s="47" t="n"/>
      <c r="J124" s="46" t="n"/>
    </row>
    <row r="125" ht="21" customHeight="1">
      <c r="A125" s="52" t="inlineStr">
        <is>
          <t>Buyback / share count reduction</t>
        </is>
      </c>
      <c r="B125" s="67" t="n"/>
      <c r="C125" s="47" t="n"/>
      <c r="D125" s="47" t="n"/>
      <c r="E125" s="46" t="n"/>
      <c r="F125" s="67" t="n"/>
      <c r="G125" s="47" t="n"/>
      <c r="H125" s="47" t="n"/>
      <c r="I125" s="47" t="n"/>
      <c r="J125" s="46" t="n"/>
    </row>
    <row r="126" ht="21" customHeight="1">
      <c r="A126" s="53" t="inlineStr">
        <is>
          <t>Guided EPS</t>
        </is>
      </c>
      <c r="B126" s="68" t="n"/>
      <c r="C126" s="47" t="n"/>
      <c r="D126" s="47" t="n"/>
      <c r="E126" s="46" t="n"/>
      <c r="F126" s="68" t="n"/>
      <c r="G126" s="47" t="n"/>
      <c r="H126" s="47" t="n"/>
      <c r="I126" s="47" t="n"/>
      <c r="J126" s="46" t="n"/>
    </row>
    <row r="127" ht="21" customHeight="1"/>
    <row r="128" ht="21" customHeight="1">
      <c r="A128" s="254" t="inlineStr">
        <is>
          <t>Buybacks vs FCF</t>
        </is>
      </c>
      <c r="B128" s="47" t="n"/>
      <c r="C128" s="47" t="n"/>
      <c r="D128" s="47" t="n"/>
      <c r="E128" s="47" t="n"/>
      <c r="F128" s="47" t="n"/>
      <c r="G128" s="47" t="n"/>
      <c r="H128" s="47" t="n"/>
      <c r="I128" s="47" t="n"/>
      <c r="J128" s="46" t="n"/>
    </row>
    <row r="129" ht="21" customHeight="1">
      <c r="A129" s="296" t="inlineStr">
        <is>
          <t>Metric</t>
        </is>
      </c>
      <c r="B129" s="296" t="n"/>
      <c r="C129" s="259" t="n"/>
      <c r="D129" s="47" t="n"/>
      <c r="E129" s="47" t="n"/>
      <c r="F129" s="47" t="n"/>
      <c r="G129" s="47" t="n"/>
      <c r="H129" s="47" t="n"/>
      <c r="I129" s="47" t="n"/>
      <c r="J129" s="46" t="n"/>
    </row>
    <row r="130" ht="21" customHeight="1">
      <c r="A130" s="52" t="inlineStr">
        <is>
          <t>FCF TTM</t>
        </is>
      </c>
      <c r="B130" s="52" t="n"/>
      <c r="C130" s="67" t="n"/>
      <c r="D130" s="47" t="n"/>
      <c r="E130" s="47" t="n"/>
      <c r="F130" s="47" t="n"/>
      <c r="G130" s="47" t="n"/>
      <c r="H130" s="47" t="n"/>
      <c r="I130" s="47" t="n"/>
      <c r="J130" s="46" t="n"/>
    </row>
    <row r="131" ht="21" customHeight="1">
      <c r="A131" s="53" t="inlineStr">
        <is>
          <t>Buybacks</t>
        </is>
      </c>
      <c r="B131" s="53" t="n"/>
      <c r="C131" s="68" t="n"/>
      <c r="D131" s="47" t="n"/>
      <c r="E131" s="47" t="n"/>
      <c r="F131" s="47" t="n"/>
      <c r="G131" s="47" t="n"/>
      <c r="H131" s="47" t="n"/>
      <c r="I131" s="47" t="n"/>
      <c r="J131" s="46" t="n"/>
    </row>
    <row r="132" ht="21" customHeight="1">
      <c r="A132" s="52" t="inlineStr">
        <is>
          <t>Buybacks</t>
        </is>
      </c>
      <c r="B132" s="52" t="n"/>
      <c r="C132" s="67" t="n"/>
      <c r="D132" s="47" t="n"/>
      <c r="E132" s="47" t="n"/>
      <c r="F132" s="47" t="n"/>
      <c r="G132" s="47" t="n"/>
      <c r="H132" s="47" t="n"/>
      <c r="I132" s="47" t="n"/>
      <c r="J132" s="46" t="n"/>
    </row>
    <row r="133" ht="21" customHeight="1">
      <c r="A133" s="53" t="inlineStr">
        <is>
          <t>Shares repurchased</t>
        </is>
      </c>
      <c r="B133" s="53" t="n"/>
      <c r="C133" s="68" t="n"/>
      <c r="D133" s="47" t="n"/>
      <c r="E133" s="47" t="n"/>
      <c r="F133" s="47" t="n"/>
      <c r="G133" s="47" t="n"/>
      <c r="H133" s="47" t="n"/>
      <c r="I133" s="47" t="n"/>
      <c r="J133" s="46" t="n"/>
    </row>
    <row r="134" ht="21" customHeight="1">
      <c r="A134" s="52" t="inlineStr">
        <is>
          <t>Buyback spread vs FCF</t>
        </is>
      </c>
      <c r="B134" s="52" t="n"/>
      <c r="C134" s="67" t="n"/>
      <c r="D134" s="47" t="n"/>
      <c r="E134" s="47" t="n"/>
      <c r="F134" s="47" t="n"/>
      <c r="G134" s="47" t="n"/>
      <c r="H134" s="47" t="n"/>
      <c r="I134" s="47" t="n"/>
      <c r="J134" s="46" t="n"/>
    </row>
    <row r="135" ht="21" customHeight="1">
      <c r="A135" s="53" t="inlineStr">
        <is>
          <t>Net cash context</t>
        </is>
      </c>
      <c r="B135" s="53" t="n"/>
      <c r="C135" s="68" t="n"/>
      <c r="D135" s="47" t="n"/>
      <c r="E135" s="47" t="n"/>
      <c r="F135" s="47" t="n"/>
      <c r="G135" s="47" t="n"/>
      <c r="H135" s="47" t="n"/>
      <c r="I135" s="47" t="n"/>
      <c r="J135" s="46" t="n"/>
    </row>
    <row r="136" ht="21" customHeight="1">
      <c r="A136" s="256" t="inlineStr">
        <is>
          <t>Investment read</t>
        </is>
      </c>
      <c r="B136" s="256" t="n"/>
      <c r="C136" s="257" t="n"/>
      <c r="D136" s="47" t="n"/>
      <c r="E136" s="47" t="n"/>
      <c r="F136" s="47" t="n"/>
      <c r="G136" s="47" t="n"/>
      <c r="H136" s="47" t="n"/>
      <c r="I136" s="47" t="n"/>
      <c r="J136" s="46" t="n"/>
    </row>
    <row r="137" ht="21" customHeight="1"/>
    <row r="138" ht="21" customHeight="1">
      <c r="A138" s="254" t="inlineStr">
        <is>
          <t>Guidance to implied earnings</t>
        </is>
      </c>
      <c r="B138" s="47" t="n"/>
      <c r="C138" s="47" t="n"/>
      <c r="D138" s="47" t="n"/>
      <c r="E138" s="47" t="n"/>
      <c r="F138" s="47" t="n"/>
      <c r="G138" s="47" t="n"/>
      <c r="H138" s="47" t="n"/>
      <c r="I138" s="47" t="n"/>
      <c r="J138" s="46" t="n"/>
    </row>
    <row r="139" ht="21" customHeight="1">
      <c r="A139" s="296" t="inlineStr">
        <is>
          <t>Bridge line</t>
        </is>
      </c>
      <c r="B139" s="259" t="n"/>
      <c r="C139" s="46" t="n"/>
      <c r="D139" s="259" t="n"/>
      <c r="E139" s="47" t="n"/>
      <c r="F139" s="47" t="n"/>
      <c r="G139" s="47" t="n"/>
      <c r="H139" s="47" t="n"/>
      <c r="I139" s="47" t="n"/>
      <c r="J139" s="46" t="n"/>
    </row>
    <row r="140" ht="21" customHeight="1">
      <c r="A140" s="52" t="inlineStr">
        <is>
          <t>Revenue baseline</t>
        </is>
      </c>
      <c r="B140" s="67" t="n"/>
      <c r="C140" s="46" t="n"/>
      <c r="D140" s="67" t="n"/>
      <c r="E140" s="47" t="n"/>
      <c r="F140" s="47" t="n"/>
      <c r="G140" s="47" t="n"/>
      <c r="H140" s="47" t="n"/>
      <c r="I140" s="47" t="n"/>
      <c r="J140" s="46" t="n"/>
    </row>
    <row r="141" ht="21" customHeight="1">
      <c r="A141" s="53" t="inlineStr">
        <is>
          <t>Revenue growth guide</t>
        </is>
      </c>
      <c r="B141" s="68" t="n"/>
      <c r="C141" s="46" t="n"/>
      <c r="D141" s="68" t="n"/>
      <c r="E141" s="47" t="n"/>
      <c r="F141" s="47" t="n"/>
      <c r="G141" s="47" t="n"/>
      <c r="H141" s="47" t="n"/>
      <c r="I141" s="47" t="n"/>
      <c r="J141" s="46" t="n"/>
    </row>
    <row r="142" ht="21" customHeight="1">
      <c r="A142" s="52" t="inlineStr">
        <is>
          <t>Implied revenue</t>
        </is>
      </c>
      <c r="B142" s="67" t="n"/>
      <c r="C142" s="46" t="n"/>
      <c r="D142" s="67" t="n"/>
      <c r="E142" s="47" t="n"/>
      <c r="F142" s="47" t="n"/>
      <c r="G142" s="47" t="n"/>
      <c r="H142" s="47" t="n"/>
      <c r="I142" s="47" t="n"/>
      <c r="J142" s="46" t="n"/>
    </row>
    <row r="143" ht="21" customHeight="1">
      <c r="A143" s="53" t="inlineStr">
        <is>
          <t>Operating margin guide</t>
        </is>
      </c>
      <c r="B143" s="68" t="n"/>
      <c r="C143" s="46" t="n"/>
      <c r="D143" s="68" t="n"/>
      <c r="E143" s="47" t="n"/>
      <c r="F143" s="47" t="n"/>
      <c r="G143" s="47" t="n"/>
      <c r="H143" s="47" t="n"/>
      <c r="I143" s="47" t="n"/>
      <c r="J143" s="46" t="n"/>
    </row>
    <row r="144" ht="21" customHeight="1">
      <c r="A144" s="52" t="inlineStr">
        <is>
          <t>Implied EBIT</t>
        </is>
      </c>
      <c r="B144" s="67" t="n"/>
      <c r="C144" s="46" t="n"/>
      <c r="D144" s="67" t="n"/>
      <c r="E144" s="47" t="n"/>
      <c r="F144" s="47" t="n"/>
      <c r="G144" s="47" t="n"/>
      <c r="H144" s="47" t="n"/>
      <c r="I144" s="47" t="n"/>
      <c r="J144" s="46" t="n"/>
    </row>
    <row r="145" ht="21" customHeight="1">
      <c r="A145" s="53" t="inlineStr">
        <is>
          <t>Tax / interest assumptions</t>
        </is>
      </c>
      <c r="B145" s="68" t="n"/>
      <c r="C145" s="46" t="n"/>
      <c r="D145" s="68" t="n"/>
      <c r="E145" s="47" t="n"/>
      <c r="F145" s="47" t="n"/>
      <c r="G145" s="47" t="n"/>
      <c r="H145" s="47" t="n"/>
      <c r="I145" s="47" t="n"/>
      <c r="J145" s="46" t="n"/>
    </row>
    <row r="146" ht="21" customHeight="1">
      <c r="A146" s="52" t="inlineStr">
        <is>
          <t>Diluted shares guide</t>
        </is>
      </c>
      <c r="B146" s="67" t="n"/>
      <c r="C146" s="46" t="n"/>
      <c r="D146" s="67" t="n"/>
      <c r="E146" s="47" t="n"/>
      <c r="F146" s="47" t="n"/>
      <c r="G146" s="47" t="n"/>
      <c r="H146" s="47" t="n"/>
      <c r="I146" s="47" t="n"/>
      <c r="J146" s="46" t="n"/>
    </row>
    <row r="147" ht="21" customHeight="1">
      <c r="A147" s="53" t="inlineStr">
        <is>
          <t>Implied EPS low/high</t>
        </is>
      </c>
      <c r="B147" s="68" t="n"/>
      <c r="C147" s="46" t="n"/>
      <c r="D147" s="68" t="n"/>
      <c r="E147" s="47" t="n"/>
      <c r="F147" s="47" t="n"/>
      <c r="G147" s="47" t="n"/>
      <c r="H147" s="47" t="n"/>
      <c r="I147" s="47" t="n"/>
      <c r="J147" s="46" t="n"/>
    </row>
    <row r="148" ht="21" customHeight="1">
      <c r="A148" s="52" t="inlineStr">
        <is>
          <t>Company EPS guide</t>
        </is>
      </c>
      <c r="B148" s="67" t="n"/>
      <c r="C148" s="46" t="n"/>
      <c r="D148" s="67" t="n"/>
      <c r="E148" s="47" t="n"/>
      <c r="F148" s="47" t="n"/>
      <c r="G148" s="47" t="n"/>
      <c r="H148" s="47" t="n"/>
      <c r="I148" s="47" t="n"/>
      <c r="J148" s="46" t="n"/>
    </row>
    <row r="149" ht="21" customHeight="1">
      <c r="A149" s="53" t="inlineStr">
        <is>
          <t>Model vs guide check</t>
        </is>
      </c>
      <c r="B149" s="68" t="n"/>
      <c r="C149" s="46" t="n"/>
      <c r="D149" s="68" t="n"/>
      <c r="E149" s="47" t="n"/>
      <c r="F149" s="47" t="n"/>
      <c r="G149" s="47" t="n"/>
      <c r="H149" s="47" t="n"/>
      <c r="I149" s="47" t="n"/>
      <c r="J149" s="46" t="n"/>
    </row>
    <row r="150" ht="21" customHeight="1"/>
    <row r="151" ht="21" customHeight="1">
      <c r="A151" s="254" t="inlineStr">
        <is>
          <t>What Moves EPS</t>
        </is>
      </c>
      <c r="B151" s="47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6" t="n"/>
    </row>
    <row r="152" ht="21" customHeight="1">
      <c r="A152" s="296" t="inlineStr">
        <is>
          <t>Sensitivity</t>
        </is>
      </c>
      <c r="B152" s="259" t="n"/>
      <c r="C152" s="47" t="n"/>
      <c r="D152" s="47" t="n"/>
      <c r="E152" s="46" t="n"/>
      <c r="F152" s="259" t="n"/>
      <c r="G152" s="47" t="n"/>
      <c r="H152" s="47" t="n"/>
      <c r="I152" s="47" t="n"/>
      <c r="J152" s="47" t="n"/>
      <c r="K152" s="46" t="n"/>
    </row>
    <row r="153" ht="21" customHeight="1">
      <c r="A153" s="52" t="n"/>
      <c r="B153" s="67" t="n"/>
      <c r="C153" s="47" t="n"/>
      <c r="D153" s="47" t="n"/>
      <c r="E153" s="46" t="n"/>
      <c r="F153" s="67" t="n"/>
      <c r="G153" s="47" t="n"/>
      <c r="H153" s="47" t="n"/>
      <c r="I153" s="47" t="n"/>
      <c r="J153" s="47" t="n"/>
      <c r="K153" s="46" t="n"/>
    </row>
    <row r="154" ht="21" customHeight="1">
      <c r="A154" s="53" t="n"/>
      <c r="B154" s="68" t="n"/>
      <c r="C154" s="47" t="n"/>
      <c r="D154" s="47" t="n"/>
      <c r="E154" s="46" t="n"/>
      <c r="F154" s="68" t="n"/>
      <c r="G154" s="47" t="n"/>
      <c r="H154" s="47" t="n"/>
      <c r="I154" s="47" t="n"/>
      <c r="J154" s="47" t="n"/>
      <c r="K154" s="46" t="n"/>
    </row>
    <row r="155" ht="21" customHeight="1">
      <c r="A155" s="52" t="n"/>
      <c r="B155" s="67" t="n"/>
      <c r="C155" s="47" t="n"/>
      <c r="D155" s="47" t="n"/>
      <c r="E155" s="46" t="n"/>
      <c r="F155" s="67" t="n"/>
      <c r="G155" s="47" t="n"/>
      <c r="H155" s="47" t="n"/>
      <c r="I155" s="47" t="n"/>
      <c r="J155" s="47" t="n"/>
      <c r="K155" s="46" t="n"/>
    </row>
    <row r="156" ht="21" customHeight="1">
      <c r="A156" s="53" t="n"/>
      <c r="B156" s="68" t="n"/>
      <c r="C156" s="47" t="n"/>
      <c r="D156" s="47" t="n"/>
      <c r="E156" s="46" t="n"/>
      <c r="F156" s="68" t="n"/>
      <c r="G156" s="47" t="n"/>
      <c r="H156" s="47" t="n"/>
      <c r="I156" s="47" t="n"/>
      <c r="J156" s="47" t="n"/>
      <c r="K156" s="46" t="n"/>
    </row>
    <row r="157" ht="21" customHeight="1">
      <c r="A157" s="52" t="n"/>
      <c r="B157" s="67" t="n"/>
      <c r="C157" s="47" t="n"/>
      <c r="D157" s="47" t="n"/>
      <c r="E157" s="46" t="n"/>
      <c r="F157" s="67" t="n"/>
      <c r="G157" s="47" t="n"/>
      <c r="H157" s="47" t="n"/>
      <c r="I157" s="47" t="n"/>
      <c r="J157" s="47" t="n"/>
      <c r="K157" s="46" t="n"/>
    </row>
    <row r="158" ht="21" customHeight="1"/>
    <row r="159" ht="21" customHeight="1">
      <c r="A159" s="254" t="inlineStr">
        <is>
          <t>Valuation Sensitivity</t>
        </is>
      </c>
      <c r="B159" s="47" t="n"/>
      <c r="C159" s="47" t="n"/>
      <c r="D159" s="47" t="n"/>
      <c r="E159" s="47" t="n"/>
      <c r="F159" s="47" t="n"/>
      <c r="G159" s="47" t="n"/>
      <c r="H159" s="47" t="n"/>
      <c r="I159" s="47" t="n"/>
      <c r="J159" s="46" t="n"/>
    </row>
    <row r="160" ht="21" customHeight="1">
      <c r="A160" s="296" t="inlineStr">
        <is>
          <t>EPS</t>
        </is>
      </c>
      <c r="B160" s="296" t="n"/>
      <c r="C160" s="296" t="n"/>
      <c r="D160" s="296" t="n"/>
      <c r="E160" s="296" t="n"/>
      <c r="F160" s="296" t="n"/>
      <c r="G160" s="296" t="n"/>
      <c r="H160" s="296" t="n"/>
      <c r="I160" s="296" t="n"/>
      <c r="J160" s="296" t="n"/>
    </row>
    <row r="161" ht="21" customHeight="1">
      <c r="A161" s="353">
        <f>IFERROR(IF($F$56="","",$F$56*0.9),"")</f>
        <v/>
      </c>
      <c r="B161" s="353" t="n"/>
      <c r="C161" s="353" t="n"/>
      <c r="D161" s="353" t="n"/>
      <c r="E161" s="353" t="n"/>
      <c r="F161" s="52" t="n"/>
      <c r="G161" s="52" t="n"/>
      <c r="H161" s="52" t="n"/>
      <c r="I161" s="52" t="n"/>
      <c r="J161" s="52" t="n"/>
    </row>
    <row r="162" ht="21" customHeight="1">
      <c r="A162" s="358">
        <f>IFERROR(IF($F$56="","",$F$56*1.0),"")</f>
        <v/>
      </c>
      <c r="B162" s="358" t="n"/>
      <c r="C162" s="358" t="n"/>
      <c r="D162" s="358" t="n"/>
      <c r="E162" s="358" t="n"/>
      <c r="F162" s="53" t="n"/>
      <c r="G162" s="53" t="n"/>
      <c r="H162" s="53" t="n"/>
      <c r="I162" s="53" t="n"/>
      <c r="J162" s="53" t="n"/>
    </row>
    <row r="163" ht="21" customHeight="1">
      <c r="A163" s="353">
        <f>IFERROR(IF($F$56="","",$F$56*1.1),"")</f>
        <v/>
      </c>
      <c r="B163" s="353" t="n"/>
      <c r="C163" s="353" t="n"/>
      <c r="D163" s="353" t="n"/>
      <c r="E163" s="353" t="n"/>
      <c r="F163" s="52" t="n"/>
      <c r="G163" s="52" t="n"/>
      <c r="H163" s="52" t="n"/>
      <c r="I163" s="52" t="n"/>
      <c r="J163" s="52" t="n"/>
    </row>
    <row r="164" ht="21" customHeight="1"/>
    <row r="165" ht="21" customHeight="1">
      <c r="A165" s="296" t="inlineStr">
        <is>
          <t>Scenario</t>
        </is>
      </c>
      <c r="B165" s="296" t="n"/>
      <c r="C165" s="296" t="n"/>
      <c r="D165" s="296" t="n"/>
      <c r="E165" s="296" t="n"/>
      <c r="F165" s="296" t="n"/>
      <c r="G165" s="296" t="n"/>
      <c r="H165" s="296" t="n"/>
      <c r="I165" s="296" t="n"/>
      <c r="J165" s="296" t="n"/>
    </row>
    <row r="166" ht="21" customHeight="1">
      <c r="A166" s="52" t="inlineStr">
        <is>
          <t>Bear</t>
        </is>
      </c>
      <c r="B166" s="353" t="n"/>
      <c r="C166" s="411" t="n"/>
      <c r="D166" s="353" t="n"/>
      <c r="E166" s="52" t="n"/>
      <c r="F166" s="52" t="n"/>
      <c r="G166" s="52" t="n"/>
      <c r="H166" s="52" t="n"/>
      <c r="I166" s="52" t="n"/>
      <c r="J166" s="52" t="n"/>
    </row>
    <row r="167" ht="21" customHeight="1">
      <c r="A167" s="53" t="inlineStr">
        <is>
          <t>Base</t>
        </is>
      </c>
      <c r="B167" s="358" t="n"/>
      <c r="C167" s="413" t="n"/>
      <c r="D167" s="358" t="n"/>
      <c r="E167" s="53" t="n"/>
      <c r="F167" s="53" t="n"/>
      <c r="G167" s="53" t="n"/>
      <c r="H167" s="53" t="n"/>
      <c r="I167" s="53" t="n"/>
      <c r="J167" s="53" t="n"/>
    </row>
    <row r="168" ht="21" customHeight="1">
      <c r="A168" s="52" t="inlineStr">
        <is>
          <t>Bull</t>
        </is>
      </c>
      <c r="B168" s="353" t="n"/>
      <c r="C168" s="411" t="n"/>
      <c r="D168" s="353" t="n"/>
      <c r="E168" s="52" t="n"/>
      <c r="F168" s="52" t="n"/>
      <c r="G168" s="52" t="n"/>
      <c r="H168" s="52" t="n"/>
      <c r="I168" s="52" t="n"/>
      <c r="J168" s="52" t="n"/>
    </row>
    <row r="169" ht="21" customHeight="1"/>
    <row r="170" ht="21" customHeight="1">
      <c r="A170" s="254" t="inlineStr">
        <is>
          <t>Adj EBITDA x EV/EBITDA</t>
        </is>
      </c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6" t="n"/>
    </row>
    <row r="171" ht="21" customHeight="1">
      <c r="A171" s="296" t="inlineStr">
        <is>
          <t>Multiple</t>
        </is>
      </c>
      <c r="B171" s="296" t="n"/>
      <c r="C171" s="296" t="n"/>
      <c r="D171" s="296" t="n"/>
      <c r="E171" s="259" t="n"/>
      <c r="F171" s="47" t="n"/>
      <c r="G171" s="47" t="n"/>
      <c r="H171" s="47" t="n"/>
      <c r="I171" s="47" t="n"/>
      <c r="J171" s="46" t="n"/>
    </row>
    <row r="172" ht="21" customHeight="1">
      <c r="A172" s="411">
        <f>IFERROR(MAX(0,$G$24+-2.0),"")</f>
        <v/>
      </c>
      <c r="B172" s="351" t="n"/>
      <c r="C172" s="351" t="n"/>
      <c r="D172" s="353" t="n"/>
      <c r="E172" s="67" t="n"/>
      <c r="F172" s="47" t="n"/>
      <c r="G172" s="47" t="n"/>
      <c r="H172" s="47" t="n"/>
      <c r="I172" s="47" t="n"/>
      <c r="J172" s="46" t="n"/>
    </row>
    <row r="173" ht="21" customHeight="1">
      <c r="A173" s="413">
        <f>IFERROR(MAX(0,$G$24+0.0),"")</f>
        <v/>
      </c>
      <c r="B173" s="352" t="n"/>
      <c r="C173" s="352" t="n"/>
      <c r="D173" s="358" t="n"/>
      <c r="E173" s="68" t="n"/>
      <c r="F173" s="47" t="n"/>
      <c r="G173" s="47" t="n"/>
      <c r="H173" s="47" t="n"/>
      <c r="I173" s="47" t="n"/>
      <c r="J173" s="46" t="n"/>
    </row>
    <row r="174" ht="21" customHeight="1">
      <c r="A174" s="411">
        <f>IFERROR(MAX(0,$G$24+2.0),"")</f>
        <v/>
      </c>
      <c r="B174" s="351" t="n"/>
      <c r="C174" s="351" t="n"/>
      <c r="D174" s="353" t="n"/>
      <c r="E174" s="67" t="n"/>
      <c r="F174" s="47" t="n"/>
      <c r="G174" s="47" t="n"/>
      <c r="H174" s="47" t="n"/>
      <c r="I174" s="47" t="n"/>
      <c r="J174" s="46" t="n"/>
    </row>
    <row r="175" ht="21" customHeight="1"/>
    <row r="176" ht="21" customHeight="1">
      <c r="A176" s="254" t="inlineStr">
        <is>
          <t>FCF Yield Implied Equity Value</t>
        </is>
      </c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6" t="n"/>
    </row>
    <row r="177" ht="21" customHeight="1">
      <c r="A177" s="296" t="inlineStr">
        <is>
          <t>Yield</t>
        </is>
      </c>
      <c r="B177" s="296" t="n"/>
      <c r="C177" s="296" t="n"/>
      <c r="D177" s="259" t="n"/>
      <c r="E177" s="47" t="n"/>
      <c r="F177" s="47" t="n"/>
      <c r="G177" s="47" t="n"/>
      <c r="H177" s="47" t="n"/>
      <c r="I177" s="47" t="n"/>
      <c r="J177" s="46" t="n"/>
    </row>
    <row r="178" ht="21" customHeight="1">
      <c r="A178" s="268">
        <f>IFERROR((IF($G$25&gt;1,$G$25/100,$G$25))*0.8,"")</f>
        <v/>
      </c>
      <c r="B178" s="351" t="n"/>
      <c r="C178" s="353" t="n"/>
      <c r="D178" s="67" t="n"/>
      <c r="E178" s="47" t="n"/>
      <c r="F178" s="47" t="n"/>
      <c r="G178" s="47" t="n"/>
      <c r="H178" s="47" t="n"/>
      <c r="I178" s="47" t="n"/>
      <c r="J178" s="46" t="n"/>
    </row>
    <row r="179" ht="21" customHeight="1">
      <c r="A179" s="270">
        <f>IFERROR((IF($G$25&gt;1,$G$25/100,$G$25))*1.0,"")</f>
        <v/>
      </c>
      <c r="B179" s="352" t="n"/>
      <c r="C179" s="358" t="n"/>
      <c r="D179" s="68" t="n"/>
      <c r="E179" s="47" t="n"/>
      <c r="F179" s="47" t="n"/>
      <c r="G179" s="47" t="n"/>
      <c r="H179" s="47" t="n"/>
      <c r="I179" s="47" t="n"/>
      <c r="J179" s="46" t="n"/>
    </row>
    <row r="180" ht="21" customHeight="1">
      <c r="A180" s="268">
        <f>IFERROR((IF($G$25&gt;1,$G$25/100,$G$25))*1.2,"")</f>
        <v/>
      </c>
      <c r="B180" s="351" t="n"/>
      <c r="C180" s="353" t="n"/>
      <c r="D180" s="67" t="n"/>
      <c r="E180" s="47" t="n"/>
      <c r="F180" s="47" t="n"/>
      <c r="G180" s="47" t="n"/>
      <c r="H180" s="47" t="n"/>
      <c r="I180" s="47" t="n"/>
      <c r="J180" s="46" t="n"/>
    </row>
    <row r="181" ht="21" customHeight="1"/>
    <row r="182" ht="21" customHeight="1">
      <c r="A182" s="254" t="inlineStr">
        <is>
          <t>Comp Stack / Lapping Risk</t>
        </is>
      </c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6" t="n"/>
    </row>
    <row r="183" ht="21" customHeight="1">
      <c r="A183" s="296" t="inlineStr">
        <is>
          <t>Quarter</t>
        </is>
      </c>
      <c r="B183" s="296" t="n"/>
      <c r="C183" s="296" t="n"/>
      <c r="D183" s="296" t="n"/>
      <c r="E183" s="296" t="n"/>
      <c r="F183" s="296" t="n"/>
      <c r="G183" s="296" t="n"/>
      <c r="H183" s="296" t="n"/>
      <c r="I183" s="259" t="n"/>
      <c r="J183" s="47" t="n"/>
      <c r="K183" s="46" t="n"/>
    </row>
    <row r="184" ht="21" customHeight="1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67" t="n"/>
      <c r="J184" s="47" t="n"/>
      <c r="K184" s="46" t="n"/>
    </row>
    <row r="185" ht="21" customHeight="1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68" t="n"/>
      <c r="J185" s="47" t="n"/>
      <c r="K185" s="46" t="n"/>
    </row>
    <row r="186" ht="21" customHeight="1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67" t="n"/>
      <c r="J186" s="47" t="n"/>
      <c r="K186" s="46" t="n"/>
    </row>
    <row r="187" ht="21" customHeight="1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68" t="n"/>
      <c r="J187" s="47" t="n"/>
      <c r="K187" s="46" t="n"/>
    </row>
    <row r="188" ht="21" customHeight="1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67" t="n"/>
      <c r="J188" s="47" t="n"/>
      <c r="K188" s="46" t="n"/>
    </row>
    <row r="189" ht="21" customHeight="1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68" t="n"/>
      <c r="J189" s="47" t="n"/>
      <c r="K189" s="46" t="n"/>
    </row>
    <row r="190" ht="21" customHeight="1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67" t="n"/>
      <c r="J190" s="47" t="n"/>
      <c r="K190" s="46" t="n"/>
    </row>
    <row r="191" ht="21" customHeight="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68" t="n"/>
      <c r="J191" s="47" t="n"/>
      <c r="K191" s="46" t="n"/>
    </row>
    <row r="192" ht="21" customHeight="1"/>
    <row r="193" ht="21" customHeight="1">
      <c r="A193" s="254" t="inlineStr">
        <is>
          <t>Business Health</t>
        </is>
      </c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6" t="n"/>
    </row>
    <row r="194" ht="21" customHeight="1">
      <c r="A194" s="296" t="inlineStr">
        <is>
          <t>Metric</t>
        </is>
      </c>
      <c r="B194" s="296" t="n"/>
      <c r="C194" s="296" t="n"/>
      <c r="D194" s="296" t="n"/>
      <c r="E194" s="296" t="n"/>
      <c r="F194" s="296" t="n"/>
      <c r="G194" s="296" t="n"/>
      <c r="H194" s="296" t="n"/>
      <c r="I194" s="296" t="n"/>
      <c r="J194" s="296" t="n"/>
    </row>
    <row r="195" ht="21" customHeight="1">
      <c r="A195" s="52" t="inlineStr">
        <is>
          <t>Sales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</row>
    <row r="196" ht="21" customHeight="1">
      <c r="A196" s="53" t="inlineStr">
        <is>
          <t>Sales growth</t>
        </is>
      </c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</row>
    <row r="197" ht="21" customHeight="1">
      <c r="A197" s="52" t="inlineStr">
        <is>
          <t>Current-period sales growth</t>
        </is>
      </c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</row>
    <row r="198" ht="21" customHeight="1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</row>
    <row r="199" ht="21" customHeight="1">
      <c r="A199" s="256" t="inlineStr">
        <is>
          <t>Interpretation</t>
        </is>
      </c>
      <c r="B199" s="257" t="n"/>
      <c r="C199" s="47" t="n"/>
      <c r="D199" s="47" t="n"/>
      <c r="E199" s="47" t="n"/>
      <c r="F199" s="47" t="n"/>
      <c r="G199" s="47" t="n"/>
      <c r="H199" s="47" t="n"/>
      <c r="I199" s="47" t="n"/>
      <c r="J199" s="46" t="n"/>
    </row>
    <row r="200" ht="21" customHeight="1"/>
    <row r="201" ht="21" customHeight="1">
      <c r="A201" s="254" t="inlineStr">
        <is>
          <t>Inventory / Working-Capital Risk</t>
        </is>
      </c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6" t="n"/>
    </row>
    <row r="202" ht="21" customHeight="1">
      <c r="A202" s="296" t="inlineStr">
        <is>
          <t>Metric</t>
        </is>
      </c>
      <c r="B202" s="296" t="n"/>
      <c r="C202" s="259" t="n"/>
      <c r="D202" s="47" t="n"/>
      <c r="E202" s="47" t="n"/>
      <c r="F202" s="47" t="n"/>
      <c r="G202" s="47" t="n"/>
      <c r="H202" s="47" t="n"/>
      <c r="I202" s="47" t="n"/>
      <c r="J202" s="46" t="n"/>
    </row>
    <row r="203" ht="21" customHeight="1">
      <c r="A203" s="52" t="inlineStr">
        <is>
          <t>Inventory growth</t>
        </is>
      </c>
      <c r="B203" s="52" t="n"/>
      <c r="C203" s="67" t="n"/>
      <c r="D203" s="47" t="n"/>
      <c r="E203" s="47" t="n"/>
      <c r="F203" s="47" t="n"/>
      <c r="G203" s="47" t="n"/>
      <c r="H203" s="47" t="n"/>
      <c r="I203" s="47" t="n"/>
      <c r="J203" s="46" t="n"/>
    </row>
    <row r="204" ht="21" customHeight="1">
      <c r="A204" s="53" t="inlineStr">
        <is>
          <t>Sales growth</t>
        </is>
      </c>
      <c r="B204" s="53" t="n"/>
      <c r="C204" s="68" t="n"/>
      <c r="D204" s="47" t="n"/>
      <c r="E204" s="47" t="n"/>
      <c r="F204" s="47" t="n"/>
      <c r="G204" s="47" t="n"/>
      <c r="H204" s="47" t="n"/>
      <c r="I204" s="47" t="n"/>
      <c r="J204" s="46" t="n"/>
    </row>
    <row r="205" ht="21" customHeight="1">
      <c r="A205" s="52" t="n"/>
      <c r="B205" s="52" t="n"/>
      <c r="C205" s="67" t="n"/>
      <c r="D205" s="47" t="n"/>
      <c r="E205" s="47" t="n"/>
      <c r="F205" s="47" t="n"/>
      <c r="G205" s="47" t="n"/>
      <c r="H205" s="47" t="n"/>
      <c r="I205" s="47" t="n"/>
      <c r="J205" s="46" t="n"/>
    </row>
    <row r="206" ht="21" customHeight="1">
      <c r="A206" s="53" t="inlineStr">
        <is>
          <t>Inventory unit growth</t>
        </is>
      </c>
      <c r="B206" s="53" t="n"/>
      <c r="C206" s="68" t="n"/>
      <c r="D206" s="47" t="n"/>
      <c r="E206" s="47" t="n"/>
      <c r="F206" s="47" t="n"/>
      <c r="G206" s="47" t="n"/>
      <c r="H206" s="47" t="n"/>
      <c r="I206" s="47" t="n"/>
      <c r="J206" s="46" t="n"/>
    </row>
    <row r="207" ht="21" customHeight="1">
      <c r="A207" s="52" t="n"/>
      <c r="B207" s="52" t="n"/>
      <c r="C207" s="67" t="n"/>
      <c r="D207" s="47" t="n"/>
      <c r="E207" s="47" t="n"/>
      <c r="F207" s="47" t="n"/>
      <c r="G207" s="47" t="n"/>
      <c r="H207" s="47" t="n"/>
      <c r="I207" s="47" t="n"/>
      <c r="J207" s="46" t="n"/>
    </row>
    <row r="208" ht="21" customHeight="1">
      <c r="A208" s="53" t="n"/>
      <c r="B208" s="53" t="n"/>
      <c r="C208" s="68" t="n"/>
      <c r="D208" s="47" t="n"/>
      <c r="E208" s="47" t="n"/>
      <c r="F208" s="47" t="n"/>
      <c r="G208" s="47" t="n"/>
      <c r="H208" s="47" t="n"/>
      <c r="I208" s="47" t="n"/>
      <c r="J208" s="46" t="n"/>
    </row>
    <row r="209" ht="21" customHeight="1">
      <c r="A209" s="256" t="inlineStr">
        <is>
          <t>Conclusion</t>
        </is>
      </c>
      <c r="B209" s="257" t="n"/>
      <c r="C209" s="47" t="n"/>
      <c r="D209" s="47" t="n"/>
      <c r="E209" s="47" t="n"/>
      <c r="F209" s="47" t="n"/>
      <c r="G209" s="47" t="n"/>
      <c r="H209" s="47" t="n"/>
      <c r="I209" s="47" t="n"/>
      <c r="J209" s="46" t="n"/>
    </row>
    <row r="210" ht="21" customHeight="1"/>
    <row r="211" ht="21" customHeight="1">
      <c r="A211" s="254" t="inlineStr">
        <is>
          <t>Asset Productivity / Capacity Returns</t>
        </is>
      </c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6" t="n"/>
    </row>
    <row r="212" ht="21" customHeight="1">
      <c r="A212" s="296" t="inlineStr">
        <is>
          <t>Metric</t>
        </is>
      </c>
      <c r="B212" s="259" t="n"/>
      <c r="C212" s="47" t="n"/>
      <c r="D212" s="47" t="n"/>
      <c r="E212" s="46" t="n"/>
      <c r="F212" s="259" t="n"/>
      <c r="G212" s="47" t="n"/>
      <c r="H212" s="47" t="n"/>
      <c r="I212" s="47" t="n"/>
      <c r="J212" s="46" t="n"/>
    </row>
    <row r="213" ht="21" customHeight="1">
      <c r="A213" s="52" t="n"/>
      <c r="B213" s="67" t="n"/>
      <c r="C213" s="47" t="n"/>
      <c r="D213" s="47" t="n"/>
      <c r="E213" s="46" t="n"/>
      <c r="F213" s="67" t="n"/>
      <c r="G213" s="47" t="n"/>
      <c r="H213" s="47" t="n"/>
      <c r="I213" s="47" t="n"/>
      <c r="J213" s="46" t="n"/>
    </row>
    <row r="214" ht="21" customHeight="1">
      <c r="A214" s="53" t="n"/>
      <c r="B214" s="68" t="n"/>
      <c r="C214" s="47" t="n"/>
      <c r="D214" s="47" t="n"/>
      <c r="E214" s="46" t="n"/>
      <c r="F214" s="68" t="n"/>
      <c r="G214" s="47" t="n"/>
      <c r="H214" s="47" t="n"/>
      <c r="I214" s="47" t="n"/>
      <c r="J214" s="46" t="n"/>
    </row>
    <row r="215" ht="21" customHeight="1">
      <c r="A215" s="52" t="n"/>
      <c r="B215" s="67" t="n"/>
      <c r="C215" s="47" t="n"/>
      <c r="D215" s="47" t="n"/>
      <c r="E215" s="46" t="n"/>
      <c r="F215" s="67" t="n"/>
      <c r="G215" s="47" t="n"/>
      <c r="H215" s="47" t="n"/>
      <c r="I215" s="47" t="n"/>
      <c r="J215" s="46" t="n"/>
    </row>
    <row r="216" ht="21" customHeight="1">
      <c r="A216" s="53" t="n"/>
      <c r="B216" s="68" t="n"/>
      <c r="C216" s="47" t="n"/>
      <c r="D216" s="47" t="n"/>
      <c r="E216" s="46" t="n"/>
      <c r="F216" s="68" t="n"/>
      <c r="G216" s="47" t="n"/>
      <c r="H216" s="47" t="n"/>
      <c r="I216" s="47" t="n"/>
      <c r="J216" s="46" t="n"/>
    </row>
    <row r="217" ht="21" customHeight="1">
      <c r="A217" s="52" t="n"/>
      <c r="B217" s="67" t="n"/>
      <c r="C217" s="47" t="n"/>
      <c r="D217" s="47" t="n"/>
      <c r="E217" s="46" t="n"/>
      <c r="F217" s="67" t="n"/>
      <c r="G217" s="47" t="n"/>
      <c r="H217" s="47" t="n"/>
      <c r="I217" s="47" t="n"/>
      <c r="J217" s="46" t="n"/>
    </row>
    <row r="218" ht="21" customHeight="1">
      <c r="A218" s="53" t="n"/>
      <c r="B218" s="68" t="n"/>
      <c r="C218" s="47" t="n"/>
      <c r="D218" s="47" t="n"/>
      <c r="E218" s="46" t="n"/>
      <c r="F218" s="68" t="n"/>
      <c r="G218" s="47" t="n"/>
      <c r="H218" s="47" t="n"/>
      <c r="I218" s="47" t="n"/>
      <c r="J218" s="46" t="n"/>
    </row>
    <row r="219" ht="21" customHeight="1">
      <c r="A219" s="52" t="n"/>
      <c r="B219" s="67" t="n"/>
      <c r="C219" s="47" t="n"/>
      <c r="D219" s="47" t="n"/>
      <c r="E219" s="46" t="n"/>
      <c r="F219" s="67" t="n"/>
      <c r="G219" s="47" t="n"/>
      <c r="H219" s="47" t="n"/>
      <c r="I219" s="47" t="n"/>
      <c r="J219" s="46" t="n"/>
    </row>
    <row r="220" ht="21" customHeight="1">
      <c r="A220" s="53" t="n"/>
      <c r="B220" s="68" t="n"/>
      <c r="C220" s="47" t="n"/>
      <c r="D220" s="47" t="n"/>
      <c r="E220" s="46" t="n"/>
      <c r="F220" s="68" t="n"/>
      <c r="G220" s="47" t="n"/>
      <c r="H220" s="47" t="n"/>
      <c r="I220" s="47" t="n"/>
      <c r="J220" s="46" t="n"/>
    </row>
    <row r="221" ht="21" customHeight="1">
      <c r="A221" s="52" t="n"/>
      <c r="B221" s="67" t="n"/>
      <c r="C221" s="47" t="n"/>
      <c r="D221" s="47" t="n"/>
      <c r="E221" s="46" t="n"/>
      <c r="F221" s="67" t="n"/>
      <c r="G221" s="47" t="n"/>
      <c r="H221" s="47" t="n"/>
      <c r="I221" s="47" t="n"/>
      <c r="J221" s="46" t="n"/>
    </row>
    <row r="222" ht="21" customHeight="1">
      <c r="A222" s="53" t="inlineStr">
        <is>
          <t>Method note</t>
        </is>
      </c>
      <c r="B222" s="68" t="n"/>
      <c r="C222" s="47" t="n"/>
      <c r="D222" s="47" t="n"/>
      <c r="E222" s="46" t="n"/>
      <c r="F222" s="68" t="n"/>
      <c r="G222" s="47" t="n"/>
      <c r="H222" s="47" t="n"/>
      <c r="I222" s="47" t="n"/>
      <c r="J222" s="46" t="n"/>
    </row>
    <row r="223" ht="21" customHeight="1">
      <c r="A223" s="52" t="n"/>
      <c r="B223" s="67" t="n"/>
      <c r="C223" s="47" t="n"/>
      <c r="D223" s="47" t="n"/>
      <c r="E223" s="46" t="n"/>
      <c r="F223" s="67" t="n"/>
      <c r="G223" s="47" t="n"/>
      <c r="H223" s="47" t="n"/>
      <c r="I223" s="47" t="n"/>
      <c r="J223" s="46" t="n"/>
    </row>
    <row r="224" ht="21" customHeight="1">
      <c r="A224" s="53" t="inlineStr">
        <is>
          <t>Revenue growth vs asset growth</t>
        </is>
      </c>
      <c r="B224" s="68" t="n"/>
      <c r="C224" s="47" t="n"/>
      <c r="D224" s="47" t="n"/>
      <c r="E224" s="46" t="n"/>
      <c r="F224" s="68" t="n"/>
      <c r="G224" s="47" t="n"/>
      <c r="H224" s="47" t="n"/>
      <c r="I224" s="47" t="n"/>
      <c r="J224" s="46" t="n"/>
    </row>
    <row r="225" ht="21" customHeight="1">
      <c r="A225" s="52" t="n"/>
      <c r="B225" s="67" t="n"/>
      <c r="C225" s="47" t="n"/>
      <c r="D225" s="47" t="n"/>
      <c r="E225" s="46" t="n"/>
      <c r="F225" s="67" t="n"/>
      <c r="G225" s="47" t="n"/>
      <c r="H225" s="47" t="n"/>
      <c r="I225" s="47" t="n"/>
      <c r="J225" s="46" t="n"/>
    </row>
    <row r="226" ht="21" customHeight="1"/>
    <row r="227" ht="21" customHeight="1">
      <c r="A227" s="254" t="inlineStr">
        <is>
          <t>Guidance Beat/Miss Setup</t>
        </is>
      </c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6" t="n"/>
    </row>
    <row r="228" ht="21" customHeight="1">
      <c r="A228" s="296" t="inlineStr">
        <is>
          <t>Metric</t>
        </is>
      </c>
      <c r="B228" s="259" t="n"/>
      <c r="C228" s="46" t="n"/>
      <c r="D228" s="259" t="n"/>
      <c r="E228" s="47" t="n"/>
      <c r="F228" s="47" t="n"/>
      <c r="G228" s="46" t="n"/>
      <c r="H228" s="259" t="n"/>
      <c r="I228" s="47" t="n"/>
      <c r="J228" s="46" t="n"/>
    </row>
    <row r="229" ht="21" customHeight="1">
      <c r="A229" s="52" t="inlineStr">
        <is>
          <t>Sales growth</t>
        </is>
      </c>
      <c r="B229" s="67" t="n"/>
      <c r="C229" s="46" t="n"/>
      <c r="D229" s="67" t="n"/>
      <c r="E229" s="47" t="n"/>
      <c r="F229" s="47" t="n"/>
      <c r="G229" s="46" t="n"/>
      <c r="H229" s="67" t="n"/>
      <c r="I229" s="47" t="n"/>
      <c r="J229" s="46" t="n"/>
    </row>
    <row r="230" ht="21" customHeight="1">
      <c r="A230" s="53" t="inlineStr">
        <is>
          <t>Op margin</t>
        </is>
      </c>
      <c r="B230" s="68" t="n"/>
      <c r="C230" s="46" t="n"/>
      <c r="D230" s="68" t="n"/>
      <c r="E230" s="47" t="n"/>
      <c r="F230" s="47" t="n"/>
      <c r="G230" s="46" t="n"/>
      <c r="H230" s="68" t="n"/>
      <c r="I230" s="47" t="n"/>
      <c r="J230" s="46" t="n"/>
    </row>
    <row r="231" ht="21" customHeight="1">
      <c r="A231" s="52" t="inlineStr">
        <is>
          <t>EPS</t>
        </is>
      </c>
      <c r="B231" s="67" t="n"/>
      <c r="C231" s="46" t="n"/>
      <c r="D231" s="67" t="n"/>
      <c r="E231" s="47" t="n"/>
      <c r="F231" s="47" t="n"/>
      <c r="G231" s="46" t="n"/>
      <c r="H231" s="67" t="n"/>
      <c r="I231" s="47" t="n"/>
      <c r="J231" s="46" t="n"/>
    </row>
    <row r="232" ht="21" customHeight="1">
      <c r="A232" s="53" t="inlineStr">
        <is>
          <t>Buybacks</t>
        </is>
      </c>
      <c r="B232" s="68" t="n"/>
      <c r="C232" s="46" t="n"/>
      <c r="D232" s="68" t="n"/>
      <c r="E232" s="47" t="n"/>
      <c r="F232" s="47" t="n"/>
      <c r="G232" s="46" t="n"/>
      <c r="H232" s="68" t="n"/>
      <c r="I232" s="47" t="n"/>
      <c r="J232" s="46" t="n"/>
    </row>
    <row r="233" ht="21" customHeight="1">
      <c r="A233" s="52" t="inlineStr">
        <is>
          <t>Capex</t>
        </is>
      </c>
      <c r="B233" s="67" t="n"/>
      <c r="C233" s="46" t="n"/>
      <c r="D233" s="67" t="n"/>
      <c r="E233" s="47" t="n"/>
      <c r="F233" s="47" t="n"/>
      <c r="G233" s="46" t="n"/>
      <c r="H233" s="67" t="n"/>
      <c r="I233" s="47" t="n"/>
      <c r="J233" s="46" t="n"/>
    </row>
  </sheetData>
  <mergeCells count="295">
    <mergeCell ref="B91:C91"/>
    <mergeCell ref="B217:E217"/>
    <mergeCell ref="F113:K113"/>
    <mergeCell ref="B74:E74"/>
    <mergeCell ref="B101:J101"/>
    <mergeCell ref="F114:K114"/>
    <mergeCell ref="C204:J204"/>
    <mergeCell ref="B141:C141"/>
    <mergeCell ref="F154:K154"/>
    <mergeCell ref="B232:C232"/>
    <mergeCell ref="B115:C115"/>
    <mergeCell ref="B93:C93"/>
    <mergeCell ref="B149:C149"/>
    <mergeCell ref="F124:J124"/>
    <mergeCell ref="D177:J177"/>
    <mergeCell ref="H17:J17"/>
    <mergeCell ref="F217:J217"/>
    <mergeCell ref="D231:G231"/>
    <mergeCell ref="B123:E123"/>
    <mergeCell ref="B78:J78"/>
    <mergeCell ref="C206:J206"/>
    <mergeCell ref="B221:E221"/>
    <mergeCell ref="B86:C86"/>
    <mergeCell ref="D108:E108"/>
    <mergeCell ref="F156:K156"/>
    <mergeCell ref="H22:J22"/>
    <mergeCell ref="D148:J148"/>
    <mergeCell ref="H19:J19"/>
    <mergeCell ref="C205:J205"/>
    <mergeCell ref="A83:J83"/>
    <mergeCell ref="E61:J61"/>
    <mergeCell ref="C133:J133"/>
    <mergeCell ref="B155:E155"/>
    <mergeCell ref="A138:J138"/>
    <mergeCell ref="F126:J126"/>
    <mergeCell ref="B104:J104"/>
    <mergeCell ref="F117:K117"/>
    <mergeCell ref="A36:J36"/>
    <mergeCell ref="B215:E215"/>
    <mergeCell ref="B112:C112"/>
    <mergeCell ref="A119:J119"/>
    <mergeCell ref="C130:J130"/>
    <mergeCell ref="D112:E112"/>
    <mergeCell ref="D140:J140"/>
    <mergeCell ref="D229:G229"/>
    <mergeCell ref="H30:J30"/>
    <mergeCell ref="A69:J69"/>
    <mergeCell ref="B62:D62"/>
    <mergeCell ref="D56:E56"/>
    <mergeCell ref="A151:K151"/>
    <mergeCell ref="I187:K187"/>
    <mergeCell ref="F56:G56"/>
    <mergeCell ref="H29:J29"/>
    <mergeCell ref="F116:K116"/>
    <mergeCell ref="D114:E114"/>
    <mergeCell ref="I44:J44"/>
    <mergeCell ref="B55:C55"/>
    <mergeCell ref="B209:J209"/>
    <mergeCell ref="F92:J92"/>
    <mergeCell ref="D179:J179"/>
    <mergeCell ref="I189:K189"/>
    <mergeCell ref="H31:J31"/>
    <mergeCell ref="G74:J74"/>
    <mergeCell ref="H58:J58"/>
    <mergeCell ref="D113:E113"/>
    <mergeCell ref="C208:J208"/>
    <mergeCell ref="F216:J216"/>
    <mergeCell ref="F57:G57"/>
    <mergeCell ref="E171:J171"/>
    <mergeCell ref="C131:J131"/>
    <mergeCell ref="H21:J21"/>
    <mergeCell ref="B11:J11"/>
    <mergeCell ref="H51:J51"/>
    <mergeCell ref="E63:J63"/>
    <mergeCell ref="D115:E115"/>
    <mergeCell ref="A159:J159"/>
    <mergeCell ref="D180:J180"/>
    <mergeCell ref="D143:J143"/>
    <mergeCell ref="F218:J218"/>
    <mergeCell ref="E173:J173"/>
    <mergeCell ref="A182:K182"/>
    <mergeCell ref="A4:J4"/>
    <mergeCell ref="E65:J65"/>
    <mergeCell ref="H228:J228"/>
    <mergeCell ref="B140:C140"/>
    <mergeCell ref="F153:K153"/>
    <mergeCell ref="B222:E222"/>
    <mergeCell ref="D142:J142"/>
    <mergeCell ref="A13:J13"/>
    <mergeCell ref="A170:J170"/>
    <mergeCell ref="H16:J16"/>
    <mergeCell ref="B154:E154"/>
    <mergeCell ref="B212:E212"/>
    <mergeCell ref="B103:J103"/>
    <mergeCell ref="A211:J211"/>
    <mergeCell ref="B117:C117"/>
    <mergeCell ref="H57:J57"/>
    <mergeCell ref="D228:G228"/>
    <mergeCell ref="I41:J41"/>
    <mergeCell ref="H27:J27"/>
    <mergeCell ref="G77:J77"/>
    <mergeCell ref="D144:J144"/>
    <mergeCell ref="B231:C231"/>
    <mergeCell ref="A73:J73"/>
    <mergeCell ref="B156:E156"/>
    <mergeCell ref="A201:J201"/>
    <mergeCell ref="H229:J229"/>
    <mergeCell ref="I191:K191"/>
    <mergeCell ref="B6:J6"/>
    <mergeCell ref="A60:J60"/>
    <mergeCell ref="H33:J33"/>
    <mergeCell ref="I43:J43"/>
    <mergeCell ref="B116:C116"/>
    <mergeCell ref="F91:J91"/>
    <mergeCell ref="B223:E223"/>
    <mergeCell ref="F107:K107"/>
    <mergeCell ref="B220:E220"/>
    <mergeCell ref="B230:C230"/>
    <mergeCell ref="B77:E77"/>
    <mergeCell ref="D139:J139"/>
    <mergeCell ref="B84:C84"/>
    <mergeCell ref="C207:J207"/>
    <mergeCell ref="F157:K157"/>
    <mergeCell ref="F93:J93"/>
    <mergeCell ref="F220:J220"/>
    <mergeCell ref="H20:J20"/>
    <mergeCell ref="B7:J7"/>
    <mergeCell ref="C135:J135"/>
    <mergeCell ref="H230:J230"/>
    <mergeCell ref="E62:J62"/>
    <mergeCell ref="B81:J81"/>
    <mergeCell ref="B142:C142"/>
    <mergeCell ref="B95:C95"/>
    <mergeCell ref="F108:K108"/>
    <mergeCell ref="F222:J222"/>
    <mergeCell ref="A2:J2"/>
    <mergeCell ref="H232:J232"/>
    <mergeCell ref="E64:J64"/>
    <mergeCell ref="A42:J42"/>
    <mergeCell ref="D230:G230"/>
    <mergeCell ref="B144:C144"/>
    <mergeCell ref="D146:J146"/>
    <mergeCell ref="A47:J47"/>
    <mergeCell ref="C136:J136"/>
    <mergeCell ref="H25:J25"/>
    <mergeCell ref="H52:J52"/>
    <mergeCell ref="D232:G232"/>
    <mergeCell ref="I45:J45"/>
    <mergeCell ref="B80:E80"/>
    <mergeCell ref="B56:C56"/>
    <mergeCell ref="A72:J72"/>
    <mergeCell ref="B96:C96"/>
    <mergeCell ref="I190:K190"/>
    <mergeCell ref="B58:C58"/>
    <mergeCell ref="B228:C228"/>
    <mergeCell ref="H32:J32"/>
    <mergeCell ref="F95:J95"/>
    <mergeCell ref="B99:J99"/>
    <mergeCell ref="B153:E153"/>
    <mergeCell ref="A176:J176"/>
    <mergeCell ref="B224:E224"/>
    <mergeCell ref="B107:C107"/>
    <mergeCell ref="B9:J9"/>
    <mergeCell ref="D107:E107"/>
    <mergeCell ref="I37:J37"/>
    <mergeCell ref="B65:D65"/>
    <mergeCell ref="C134:J134"/>
    <mergeCell ref="D116:E116"/>
    <mergeCell ref="F152:K152"/>
    <mergeCell ref="B57:C57"/>
    <mergeCell ref="B121:E121"/>
    <mergeCell ref="A98:J98"/>
    <mergeCell ref="B148:C148"/>
    <mergeCell ref="F219:J219"/>
    <mergeCell ref="H15:J15"/>
    <mergeCell ref="B122:E122"/>
    <mergeCell ref="E174:J174"/>
    <mergeCell ref="H24:J24"/>
    <mergeCell ref="B5:J5"/>
    <mergeCell ref="A79:J79"/>
    <mergeCell ref="H18:J18"/>
    <mergeCell ref="B63:D63"/>
    <mergeCell ref="A88:J88"/>
    <mergeCell ref="B214:E214"/>
    <mergeCell ref="E66:J66"/>
    <mergeCell ref="B146:C146"/>
    <mergeCell ref="F121:J121"/>
    <mergeCell ref="A227:J227"/>
    <mergeCell ref="B108:C108"/>
    <mergeCell ref="B120:E120"/>
    <mergeCell ref="C132:J132"/>
    <mergeCell ref="H26:J26"/>
    <mergeCell ref="B75:J75"/>
    <mergeCell ref="H53:J53"/>
    <mergeCell ref="C203:J203"/>
    <mergeCell ref="H231:J231"/>
    <mergeCell ref="A90:J90"/>
    <mergeCell ref="A106:K106"/>
    <mergeCell ref="B143:C143"/>
    <mergeCell ref="B92:C92"/>
    <mergeCell ref="D145:J145"/>
    <mergeCell ref="D117:E117"/>
    <mergeCell ref="D55:E55"/>
    <mergeCell ref="B66:D66"/>
    <mergeCell ref="H50:J50"/>
    <mergeCell ref="B157:E157"/>
    <mergeCell ref="I183:K183"/>
    <mergeCell ref="E67:J67"/>
    <mergeCell ref="B199:J199"/>
    <mergeCell ref="H55:J55"/>
    <mergeCell ref="B85:C85"/>
    <mergeCell ref="H34:J34"/>
    <mergeCell ref="B94:C94"/>
    <mergeCell ref="D147:J147"/>
    <mergeCell ref="G80:J80"/>
    <mergeCell ref="B70:J70"/>
    <mergeCell ref="A76:J76"/>
    <mergeCell ref="F123:J123"/>
    <mergeCell ref="I185:K185"/>
    <mergeCell ref="B109:C109"/>
    <mergeCell ref="H49:J49"/>
    <mergeCell ref="D109:E109"/>
    <mergeCell ref="B233:C233"/>
    <mergeCell ref="B67:D67"/>
    <mergeCell ref="B61:D61"/>
    <mergeCell ref="F212:J212"/>
    <mergeCell ref="F110:K110"/>
    <mergeCell ref="I184:K184"/>
    <mergeCell ref="F221:J221"/>
    <mergeCell ref="B124:E124"/>
    <mergeCell ref="B8:J8"/>
    <mergeCell ref="D111:E111"/>
    <mergeCell ref="B216:E216"/>
    <mergeCell ref="B213:E213"/>
    <mergeCell ref="I186:K186"/>
    <mergeCell ref="F109:K109"/>
    <mergeCell ref="F214:J214"/>
    <mergeCell ref="F55:G55"/>
    <mergeCell ref="F223:J223"/>
    <mergeCell ref="B126:E126"/>
    <mergeCell ref="B10:J10"/>
    <mergeCell ref="H28:J28"/>
    <mergeCell ref="F115:K115"/>
    <mergeCell ref="D57:E57"/>
    <mergeCell ref="H233:J233"/>
    <mergeCell ref="F155:K155"/>
    <mergeCell ref="B111:C111"/>
    <mergeCell ref="B218:E218"/>
    <mergeCell ref="B229:C229"/>
    <mergeCell ref="A39:J39"/>
    <mergeCell ref="B145:C145"/>
    <mergeCell ref="D178:J178"/>
    <mergeCell ref="F213:J213"/>
    <mergeCell ref="A48:J48"/>
    <mergeCell ref="F94:J94"/>
    <mergeCell ref="F111:K111"/>
    <mergeCell ref="B125:E125"/>
    <mergeCell ref="C202:J202"/>
    <mergeCell ref="B64:D64"/>
    <mergeCell ref="C129:J129"/>
    <mergeCell ref="A1:J1"/>
    <mergeCell ref="D233:G233"/>
    <mergeCell ref="B87:C87"/>
    <mergeCell ref="B147:C147"/>
    <mergeCell ref="F122:J122"/>
    <mergeCell ref="E172:J172"/>
    <mergeCell ref="D149:J149"/>
    <mergeCell ref="F215:J215"/>
    <mergeCell ref="H14:J14"/>
    <mergeCell ref="F224:J224"/>
    <mergeCell ref="B152:E152"/>
    <mergeCell ref="F125:J125"/>
    <mergeCell ref="H23:J23"/>
    <mergeCell ref="B219:E219"/>
    <mergeCell ref="D58:E58"/>
    <mergeCell ref="F58:G58"/>
    <mergeCell ref="A128:J128"/>
    <mergeCell ref="F96:J96"/>
    <mergeCell ref="B100:J100"/>
    <mergeCell ref="F112:K112"/>
    <mergeCell ref="A193:J193"/>
    <mergeCell ref="B225:E225"/>
    <mergeCell ref="D141:J141"/>
    <mergeCell ref="B139:C139"/>
    <mergeCell ref="I38:J38"/>
    <mergeCell ref="B114:C114"/>
    <mergeCell ref="F120:J120"/>
    <mergeCell ref="I188:K188"/>
    <mergeCell ref="B102:J102"/>
    <mergeCell ref="F225:J225"/>
    <mergeCell ref="B110:C110"/>
    <mergeCell ref="H56:J56"/>
    <mergeCell ref="D110:E110"/>
    <mergeCell ref="I40:J40"/>
    <mergeCell ref="B113:C1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n"/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n"/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n"/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n"/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n"/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n"/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n"/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n"/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n"/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Historical quarter notes 1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n"/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n"/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n"/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n"/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n"/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n"/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n"/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n"/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n"/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n"/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n"/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n"/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n"/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n"/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n"/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n"/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n"/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Historical quarter notes 2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n"/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n"/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n"/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n"/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n"/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n"/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n"/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n"/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n"/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n"/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n"/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n"/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n"/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n"/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n"/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Historical quarter notes 3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n"/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n"/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n"/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n"/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n"/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n"/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n"/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n"/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n"/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n"/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n"/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n"/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n"/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n"/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n"/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Historical quarter notes 4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n"/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n"/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n"/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n"/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n"/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n"/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n"/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n"/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n"/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n"/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n"/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n"/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n"/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n"/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n"/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Historical quarter notes 5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n"/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n"/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n"/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n"/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n"/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n"/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n"/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n"/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n"/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n"/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n"/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n"/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n"/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n"/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n"/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Historical quarter notes 6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n"/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n"/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n"/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n"/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n"/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n"/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n"/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n"/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n"/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n"/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n"/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n"/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n"/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Historical quarter notes 7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n"/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n"/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n"/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n"/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n"/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n"/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n"/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n"/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n"/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n"/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n"/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n"/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n"/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Historical quarter notes 8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n"/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n"/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n"/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n"/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n"/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n"/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n"/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n"/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n"/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n"/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n"/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Historical quarter notes 9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n"/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n"/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n"/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n"/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n"/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n"/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n"/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n"/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n"/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n"/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n"/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Historical quarter notes 10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n"/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n"/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n"/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n"/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n"/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n"/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n"/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n"/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n"/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n"/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n"/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Historical quarter notes 11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n"/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n"/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n"/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n"/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n"/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n"/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n"/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n"/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n"/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n"/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n"/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2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n"/>
      <c r="B5" s="419" t="n"/>
      <c r="C5" s="499" t="n"/>
      <c r="D5" s="308" t="n"/>
      <c r="E5" s="308" t="n"/>
      <c r="F5" s="308" t="n"/>
      <c r="G5" s="499" t="n"/>
      <c r="H5" s="308" t="n"/>
      <c r="I5" s="308" t="n"/>
      <c r="J5" s="308" t="n"/>
      <c r="K5" s="308" t="n"/>
      <c r="L5" s="308" t="n"/>
    </row>
    <row r="6" ht="24" customHeight="1">
      <c r="A6" s="421" t="n"/>
      <c r="B6" s="421" t="n"/>
      <c r="C6" s="500" t="n"/>
      <c r="D6" s="308" t="n"/>
      <c r="E6" s="308" t="n"/>
      <c r="F6" s="308" t="n"/>
      <c r="G6" s="500" t="n"/>
      <c r="H6" s="308" t="n"/>
      <c r="I6" s="308" t="n"/>
      <c r="J6" s="308" t="n"/>
      <c r="K6" s="308" t="n"/>
      <c r="L6" s="308" t="n"/>
    </row>
    <row r="7" ht="24" customHeight="1">
      <c r="A7" s="419" t="n"/>
      <c r="B7" s="419" t="n"/>
      <c r="C7" s="499" t="n"/>
      <c r="D7" s="308" t="n"/>
      <c r="E7" s="308" t="n"/>
      <c r="F7" s="308" t="n"/>
      <c r="G7" s="499" t="n"/>
      <c r="H7" s="308" t="n"/>
      <c r="I7" s="308" t="n"/>
      <c r="J7" s="308" t="n"/>
      <c r="K7" s="308" t="n"/>
      <c r="L7" s="308" t="n"/>
    </row>
    <row r="8" ht="24" customHeight="1">
      <c r="A8" s="421" t="n"/>
      <c r="B8" s="421" t="n"/>
      <c r="C8" s="500" t="n"/>
      <c r="D8" s="308" t="n"/>
      <c r="E8" s="308" t="n"/>
      <c r="F8" s="308" t="n"/>
      <c r="G8" s="500" t="n"/>
      <c r="H8" s="308" t="n"/>
      <c r="I8" s="308" t="n"/>
      <c r="J8" s="308" t="n"/>
      <c r="K8" s="308" t="n"/>
      <c r="L8" s="308" t="n"/>
    </row>
    <row r="9" ht="24" customHeight="1">
      <c r="A9" s="419" t="n"/>
      <c r="B9" s="419" t="n"/>
      <c r="C9" s="499" t="n"/>
      <c r="D9" s="308" t="n"/>
      <c r="E9" s="308" t="n"/>
      <c r="F9" s="308" t="n"/>
      <c r="G9" s="499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n"/>
      <c r="B13" s="419" t="n"/>
      <c r="C13" s="419" t="n"/>
      <c r="D13" s="419" t="n"/>
      <c r="E13" s="419" t="n"/>
      <c r="F13" s="419" t="n"/>
      <c r="G13" s="419" t="n"/>
      <c r="H13" s="501" t="n"/>
      <c r="I13" s="499" t="n"/>
      <c r="J13" s="308" t="n"/>
      <c r="K13" s="308" t="n"/>
      <c r="L13" s="308" t="n"/>
    </row>
    <row r="14" ht="24" customHeight="1">
      <c r="A14" s="421" t="n"/>
      <c r="B14" s="421" t="n"/>
      <c r="C14" s="421" t="n"/>
      <c r="D14" s="421" t="n"/>
      <c r="E14" s="421" t="n"/>
      <c r="F14" s="421" t="n"/>
      <c r="G14" s="421" t="n"/>
      <c r="H14" s="501" t="n"/>
      <c r="I14" s="500" t="n"/>
      <c r="J14" s="308" t="n"/>
      <c r="K14" s="308" t="n"/>
      <c r="L14" s="308" t="n"/>
    </row>
    <row r="15" ht="24" customHeight="1">
      <c r="A15" s="419" t="n"/>
      <c r="B15" s="419" t="n"/>
      <c r="C15" s="419" t="n"/>
      <c r="D15" s="419" t="n"/>
      <c r="E15" s="419" t="n"/>
      <c r="F15" s="419" t="n"/>
      <c r="G15" s="419" t="n"/>
      <c r="H15" s="501" t="n"/>
      <c r="I15" s="499" t="n"/>
      <c r="J15" s="308" t="n"/>
      <c r="K15" s="308" t="n"/>
      <c r="L15" s="308" t="n"/>
    </row>
    <row r="16" ht="24" customHeight="1">
      <c r="A16" s="421" t="n"/>
      <c r="B16" s="421" t="n"/>
      <c r="C16" s="421" t="n"/>
      <c r="D16" s="421" t="n"/>
      <c r="E16" s="421" t="n"/>
      <c r="F16" s="421" t="n"/>
      <c r="G16" s="421" t="n"/>
      <c r="H16" s="501" t="n"/>
      <c r="I16" s="500" t="n"/>
      <c r="J16" s="308" t="n"/>
      <c r="K16" s="308" t="n"/>
      <c r="L16" s="308" t="n"/>
    </row>
    <row r="17" ht="24" customHeight="1">
      <c r="A17" s="419" t="n"/>
      <c r="B17" s="419" t="n"/>
      <c r="C17" s="419" t="n"/>
      <c r="D17" s="419" t="n"/>
      <c r="E17" s="419" t="n"/>
      <c r="F17" s="419" t="n"/>
      <c r="G17" s="419" t="n"/>
      <c r="H17" s="501" t="n"/>
      <c r="I17" s="499" t="n"/>
      <c r="J17" s="308" t="n"/>
      <c r="K17" s="308" t="n"/>
      <c r="L17" s="308" t="n"/>
    </row>
    <row r="18" ht="24" customHeight="1">
      <c r="A18" s="421" t="n"/>
      <c r="B18" s="421" t="n"/>
      <c r="C18" s="421" t="n"/>
      <c r="D18" s="421" t="n"/>
      <c r="E18" s="421" t="n"/>
      <c r="F18" s="421" t="n"/>
      <c r="G18" s="421" t="n"/>
      <c r="H18" s="501" t="n"/>
      <c r="I18" s="500" t="n"/>
      <c r="J18" s="308" t="n"/>
      <c r="K18" s="308" t="n"/>
      <c r="L18" s="308" t="n"/>
    </row>
    <row r="19" ht="24" customHeight="1">
      <c r="A19" s="419" t="n"/>
      <c r="B19" s="419" t="n"/>
      <c r="C19" s="419" t="n"/>
      <c r="D19" s="419" t="n"/>
      <c r="E19" s="419" t="n"/>
      <c r="F19" s="419" t="n"/>
      <c r="G19" s="419" t="n"/>
      <c r="H19" s="501" t="n"/>
      <c r="I19" s="499" t="n"/>
      <c r="J19" s="308" t="n"/>
      <c r="K19" s="308" t="n"/>
      <c r="L19" s="308" t="n"/>
    </row>
    <row r="20" ht="24" customHeight="1">
      <c r="A20" s="421" t="n"/>
      <c r="B20" s="421" t="n"/>
      <c r="C20" s="421" t="n"/>
      <c r="D20" s="421" t="n"/>
      <c r="E20" s="421" t="n"/>
      <c r="F20" s="421" t="n"/>
      <c r="G20" s="421" t="n"/>
      <c r="H20" s="501" t="n"/>
      <c r="I20" s="500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n"/>
      <c r="B24" s="419" t="n"/>
      <c r="C24" s="419" t="n"/>
      <c r="D24" s="419" t="n"/>
      <c r="E24" s="419" t="n"/>
      <c r="F24" s="419" t="n"/>
      <c r="G24" s="419" t="n"/>
      <c r="H24" s="501" t="n"/>
      <c r="I24" s="499" t="n"/>
      <c r="J24" s="308" t="n"/>
      <c r="K24" s="308" t="n"/>
      <c r="L24" s="308" t="n"/>
    </row>
    <row r="25" ht="24" customHeight="1">
      <c r="A25" s="421" t="n"/>
      <c r="B25" s="421" t="n"/>
      <c r="C25" s="421" t="n"/>
      <c r="D25" s="421" t="n"/>
      <c r="E25" s="421" t="n"/>
      <c r="F25" s="421" t="n"/>
      <c r="G25" s="421" t="n"/>
      <c r="H25" s="501" t="n"/>
      <c r="I25" s="500" t="n"/>
      <c r="J25" s="308" t="n"/>
      <c r="K25" s="308" t="n"/>
      <c r="L25" s="308" t="n"/>
    </row>
    <row r="26" ht="24" customHeight="1">
      <c r="A26" s="419" t="n"/>
      <c r="B26" s="419" t="n"/>
      <c r="C26" s="419" t="n"/>
      <c r="D26" s="419" t="n"/>
      <c r="E26" s="419" t="n"/>
      <c r="F26" s="419" t="n"/>
      <c r="G26" s="419" t="n"/>
      <c r="H26" s="501" t="n"/>
      <c r="I26" s="499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n"/>
      <c r="B30" s="419" t="n"/>
      <c r="C30" s="419" t="n"/>
      <c r="D30" s="419" t="n"/>
      <c r="E30" s="419" t="n"/>
      <c r="F30" s="419" t="n"/>
      <c r="G30" s="419" t="n"/>
      <c r="H30" s="501" t="n"/>
      <c r="I30" s="499" t="n"/>
      <c r="J30" s="308" t="n"/>
      <c r="K30" s="308" t="n"/>
      <c r="L30" s="308" t="n"/>
    </row>
    <row r="31" ht="24" customHeight="1">
      <c r="A31" s="421" t="n"/>
      <c r="B31" s="421" t="n"/>
      <c r="C31" s="421" t="n"/>
      <c r="D31" s="421" t="n"/>
      <c r="E31" s="421" t="n"/>
      <c r="F31" s="421" t="n"/>
      <c r="G31" s="421" t="n"/>
      <c r="H31" s="501" t="n"/>
      <c r="I31" s="500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n"/>
      <c r="B35" s="419" t="n"/>
      <c r="C35" s="419" t="n"/>
      <c r="D35" s="419" t="n"/>
      <c r="E35" s="419" t="n"/>
      <c r="F35" s="419" t="n"/>
      <c r="G35" s="419" t="n"/>
      <c r="H35" s="501" t="n"/>
      <c r="I35" s="499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n"/>
      <c r="B39" s="419" t="n"/>
      <c r="C39" s="419" t="n"/>
      <c r="D39" s="427" t="n"/>
      <c r="E39" s="499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n"/>
      <c r="B40" s="421" t="n"/>
      <c r="C40" s="421" t="n"/>
      <c r="D40" s="427" t="n"/>
      <c r="E40" s="500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n"/>
      <c r="B41" s="419" t="n"/>
      <c r="C41" s="419" t="n"/>
      <c r="D41" s="427" t="n"/>
      <c r="E41" s="499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n"/>
      <c r="B42" s="421" t="n"/>
      <c r="C42" s="421" t="n"/>
      <c r="D42" s="427" t="n"/>
      <c r="E42" s="500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n"/>
      <c r="B43" s="419" t="n"/>
      <c r="C43" s="419" t="n"/>
      <c r="D43" s="427" t="n"/>
      <c r="E43" s="499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n"/>
      <c r="B44" s="421" t="n"/>
      <c r="C44" s="421" t="n"/>
      <c r="D44" s="427" t="n"/>
      <c r="E44" s="500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n"/>
      <c r="B45" s="419" t="n"/>
      <c r="C45" s="419" t="n"/>
      <c r="D45" s="427" t="n"/>
      <c r="E45" s="499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n"/>
      <c r="B46" s="421" t="n"/>
      <c r="C46" s="421" t="n"/>
      <c r="D46" s="427" t="n"/>
      <c r="E46" s="500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n"/>
      <c r="B48" s="419" t="n"/>
      <c r="C48" s="419" t="n"/>
      <c r="D48" s="427" t="n"/>
      <c r="E48" s="499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n"/>
      <c r="B49" s="421" t="n"/>
      <c r="C49" s="421" t="n"/>
      <c r="D49" s="427" t="n"/>
      <c r="E49" s="500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n"/>
      <c r="B50" s="419" t="n"/>
      <c r="C50" s="419" t="n"/>
      <c r="D50" s="427" t="n"/>
      <c r="E50" s="499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n"/>
      <c r="B51" s="421" t="n"/>
      <c r="C51" s="421" t="n"/>
      <c r="D51" s="427" t="n"/>
      <c r="E51" s="500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n"/>
      <c r="B52" s="419" t="n"/>
      <c r="C52" s="419" t="n"/>
      <c r="D52" s="427" t="n"/>
      <c r="E52" s="499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n"/>
      <c r="B53" s="421" t="n"/>
      <c r="C53" s="421" t="n"/>
      <c r="D53" s="427" t="n"/>
      <c r="E53" s="500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n"/>
      <c r="B54" s="419" t="n"/>
      <c r="C54" s="419" t="n"/>
      <c r="D54" s="427" t="n"/>
      <c r="E54" s="499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n"/>
      <c r="B55" s="421" t="n"/>
      <c r="C55" s="421" t="n"/>
      <c r="D55" s="427" t="n"/>
      <c r="E55" s="500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n"/>
      <c r="B56" s="419" t="n"/>
      <c r="C56" s="419" t="n"/>
      <c r="D56" s="427" t="n"/>
      <c r="E56" s="499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n"/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Guidance timeline block 1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24" customHeight="1">
      <c r="A67" s="419" t="n"/>
      <c r="B67" s="419" t="n"/>
      <c r="C67" s="419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Guidance timeline block 2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n"/>
      <c r="B71" s="419" t="n"/>
      <c r="C71" s="419" t="n"/>
      <c r="D71" s="419" t="n"/>
      <c r="E71" s="419" t="n"/>
      <c r="F71" s="419" t="n"/>
      <c r="G71" s="501" t="n"/>
      <c r="H71" s="419" t="n"/>
      <c r="I71" s="419" t="n"/>
      <c r="J71" s="419" t="n"/>
      <c r="K71" s="310" t="n"/>
      <c r="L71" s="310" t="n"/>
    </row>
    <row r="72" ht="24" customHeight="1">
      <c r="A72" s="421" t="n"/>
      <c r="B72" s="421" t="n"/>
      <c r="C72" s="421" t="n"/>
      <c r="D72" s="421" t="n"/>
      <c r="E72" s="421" t="n"/>
      <c r="F72" s="421" t="n"/>
      <c r="G72" s="501" t="n"/>
      <c r="H72" s="421" t="n"/>
      <c r="I72" s="421" t="n"/>
      <c r="J72" s="421" t="n"/>
      <c r="K72" s="313" t="n"/>
      <c r="L72" s="313" t="n"/>
    </row>
    <row r="73" ht="24" customHeight="1">
      <c r="A73" s="419" t="n"/>
      <c r="B73" s="419" t="n"/>
      <c r="C73" s="419" t="n"/>
      <c r="D73" s="419" t="n"/>
      <c r="E73" s="419" t="n"/>
      <c r="F73" s="419" t="n"/>
      <c r="G73" s="501" t="n"/>
      <c r="H73" s="419" t="n"/>
      <c r="I73" s="419" t="n"/>
      <c r="J73" s="419" t="n"/>
      <c r="K73" s="310" t="n"/>
      <c r="L73" s="310" t="n"/>
    </row>
    <row r="74" ht="24" customHeight="1">
      <c r="A74" s="421" t="n"/>
      <c r="B74" s="421" t="n"/>
      <c r="C74" s="421" t="n"/>
      <c r="D74" s="421" t="n"/>
      <c r="E74" s="421" t="n"/>
      <c r="F74" s="421" t="n"/>
      <c r="G74" s="501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Guidance timeline block 3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n"/>
      <c r="B78" s="419" t="n"/>
      <c r="C78" s="419" t="n"/>
      <c r="D78" s="419" t="n"/>
      <c r="E78" s="419" t="n"/>
      <c r="F78" s="419" t="n"/>
      <c r="G78" s="501" t="n"/>
      <c r="H78" s="419" t="n"/>
      <c r="I78" s="419" t="n"/>
      <c r="J78" s="419" t="n"/>
      <c r="K78" s="310" t="n"/>
      <c r="L78" s="310" t="n"/>
    </row>
    <row r="79" ht="24" customHeight="1">
      <c r="A79" s="421" t="n"/>
      <c r="B79" s="421" t="n"/>
      <c r="C79" s="421" t="n"/>
      <c r="D79" s="421" t="n"/>
      <c r="E79" s="421" t="n"/>
      <c r="F79" s="421" t="n"/>
      <c r="G79" s="501" t="n"/>
      <c r="H79" s="421" t="n"/>
      <c r="I79" s="421" t="n"/>
      <c r="J79" s="421" t="n"/>
      <c r="K79" s="313" t="n"/>
      <c r="L79" s="313" t="n"/>
    </row>
    <row r="80" ht="24" customHeight="1">
      <c r="A80" s="419" t="n"/>
      <c r="B80" s="419" t="n"/>
      <c r="C80" s="419" t="n"/>
      <c r="D80" s="419" t="n"/>
      <c r="E80" s="419" t="n"/>
      <c r="F80" s="419" t="n"/>
      <c r="G80" s="501" t="n"/>
      <c r="H80" s="419" t="n"/>
      <c r="I80" s="419" t="n"/>
      <c r="J80" s="419" t="n"/>
      <c r="K80" s="310" t="n"/>
      <c r="L80" s="310" t="n"/>
    </row>
    <row r="81" ht="24" customHeight="1">
      <c r="A81" s="421" t="n"/>
      <c r="B81" s="421" t="n"/>
      <c r="C81" s="421" t="n"/>
      <c r="D81" s="421" t="n"/>
      <c r="E81" s="421" t="n"/>
      <c r="F81" s="421" t="n"/>
      <c r="G81" s="501" t="n"/>
      <c r="H81" s="421" t="n"/>
      <c r="I81" s="421" t="n"/>
      <c r="J81" s="421" t="n"/>
      <c r="K81" s="313" t="n"/>
      <c r="L81" s="313" t="n"/>
    </row>
    <row r="82" ht="24" customHeight="1">
      <c r="A82" s="419" t="n"/>
      <c r="B82" s="419" t="n"/>
      <c r="C82" s="419" t="n"/>
      <c r="D82" s="419" t="n"/>
      <c r="E82" s="419" t="n"/>
      <c r="F82" s="419" t="n"/>
      <c r="G82" s="501" t="n"/>
      <c r="H82" s="419" t="n"/>
      <c r="I82" s="419" t="n"/>
      <c r="J82" s="419" t="n"/>
      <c r="K82" s="310" t="n"/>
      <c r="L82" s="310" t="n"/>
    </row>
    <row r="83" ht="24" customHeight="1">
      <c r="A83" s="421" t="n"/>
      <c r="B83" s="421" t="n"/>
      <c r="C83" s="421" t="n"/>
      <c r="D83" s="421" t="n"/>
      <c r="E83" s="421" t="n"/>
      <c r="F83" s="421" t="n"/>
      <c r="G83" s="501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Guidance timeline block 4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n"/>
      <c r="B86" s="419" t="n"/>
      <c r="C86" s="419" t="n"/>
      <c r="D86" s="419" t="n"/>
      <c r="E86" s="419" t="n"/>
      <c r="F86" s="419" t="n"/>
      <c r="G86" s="501" t="n"/>
      <c r="H86" s="419" t="n"/>
      <c r="I86" s="419" t="n"/>
      <c r="J86" s="419" t="n"/>
      <c r="K86" s="310" t="n"/>
      <c r="L86" s="310" t="n"/>
    </row>
    <row r="87" ht="24" customHeight="1">
      <c r="A87" s="421" t="n"/>
      <c r="B87" s="421" t="n"/>
      <c r="C87" s="421" t="n"/>
      <c r="D87" s="421" t="n"/>
      <c r="E87" s="421" t="n"/>
      <c r="F87" s="421" t="n"/>
      <c r="G87" s="501" t="n"/>
      <c r="H87" s="421" t="n"/>
      <c r="I87" s="421" t="n"/>
      <c r="J87" s="421" t="n"/>
      <c r="K87" s="313" t="n"/>
      <c r="L87" s="313" t="n"/>
    </row>
    <row r="88" ht="24" customHeight="1">
      <c r="A88" s="419" t="n"/>
      <c r="B88" s="419" t="n"/>
      <c r="C88" s="419" t="n"/>
      <c r="D88" s="419" t="n"/>
      <c r="E88" s="419" t="n"/>
      <c r="F88" s="419" t="n"/>
      <c r="G88" s="501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Guidance timeline block 5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n"/>
      <c r="B92" s="419" t="n"/>
      <c r="C92" s="419" t="n"/>
      <c r="D92" s="419" t="n"/>
      <c r="E92" s="419" t="n"/>
      <c r="F92" s="419" t="n"/>
      <c r="G92" s="501" t="n"/>
      <c r="H92" s="419" t="n"/>
      <c r="I92" s="419" t="n"/>
      <c r="J92" s="419" t="n"/>
      <c r="K92" s="310" t="n"/>
      <c r="L92" s="310" t="n"/>
    </row>
    <row r="93" ht="24" customHeight="1">
      <c r="A93" s="421" t="n"/>
      <c r="B93" s="421" t="n"/>
      <c r="C93" s="421" t="n"/>
      <c r="D93" s="421" t="n"/>
      <c r="E93" s="421" t="n"/>
      <c r="F93" s="421" t="n"/>
      <c r="G93" s="501" t="n"/>
      <c r="H93" s="421" t="n"/>
      <c r="I93" s="421" t="n"/>
      <c r="J93" s="421" t="n"/>
      <c r="K93" s="313" t="n"/>
      <c r="L93" s="313" t="n"/>
    </row>
    <row r="94" ht="24" customHeight="1">
      <c r="A94" s="419" t="n"/>
      <c r="B94" s="419" t="n"/>
      <c r="C94" s="419" t="n"/>
      <c r="D94" s="419" t="n"/>
      <c r="E94" s="419" t="n"/>
      <c r="F94" s="419" t="n"/>
      <c r="G94" s="501" t="n"/>
      <c r="H94" s="419" t="n"/>
      <c r="I94" s="419" t="n"/>
      <c r="J94" s="419" t="n"/>
      <c r="K94" s="310" t="n"/>
      <c r="L94" s="310" t="n"/>
    </row>
    <row r="95" ht="24" customHeight="1">
      <c r="A95" s="421" t="n"/>
      <c r="B95" s="421" t="n"/>
      <c r="C95" s="421" t="n"/>
      <c r="D95" s="421" t="n"/>
      <c r="E95" s="421" t="n"/>
      <c r="F95" s="421" t="n"/>
      <c r="G95" s="501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Guidance timeline block 6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n"/>
      <c r="B99" s="419" t="n"/>
      <c r="C99" s="419" t="n"/>
      <c r="D99" s="419" t="n"/>
      <c r="E99" s="419" t="n"/>
      <c r="F99" s="419" t="n"/>
      <c r="G99" s="501" t="n"/>
      <c r="H99" s="419" t="n"/>
      <c r="I99" s="419" t="n"/>
      <c r="J99" s="419" t="n"/>
      <c r="K99" s="310" t="n"/>
      <c r="L99" s="310" t="n"/>
    </row>
    <row r="100" ht="24" customHeight="1">
      <c r="A100" s="421" t="n"/>
      <c r="B100" s="421" t="n"/>
      <c r="C100" s="421" t="n"/>
      <c r="D100" s="421" t="n"/>
      <c r="E100" s="421" t="n"/>
      <c r="F100" s="421" t="n"/>
      <c r="G100" s="501" t="n"/>
      <c r="H100" s="421" t="n"/>
      <c r="I100" s="421" t="n"/>
      <c r="J100" s="421" t="n"/>
      <c r="K100" s="313" t="n"/>
      <c r="L100" s="313" t="n"/>
    </row>
    <row r="101" ht="24" customHeight="1">
      <c r="A101" s="419" t="n"/>
      <c r="B101" s="419" t="n"/>
      <c r="C101" s="419" t="n"/>
      <c r="D101" s="419" t="n"/>
      <c r="E101" s="419" t="n"/>
      <c r="F101" s="419" t="n"/>
      <c r="G101" s="501" t="n"/>
      <c r="H101" s="419" t="n"/>
      <c r="I101" s="419" t="n"/>
      <c r="J101" s="419" t="n"/>
      <c r="K101" s="310" t="n"/>
      <c r="L101" s="310" t="n"/>
    </row>
    <row r="102" ht="24" customHeight="1">
      <c r="A102" s="421" t="n"/>
      <c r="B102" s="421" t="n"/>
      <c r="C102" s="421" t="n"/>
      <c r="D102" s="421" t="n"/>
      <c r="E102" s="421" t="n"/>
      <c r="F102" s="421" t="n"/>
      <c r="G102" s="501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7" customWidth="1" min="1" max="1"/>
    <col width="14" customWidth="1" min="2" max="2"/>
    <col width="30" customWidth="1" min="3" max="3"/>
    <col width="14" customWidth="1" min="4" max="4"/>
    <col width="14" customWidth="1" min="5" max="5"/>
    <col width="14" customWidth="1" min="6" max="6"/>
    <col width="34" customWidth="1" min="7" max="7"/>
    <col width="34" customWidth="1" min="8" max="8"/>
    <col width="34" customWidth="1" min="9" max="9"/>
    <col width="14" customWidth="1" min="10" max="10"/>
    <col width="34" customWidth="1" min="11" max="11"/>
    <col width="14" customWidth="1" min="12" max="12"/>
  </cols>
  <sheetData>
    <row r="1">
      <c r="A1" s="322" t="inlineStr">
        <is>
          <t>field</t>
        </is>
      </c>
      <c r="B1" s="322" t="inlineStr">
        <is>
          <t>display_name</t>
        </is>
      </c>
      <c r="C1" s="322" t="inlineStr">
        <is>
          <t>metric_type</t>
        </is>
      </c>
      <c r="D1" s="322" t="inlineStr">
        <is>
          <t>source_policy</t>
        </is>
      </c>
      <c r="E1" s="322" t="inlineStr">
        <is>
          <t>status</t>
        </is>
      </c>
      <c r="F1" s="322" t="inlineStr">
        <is>
          <t>reason</t>
        </is>
      </c>
      <c r="G1" s="322" t="inlineStr">
        <is>
          <t>sheet</t>
        </is>
      </c>
      <c r="H1" s="322" t="inlineStr">
        <is>
          <t>target</t>
        </is>
      </c>
      <c r="I1" s="322" t="inlineStr">
        <is>
          <t>binding_id</t>
        </is>
      </c>
      <c r="J1" s="322" t="inlineStr">
        <is>
          <t>review_status</t>
        </is>
      </c>
      <c r="K1" s="322" t="inlineStr">
        <is>
          <t>reserved</t>
        </is>
      </c>
      <c r="L1" s="322" t="inlineStr">
        <is>
          <t>has_hidden_value_issue</t>
        </is>
      </c>
    </row>
    <row r="2" ht="32" customHeight="1">
      <c r="G2" s="323" t="n"/>
      <c r="H2" s="323" t="n"/>
      <c r="I2" s="323" t="n"/>
    </row>
    <row r="3" ht="32" customHeight="1">
      <c r="G3" s="323" t="n"/>
      <c r="H3" s="323" t="n"/>
      <c r="I3" s="323" t="n"/>
    </row>
    <row r="4" ht="32" customHeight="1">
      <c r="G4" s="323" t="n"/>
      <c r="H4" s="323" t="n"/>
      <c r="I4" s="323" t="n"/>
    </row>
    <row r="5" ht="32" customHeight="1">
      <c r="G5" s="323" t="n"/>
      <c r="H5" s="323" t="n"/>
      <c r="I5" s="323" t="n"/>
    </row>
    <row r="6" ht="32" customHeight="1">
      <c r="G6" s="323" t="n"/>
      <c r="H6" s="323" t="n"/>
      <c r="I6" s="323" t="n"/>
    </row>
    <row r="7" ht="32" customHeight="1">
      <c r="G7" s="323" t="n"/>
      <c r="H7" s="323" t="n"/>
      <c r="I7" s="323" t="n"/>
    </row>
    <row r="8" ht="32" customHeight="1">
      <c r="G8" s="323" t="n"/>
      <c r="H8" s="323" t="n"/>
      <c r="I8" s="32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22" t="inlineStr">
        <is>
          <t>period</t>
        </is>
      </c>
      <c r="B1" s="322" t="inlineStr">
        <is>
          <t>capacity</t>
        </is>
      </c>
      <c r="C1" s="322" t="inlineStr">
        <is>
          <t>drawn</t>
        </is>
      </c>
      <c r="D1" s="322" t="inlineStr">
        <is>
          <t>availability</t>
        </is>
      </c>
      <c r="E1" s="322" t="inlineStr">
        <is>
          <t>covenant_status</t>
        </is>
      </c>
      <c r="F1" s="322" t="inlineStr">
        <is>
          <t>source_ref</t>
        </is>
      </c>
      <c r="G1" s="322" t="inlineStr">
        <is>
          <t>status</t>
        </is>
      </c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</t>
        </is>
      </c>
      <c r="B1" t="inlineStr">
        <is>
          <t>principal</t>
        </is>
      </c>
      <c r="C1" t="inlineStr">
        <is>
          <t>coupon</t>
        </is>
      </c>
      <c r="D1" t="inlineStr">
        <is>
          <t>maturity</t>
        </is>
      </c>
      <c r="E1" t="inlineStr">
        <is>
          <t>secured</t>
        </is>
      </c>
      <c r="F1" t="inlineStr">
        <is>
          <t>source_ref</t>
        </is>
      </c>
      <c r="G1" t="inlineStr">
        <is>
          <t>status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22" t="inlineStr">
        <is>
          <t>metric</t>
        </is>
      </c>
      <c r="B1" s="322" t="inlineStr">
        <is>
          <t>value</t>
        </is>
      </c>
      <c r="C1" s="322" t="inlineStr">
        <is>
          <t>period</t>
        </is>
      </c>
      <c r="D1" s="322" t="inlineStr">
        <is>
          <t>unit</t>
        </is>
      </c>
      <c r="E1" s="322" t="inlineStr">
        <is>
          <t>source_ref</t>
        </is>
      </c>
      <c r="F1" t="inlineStr">
        <is>
          <t>status</t>
        </is>
      </c>
    </row>
    <row r="2">
      <c r="A2" s="324" t="n"/>
      <c r="B2" s="22" t="n"/>
      <c r="C2" s="22" t="n"/>
      <c r="D2" s="22" t="n"/>
      <c r="E2" s="22" t="n"/>
    </row>
    <row r="3">
      <c r="A3" s="324" t="n"/>
      <c r="B3" s="22" t="n"/>
      <c r="C3" s="22" t="n"/>
      <c r="D3" s="22" t="n"/>
      <c r="E3" s="2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O68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</cols>
  <sheetData>
    <row r="1">
      <c r="A1" s="322" t="inlineStr">
        <is>
          <t>period</t>
        </is>
      </c>
      <c r="B1" s="322" t="inlineStr">
        <is>
          <t>theme</t>
        </is>
      </c>
      <c r="C1" s="322" t="inlineStr">
        <is>
          <t>metric</t>
        </is>
      </c>
      <c r="D1" s="322" t="inlineStr">
        <is>
          <t>note</t>
        </is>
      </c>
      <c r="E1" s="322" t="inlineStr">
        <is>
          <t>source_ref</t>
        </is>
      </c>
      <c r="F1" s="322" t="inlineStr">
        <is>
          <t>status</t>
        </is>
      </c>
      <c r="G1" s="322" t="n"/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  <c r="Y1" s="322" t="n"/>
      <c r="Z1" s="322" t="n"/>
      <c r="AA1" s="322" t="n"/>
      <c r="AB1" s="322" t="n"/>
      <c r="AC1" s="322" t="n"/>
      <c r="AD1" s="322" t="n"/>
      <c r="AE1" s="322" t="n"/>
      <c r="AF1" s="322" t="n"/>
      <c r="AG1" s="322" t="n"/>
      <c r="AH1" s="322" t="n"/>
      <c r="AI1" s="322" t="n"/>
      <c r="AJ1" s="322" t="n"/>
      <c r="AK1" s="322" t="n"/>
      <c r="AL1" s="322" t="n"/>
      <c r="AM1" s="322" t="n"/>
      <c r="AN1" s="322" t="n"/>
      <c r="AO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324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2" t="n"/>
      <c r="AI2" s="22" t="n"/>
      <c r="AJ2" s="22" t="n"/>
      <c r="AK2" s="22" t="n"/>
      <c r="AL2" s="22" t="n"/>
      <c r="AM2" s="22" t="n"/>
      <c r="AN2" s="22" t="n"/>
      <c r="AO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324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  <c r="AI3" s="22" t="n"/>
      <c r="AJ3" s="22" t="n"/>
      <c r="AK3" s="22" t="n"/>
      <c r="AL3" s="22" t="n"/>
      <c r="AM3" s="22" t="n"/>
      <c r="AN3" s="22" t="n"/>
      <c r="AO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324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2" t="n"/>
      <c r="AI4" s="22" t="n"/>
      <c r="AJ4" s="22" t="n"/>
      <c r="AK4" s="22" t="n"/>
      <c r="AL4" s="22" t="n"/>
      <c r="AM4" s="22" t="n"/>
      <c r="AN4" s="22" t="n"/>
      <c r="AO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324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324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2" t="n"/>
      <c r="AI6" s="22" t="n"/>
      <c r="AJ6" s="22" t="n"/>
      <c r="AK6" s="22" t="n"/>
      <c r="AL6" s="22" t="n"/>
      <c r="AM6" s="22" t="n"/>
      <c r="AN6" s="22" t="n"/>
      <c r="AO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324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324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324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2" t="n"/>
      <c r="AM9" s="22" t="n"/>
      <c r="AN9" s="22" t="n"/>
      <c r="AO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324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324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324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324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324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324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324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324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324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324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324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324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324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324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2" t="n"/>
      <c r="AM23" s="22" t="n"/>
      <c r="AN23" s="22" t="n"/>
      <c r="AO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324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324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324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324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324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324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324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22" t="n"/>
      <c r="AJ30" s="22" t="n"/>
      <c r="AK30" s="22" t="n"/>
      <c r="AL30" s="22" t="n"/>
      <c r="AM30" s="22" t="n"/>
      <c r="AN30" s="22" t="n"/>
      <c r="AO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324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22" t="n"/>
      <c r="AM31" s="22" t="n"/>
      <c r="AN31" s="22" t="n"/>
      <c r="AO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324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  <c r="AI32" s="22" t="n"/>
      <c r="AJ32" s="22" t="n"/>
      <c r="AK32" s="22" t="n"/>
      <c r="AL32" s="22" t="n"/>
      <c r="AM32" s="22" t="n"/>
      <c r="AN32" s="22" t="n"/>
      <c r="AO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324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324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324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22" t="n"/>
      <c r="AM35" s="22" t="n"/>
      <c r="AN35" s="22" t="n"/>
      <c r="AO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324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  <c r="AI36" s="22" t="n"/>
      <c r="AJ36" s="22" t="n"/>
      <c r="AK36" s="22" t="n"/>
      <c r="AL36" s="22" t="n"/>
      <c r="AM36" s="22" t="n"/>
      <c r="AN36" s="22" t="n"/>
      <c r="AO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324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2" t="n"/>
      <c r="AM37" s="22" t="n"/>
      <c r="AN37" s="22" t="n"/>
      <c r="AO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324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324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2" t="n"/>
      <c r="AM39" s="22" t="n"/>
      <c r="AN39" s="22" t="n"/>
      <c r="AO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324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2" t="n"/>
      <c r="AM40" s="22" t="n"/>
      <c r="AN40" s="22" t="n"/>
      <c r="AO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324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/>
      <c r="AI41" s="22" t="n"/>
      <c r="AJ41" s="22" t="n"/>
      <c r="AK41" s="22" t="n"/>
      <c r="AL41" s="22" t="n"/>
      <c r="AM41" s="22" t="n"/>
      <c r="AN41" s="22" t="n"/>
      <c r="AO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324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  <c r="AI42" s="22" t="n"/>
      <c r="AJ42" s="22" t="n"/>
      <c r="AK42" s="22" t="n"/>
      <c r="AL42" s="22" t="n"/>
      <c r="AM42" s="22" t="n"/>
      <c r="AN42" s="22" t="n"/>
      <c r="AO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324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324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22" t="n"/>
      <c r="AM44" s="22" t="n"/>
      <c r="AN44" s="22" t="n"/>
      <c r="AO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324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2" t="n"/>
      <c r="AM45" s="22" t="n"/>
      <c r="AN45" s="22" t="n"/>
      <c r="AO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324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2" t="n"/>
      <c r="AM46" s="22" t="n"/>
      <c r="AN46" s="22" t="n"/>
      <c r="AO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324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2" t="n"/>
      <c r="AM47" s="22" t="n"/>
      <c r="AN47" s="22" t="n"/>
      <c r="AO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324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  <c r="AI48" s="22" t="n"/>
      <c r="AJ48" s="22" t="n"/>
      <c r="AK48" s="22" t="n"/>
      <c r="AL48" s="22" t="n"/>
      <c r="AM48" s="22" t="n"/>
      <c r="AN48" s="22" t="n"/>
      <c r="AO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324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2" t="n"/>
      <c r="AM49" s="22" t="n"/>
      <c r="AN49" s="22" t="n"/>
      <c r="AO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324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2" t="n"/>
      <c r="AM50" s="22" t="n"/>
      <c r="AN50" s="22" t="n"/>
      <c r="AO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324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2" t="n"/>
      <c r="AI51" s="22" t="n"/>
      <c r="AJ51" s="22" t="n"/>
      <c r="AK51" s="22" t="n"/>
      <c r="AL51" s="22" t="n"/>
      <c r="AM51" s="22" t="n"/>
      <c r="AN51" s="22" t="n"/>
      <c r="AO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324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2" t="n"/>
      <c r="AI52" s="22" t="n"/>
      <c r="AJ52" s="22" t="n"/>
      <c r="AK52" s="22" t="n"/>
      <c r="AL52" s="22" t="n"/>
      <c r="AM52" s="22" t="n"/>
      <c r="AN52" s="22" t="n"/>
      <c r="AO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324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2" t="n"/>
      <c r="AI53" s="22" t="n"/>
      <c r="AJ53" s="22" t="n"/>
      <c r="AK53" s="22" t="n"/>
      <c r="AL53" s="22" t="n"/>
      <c r="AM53" s="22" t="n"/>
      <c r="AN53" s="22" t="n"/>
      <c r="AO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324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2" t="n"/>
      <c r="AI54" s="22" t="n"/>
      <c r="AJ54" s="22" t="n"/>
      <c r="AK54" s="22" t="n"/>
      <c r="AL54" s="22" t="n"/>
      <c r="AM54" s="22" t="n"/>
      <c r="AN54" s="22" t="n"/>
      <c r="AO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324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2" t="n"/>
      <c r="AI55" s="22" t="n"/>
      <c r="AJ55" s="22" t="n"/>
      <c r="AK55" s="22" t="n"/>
      <c r="AL55" s="22" t="n"/>
      <c r="AM55" s="22" t="n"/>
      <c r="AN55" s="22" t="n"/>
      <c r="AO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324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2" t="n"/>
      <c r="AI56" s="22" t="n"/>
      <c r="AJ56" s="22" t="n"/>
      <c r="AK56" s="22" t="n"/>
      <c r="AL56" s="22" t="n"/>
      <c r="AM56" s="22" t="n"/>
      <c r="AN56" s="22" t="n"/>
      <c r="AO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324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2" t="n"/>
      <c r="AI57" s="22" t="n"/>
      <c r="AJ57" s="22" t="n"/>
      <c r="AK57" s="22" t="n"/>
      <c r="AL57" s="22" t="n"/>
      <c r="AM57" s="22" t="n"/>
      <c r="AN57" s="22" t="n"/>
      <c r="AO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324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2" t="n"/>
      <c r="AI58" s="22" t="n"/>
      <c r="AJ58" s="22" t="n"/>
      <c r="AK58" s="22" t="n"/>
      <c r="AL58" s="22" t="n"/>
      <c r="AM58" s="22" t="n"/>
      <c r="AN58" s="22" t="n"/>
      <c r="AO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324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2" t="n"/>
      <c r="AI59" s="22" t="n"/>
      <c r="AJ59" s="22" t="n"/>
      <c r="AK59" s="22" t="n"/>
      <c r="AL59" s="22" t="n"/>
      <c r="AM59" s="22" t="n"/>
      <c r="AN59" s="22" t="n"/>
      <c r="AO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324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2" t="n"/>
      <c r="AI60" s="22" t="n"/>
      <c r="AJ60" s="22" t="n"/>
      <c r="AK60" s="22" t="n"/>
      <c r="AL60" s="22" t="n"/>
      <c r="AM60" s="22" t="n"/>
      <c r="AN60" s="22" t="n"/>
      <c r="AO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324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2" t="n"/>
      <c r="AI61" s="22" t="n"/>
      <c r="AJ61" s="22" t="n"/>
      <c r="AK61" s="22" t="n"/>
      <c r="AL61" s="22" t="n"/>
      <c r="AM61" s="22" t="n"/>
      <c r="AN61" s="22" t="n"/>
      <c r="AO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324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2" t="n"/>
      <c r="AI62" s="22" t="n"/>
      <c r="AJ62" s="22" t="n"/>
      <c r="AK62" s="22" t="n"/>
      <c r="AL62" s="22" t="n"/>
      <c r="AM62" s="22" t="n"/>
      <c r="AN62" s="22" t="n"/>
      <c r="AO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324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2" t="n"/>
      <c r="AI63" s="22" t="n"/>
      <c r="AJ63" s="22" t="n"/>
      <c r="AK63" s="22" t="n"/>
      <c r="AL63" s="22" t="n"/>
      <c r="AM63" s="22" t="n"/>
      <c r="AN63" s="22" t="n"/>
      <c r="AO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324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2" t="n"/>
      <c r="AI64" s="22" t="n"/>
      <c r="AJ64" s="22" t="n"/>
      <c r="AK64" s="22" t="n"/>
      <c r="AL64" s="22" t="n"/>
      <c r="AM64" s="22" t="n"/>
      <c r="AN64" s="22" t="n"/>
      <c r="AO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324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2" t="n"/>
      <c r="AI65" s="22" t="n"/>
      <c r="AJ65" s="22" t="n"/>
      <c r="AK65" s="22" t="n"/>
      <c r="AL65" s="22" t="n"/>
      <c r="AM65" s="22" t="n"/>
      <c r="AN65" s="22" t="n"/>
      <c r="AO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324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2" t="n"/>
      <c r="AI66" s="22" t="n"/>
      <c r="AJ66" s="22" t="n"/>
      <c r="AK66" s="22" t="n"/>
      <c r="AL66" s="22" t="n"/>
      <c r="AM66" s="22" t="n"/>
      <c r="AN66" s="22" t="n"/>
      <c r="AO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324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2" t="n"/>
      <c r="AI67" s="22" t="n"/>
      <c r="AJ67" s="22" t="n"/>
      <c r="AK67" s="22" t="n"/>
      <c r="AL67" s="22" t="n"/>
      <c r="AM67" s="22" t="n"/>
      <c r="AN67" s="22" t="n"/>
      <c r="AO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324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2" t="n"/>
      <c r="AI68" s="22" t="n"/>
      <c r="AJ68" s="22" t="n"/>
      <c r="AK68" s="22" t="n"/>
      <c r="AL68" s="22" t="n"/>
      <c r="AM68" s="22" t="n"/>
      <c r="AN68" s="22" t="n"/>
      <c r="AO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324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2" t="n"/>
      <c r="AI69" s="22" t="n"/>
      <c r="AJ69" s="22" t="n"/>
      <c r="AK69" s="22" t="n"/>
      <c r="AL69" s="22" t="n"/>
      <c r="AM69" s="22" t="n"/>
      <c r="AN69" s="22" t="n"/>
      <c r="AO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324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2" t="n"/>
      <c r="AI70" s="22" t="n"/>
      <c r="AJ70" s="22" t="n"/>
      <c r="AK70" s="22" t="n"/>
      <c r="AL70" s="22" t="n"/>
      <c r="AM70" s="22" t="n"/>
      <c r="AN70" s="22" t="n"/>
      <c r="AO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324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2" t="n"/>
      <c r="AI71" s="22" t="n"/>
      <c r="AJ71" s="22" t="n"/>
      <c r="AK71" s="22" t="n"/>
      <c r="AL71" s="22" t="n"/>
      <c r="AM71" s="22" t="n"/>
      <c r="AN71" s="22" t="n"/>
      <c r="AO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324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2" t="n"/>
      <c r="AI72" s="22" t="n"/>
      <c r="AJ72" s="22" t="n"/>
      <c r="AK72" s="22" t="n"/>
      <c r="AL72" s="22" t="n"/>
      <c r="AM72" s="22" t="n"/>
      <c r="AN72" s="22" t="n"/>
      <c r="AO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324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2" t="n"/>
      <c r="AI73" s="22" t="n"/>
      <c r="AJ73" s="22" t="n"/>
      <c r="AK73" s="22" t="n"/>
      <c r="AL73" s="22" t="n"/>
      <c r="AM73" s="22" t="n"/>
      <c r="AN73" s="22" t="n"/>
      <c r="AO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324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2" t="n"/>
      <c r="AI74" s="22" t="n"/>
      <c r="AJ74" s="22" t="n"/>
      <c r="AK74" s="22" t="n"/>
      <c r="AL74" s="22" t="n"/>
      <c r="AM74" s="22" t="n"/>
      <c r="AN74" s="22" t="n"/>
      <c r="AO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324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2" t="n"/>
      <c r="AI75" s="22" t="n"/>
      <c r="AJ75" s="22" t="n"/>
      <c r="AK75" s="22" t="n"/>
      <c r="AL75" s="22" t="n"/>
      <c r="AM75" s="22" t="n"/>
      <c r="AN75" s="22" t="n"/>
      <c r="AO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324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2" t="n"/>
      <c r="AI76" s="22" t="n"/>
      <c r="AJ76" s="22" t="n"/>
      <c r="AK76" s="22" t="n"/>
      <c r="AL76" s="22" t="n"/>
      <c r="AM76" s="22" t="n"/>
      <c r="AN76" s="22" t="n"/>
      <c r="AO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324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2" t="n"/>
      <c r="AI77" s="22" t="n"/>
      <c r="AJ77" s="22" t="n"/>
      <c r="AK77" s="22" t="n"/>
      <c r="AL77" s="22" t="n"/>
      <c r="AM77" s="22" t="n"/>
      <c r="AN77" s="22" t="n"/>
      <c r="AO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324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2" t="n"/>
      <c r="AI78" s="22" t="n"/>
      <c r="AJ78" s="22" t="n"/>
      <c r="AK78" s="22" t="n"/>
      <c r="AL78" s="22" t="n"/>
      <c r="AM78" s="22" t="n"/>
      <c r="AN78" s="22" t="n"/>
      <c r="AO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324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2" t="n"/>
      <c r="AI79" s="22" t="n"/>
      <c r="AJ79" s="22" t="n"/>
      <c r="AK79" s="22" t="n"/>
      <c r="AL79" s="22" t="n"/>
      <c r="AM79" s="22" t="n"/>
      <c r="AN79" s="22" t="n"/>
      <c r="AO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324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2" t="n"/>
      <c r="AI80" s="22" t="n"/>
      <c r="AJ80" s="22" t="n"/>
      <c r="AK80" s="22" t="n"/>
      <c r="AL80" s="22" t="n"/>
      <c r="AM80" s="22" t="n"/>
      <c r="AN80" s="22" t="n"/>
      <c r="AO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324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2" t="n"/>
      <c r="AI81" s="22" t="n"/>
      <c r="AJ81" s="22" t="n"/>
      <c r="AK81" s="22" t="n"/>
      <c r="AL81" s="22" t="n"/>
      <c r="AM81" s="22" t="n"/>
      <c r="AN81" s="22" t="n"/>
      <c r="AO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324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2" t="n"/>
      <c r="AI82" s="22" t="n"/>
      <c r="AJ82" s="22" t="n"/>
      <c r="AK82" s="22" t="n"/>
      <c r="AL82" s="22" t="n"/>
      <c r="AM82" s="22" t="n"/>
      <c r="AN82" s="22" t="n"/>
      <c r="AO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324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2" t="n"/>
      <c r="AI83" s="22" t="n"/>
      <c r="AJ83" s="22" t="n"/>
      <c r="AK83" s="22" t="n"/>
      <c r="AL83" s="22" t="n"/>
      <c r="AM83" s="22" t="n"/>
      <c r="AN83" s="22" t="n"/>
      <c r="AO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324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2" t="n"/>
      <c r="AI84" s="22" t="n"/>
      <c r="AJ84" s="22" t="n"/>
      <c r="AK84" s="22" t="n"/>
      <c r="AL84" s="22" t="n"/>
      <c r="AM84" s="22" t="n"/>
      <c r="AN84" s="22" t="n"/>
      <c r="AO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324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2" t="n"/>
      <c r="AI85" s="22" t="n"/>
      <c r="AJ85" s="22" t="n"/>
      <c r="AK85" s="22" t="n"/>
      <c r="AL85" s="22" t="n"/>
      <c r="AM85" s="22" t="n"/>
      <c r="AN85" s="22" t="n"/>
      <c r="AO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324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2" t="n"/>
      <c r="AI86" s="22" t="n"/>
      <c r="AJ86" s="22" t="n"/>
      <c r="AK86" s="22" t="n"/>
      <c r="AL86" s="22" t="n"/>
      <c r="AM86" s="22" t="n"/>
      <c r="AN86" s="22" t="n"/>
      <c r="AO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324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2" t="n"/>
      <c r="AI87" s="22" t="n"/>
      <c r="AJ87" s="22" t="n"/>
      <c r="AK87" s="22" t="n"/>
      <c r="AL87" s="22" t="n"/>
      <c r="AM87" s="22" t="n"/>
      <c r="AN87" s="22" t="n"/>
      <c r="AO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324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2" t="n"/>
      <c r="AI88" s="22" t="n"/>
      <c r="AJ88" s="22" t="n"/>
      <c r="AK88" s="22" t="n"/>
      <c r="AL88" s="22" t="n"/>
      <c r="AM88" s="22" t="n"/>
      <c r="AN88" s="22" t="n"/>
      <c r="AO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324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2" t="n"/>
      <c r="AI89" s="22" t="n"/>
      <c r="AJ89" s="22" t="n"/>
      <c r="AK89" s="22" t="n"/>
      <c r="AL89" s="22" t="n"/>
      <c r="AM89" s="22" t="n"/>
      <c r="AN89" s="22" t="n"/>
      <c r="AO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324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2" t="n"/>
      <c r="AI90" s="22" t="n"/>
      <c r="AJ90" s="22" t="n"/>
      <c r="AK90" s="22" t="n"/>
      <c r="AL90" s="22" t="n"/>
      <c r="AM90" s="22" t="n"/>
      <c r="AN90" s="22" t="n"/>
      <c r="AO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324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2" t="n"/>
      <c r="AI91" s="22" t="n"/>
      <c r="AJ91" s="22" t="n"/>
      <c r="AK91" s="22" t="n"/>
      <c r="AL91" s="22" t="n"/>
      <c r="AM91" s="22" t="n"/>
      <c r="AN91" s="22" t="n"/>
      <c r="AO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324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2" t="n"/>
      <c r="AI92" s="22" t="n"/>
      <c r="AJ92" s="22" t="n"/>
      <c r="AK92" s="22" t="n"/>
      <c r="AL92" s="22" t="n"/>
      <c r="AM92" s="22" t="n"/>
      <c r="AN92" s="22" t="n"/>
      <c r="AO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324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2" t="n"/>
      <c r="AI93" s="22" t="n"/>
      <c r="AJ93" s="22" t="n"/>
      <c r="AK93" s="22" t="n"/>
      <c r="AL93" s="22" t="n"/>
      <c r="AM93" s="22" t="n"/>
      <c r="AN93" s="22" t="n"/>
      <c r="AO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324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2" t="n"/>
      <c r="AI94" s="22" t="n"/>
      <c r="AJ94" s="22" t="n"/>
      <c r="AK94" s="22" t="n"/>
      <c r="AL94" s="22" t="n"/>
      <c r="AM94" s="22" t="n"/>
      <c r="AN94" s="22" t="n"/>
      <c r="AO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324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2" t="n"/>
      <c r="AI95" s="22" t="n"/>
      <c r="AJ95" s="22" t="n"/>
      <c r="AK95" s="22" t="n"/>
      <c r="AL95" s="22" t="n"/>
      <c r="AM95" s="22" t="n"/>
      <c r="AN95" s="22" t="n"/>
      <c r="AO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324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2" t="n"/>
      <c r="AI96" s="22" t="n"/>
      <c r="AJ96" s="22" t="n"/>
      <c r="AK96" s="22" t="n"/>
      <c r="AL96" s="22" t="n"/>
      <c r="AM96" s="22" t="n"/>
      <c r="AN96" s="22" t="n"/>
      <c r="AO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324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2" t="n"/>
      <c r="AI97" s="22" t="n"/>
      <c r="AJ97" s="22" t="n"/>
      <c r="AK97" s="22" t="n"/>
      <c r="AL97" s="22" t="n"/>
      <c r="AM97" s="22" t="n"/>
      <c r="AN97" s="22" t="n"/>
      <c r="AO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324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2" t="n"/>
      <c r="AI98" s="22" t="n"/>
      <c r="AJ98" s="22" t="n"/>
      <c r="AK98" s="22" t="n"/>
      <c r="AL98" s="22" t="n"/>
      <c r="AM98" s="22" t="n"/>
      <c r="AN98" s="22" t="n"/>
      <c r="AO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324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2" t="n"/>
      <c r="AI99" s="22" t="n"/>
      <c r="AJ99" s="22" t="n"/>
      <c r="AK99" s="22" t="n"/>
      <c r="AL99" s="22" t="n"/>
      <c r="AM99" s="22" t="n"/>
      <c r="AN99" s="22" t="n"/>
      <c r="AO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324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2" t="n"/>
      <c r="AI100" s="22" t="n"/>
      <c r="AJ100" s="22" t="n"/>
      <c r="AK100" s="22" t="n"/>
      <c r="AL100" s="22" t="n"/>
      <c r="AM100" s="22" t="n"/>
      <c r="AN100" s="22" t="n"/>
      <c r="AO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324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2" t="n"/>
      <c r="AI101" s="22" t="n"/>
      <c r="AJ101" s="22" t="n"/>
      <c r="AK101" s="22" t="n"/>
      <c r="AL101" s="22" t="n"/>
      <c r="AM101" s="22" t="n"/>
      <c r="AN101" s="22" t="n"/>
      <c r="AO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324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2" t="n"/>
      <c r="AI102" s="22" t="n"/>
      <c r="AJ102" s="22" t="n"/>
      <c r="AK102" s="22" t="n"/>
      <c r="AL102" s="22" t="n"/>
      <c r="AM102" s="22" t="n"/>
      <c r="AN102" s="22" t="n"/>
      <c r="AO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324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2" t="n"/>
      <c r="AI103" s="22" t="n"/>
      <c r="AJ103" s="22" t="n"/>
      <c r="AK103" s="22" t="n"/>
      <c r="AL103" s="22" t="n"/>
      <c r="AM103" s="22" t="n"/>
      <c r="AN103" s="22" t="n"/>
      <c r="AO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324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2" t="n"/>
      <c r="AI104" s="22" t="n"/>
      <c r="AJ104" s="22" t="n"/>
      <c r="AK104" s="22" t="n"/>
      <c r="AL104" s="22" t="n"/>
      <c r="AM104" s="22" t="n"/>
      <c r="AN104" s="22" t="n"/>
      <c r="AO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324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  <c r="AG105" s="22" t="n"/>
      <c r="AH105" s="22" t="n"/>
      <c r="AI105" s="22" t="n"/>
      <c r="AJ105" s="22" t="n"/>
      <c r="AK105" s="22" t="n"/>
      <c r="AL105" s="22" t="n"/>
      <c r="AM105" s="22" t="n"/>
      <c r="AN105" s="22" t="n"/>
      <c r="AO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324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  <c r="AG106" s="22" t="n"/>
      <c r="AH106" s="22" t="n"/>
      <c r="AI106" s="22" t="n"/>
      <c r="AJ106" s="22" t="n"/>
      <c r="AK106" s="22" t="n"/>
      <c r="AL106" s="22" t="n"/>
      <c r="AM106" s="22" t="n"/>
      <c r="AN106" s="22" t="n"/>
      <c r="AO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324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  <c r="AG107" s="22" t="n"/>
      <c r="AH107" s="22" t="n"/>
      <c r="AI107" s="22" t="n"/>
      <c r="AJ107" s="22" t="n"/>
      <c r="AK107" s="22" t="n"/>
      <c r="AL107" s="22" t="n"/>
      <c r="AM107" s="22" t="n"/>
      <c r="AN107" s="22" t="n"/>
      <c r="AO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324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  <c r="AC108" s="22" t="n"/>
      <c r="AD108" s="22" t="n"/>
      <c r="AE108" s="22" t="n"/>
      <c r="AF108" s="22" t="n"/>
      <c r="AG108" s="22" t="n"/>
      <c r="AH108" s="22" t="n"/>
      <c r="AI108" s="22" t="n"/>
      <c r="AJ108" s="22" t="n"/>
      <c r="AK108" s="22" t="n"/>
      <c r="AL108" s="22" t="n"/>
      <c r="AM108" s="22" t="n"/>
      <c r="AN108" s="22" t="n"/>
      <c r="AO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324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  <c r="AC109" s="22" t="n"/>
      <c r="AD109" s="22" t="n"/>
      <c r="AE109" s="22" t="n"/>
      <c r="AF109" s="22" t="n"/>
      <c r="AG109" s="22" t="n"/>
      <c r="AH109" s="22" t="n"/>
      <c r="AI109" s="22" t="n"/>
      <c r="AJ109" s="22" t="n"/>
      <c r="AK109" s="22" t="n"/>
      <c r="AL109" s="22" t="n"/>
      <c r="AM109" s="22" t="n"/>
      <c r="AN109" s="22" t="n"/>
      <c r="AO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324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  <c r="AC110" s="22" t="n"/>
      <c r="AD110" s="22" t="n"/>
      <c r="AE110" s="22" t="n"/>
      <c r="AF110" s="22" t="n"/>
      <c r="AG110" s="22" t="n"/>
      <c r="AH110" s="22" t="n"/>
      <c r="AI110" s="22" t="n"/>
      <c r="AJ110" s="22" t="n"/>
      <c r="AK110" s="22" t="n"/>
      <c r="AL110" s="22" t="n"/>
      <c r="AM110" s="22" t="n"/>
      <c r="AN110" s="22" t="n"/>
      <c r="AO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324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  <c r="AC111" s="22" t="n"/>
      <c r="AD111" s="22" t="n"/>
      <c r="AE111" s="22" t="n"/>
      <c r="AF111" s="22" t="n"/>
      <c r="AG111" s="22" t="n"/>
      <c r="AH111" s="22" t="n"/>
      <c r="AI111" s="22" t="n"/>
      <c r="AJ111" s="22" t="n"/>
      <c r="AK111" s="22" t="n"/>
      <c r="AL111" s="22" t="n"/>
      <c r="AM111" s="22" t="n"/>
      <c r="AN111" s="22" t="n"/>
      <c r="AO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324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  <c r="AC112" s="22" t="n"/>
      <c r="AD112" s="22" t="n"/>
      <c r="AE112" s="22" t="n"/>
      <c r="AF112" s="22" t="n"/>
      <c r="AG112" s="22" t="n"/>
      <c r="AH112" s="22" t="n"/>
      <c r="AI112" s="22" t="n"/>
      <c r="AJ112" s="22" t="n"/>
      <c r="AK112" s="22" t="n"/>
      <c r="AL112" s="22" t="n"/>
      <c r="AM112" s="22" t="n"/>
      <c r="AN112" s="22" t="n"/>
      <c r="AO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324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  <c r="AC113" s="22" t="n"/>
      <c r="AD113" s="22" t="n"/>
      <c r="AE113" s="22" t="n"/>
      <c r="AF113" s="22" t="n"/>
      <c r="AG113" s="22" t="n"/>
      <c r="AH113" s="22" t="n"/>
      <c r="AI113" s="22" t="n"/>
      <c r="AJ113" s="22" t="n"/>
      <c r="AK113" s="22" t="n"/>
      <c r="AL113" s="22" t="n"/>
      <c r="AM113" s="22" t="n"/>
      <c r="AN113" s="22" t="n"/>
      <c r="AO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324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  <c r="AC114" s="22" t="n"/>
      <c r="AD114" s="22" t="n"/>
      <c r="AE114" s="22" t="n"/>
      <c r="AF114" s="22" t="n"/>
      <c r="AG114" s="22" t="n"/>
      <c r="AH114" s="22" t="n"/>
      <c r="AI114" s="22" t="n"/>
      <c r="AJ114" s="22" t="n"/>
      <c r="AK114" s="22" t="n"/>
      <c r="AL114" s="22" t="n"/>
      <c r="AM114" s="22" t="n"/>
      <c r="AN114" s="22" t="n"/>
      <c r="AO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324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  <c r="AC115" s="22" t="n"/>
      <c r="AD115" s="22" t="n"/>
      <c r="AE115" s="22" t="n"/>
      <c r="AF115" s="22" t="n"/>
      <c r="AG115" s="22" t="n"/>
      <c r="AH115" s="22" t="n"/>
      <c r="AI115" s="22" t="n"/>
      <c r="AJ115" s="22" t="n"/>
      <c r="AK115" s="22" t="n"/>
      <c r="AL115" s="22" t="n"/>
      <c r="AM115" s="22" t="n"/>
      <c r="AN115" s="22" t="n"/>
      <c r="AO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324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  <c r="AG116" s="22" t="n"/>
      <c r="AH116" s="22" t="n"/>
      <c r="AI116" s="22" t="n"/>
      <c r="AJ116" s="22" t="n"/>
      <c r="AK116" s="22" t="n"/>
      <c r="AL116" s="22" t="n"/>
      <c r="AM116" s="22" t="n"/>
      <c r="AN116" s="22" t="n"/>
      <c r="AO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324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  <c r="AC117" s="22" t="n"/>
      <c r="AD117" s="22" t="n"/>
      <c r="AE117" s="22" t="n"/>
      <c r="AF117" s="22" t="n"/>
      <c r="AG117" s="22" t="n"/>
      <c r="AH117" s="22" t="n"/>
      <c r="AI117" s="22" t="n"/>
      <c r="AJ117" s="22" t="n"/>
      <c r="AK117" s="22" t="n"/>
      <c r="AL117" s="22" t="n"/>
      <c r="AM117" s="22" t="n"/>
      <c r="AN117" s="22" t="n"/>
      <c r="AO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324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  <c r="AC118" s="22" t="n"/>
      <c r="AD118" s="22" t="n"/>
      <c r="AE118" s="22" t="n"/>
      <c r="AF118" s="22" t="n"/>
      <c r="AG118" s="22" t="n"/>
      <c r="AH118" s="22" t="n"/>
      <c r="AI118" s="22" t="n"/>
      <c r="AJ118" s="22" t="n"/>
      <c r="AK118" s="22" t="n"/>
      <c r="AL118" s="22" t="n"/>
      <c r="AM118" s="22" t="n"/>
      <c r="AN118" s="22" t="n"/>
      <c r="AO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324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  <c r="AC119" s="22" t="n"/>
      <c r="AD119" s="22" t="n"/>
      <c r="AE119" s="22" t="n"/>
      <c r="AF119" s="22" t="n"/>
      <c r="AG119" s="22" t="n"/>
      <c r="AH119" s="22" t="n"/>
      <c r="AI119" s="22" t="n"/>
      <c r="AJ119" s="22" t="n"/>
      <c r="AK119" s="22" t="n"/>
      <c r="AL119" s="22" t="n"/>
      <c r="AM119" s="22" t="n"/>
      <c r="AN119" s="22" t="n"/>
      <c r="AO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324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  <c r="AC120" s="22" t="n"/>
      <c r="AD120" s="22" t="n"/>
      <c r="AE120" s="22" t="n"/>
      <c r="AF120" s="22" t="n"/>
      <c r="AG120" s="22" t="n"/>
      <c r="AH120" s="22" t="n"/>
      <c r="AI120" s="22" t="n"/>
      <c r="AJ120" s="22" t="n"/>
      <c r="AK120" s="22" t="n"/>
      <c r="AL120" s="22" t="n"/>
      <c r="AM120" s="22" t="n"/>
      <c r="AN120" s="22" t="n"/>
      <c r="AO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324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  <c r="AC121" s="22" t="n"/>
      <c r="AD121" s="22" t="n"/>
      <c r="AE121" s="22" t="n"/>
      <c r="AF121" s="22" t="n"/>
      <c r="AG121" s="22" t="n"/>
      <c r="AH121" s="22" t="n"/>
      <c r="AI121" s="22" t="n"/>
      <c r="AJ121" s="22" t="n"/>
      <c r="AK121" s="22" t="n"/>
      <c r="AL121" s="22" t="n"/>
      <c r="AM121" s="22" t="n"/>
      <c r="AN121" s="22" t="n"/>
      <c r="AO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324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  <c r="AC122" s="22" t="n"/>
      <c r="AD122" s="22" t="n"/>
      <c r="AE122" s="22" t="n"/>
      <c r="AF122" s="22" t="n"/>
      <c r="AG122" s="22" t="n"/>
      <c r="AH122" s="22" t="n"/>
      <c r="AI122" s="22" t="n"/>
      <c r="AJ122" s="22" t="n"/>
      <c r="AK122" s="22" t="n"/>
      <c r="AL122" s="22" t="n"/>
      <c r="AM122" s="22" t="n"/>
      <c r="AN122" s="22" t="n"/>
      <c r="AO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324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  <c r="AC123" s="22" t="n"/>
      <c r="AD123" s="22" t="n"/>
      <c r="AE123" s="22" t="n"/>
      <c r="AF123" s="22" t="n"/>
      <c r="AG123" s="22" t="n"/>
      <c r="AH123" s="22" t="n"/>
      <c r="AI123" s="22" t="n"/>
      <c r="AJ123" s="22" t="n"/>
      <c r="AK123" s="22" t="n"/>
      <c r="AL123" s="22" t="n"/>
      <c r="AM123" s="22" t="n"/>
      <c r="AN123" s="22" t="n"/>
      <c r="AO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324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  <c r="AC124" s="22" t="n"/>
      <c r="AD124" s="22" t="n"/>
      <c r="AE124" s="22" t="n"/>
      <c r="AF124" s="22" t="n"/>
      <c r="AG124" s="22" t="n"/>
      <c r="AH124" s="22" t="n"/>
      <c r="AI124" s="22" t="n"/>
      <c r="AJ124" s="22" t="n"/>
      <c r="AK124" s="22" t="n"/>
      <c r="AL124" s="22" t="n"/>
      <c r="AM124" s="22" t="n"/>
      <c r="AN124" s="22" t="n"/>
      <c r="AO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324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  <c r="AC125" s="22" t="n"/>
      <c r="AD125" s="22" t="n"/>
      <c r="AE125" s="22" t="n"/>
      <c r="AF125" s="22" t="n"/>
      <c r="AG125" s="22" t="n"/>
      <c r="AH125" s="22" t="n"/>
      <c r="AI125" s="22" t="n"/>
      <c r="AJ125" s="22" t="n"/>
      <c r="AK125" s="22" t="n"/>
      <c r="AL125" s="22" t="n"/>
      <c r="AM125" s="22" t="n"/>
      <c r="AN125" s="22" t="n"/>
      <c r="AO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324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  <c r="AJ126" s="22" t="n"/>
      <c r="AK126" s="22" t="n"/>
      <c r="AL126" s="22" t="n"/>
      <c r="AM126" s="22" t="n"/>
      <c r="AN126" s="22" t="n"/>
      <c r="AO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324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  <c r="AJ127" s="22" t="n"/>
      <c r="AK127" s="22" t="n"/>
      <c r="AL127" s="22" t="n"/>
      <c r="AM127" s="22" t="n"/>
      <c r="AN127" s="22" t="n"/>
      <c r="AO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324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  <c r="AJ128" s="22" t="n"/>
      <c r="AK128" s="22" t="n"/>
      <c r="AL128" s="22" t="n"/>
      <c r="AM128" s="22" t="n"/>
      <c r="AN128" s="22" t="n"/>
      <c r="AO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324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  <c r="AJ129" s="22" t="n"/>
      <c r="AK129" s="22" t="n"/>
      <c r="AL129" s="22" t="n"/>
      <c r="AM129" s="22" t="n"/>
      <c r="AN129" s="22" t="n"/>
      <c r="AO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  <c r="AJ130" s="22" t="n"/>
      <c r="AK130" s="22" t="n"/>
      <c r="AL130" s="22" t="n"/>
      <c r="AM130" s="22" t="n"/>
      <c r="AN130" s="22" t="n"/>
      <c r="AO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  <c r="AJ131" s="22" t="n"/>
      <c r="AK131" s="22" t="n"/>
      <c r="AL131" s="22" t="n"/>
      <c r="AM131" s="22" t="n"/>
      <c r="AN131" s="22" t="n"/>
      <c r="AO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  <c r="AJ132" s="22" t="n"/>
      <c r="AK132" s="22" t="n"/>
      <c r="AL132" s="22" t="n"/>
      <c r="AM132" s="22" t="n"/>
      <c r="AN132" s="22" t="n"/>
      <c r="AO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  <c r="AJ133" s="22" t="n"/>
      <c r="AK133" s="22" t="n"/>
      <c r="AL133" s="22" t="n"/>
      <c r="AM133" s="22" t="n"/>
      <c r="AN133" s="22" t="n"/>
      <c r="AO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  <c r="AJ134" s="22" t="n"/>
      <c r="AK134" s="22" t="n"/>
      <c r="AL134" s="22" t="n"/>
      <c r="AM134" s="22" t="n"/>
      <c r="AN134" s="22" t="n"/>
      <c r="AO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  <c r="AJ135" s="22" t="n"/>
      <c r="AK135" s="22" t="n"/>
      <c r="AL135" s="22" t="n"/>
      <c r="AM135" s="22" t="n"/>
      <c r="AN135" s="22" t="n"/>
      <c r="AO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  <c r="AJ136" s="22" t="n"/>
      <c r="AK136" s="22" t="n"/>
      <c r="AL136" s="22" t="n"/>
      <c r="AM136" s="22" t="n"/>
      <c r="AN136" s="22" t="n"/>
      <c r="AO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  <c r="AJ137" s="22" t="n"/>
      <c r="AK137" s="22" t="n"/>
      <c r="AL137" s="22" t="n"/>
      <c r="AM137" s="22" t="n"/>
      <c r="AN137" s="22" t="n"/>
      <c r="AO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  <c r="AJ138" s="22" t="n"/>
      <c r="AK138" s="22" t="n"/>
      <c r="AL138" s="22" t="n"/>
      <c r="AM138" s="22" t="n"/>
      <c r="AN138" s="22" t="n"/>
      <c r="AO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  <c r="AJ139" s="22" t="n"/>
      <c r="AK139" s="22" t="n"/>
      <c r="AL139" s="22" t="n"/>
      <c r="AM139" s="22" t="n"/>
      <c r="AN139" s="22" t="n"/>
      <c r="AO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  <c r="AJ140" s="22" t="n"/>
      <c r="AK140" s="22" t="n"/>
      <c r="AL140" s="22" t="n"/>
      <c r="AM140" s="22" t="n"/>
      <c r="AN140" s="22" t="n"/>
      <c r="AO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  <c r="AJ141" s="22" t="n"/>
      <c r="AK141" s="22" t="n"/>
      <c r="AL141" s="22" t="n"/>
      <c r="AM141" s="22" t="n"/>
      <c r="AN141" s="22" t="n"/>
      <c r="AO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  <c r="AJ142" s="22" t="n"/>
      <c r="AK142" s="22" t="n"/>
      <c r="AL142" s="22" t="n"/>
      <c r="AM142" s="22" t="n"/>
      <c r="AN142" s="22" t="n"/>
      <c r="AO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  <c r="AJ143" s="22" t="n"/>
      <c r="AK143" s="22" t="n"/>
      <c r="AL143" s="22" t="n"/>
      <c r="AM143" s="22" t="n"/>
      <c r="AN143" s="22" t="n"/>
      <c r="AO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  <c r="AJ144" s="22" t="n"/>
      <c r="AK144" s="22" t="n"/>
      <c r="AL144" s="22" t="n"/>
      <c r="AM144" s="22" t="n"/>
      <c r="AN144" s="22" t="n"/>
      <c r="AO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  <c r="AJ145" s="22" t="n"/>
      <c r="AK145" s="22" t="n"/>
      <c r="AL145" s="22" t="n"/>
      <c r="AM145" s="22" t="n"/>
      <c r="AN145" s="22" t="n"/>
      <c r="AO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  <c r="AJ146" s="22" t="n"/>
      <c r="AK146" s="22" t="n"/>
      <c r="AL146" s="22" t="n"/>
      <c r="AM146" s="22" t="n"/>
      <c r="AN146" s="22" t="n"/>
      <c r="AO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  <c r="AJ147" s="22" t="n"/>
      <c r="AK147" s="22" t="n"/>
      <c r="AL147" s="22" t="n"/>
      <c r="AM147" s="22" t="n"/>
      <c r="AN147" s="22" t="n"/>
      <c r="AO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  <c r="AJ148" s="22" t="n"/>
      <c r="AK148" s="22" t="n"/>
      <c r="AL148" s="22" t="n"/>
      <c r="AM148" s="22" t="n"/>
      <c r="AN148" s="22" t="n"/>
      <c r="AO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  <c r="AJ149" s="22" t="n"/>
      <c r="AK149" s="22" t="n"/>
      <c r="AL149" s="22" t="n"/>
      <c r="AM149" s="22" t="n"/>
      <c r="AN149" s="22" t="n"/>
      <c r="AO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  <c r="AJ150" s="22" t="n"/>
      <c r="AK150" s="22" t="n"/>
      <c r="AL150" s="22" t="n"/>
      <c r="AM150" s="22" t="n"/>
      <c r="AN150" s="22" t="n"/>
      <c r="AO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  <c r="AJ151" s="22" t="n"/>
      <c r="AK151" s="22" t="n"/>
      <c r="AL151" s="22" t="n"/>
      <c r="AM151" s="22" t="n"/>
      <c r="AN151" s="22" t="n"/>
      <c r="AO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  <c r="AJ152" s="22" t="n"/>
      <c r="AK152" s="22" t="n"/>
      <c r="AL152" s="22" t="n"/>
      <c r="AM152" s="22" t="n"/>
      <c r="AN152" s="22" t="n"/>
      <c r="AO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  <c r="AJ153" s="22" t="n"/>
      <c r="AK153" s="22" t="n"/>
      <c r="AL153" s="22" t="n"/>
      <c r="AM153" s="22" t="n"/>
      <c r="AN153" s="22" t="n"/>
      <c r="AO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  <c r="AJ154" s="22" t="n"/>
      <c r="AK154" s="22" t="n"/>
      <c r="AL154" s="22" t="n"/>
      <c r="AM154" s="22" t="n"/>
      <c r="AN154" s="22" t="n"/>
      <c r="AO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  <c r="AJ155" s="22" t="n"/>
      <c r="AK155" s="22" t="n"/>
      <c r="AL155" s="22" t="n"/>
      <c r="AM155" s="22" t="n"/>
      <c r="AN155" s="22" t="n"/>
      <c r="AO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  <c r="AJ156" s="22" t="n"/>
      <c r="AK156" s="22" t="n"/>
      <c r="AL156" s="22" t="n"/>
      <c r="AM156" s="22" t="n"/>
      <c r="AN156" s="22" t="n"/>
      <c r="AO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  <c r="AJ157" s="22" t="n"/>
      <c r="AK157" s="22" t="n"/>
      <c r="AL157" s="22" t="n"/>
      <c r="AM157" s="22" t="n"/>
      <c r="AN157" s="22" t="n"/>
      <c r="AO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  <c r="AJ158" s="22" t="n"/>
      <c r="AK158" s="22" t="n"/>
      <c r="AL158" s="22" t="n"/>
      <c r="AM158" s="22" t="n"/>
      <c r="AN158" s="22" t="n"/>
      <c r="AO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  <c r="AJ159" s="22" t="n"/>
      <c r="AK159" s="22" t="n"/>
      <c r="AL159" s="22" t="n"/>
      <c r="AM159" s="22" t="n"/>
      <c r="AN159" s="22" t="n"/>
      <c r="AO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  <c r="AJ160" s="22" t="n"/>
      <c r="AK160" s="22" t="n"/>
      <c r="AL160" s="22" t="n"/>
      <c r="AM160" s="22" t="n"/>
      <c r="AN160" s="22" t="n"/>
      <c r="AO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  <c r="AJ161" s="22" t="n"/>
      <c r="AK161" s="22" t="n"/>
      <c r="AL161" s="22" t="n"/>
      <c r="AM161" s="22" t="n"/>
      <c r="AN161" s="22" t="n"/>
      <c r="AO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  <c r="AJ162" s="22" t="n"/>
      <c r="AK162" s="22" t="n"/>
      <c r="AL162" s="22" t="n"/>
      <c r="AM162" s="22" t="n"/>
      <c r="AN162" s="22" t="n"/>
      <c r="AO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  <c r="AJ163" s="22" t="n"/>
      <c r="AK163" s="22" t="n"/>
      <c r="AL163" s="22" t="n"/>
      <c r="AM163" s="22" t="n"/>
      <c r="AN163" s="22" t="n"/>
      <c r="AO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  <c r="AJ164" s="22" t="n"/>
      <c r="AK164" s="22" t="n"/>
      <c r="AL164" s="22" t="n"/>
      <c r="AM164" s="22" t="n"/>
      <c r="AN164" s="22" t="n"/>
      <c r="AO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  <c r="AJ165" s="22" t="n"/>
      <c r="AK165" s="22" t="n"/>
      <c r="AL165" s="22" t="n"/>
      <c r="AM165" s="22" t="n"/>
      <c r="AN165" s="22" t="n"/>
      <c r="AO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  <c r="AJ166" s="22" t="n"/>
      <c r="AK166" s="22" t="n"/>
      <c r="AL166" s="22" t="n"/>
      <c r="AM166" s="22" t="n"/>
      <c r="AN166" s="22" t="n"/>
      <c r="AO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  <c r="AJ167" s="22" t="n"/>
      <c r="AK167" s="22" t="n"/>
      <c r="AL167" s="22" t="n"/>
      <c r="AM167" s="22" t="n"/>
      <c r="AN167" s="22" t="n"/>
      <c r="AO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  <c r="AJ168" s="22" t="n"/>
      <c r="AK168" s="22" t="n"/>
      <c r="AL168" s="22" t="n"/>
      <c r="AM168" s="22" t="n"/>
      <c r="AN168" s="22" t="n"/>
      <c r="AO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  <c r="AJ169" s="22" t="n"/>
      <c r="AK169" s="22" t="n"/>
      <c r="AL169" s="22" t="n"/>
      <c r="AM169" s="22" t="n"/>
      <c r="AN169" s="22" t="n"/>
      <c r="AO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  <c r="AJ170" s="22" t="n"/>
      <c r="AK170" s="22" t="n"/>
      <c r="AL170" s="22" t="n"/>
      <c r="AM170" s="22" t="n"/>
      <c r="AN170" s="22" t="n"/>
      <c r="AO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  <c r="AJ171" s="22" t="n"/>
      <c r="AK171" s="22" t="n"/>
      <c r="AL171" s="22" t="n"/>
      <c r="AM171" s="22" t="n"/>
      <c r="AN171" s="22" t="n"/>
      <c r="AO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  <c r="AJ172" s="22" t="n"/>
      <c r="AK172" s="22" t="n"/>
      <c r="AL172" s="22" t="n"/>
      <c r="AM172" s="22" t="n"/>
      <c r="AN172" s="22" t="n"/>
      <c r="AO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  <c r="AJ173" s="22" t="n"/>
      <c r="AK173" s="22" t="n"/>
      <c r="AL173" s="22" t="n"/>
      <c r="AM173" s="22" t="n"/>
      <c r="AN173" s="22" t="n"/>
      <c r="AO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  <c r="AJ174" s="22" t="n"/>
      <c r="AK174" s="22" t="n"/>
      <c r="AL174" s="22" t="n"/>
      <c r="AM174" s="22" t="n"/>
      <c r="AN174" s="22" t="n"/>
      <c r="AO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  <c r="AJ175" s="22" t="n"/>
      <c r="AK175" s="22" t="n"/>
      <c r="AL175" s="22" t="n"/>
      <c r="AM175" s="22" t="n"/>
      <c r="AN175" s="22" t="n"/>
      <c r="AO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  <c r="AJ176" s="22" t="n"/>
      <c r="AK176" s="22" t="n"/>
      <c r="AL176" s="22" t="n"/>
      <c r="AM176" s="22" t="n"/>
      <c r="AN176" s="22" t="n"/>
      <c r="AO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  <c r="AJ177" s="22" t="n"/>
      <c r="AK177" s="22" t="n"/>
      <c r="AL177" s="22" t="n"/>
      <c r="AM177" s="22" t="n"/>
      <c r="AN177" s="22" t="n"/>
      <c r="AO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  <c r="AJ178" s="22" t="n"/>
      <c r="AK178" s="22" t="n"/>
      <c r="AL178" s="22" t="n"/>
      <c r="AM178" s="22" t="n"/>
      <c r="AN178" s="22" t="n"/>
      <c r="AO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  <c r="AJ179" s="22" t="n"/>
      <c r="AK179" s="22" t="n"/>
      <c r="AL179" s="22" t="n"/>
      <c r="AM179" s="22" t="n"/>
      <c r="AN179" s="22" t="n"/>
      <c r="AO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  <c r="AJ180" s="22" t="n"/>
      <c r="AK180" s="22" t="n"/>
      <c r="AL180" s="22" t="n"/>
      <c r="AM180" s="22" t="n"/>
      <c r="AN180" s="22" t="n"/>
      <c r="AO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  <c r="AJ181" s="22" t="n"/>
      <c r="AK181" s="22" t="n"/>
      <c r="AL181" s="22" t="n"/>
      <c r="AM181" s="22" t="n"/>
      <c r="AN181" s="22" t="n"/>
      <c r="AO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  <c r="AJ182" s="22" t="n"/>
      <c r="AK182" s="22" t="n"/>
      <c r="AL182" s="22" t="n"/>
      <c r="AM182" s="22" t="n"/>
      <c r="AN182" s="22" t="n"/>
      <c r="AO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  <c r="AJ183" s="22" t="n"/>
      <c r="AK183" s="22" t="n"/>
      <c r="AL183" s="22" t="n"/>
      <c r="AM183" s="22" t="n"/>
      <c r="AN183" s="22" t="n"/>
      <c r="AO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  <c r="AJ184" s="22" t="n"/>
      <c r="AK184" s="22" t="n"/>
      <c r="AL184" s="22" t="n"/>
      <c r="AM184" s="22" t="n"/>
      <c r="AN184" s="22" t="n"/>
      <c r="AO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  <c r="AJ185" s="22" t="n"/>
      <c r="AK185" s="22" t="n"/>
      <c r="AL185" s="22" t="n"/>
      <c r="AM185" s="22" t="n"/>
      <c r="AN185" s="22" t="n"/>
      <c r="AO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  <c r="AJ186" s="22" t="n"/>
      <c r="AK186" s="22" t="n"/>
      <c r="AL186" s="22" t="n"/>
      <c r="AM186" s="22" t="n"/>
      <c r="AN186" s="22" t="n"/>
      <c r="AO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  <c r="AJ187" s="22" t="n"/>
      <c r="AK187" s="22" t="n"/>
      <c r="AL187" s="22" t="n"/>
      <c r="AM187" s="22" t="n"/>
      <c r="AN187" s="22" t="n"/>
      <c r="AO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  <c r="AJ188" s="22" t="n"/>
      <c r="AK188" s="22" t="n"/>
      <c r="AL188" s="22" t="n"/>
      <c r="AM188" s="22" t="n"/>
      <c r="AN188" s="22" t="n"/>
      <c r="AO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  <c r="AJ189" s="22" t="n"/>
      <c r="AK189" s="22" t="n"/>
      <c r="AL189" s="22" t="n"/>
      <c r="AM189" s="22" t="n"/>
      <c r="AN189" s="22" t="n"/>
      <c r="AO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  <c r="AJ190" s="22" t="n"/>
      <c r="AK190" s="22" t="n"/>
      <c r="AL190" s="22" t="n"/>
      <c r="AM190" s="22" t="n"/>
      <c r="AN190" s="22" t="n"/>
      <c r="AO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  <c r="AJ191" s="22" t="n"/>
      <c r="AK191" s="22" t="n"/>
      <c r="AL191" s="22" t="n"/>
      <c r="AM191" s="22" t="n"/>
      <c r="AN191" s="22" t="n"/>
      <c r="AO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  <c r="AJ192" s="22" t="n"/>
      <c r="AK192" s="22" t="n"/>
      <c r="AL192" s="22" t="n"/>
      <c r="AM192" s="22" t="n"/>
      <c r="AN192" s="22" t="n"/>
      <c r="AO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  <c r="AJ193" s="22" t="n"/>
      <c r="AK193" s="22" t="n"/>
      <c r="AL193" s="22" t="n"/>
      <c r="AM193" s="22" t="n"/>
      <c r="AN193" s="22" t="n"/>
      <c r="AO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  <c r="AJ194" s="22" t="n"/>
      <c r="AK194" s="22" t="n"/>
      <c r="AL194" s="22" t="n"/>
      <c r="AM194" s="22" t="n"/>
      <c r="AN194" s="22" t="n"/>
      <c r="AO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  <c r="AJ195" s="22" t="n"/>
      <c r="AK195" s="22" t="n"/>
      <c r="AL195" s="22" t="n"/>
      <c r="AM195" s="22" t="n"/>
      <c r="AN195" s="22" t="n"/>
      <c r="AO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  <c r="AJ196" s="22" t="n"/>
      <c r="AK196" s="22" t="n"/>
      <c r="AL196" s="22" t="n"/>
      <c r="AM196" s="22" t="n"/>
      <c r="AN196" s="22" t="n"/>
      <c r="AO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  <c r="AJ197" s="22" t="n"/>
      <c r="AK197" s="22" t="n"/>
      <c r="AL197" s="22" t="n"/>
      <c r="AM197" s="22" t="n"/>
      <c r="AN197" s="22" t="n"/>
      <c r="AO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  <c r="AJ198" s="22" t="n"/>
      <c r="AK198" s="22" t="n"/>
      <c r="AL198" s="22" t="n"/>
      <c r="AM198" s="22" t="n"/>
      <c r="AN198" s="22" t="n"/>
      <c r="AO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  <c r="AJ199" s="22" t="n"/>
      <c r="AK199" s="22" t="n"/>
      <c r="AL199" s="22" t="n"/>
      <c r="AM199" s="22" t="n"/>
      <c r="AN199" s="22" t="n"/>
      <c r="AO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  <c r="AJ200" s="22" t="n"/>
      <c r="AK200" s="22" t="n"/>
      <c r="AL200" s="22" t="n"/>
      <c r="AM200" s="22" t="n"/>
      <c r="AN200" s="22" t="n"/>
      <c r="AO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  <c r="AJ201" s="22" t="n"/>
      <c r="AK201" s="22" t="n"/>
      <c r="AL201" s="22" t="n"/>
      <c r="AM201" s="22" t="n"/>
      <c r="AN201" s="22" t="n"/>
      <c r="AO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  <c r="AJ202" s="22" t="n"/>
      <c r="AK202" s="22" t="n"/>
      <c r="AL202" s="22" t="n"/>
      <c r="AM202" s="22" t="n"/>
      <c r="AN202" s="22" t="n"/>
      <c r="AO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  <c r="AJ203" s="22" t="n"/>
      <c r="AK203" s="22" t="n"/>
      <c r="AL203" s="22" t="n"/>
      <c r="AM203" s="22" t="n"/>
      <c r="AN203" s="22" t="n"/>
      <c r="AO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  <c r="AJ204" s="22" t="n"/>
      <c r="AK204" s="22" t="n"/>
      <c r="AL204" s="22" t="n"/>
      <c r="AM204" s="22" t="n"/>
      <c r="AN204" s="22" t="n"/>
      <c r="AO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  <c r="AJ205" s="22" t="n"/>
      <c r="AK205" s="22" t="n"/>
      <c r="AL205" s="22" t="n"/>
      <c r="AM205" s="22" t="n"/>
      <c r="AN205" s="22" t="n"/>
      <c r="AO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  <c r="AJ206" s="22" t="n"/>
      <c r="AK206" s="22" t="n"/>
      <c r="AL206" s="22" t="n"/>
      <c r="AM206" s="22" t="n"/>
      <c r="AN206" s="22" t="n"/>
      <c r="AO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  <c r="AJ207" s="22" t="n"/>
      <c r="AK207" s="22" t="n"/>
      <c r="AL207" s="22" t="n"/>
      <c r="AM207" s="22" t="n"/>
      <c r="AN207" s="22" t="n"/>
      <c r="AO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  <c r="AJ208" s="22" t="n"/>
      <c r="AK208" s="22" t="n"/>
      <c r="AL208" s="22" t="n"/>
      <c r="AM208" s="22" t="n"/>
      <c r="AN208" s="22" t="n"/>
      <c r="AO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  <c r="AJ209" s="22" t="n"/>
      <c r="AK209" s="22" t="n"/>
      <c r="AL209" s="22" t="n"/>
      <c r="AM209" s="22" t="n"/>
      <c r="AN209" s="22" t="n"/>
      <c r="AO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  <c r="AJ210" s="22" t="n"/>
      <c r="AK210" s="22" t="n"/>
      <c r="AL210" s="22" t="n"/>
      <c r="AM210" s="22" t="n"/>
      <c r="AN210" s="22" t="n"/>
      <c r="AO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  <c r="AJ211" s="22" t="n"/>
      <c r="AK211" s="22" t="n"/>
      <c r="AL211" s="22" t="n"/>
      <c r="AM211" s="22" t="n"/>
      <c r="AN211" s="22" t="n"/>
      <c r="AO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  <c r="AJ212" s="22" t="n"/>
      <c r="AK212" s="22" t="n"/>
      <c r="AL212" s="22" t="n"/>
      <c r="AM212" s="22" t="n"/>
      <c r="AN212" s="22" t="n"/>
      <c r="AO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  <c r="AJ213" s="22" t="n"/>
      <c r="AK213" s="22" t="n"/>
      <c r="AL213" s="22" t="n"/>
      <c r="AM213" s="22" t="n"/>
      <c r="AN213" s="22" t="n"/>
      <c r="AO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  <c r="AJ214" s="22" t="n"/>
      <c r="AK214" s="22" t="n"/>
      <c r="AL214" s="22" t="n"/>
      <c r="AM214" s="22" t="n"/>
      <c r="AN214" s="22" t="n"/>
      <c r="AO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  <c r="AJ215" s="22" t="n"/>
      <c r="AK215" s="22" t="n"/>
      <c r="AL215" s="22" t="n"/>
      <c r="AM215" s="22" t="n"/>
      <c r="AN215" s="22" t="n"/>
      <c r="AO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  <c r="AJ216" s="22" t="n"/>
      <c r="AK216" s="22" t="n"/>
      <c r="AL216" s="22" t="n"/>
      <c r="AM216" s="22" t="n"/>
      <c r="AN216" s="22" t="n"/>
      <c r="AO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  <c r="AJ217" s="22" t="n"/>
      <c r="AK217" s="22" t="n"/>
      <c r="AL217" s="22" t="n"/>
      <c r="AM217" s="22" t="n"/>
      <c r="AN217" s="22" t="n"/>
      <c r="AO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  <c r="AJ218" s="22" t="n"/>
      <c r="AK218" s="22" t="n"/>
      <c r="AL218" s="22" t="n"/>
      <c r="AM218" s="22" t="n"/>
      <c r="AN218" s="22" t="n"/>
      <c r="AO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  <c r="AJ219" s="22" t="n"/>
      <c r="AK219" s="22" t="n"/>
      <c r="AL219" s="22" t="n"/>
      <c r="AM219" s="22" t="n"/>
      <c r="AN219" s="22" t="n"/>
      <c r="AO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  <c r="AJ220" s="22" t="n"/>
      <c r="AK220" s="22" t="n"/>
      <c r="AL220" s="22" t="n"/>
      <c r="AM220" s="22" t="n"/>
      <c r="AN220" s="22" t="n"/>
      <c r="AO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  <c r="AJ221" s="22" t="n"/>
      <c r="AK221" s="22" t="n"/>
      <c r="AL221" s="22" t="n"/>
      <c r="AM221" s="22" t="n"/>
      <c r="AN221" s="22" t="n"/>
      <c r="AO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  <c r="AJ222" s="22" t="n"/>
      <c r="AK222" s="22" t="n"/>
      <c r="AL222" s="22" t="n"/>
      <c r="AM222" s="22" t="n"/>
      <c r="AN222" s="22" t="n"/>
      <c r="AO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  <c r="AJ223" s="22" t="n"/>
      <c r="AK223" s="22" t="n"/>
      <c r="AL223" s="22" t="n"/>
      <c r="AM223" s="22" t="n"/>
      <c r="AN223" s="22" t="n"/>
      <c r="AO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  <c r="AJ224" s="22" t="n"/>
      <c r="AK224" s="22" t="n"/>
      <c r="AL224" s="22" t="n"/>
      <c r="AM224" s="22" t="n"/>
      <c r="AN224" s="22" t="n"/>
      <c r="AO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  <c r="AJ225" s="22" t="n"/>
      <c r="AK225" s="22" t="n"/>
      <c r="AL225" s="22" t="n"/>
      <c r="AM225" s="22" t="n"/>
      <c r="AN225" s="22" t="n"/>
      <c r="AO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  <c r="AJ226" s="22" t="n"/>
      <c r="AK226" s="22" t="n"/>
      <c r="AL226" s="22" t="n"/>
      <c r="AM226" s="22" t="n"/>
      <c r="AN226" s="22" t="n"/>
      <c r="AO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  <c r="AJ227" s="22" t="n"/>
      <c r="AK227" s="22" t="n"/>
      <c r="AL227" s="22" t="n"/>
      <c r="AM227" s="22" t="n"/>
      <c r="AN227" s="22" t="n"/>
      <c r="AO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  <c r="AJ228" s="22" t="n"/>
      <c r="AK228" s="22" t="n"/>
      <c r="AL228" s="22" t="n"/>
      <c r="AM228" s="22" t="n"/>
      <c r="AN228" s="22" t="n"/>
      <c r="AO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  <c r="AJ229" s="22" t="n"/>
      <c r="AK229" s="22" t="n"/>
      <c r="AL229" s="22" t="n"/>
      <c r="AM229" s="22" t="n"/>
      <c r="AN229" s="22" t="n"/>
      <c r="AO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  <c r="AJ230" s="22" t="n"/>
      <c r="AK230" s="22" t="n"/>
      <c r="AL230" s="22" t="n"/>
      <c r="AM230" s="22" t="n"/>
      <c r="AN230" s="22" t="n"/>
      <c r="AO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  <c r="AJ231" s="22" t="n"/>
      <c r="AK231" s="22" t="n"/>
      <c r="AL231" s="22" t="n"/>
      <c r="AM231" s="22" t="n"/>
      <c r="AN231" s="22" t="n"/>
      <c r="AO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  <c r="AJ232" s="22" t="n"/>
      <c r="AK232" s="22" t="n"/>
      <c r="AL232" s="22" t="n"/>
      <c r="AM232" s="22" t="n"/>
      <c r="AN232" s="22" t="n"/>
      <c r="AO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  <c r="AJ233" s="22" t="n"/>
      <c r="AK233" s="22" t="n"/>
      <c r="AL233" s="22" t="n"/>
      <c r="AM233" s="22" t="n"/>
      <c r="AN233" s="22" t="n"/>
      <c r="AO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  <c r="AJ234" s="22" t="n"/>
      <c r="AK234" s="22" t="n"/>
      <c r="AL234" s="22" t="n"/>
      <c r="AM234" s="22" t="n"/>
      <c r="AN234" s="22" t="n"/>
      <c r="AO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  <c r="AJ235" s="22" t="n"/>
      <c r="AK235" s="22" t="n"/>
      <c r="AL235" s="22" t="n"/>
      <c r="AM235" s="22" t="n"/>
      <c r="AN235" s="22" t="n"/>
      <c r="AO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  <c r="AJ236" s="22" t="n"/>
      <c r="AK236" s="22" t="n"/>
      <c r="AL236" s="22" t="n"/>
      <c r="AM236" s="22" t="n"/>
      <c r="AN236" s="22" t="n"/>
      <c r="AO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  <c r="AJ237" s="22" t="n"/>
      <c r="AK237" s="22" t="n"/>
      <c r="AL237" s="22" t="n"/>
      <c r="AM237" s="22" t="n"/>
      <c r="AN237" s="22" t="n"/>
      <c r="AO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  <c r="AJ238" s="22" t="n"/>
      <c r="AK238" s="22" t="n"/>
      <c r="AL238" s="22" t="n"/>
      <c r="AM238" s="22" t="n"/>
      <c r="AN238" s="22" t="n"/>
      <c r="AO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  <c r="AJ239" s="22" t="n"/>
      <c r="AK239" s="22" t="n"/>
      <c r="AL239" s="22" t="n"/>
      <c r="AM239" s="22" t="n"/>
      <c r="AN239" s="22" t="n"/>
      <c r="AO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  <c r="AJ240" s="22" t="n"/>
      <c r="AK240" s="22" t="n"/>
      <c r="AL240" s="22" t="n"/>
      <c r="AM240" s="22" t="n"/>
      <c r="AN240" s="22" t="n"/>
      <c r="AO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  <c r="AJ241" s="22" t="n"/>
      <c r="AK241" s="22" t="n"/>
      <c r="AL241" s="22" t="n"/>
      <c r="AM241" s="22" t="n"/>
      <c r="AN241" s="22" t="n"/>
      <c r="AO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  <c r="AJ242" s="22" t="n"/>
      <c r="AK242" s="22" t="n"/>
      <c r="AL242" s="22" t="n"/>
      <c r="AM242" s="22" t="n"/>
      <c r="AN242" s="22" t="n"/>
      <c r="AO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  <c r="AJ243" s="22" t="n"/>
      <c r="AK243" s="22" t="n"/>
      <c r="AL243" s="22" t="n"/>
      <c r="AM243" s="22" t="n"/>
      <c r="AN243" s="22" t="n"/>
      <c r="AO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  <c r="AJ244" s="22" t="n"/>
      <c r="AK244" s="22" t="n"/>
      <c r="AL244" s="22" t="n"/>
      <c r="AM244" s="22" t="n"/>
      <c r="AN244" s="22" t="n"/>
      <c r="AO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  <c r="AJ245" s="22" t="n"/>
      <c r="AK245" s="22" t="n"/>
      <c r="AL245" s="22" t="n"/>
      <c r="AM245" s="22" t="n"/>
      <c r="AN245" s="22" t="n"/>
      <c r="AO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2" t="n"/>
      <c r="AI246" s="22" t="n"/>
      <c r="AJ246" s="22" t="n"/>
      <c r="AK246" s="22" t="n"/>
      <c r="AL246" s="22" t="n"/>
      <c r="AM246" s="22" t="n"/>
      <c r="AN246" s="22" t="n"/>
      <c r="AO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  <c r="AJ247" s="22" t="n"/>
      <c r="AK247" s="22" t="n"/>
      <c r="AL247" s="22" t="n"/>
      <c r="AM247" s="22" t="n"/>
      <c r="AN247" s="22" t="n"/>
      <c r="AO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  <c r="AJ248" s="22" t="n"/>
      <c r="AK248" s="22" t="n"/>
      <c r="AL248" s="22" t="n"/>
      <c r="AM248" s="22" t="n"/>
      <c r="AN248" s="22" t="n"/>
      <c r="AO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  <c r="AJ249" s="22" t="n"/>
      <c r="AK249" s="22" t="n"/>
      <c r="AL249" s="22" t="n"/>
      <c r="AM249" s="22" t="n"/>
      <c r="AN249" s="22" t="n"/>
      <c r="AO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  <c r="AJ250" s="22" t="n"/>
      <c r="AK250" s="22" t="n"/>
      <c r="AL250" s="22" t="n"/>
      <c r="AM250" s="22" t="n"/>
      <c r="AN250" s="22" t="n"/>
      <c r="AO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  <c r="AJ251" s="22" t="n"/>
      <c r="AK251" s="22" t="n"/>
      <c r="AL251" s="22" t="n"/>
      <c r="AM251" s="22" t="n"/>
      <c r="AN251" s="22" t="n"/>
      <c r="AO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  <c r="AJ252" s="22" t="n"/>
      <c r="AK252" s="22" t="n"/>
      <c r="AL252" s="22" t="n"/>
      <c r="AM252" s="22" t="n"/>
      <c r="AN252" s="22" t="n"/>
      <c r="AO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  <c r="AJ253" s="22" t="n"/>
      <c r="AK253" s="22" t="n"/>
      <c r="AL253" s="22" t="n"/>
      <c r="AM253" s="22" t="n"/>
      <c r="AN253" s="22" t="n"/>
      <c r="AO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  <c r="AJ254" s="22" t="n"/>
      <c r="AK254" s="22" t="n"/>
      <c r="AL254" s="22" t="n"/>
      <c r="AM254" s="22" t="n"/>
      <c r="AN254" s="22" t="n"/>
      <c r="AO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  <c r="AJ255" s="22" t="n"/>
      <c r="AK255" s="22" t="n"/>
      <c r="AL255" s="22" t="n"/>
      <c r="AM255" s="22" t="n"/>
      <c r="AN255" s="22" t="n"/>
      <c r="AO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  <c r="AJ256" s="22" t="n"/>
      <c r="AK256" s="22" t="n"/>
      <c r="AL256" s="22" t="n"/>
      <c r="AM256" s="22" t="n"/>
      <c r="AN256" s="22" t="n"/>
      <c r="AO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  <c r="AJ257" s="22" t="n"/>
      <c r="AK257" s="22" t="n"/>
      <c r="AL257" s="22" t="n"/>
      <c r="AM257" s="22" t="n"/>
      <c r="AN257" s="22" t="n"/>
      <c r="AO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  <c r="AJ258" s="22" t="n"/>
      <c r="AK258" s="22" t="n"/>
      <c r="AL258" s="22" t="n"/>
      <c r="AM258" s="22" t="n"/>
      <c r="AN258" s="22" t="n"/>
      <c r="AO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  <c r="AJ259" s="22" t="n"/>
      <c r="AK259" s="22" t="n"/>
      <c r="AL259" s="22" t="n"/>
      <c r="AM259" s="22" t="n"/>
      <c r="AN259" s="22" t="n"/>
      <c r="AO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  <c r="AJ260" s="22" t="n"/>
      <c r="AK260" s="22" t="n"/>
      <c r="AL260" s="22" t="n"/>
      <c r="AM260" s="22" t="n"/>
      <c r="AN260" s="22" t="n"/>
      <c r="AO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  <c r="AJ261" s="22" t="n"/>
      <c r="AK261" s="22" t="n"/>
      <c r="AL261" s="22" t="n"/>
      <c r="AM261" s="22" t="n"/>
      <c r="AN261" s="22" t="n"/>
      <c r="AO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2" t="n"/>
      <c r="AI262" s="22" t="n"/>
      <c r="AJ262" s="22" t="n"/>
      <c r="AK262" s="22" t="n"/>
      <c r="AL262" s="22" t="n"/>
      <c r="AM262" s="22" t="n"/>
      <c r="AN262" s="22" t="n"/>
      <c r="AO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22" t="n"/>
      <c r="AI263" s="22" t="n"/>
      <c r="AJ263" s="22" t="n"/>
      <c r="AK263" s="22" t="n"/>
      <c r="AL263" s="22" t="n"/>
      <c r="AM263" s="22" t="n"/>
      <c r="AN263" s="22" t="n"/>
      <c r="AO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22" t="n"/>
      <c r="AI264" s="22" t="n"/>
      <c r="AJ264" s="22" t="n"/>
      <c r="AK264" s="22" t="n"/>
      <c r="AL264" s="22" t="n"/>
      <c r="AM264" s="22" t="n"/>
      <c r="AN264" s="22" t="n"/>
      <c r="AO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22" t="n"/>
      <c r="AI265" s="22" t="n"/>
      <c r="AJ265" s="22" t="n"/>
      <c r="AK265" s="22" t="n"/>
      <c r="AL265" s="22" t="n"/>
      <c r="AM265" s="22" t="n"/>
      <c r="AN265" s="22" t="n"/>
      <c r="AO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22" t="n"/>
      <c r="AI266" s="22" t="n"/>
      <c r="AJ266" s="22" t="n"/>
      <c r="AK266" s="22" t="n"/>
      <c r="AL266" s="22" t="n"/>
      <c r="AM266" s="22" t="n"/>
      <c r="AN266" s="22" t="n"/>
      <c r="AO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22" t="n"/>
      <c r="AI267" s="22" t="n"/>
      <c r="AJ267" s="22" t="n"/>
      <c r="AK267" s="22" t="n"/>
      <c r="AL267" s="22" t="n"/>
      <c r="AM267" s="22" t="n"/>
      <c r="AN267" s="22" t="n"/>
      <c r="AO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22" t="n"/>
      <c r="AI268" s="22" t="n"/>
      <c r="AJ268" s="22" t="n"/>
      <c r="AK268" s="22" t="n"/>
      <c r="AL268" s="22" t="n"/>
      <c r="AM268" s="22" t="n"/>
      <c r="AN268" s="22" t="n"/>
      <c r="AO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  <c r="AG269" s="22" t="n"/>
      <c r="AH269" s="22" t="n"/>
      <c r="AI269" s="22" t="n"/>
      <c r="AJ269" s="22" t="n"/>
      <c r="AK269" s="22" t="n"/>
      <c r="AL269" s="22" t="n"/>
      <c r="AM269" s="22" t="n"/>
      <c r="AN269" s="22" t="n"/>
      <c r="AO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2" t="n"/>
      <c r="AH270" s="22" t="n"/>
      <c r="AI270" s="22" t="n"/>
      <c r="AJ270" s="22" t="n"/>
      <c r="AK270" s="22" t="n"/>
      <c r="AL270" s="22" t="n"/>
      <c r="AM270" s="22" t="n"/>
      <c r="AN270" s="22" t="n"/>
      <c r="AO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22" t="n"/>
      <c r="AI271" s="22" t="n"/>
      <c r="AJ271" s="22" t="n"/>
      <c r="AK271" s="22" t="n"/>
      <c r="AL271" s="22" t="n"/>
      <c r="AM271" s="22" t="n"/>
      <c r="AN271" s="22" t="n"/>
      <c r="AO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  <c r="AG272" s="22" t="n"/>
      <c r="AH272" s="22" t="n"/>
      <c r="AI272" s="22" t="n"/>
      <c r="AJ272" s="22" t="n"/>
      <c r="AK272" s="22" t="n"/>
      <c r="AL272" s="22" t="n"/>
      <c r="AM272" s="22" t="n"/>
      <c r="AN272" s="22" t="n"/>
      <c r="AO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  <c r="AG273" s="22" t="n"/>
      <c r="AH273" s="22" t="n"/>
      <c r="AI273" s="22" t="n"/>
      <c r="AJ273" s="22" t="n"/>
      <c r="AK273" s="22" t="n"/>
      <c r="AL273" s="22" t="n"/>
      <c r="AM273" s="22" t="n"/>
      <c r="AN273" s="22" t="n"/>
      <c r="AO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  <c r="AG274" s="22" t="n"/>
      <c r="AH274" s="22" t="n"/>
      <c r="AI274" s="22" t="n"/>
      <c r="AJ274" s="22" t="n"/>
      <c r="AK274" s="22" t="n"/>
      <c r="AL274" s="22" t="n"/>
      <c r="AM274" s="22" t="n"/>
      <c r="AN274" s="22" t="n"/>
      <c r="AO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22" t="n"/>
      <c r="AG275" s="22" t="n"/>
      <c r="AH275" s="22" t="n"/>
      <c r="AI275" s="22" t="n"/>
      <c r="AJ275" s="22" t="n"/>
      <c r="AK275" s="22" t="n"/>
      <c r="AL275" s="22" t="n"/>
      <c r="AM275" s="22" t="n"/>
      <c r="AN275" s="22" t="n"/>
      <c r="AO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  <c r="AG276" s="22" t="n"/>
      <c r="AH276" s="22" t="n"/>
      <c r="AI276" s="22" t="n"/>
      <c r="AJ276" s="22" t="n"/>
      <c r="AK276" s="22" t="n"/>
      <c r="AL276" s="22" t="n"/>
      <c r="AM276" s="22" t="n"/>
      <c r="AN276" s="22" t="n"/>
      <c r="AO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22" t="n"/>
      <c r="AG277" s="22" t="n"/>
      <c r="AH277" s="22" t="n"/>
      <c r="AI277" s="22" t="n"/>
      <c r="AJ277" s="22" t="n"/>
      <c r="AK277" s="22" t="n"/>
      <c r="AL277" s="22" t="n"/>
      <c r="AM277" s="22" t="n"/>
      <c r="AN277" s="22" t="n"/>
      <c r="AO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  <c r="AC278" s="22" t="n"/>
      <c r="AD278" s="22" t="n"/>
      <c r="AE278" s="22" t="n"/>
      <c r="AF278" s="22" t="n"/>
      <c r="AG278" s="22" t="n"/>
      <c r="AH278" s="22" t="n"/>
      <c r="AI278" s="22" t="n"/>
      <c r="AJ278" s="22" t="n"/>
      <c r="AK278" s="22" t="n"/>
      <c r="AL278" s="22" t="n"/>
      <c r="AM278" s="22" t="n"/>
      <c r="AN278" s="22" t="n"/>
      <c r="AO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  <c r="AC279" s="22" t="n"/>
      <c r="AD279" s="22" t="n"/>
      <c r="AE279" s="22" t="n"/>
      <c r="AF279" s="22" t="n"/>
      <c r="AG279" s="22" t="n"/>
      <c r="AH279" s="22" t="n"/>
      <c r="AI279" s="22" t="n"/>
      <c r="AJ279" s="22" t="n"/>
      <c r="AK279" s="22" t="n"/>
      <c r="AL279" s="22" t="n"/>
      <c r="AM279" s="22" t="n"/>
      <c r="AN279" s="22" t="n"/>
      <c r="AO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  <c r="AC280" s="22" t="n"/>
      <c r="AD280" s="22" t="n"/>
      <c r="AE280" s="22" t="n"/>
      <c r="AF280" s="22" t="n"/>
      <c r="AG280" s="22" t="n"/>
      <c r="AH280" s="22" t="n"/>
      <c r="AI280" s="22" t="n"/>
      <c r="AJ280" s="22" t="n"/>
      <c r="AK280" s="22" t="n"/>
      <c r="AL280" s="22" t="n"/>
      <c r="AM280" s="22" t="n"/>
      <c r="AN280" s="22" t="n"/>
      <c r="AO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  <c r="AC281" s="22" t="n"/>
      <c r="AD281" s="22" t="n"/>
      <c r="AE281" s="22" t="n"/>
      <c r="AF281" s="22" t="n"/>
      <c r="AG281" s="22" t="n"/>
      <c r="AH281" s="22" t="n"/>
      <c r="AI281" s="22" t="n"/>
      <c r="AJ281" s="22" t="n"/>
      <c r="AK281" s="22" t="n"/>
      <c r="AL281" s="22" t="n"/>
      <c r="AM281" s="22" t="n"/>
      <c r="AN281" s="22" t="n"/>
      <c r="AO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  <c r="AC282" s="22" t="n"/>
      <c r="AD282" s="22" t="n"/>
      <c r="AE282" s="22" t="n"/>
      <c r="AF282" s="22" t="n"/>
      <c r="AG282" s="22" t="n"/>
      <c r="AH282" s="22" t="n"/>
      <c r="AI282" s="22" t="n"/>
      <c r="AJ282" s="22" t="n"/>
      <c r="AK282" s="22" t="n"/>
      <c r="AL282" s="22" t="n"/>
      <c r="AM282" s="22" t="n"/>
      <c r="AN282" s="22" t="n"/>
      <c r="AO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  <c r="AC283" s="22" t="n"/>
      <c r="AD283" s="22" t="n"/>
      <c r="AE283" s="22" t="n"/>
      <c r="AF283" s="22" t="n"/>
      <c r="AG283" s="22" t="n"/>
      <c r="AH283" s="22" t="n"/>
      <c r="AI283" s="22" t="n"/>
      <c r="AJ283" s="22" t="n"/>
      <c r="AK283" s="22" t="n"/>
      <c r="AL283" s="22" t="n"/>
      <c r="AM283" s="22" t="n"/>
      <c r="AN283" s="22" t="n"/>
      <c r="AO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  <c r="AC284" s="22" t="n"/>
      <c r="AD284" s="22" t="n"/>
      <c r="AE284" s="22" t="n"/>
      <c r="AF284" s="22" t="n"/>
      <c r="AG284" s="22" t="n"/>
      <c r="AH284" s="22" t="n"/>
      <c r="AI284" s="22" t="n"/>
      <c r="AJ284" s="22" t="n"/>
      <c r="AK284" s="22" t="n"/>
      <c r="AL284" s="22" t="n"/>
      <c r="AM284" s="22" t="n"/>
      <c r="AN284" s="22" t="n"/>
      <c r="AO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  <c r="AC285" s="22" t="n"/>
      <c r="AD285" s="22" t="n"/>
      <c r="AE285" s="22" t="n"/>
      <c r="AF285" s="22" t="n"/>
      <c r="AG285" s="22" t="n"/>
      <c r="AH285" s="22" t="n"/>
      <c r="AI285" s="22" t="n"/>
      <c r="AJ285" s="22" t="n"/>
      <c r="AK285" s="22" t="n"/>
      <c r="AL285" s="22" t="n"/>
      <c r="AM285" s="22" t="n"/>
      <c r="AN285" s="22" t="n"/>
      <c r="AO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  <c r="AC286" s="22" t="n"/>
      <c r="AD286" s="22" t="n"/>
      <c r="AE286" s="22" t="n"/>
      <c r="AF286" s="22" t="n"/>
      <c r="AG286" s="22" t="n"/>
      <c r="AH286" s="22" t="n"/>
      <c r="AI286" s="22" t="n"/>
      <c r="AJ286" s="22" t="n"/>
      <c r="AK286" s="22" t="n"/>
      <c r="AL286" s="22" t="n"/>
      <c r="AM286" s="22" t="n"/>
      <c r="AN286" s="22" t="n"/>
      <c r="AO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  <c r="AC287" s="22" t="n"/>
      <c r="AD287" s="22" t="n"/>
      <c r="AE287" s="22" t="n"/>
      <c r="AF287" s="22" t="n"/>
      <c r="AG287" s="22" t="n"/>
      <c r="AH287" s="22" t="n"/>
      <c r="AI287" s="22" t="n"/>
      <c r="AJ287" s="22" t="n"/>
      <c r="AK287" s="22" t="n"/>
      <c r="AL287" s="22" t="n"/>
      <c r="AM287" s="22" t="n"/>
      <c r="AN287" s="22" t="n"/>
      <c r="AO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  <c r="AC288" s="22" t="n"/>
      <c r="AD288" s="22" t="n"/>
      <c r="AE288" s="22" t="n"/>
      <c r="AF288" s="22" t="n"/>
      <c r="AG288" s="22" t="n"/>
      <c r="AH288" s="22" t="n"/>
      <c r="AI288" s="22" t="n"/>
      <c r="AJ288" s="22" t="n"/>
      <c r="AK288" s="22" t="n"/>
      <c r="AL288" s="22" t="n"/>
      <c r="AM288" s="22" t="n"/>
      <c r="AN288" s="22" t="n"/>
      <c r="AO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  <c r="AC289" s="22" t="n"/>
      <c r="AD289" s="22" t="n"/>
      <c r="AE289" s="22" t="n"/>
      <c r="AF289" s="22" t="n"/>
      <c r="AG289" s="22" t="n"/>
      <c r="AH289" s="22" t="n"/>
      <c r="AI289" s="22" t="n"/>
      <c r="AJ289" s="22" t="n"/>
      <c r="AK289" s="22" t="n"/>
      <c r="AL289" s="22" t="n"/>
      <c r="AM289" s="22" t="n"/>
      <c r="AN289" s="22" t="n"/>
      <c r="AO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  <c r="AC290" s="22" t="n"/>
      <c r="AD290" s="22" t="n"/>
      <c r="AE290" s="22" t="n"/>
      <c r="AF290" s="22" t="n"/>
      <c r="AG290" s="22" t="n"/>
      <c r="AH290" s="22" t="n"/>
      <c r="AI290" s="22" t="n"/>
      <c r="AJ290" s="22" t="n"/>
      <c r="AK290" s="22" t="n"/>
      <c r="AL290" s="22" t="n"/>
      <c r="AM290" s="22" t="n"/>
      <c r="AN290" s="22" t="n"/>
      <c r="AO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  <c r="AC291" s="22" t="n"/>
      <c r="AD291" s="22" t="n"/>
      <c r="AE291" s="22" t="n"/>
      <c r="AF291" s="22" t="n"/>
      <c r="AG291" s="22" t="n"/>
      <c r="AH291" s="22" t="n"/>
      <c r="AI291" s="22" t="n"/>
      <c r="AJ291" s="22" t="n"/>
      <c r="AK291" s="22" t="n"/>
      <c r="AL291" s="22" t="n"/>
      <c r="AM291" s="22" t="n"/>
      <c r="AN291" s="22" t="n"/>
      <c r="AO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  <c r="AC292" s="22" t="n"/>
      <c r="AD292" s="22" t="n"/>
      <c r="AE292" s="22" t="n"/>
      <c r="AF292" s="22" t="n"/>
      <c r="AG292" s="22" t="n"/>
      <c r="AH292" s="22" t="n"/>
      <c r="AI292" s="22" t="n"/>
      <c r="AJ292" s="22" t="n"/>
      <c r="AK292" s="22" t="n"/>
      <c r="AL292" s="22" t="n"/>
      <c r="AM292" s="22" t="n"/>
      <c r="AN292" s="22" t="n"/>
      <c r="AO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  <c r="AC293" s="22" t="n"/>
      <c r="AD293" s="22" t="n"/>
      <c r="AE293" s="22" t="n"/>
      <c r="AF293" s="22" t="n"/>
      <c r="AG293" s="22" t="n"/>
      <c r="AH293" s="22" t="n"/>
      <c r="AI293" s="22" t="n"/>
      <c r="AJ293" s="22" t="n"/>
      <c r="AK293" s="22" t="n"/>
      <c r="AL293" s="22" t="n"/>
      <c r="AM293" s="22" t="n"/>
      <c r="AN293" s="22" t="n"/>
      <c r="AO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  <c r="AC294" s="22" t="n"/>
      <c r="AD294" s="22" t="n"/>
      <c r="AE294" s="22" t="n"/>
      <c r="AF294" s="22" t="n"/>
      <c r="AG294" s="22" t="n"/>
      <c r="AH294" s="22" t="n"/>
      <c r="AI294" s="22" t="n"/>
      <c r="AJ294" s="22" t="n"/>
      <c r="AK294" s="22" t="n"/>
      <c r="AL294" s="22" t="n"/>
      <c r="AM294" s="22" t="n"/>
      <c r="AN294" s="22" t="n"/>
      <c r="AO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  <c r="AC295" s="22" t="n"/>
      <c r="AD295" s="22" t="n"/>
      <c r="AE295" s="22" t="n"/>
      <c r="AF295" s="22" t="n"/>
      <c r="AG295" s="22" t="n"/>
      <c r="AH295" s="22" t="n"/>
      <c r="AI295" s="22" t="n"/>
      <c r="AJ295" s="22" t="n"/>
      <c r="AK295" s="22" t="n"/>
      <c r="AL295" s="22" t="n"/>
      <c r="AM295" s="22" t="n"/>
      <c r="AN295" s="22" t="n"/>
      <c r="AO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  <c r="AC296" s="22" t="n"/>
      <c r="AD296" s="22" t="n"/>
      <c r="AE296" s="22" t="n"/>
      <c r="AF296" s="22" t="n"/>
      <c r="AG296" s="22" t="n"/>
      <c r="AH296" s="22" t="n"/>
      <c r="AI296" s="22" t="n"/>
      <c r="AJ296" s="22" t="n"/>
      <c r="AK296" s="22" t="n"/>
      <c r="AL296" s="22" t="n"/>
      <c r="AM296" s="22" t="n"/>
      <c r="AN296" s="22" t="n"/>
      <c r="AO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  <c r="AC297" s="22" t="n"/>
      <c r="AD297" s="22" t="n"/>
      <c r="AE297" s="22" t="n"/>
      <c r="AF297" s="22" t="n"/>
      <c r="AG297" s="22" t="n"/>
      <c r="AH297" s="22" t="n"/>
      <c r="AI297" s="22" t="n"/>
      <c r="AJ297" s="22" t="n"/>
      <c r="AK297" s="22" t="n"/>
      <c r="AL297" s="22" t="n"/>
      <c r="AM297" s="22" t="n"/>
      <c r="AN297" s="22" t="n"/>
      <c r="AO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  <c r="AC298" s="22" t="n"/>
      <c r="AD298" s="22" t="n"/>
      <c r="AE298" s="22" t="n"/>
      <c r="AF298" s="22" t="n"/>
      <c r="AG298" s="22" t="n"/>
      <c r="AH298" s="22" t="n"/>
      <c r="AI298" s="22" t="n"/>
      <c r="AJ298" s="22" t="n"/>
      <c r="AK298" s="22" t="n"/>
      <c r="AL298" s="22" t="n"/>
      <c r="AM298" s="22" t="n"/>
      <c r="AN298" s="22" t="n"/>
      <c r="AO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  <c r="AC299" s="22" t="n"/>
      <c r="AD299" s="22" t="n"/>
      <c r="AE299" s="22" t="n"/>
      <c r="AF299" s="22" t="n"/>
      <c r="AG299" s="22" t="n"/>
      <c r="AH299" s="22" t="n"/>
      <c r="AI299" s="22" t="n"/>
      <c r="AJ299" s="22" t="n"/>
      <c r="AK299" s="22" t="n"/>
      <c r="AL299" s="22" t="n"/>
      <c r="AM299" s="22" t="n"/>
      <c r="AN299" s="22" t="n"/>
      <c r="AO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  <c r="AC300" s="22" t="n"/>
      <c r="AD300" s="22" t="n"/>
      <c r="AE300" s="22" t="n"/>
      <c r="AF300" s="22" t="n"/>
      <c r="AG300" s="22" t="n"/>
      <c r="AH300" s="22" t="n"/>
      <c r="AI300" s="22" t="n"/>
      <c r="AJ300" s="22" t="n"/>
      <c r="AK300" s="22" t="n"/>
      <c r="AL300" s="22" t="n"/>
      <c r="AM300" s="22" t="n"/>
      <c r="AN300" s="22" t="n"/>
      <c r="AO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  <c r="AC301" s="22" t="n"/>
      <c r="AD301" s="22" t="n"/>
      <c r="AE301" s="22" t="n"/>
      <c r="AF301" s="22" t="n"/>
      <c r="AG301" s="22" t="n"/>
      <c r="AH301" s="22" t="n"/>
      <c r="AI301" s="22" t="n"/>
      <c r="AJ301" s="22" t="n"/>
      <c r="AK301" s="22" t="n"/>
      <c r="AL301" s="22" t="n"/>
      <c r="AM301" s="22" t="n"/>
      <c r="AN301" s="22" t="n"/>
      <c r="AO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  <c r="AC302" s="22" t="n"/>
      <c r="AD302" s="22" t="n"/>
      <c r="AE302" s="22" t="n"/>
      <c r="AF302" s="22" t="n"/>
      <c r="AG302" s="22" t="n"/>
      <c r="AH302" s="22" t="n"/>
      <c r="AI302" s="22" t="n"/>
      <c r="AJ302" s="22" t="n"/>
      <c r="AK302" s="22" t="n"/>
      <c r="AL302" s="22" t="n"/>
      <c r="AM302" s="22" t="n"/>
      <c r="AN302" s="22" t="n"/>
      <c r="AO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  <c r="AC303" s="22" t="n"/>
      <c r="AD303" s="22" t="n"/>
      <c r="AE303" s="22" t="n"/>
      <c r="AF303" s="22" t="n"/>
      <c r="AG303" s="22" t="n"/>
      <c r="AH303" s="22" t="n"/>
      <c r="AI303" s="22" t="n"/>
      <c r="AJ303" s="22" t="n"/>
      <c r="AK303" s="22" t="n"/>
      <c r="AL303" s="22" t="n"/>
      <c r="AM303" s="22" t="n"/>
      <c r="AN303" s="22" t="n"/>
      <c r="AO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  <c r="AC304" s="22" t="n"/>
      <c r="AD304" s="22" t="n"/>
      <c r="AE304" s="22" t="n"/>
      <c r="AF304" s="22" t="n"/>
      <c r="AG304" s="22" t="n"/>
      <c r="AH304" s="22" t="n"/>
      <c r="AI304" s="22" t="n"/>
      <c r="AJ304" s="22" t="n"/>
      <c r="AK304" s="22" t="n"/>
      <c r="AL304" s="22" t="n"/>
      <c r="AM304" s="22" t="n"/>
      <c r="AN304" s="22" t="n"/>
      <c r="AO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  <c r="AC305" s="22" t="n"/>
      <c r="AD305" s="22" t="n"/>
      <c r="AE305" s="22" t="n"/>
      <c r="AF305" s="22" t="n"/>
      <c r="AG305" s="22" t="n"/>
      <c r="AH305" s="22" t="n"/>
      <c r="AI305" s="22" t="n"/>
      <c r="AJ305" s="22" t="n"/>
      <c r="AK305" s="22" t="n"/>
      <c r="AL305" s="22" t="n"/>
      <c r="AM305" s="22" t="n"/>
      <c r="AN305" s="22" t="n"/>
      <c r="AO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  <c r="AC306" s="22" t="n"/>
      <c r="AD306" s="22" t="n"/>
      <c r="AE306" s="22" t="n"/>
      <c r="AF306" s="22" t="n"/>
      <c r="AG306" s="22" t="n"/>
      <c r="AH306" s="22" t="n"/>
      <c r="AI306" s="22" t="n"/>
      <c r="AJ306" s="22" t="n"/>
      <c r="AK306" s="22" t="n"/>
      <c r="AL306" s="22" t="n"/>
      <c r="AM306" s="22" t="n"/>
      <c r="AN306" s="22" t="n"/>
      <c r="AO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  <c r="AC307" s="22" t="n"/>
      <c r="AD307" s="22" t="n"/>
      <c r="AE307" s="22" t="n"/>
      <c r="AF307" s="22" t="n"/>
      <c r="AG307" s="22" t="n"/>
      <c r="AH307" s="22" t="n"/>
      <c r="AI307" s="22" t="n"/>
      <c r="AJ307" s="22" t="n"/>
      <c r="AK307" s="22" t="n"/>
      <c r="AL307" s="22" t="n"/>
      <c r="AM307" s="22" t="n"/>
      <c r="AN307" s="22" t="n"/>
      <c r="AO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  <c r="AC308" s="22" t="n"/>
      <c r="AD308" s="22" t="n"/>
      <c r="AE308" s="22" t="n"/>
      <c r="AF308" s="22" t="n"/>
      <c r="AG308" s="22" t="n"/>
      <c r="AH308" s="22" t="n"/>
      <c r="AI308" s="22" t="n"/>
      <c r="AJ308" s="22" t="n"/>
      <c r="AK308" s="22" t="n"/>
      <c r="AL308" s="22" t="n"/>
      <c r="AM308" s="22" t="n"/>
      <c r="AN308" s="22" t="n"/>
      <c r="AO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  <c r="AC309" s="22" t="n"/>
      <c r="AD309" s="22" t="n"/>
      <c r="AE309" s="22" t="n"/>
      <c r="AF309" s="22" t="n"/>
      <c r="AG309" s="22" t="n"/>
      <c r="AH309" s="22" t="n"/>
      <c r="AI309" s="22" t="n"/>
      <c r="AJ309" s="22" t="n"/>
      <c r="AK309" s="22" t="n"/>
      <c r="AL309" s="22" t="n"/>
      <c r="AM309" s="22" t="n"/>
      <c r="AN309" s="22" t="n"/>
      <c r="AO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  <c r="AC310" s="22" t="n"/>
      <c r="AD310" s="22" t="n"/>
      <c r="AE310" s="22" t="n"/>
      <c r="AF310" s="22" t="n"/>
      <c r="AG310" s="22" t="n"/>
      <c r="AH310" s="22" t="n"/>
      <c r="AI310" s="22" t="n"/>
      <c r="AJ310" s="22" t="n"/>
      <c r="AK310" s="22" t="n"/>
      <c r="AL310" s="22" t="n"/>
      <c r="AM310" s="22" t="n"/>
      <c r="AN310" s="22" t="n"/>
      <c r="AO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  <c r="AC311" s="22" t="n"/>
      <c r="AD311" s="22" t="n"/>
      <c r="AE311" s="22" t="n"/>
      <c r="AF311" s="22" t="n"/>
      <c r="AG311" s="22" t="n"/>
      <c r="AH311" s="22" t="n"/>
      <c r="AI311" s="22" t="n"/>
      <c r="AJ311" s="22" t="n"/>
      <c r="AK311" s="22" t="n"/>
      <c r="AL311" s="22" t="n"/>
      <c r="AM311" s="22" t="n"/>
      <c r="AN311" s="22" t="n"/>
      <c r="AO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  <c r="AC312" s="22" t="n"/>
      <c r="AD312" s="22" t="n"/>
      <c r="AE312" s="22" t="n"/>
      <c r="AF312" s="22" t="n"/>
      <c r="AG312" s="22" t="n"/>
      <c r="AH312" s="22" t="n"/>
      <c r="AI312" s="22" t="n"/>
      <c r="AJ312" s="22" t="n"/>
      <c r="AK312" s="22" t="n"/>
      <c r="AL312" s="22" t="n"/>
      <c r="AM312" s="22" t="n"/>
      <c r="AN312" s="22" t="n"/>
      <c r="AO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  <c r="AC313" s="22" t="n"/>
      <c r="AD313" s="22" t="n"/>
      <c r="AE313" s="22" t="n"/>
      <c r="AF313" s="22" t="n"/>
      <c r="AG313" s="22" t="n"/>
      <c r="AH313" s="22" t="n"/>
      <c r="AI313" s="22" t="n"/>
      <c r="AJ313" s="22" t="n"/>
      <c r="AK313" s="22" t="n"/>
      <c r="AL313" s="22" t="n"/>
      <c r="AM313" s="22" t="n"/>
      <c r="AN313" s="22" t="n"/>
      <c r="AO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  <c r="AC314" s="22" t="n"/>
      <c r="AD314" s="22" t="n"/>
      <c r="AE314" s="22" t="n"/>
      <c r="AF314" s="22" t="n"/>
      <c r="AG314" s="22" t="n"/>
      <c r="AH314" s="22" t="n"/>
      <c r="AI314" s="22" t="n"/>
      <c r="AJ314" s="22" t="n"/>
      <c r="AK314" s="22" t="n"/>
      <c r="AL314" s="22" t="n"/>
      <c r="AM314" s="22" t="n"/>
      <c r="AN314" s="22" t="n"/>
      <c r="AO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  <c r="AC315" s="22" t="n"/>
      <c r="AD315" s="22" t="n"/>
      <c r="AE315" s="22" t="n"/>
      <c r="AF315" s="22" t="n"/>
      <c r="AG315" s="22" t="n"/>
      <c r="AH315" s="22" t="n"/>
      <c r="AI315" s="22" t="n"/>
      <c r="AJ315" s="22" t="n"/>
      <c r="AK315" s="22" t="n"/>
      <c r="AL315" s="22" t="n"/>
      <c r="AM315" s="22" t="n"/>
      <c r="AN315" s="22" t="n"/>
      <c r="AO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  <c r="AC316" s="22" t="n"/>
      <c r="AD316" s="22" t="n"/>
      <c r="AE316" s="22" t="n"/>
      <c r="AF316" s="22" t="n"/>
      <c r="AG316" s="22" t="n"/>
      <c r="AH316" s="22" t="n"/>
      <c r="AI316" s="22" t="n"/>
      <c r="AJ316" s="22" t="n"/>
      <c r="AK316" s="22" t="n"/>
      <c r="AL316" s="22" t="n"/>
      <c r="AM316" s="22" t="n"/>
      <c r="AN316" s="22" t="n"/>
      <c r="AO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  <c r="AC317" s="22" t="n"/>
      <c r="AD317" s="22" t="n"/>
      <c r="AE317" s="22" t="n"/>
      <c r="AF317" s="22" t="n"/>
      <c r="AG317" s="22" t="n"/>
      <c r="AH317" s="22" t="n"/>
      <c r="AI317" s="22" t="n"/>
      <c r="AJ317" s="22" t="n"/>
      <c r="AK317" s="22" t="n"/>
      <c r="AL317" s="22" t="n"/>
      <c r="AM317" s="22" t="n"/>
      <c r="AN317" s="22" t="n"/>
      <c r="AO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  <c r="AC318" s="22" t="n"/>
      <c r="AD318" s="22" t="n"/>
      <c r="AE318" s="22" t="n"/>
      <c r="AF318" s="22" t="n"/>
      <c r="AG318" s="22" t="n"/>
      <c r="AH318" s="22" t="n"/>
      <c r="AI318" s="22" t="n"/>
      <c r="AJ318" s="22" t="n"/>
      <c r="AK318" s="22" t="n"/>
      <c r="AL318" s="22" t="n"/>
      <c r="AM318" s="22" t="n"/>
      <c r="AN318" s="22" t="n"/>
      <c r="AO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  <c r="AC319" s="22" t="n"/>
      <c r="AD319" s="22" t="n"/>
      <c r="AE319" s="22" t="n"/>
      <c r="AF319" s="22" t="n"/>
      <c r="AG319" s="22" t="n"/>
      <c r="AH319" s="22" t="n"/>
      <c r="AI319" s="22" t="n"/>
      <c r="AJ319" s="22" t="n"/>
      <c r="AK319" s="22" t="n"/>
      <c r="AL319" s="22" t="n"/>
      <c r="AM319" s="22" t="n"/>
      <c r="AN319" s="22" t="n"/>
      <c r="AO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  <c r="AC320" s="22" t="n"/>
      <c r="AD320" s="22" t="n"/>
      <c r="AE320" s="22" t="n"/>
      <c r="AF320" s="22" t="n"/>
      <c r="AG320" s="22" t="n"/>
      <c r="AH320" s="22" t="n"/>
      <c r="AI320" s="22" t="n"/>
      <c r="AJ320" s="22" t="n"/>
      <c r="AK320" s="22" t="n"/>
      <c r="AL320" s="22" t="n"/>
      <c r="AM320" s="22" t="n"/>
      <c r="AN320" s="22" t="n"/>
      <c r="AO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  <c r="AC321" s="22" t="n"/>
      <c r="AD321" s="22" t="n"/>
      <c r="AE321" s="22" t="n"/>
      <c r="AF321" s="22" t="n"/>
      <c r="AG321" s="22" t="n"/>
      <c r="AH321" s="22" t="n"/>
      <c r="AI321" s="22" t="n"/>
      <c r="AJ321" s="22" t="n"/>
      <c r="AK321" s="22" t="n"/>
      <c r="AL321" s="22" t="n"/>
      <c r="AM321" s="22" t="n"/>
      <c r="AN321" s="22" t="n"/>
      <c r="AO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  <c r="AC322" s="22" t="n"/>
      <c r="AD322" s="22" t="n"/>
      <c r="AE322" s="22" t="n"/>
      <c r="AF322" s="22" t="n"/>
      <c r="AG322" s="22" t="n"/>
      <c r="AH322" s="22" t="n"/>
      <c r="AI322" s="22" t="n"/>
      <c r="AJ322" s="22" t="n"/>
      <c r="AK322" s="22" t="n"/>
      <c r="AL322" s="22" t="n"/>
      <c r="AM322" s="22" t="n"/>
      <c r="AN322" s="22" t="n"/>
      <c r="AO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  <c r="AC323" s="22" t="n"/>
      <c r="AD323" s="22" t="n"/>
      <c r="AE323" s="22" t="n"/>
      <c r="AF323" s="22" t="n"/>
      <c r="AG323" s="22" t="n"/>
      <c r="AH323" s="22" t="n"/>
      <c r="AI323" s="22" t="n"/>
      <c r="AJ323" s="22" t="n"/>
      <c r="AK323" s="22" t="n"/>
      <c r="AL323" s="22" t="n"/>
      <c r="AM323" s="22" t="n"/>
      <c r="AN323" s="22" t="n"/>
      <c r="AO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  <c r="AC324" s="22" t="n"/>
      <c r="AD324" s="22" t="n"/>
      <c r="AE324" s="22" t="n"/>
      <c r="AF324" s="22" t="n"/>
      <c r="AG324" s="22" t="n"/>
      <c r="AH324" s="22" t="n"/>
      <c r="AI324" s="22" t="n"/>
      <c r="AJ324" s="22" t="n"/>
      <c r="AK324" s="22" t="n"/>
      <c r="AL324" s="22" t="n"/>
      <c r="AM324" s="22" t="n"/>
      <c r="AN324" s="22" t="n"/>
      <c r="AO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  <c r="AC325" s="22" t="n"/>
      <c r="AD325" s="22" t="n"/>
      <c r="AE325" s="22" t="n"/>
      <c r="AF325" s="22" t="n"/>
      <c r="AG325" s="22" t="n"/>
      <c r="AH325" s="22" t="n"/>
      <c r="AI325" s="22" t="n"/>
      <c r="AJ325" s="22" t="n"/>
      <c r="AK325" s="22" t="n"/>
      <c r="AL325" s="22" t="n"/>
      <c r="AM325" s="22" t="n"/>
      <c r="AN325" s="22" t="n"/>
      <c r="AO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  <c r="AC326" s="22" t="n"/>
      <c r="AD326" s="22" t="n"/>
      <c r="AE326" s="22" t="n"/>
      <c r="AF326" s="22" t="n"/>
      <c r="AG326" s="22" t="n"/>
      <c r="AH326" s="22" t="n"/>
      <c r="AI326" s="22" t="n"/>
      <c r="AJ326" s="22" t="n"/>
      <c r="AK326" s="22" t="n"/>
      <c r="AL326" s="22" t="n"/>
      <c r="AM326" s="22" t="n"/>
      <c r="AN326" s="22" t="n"/>
      <c r="AO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  <c r="AC327" s="22" t="n"/>
      <c r="AD327" s="22" t="n"/>
      <c r="AE327" s="22" t="n"/>
      <c r="AF327" s="22" t="n"/>
      <c r="AG327" s="22" t="n"/>
      <c r="AH327" s="22" t="n"/>
      <c r="AI327" s="22" t="n"/>
      <c r="AJ327" s="22" t="n"/>
      <c r="AK327" s="22" t="n"/>
      <c r="AL327" s="22" t="n"/>
      <c r="AM327" s="22" t="n"/>
      <c r="AN327" s="22" t="n"/>
      <c r="AO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  <c r="AC328" s="22" t="n"/>
      <c r="AD328" s="22" t="n"/>
      <c r="AE328" s="22" t="n"/>
      <c r="AF328" s="22" t="n"/>
      <c r="AG328" s="22" t="n"/>
      <c r="AH328" s="22" t="n"/>
      <c r="AI328" s="22" t="n"/>
      <c r="AJ328" s="22" t="n"/>
      <c r="AK328" s="22" t="n"/>
      <c r="AL328" s="22" t="n"/>
      <c r="AM328" s="22" t="n"/>
      <c r="AN328" s="22" t="n"/>
      <c r="AO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  <c r="AC329" s="22" t="n"/>
      <c r="AD329" s="22" t="n"/>
      <c r="AE329" s="22" t="n"/>
      <c r="AF329" s="22" t="n"/>
      <c r="AG329" s="22" t="n"/>
      <c r="AH329" s="22" t="n"/>
      <c r="AI329" s="22" t="n"/>
      <c r="AJ329" s="22" t="n"/>
      <c r="AK329" s="22" t="n"/>
      <c r="AL329" s="22" t="n"/>
      <c r="AM329" s="22" t="n"/>
      <c r="AN329" s="22" t="n"/>
      <c r="AO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  <c r="AC330" s="22" t="n"/>
      <c r="AD330" s="22" t="n"/>
      <c r="AE330" s="22" t="n"/>
      <c r="AF330" s="22" t="n"/>
      <c r="AG330" s="22" t="n"/>
      <c r="AH330" s="22" t="n"/>
      <c r="AI330" s="22" t="n"/>
      <c r="AJ330" s="22" t="n"/>
      <c r="AK330" s="22" t="n"/>
      <c r="AL330" s="22" t="n"/>
      <c r="AM330" s="22" t="n"/>
      <c r="AN330" s="22" t="n"/>
      <c r="AO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  <c r="AC331" s="22" t="n"/>
      <c r="AD331" s="22" t="n"/>
      <c r="AE331" s="22" t="n"/>
      <c r="AF331" s="22" t="n"/>
      <c r="AG331" s="22" t="n"/>
      <c r="AH331" s="22" t="n"/>
      <c r="AI331" s="22" t="n"/>
      <c r="AJ331" s="22" t="n"/>
      <c r="AK331" s="22" t="n"/>
      <c r="AL331" s="22" t="n"/>
      <c r="AM331" s="22" t="n"/>
      <c r="AN331" s="22" t="n"/>
      <c r="AO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  <c r="AC332" s="22" t="n"/>
      <c r="AD332" s="22" t="n"/>
      <c r="AE332" s="22" t="n"/>
      <c r="AF332" s="22" t="n"/>
      <c r="AG332" s="22" t="n"/>
      <c r="AH332" s="22" t="n"/>
      <c r="AI332" s="22" t="n"/>
      <c r="AJ332" s="22" t="n"/>
      <c r="AK332" s="22" t="n"/>
      <c r="AL332" s="22" t="n"/>
      <c r="AM332" s="22" t="n"/>
      <c r="AN332" s="22" t="n"/>
      <c r="AO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  <c r="AC333" s="22" t="n"/>
      <c r="AD333" s="22" t="n"/>
      <c r="AE333" s="22" t="n"/>
      <c r="AF333" s="22" t="n"/>
      <c r="AG333" s="22" t="n"/>
      <c r="AH333" s="22" t="n"/>
      <c r="AI333" s="22" t="n"/>
      <c r="AJ333" s="22" t="n"/>
      <c r="AK333" s="22" t="n"/>
      <c r="AL333" s="22" t="n"/>
      <c r="AM333" s="22" t="n"/>
      <c r="AN333" s="22" t="n"/>
      <c r="AO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  <c r="AC334" s="22" t="n"/>
      <c r="AD334" s="22" t="n"/>
      <c r="AE334" s="22" t="n"/>
      <c r="AF334" s="22" t="n"/>
      <c r="AG334" s="22" t="n"/>
      <c r="AH334" s="22" t="n"/>
      <c r="AI334" s="22" t="n"/>
      <c r="AJ334" s="22" t="n"/>
      <c r="AK334" s="22" t="n"/>
      <c r="AL334" s="22" t="n"/>
      <c r="AM334" s="22" t="n"/>
      <c r="AN334" s="22" t="n"/>
      <c r="AO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  <c r="AC335" s="22" t="n"/>
      <c r="AD335" s="22" t="n"/>
      <c r="AE335" s="22" t="n"/>
      <c r="AF335" s="22" t="n"/>
      <c r="AG335" s="22" t="n"/>
      <c r="AH335" s="22" t="n"/>
      <c r="AI335" s="22" t="n"/>
      <c r="AJ335" s="22" t="n"/>
      <c r="AK335" s="22" t="n"/>
      <c r="AL335" s="22" t="n"/>
      <c r="AM335" s="22" t="n"/>
      <c r="AN335" s="22" t="n"/>
      <c r="AO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  <c r="AC336" s="22" t="n"/>
      <c r="AD336" s="22" t="n"/>
      <c r="AE336" s="22" t="n"/>
      <c r="AF336" s="22" t="n"/>
      <c r="AG336" s="22" t="n"/>
      <c r="AH336" s="22" t="n"/>
      <c r="AI336" s="22" t="n"/>
      <c r="AJ336" s="22" t="n"/>
      <c r="AK336" s="22" t="n"/>
      <c r="AL336" s="22" t="n"/>
      <c r="AM336" s="22" t="n"/>
      <c r="AN336" s="22" t="n"/>
      <c r="AO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  <c r="AC337" s="22" t="n"/>
      <c r="AD337" s="22" t="n"/>
      <c r="AE337" s="22" t="n"/>
      <c r="AF337" s="22" t="n"/>
      <c r="AG337" s="22" t="n"/>
      <c r="AH337" s="22" t="n"/>
      <c r="AI337" s="22" t="n"/>
      <c r="AJ337" s="22" t="n"/>
      <c r="AK337" s="22" t="n"/>
      <c r="AL337" s="22" t="n"/>
      <c r="AM337" s="22" t="n"/>
      <c r="AN337" s="22" t="n"/>
      <c r="AO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  <c r="AC338" s="22" t="n"/>
      <c r="AD338" s="22" t="n"/>
      <c r="AE338" s="22" t="n"/>
      <c r="AF338" s="22" t="n"/>
      <c r="AG338" s="22" t="n"/>
      <c r="AH338" s="22" t="n"/>
      <c r="AI338" s="22" t="n"/>
      <c r="AJ338" s="22" t="n"/>
      <c r="AK338" s="22" t="n"/>
      <c r="AL338" s="22" t="n"/>
      <c r="AM338" s="22" t="n"/>
      <c r="AN338" s="22" t="n"/>
      <c r="AO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  <c r="AC339" s="22" t="n"/>
      <c r="AD339" s="22" t="n"/>
      <c r="AE339" s="22" t="n"/>
      <c r="AF339" s="22" t="n"/>
      <c r="AG339" s="22" t="n"/>
      <c r="AH339" s="22" t="n"/>
      <c r="AI339" s="22" t="n"/>
      <c r="AJ339" s="22" t="n"/>
      <c r="AK339" s="22" t="n"/>
      <c r="AL339" s="22" t="n"/>
      <c r="AM339" s="22" t="n"/>
      <c r="AN339" s="22" t="n"/>
      <c r="AO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  <c r="AC340" s="22" t="n"/>
      <c r="AD340" s="22" t="n"/>
      <c r="AE340" s="22" t="n"/>
      <c r="AF340" s="22" t="n"/>
      <c r="AG340" s="22" t="n"/>
      <c r="AH340" s="22" t="n"/>
      <c r="AI340" s="22" t="n"/>
      <c r="AJ340" s="22" t="n"/>
      <c r="AK340" s="22" t="n"/>
      <c r="AL340" s="22" t="n"/>
      <c r="AM340" s="22" t="n"/>
      <c r="AN340" s="22" t="n"/>
      <c r="AO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  <c r="AC341" s="22" t="n"/>
      <c r="AD341" s="22" t="n"/>
      <c r="AE341" s="22" t="n"/>
      <c r="AF341" s="22" t="n"/>
      <c r="AG341" s="22" t="n"/>
      <c r="AH341" s="22" t="n"/>
      <c r="AI341" s="22" t="n"/>
      <c r="AJ341" s="22" t="n"/>
      <c r="AK341" s="22" t="n"/>
      <c r="AL341" s="22" t="n"/>
      <c r="AM341" s="22" t="n"/>
      <c r="AN341" s="22" t="n"/>
      <c r="AO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  <c r="AC342" s="22" t="n"/>
      <c r="AD342" s="22" t="n"/>
      <c r="AE342" s="22" t="n"/>
      <c r="AF342" s="22" t="n"/>
      <c r="AG342" s="22" t="n"/>
      <c r="AH342" s="22" t="n"/>
      <c r="AI342" s="22" t="n"/>
      <c r="AJ342" s="22" t="n"/>
      <c r="AK342" s="22" t="n"/>
      <c r="AL342" s="22" t="n"/>
      <c r="AM342" s="22" t="n"/>
      <c r="AN342" s="22" t="n"/>
      <c r="AO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  <c r="AC343" s="22" t="n"/>
      <c r="AD343" s="22" t="n"/>
      <c r="AE343" s="22" t="n"/>
      <c r="AF343" s="22" t="n"/>
      <c r="AG343" s="22" t="n"/>
      <c r="AH343" s="22" t="n"/>
      <c r="AI343" s="22" t="n"/>
      <c r="AJ343" s="22" t="n"/>
      <c r="AK343" s="22" t="n"/>
      <c r="AL343" s="22" t="n"/>
      <c r="AM343" s="22" t="n"/>
      <c r="AN343" s="22" t="n"/>
      <c r="AO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  <c r="AC344" s="22" t="n"/>
      <c r="AD344" s="22" t="n"/>
      <c r="AE344" s="22" t="n"/>
      <c r="AF344" s="22" t="n"/>
      <c r="AG344" s="22" t="n"/>
      <c r="AH344" s="22" t="n"/>
      <c r="AI344" s="22" t="n"/>
      <c r="AJ344" s="22" t="n"/>
      <c r="AK344" s="22" t="n"/>
      <c r="AL344" s="22" t="n"/>
      <c r="AM344" s="22" t="n"/>
      <c r="AN344" s="22" t="n"/>
      <c r="AO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  <c r="AC345" s="22" t="n"/>
      <c r="AD345" s="22" t="n"/>
      <c r="AE345" s="22" t="n"/>
      <c r="AF345" s="22" t="n"/>
      <c r="AG345" s="22" t="n"/>
      <c r="AH345" s="22" t="n"/>
      <c r="AI345" s="22" t="n"/>
      <c r="AJ345" s="22" t="n"/>
      <c r="AK345" s="22" t="n"/>
      <c r="AL345" s="22" t="n"/>
      <c r="AM345" s="22" t="n"/>
      <c r="AN345" s="22" t="n"/>
      <c r="AO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  <c r="AC346" s="22" t="n"/>
      <c r="AD346" s="22" t="n"/>
      <c r="AE346" s="22" t="n"/>
      <c r="AF346" s="22" t="n"/>
      <c r="AG346" s="22" t="n"/>
      <c r="AH346" s="22" t="n"/>
      <c r="AI346" s="22" t="n"/>
      <c r="AJ346" s="22" t="n"/>
      <c r="AK346" s="22" t="n"/>
      <c r="AL346" s="22" t="n"/>
      <c r="AM346" s="22" t="n"/>
      <c r="AN346" s="22" t="n"/>
      <c r="AO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  <c r="AC347" s="22" t="n"/>
      <c r="AD347" s="22" t="n"/>
      <c r="AE347" s="22" t="n"/>
      <c r="AF347" s="22" t="n"/>
      <c r="AG347" s="22" t="n"/>
      <c r="AH347" s="22" t="n"/>
      <c r="AI347" s="22" t="n"/>
      <c r="AJ347" s="22" t="n"/>
      <c r="AK347" s="22" t="n"/>
      <c r="AL347" s="22" t="n"/>
      <c r="AM347" s="22" t="n"/>
      <c r="AN347" s="22" t="n"/>
      <c r="AO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  <c r="AC348" s="22" t="n"/>
      <c r="AD348" s="22" t="n"/>
      <c r="AE348" s="22" t="n"/>
      <c r="AF348" s="22" t="n"/>
      <c r="AG348" s="22" t="n"/>
      <c r="AH348" s="22" t="n"/>
      <c r="AI348" s="22" t="n"/>
      <c r="AJ348" s="22" t="n"/>
      <c r="AK348" s="22" t="n"/>
      <c r="AL348" s="22" t="n"/>
      <c r="AM348" s="22" t="n"/>
      <c r="AN348" s="22" t="n"/>
      <c r="AO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  <c r="AC349" s="22" t="n"/>
      <c r="AD349" s="22" t="n"/>
      <c r="AE349" s="22" t="n"/>
      <c r="AF349" s="22" t="n"/>
      <c r="AG349" s="22" t="n"/>
      <c r="AH349" s="22" t="n"/>
      <c r="AI349" s="22" t="n"/>
      <c r="AJ349" s="22" t="n"/>
      <c r="AK349" s="22" t="n"/>
      <c r="AL349" s="22" t="n"/>
      <c r="AM349" s="22" t="n"/>
      <c r="AN349" s="22" t="n"/>
      <c r="AO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  <c r="AC350" s="22" t="n"/>
      <c r="AD350" s="22" t="n"/>
      <c r="AE350" s="22" t="n"/>
      <c r="AF350" s="22" t="n"/>
      <c r="AG350" s="22" t="n"/>
      <c r="AH350" s="22" t="n"/>
      <c r="AI350" s="22" t="n"/>
      <c r="AJ350" s="22" t="n"/>
      <c r="AK350" s="22" t="n"/>
      <c r="AL350" s="22" t="n"/>
      <c r="AM350" s="22" t="n"/>
      <c r="AN350" s="22" t="n"/>
      <c r="AO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  <c r="AC351" s="22" t="n"/>
      <c r="AD351" s="22" t="n"/>
      <c r="AE351" s="22" t="n"/>
      <c r="AF351" s="22" t="n"/>
      <c r="AG351" s="22" t="n"/>
      <c r="AH351" s="22" t="n"/>
      <c r="AI351" s="22" t="n"/>
      <c r="AJ351" s="22" t="n"/>
      <c r="AK351" s="22" t="n"/>
      <c r="AL351" s="22" t="n"/>
      <c r="AM351" s="22" t="n"/>
      <c r="AN351" s="22" t="n"/>
      <c r="AO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  <c r="AC352" s="22" t="n"/>
      <c r="AD352" s="22" t="n"/>
      <c r="AE352" s="22" t="n"/>
      <c r="AF352" s="22" t="n"/>
      <c r="AG352" s="22" t="n"/>
      <c r="AH352" s="22" t="n"/>
      <c r="AI352" s="22" t="n"/>
      <c r="AJ352" s="22" t="n"/>
      <c r="AK352" s="22" t="n"/>
      <c r="AL352" s="22" t="n"/>
      <c r="AM352" s="22" t="n"/>
      <c r="AN352" s="22" t="n"/>
      <c r="AO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  <c r="AC353" s="22" t="n"/>
      <c r="AD353" s="22" t="n"/>
      <c r="AE353" s="22" t="n"/>
      <c r="AF353" s="22" t="n"/>
      <c r="AG353" s="22" t="n"/>
      <c r="AH353" s="22" t="n"/>
      <c r="AI353" s="22" t="n"/>
      <c r="AJ353" s="22" t="n"/>
      <c r="AK353" s="22" t="n"/>
      <c r="AL353" s="22" t="n"/>
      <c r="AM353" s="22" t="n"/>
      <c r="AN353" s="22" t="n"/>
      <c r="AO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  <c r="AC354" s="22" t="n"/>
      <c r="AD354" s="22" t="n"/>
      <c r="AE354" s="22" t="n"/>
      <c r="AF354" s="22" t="n"/>
      <c r="AG354" s="22" t="n"/>
      <c r="AH354" s="22" t="n"/>
      <c r="AI354" s="22" t="n"/>
      <c r="AJ354" s="22" t="n"/>
      <c r="AK354" s="22" t="n"/>
      <c r="AL354" s="22" t="n"/>
      <c r="AM354" s="22" t="n"/>
      <c r="AN354" s="22" t="n"/>
      <c r="AO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  <c r="AC355" s="22" t="n"/>
      <c r="AD355" s="22" t="n"/>
      <c r="AE355" s="22" t="n"/>
      <c r="AF355" s="22" t="n"/>
      <c r="AG355" s="22" t="n"/>
      <c r="AH355" s="22" t="n"/>
      <c r="AI355" s="22" t="n"/>
      <c r="AJ355" s="22" t="n"/>
      <c r="AK355" s="22" t="n"/>
      <c r="AL355" s="22" t="n"/>
      <c r="AM355" s="22" t="n"/>
      <c r="AN355" s="22" t="n"/>
      <c r="AO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  <c r="AC356" s="22" t="n"/>
      <c r="AD356" s="22" t="n"/>
      <c r="AE356" s="22" t="n"/>
      <c r="AF356" s="22" t="n"/>
      <c r="AG356" s="22" t="n"/>
      <c r="AH356" s="22" t="n"/>
      <c r="AI356" s="22" t="n"/>
      <c r="AJ356" s="22" t="n"/>
      <c r="AK356" s="22" t="n"/>
      <c r="AL356" s="22" t="n"/>
      <c r="AM356" s="22" t="n"/>
      <c r="AN356" s="22" t="n"/>
      <c r="AO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  <c r="AC357" s="22" t="n"/>
      <c r="AD357" s="22" t="n"/>
      <c r="AE357" s="22" t="n"/>
      <c r="AF357" s="22" t="n"/>
      <c r="AG357" s="22" t="n"/>
      <c r="AH357" s="22" t="n"/>
      <c r="AI357" s="22" t="n"/>
      <c r="AJ357" s="22" t="n"/>
      <c r="AK357" s="22" t="n"/>
      <c r="AL357" s="22" t="n"/>
      <c r="AM357" s="22" t="n"/>
      <c r="AN357" s="22" t="n"/>
      <c r="AO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  <c r="AC358" s="22" t="n"/>
      <c r="AD358" s="22" t="n"/>
      <c r="AE358" s="22" t="n"/>
      <c r="AF358" s="22" t="n"/>
      <c r="AG358" s="22" t="n"/>
      <c r="AH358" s="22" t="n"/>
      <c r="AI358" s="22" t="n"/>
      <c r="AJ358" s="22" t="n"/>
      <c r="AK358" s="22" t="n"/>
      <c r="AL358" s="22" t="n"/>
      <c r="AM358" s="22" t="n"/>
      <c r="AN358" s="22" t="n"/>
      <c r="AO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  <c r="AC359" s="22" t="n"/>
      <c r="AD359" s="22" t="n"/>
      <c r="AE359" s="22" t="n"/>
      <c r="AF359" s="22" t="n"/>
      <c r="AG359" s="22" t="n"/>
      <c r="AH359" s="22" t="n"/>
      <c r="AI359" s="22" t="n"/>
      <c r="AJ359" s="22" t="n"/>
      <c r="AK359" s="22" t="n"/>
      <c r="AL359" s="22" t="n"/>
      <c r="AM359" s="22" t="n"/>
      <c r="AN359" s="22" t="n"/>
      <c r="AO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  <c r="AC360" s="22" t="n"/>
      <c r="AD360" s="22" t="n"/>
      <c r="AE360" s="22" t="n"/>
      <c r="AF360" s="22" t="n"/>
      <c r="AG360" s="22" t="n"/>
      <c r="AH360" s="22" t="n"/>
      <c r="AI360" s="22" t="n"/>
      <c r="AJ360" s="22" t="n"/>
      <c r="AK360" s="22" t="n"/>
      <c r="AL360" s="22" t="n"/>
      <c r="AM360" s="22" t="n"/>
      <c r="AN360" s="22" t="n"/>
      <c r="AO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  <c r="AC361" s="22" t="n"/>
      <c r="AD361" s="22" t="n"/>
      <c r="AE361" s="22" t="n"/>
      <c r="AF361" s="22" t="n"/>
      <c r="AG361" s="22" t="n"/>
      <c r="AH361" s="22" t="n"/>
      <c r="AI361" s="22" t="n"/>
      <c r="AJ361" s="22" t="n"/>
      <c r="AK361" s="22" t="n"/>
      <c r="AL361" s="22" t="n"/>
      <c r="AM361" s="22" t="n"/>
      <c r="AN361" s="22" t="n"/>
      <c r="AO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  <c r="AC362" s="22" t="n"/>
      <c r="AD362" s="22" t="n"/>
      <c r="AE362" s="22" t="n"/>
      <c r="AF362" s="22" t="n"/>
      <c r="AG362" s="22" t="n"/>
      <c r="AH362" s="22" t="n"/>
      <c r="AI362" s="22" t="n"/>
      <c r="AJ362" s="22" t="n"/>
      <c r="AK362" s="22" t="n"/>
      <c r="AL362" s="22" t="n"/>
      <c r="AM362" s="22" t="n"/>
      <c r="AN362" s="22" t="n"/>
      <c r="AO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  <c r="AC363" s="22" t="n"/>
      <c r="AD363" s="22" t="n"/>
      <c r="AE363" s="22" t="n"/>
      <c r="AF363" s="22" t="n"/>
      <c r="AG363" s="22" t="n"/>
      <c r="AH363" s="22" t="n"/>
      <c r="AI363" s="22" t="n"/>
      <c r="AJ363" s="22" t="n"/>
      <c r="AK363" s="22" t="n"/>
      <c r="AL363" s="22" t="n"/>
      <c r="AM363" s="22" t="n"/>
      <c r="AN363" s="22" t="n"/>
      <c r="AO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  <c r="AC364" s="22" t="n"/>
      <c r="AD364" s="22" t="n"/>
      <c r="AE364" s="22" t="n"/>
      <c r="AF364" s="22" t="n"/>
      <c r="AG364" s="22" t="n"/>
      <c r="AH364" s="22" t="n"/>
      <c r="AI364" s="22" t="n"/>
      <c r="AJ364" s="22" t="n"/>
      <c r="AK364" s="22" t="n"/>
      <c r="AL364" s="22" t="n"/>
      <c r="AM364" s="22" t="n"/>
      <c r="AN364" s="22" t="n"/>
      <c r="AO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  <c r="AC365" s="22" t="n"/>
      <c r="AD365" s="22" t="n"/>
      <c r="AE365" s="22" t="n"/>
      <c r="AF365" s="22" t="n"/>
      <c r="AG365" s="22" t="n"/>
      <c r="AH365" s="22" t="n"/>
      <c r="AI365" s="22" t="n"/>
      <c r="AJ365" s="22" t="n"/>
      <c r="AK365" s="22" t="n"/>
      <c r="AL365" s="22" t="n"/>
      <c r="AM365" s="22" t="n"/>
      <c r="AN365" s="22" t="n"/>
      <c r="AO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  <c r="AC366" s="22" t="n"/>
      <c r="AD366" s="22" t="n"/>
      <c r="AE366" s="22" t="n"/>
      <c r="AF366" s="22" t="n"/>
      <c r="AG366" s="22" t="n"/>
      <c r="AH366" s="22" t="n"/>
      <c r="AI366" s="22" t="n"/>
      <c r="AJ366" s="22" t="n"/>
      <c r="AK366" s="22" t="n"/>
      <c r="AL366" s="22" t="n"/>
      <c r="AM366" s="22" t="n"/>
      <c r="AN366" s="22" t="n"/>
      <c r="AO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  <c r="AC367" s="22" t="n"/>
      <c r="AD367" s="22" t="n"/>
      <c r="AE367" s="22" t="n"/>
      <c r="AF367" s="22" t="n"/>
      <c r="AG367" s="22" t="n"/>
      <c r="AH367" s="22" t="n"/>
      <c r="AI367" s="22" t="n"/>
      <c r="AJ367" s="22" t="n"/>
      <c r="AK367" s="22" t="n"/>
      <c r="AL367" s="22" t="n"/>
      <c r="AM367" s="22" t="n"/>
      <c r="AN367" s="22" t="n"/>
      <c r="AO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  <c r="AC368" s="22" t="n"/>
      <c r="AD368" s="22" t="n"/>
      <c r="AE368" s="22" t="n"/>
      <c r="AF368" s="22" t="n"/>
      <c r="AG368" s="22" t="n"/>
      <c r="AH368" s="22" t="n"/>
      <c r="AI368" s="22" t="n"/>
      <c r="AJ368" s="22" t="n"/>
      <c r="AK368" s="22" t="n"/>
      <c r="AL368" s="22" t="n"/>
      <c r="AM368" s="22" t="n"/>
      <c r="AN368" s="22" t="n"/>
      <c r="AO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  <c r="AC369" s="22" t="n"/>
      <c r="AD369" s="22" t="n"/>
      <c r="AE369" s="22" t="n"/>
      <c r="AF369" s="22" t="n"/>
      <c r="AG369" s="22" t="n"/>
      <c r="AH369" s="22" t="n"/>
      <c r="AI369" s="22" t="n"/>
      <c r="AJ369" s="22" t="n"/>
      <c r="AK369" s="22" t="n"/>
      <c r="AL369" s="22" t="n"/>
      <c r="AM369" s="22" t="n"/>
      <c r="AN369" s="22" t="n"/>
      <c r="AO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  <c r="AC370" s="22" t="n"/>
      <c r="AD370" s="22" t="n"/>
      <c r="AE370" s="22" t="n"/>
      <c r="AF370" s="22" t="n"/>
      <c r="AG370" s="22" t="n"/>
      <c r="AH370" s="22" t="n"/>
      <c r="AI370" s="22" t="n"/>
      <c r="AJ370" s="22" t="n"/>
      <c r="AK370" s="22" t="n"/>
      <c r="AL370" s="22" t="n"/>
      <c r="AM370" s="22" t="n"/>
      <c r="AN370" s="22" t="n"/>
      <c r="AO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  <c r="AC371" s="22" t="n"/>
      <c r="AD371" s="22" t="n"/>
      <c r="AE371" s="22" t="n"/>
      <c r="AF371" s="22" t="n"/>
      <c r="AG371" s="22" t="n"/>
      <c r="AH371" s="22" t="n"/>
      <c r="AI371" s="22" t="n"/>
      <c r="AJ371" s="22" t="n"/>
      <c r="AK371" s="22" t="n"/>
      <c r="AL371" s="22" t="n"/>
      <c r="AM371" s="22" t="n"/>
      <c r="AN371" s="22" t="n"/>
      <c r="AO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  <c r="AC372" s="22" t="n"/>
      <c r="AD372" s="22" t="n"/>
      <c r="AE372" s="22" t="n"/>
      <c r="AF372" s="22" t="n"/>
      <c r="AG372" s="22" t="n"/>
      <c r="AH372" s="22" t="n"/>
      <c r="AI372" s="22" t="n"/>
      <c r="AJ372" s="22" t="n"/>
      <c r="AK372" s="22" t="n"/>
      <c r="AL372" s="22" t="n"/>
      <c r="AM372" s="22" t="n"/>
      <c r="AN372" s="22" t="n"/>
      <c r="AO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  <c r="AC373" s="22" t="n"/>
      <c r="AD373" s="22" t="n"/>
      <c r="AE373" s="22" t="n"/>
      <c r="AF373" s="22" t="n"/>
      <c r="AG373" s="22" t="n"/>
      <c r="AH373" s="22" t="n"/>
      <c r="AI373" s="22" t="n"/>
      <c r="AJ373" s="22" t="n"/>
      <c r="AK373" s="22" t="n"/>
      <c r="AL373" s="22" t="n"/>
      <c r="AM373" s="22" t="n"/>
      <c r="AN373" s="22" t="n"/>
      <c r="AO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  <c r="AC374" s="22" t="n"/>
      <c r="AD374" s="22" t="n"/>
      <c r="AE374" s="22" t="n"/>
      <c r="AF374" s="22" t="n"/>
      <c r="AG374" s="22" t="n"/>
      <c r="AH374" s="22" t="n"/>
      <c r="AI374" s="22" t="n"/>
      <c r="AJ374" s="22" t="n"/>
      <c r="AK374" s="22" t="n"/>
      <c r="AL374" s="22" t="n"/>
      <c r="AM374" s="22" t="n"/>
      <c r="AN374" s="22" t="n"/>
      <c r="AO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  <c r="AC375" s="22" t="n"/>
      <c r="AD375" s="22" t="n"/>
      <c r="AE375" s="22" t="n"/>
      <c r="AF375" s="22" t="n"/>
      <c r="AG375" s="22" t="n"/>
      <c r="AH375" s="22" t="n"/>
      <c r="AI375" s="22" t="n"/>
      <c r="AJ375" s="22" t="n"/>
      <c r="AK375" s="22" t="n"/>
      <c r="AL375" s="22" t="n"/>
      <c r="AM375" s="22" t="n"/>
      <c r="AN375" s="22" t="n"/>
      <c r="AO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  <c r="AC376" s="22" t="n"/>
      <c r="AD376" s="22" t="n"/>
      <c r="AE376" s="22" t="n"/>
      <c r="AF376" s="22" t="n"/>
      <c r="AG376" s="22" t="n"/>
      <c r="AH376" s="22" t="n"/>
      <c r="AI376" s="22" t="n"/>
      <c r="AJ376" s="22" t="n"/>
      <c r="AK376" s="22" t="n"/>
      <c r="AL376" s="22" t="n"/>
      <c r="AM376" s="22" t="n"/>
      <c r="AN376" s="22" t="n"/>
      <c r="AO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  <c r="AC377" s="22" t="n"/>
      <c r="AD377" s="22" t="n"/>
      <c r="AE377" s="22" t="n"/>
      <c r="AF377" s="22" t="n"/>
      <c r="AG377" s="22" t="n"/>
      <c r="AH377" s="22" t="n"/>
      <c r="AI377" s="22" t="n"/>
      <c r="AJ377" s="22" t="n"/>
      <c r="AK377" s="22" t="n"/>
      <c r="AL377" s="22" t="n"/>
      <c r="AM377" s="22" t="n"/>
      <c r="AN377" s="22" t="n"/>
      <c r="AO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  <c r="AC378" s="22" t="n"/>
      <c r="AD378" s="22" t="n"/>
      <c r="AE378" s="22" t="n"/>
      <c r="AF378" s="22" t="n"/>
      <c r="AG378" s="22" t="n"/>
      <c r="AH378" s="22" t="n"/>
      <c r="AI378" s="22" t="n"/>
      <c r="AJ378" s="22" t="n"/>
      <c r="AK378" s="22" t="n"/>
      <c r="AL378" s="22" t="n"/>
      <c r="AM378" s="22" t="n"/>
      <c r="AN378" s="22" t="n"/>
      <c r="AO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  <c r="AC379" s="22" t="n"/>
      <c r="AD379" s="22" t="n"/>
      <c r="AE379" s="22" t="n"/>
      <c r="AF379" s="22" t="n"/>
      <c r="AG379" s="22" t="n"/>
      <c r="AH379" s="22" t="n"/>
      <c r="AI379" s="22" t="n"/>
      <c r="AJ379" s="22" t="n"/>
      <c r="AK379" s="22" t="n"/>
      <c r="AL379" s="22" t="n"/>
      <c r="AM379" s="22" t="n"/>
      <c r="AN379" s="22" t="n"/>
      <c r="AO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  <c r="AC380" s="22" t="n"/>
      <c r="AD380" s="22" t="n"/>
      <c r="AE380" s="22" t="n"/>
      <c r="AF380" s="22" t="n"/>
      <c r="AG380" s="22" t="n"/>
      <c r="AH380" s="22" t="n"/>
      <c r="AI380" s="22" t="n"/>
      <c r="AJ380" s="22" t="n"/>
      <c r="AK380" s="22" t="n"/>
      <c r="AL380" s="22" t="n"/>
      <c r="AM380" s="22" t="n"/>
      <c r="AN380" s="22" t="n"/>
      <c r="AO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  <c r="AC381" s="22" t="n"/>
      <c r="AD381" s="22" t="n"/>
      <c r="AE381" s="22" t="n"/>
      <c r="AF381" s="22" t="n"/>
      <c r="AG381" s="22" t="n"/>
      <c r="AH381" s="22" t="n"/>
      <c r="AI381" s="22" t="n"/>
      <c r="AJ381" s="22" t="n"/>
      <c r="AK381" s="22" t="n"/>
      <c r="AL381" s="22" t="n"/>
      <c r="AM381" s="22" t="n"/>
      <c r="AN381" s="22" t="n"/>
      <c r="AO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  <c r="AC382" s="22" t="n"/>
      <c r="AD382" s="22" t="n"/>
      <c r="AE382" s="22" t="n"/>
      <c r="AF382" s="22" t="n"/>
      <c r="AG382" s="22" t="n"/>
      <c r="AH382" s="22" t="n"/>
      <c r="AI382" s="22" t="n"/>
      <c r="AJ382" s="22" t="n"/>
      <c r="AK382" s="22" t="n"/>
      <c r="AL382" s="22" t="n"/>
      <c r="AM382" s="22" t="n"/>
      <c r="AN382" s="22" t="n"/>
      <c r="AO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  <c r="AC383" s="22" t="n"/>
      <c r="AD383" s="22" t="n"/>
      <c r="AE383" s="22" t="n"/>
      <c r="AF383" s="22" t="n"/>
      <c r="AG383" s="22" t="n"/>
      <c r="AH383" s="22" t="n"/>
      <c r="AI383" s="22" t="n"/>
      <c r="AJ383" s="22" t="n"/>
      <c r="AK383" s="22" t="n"/>
      <c r="AL383" s="22" t="n"/>
      <c r="AM383" s="22" t="n"/>
      <c r="AN383" s="22" t="n"/>
      <c r="AO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  <c r="AC384" s="22" t="n"/>
      <c r="AD384" s="22" t="n"/>
      <c r="AE384" s="22" t="n"/>
      <c r="AF384" s="22" t="n"/>
      <c r="AG384" s="22" t="n"/>
      <c r="AH384" s="22" t="n"/>
      <c r="AI384" s="22" t="n"/>
      <c r="AJ384" s="22" t="n"/>
      <c r="AK384" s="22" t="n"/>
      <c r="AL384" s="22" t="n"/>
      <c r="AM384" s="22" t="n"/>
      <c r="AN384" s="22" t="n"/>
      <c r="AO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  <c r="AC385" s="22" t="n"/>
      <c r="AD385" s="22" t="n"/>
      <c r="AE385" s="22" t="n"/>
      <c r="AF385" s="22" t="n"/>
      <c r="AG385" s="22" t="n"/>
      <c r="AH385" s="22" t="n"/>
      <c r="AI385" s="22" t="n"/>
      <c r="AJ385" s="22" t="n"/>
      <c r="AK385" s="22" t="n"/>
      <c r="AL385" s="22" t="n"/>
      <c r="AM385" s="22" t="n"/>
      <c r="AN385" s="22" t="n"/>
      <c r="AO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  <c r="AC386" s="22" t="n"/>
      <c r="AD386" s="22" t="n"/>
      <c r="AE386" s="22" t="n"/>
      <c r="AF386" s="22" t="n"/>
      <c r="AG386" s="22" t="n"/>
      <c r="AH386" s="22" t="n"/>
      <c r="AI386" s="22" t="n"/>
      <c r="AJ386" s="22" t="n"/>
      <c r="AK386" s="22" t="n"/>
      <c r="AL386" s="22" t="n"/>
      <c r="AM386" s="22" t="n"/>
      <c r="AN386" s="22" t="n"/>
      <c r="AO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  <c r="AC387" s="22" t="n"/>
      <c r="AD387" s="22" t="n"/>
      <c r="AE387" s="22" t="n"/>
      <c r="AF387" s="22" t="n"/>
      <c r="AG387" s="22" t="n"/>
      <c r="AH387" s="22" t="n"/>
      <c r="AI387" s="22" t="n"/>
      <c r="AJ387" s="22" t="n"/>
      <c r="AK387" s="22" t="n"/>
      <c r="AL387" s="22" t="n"/>
      <c r="AM387" s="22" t="n"/>
      <c r="AN387" s="22" t="n"/>
      <c r="AO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  <c r="AC388" s="22" t="n"/>
      <c r="AD388" s="22" t="n"/>
      <c r="AE388" s="22" t="n"/>
      <c r="AF388" s="22" t="n"/>
      <c r="AG388" s="22" t="n"/>
      <c r="AH388" s="22" t="n"/>
      <c r="AI388" s="22" t="n"/>
      <c r="AJ388" s="22" t="n"/>
      <c r="AK388" s="22" t="n"/>
      <c r="AL388" s="22" t="n"/>
      <c r="AM388" s="22" t="n"/>
      <c r="AN388" s="22" t="n"/>
      <c r="AO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  <c r="AC389" s="22" t="n"/>
      <c r="AD389" s="22" t="n"/>
      <c r="AE389" s="22" t="n"/>
      <c r="AF389" s="22" t="n"/>
      <c r="AG389" s="22" t="n"/>
      <c r="AH389" s="22" t="n"/>
      <c r="AI389" s="22" t="n"/>
      <c r="AJ389" s="22" t="n"/>
      <c r="AK389" s="22" t="n"/>
      <c r="AL389" s="22" t="n"/>
      <c r="AM389" s="22" t="n"/>
      <c r="AN389" s="22" t="n"/>
      <c r="AO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  <c r="AC390" s="22" t="n"/>
      <c r="AD390" s="22" t="n"/>
      <c r="AE390" s="22" t="n"/>
      <c r="AF390" s="22" t="n"/>
      <c r="AG390" s="22" t="n"/>
      <c r="AH390" s="22" t="n"/>
      <c r="AI390" s="22" t="n"/>
      <c r="AJ390" s="22" t="n"/>
      <c r="AK390" s="22" t="n"/>
      <c r="AL390" s="22" t="n"/>
      <c r="AM390" s="22" t="n"/>
      <c r="AN390" s="22" t="n"/>
      <c r="AO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  <c r="AC391" s="22" t="n"/>
      <c r="AD391" s="22" t="n"/>
      <c r="AE391" s="22" t="n"/>
      <c r="AF391" s="22" t="n"/>
      <c r="AG391" s="22" t="n"/>
      <c r="AH391" s="22" t="n"/>
      <c r="AI391" s="22" t="n"/>
      <c r="AJ391" s="22" t="n"/>
      <c r="AK391" s="22" t="n"/>
      <c r="AL391" s="22" t="n"/>
      <c r="AM391" s="22" t="n"/>
      <c r="AN391" s="22" t="n"/>
      <c r="AO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  <c r="AC392" s="22" t="n"/>
      <c r="AD392" s="22" t="n"/>
      <c r="AE392" s="22" t="n"/>
      <c r="AF392" s="22" t="n"/>
      <c r="AG392" s="22" t="n"/>
      <c r="AH392" s="22" t="n"/>
      <c r="AI392" s="22" t="n"/>
      <c r="AJ392" s="22" t="n"/>
      <c r="AK392" s="22" t="n"/>
      <c r="AL392" s="22" t="n"/>
      <c r="AM392" s="22" t="n"/>
      <c r="AN392" s="22" t="n"/>
      <c r="AO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  <c r="AC393" s="22" t="n"/>
      <c r="AD393" s="22" t="n"/>
      <c r="AE393" s="22" t="n"/>
      <c r="AF393" s="22" t="n"/>
      <c r="AG393" s="22" t="n"/>
      <c r="AH393" s="22" t="n"/>
      <c r="AI393" s="22" t="n"/>
      <c r="AJ393" s="22" t="n"/>
      <c r="AK393" s="22" t="n"/>
      <c r="AL393" s="22" t="n"/>
      <c r="AM393" s="22" t="n"/>
      <c r="AN393" s="22" t="n"/>
      <c r="AO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  <c r="AC394" s="22" t="n"/>
      <c r="AD394" s="22" t="n"/>
      <c r="AE394" s="22" t="n"/>
      <c r="AF394" s="22" t="n"/>
      <c r="AG394" s="22" t="n"/>
      <c r="AH394" s="22" t="n"/>
      <c r="AI394" s="22" t="n"/>
      <c r="AJ394" s="22" t="n"/>
      <c r="AK394" s="22" t="n"/>
      <c r="AL394" s="22" t="n"/>
      <c r="AM394" s="22" t="n"/>
      <c r="AN394" s="22" t="n"/>
      <c r="AO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  <c r="AC395" s="22" t="n"/>
      <c r="AD395" s="22" t="n"/>
      <c r="AE395" s="22" t="n"/>
      <c r="AF395" s="22" t="n"/>
      <c r="AG395" s="22" t="n"/>
      <c r="AH395" s="22" t="n"/>
      <c r="AI395" s="22" t="n"/>
      <c r="AJ395" s="22" t="n"/>
      <c r="AK395" s="22" t="n"/>
      <c r="AL395" s="22" t="n"/>
      <c r="AM395" s="22" t="n"/>
      <c r="AN395" s="22" t="n"/>
      <c r="AO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  <c r="AC396" s="22" t="n"/>
      <c r="AD396" s="22" t="n"/>
      <c r="AE396" s="22" t="n"/>
      <c r="AF396" s="22" t="n"/>
      <c r="AG396" s="22" t="n"/>
      <c r="AH396" s="22" t="n"/>
      <c r="AI396" s="22" t="n"/>
      <c r="AJ396" s="22" t="n"/>
      <c r="AK396" s="22" t="n"/>
      <c r="AL396" s="22" t="n"/>
      <c r="AM396" s="22" t="n"/>
      <c r="AN396" s="22" t="n"/>
      <c r="AO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  <c r="AC397" s="22" t="n"/>
      <c r="AD397" s="22" t="n"/>
      <c r="AE397" s="22" t="n"/>
      <c r="AF397" s="22" t="n"/>
      <c r="AG397" s="22" t="n"/>
      <c r="AH397" s="22" t="n"/>
      <c r="AI397" s="22" t="n"/>
      <c r="AJ397" s="22" t="n"/>
      <c r="AK397" s="22" t="n"/>
      <c r="AL397" s="22" t="n"/>
      <c r="AM397" s="22" t="n"/>
      <c r="AN397" s="22" t="n"/>
      <c r="AO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  <c r="AC398" s="22" t="n"/>
      <c r="AD398" s="22" t="n"/>
      <c r="AE398" s="22" t="n"/>
      <c r="AF398" s="22" t="n"/>
      <c r="AG398" s="22" t="n"/>
      <c r="AH398" s="22" t="n"/>
      <c r="AI398" s="22" t="n"/>
      <c r="AJ398" s="22" t="n"/>
      <c r="AK398" s="22" t="n"/>
      <c r="AL398" s="22" t="n"/>
      <c r="AM398" s="22" t="n"/>
      <c r="AN398" s="22" t="n"/>
      <c r="AO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  <c r="AC399" s="22" t="n"/>
      <c r="AD399" s="22" t="n"/>
      <c r="AE399" s="22" t="n"/>
      <c r="AF399" s="22" t="n"/>
      <c r="AG399" s="22" t="n"/>
      <c r="AH399" s="22" t="n"/>
      <c r="AI399" s="22" t="n"/>
      <c r="AJ399" s="22" t="n"/>
      <c r="AK399" s="22" t="n"/>
      <c r="AL399" s="22" t="n"/>
      <c r="AM399" s="22" t="n"/>
      <c r="AN399" s="22" t="n"/>
      <c r="AO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  <c r="AC400" s="22" t="n"/>
      <c r="AD400" s="22" t="n"/>
      <c r="AE400" s="22" t="n"/>
      <c r="AF400" s="22" t="n"/>
      <c r="AG400" s="22" t="n"/>
      <c r="AH400" s="22" t="n"/>
      <c r="AI400" s="22" t="n"/>
      <c r="AJ400" s="22" t="n"/>
      <c r="AK400" s="22" t="n"/>
      <c r="AL400" s="22" t="n"/>
      <c r="AM400" s="22" t="n"/>
      <c r="AN400" s="22" t="n"/>
      <c r="AO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  <c r="AC401" s="22" t="n"/>
      <c r="AD401" s="22" t="n"/>
      <c r="AE401" s="22" t="n"/>
      <c r="AF401" s="22" t="n"/>
      <c r="AG401" s="22" t="n"/>
      <c r="AH401" s="22" t="n"/>
      <c r="AI401" s="22" t="n"/>
      <c r="AJ401" s="22" t="n"/>
      <c r="AK401" s="22" t="n"/>
      <c r="AL401" s="22" t="n"/>
      <c r="AM401" s="22" t="n"/>
      <c r="AN401" s="22" t="n"/>
      <c r="AO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  <c r="AC402" s="22" t="n"/>
      <c r="AD402" s="22" t="n"/>
      <c r="AE402" s="22" t="n"/>
      <c r="AF402" s="22" t="n"/>
      <c r="AG402" s="22" t="n"/>
      <c r="AH402" s="22" t="n"/>
      <c r="AI402" s="22" t="n"/>
      <c r="AJ402" s="22" t="n"/>
      <c r="AK402" s="22" t="n"/>
      <c r="AL402" s="22" t="n"/>
      <c r="AM402" s="22" t="n"/>
      <c r="AN402" s="22" t="n"/>
      <c r="AO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  <c r="AC403" s="22" t="n"/>
      <c r="AD403" s="22" t="n"/>
      <c r="AE403" s="22" t="n"/>
      <c r="AF403" s="22" t="n"/>
      <c r="AG403" s="22" t="n"/>
      <c r="AH403" s="22" t="n"/>
      <c r="AI403" s="22" t="n"/>
      <c r="AJ403" s="22" t="n"/>
      <c r="AK403" s="22" t="n"/>
      <c r="AL403" s="22" t="n"/>
      <c r="AM403" s="22" t="n"/>
      <c r="AN403" s="22" t="n"/>
      <c r="AO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  <c r="AC404" s="22" t="n"/>
      <c r="AD404" s="22" t="n"/>
      <c r="AE404" s="22" t="n"/>
      <c r="AF404" s="22" t="n"/>
      <c r="AG404" s="22" t="n"/>
      <c r="AH404" s="22" t="n"/>
      <c r="AI404" s="22" t="n"/>
      <c r="AJ404" s="22" t="n"/>
      <c r="AK404" s="22" t="n"/>
      <c r="AL404" s="22" t="n"/>
      <c r="AM404" s="22" t="n"/>
      <c r="AN404" s="22" t="n"/>
      <c r="AO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  <c r="AC405" s="22" t="n"/>
      <c r="AD405" s="22" t="n"/>
      <c r="AE405" s="22" t="n"/>
      <c r="AF405" s="22" t="n"/>
      <c r="AG405" s="22" t="n"/>
      <c r="AH405" s="22" t="n"/>
      <c r="AI405" s="22" t="n"/>
      <c r="AJ405" s="22" t="n"/>
      <c r="AK405" s="22" t="n"/>
      <c r="AL405" s="22" t="n"/>
      <c r="AM405" s="22" t="n"/>
      <c r="AN405" s="22" t="n"/>
      <c r="AO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  <c r="AC406" s="22" t="n"/>
      <c r="AD406" s="22" t="n"/>
      <c r="AE406" s="22" t="n"/>
      <c r="AF406" s="22" t="n"/>
      <c r="AG406" s="22" t="n"/>
      <c r="AH406" s="22" t="n"/>
      <c r="AI406" s="22" t="n"/>
      <c r="AJ406" s="22" t="n"/>
      <c r="AK406" s="22" t="n"/>
      <c r="AL406" s="22" t="n"/>
      <c r="AM406" s="22" t="n"/>
      <c r="AN406" s="22" t="n"/>
      <c r="AO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  <c r="AC407" s="22" t="n"/>
      <c r="AD407" s="22" t="n"/>
      <c r="AE407" s="22" t="n"/>
      <c r="AF407" s="22" t="n"/>
      <c r="AG407" s="22" t="n"/>
      <c r="AH407" s="22" t="n"/>
      <c r="AI407" s="22" t="n"/>
      <c r="AJ407" s="22" t="n"/>
      <c r="AK407" s="22" t="n"/>
      <c r="AL407" s="22" t="n"/>
      <c r="AM407" s="22" t="n"/>
      <c r="AN407" s="22" t="n"/>
      <c r="AO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  <c r="AC408" s="22" t="n"/>
      <c r="AD408" s="22" t="n"/>
      <c r="AE408" s="22" t="n"/>
      <c r="AF408" s="22" t="n"/>
      <c r="AG408" s="22" t="n"/>
      <c r="AH408" s="22" t="n"/>
      <c r="AI408" s="22" t="n"/>
      <c r="AJ408" s="22" t="n"/>
      <c r="AK408" s="22" t="n"/>
      <c r="AL408" s="22" t="n"/>
      <c r="AM408" s="22" t="n"/>
      <c r="AN408" s="22" t="n"/>
      <c r="AO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  <c r="AC409" s="22" t="n"/>
      <c r="AD409" s="22" t="n"/>
      <c r="AE409" s="22" t="n"/>
      <c r="AF409" s="22" t="n"/>
      <c r="AG409" s="22" t="n"/>
      <c r="AH409" s="22" t="n"/>
      <c r="AI409" s="22" t="n"/>
      <c r="AJ409" s="22" t="n"/>
      <c r="AK409" s="22" t="n"/>
      <c r="AL409" s="22" t="n"/>
      <c r="AM409" s="22" t="n"/>
      <c r="AN409" s="22" t="n"/>
      <c r="AO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  <c r="AC410" s="22" t="n"/>
      <c r="AD410" s="22" t="n"/>
      <c r="AE410" s="22" t="n"/>
      <c r="AF410" s="22" t="n"/>
      <c r="AG410" s="22" t="n"/>
      <c r="AH410" s="22" t="n"/>
      <c r="AI410" s="22" t="n"/>
      <c r="AJ410" s="22" t="n"/>
      <c r="AK410" s="22" t="n"/>
      <c r="AL410" s="22" t="n"/>
      <c r="AM410" s="22" t="n"/>
      <c r="AN410" s="22" t="n"/>
      <c r="AO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  <c r="AC411" s="22" t="n"/>
      <c r="AD411" s="22" t="n"/>
      <c r="AE411" s="22" t="n"/>
      <c r="AF411" s="22" t="n"/>
      <c r="AG411" s="22" t="n"/>
      <c r="AH411" s="22" t="n"/>
      <c r="AI411" s="22" t="n"/>
      <c r="AJ411" s="22" t="n"/>
      <c r="AK411" s="22" t="n"/>
      <c r="AL411" s="22" t="n"/>
      <c r="AM411" s="22" t="n"/>
      <c r="AN411" s="22" t="n"/>
      <c r="AO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  <c r="AC412" s="22" t="n"/>
      <c r="AD412" s="22" t="n"/>
      <c r="AE412" s="22" t="n"/>
      <c r="AF412" s="22" t="n"/>
      <c r="AG412" s="22" t="n"/>
      <c r="AH412" s="22" t="n"/>
      <c r="AI412" s="22" t="n"/>
      <c r="AJ412" s="22" t="n"/>
      <c r="AK412" s="22" t="n"/>
      <c r="AL412" s="22" t="n"/>
      <c r="AM412" s="22" t="n"/>
      <c r="AN412" s="22" t="n"/>
      <c r="AO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  <c r="AC413" s="22" t="n"/>
      <c r="AD413" s="22" t="n"/>
      <c r="AE413" s="22" t="n"/>
      <c r="AF413" s="22" t="n"/>
      <c r="AG413" s="22" t="n"/>
      <c r="AH413" s="22" t="n"/>
      <c r="AI413" s="22" t="n"/>
      <c r="AJ413" s="22" t="n"/>
      <c r="AK413" s="22" t="n"/>
      <c r="AL413" s="22" t="n"/>
      <c r="AM413" s="22" t="n"/>
      <c r="AN413" s="22" t="n"/>
      <c r="AO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  <c r="AC414" s="22" t="n"/>
      <c r="AD414" s="22" t="n"/>
      <c r="AE414" s="22" t="n"/>
      <c r="AF414" s="22" t="n"/>
      <c r="AG414" s="22" t="n"/>
      <c r="AH414" s="22" t="n"/>
      <c r="AI414" s="22" t="n"/>
      <c r="AJ414" s="22" t="n"/>
      <c r="AK414" s="22" t="n"/>
      <c r="AL414" s="22" t="n"/>
      <c r="AM414" s="22" t="n"/>
      <c r="AN414" s="22" t="n"/>
      <c r="AO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  <c r="AC415" s="22" t="n"/>
      <c r="AD415" s="22" t="n"/>
      <c r="AE415" s="22" t="n"/>
      <c r="AF415" s="22" t="n"/>
      <c r="AG415" s="22" t="n"/>
      <c r="AH415" s="22" t="n"/>
      <c r="AI415" s="22" t="n"/>
      <c r="AJ415" s="22" t="n"/>
      <c r="AK415" s="22" t="n"/>
      <c r="AL415" s="22" t="n"/>
      <c r="AM415" s="22" t="n"/>
      <c r="AN415" s="22" t="n"/>
      <c r="AO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  <c r="AC416" s="22" t="n"/>
      <c r="AD416" s="22" t="n"/>
      <c r="AE416" s="22" t="n"/>
      <c r="AF416" s="22" t="n"/>
      <c r="AG416" s="22" t="n"/>
      <c r="AH416" s="22" t="n"/>
      <c r="AI416" s="22" t="n"/>
      <c r="AJ416" s="22" t="n"/>
      <c r="AK416" s="22" t="n"/>
      <c r="AL416" s="22" t="n"/>
      <c r="AM416" s="22" t="n"/>
      <c r="AN416" s="22" t="n"/>
      <c r="AO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  <c r="AC417" s="22" t="n"/>
      <c r="AD417" s="22" t="n"/>
      <c r="AE417" s="22" t="n"/>
      <c r="AF417" s="22" t="n"/>
      <c r="AG417" s="22" t="n"/>
      <c r="AH417" s="22" t="n"/>
      <c r="AI417" s="22" t="n"/>
      <c r="AJ417" s="22" t="n"/>
      <c r="AK417" s="22" t="n"/>
      <c r="AL417" s="22" t="n"/>
      <c r="AM417" s="22" t="n"/>
      <c r="AN417" s="22" t="n"/>
      <c r="AO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  <c r="AC418" s="22" t="n"/>
      <c r="AD418" s="22" t="n"/>
      <c r="AE418" s="22" t="n"/>
      <c r="AF418" s="22" t="n"/>
      <c r="AG418" s="22" t="n"/>
      <c r="AH418" s="22" t="n"/>
      <c r="AI418" s="22" t="n"/>
      <c r="AJ418" s="22" t="n"/>
      <c r="AK418" s="22" t="n"/>
      <c r="AL418" s="22" t="n"/>
      <c r="AM418" s="22" t="n"/>
      <c r="AN418" s="22" t="n"/>
      <c r="AO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  <c r="AC419" s="22" t="n"/>
      <c r="AD419" s="22" t="n"/>
      <c r="AE419" s="22" t="n"/>
      <c r="AF419" s="22" t="n"/>
      <c r="AG419" s="22" t="n"/>
      <c r="AH419" s="22" t="n"/>
      <c r="AI419" s="22" t="n"/>
      <c r="AJ419" s="22" t="n"/>
      <c r="AK419" s="22" t="n"/>
      <c r="AL419" s="22" t="n"/>
      <c r="AM419" s="22" t="n"/>
      <c r="AN419" s="22" t="n"/>
      <c r="AO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  <c r="AC420" s="22" t="n"/>
      <c r="AD420" s="22" t="n"/>
      <c r="AE420" s="22" t="n"/>
      <c r="AF420" s="22" t="n"/>
      <c r="AG420" s="22" t="n"/>
      <c r="AH420" s="22" t="n"/>
      <c r="AI420" s="22" t="n"/>
      <c r="AJ420" s="22" t="n"/>
      <c r="AK420" s="22" t="n"/>
      <c r="AL420" s="22" t="n"/>
      <c r="AM420" s="22" t="n"/>
      <c r="AN420" s="22" t="n"/>
      <c r="AO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  <c r="AC421" s="22" t="n"/>
      <c r="AD421" s="22" t="n"/>
      <c r="AE421" s="22" t="n"/>
      <c r="AF421" s="22" t="n"/>
      <c r="AG421" s="22" t="n"/>
      <c r="AH421" s="22" t="n"/>
      <c r="AI421" s="22" t="n"/>
      <c r="AJ421" s="22" t="n"/>
      <c r="AK421" s="22" t="n"/>
      <c r="AL421" s="22" t="n"/>
      <c r="AM421" s="22" t="n"/>
      <c r="AN421" s="22" t="n"/>
      <c r="AO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  <c r="AC422" s="22" t="n"/>
      <c r="AD422" s="22" t="n"/>
      <c r="AE422" s="22" t="n"/>
      <c r="AF422" s="22" t="n"/>
      <c r="AG422" s="22" t="n"/>
      <c r="AH422" s="22" t="n"/>
      <c r="AI422" s="22" t="n"/>
      <c r="AJ422" s="22" t="n"/>
      <c r="AK422" s="22" t="n"/>
      <c r="AL422" s="22" t="n"/>
      <c r="AM422" s="22" t="n"/>
      <c r="AN422" s="22" t="n"/>
      <c r="AO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  <c r="AC423" s="22" t="n"/>
      <c r="AD423" s="22" t="n"/>
      <c r="AE423" s="22" t="n"/>
      <c r="AF423" s="22" t="n"/>
      <c r="AG423" s="22" t="n"/>
      <c r="AH423" s="22" t="n"/>
      <c r="AI423" s="22" t="n"/>
      <c r="AJ423" s="22" t="n"/>
      <c r="AK423" s="22" t="n"/>
      <c r="AL423" s="22" t="n"/>
      <c r="AM423" s="22" t="n"/>
      <c r="AN423" s="22" t="n"/>
      <c r="AO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  <c r="AC424" s="22" t="n"/>
      <c r="AD424" s="22" t="n"/>
      <c r="AE424" s="22" t="n"/>
      <c r="AF424" s="22" t="n"/>
      <c r="AG424" s="22" t="n"/>
      <c r="AH424" s="22" t="n"/>
      <c r="AI424" s="22" t="n"/>
      <c r="AJ424" s="22" t="n"/>
      <c r="AK424" s="22" t="n"/>
      <c r="AL424" s="22" t="n"/>
      <c r="AM424" s="22" t="n"/>
      <c r="AN424" s="22" t="n"/>
      <c r="AO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  <c r="AC425" s="22" t="n"/>
      <c r="AD425" s="22" t="n"/>
      <c r="AE425" s="22" t="n"/>
      <c r="AF425" s="22" t="n"/>
      <c r="AG425" s="22" t="n"/>
      <c r="AH425" s="22" t="n"/>
      <c r="AI425" s="22" t="n"/>
      <c r="AJ425" s="22" t="n"/>
      <c r="AK425" s="22" t="n"/>
      <c r="AL425" s="22" t="n"/>
      <c r="AM425" s="22" t="n"/>
      <c r="AN425" s="22" t="n"/>
      <c r="AO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  <c r="AC426" s="22" t="n"/>
      <c r="AD426" s="22" t="n"/>
      <c r="AE426" s="22" t="n"/>
      <c r="AF426" s="22" t="n"/>
      <c r="AG426" s="22" t="n"/>
      <c r="AH426" s="22" t="n"/>
      <c r="AI426" s="22" t="n"/>
      <c r="AJ426" s="22" t="n"/>
      <c r="AK426" s="22" t="n"/>
      <c r="AL426" s="22" t="n"/>
      <c r="AM426" s="22" t="n"/>
      <c r="AN426" s="22" t="n"/>
      <c r="AO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  <c r="AC427" s="22" t="n"/>
      <c r="AD427" s="22" t="n"/>
      <c r="AE427" s="22" t="n"/>
      <c r="AF427" s="22" t="n"/>
      <c r="AG427" s="22" t="n"/>
      <c r="AH427" s="22" t="n"/>
      <c r="AI427" s="22" t="n"/>
      <c r="AJ427" s="22" t="n"/>
      <c r="AK427" s="22" t="n"/>
      <c r="AL427" s="22" t="n"/>
      <c r="AM427" s="22" t="n"/>
      <c r="AN427" s="22" t="n"/>
      <c r="AO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  <c r="AC428" s="22" t="n"/>
      <c r="AD428" s="22" t="n"/>
      <c r="AE428" s="22" t="n"/>
      <c r="AF428" s="22" t="n"/>
      <c r="AG428" s="22" t="n"/>
      <c r="AH428" s="22" t="n"/>
      <c r="AI428" s="22" t="n"/>
      <c r="AJ428" s="22" t="n"/>
      <c r="AK428" s="22" t="n"/>
      <c r="AL428" s="22" t="n"/>
      <c r="AM428" s="22" t="n"/>
      <c r="AN428" s="22" t="n"/>
      <c r="AO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  <c r="AC429" s="22" t="n"/>
      <c r="AD429" s="22" t="n"/>
      <c r="AE429" s="22" t="n"/>
      <c r="AF429" s="22" t="n"/>
      <c r="AG429" s="22" t="n"/>
      <c r="AH429" s="22" t="n"/>
      <c r="AI429" s="22" t="n"/>
      <c r="AJ429" s="22" t="n"/>
      <c r="AK429" s="22" t="n"/>
      <c r="AL429" s="22" t="n"/>
      <c r="AM429" s="22" t="n"/>
      <c r="AN429" s="22" t="n"/>
      <c r="AO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  <c r="AC430" s="22" t="n"/>
      <c r="AD430" s="22" t="n"/>
      <c r="AE430" s="22" t="n"/>
      <c r="AF430" s="22" t="n"/>
      <c r="AG430" s="22" t="n"/>
      <c r="AH430" s="22" t="n"/>
      <c r="AI430" s="22" t="n"/>
      <c r="AJ430" s="22" t="n"/>
      <c r="AK430" s="22" t="n"/>
      <c r="AL430" s="22" t="n"/>
      <c r="AM430" s="22" t="n"/>
      <c r="AN430" s="22" t="n"/>
      <c r="AO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  <c r="AC431" s="22" t="n"/>
      <c r="AD431" s="22" t="n"/>
      <c r="AE431" s="22" t="n"/>
      <c r="AF431" s="22" t="n"/>
      <c r="AG431" s="22" t="n"/>
      <c r="AH431" s="22" t="n"/>
      <c r="AI431" s="22" t="n"/>
      <c r="AJ431" s="22" t="n"/>
      <c r="AK431" s="22" t="n"/>
      <c r="AL431" s="22" t="n"/>
      <c r="AM431" s="22" t="n"/>
      <c r="AN431" s="22" t="n"/>
      <c r="AO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  <c r="AC432" s="22" t="n"/>
      <c r="AD432" s="22" t="n"/>
      <c r="AE432" s="22" t="n"/>
      <c r="AF432" s="22" t="n"/>
      <c r="AG432" s="22" t="n"/>
      <c r="AH432" s="22" t="n"/>
      <c r="AI432" s="22" t="n"/>
      <c r="AJ432" s="22" t="n"/>
      <c r="AK432" s="22" t="n"/>
      <c r="AL432" s="22" t="n"/>
      <c r="AM432" s="22" t="n"/>
      <c r="AN432" s="22" t="n"/>
      <c r="AO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  <c r="AC433" s="22" t="n"/>
      <c r="AD433" s="22" t="n"/>
      <c r="AE433" s="22" t="n"/>
      <c r="AF433" s="22" t="n"/>
      <c r="AG433" s="22" t="n"/>
      <c r="AH433" s="22" t="n"/>
      <c r="AI433" s="22" t="n"/>
      <c r="AJ433" s="22" t="n"/>
      <c r="AK433" s="22" t="n"/>
      <c r="AL433" s="22" t="n"/>
      <c r="AM433" s="22" t="n"/>
      <c r="AN433" s="22" t="n"/>
      <c r="AO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  <c r="AC434" s="22" t="n"/>
      <c r="AD434" s="22" t="n"/>
      <c r="AE434" s="22" t="n"/>
      <c r="AF434" s="22" t="n"/>
      <c r="AG434" s="22" t="n"/>
      <c r="AH434" s="22" t="n"/>
      <c r="AI434" s="22" t="n"/>
      <c r="AJ434" s="22" t="n"/>
      <c r="AK434" s="22" t="n"/>
      <c r="AL434" s="22" t="n"/>
      <c r="AM434" s="22" t="n"/>
      <c r="AN434" s="22" t="n"/>
      <c r="AO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  <c r="AC435" s="22" t="n"/>
      <c r="AD435" s="22" t="n"/>
      <c r="AE435" s="22" t="n"/>
      <c r="AF435" s="22" t="n"/>
      <c r="AG435" s="22" t="n"/>
      <c r="AH435" s="22" t="n"/>
      <c r="AI435" s="22" t="n"/>
      <c r="AJ435" s="22" t="n"/>
      <c r="AK435" s="22" t="n"/>
      <c r="AL435" s="22" t="n"/>
      <c r="AM435" s="22" t="n"/>
      <c r="AN435" s="22" t="n"/>
      <c r="AO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  <c r="AC436" s="22" t="n"/>
      <c r="AD436" s="22" t="n"/>
      <c r="AE436" s="22" t="n"/>
      <c r="AF436" s="22" t="n"/>
      <c r="AG436" s="22" t="n"/>
      <c r="AH436" s="22" t="n"/>
      <c r="AI436" s="22" t="n"/>
      <c r="AJ436" s="22" t="n"/>
      <c r="AK436" s="22" t="n"/>
      <c r="AL436" s="22" t="n"/>
      <c r="AM436" s="22" t="n"/>
      <c r="AN436" s="22" t="n"/>
      <c r="AO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  <c r="AC437" s="22" t="n"/>
      <c r="AD437" s="22" t="n"/>
      <c r="AE437" s="22" t="n"/>
      <c r="AF437" s="22" t="n"/>
      <c r="AG437" s="22" t="n"/>
      <c r="AH437" s="22" t="n"/>
      <c r="AI437" s="22" t="n"/>
      <c r="AJ437" s="22" t="n"/>
      <c r="AK437" s="22" t="n"/>
      <c r="AL437" s="22" t="n"/>
      <c r="AM437" s="22" t="n"/>
      <c r="AN437" s="22" t="n"/>
      <c r="AO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  <c r="AC438" s="22" t="n"/>
      <c r="AD438" s="22" t="n"/>
      <c r="AE438" s="22" t="n"/>
      <c r="AF438" s="22" t="n"/>
      <c r="AG438" s="22" t="n"/>
      <c r="AH438" s="22" t="n"/>
      <c r="AI438" s="22" t="n"/>
      <c r="AJ438" s="22" t="n"/>
      <c r="AK438" s="22" t="n"/>
      <c r="AL438" s="22" t="n"/>
      <c r="AM438" s="22" t="n"/>
      <c r="AN438" s="22" t="n"/>
      <c r="AO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  <c r="AC439" s="22" t="n"/>
      <c r="AD439" s="22" t="n"/>
      <c r="AE439" s="22" t="n"/>
      <c r="AF439" s="22" t="n"/>
      <c r="AG439" s="22" t="n"/>
      <c r="AH439" s="22" t="n"/>
      <c r="AI439" s="22" t="n"/>
      <c r="AJ439" s="22" t="n"/>
      <c r="AK439" s="22" t="n"/>
      <c r="AL439" s="22" t="n"/>
      <c r="AM439" s="22" t="n"/>
      <c r="AN439" s="22" t="n"/>
      <c r="AO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  <c r="AC440" s="22" t="n"/>
      <c r="AD440" s="22" t="n"/>
      <c r="AE440" s="22" t="n"/>
      <c r="AF440" s="22" t="n"/>
      <c r="AG440" s="22" t="n"/>
      <c r="AH440" s="22" t="n"/>
      <c r="AI440" s="22" t="n"/>
      <c r="AJ440" s="22" t="n"/>
      <c r="AK440" s="22" t="n"/>
      <c r="AL440" s="22" t="n"/>
      <c r="AM440" s="22" t="n"/>
      <c r="AN440" s="22" t="n"/>
      <c r="AO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  <c r="AC441" s="22" t="n"/>
      <c r="AD441" s="22" t="n"/>
      <c r="AE441" s="22" t="n"/>
      <c r="AF441" s="22" t="n"/>
      <c r="AG441" s="22" t="n"/>
      <c r="AH441" s="22" t="n"/>
      <c r="AI441" s="22" t="n"/>
      <c r="AJ441" s="22" t="n"/>
      <c r="AK441" s="22" t="n"/>
      <c r="AL441" s="22" t="n"/>
      <c r="AM441" s="22" t="n"/>
      <c r="AN441" s="22" t="n"/>
      <c r="AO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  <c r="AC442" s="22" t="n"/>
      <c r="AD442" s="22" t="n"/>
      <c r="AE442" s="22" t="n"/>
      <c r="AF442" s="22" t="n"/>
      <c r="AG442" s="22" t="n"/>
      <c r="AH442" s="22" t="n"/>
      <c r="AI442" s="22" t="n"/>
      <c r="AJ442" s="22" t="n"/>
      <c r="AK442" s="22" t="n"/>
      <c r="AL442" s="22" t="n"/>
      <c r="AM442" s="22" t="n"/>
      <c r="AN442" s="22" t="n"/>
      <c r="AO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  <c r="AC443" s="22" t="n"/>
      <c r="AD443" s="22" t="n"/>
      <c r="AE443" s="22" t="n"/>
      <c r="AF443" s="22" t="n"/>
      <c r="AG443" s="22" t="n"/>
      <c r="AH443" s="22" t="n"/>
      <c r="AI443" s="22" t="n"/>
      <c r="AJ443" s="22" t="n"/>
      <c r="AK443" s="22" t="n"/>
      <c r="AL443" s="22" t="n"/>
      <c r="AM443" s="22" t="n"/>
      <c r="AN443" s="22" t="n"/>
      <c r="AO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  <c r="AC444" s="22" t="n"/>
      <c r="AD444" s="22" t="n"/>
      <c r="AE444" s="22" t="n"/>
      <c r="AF444" s="22" t="n"/>
      <c r="AG444" s="22" t="n"/>
      <c r="AH444" s="22" t="n"/>
      <c r="AI444" s="22" t="n"/>
      <c r="AJ444" s="22" t="n"/>
      <c r="AK444" s="22" t="n"/>
      <c r="AL444" s="22" t="n"/>
      <c r="AM444" s="22" t="n"/>
      <c r="AN444" s="22" t="n"/>
      <c r="AO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  <c r="AC445" s="22" t="n"/>
      <c r="AD445" s="22" t="n"/>
      <c r="AE445" s="22" t="n"/>
      <c r="AF445" s="22" t="n"/>
      <c r="AG445" s="22" t="n"/>
      <c r="AH445" s="22" t="n"/>
      <c r="AI445" s="22" t="n"/>
      <c r="AJ445" s="22" t="n"/>
      <c r="AK445" s="22" t="n"/>
      <c r="AL445" s="22" t="n"/>
      <c r="AM445" s="22" t="n"/>
      <c r="AN445" s="22" t="n"/>
      <c r="AO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  <c r="AC446" s="22" t="n"/>
      <c r="AD446" s="22" t="n"/>
      <c r="AE446" s="22" t="n"/>
      <c r="AF446" s="22" t="n"/>
      <c r="AG446" s="22" t="n"/>
      <c r="AH446" s="22" t="n"/>
      <c r="AI446" s="22" t="n"/>
      <c r="AJ446" s="22" t="n"/>
      <c r="AK446" s="22" t="n"/>
      <c r="AL446" s="22" t="n"/>
      <c r="AM446" s="22" t="n"/>
      <c r="AN446" s="22" t="n"/>
      <c r="AO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  <c r="AC447" s="22" t="n"/>
      <c r="AD447" s="22" t="n"/>
      <c r="AE447" s="22" t="n"/>
      <c r="AF447" s="22" t="n"/>
      <c r="AG447" s="22" t="n"/>
      <c r="AH447" s="22" t="n"/>
      <c r="AI447" s="22" t="n"/>
      <c r="AJ447" s="22" t="n"/>
      <c r="AK447" s="22" t="n"/>
      <c r="AL447" s="22" t="n"/>
      <c r="AM447" s="22" t="n"/>
      <c r="AN447" s="22" t="n"/>
      <c r="AO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  <c r="AC448" s="22" t="n"/>
      <c r="AD448" s="22" t="n"/>
      <c r="AE448" s="22" t="n"/>
      <c r="AF448" s="22" t="n"/>
      <c r="AG448" s="22" t="n"/>
      <c r="AH448" s="22" t="n"/>
      <c r="AI448" s="22" t="n"/>
      <c r="AJ448" s="22" t="n"/>
      <c r="AK448" s="22" t="n"/>
      <c r="AL448" s="22" t="n"/>
      <c r="AM448" s="22" t="n"/>
      <c r="AN448" s="22" t="n"/>
      <c r="AO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  <c r="AC449" s="22" t="n"/>
      <c r="AD449" s="22" t="n"/>
      <c r="AE449" s="22" t="n"/>
      <c r="AF449" s="22" t="n"/>
      <c r="AG449" s="22" t="n"/>
      <c r="AH449" s="22" t="n"/>
      <c r="AI449" s="22" t="n"/>
      <c r="AJ449" s="22" t="n"/>
      <c r="AK449" s="22" t="n"/>
      <c r="AL449" s="22" t="n"/>
      <c r="AM449" s="22" t="n"/>
      <c r="AN449" s="22" t="n"/>
      <c r="AO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  <c r="AC450" s="22" t="n"/>
      <c r="AD450" s="22" t="n"/>
      <c r="AE450" s="22" t="n"/>
      <c r="AF450" s="22" t="n"/>
      <c r="AG450" s="22" t="n"/>
      <c r="AH450" s="22" t="n"/>
      <c r="AI450" s="22" t="n"/>
      <c r="AJ450" s="22" t="n"/>
      <c r="AK450" s="22" t="n"/>
      <c r="AL450" s="22" t="n"/>
      <c r="AM450" s="22" t="n"/>
      <c r="AN450" s="22" t="n"/>
      <c r="AO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  <c r="AC451" s="22" t="n"/>
      <c r="AD451" s="22" t="n"/>
      <c r="AE451" s="22" t="n"/>
      <c r="AF451" s="22" t="n"/>
      <c r="AG451" s="22" t="n"/>
      <c r="AH451" s="22" t="n"/>
      <c r="AI451" s="22" t="n"/>
      <c r="AJ451" s="22" t="n"/>
      <c r="AK451" s="22" t="n"/>
      <c r="AL451" s="22" t="n"/>
      <c r="AM451" s="22" t="n"/>
      <c r="AN451" s="22" t="n"/>
      <c r="AO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  <c r="AC452" s="22" t="n"/>
      <c r="AD452" s="22" t="n"/>
      <c r="AE452" s="22" t="n"/>
      <c r="AF452" s="22" t="n"/>
      <c r="AG452" s="22" t="n"/>
      <c r="AH452" s="22" t="n"/>
      <c r="AI452" s="22" t="n"/>
      <c r="AJ452" s="22" t="n"/>
      <c r="AK452" s="22" t="n"/>
      <c r="AL452" s="22" t="n"/>
      <c r="AM452" s="22" t="n"/>
      <c r="AN452" s="22" t="n"/>
      <c r="AO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  <c r="AC453" s="22" t="n"/>
      <c r="AD453" s="22" t="n"/>
      <c r="AE453" s="22" t="n"/>
      <c r="AF453" s="22" t="n"/>
      <c r="AG453" s="22" t="n"/>
      <c r="AH453" s="22" t="n"/>
      <c r="AI453" s="22" t="n"/>
      <c r="AJ453" s="22" t="n"/>
      <c r="AK453" s="22" t="n"/>
      <c r="AL453" s="22" t="n"/>
      <c r="AM453" s="22" t="n"/>
      <c r="AN453" s="22" t="n"/>
      <c r="AO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  <c r="AC454" s="22" t="n"/>
      <c r="AD454" s="22" t="n"/>
      <c r="AE454" s="22" t="n"/>
      <c r="AF454" s="22" t="n"/>
      <c r="AG454" s="22" t="n"/>
      <c r="AH454" s="22" t="n"/>
      <c r="AI454" s="22" t="n"/>
      <c r="AJ454" s="22" t="n"/>
      <c r="AK454" s="22" t="n"/>
      <c r="AL454" s="22" t="n"/>
      <c r="AM454" s="22" t="n"/>
      <c r="AN454" s="22" t="n"/>
      <c r="AO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  <c r="AC455" s="22" t="n"/>
      <c r="AD455" s="22" t="n"/>
      <c r="AE455" s="22" t="n"/>
      <c r="AF455" s="22" t="n"/>
      <c r="AG455" s="22" t="n"/>
      <c r="AH455" s="22" t="n"/>
      <c r="AI455" s="22" t="n"/>
      <c r="AJ455" s="22" t="n"/>
      <c r="AK455" s="22" t="n"/>
      <c r="AL455" s="22" t="n"/>
      <c r="AM455" s="22" t="n"/>
      <c r="AN455" s="22" t="n"/>
      <c r="AO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  <c r="AC456" s="22" t="n"/>
      <c r="AD456" s="22" t="n"/>
      <c r="AE456" s="22" t="n"/>
      <c r="AF456" s="22" t="n"/>
      <c r="AG456" s="22" t="n"/>
      <c r="AH456" s="22" t="n"/>
      <c r="AI456" s="22" t="n"/>
      <c r="AJ456" s="22" t="n"/>
      <c r="AK456" s="22" t="n"/>
      <c r="AL456" s="22" t="n"/>
      <c r="AM456" s="22" t="n"/>
      <c r="AN456" s="22" t="n"/>
      <c r="AO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  <c r="AC457" s="22" t="n"/>
      <c r="AD457" s="22" t="n"/>
      <c r="AE457" s="22" t="n"/>
      <c r="AF457" s="22" t="n"/>
      <c r="AG457" s="22" t="n"/>
      <c r="AH457" s="22" t="n"/>
      <c r="AI457" s="22" t="n"/>
      <c r="AJ457" s="22" t="n"/>
      <c r="AK457" s="22" t="n"/>
      <c r="AL457" s="22" t="n"/>
      <c r="AM457" s="22" t="n"/>
      <c r="AN457" s="22" t="n"/>
      <c r="AO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  <c r="AC458" s="22" t="n"/>
      <c r="AD458" s="22" t="n"/>
      <c r="AE458" s="22" t="n"/>
      <c r="AF458" s="22" t="n"/>
      <c r="AG458" s="22" t="n"/>
      <c r="AH458" s="22" t="n"/>
      <c r="AI458" s="22" t="n"/>
      <c r="AJ458" s="22" t="n"/>
      <c r="AK458" s="22" t="n"/>
      <c r="AL458" s="22" t="n"/>
      <c r="AM458" s="22" t="n"/>
      <c r="AN458" s="22" t="n"/>
      <c r="AO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  <c r="AC459" s="22" t="n"/>
      <c r="AD459" s="22" t="n"/>
      <c r="AE459" s="22" t="n"/>
      <c r="AF459" s="22" t="n"/>
      <c r="AG459" s="22" t="n"/>
      <c r="AH459" s="22" t="n"/>
      <c r="AI459" s="22" t="n"/>
      <c r="AJ459" s="22" t="n"/>
      <c r="AK459" s="22" t="n"/>
      <c r="AL459" s="22" t="n"/>
      <c r="AM459" s="22" t="n"/>
      <c r="AN459" s="22" t="n"/>
      <c r="AO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  <c r="AC460" s="22" t="n"/>
      <c r="AD460" s="22" t="n"/>
      <c r="AE460" s="22" t="n"/>
      <c r="AF460" s="22" t="n"/>
      <c r="AG460" s="22" t="n"/>
      <c r="AH460" s="22" t="n"/>
      <c r="AI460" s="22" t="n"/>
      <c r="AJ460" s="22" t="n"/>
      <c r="AK460" s="22" t="n"/>
      <c r="AL460" s="22" t="n"/>
      <c r="AM460" s="22" t="n"/>
      <c r="AN460" s="22" t="n"/>
      <c r="AO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  <c r="AC461" s="22" t="n"/>
      <c r="AD461" s="22" t="n"/>
      <c r="AE461" s="22" t="n"/>
      <c r="AF461" s="22" t="n"/>
      <c r="AG461" s="22" t="n"/>
      <c r="AH461" s="22" t="n"/>
      <c r="AI461" s="22" t="n"/>
      <c r="AJ461" s="22" t="n"/>
      <c r="AK461" s="22" t="n"/>
      <c r="AL461" s="22" t="n"/>
      <c r="AM461" s="22" t="n"/>
      <c r="AN461" s="22" t="n"/>
      <c r="AO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  <c r="AC462" s="22" t="n"/>
      <c r="AD462" s="22" t="n"/>
      <c r="AE462" s="22" t="n"/>
      <c r="AF462" s="22" t="n"/>
      <c r="AG462" s="22" t="n"/>
      <c r="AH462" s="22" t="n"/>
      <c r="AI462" s="22" t="n"/>
      <c r="AJ462" s="22" t="n"/>
      <c r="AK462" s="22" t="n"/>
      <c r="AL462" s="22" t="n"/>
      <c r="AM462" s="22" t="n"/>
      <c r="AN462" s="22" t="n"/>
      <c r="AO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  <c r="AC463" s="22" t="n"/>
      <c r="AD463" s="22" t="n"/>
      <c r="AE463" s="22" t="n"/>
      <c r="AF463" s="22" t="n"/>
      <c r="AG463" s="22" t="n"/>
      <c r="AH463" s="22" t="n"/>
      <c r="AI463" s="22" t="n"/>
      <c r="AJ463" s="22" t="n"/>
      <c r="AK463" s="22" t="n"/>
      <c r="AL463" s="22" t="n"/>
      <c r="AM463" s="22" t="n"/>
      <c r="AN463" s="22" t="n"/>
      <c r="AO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  <c r="AC464" s="22" t="n"/>
      <c r="AD464" s="22" t="n"/>
      <c r="AE464" s="22" t="n"/>
      <c r="AF464" s="22" t="n"/>
      <c r="AG464" s="22" t="n"/>
      <c r="AH464" s="22" t="n"/>
      <c r="AI464" s="22" t="n"/>
      <c r="AJ464" s="22" t="n"/>
      <c r="AK464" s="22" t="n"/>
      <c r="AL464" s="22" t="n"/>
      <c r="AM464" s="22" t="n"/>
      <c r="AN464" s="22" t="n"/>
      <c r="AO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  <c r="AC465" s="22" t="n"/>
      <c r="AD465" s="22" t="n"/>
      <c r="AE465" s="22" t="n"/>
      <c r="AF465" s="22" t="n"/>
      <c r="AG465" s="22" t="n"/>
      <c r="AH465" s="22" t="n"/>
      <c r="AI465" s="22" t="n"/>
      <c r="AJ465" s="22" t="n"/>
      <c r="AK465" s="22" t="n"/>
      <c r="AL465" s="22" t="n"/>
      <c r="AM465" s="22" t="n"/>
      <c r="AN465" s="22" t="n"/>
      <c r="AO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  <c r="AC466" s="22" t="n"/>
      <c r="AD466" s="22" t="n"/>
      <c r="AE466" s="22" t="n"/>
      <c r="AF466" s="22" t="n"/>
      <c r="AG466" s="22" t="n"/>
      <c r="AH466" s="22" t="n"/>
      <c r="AI466" s="22" t="n"/>
      <c r="AJ466" s="22" t="n"/>
      <c r="AK466" s="22" t="n"/>
      <c r="AL466" s="22" t="n"/>
      <c r="AM466" s="22" t="n"/>
      <c r="AN466" s="22" t="n"/>
      <c r="AO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  <c r="AC467" s="22" t="n"/>
      <c r="AD467" s="22" t="n"/>
      <c r="AE467" s="22" t="n"/>
      <c r="AF467" s="22" t="n"/>
      <c r="AG467" s="22" t="n"/>
      <c r="AH467" s="22" t="n"/>
      <c r="AI467" s="22" t="n"/>
      <c r="AJ467" s="22" t="n"/>
      <c r="AK467" s="22" t="n"/>
      <c r="AL467" s="22" t="n"/>
      <c r="AM467" s="22" t="n"/>
      <c r="AN467" s="22" t="n"/>
      <c r="AO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  <c r="AC468" s="22" t="n"/>
      <c r="AD468" s="22" t="n"/>
      <c r="AE468" s="22" t="n"/>
      <c r="AF468" s="22" t="n"/>
      <c r="AG468" s="22" t="n"/>
      <c r="AH468" s="22" t="n"/>
      <c r="AI468" s="22" t="n"/>
      <c r="AJ468" s="22" t="n"/>
      <c r="AK468" s="22" t="n"/>
      <c r="AL468" s="22" t="n"/>
      <c r="AM468" s="22" t="n"/>
      <c r="AN468" s="22" t="n"/>
      <c r="AO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  <c r="AC469" s="22" t="n"/>
      <c r="AD469" s="22" t="n"/>
      <c r="AE469" s="22" t="n"/>
      <c r="AF469" s="22" t="n"/>
      <c r="AG469" s="22" t="n"/>
      <c r="AH469" s="22" t="n"/>
      <c r="AI469" s="22" t="n"/>
      <c r="AJ469" s="22" t="n"/>
      <c r="AK469" s="22" t="n"/>
      <c r="AL469" s="22" t="n"/>
      <c r="AM469" s="22" t="n"/>
      <c r="AN469" s="22" t="n"/>
      <c r="AO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  <c r="AC470" s="22" t="n"/>
      <c r="AD470" s="22" t="n"/>
      <c r="AE470" s="22" t="n"/>
      <c r="AF470" s="22" t="n"/>
      <c r="AG470" s="22" t="n"/>
      <c r="AH470" s="22" t="n"/>
      <c r="AI470" s="22" t="n"/>
      <c r="AJ470" s="22" t="n"/>
      <c r="AK470" s="22" t="n"/>
      <c r="AL470" s="22" t="n"/>
      <c r="AM470" s="22" t="n"/>
      <c r="AN470" s="22" t="n"/>
      <c r="AO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  <c r="AC471" s="22" t="n"/>
      <c r="AD471" s="22" t="n"/>
      <c r="AE471" s="22" t="n"/>
      <c r="AF471" s="22" t="n"/>
      <c r="AG471" s="22" t="n"/>
      <c r="AH471" s="22" t="n"/>
      <c r="AI471" s="22" t="n"/>
      <c r="AJ471" s="22" t="n"/>
      <c r="AK471" s="22" t="n"/>
      <c r="AL471" s="22" t="n"/>
      <c r="AM471" s="22" t="n"/>
      <c r="AN471" s="22" t="n"/>
      <c r="AO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  <c r="AC472" s="22" t="n"/>
      <c r="AD472" s="22" t="n"/>
      <c r="AE472" s="22" t="n"/>
      <c r="AF472" s="22" t="n"/>
      <c r="AG472" s="22" t="n"/>
      <c r="AH472" s="22" t="n"/>
      <c r="AI472" s="22" t="n"/>
      <c r="AJ472" s="22" t="n"/>
      <c r="AK472" s="22" t="n"/>
      <c r="AL472" s="22" t="n"/>
      <c r="AM472" s="22" t="n"/>
      <c r="AN472" s="22" t="n"/>
      <c r="AO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  <c r="AC473" s="22" t="n"/>
      <c r="AD473" s="22" t="n"/>
      <c r="AE473" s="22" t="n"/>
      <c r="AF473" s="22" t="n"/>
      <c r="AG473" s="22" t="n"/>
      <c r="AH473" s="22" t="n"/>
      <c r="AI473" s="22" t="n"/>
      <c r="AJ473" s="22" t="n"/>
      <c r="AK473" s="22" t="n"/>
      <c r="AL473" s="22" t="n"/>
      <c r="AM473" s="22" t="n"/>
      <c r="AN473" s="22" t="n"/>
      <c r="AO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  <c r="AC474" s="22" t="n"/>
      <c r="AD474" s="22" t="n"/>
      <c r="AE474" s="22" t="n"/>
      <c r="AF474" s="22" t="n"/>
      <c r="AG474" s="22" t="n"/>
      <c r="AH474" s="22" t="n"/>
      <c r="AI474" s="22" t="n"/>
      <c r="AJ474" s="22" t="n"/>
      <c r="AK474" s="22" t="n"/>
      <c r="AL474" s="22" t="n"/>
      <c r="AM474" s="22" t="n"/>
      <c r="AN474" s="22" t="n"/>
      <c r="AO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  <c r="AC475" s="22" t="n"/>
      <c r="AD475" s="22" t="n"/>
      <c r="AE475" s="22" t="n"/>
      <c r="AF475" s="22" t="n"/>
      <c r="AG475" s="22" t="n"/>
      <c r="AH475" s="22" t="n"/>
      <c r="AI475" s="22" t="n"/>
      <c r="AJ475" s="22" t="n"/>
      <c r="AK475" s="22" t="n"/>
      <c r="AL475" s="22" t="n"/>
      <c r="AM475" s="22" t="n"/>
      <c r="AN475" s="22" t="n"/>
      <c r="AO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  <c r="AC476" s="22" t="n"/>
      <c r="AD476" s="22" t="n"/>
      <c r="AE476" s="22" t="n"/>
      <c r="AF476" s="22" t="n"/>
      <c r="AG476" s="22" t="n"/>
      <c r="AH476" s="22" t="n"/>
      <c r="AI476" s="22" t="n"/>
      <c r="AJ476" s="22" t="n"/>
      <c r="AK476" s="22" t="n"/>
      <c r="AL476" s="22" t="n"/>
      <c r="AM476" s="22" t="n"/>
      <c r="AN476" s="22" t="n"/>
      <c r="AO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  <c r="AC477" s="22" t="n"/>
      <c r="AD477" s="22" t="n"/>
      <c r="AE477" s="22" t="n"/>
      <c r="AF477" s="22" t="n"/>
      <c r="AG477" s="22" t="n"/>
      <c r="AH477" s="22" t="n"/>
      <c r="AI477" s="22" t="n"/>
      <c r="AJ477" s="22" t="n"/>
      <c r="AK477" s="22" t="n"/>
      <c r="AL477" s="22" t="n"/>
      <c r="AM477" s="22" t="n"/>
      <c r="AN477" s="22" t="n"/>
      <c r="AO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  <c r="AC478" s="22" t="n"/>
      <c r="AD478" s="22" t="n"/>
      <c r="AE478" s="22" t="n"/>
      <c r="AF478" s="22" t="n"/>
      <c r="AG478" s="22" t="n"/>
      <c r="AH478" s="22" t="n"/>
      <c r="AI478" s="22" t="n"/>
      <c r="AJ478" s="22" t="n"/>
      <c r="AK478" s="22" t="n"/>
      <c r="AL478" s="22" t="n"/>
      <c r="AM478" s="22" t="n"/>
      <c r="AN478" s="22" t="n"/>
      <c r="AO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  <c r="AC479" s="22" t="n"/>
      <c r="AD479" s="22" t="n"/>
      <c r="AE479" s="22" t="n"/>
      <c r="AF479" s="22" t="n"/>
      <c r="AG479" s="22" t="n"/>
      <c r="AH479" s="22" t="n"/>
      <c r="AI479" s="22" t="n"/>
      <c r="AJ479" s="22" t="n"/>
      <c r="AK479" s="22" t="n"/>
      <c r="AL479" s="22" t="n"/>
      <c r="AM479" s="22" t="n"/>
      <c r="AN479" s="22" t="n"/>
      <c r="AO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  <c r="AC480" s="22" t="n"/>
      <c r="AD480" s="22" t="n"/>
      <c r="AE480" s="22" t="n"/>
      <c r="AF480" s="22" t="n"/>
      <c r="AG480" s="22" t="n"/>
      <c r="AH480" s="22" t="n"/>
      <c r="AI480" s="22" t="n"/>
      <c r="AJ480" s="22" t="n"/>
      <c r="AK480" s="22" t="n"/>
      <c r="AL480" s="22" t="n"/>
      <c r="AM480" s="22" t="n"/>
      <c r="AN480" s="22" t="n"/>
      <c r="AO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  <c r="AC481" s="22" t="n"/>
      <c r="AD481" s="22" t="n"/>
      <c r="AE481" s="22" t="n"/>
      <c r="AF481" s="22" t="n"/>
      <c r="AG481" s="22" t="n"/>
      <c r="AH481" s="22" t="n"/>
      <c r="AI481" s="22" t="n"/>
      <c r="AJ481" s="22" t="n"/>
      <c r="AK481" s="22" t="n"/>
      <c r="AL481" s="22" t="n"/>
      <c r="AM481" s="22" t="n"/>
      <c r="AN481" s="22" t="n"/>
      <c r="AO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  <c r="AC482" s="22" t="n"/>
      <c r="AD482" s="22" t="n"/>
      <c r="AE482" s="22" t="n"/>
      <c r="AF482" s="22" t="n"/>
      <c r="AG482" s="22" t="n"/>
      <c r="AH482" s="22" t="n"/>
      <c r="AI482" s="22" t="n"/>
      <c r="AJ482" s="22" t="n"/>
      <c r="AK482" s="22" t="n"/>
      <c r="AL482" s="22" t="n"/>
      <c r="AM482" s="22" t="n"/>
      <c r="AN482" s="22" t="n"/>
      <c r="AO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  <c r="AC483" s="22" t="n"/>
      <c r="AD483" s="22" t="n"/>
      <c r="AE483" s="22" t="n"/>
      <c r="AF483" s="22" t="n"/>
      <c r="AG483" s="22" t="n"/>
      <c r="AH483" s="22" t="n"/>
      <c r="AI483" s="22" t="n"/>
      <c r="AJ483" s="22" t="n"/>
      <c r="AK483" s="22" t="n"/>
      <c r="AL483" s="22" t="n"/>
      <c r="AM483" s="22" t="n"/>
      <c r="AN483" s="22" t="n"/>
      <c r="AO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  <c r="AC484" s="22" t="n"/>
      <c r="AD484" s="22" t="n"/>
      <c r="AE484" s="22" t="n"/>
      <c r="AF484" s="22" t="n"/>
      <c r="AG484" s="22" t="n"/>
      <c r="AH484" s="22" t="n"/>
      <c r="AI484" s="22" t="n"/>
      <c r="AJ484" s="22" t="n"/>
      <c r="AK484" s="22" t="n"/>
      <c r="AL484" s="22" t="n"/>
      <c r="AM484" s="22" t="n"/>
      <c r="AN484" s="22" t="n"/>
      <c r="AO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  <c r="AC485" s="22" t="n"/>
      <c r="AD485" s="22" t="n"/>
      <c r="AE485" s="22" t="n"/>
      <c r="AF485" s="22" t="n"/>
      <c r="AG485" s="22" t="n"/>
      <c r="AH485" s="22" t="n"/>
      <c r="AI485" s="22" t="n"/>
      <c r="AJ485" s="22" t="n"/>
      <c r="AK485" s="22" t="n"/>
      <c r="AL485" s="22" t="n"/>
      <c r="AM485" s="22" t="n"/>
      <c r="AN485" s="22" t="n"/>
      <c r="AO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  <c r="AC486" s="22" t="n"/>
      <c r="AD486" s="22" t="n"/>
      <c r="AE486" s="22" t="n"/>
      <c r="AF486" s="22" t="n"/>
      <c r="AG486" s="22" t="n"/>
      <c r="AH486" s="22" t="n"/>
      <c r="AI486" s="22" t="n"/>
      <c r="AJ486" s="22" t="n"/>
      <c r="AK486" s="22" t="n"/>
      <c r="AL486" s="22" t="n"/>
      <c r="AM486" s="22" t="n"/>
      <c r="AN486" s="22" t="n"/>
      <c r="AO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  <c r="AC487" s="22" t="n"/>
      <c r="AD487" s="22" t="n"/>
      <c r="AE487" s="22" t="n"/>
      <c r="AF487" s="22" t="n"/>
      <c r="AG487" s="22" t="n"/>
      <c r="AH487" s="22" t="n"/>
      <c r="AI487" s="22" t="n"/>
      <c r="AJ487" s="22" t="n"/>
      <c r="AK487" s="22" t="n"/>
      <c r="AL487" s="22" t="n"/>
      <c r="AM487" s="22" t="n"/>
      <c r="AN487" s="22" t="n"/>
      <c r="AO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  <c r="AC488" s="22" t="n"/>
      <c r="AD488" s="22" t="n"/>
      <c r="AE488" s="22" t="n"/>
      <c r="AF488" s="22" t="n"/>
      <c r="AG488" s="22" t="n"/>
      <c r="AH488" s="22" t="n"/>
      <c r="AI488" s="22" t="n"/>
      <c r="AJ488" s="22" t="n"/>
      <c r="AK488" s="22" t="n"/>
      <c r="AL488" s="22" t="n"/>
      <c r="AM488" s="22" t="n"/>
      <c r="AN488" s="22" t="n"/>
      <c r="AO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  <c r="AC489" s="22" t="n"/>
      <c r="AD489" s="22" t="n"/>
      <c r="AE489" s="22" t="n"/>
      <c r="AF489" s="22" t="n"/>
      <c r="AG489" s="22" t="n"/>
      <c r="AH489" s="22" t="n"/>
      <c r="AI489" s="22" t="n"/>
      <c r="AJ489" s="22" t="n"/>
      <c r="AK489" s="22" t="n"/>
      <c r="AL489" s="22" t="n"/>
      <c r="AM489" s="22" t="n"/>
      <c r="AN489" s="22" t="n"/>
      <c r="AO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  <c r="AC490" s="22" t="n"/>
      <c r="AD490" s="22" t="n"/>
      <c r="AE490" s="22" t="n"/>
      <c r="AF490" s="22" t="n"/>
      <c r="AG490" s="22" t="n"/>
      <c r="AH490" s="22" t="n"/>
      <c r="AI490" s="22" t="n"/>
      <c r="AJ490" s="22" t="n"/>
      <c r="AK490" s="22" t="n"/>
      <c r="AL490" s="22" t="n"/>
      <c r="AM490" s="22" t="n"/>
      <c r="AN490" s="22" t="n"/>
      <c r="AO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  <c r="AC491" s="22" t="n"/>
      <c r="AD491" s="22" t="n"/>
      <c r="AE491" s="22" t="n"/>
      <c r="AF491" s="22" t="n"/>
      <c r="AG491" s="22" t="n"/>
      <c r="AH491" s="22" t="n"/>
      <c r="AI491" s="22" t="n"/>
      <c r="AJ491" s="22" t="n"/>
      <c r="AK491" s="22" t="n"/>
      <c r="AL491" s="22" t="n"/>
      <c r="AM491" s="22" t="n"/>
      <c r="AN491" s="22" t="n"/>
      <c r="AO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  <c r="AC492" s="22" t="n"/>
      <c r="AD492" s="22" t="n"/>
      <c r="AE492" s="22" t="n"/>
      <c r="AF492" s="22" t="n"/>
      <c r="AG492" s="22" t="n"/>
      <c r="AH492" s="22" t="n"/>
      <c r="AI492" s="22" t="n"/>
      <c r="AJ492" s="22" t="n"/>
      <c r="AK492" s="22" t="n"/>
      <c r="AL492" s="22" t="n"/>
      <c r="AM492" s="22" t="n"/>
      <c r="AN492" s="22" t="n"/>
      <c r="AO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  <c r="AC493" s="22" t="n"/>
      <c r="AD493" s="22" t="n"/>
      <c r="AE493" s="22" t="n"/>
      <c r="AF493" s="22" t="n"/>
      <c r="AG493" s="22" t="n"/>
      <c r="AH493" s="22" t="n"/>
      <c r="AI493" s="22" t="n"/>
      <c r="AJ493" s="22" t="n"/>
      <c r="AK493" s="22" t="n"/>
      <c r="AL493" s="22" t="n"/>
      <c r="AM493" s="22" t="n"/>
      <c r="AN493" s="22" t="n"/>
      <c r="AO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  <c r="AC494" s="22" t="n"/>
      <c r="AD494" s="22" t="n"/>
      <c r="AE494" s="22" t="n"/>
      <c r="AF494" s="22" t="n"/>
      <c r="AG494" s="22" t="n"/>
      <c r="AH494" s="22" t="n"/>
      <c r="AI494" s="22" t="n"/>
      <c r="AJ494" s="22" t="n"/>
      <c r="AK494" s="22" t="n"/>
      <c r="AL494" s="22" t="n"/>
      <c r="AM494" s="22" t="n"/>
      <c r="AN494" s="22" t="n"/>
      <c r="AO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  <c r="AC495" s="22" t="n"/>
      <c r="AD495" s="22" t="n"/>
      <c r="AE495" s="22" t="n"/>
      <c r="AF495" s="22" t="n"/>
      <c r="AG495" s="22" t="n"/>
      <c r="AH495" s="22" t="n"/>
      <c r="AI495" s="22" t="n"/>
      <c r="AJ495" s="22" t="n"/>
      <c r="AK495" s="22" t="n"/>
      <c r="AL495" s="22" t="n"/>
      <c r="AM495" s="22" t="n"/>
      <c r="AN495" s="22" t="n"/>
      <c r="AO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  <c r="AC496" s="22" t="n"/>
      <c r="AD496" s="22" t="n"/>
      <c r="AE496" s="22" t="n"/>
      <c r="AF496" s="22" t="n"/>
      <c r="AG496" s="22" t="n"/>
      <c r="AH496" s="22" t="n"/>
      <c r="AI496" s="22" t="n"/>
      <c r="AJ496" s="22" t="n"/>
      <c r="AK496" s="22" t="n"/>
      <c r="AL496" s="22" t="n"/>
      <c r="AM496" s="22" t="n"/>
      <c r="AN496" s="22" t="n"/>
      <c r="AO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  <c r="AC497" s="22" t="n"/>
      <c r="AD497" s="22" t="n"/>
      <c r="AE497" s="22" t="n"/>
      <c r="AF497" s="22" t="n"/>
      <c r="AG497" s="22" t="n"/>
      <c r="AH497" s="22" t="n"/>
      <c r="AI497" s="22" t="n"/>
      <c r="AJ497" s="22" t="n"/>
      <c r="AK497" s="22" t="n"/>
      <c r="AL497" s="22" t="n"/>
      <c r="AM497" s="22" t="n"/>
      <c r="AN497" s="22" t="n"/>
      <c r="AO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  <c r="AC498" s="22" t="n"/>
      <c r="AD498" s="22" t="n"/>
      <c r="AE498" s="22" t="n"/>
      <c r="AF498" s="22" t="n"/>
      <c r="AG498" s="22" t="n"/>
      <c r="AH498" s="22" t="n"/>
      <c r="AI498" s="22" t="n"/>
      <c r="AJ498" s="22" t="n"/>
      <c r="AK498" s="22" t="n"/>
      <c r="AL498" s="22" t="n"/>
      <c r="AM498" s="22" t="n"/>
      <c r="AN498" s="22" t="n"/>
      <c r="AO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  <c r="AC499" s="22" t="n"/>
      <c r="AD499" s="22" t="n"/>
      <c r="AE499" s="22" t="n"/>
      <c r="AF499" s="22" t="n"/>
      <c r="AG499" s="22" t="n"/>
      <c r="AH499" s="22" t="n"/>
      <c r="AI499" s="22" t="n"/>
      <c r="AJ499" s="22" t="n"/>
      <c r="AK499" s="22" t="n"/>
      <c r="AL499" s="22" t="n"/>
      <c r="AM499" s="22" t="n"/>
      <c r="AN499" s="22" t="n"/>
      <c r="AO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  <c r="AC500" s="22" t="n"/>
      <c r="AD500" s="22" t="n"/>
      <c r="AE500" s="22" t="n"/>
      <c r="AF500" s="22" t="n"/>
      <c r="AG500" s="22" t="n"/>
      <c r="AH500" s="22" t="n"/>
      <c r="AI500" s="22" t="n"/>
      <c r="AJ500" s="22" t="n"/>
      <c r="AK500" s="22" t="n"/>
      <c r="AL500" s="22" t="n"/>
      <c r="AM500" s="22" t="n"/>
      <c r="AN500" s="22" t="n"/>
      <c r="AO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  <c r="Y501" s="22" t="n"/>
      <c r="Z501" s="22" t="n"/>
      <c r="AA501" s="22" t="n"/>
      <c r="AB501" s="22" t="n"/>
      <c r="AC501" s="22" t="n"/>
      <c r="AD501" s="22" t="n"/>
      <c r="AE501" s="22" t="n"/>
      <c r="AF501" s="22" t="n"/>
      <c r="AG501" s="22" t="n"/>
      <c r="AH501" s="22" t="n"/>
      <c r="AI501" s="22" t="n"/>
      <c r="AJ501" s="22" t="n"/>
      <c r="AK501" s="22" t="n"/>
      <c r="AL501" s="22" t="n"/>
      <c r="AM501" s="22" t="n"/>
      <c r="AN501" s="22" t="n"/>
      <c r="AO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  <c r="Y502" s="22" t="n"/>
      <c r="Z502" s="22" t="n"/>
      <c r="AA502" s="22" t="n"/>
      <c r="AB502" s="22" t="n"/>
      <c r="AC502" s="22" t="n"/>
      <c r="AD502" s="22" t="n"/>
      <c r="AE502" s="22" t="n"/>
      <c r="AF502" s="22" t="n"/>
      <c r="AG502" s="22" t="n"/>
      <c r="AH502" s="22" t="n"/>
      <c r="AI502" s="22" t="n"/>
      <c r="AJ502" s="22" t="n"/>
      <c r="AK502" s="22" t="n"/>
      <c r="AL502" s="22" t="n"/>
      <c r="AM502" s="22" t="n"/>
      <c r="AN502" s="22" t="n"/>
      <c r="AO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  <c r="Y503" s="22" t="n"/>
      <c r="Z503" s="22" t="n"/>
      <c r="AA503" s="22" t="n"/>
      <c r="AB503" s="22" t="n"/>
      <c r="AC503" s="22" t="n"/>
      <c r="AD503" s="22" t="n"/>
      <c r="AE503" s="22" t="n"/>
      <c r="AF503" s="22" t="n"/>
      <c r="AG503" s="22" t="n"/>
      <c r="AH503" s="22" t="n"/>
      <c r="AI503" s="22" t="n"/>
      <c r="AJ503" s="22" t="n"/>
      <c r="AK503" s="22" t="n"/>
      <c r="AL503" s="22" t="n"/>
      <c r="AM503" s="22" t="n"/>
      <c r="AN503" s="22" t="n"/>
      <c r="AO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  <c r="Y504" s="22" t="n"/>
      <c r="Z504" s="22" t="n"/>
      <c r="AA504" s="22" t="n"/>
      <c r="AB504" s="22" t="n"/>
      <c r="AC504" s="22" t="n"/>
      <c r="AD504" s="22" t="n"/>
      <c r="AE504" s="22" t="n"/>
      <c r="AF504" s="22" t="n"/>
      <c r="AG504" s="22" t="n"/>
      <c r="AH504" s="22" t="n"/>
      <c r="AI504" s="22" t="n"/>
      <c r="AJ504" s="22" t="n"/>
      <c r="AK504" s="22" t="n"/>
      <c r="AL504" s="22" t="n"/>
      <c r="AM504" s="22" t="n"/>
      <c r="AN504" s="22" t="n"/>
      <c r="AO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  <c r="Y505" s="22" t="n"/>
      <c r="Z505" s="22" t="n"/>
      <c r="AA505" s="22" t="n"/>
      <c r="AB505" s="22" t="n"/>
      <c r="AC505" s="22" t="n"/>
      <c r="AD505" s="22" t="n"/>
      <c r="AE505" s="22" t="n"/>
      <c r="AF505" s="22" t="n"/>
      <c r="AG505" s="22" t="n"/>
      <c r="AH505" s="22" t="n"/>
      <c r="AI505" s="22" t="n"/>
      <c r="AJ505" s="22" t="n"/>
      <c r="AK505" s="22" t="n"/>
      <c r="AL505" s="22" t="n"/>
      <c r="AM505" s="22" t="n"/>
      <c r="AN505" s="22" t="n"/>
      <c r="AO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  <c r="Y506" s="22" t="n"/>
      <c r="Z506" s="22" t="n"/>
      <c r="AA506" s="22" t="n"/>
      <c r="AB506" s="22" t="n"/>
      <c r="AC506" s="22" t="n"/>
      <c r="AD506" s="22" t="n"/>
      <c r="AE506" s="22" t="n"/>
      <c r="AF506" s="22" t="n"/>
      <c r="AG506" s="22" t="n"/>
      <c r="AH506" s="22" t="n"/>
      <c r="AI506" s="22" t="n"/>
      <c r="AJ506" s="22" t="n"/>
      <c r="AK506" s="22" t="n"/>
      <c r="AL506" s="22" t="n"/>
      <c r="AM506" s="22" t="n"/>
      <c r="AN506" s="22" t="n"/>
      <c r="AO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  <c r="Y507" s="22" t="n"/>
      <c r="Z507" s="22" t="n"/>
      <c r="AA507" s="22" t="n"/>
      <c r="AB507" s="22" t="n"/>
      <c r="AC507" s="22" t="n"/>
      <c r="AD507" s="22" t="n"/>
      <c r="AE507" s="22" t="n"/>
      <c r="AF507" s="22" t="n"/>
      <c r="AG507" s="22" t="n"/>
      <c r="AH507" s="22" t="n"/>
      <c r="AI507" s="22" t="n"/>
      <c r="AJ507" s="22" t="n"/>
      <c r="AK507" s="22" t="n"/>
      <c r="AL507" s="22" t="n"/>
      <c r="AM507" s="22" t="n"/>
      <c r="AN507" s="22" t="n"/>
      <c r="AO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  <c r="Y508" s="22" t="n"/>
      <c r="Z508" s="22" t="n"/>
      <c r="AA508" s="22" t="n"/>
      <c r="AB508" s="22" t="n"/>
      <c r="AC508" s="22" t="n"/>
      <c r="AD508" s="22" t="n"/>
      <c r="AE508" s="22" t="n"/>
      <c r="AF508" s="22" t="n"/>
      <c r="AG508" s="22" t="n"/>
      <c r="AH508" s="22" t="n"/>
      <c r="AI508" s="22" t="n"/>
      <c r="AJ508" s="22" t="n"/>
      <c r="AK508" s="22" t="n"/>
      <c r="AL508" s="22" t="n"/>
      <c r="AM508" s="22" t="n"/>
      <c r="AN508" s="22" t="n"/>
      <c r="AO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  <c r="Y509" s="22" t="n"/>
      <c r="Z509" s="22" t="n"/>
      <c r="AA509" s="22" t="n"/>
      <c r="AB509" s="22" t="n"/>
      <c r="AC509" s="22" t="n"/>
      <c r="AD509" s="22" t="n"/>
      <c r="AE509" s="22" t="n"/>
      <c r="AF509" s="22" t="n"/>
      <c r="AG509" s="22" t="n"/>
      <c r="AH509" s="22" t="n"/>
      <c r="AI509" s="22" t="n"/>
      <c r="AJ509" s="22" t="n"/>
      <c r="AK509" s="22" t="n"/>
      <c r="AL509" s="22" t="n"/>
      <c r="AM509" s="22" t="n"/>
      <c r="AN509" s="22" t="n"/>
      <c r="AO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  <c r="Y510" s="22" t="n"/>
      <c r="Z510" s="22" t="n"/>
      <c r="AA510" s="22" t="n"/>
      <c r="AB510" s="22" t="n"/>
      <c r="AC510" s="22" t="n"/>
      <c r="AD510" s="22" t="n"/>
      <c r="AE510" s="22" t="n"/>
      <c r="AF510" s="22" t="n"/>
      <c r="AG510" s="22" t="n"/>
      <c r="AH510" s="22" t="n"/>
      <c r="AI510" s="22" t="n"/>
      <c r="AJ510" s="22" t="n"/>
      <c r="AK510" s="22" t="n"/>
      <c r="AL510" s="22" t="n"/>
      <c r="AM510" s="22" t="n"/>
      <c r="AN510" s="22" t="n"/>
      <c r="AO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  <c r="Y511" s="22" t="n"/>
      <c r="Z511" s="22" t="n"/>
      <c r="AA511" s="22" t="n"/>
      <c r="AB511" s="22" t="n"/>
      <c r="AC511" s="22" t="n"/>
      <c r="AD511" s="22" t="n"/>
      <c r="AE511" s="22" t="n"/>
      <c r="AF511" s="22" t="n"/>
      <c r="AG511" s="22" t="n"/>
      <c r="AH511" s="22" t="n"/>
      <c r="AI511" s="22" t="n"/>
      <c r="AJ511" s="22" t="n"/>
      <c r="AK511" s="22" t="n"/>
      <c r="AL511" s="22" t="n"/>
      <c r="AM511" s="22" t="n"/>
      <c r="AN511" s="22" t="n"/>
      <c r="AO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  <c r="Y512" s="22" t="n"/>
      <c r="Z512" s="22" t="n"/>
      <c r="AA512" s="22" t="n"/>
      <c r="AB512" s="22" t="n"/>
      <c r="AC512" s="22" t="n"/>
      <c r="AD512" s="22" t="n"/>
      <c r="AE512" s="22" t="n"/>
      <c r="AF512" s="22" t="n"/>
      <c r="AG512" s="22" t="n"/>
      <c r="AH512" s="22" t="n"/>
      <c r="AI512" s="22" t="n"/>
      <c r="AJ512" s="22" t="n"/>
      <c r="AK512" s="22" t="n"/>
      <c r="AL512" s="22" t="n"/>
      <c r="AM512" s="22" t="n"/>
      <c r="AN512" s="22" t="n"/>
      <c r="AO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  <c r="Y513" s="22" t="n"/>
      <c r="Z513" s="22" t="n"/>
      <c r="AA513" s="22" t="n"/>
      <c r="AB513" s="22" t="n"/>
      <c r="AC513" s="22" t="n"/>
      <c r="AD513" s="22" t="n"/>
      <c r="AE513" s="22" t="n"/>
      <c r="AF513" s="22" t="n"/>
      <c r="AG513" s="22" t="n"/>
      <c r="AH513" s="22" t="n"/>
      <c r="AI513" s="22" t="n"/>
      <c r="AJ513" s="22" t="n"/>
      <c r="AK513" s="22" t="n"/>
      <c r="AL513" s="22" t="n"/>
      <c r="AM513" s="22" t="n"/>
      <c r="AN513" s="22" t="n"/>
      <c r="AO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  <c r="Y514" s="22" t="n"/>
      <c r="Z514" s="22" t="n"/>
      <c r="AA514" s="22" t="n"/>
      <c r="AB514" s="22" t="n"/>
      <c r="AC514" s="22" t="n"/>
      <c r="AD514" s="22" t="n"/>
      <c r="AE514" s="22" t="n"/>
      <c r="AF514" s="22" t="n"/>
      <c r="AG514" s="22" t="n"/>
      <c r="AH514" s="22" t="n"/>
      <c r="AI514" s="22" t="n"/>
      <c r="AJ514" s="22" t="n"/>
      <c r="AK514" s="22" t="n"/>
      <c r="AL514" s="22" t="n"/>
      <c r="AM514" s="22" t="n"/>
      <c r="AN514" s="22" t="n"/>
      <c r="AO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  <c r="Y515" s="22" t="n"/>
      <c r="Z515" s="22" t="n"/>
      <c r="AA515" s="22" t="n"/>
      <c r="AB515" s="22" t="n"/>
      <c r="AC515" s="22" t="n"/>
      <c r="AD515" s="22" t="n"/>
      <c r="AE515" s="22" t="n"/>
      <c r="AF515" s="22" t="n"/>
      <c r="AG515" s="22" t="n"/>
      <c r="AH515" s="22" t="n"/>
      <c r="AI515" s="22" t="n"/>
      <c r="AJ515" s="22" t="n"/>
      <c r="AK515" s="22" t="n"/>
      <c r="AL515" s="22" t="n"/>
      <c r="AM515" s="22" t="n"/>
      <c r="AN515" s="22" t="n"/>
      <c r="AO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  <c r="Y516" s="22" t="n"/>
      <c r="Z516" s="22" t="n"/>
      <c r="AA516" s="22" t="n"/>
      <c r="AB516" s="22" t="n"/>
      <c r="AC516" s="22" t="n"/>
      <c r="AD516" s="22" t="n"/>
      <c r="AE516" s="22" t="n"/>
      <c r="AF516" s="22" t="n"/>
      <c r="AG516" s="22" t="n"/>
      <c r="AH516" s="22" t="n"/>
      <c r="AI516" s="22" t="n"/>
      <c r="AJ516" s="22" t="n"/>
      <c r="AK516" s="22" t="n"/>
      <c r="AL516" s="22" t="n"/>
      <c r="AM516" s="22" t="n"/>
      <c r="AN516" s="22" t="n"/>
      <c r="AO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  <c r="Y517" s="22" t="n"/>
      <c r="Z517" s="22" t="n"/>
      <c r="AA517" s="22" t="n"/>
      <c r="AB517" s="22" t="n"/>
      <c r="AC517" s="22" t="n"/>
      <c r="AD517" s="22" t="n"/>
      <c r="AE517" s="22" t="n"/>
      <c r="AF517" s="22" t="n"/>
      <c r="AG517" s="22" t="n"/>
      <c r="AH517" s="22" t="n"/>
      <c r="AI517" s="22" t="n"/>
      <c r="AJ517" s="22" t="n"/>
      <c r="AK517" s="22" t="n"/>
      <c r="AL517" s="22" t="n"/>
      <c r="AM517" s="22" t="n"/>
      <c r="AN517" s="22" t="n"/>
      <c r="AO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  <c r="Y518" s="22" t="n"/>
      <c r="Z518" s="22" t="n"/>
      <c r="AA518" s="22" t="n"/>
      <c r="AB518" s="22" t="n"/>
      <c r="AC518" s="22" t="n"/>
      <c r="AD518" s="22" t="n"/>
      <c r="AE518" s="22" t="n"/>
      <c r="AF518" s="22" t="n"/>
      <c r="AG518" s="22" t="n"/>
      <c r="AH518" s="22" t="n"/>
      <c r="AI518" s="22" t="n"/>
      <c r="AJ518" s="22" t="n"/>
      <c r="AK518" s="22" t="n"/>
      <c r="AL518" s="22" t="n"/>
      <c r="AM518" s="22" t="n"/>
      <c r="AN518" s="22" t="n"/>
      <c r="AO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  <c r="Y519" s="22" t="n"/>
      <c r="Z519" s="22" t="n"/>
      <c r="AA519" s="22" t="n"/>
      <c r="AB519" s="22" t="n"/>
      <c r="AC519" s="22" t="n"/>
      <c r="AD519" s="22" t="n"/>
      <c r="AE519" s="22" t="n"/>
      <c r="AF519" s="22" t="n"/>
      <c r="AG519" s="22" t="n"/>
      <c r="AH519" s="22" t="n"/>
      <c r="AI519" s="22" t="n"/>
      <c r="AJ519" s="22" t="n"/>
      <c r="AK519" s="22" t="n"/>
      <c r="AL519" s="22" t="n"/>
      <c r="AM519" s="22" t="n"/>
      <c r="AN519" s="22" t="n"/>
      <c r="AO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  <c r="Y520" s="22" t="n"/>
      <c r="Z520" s="22" t="n"/>
      <c r="AA520" s="22" t="n"/>
      <c r="AB520" s="22" t="n"/>
      <c r="AC520" s="22" t="n"/>
      <c r="AD520" s="22" t="n"/>
      <c r="AE520" s="22" t="n"/>
      <c r="AF520" s="22" t="n"/>
      <c r="AG520" s="22" t="n"/>
      <c r="AH520" s="22" t="n"/>
      <c r="AI520" s="22" t="n"/>
      <c r="AJ520" s="22" t="n"/>
      <c r="AK520" s="22" t="n"/>
      <c r="AL520" s="22" t="n"/>
      <c r="AM520" s="22" t="n"/>
      <c r="AN520" s="22" t="n"/>
      <c r="AO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  <c r="Y521" s="22" t="n"/>
      <c r="Z521" s="22" t="n"/>
      <c r="AA521" s="22" t="n"/>
      <c r="AB521" s="22" t="n"/>
      <c r="AC521" s="22" t="n"/>
      <c r="AD521" s="22" t="n"/>
      <c r="AE521" s="22" t="n"/>
      <c r="AF521" s="22" t="n"/>
      <c r="AG521" s="22" t="n"/>
      <c r="AH521" s="22" t="n"/>
      <c r="AI521" s="22" t="n"/>
      <c r="AJ521" s="22" t="n"/>
      <c r="AK521" s="22" t="n"/>
      <c r="AL521" s="22" t="n"/>
      <c r="AM521" s="22" t="n"/>
      <c r="AN521" s="22" t="n"/>
      <c r="AO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  <c r="Y522" s="22" t="n"/>
      <c r="Z522" s="22" t="n"/>
      <c r="AA522" s="22" t="n"/>
      <c r="AB522" s="22" t="n"/>
      <c r="AC522" s="22" t="n"/>
      <c r="AD522" s="22" t="n"/>
      <c r="AE522" s="22" t="n"/>
      <c r="AF522" s="22" t="n"/>
      <c r="AG522" s="22" t="n"/>
      <c r="AH522" s="22" t="n"/>
      <c r="AI522" s="22" t="n"/>
      <c r="AJ522" s="22" t="n"/>
      <c r="AK522" s="22" t="n"/>
      <c r="AL522" s="22" t="n"/>
      <c r="AM522" s="22" t="n"/>
      <c r="AN522" s="22" t="n"/>
      <c r="AO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  <c r="Y523" s="22" t="n"/>
      <c r="Z523" s="22" t="n"/>
      <c r="AA523" s="22" t="n"/>
      <c r="AB523" s="22" t="n"/>
      <c r="AC523" s="22" t="n"/>
      <c r="AD523" s="22" t="n"/>
      <c r="AE523" s="22" t="n"/>
      <c r="AF523" s="22" t="n"/>
      <c r="AG523" s="22" t="n"/>
      <c r="AH523" s="22" t="n"/>
      <c r="AI523" s="22" t="n"/>
      <c r="AJ523" s="22" t="n"/>
      <c r="AK523" s="22" t="n"/>
      <c r="AL523" s="22" t="n"/>
      <c r="AM523" s="22" t="n"/>
      <c r="AN523" s="22" t="n"/>
      <c r="AO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  <c r="Y524" s="22" t="n"/>
      <c r="Z524" s="22" t="n"/>
      <c r="AA524" s="22" t="n"/>
      <c r="AB524" s="22" t="n"/>
      <c r="AC524" s="22" t="n"/>
      <c r="AD524" s="22" t="n"/>
      <c r="AE524" s="22" t="n"/>
      <c r="AF524" s="22" t="n"/>
      <c r="AG524" s="22" t="n"/>
      <c r="AH524" s="22" t="n"/>
      <c r="AI524" s="22" t="n"/>
      <c r="AJ524" s="22" t="n"/>
      <c r="AK524" s="22" t="n"/>
      <c r="AL524" s="22" t="n"/>
      <c r="AM524" s="22" t="n"/>
      <c r="AN524" s="22" t="n"/>
      <c r="AO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  <c r="Y525" s="22" t="n"/>
      <c r="Z525" s="22" t="n"/>
      <c r="AA525" s="22" t="n"/>
      <c r="AB525" s="22" t="n"/>
      <c r="AC525" s="22" t="n"/>
      <c r="AD525" s="22" t="n"/>
      <c r="AE525" s="22" t="n"/>
      <c r="AF525" s="22" t="n"/>
      <c r="AG525" s="22" t="n"/>
      <c r="AH525" s="22" t="n"/>
      <c r="AI525" s="22" t="n"/>
      <c r="AJ525" s="22" t="n"/>
      <c r="AK525" s="22" t="n"/>
      <c r="AL525" s="22" t="n"/>
      <c r="AM525" s="22" t="n"/>
      <c r="AN525" s="22" t="n"/>
      <c r="AO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  <c r="Y526" s="22" t="n"/>
      <c r="Z526" s="22" t="n"/>
      <c r="AA526" s="22" t="n"/>
      <c r="AB526" s="22" t="n"/>
      <c r="AC526" s="22" t="n"/>
      <c r="AD526" s="22" t="n"/>
      <c r="AE526" s="22" t="n"/>
      <c r="AF526" s="22" t="n"/>
      <c r="AG526" s="22" t="n"/>
      <c r="AH526" s="22" t="n"/>
      <c r="AI526" s="22" t="n"/>
      <c r="AJ526" s="22" t="n"/>
      <c r="AK526" s="22" t="n"/>
      <c r="AL526" s="22" t="n"/>
      <c r="AM526" s="22" t="n"/>
      <c r="AN526" s="22" t="n"/>
      <c r="AO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  <c r="Y527" s="22" t="n"/>
      <c r="Z527" s="22" t="n"/>
      <c r="AA527" s="22" t="n"/>
      <c r="AB527" s="22" t="n"/>
      <c r="AC527" s="22" t="n"/>
      <c r="AD527" s="22" t="n"/>
      <c r="AE527" s="22" t="n"/>
      <c r="AF527" s="22" t="n"/>
      <c r="AG527" s="22" t="n"/>
      <c r="AH527" s="22" t="n"/>
      <c r="AI527" s="22" t="n"/>
      <c r="AJ527" s="22" t="n"/>
      <c r="AK527" s="22" t="n"/>
      <c r="AL527" s="22" t="n"/>
      <c r="AM527" s="22" t="n"/>
      <c r="AN527" s="22" t="n"/>
      <c r="AO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  <c r="Y528" s="22" t="n"/>
      <c r="Z528" s="22" t="n"/>
      <c r="AA528" s="22" t="n"/>
      <c r="AB528" s="22" t="n"/>
      <c r="AC528" s="22" t="n"/>
      <c r="AD528" s="22" t="n"/>
      <c r="AE528" s="22" t="n"/>
      <c r="AF528" s="22" t="n"/>
      <c r="AG528" s="22" t="n"/>
      <c r="AH528" s="22" t="n"/>
      <c r="AI528" s="22" t="n"/>
      <c r="AJ528" s="22" t="n"/>
      <c r="AK528" s="22" t="n"/>
      <c r="AL528" s="22" t="n"/>
      <c r="AM528" s="22" t="n"/>
      <c r="AN528" s="22" t="n"/>
      <c r="AO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  <c r="Y529" s="22" t="n"/>
      <c r="Z529" s="22" t="n"/>
      <c r="AA529" s="22" t="n"/>
      <c r="AB529" s="22" t="n"/>
      <c r="AC529" s="22" t="n"/>
      <c r="AD529" s="22" t="n"/>
      <c r="AE529" s="22" t="n"/>
      <c r="AF529" s="22" t="n"/>
      <c r="AG529" s="22" t="n"/>
      <c r="AH529" s="22" t="n"/>
      <c r="AI529" s="22" t="n"/>
      <c r="AJ529" s="22" t="n"/>
      <c r="AK529" s="22" t="n"/>
      <c r="AL529" s="22" t="n"/>
      <c r="AM529" s="22" t="n"/>
      <c r="AN529" s="22" t="n"/>
      <c r="AO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  <c r="Y530" s="22" t="n"/>
      <c r="Z530" s="22" t="n"/>
      <c r="AA530" s="22" t="n"/>
      <c r="AB530" s="22" t="n"/>
      <c r="AC530" s="22" t="n"/>
      <c r="AD530" s="22" t="n"/>
      <c r="AE530" s="22" t="n"/>
      <c r="AF530" s="22" t="n"/>
      <c r="AG530" s="22" t="n"/>
      <c r="AH530" s="22" t="n"/>
      <c r="AI530" s="22" t="n"/>
      <c r="AJ530" s="22" t="n"/>
      <c r="AK530" s="22" t="n"/>
      <c r="AL530" s="22" t="n"/>
      <c r="AM530" s="22" t="n"/>
      <c r="AN530" s="22" t="n"/>
      <c r="AO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  <c r="Y531" s="22" t="n"/>
      <c r="Z531" s="22" t="n"/>
      <c r="AA531" s="22" t="n"/>
      <c r="AB531" s="22" t="n"/>
      <c r="AC531" s="22" t="n"/>
      <c r="AD531" s="22" t="n"/>
      <c r="AE531" s="22" t="n"/>
      <c r="AF531" s="22" t="n"/>
      <c r="AG531" s="22" t="n"/>
      <c r="AH531" s="22" t="n"/>
      <c r="AI531" s="22" t="n"/>
      <c r="AJ531" s="22" t="n"/>
      <c r="AK531" s="22" t="n"/>
      <c r="AL531" s="22" t="n"/>
      <c r="AM531" s="22" t="n"/>
      <c r="AN531" s="22" t="n"/>
      <c r="AO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  <c r="Y532" s="22" t="n"/>
      <c r="Z532" s="22" t="n"/>
      <c r="AA532" s="22" t="n"/>
      <c r="AB532" s="22" t="n"/>
      <c r="AC532" s="22" t="n"/>
      <c r="AD532" s="22" t="n"/>
      <c r="AE532" s="22" t="n"/>
      <c r="AF532" s="22" t="n"/>
      <c r="AG532" s="22" t="n"/>
      <c r="AH532" s="22" t="n"/>
      <c r="AI532" s="22" t="n"/>
      <c r="AJ532" s="22" t="n"/>
      <c r="AK532" s="22" t="n"/>
      <c r="AL532" s="22" t="n"/>
      <c r="AM532" s="22" t="n"/>
      <c r="AN532" s="22" t="n"/>
      <c r="AO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  <c r="Y533" s="22" t="n"/>
      <c r="Z533" s="22" t="n"/>
      <c r="AA533" s="22" t="n"/>
      <c r="AB533" s="22" t="n"/>
      <c r="AC533" s="22" t="n"/>
      <c r="AD533" s="22" t="n"/>
      <c r="AE533" s="22" t="n"/>
      <c r="AF533" s="22" t="n"/>
      <c r="AG533" s="22" t="n"/>
      <c r="AH533" s="22" t="n"/>
      <c r="AI533" s="22" t="n"/>
      <c r="AJ533" s="22" t="n"/>
      <c r="AK533" s="22" t="n"/>
      <c r="AL533" s="22" t="n"/>
      <c r="AM533" s="22" t="n"/>
      <c r="AN533" s="22" t="n"/>
      <c r="AO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  <c r="Y534" s="22" t="n"/>
      <c r="Z534" s="22" t="n"/>
      <c r="AA534" s="22" t="n"/>
      <c r="AB534" s="22" t="n"/>
      <c r="AC534" s="22" t="n"/>
      <c r="AD534" s="22" t="n"/>
      <c r="AE534" s="22" t="n"/>
      <c r="AF534" s="22" t="n"/>
      <c r="AG534" s="22" t="n"/>
      <c r="AH534" s="22" t="n"/>
      <c r="AI534" s="22" t="n"/>
      <c r="AJ534" s="22" t="n"/>
      <c r="AK534" s="22" t="n"/>
      <c r="AL534" s="22" t="n"/>
      <c r="AM534" s="22" t="n"/>
      <c r="AN534" s="22" t="n"/>
      <c r="AO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  <c r="Y535" s="22" t="n"/>
      <c r="Z535" s="22" t="n"/>
      <c r="AA535" s="22" t="n"/>
      <c r="AB535" s="22" t="n"/>
      <c r="AC535" s="22" t="n"/>
      <c r="AD535" s="22" t="n"/>
      <c r="AE535" s="22" t="n"/>
      <c r="AF535" s="22" t="n"/>
      <c r="AG535" s="22" t="n"/>
      <c r="AH535" s="22" t="n"/>
      <c r="AI535" s="22" t="n"/>
      <c r="AJ535" s="22" t="n"/>
      <c r="AK535" s="22" t="n"/>
      <c r="AL535" s="22" t="n"/>
      <c r="AM535" s="22" t="n"/>
      <c r="AN535" s="22" t="n"/>
      <c r="AO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  <c r="Y536" s="22" t="n"/>
      <c r="Z536" s="22" t="n"/>
      <c r="AA536" s="22" t="n"/>
      <c r="AB536" s="22" t="n"/>
      <c r="AC536" s="22" t="n"/>
      <c r="AD536" s="22" t="n"/>
      <c r="AE536" s="22" t="n"/>
      <c r="AF536" s="22" t="n"/>
      <c r="AG536" s="22" t="n"/>
      <c r="AH536" s="22" t="n"/>
      <c r="AI536" s="22" t="n"/>
      <c r="AJ536" s="22" t="n"/>
      <c r="AK536" s="22" t="n"/>
      <c r="AL536" s="22" t="n"/>
      <c r="AM536" s="22" t="n"/>
      <c r="AN536" s="22" t="n"/>
      <c r="AO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  <c r="Y537" s="22" t="n"/>
      <c r="Z537" s="22" t="n"/>
      <c r="AA537" s="22" t="n"/>
      <c r="AB537" s="22" t="n"/>
      <c r="AC537" s="22" t="n"/>
      <c r="AD537" s="22" t="n"/>
      <c r="AE537" s="22" t="n"/>
      <c r="AF537" s="22" t="n"/>
      <c r="AG537" s="22" t="n"/>
      <c r="AH537" s="22" t="n"/>
      <c r="AI537" s="22" t="n"/>
      <c r="AJ537" s="22" t="n"/>
      <c r="AK537" s="22" t="n"/>
      <c r="AL537" s="22" t="n"/>
      <c r="AM537" s="22" t="n"/>
      <c r="AN537" s="22" t="n"/>
      <c r="AO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  <c r="Y538" s="22" t="n"/>
      <c r="Z538" s="22" t="n"/>
      <c r="AA538" s="22" t="n"/>
      <c r="AB538" s="22" t="n"/>
      <c r="AC538" s="22" t="n"/>
      <c r="AD538" s="22" t="n"/>
      <c r="AE538" s="22" t="n"/>
      <c r="AF538" s="22" t="n"/>
      <c r="AG538" s="22" t="n"/>
      <c r="AH538" s="22" t="n"/>
      <c r="AI538" s="22" t="n"/>
      <c r="AJ538" s="22" t="n"/>
      <c r="AK538" s="22" t="n"/>
      <c r="AL538" s="22" t="n"/>
      <c r="AM538" s="22" t="n"/>
      <c r="AN538" s="22" t="n"/>
      <c r="AO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  <c r="Y539" s="22" t="n"/>
      <c r="Z539" s="22" t="n"/>
      <c r="AA539" s="22" t="n"/>
      <c r="AB539" s="22" t="n"/>
      <c r="AC539" s="22" t="n"/>
      <c r="AD539" s="22" t="n"/>
      <c r="AE539" s="22" t="n"/>
      <c r="AF539" s="22" t="n"/>
      <c r="AG539" s="22" t="n"/>
      <c r="AH539" s="22" t="n"/>
      <c r="AI539" s="22" t="n"/>
      <c r="AJ539" s="22" t="n"/>
      <c r="AK539" s="22" t="n"/>
      <c r="AL539" s="22" t="n"/>
      <c r="AM539" s="22" t="n"/>
      <c r="AN539" s="22" t="n"/>
      <c r="AO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  <c r="Y540" s="22" t="n"/>
      <c r="Z540" s="22" t="n"/>
      <c r="AA540" s="22" t="n"/>
      <c r="AB540" s="22" t="n"/>
      <c r="AC540" s="22" t="n"/>
      <c r="AD540" s="22" t="n"/>
      <c r="AE540" s="22" t="n"/>
      <c r="AF540" s="22" t="n"/>
      <c r="AG540" s="22" t="n"/>
      <c r="AH540" s="22" t="n"/>
      <c r="AI540" s="22" t="n"/>
      <c r="AJ540" s="22" t="n"/>
      <c r="AK540" s="22" t="n"/>
      <c r="AL540" s="22" t="n"/>
      <c r="AM540" s="22" t="n"/>
      <c r="AN540" s="22" t="n"/>
      <c r="AO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  <c r="Y541" s="22" t="n"/>
      <c r="Z541" s="22" t="n"/>
      <c r="AA541" s="22" t="n"/>
      <c r="AB541" s="22" t="n"/>
      <c r="AC541" s="22" t="n"/>
      <c r="AD541" s="22" t="n"/>
      <c r="AE541" s="22" t="n"/>
      <c r="AF541" s="22" t="n"/>
      <c r="AG541" s="22" t="n"/>
      <c r="AH541" s="22" t="n"/>
      <c r="AI541" s="22" t="n"/>
      <c r="AJ541" s="22" t="n"/>
      <c r="AK541" s="22" t="n"/>
      <c r="AL541" s="22" t="n"/>
      <c r="AM541" s="22" t="n"/>
      <c r="AN541" s="22" t="n"/>
      <c r="AO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  <c r="Y542" s="22" t="n"/>
      <c r="Z542" s="22" t="n"/>
      <c r="AA542" s="22" t="n"/>
      <c r="AB542" s="22" t="n"/>
      <c r="AC542" s="22" t="n"/>
      <c r="AD542" s="22" t="n"/>
      <c r="AE542" s="22" t="n"/>
      <c r="AF542" s="22" t="n"/>
      <c r="AG542" s="22" t="n"/>
      <c r="AH542" s="22" t="n"/>
      <c r="AI542" s="22" t="n"/>
      <c r="AJ542" s="22" t="n"/>
      <c r="AK542" s="22" t="n"/>
      <c r="AL542" s="22" t="n"/>
      <c r="AM542" s="22" t="n"/>
      <c r="AN542" s="22" t="n"/>
      <c r="AO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  <c r="Y543" s="22" t="n"/>
      <c r="Z543" s="22" t="n"/>
      <c r="AA543" s="22" t="n"/>
      <c r="AB543" s="22" t="n"/>
      <c r="AC543" s="22" t="n"/>
      <c r="AD543" s="22" t="n"/>
      <c r="AE543" s="22" t="n"/>
      <c r="AF543" s="22" t="n"/>
      <c r="AG543" s="22" t="n"/>
      <c r="AH543" s="22" t="n"/>
      <c r="AI543" s="22" t="n"/>
      <c r="AJ543" s="22" t="n"/>
      <c r="AK543" s="22" t="n"/>
      <c r="AL543" s="22" t="n"/>
      <c r="AM543" s="22" t="n"/>
      <c r="AN543" s="22" t="n"/>
      <c r="AO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  <c r="Y544" s="22" t="n"/>
      <c r="Z544" s="22" t="n"/>
      <c r="AA544" s="22" t="n"/>
      <c r="AB544" s="22" t="n"/>
      <c r="AC544" s="22" t="n"/>
      <c r="AD544" s="22" t="n"/>
      <c r="AE544" s="22" t="n"/>
      <c r="AF544" s="22" t="n"/>
      <c r="AG544" s="22" t="n"/>
      <c r="AH544" s="22" t="n"/>
      <c r="AI544" s="22" t="n"/>
      <c r="AJ544" s="22" t="n"/>
      <c r="AK544" s="22" t="n"/>
      <c r="AL544" s="22" t="n"/>
      <c r="AM544" s="22" t="n"/>
      <c r="AN544" s="22" t="n"/>
      <c r="AO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  <c r="Y545" s="22" t="n"/>
      <c r="Z545" s="22" t="n"/>
      <c r="AA545" s="22" t="n"/>
      <c r="AB545" s="22" t="n"/>
      <c r="AC545" s="22" t="n"/>
      <c r="AD545" s="22" t="n"/>
      <c r="AE545" s="22" t="n"/>
      <c r="AF545" s="22" t="n"/>
      <c r="AG545" s="22" t="n"/>
      <c r="AH545" s="22" t="n"/>
      <c r="AI545" s="22" t="n"/>
      <c r="AJ545" s="22" t="n"/>
      <c r="AK545" s="22" t="n"/>
      <c r="AL545" s="22" t="n"/>
      <c r="AM545" s="22" t="n"/>
      <c r="AN545" s="22" t="n"/>
      <c r="AO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  <c r="Y546" s="22" t="n"/>
      <c r="Z546" s="22" t="n"/>
      <c r="AA546" s="22" t="n"/>
      <c r="AB546" s="22" t="n"/>
      <c r="AC546" s="22" t="n"/>
      <c r="AD546" s="22" t="n"/>
      <c r="AE546" s="22" t="n"/>
      <c r="AF546" s="22" t="n"/>
      <c r="AG546" s="22" t="n"/>
      <c r="AH546" s="22" t="n"/>
      <c r="AI546" s="22" t="n"/>
      <c r="AJ546" s="22" t="n"/>
      <c r="AK546" s="22" t="n"/>
      <c r="AL546" s="22" t="n"/>
      <c r="AM546" s="22" t="n"/>
      <c r="AN546" s="22" t="n"/>
      <c r="AO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  <c r="Y547" s="22" t="n"/>
      <c r="Z547" s="22" t="n"/>
      <c r="AA547" s="22" t="n"/>
      <c r="AB547" s="22" t="n"/>
      <c r="AC547" s="22" t="n"/>
      <c r="AD547" s="22" t="n"/>
      <c r="AE547" s="22" t="n"/>
      <c r="AF547" s="22" t="n"/>
      <c r="AG547" s="22" t="n"/>
      <c r="AH547" s="22" t="n"/>
      <c r="AI547" s="22" t="n"/>
      <c r="AJ547" s="22" t="n"/>
      <c r="AK547" s="22" t="n"/>
      <c r="AL547" s="22" t="n"/>
      <c r="AM547" s="22" t="n"/>
      <c r="AN547" s="22" t="n"/>
      <c r="AO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  <c r="Y548" s="22" t="n"/>
      <c r="Z548" s="22" t="n"/>
      <c r="AA548" s="22" t="n"/>
      <c r="AB548" s="22" t="n"/>
      <c r="AC548" s="22" t="n"/>
      <c r="AD548" s="22" t="n"/>
      <c r="AE548" s="22" t="n"/>
      <c r="AF548" s="22" t="n"/>
      <c r="AG548" s="22" t="n"/>
      <c r="AH548" s="22" t="n"/>
      <c r="AI548" s="22" t="n"/>
      <c r="AJ548" s="22" t="n"/>
      <c r="AK548" s="22" t="n"/>
      <c r="AL548" s="22" t="n"/>
      <c r="AM548" s="22" t="n"/>
      <c r="AN548" s="22" t="n"/>
      <c r="AO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  <c r="Y549" s="22" t="n"/>
      <c r="Z549" s="22" t="n"/>
      <c r="AA549" s="22" t="n"/>
      <c r="AB549" s="22" t="n"/>
      <c r="AC549" s="22" t="n"/>
      <c r="AD549" s="22" t="n"/>
      <c r="AE549" s="22" t="n"/>
      <c r="AF549" s="22" t="n"/>
      <c r="AG549" s="22" t="n"/>
      <c r="AH549" s="22" t="n"/>
      <c r="AI549" s="22" t="n"/>
      <c r="AJ549" s="22" t="n"/>
      <c r="AK549" s="22" t="n"/>
      <c r="AL549" s="22" t="n"/>
      <c r="AM549" s="22" t="n"/>
      <c r="AN549" s="22" t="n"/>
      <c r="AO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  <c r="Y550" s="22" t="n"/>
      <c r="Z550" s="22" t="n"/>
      <c r="AA550" s="22" t="n"/>
      <c r="AB550" s="22" t="n"/>
      <c r="AC550" s="22" t="n"/>
      <c r="AD550" s="22" t="n"/>
      <c r="AE550" s="22" t="n"/>
      <c r="AF550" s="22" t="n"/>
      <c r="AG550" s="22" t="n"/>
      <c r="AH550" s="22" t="n"/>
      <c r="AI550" s="22" t="n"/>
      <c r="AJ550" s="22" t="n"/>
      <c r="AK550" s="22" t="n"/>
      <c r="AL550" s="22" t="n"/>
      <c r="AM550" s="22" t="n"/>
      <c r="AN550" s="22" t="n"/>
      <c r="AO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  <c r="Y551" s="22" t="n"/>
      <c r="Z551" s="22" t="n"/>
      <c r="AA551" s="22" t="n"/>
      <c r="AB551" s="22" t="n"/>
      <c r="AC551" s="22" t="n"/>
      <c r="AD551" s="22" t="n"/>
      <c r="AE551" s="22" t="n"/>
      <c r="AF551" s="22" t="n"/>
      <c r="AG551" s="22" t="n"/>
      <c r="AH551" s="22" t="n"/>
      <c r="AI551" s="22" t="n"/>
      <c r="AJ551" s="22" t="n"/>
      <c r="AK551" s="22" t="n"/>
      <c r="AL551" s="22" t="n"/>
      <c r="AM551" s="22" t="n"/>
      <c r="AN551" s="22" t="n"/>
      <c r="AO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  <c r="Y552" s="22" t="n"/>
      <c r="Z552" s="22" t="n"/>
      <c r="AA552" s="22" t="n"/>
      <c r="AB552" s="22" t="n"/>
      <c r="AC552" s="22" t="n"/>
      <c r="AD552" s="22" t="n"/>
      <c r="AE552" s="22" t="n"/>
      <c r="AF552" s="22" t="n"/>
      <c r="AG552" s="22" t="n"/>
      <c r="AH552" s="22" t="n"/>
      <c r="AI552" s="22" t="n"/>
      <c r="AJ552" s="22" t="n"/>
      <c r="AK552" s="22" t="n"/>
      <c r="AL552" s="22" t="n"/>
      <c r="AM552" s="22" t="n"/>
      <c r="AN552" s="22" t="n"/>
      <c r="AO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  <c r="Y553" s="22" t="n"/>
      <c r="Z553" s="22" t="n"/>
      <c r="AA553" s="22" t="n"/>
      <c r="AB553" s="22" t="n"/>
      <c r="AC553" s="22" t="n"/>
      <c r="AD553" s="22" t="n"/>
      <c r="AE553" s="22" t="n"/>
      <c r="AF553" s="22" t="n"/>
      <c r="AG553" s="22" t="n"/>
      <c r="AH553" s="22" t="n"/>
      <c r="AI553" s="22" t="n"/>
      <c r="AJ553" s="22" t="n"/>
      <c r="AK553" s="22" t="n"/>
      <c r="AL553" s="22" t="n"/>
      <c r="AM553" s="22" t="n"/>
      <c r="AN553" s="22" t="n"/>
      <c r="AO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  <c r="Y554" s="22" t="n"/>
      <c r="Z554" s="22" t="n"/>
      <c r="AA554" s="22" t="n"/>
      <c r="AB554" s="22" t="n"/>
      <c r="AC554" s="22" t="n"/>
      <c r="AD554" s="22" t="n"/>
      <c r="AE554" s="22" t="n"/>
      <c r="AF554" s="22" t="n"/>
      <c r="AG554" s="22" t="n"/>
      <c r="AH554" s="22" t="n"/>
      <c r="AI554" s="22" t="n"/>
      <c r="AJ554" s="22" t="n"/>
      <c r="AK554" s="22" t="n"/>
      <c r="AL554" s="22" t="n"/>
      <c r="AM554" s="22" t="n"/>
      <c r="AN554" s="22" t="n"/>
      <c r="AO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  <c r="Y555" s="22" t="n"/>
      <c r="Z555" s="22" t="n"/>
      <c r="AA555" s="22" t="n"/>
      <c r="AB555" s="22" t="n"/>
      <c r="AC555" s="22" t="n"/>
      <c r="AD555" s="22" t="n"/>
      <c r="AE555" s="22" t="n"/>
      <c r="AF555" s="22" t="n"/>
      <c r="AG555" s="22" t="n"/>
      <c r="AH555" s="22" t="n"/>
      <c r="AI555" s="22" t="n"/>
      <c r="AJ555" s="22" t="n"/>
      <c r="AK555" s="22" t="n"/>
      <c r="AL555" s="22" t="n"/>
      <c r="AM555" s="22" t="n"/>
      <c r="AN555" s="22" t="n"/>
      <c r="AO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  <c r="Y556" s="22" t="n"/>
      <c r="Z556" s="22" t="n"/>
      <c r="AA556" s="22" t="n"/>
      <c r="AB556" s="22" t="n"/>
      <c r="AC556" s="22" t="n"/>
      <c r="AD556" s="22" t="n"/>
      <c r="AE556" s="22" t="n"/>
      <c r="AF556" s="22" t="n"/>
      <c r="AG556" s="22" t="n"/>
      <c r="AH556" s="22" t="n"/>
      <c r="AI556" s="22" t="n"/>
      <c r="AJ556" s="22" t="n"/>
      <c r="AK556" s="22" t="n"/>
      <c r="AL556" s="22" t="n"/>
      <c r="AM556" s="22" t="n"/>
      <c r="AN556" s="22" t="n"/>
      <c r="AO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  <c r="Y557" s="22" t="n"/>
      <c r="Z557" s="22" t="n"/>
      <c r="AA557" s="22" t="n"/>
      <c r="AB557" s="22" t="n"/>
      <c r="AC557" s="22" t="n"/>
      <c r="AD557" s="22" t="n"/>
      <c r="AE557" s="22" t="n"/>
      <c r="AF557" s="22" t="n"/>
      <c r="AG557" s="22" t="n"/>
      <c r="AH557" s="22" t="n"/>
      <c r="AI557" s="22" t="n"/>
      <c r="AJ557" s="22" t="n"/>
      <c r="AK557" s="22" t="n"/>
      <c r="AL557" s="22" t="n"/>
      <c r="AM557" s="22" t="n"/>
      <c r="AN557" s="22" t="n"/>
      <c r="AO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  <c r="Y558" s="22" t="n"/>
      <c r="Z558" s="22" t="n"/>
      <c r="AA558" s="22" t="n"/>
      <c r="AB558" s="22" t="n"/>
      <c r="AC558" s="22" t="n"/>
      <c r="AD558" s="22" t="n"/>
      <c r="AE558" s="22" t="n"/>
      <c r="AF558" s="22" t="n"/>
      <c r="AG558" s="22" t="n"/>
      <c r="AH558" s="22" t="n"/>
      <c r="AI558" s="22" t="n"/>
      <c r="AJ558" s="22" t="n"/>
      <c r="AK558" s="22" t="n"/>
      <c r="AL558" s="22" t="n"/>
      <c r="AM558" s="22" t="n"/>
      <c r="AN558" s="22" t="n"/>
      <c r="AO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  <c r="Y559" s="22" t="n"/>
      <c r="Z559" s="22" t="n"/>
      <c r="AA559" s="22" t="n"/>
      <c r="AB559" s="22" t="n"/>
      <c r="AC559" s="22" t="n"/>
      <c r="AD559" s="22" t="n"/>
      <c r="AE559" s="22" t="n"/>
      <c r="AF559" s="22" t="n"/>
      <c r="AG559" s="22" t="n"/>
      <c r="AH559" s="22" t="n"/>
      <c r="AI559" s="22" t="n"/>
      <c r="AJ559" s="22" t="n"/>
      <c r="AK559" s="22" t="n"/>
      <c r="AL559" s="22" t="n"/>
      <c r="AM559" s="22" t="n"/>
      <c r="AN559" s="22" t="n"/>
      <c r="AO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  <c r="Y560" s="22" t="n"/>
      <c r="Z560" s="22" t="n"/>
      <c r="AA560" s="22" t="n"/>
      <c r="AB560" s="22" t="n"/>
      <c r="AC560" s="22" t="n"/>
      <c r="AD560" s="22" t="n"/>
      <c r="AE560" s="22" t="n"/>
      <c r="AF560" s="22" t="n"/>
      <c r="AG560" s="22" t="n"/>
      <c r="AH560" s="22" t="n"/>
      <c r="AI560" s="22" t="n"/>
      <c r="AJ560" s="22" t="n"/>
      <c r="AK560" s="22" t="n"/>
      <c r="AL560" s="22" t="n"/>
      <c r="AM560" s="22" t="n"/>
      <c r="AN560" s="22" t="n"/>
      <c r="AO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  <c r="Y561" s="22" t="n"/>
      <c r="Z561" s="22" t="n"/>
      <c r="AA561" s="22" t="n"/>
      <c r="AB561" s="22" t="n"/>
      <c r="AC561" s="22" t="n"/>
      <c r="AD561" s="22" t="n"/>
      <c r="AE561" s="22" t="n"/>
      <c r="AF561" s="22" t="n"/>
      <c r="AG561" s="22" t="n"/>
      <c r="AH561" s="22" t="n"/>
      <c r="AI561" s="22" t="n"/>
      <c r="AJ561" s="22" t="n"/>
      <c r="AK561" s="22" t="n"/>
      <c r="AL561" s="22" t="n"/>
      <c r="AM561" s="22" t="n"/>
      <c r="AN561" s="22" t="n"/>
      <c r="AO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  <c r="Y562" s="22" t="n"/>
      <c r="Z562" s="22" t="n"/>
      <c r="AA562" s="22" t="n"/>
      <c r="AB562" s="22" t="n"/>
      <c r="AC562" s="22" t="n"/>
      <c r="AD562" s="22" t="n"/>
      <c r="AE562" s="22" t="n"/>
      <c r="AF562" s="22" t="n"/>
      <c r="AG562" s="22" t="n"/>
      <c r="AH562" s="22" t="n"/>
      <c r="AI562" s="22" t="n"/>
      <c r="AJ562" s="22" t="n"/>
      <c r="AK562" s="22" t="n"/>
      <c r="AL562" s="22" t="n"/>
      <c r="AM562" s="22" t="n"/>
      <c r="AN562" s="22" t="n"/>
      <c r="AO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  <c r="Y563" s="22" t="n"/>
      <c r="Z563" s="22" t="n"/>
      <c r="AA563" s="22" t="n"/>
      <c r="AB563" s="22" t="n"/>
      <c r="AC563" s="22" t="n"/>
      <c r="AD563" s="22" t="n"/>
      <c r="AE563" s="22" t="n"/>
      <c r="AF563" s="22" t="n"/>
      <c r="AG563" s="22" t="n"/>
      <c r="AH563" s="22" t="n"/>
      <c r="AI563" s="22" t="n"/>
      <c r="AJ563" s="22" t="n"/>
      <c r="AK563" s="22" t="n"/>
      <c r="AL563" s="22" t="n"/>
      <c r="AM563" s="22" t="n"/>
      <c r="AN563" s="22" t="n"/>
      <c r="AO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  <c r="Y564" s="22" t="n"/>
      <c r="Z564" s="22" t="n"/>
      <c r="AA564" s="22" t="n"/>
      <c r="AB564" s="22" t="n"/>
      <c r="AC564" s="22" t="n"/>
      <c r="AD564" s="22" t="n"/>
      <c r="AE564" s="22" t="n"/>
      <c r="AF564" s="22" t="n"/>
      <c r="AG564" s="22" t="n"/>
      <c r="AH564" s="22" t="n"/>
      <c r="AI564" s="22" t="n"/>
      <c r="AJ564" s="22" t="n"/>
      <c r="AK564" s="22" t="n"/>
      <c r="AL564" s="22" t="n"/>
      <c r="AM564" s="22" t="n"/>
      <c r="AN564" s="22" t="n"/>
      <c r="AO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  <c r="Y565" s="22" t="n"/>
      <c r="Z565" s="22" t="n"/>
      <c r="AA565" s="22" t="n"/>
      <c r="AB565" s="22" t="n"/>
      <c r="AC565" s="22" t="n"/>
      <c r="AD565" s="22" t="n"/>
      <c r="AE565" s="22" t="n"/>
      <c r="AF565" s="22" t="n"/>
      <c r="AG565" s="22" t="n"/>
      <c r="AH565" s="22" t="n"/>
      <c r="AI565" s="22" t="n"/>
      <c r="AJ565" s="22" t="n"/>
      <c r="AK565" s="22" t="n"/>
      <c r="AL565" s="22" t="n"/>
      <c r="AM565" s="22" t="n"/>
      <c r="AN565" s="22" t="n"/>
      <c r="AO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  <c r="Y566" s="22" t="n"/>
      <c r="Z566" s="22" t="n"/>
      <c r="AA566" s="22" t="n"/>
      <c r="AB566" s="22" t="n"/>
      <c r="AC566" s="22" t="n"/>
      <c r="AD566" s="22" t="n"/>
      <c r="AE566" s="22" t="n"/>
      <c r="AF566" s="22" t="n"/>
      <c r="AG566" s="22" t="n"/>
      <c r="AH566" s="22" t="n"/>
      <c r="AI566" s="22" t="n"/>
      <c r="AJ566" s="22" t="n"/>
      <c r="AK566" s="22" t="n"/>
      <c r="AL566" s="22" t="n"/>
      <c r="AM566" s="22" t="n"/>
      <c r="AN566" s="22" t="n"/>
      <c r="AO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  <c r="Y567" s="22" t="n"/>
      <c r="Z567" s="22" t="n"/>
      <c r="AA567" s="22" t="n"/>
      <c r="AB567" s="22" t="n"/>
      <c r="AC567" s="22" t="n"/>
      <c r="AD567" s="22" t="n"/>
      <c r="AE567" s="22" t="n"/>
      <c r="AF567" s="22" t="n"/>
      <c r="AG567" s="22" t="n"/>
      <c r="AH567" s="22" t="n"/>
      <c r="AI567" s="22" t="n"/>
      <c r="AJ567" s="22" t="n"/>
      <c r="AK567" s="22" t="n"/>
      <c r="AL567" s="22" t="n"/>
      <c r="AM567" s="22" t="n"/>
      <c r="AN567" s="22" t="n"/>
      <c r="AO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  <c r="Y568" s="22" t="n"/>
      <c r="Z568" s="22" t="n"/>
      <c r="AA568" s="22" t="n"/>
      <c r="AB568" s="22" t="n"/>
      <c r="AC568" s="22" t="n"/>
      <c r="AD568" s="22" t="n"/>
      <c r="AE568" s="22" t="n"/>
      <c r="AF568" s="22" t="n"/>
      <c r="AG568" s="22" t="n"/>
      <c r="AH568" s="22" t="n"/>
      <c r="AI568" s="22" t="n"/>
      <c r="AJ568" s="22" t="n"/>
      <c r="AK568" s="22" t="n"/>
      <c r="AL568" s="22" t="n"/>
      <c r="AM568" s="22" t="n"/>
      <c r="AN568" s="22" t="n"/>
      <c r="AO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  <c r="Y569" s="22" t="n"/>
      <c r="Z569" s="22" t="n"/>
      <c r="AA569" s="22" t="n"/>
      <c r="AB569" s="22" t="n"/>
      <c r="AC569" s="22" t="n"/>
      <c r="AD569" s="22" t="n"/>
      <c r="AE569" s="22" t="n"/>
      <c r="AF569" s="22" t="n"/>
      <c r="AG569" s="22" t="n"/>
      <c r="AH569" s="22" t="n"/>
      <c r="AI569" s="22" t="n"/>
      <c r="AJ569" s="22" t="n"/>
      <c r="AK569" s="22" t="n"/>
      <c r="AL569" s="22" t="n"/>
      <c r="AM569" s="22" t="n"/>
      <c r="AN569" s="22" t="n"/>
      <c r="AO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  <c r="Y570" s="22" t="n"/>
      <c r="Z570" s="22" t="n"/>
      <c r="AA570" s="22" t="n"/>
      <c r="AB570" s="22" t="n"/>
      <c r="AC570" s="22" t="n"/>
      <c r="AD570" s="22" t="n"/>
      <c r="AE570" s="22" t="n"/>
      <c r="AF570" s="22" t="n"/>
      <c r="AG570" s="22" t="n"/>
      <c r="AH570" s="22" t="n"/>
      <c r="AI570" s="22" t="n"/>
      <c r="AJ570" s="22" t="n"/>
      <c r="AK570" s="22" t="n"/>
      <c r="AL570" s="22" t="n"/>
      <c r="AM570" s="22" t="n"/>
      <c r="AN570" s="22" t="n"/>
      <c r="AO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  <c r="Y571" s="22" t="n"/>
      <c r="Z571" s="22" t="n"/>
      <c r="AA571" s="22" t="n"/>
      <c r="AB571" s="22" t="n"/>
      <c r="AC571" s="22" t="n"/>
      <c r="AD571" s="22" t="n"/>
      <c r="AE571" s="22" t="n"/>
      <c r="AF571" s="22" t="n"/>
      <c r="AG571" s="22" t="n"/>
      <c r="AH571" s="22" t="n"/>
      <c r="AI571" s="22" t="n"/>
      <c r="AJ571" s="22" t="n"/>
      <c r="AK571" s="22" t="n"/>
      <c r="AL571" s="22" t="n"/>
      <c r="AM571" s="22" t="n"/>
      <c r="AN571" s="22" t="n"/>
      <c r="AO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  <c r="Y572" s="22" t="n"/>
      <c r="Z572" s="22" t="n"/>
      <c r="AA572" s="22" t="n"/>
      <c r="AB572" s="22" t="n"/>
      <c r="AC572" s="22" t="n"/>
      <c r="AD572" s="22" t="n"/>
      <c r="AE572" s="22" t="n"/>
      <c r="AF572" s="22" t="n"/>
      <c r="AG572" s="22" t="n"/>
      <c r="AH572" s="22" t="n"/>
      <c r="AI572" s="22" t="n"/>
      <c r="AJ572" s="22" t="n"/>
      <c r="AK572" s="22" t="n"/>
      <c r="AL572" s="22" t="n"/>
      <c r="AM572" s="22" t="n"/>
      <c r="AN572" s="22" t="n"/>
      <c r="AO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  <c r="Y573" s="22" t="n"/>
      <c r="Z573" s="22" t="n"/>
      <c r="AA573" s="22" t="n"/>
      <c r="AB573" s="22" t="n"/>
      <c r="AC573" s="22" t="n"/>
      <c r="AD573" s="22" t="n"/>
      <c r="AE573" s="22" t="n"/>
      <c r="AF573" s="22" t="n"/>
      <c r="AG573" s="22" t="n"/>
      <c r="AH573" s="22" t="n"/>
      <c r="AI573" s="22" t="n"/>
      <c r="AJ573" s="22" t="n"/>
      <c r="AK573" s="22" t="n"/>
      <c r="AL573" s="22" t="n"/>
      <c r="AM573" s="22" t="n"/>
      <c r="AN573" s="22" t="n"/>
      <c r="AO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  <c r="Y574" s="22" t="n"/>
      <c r="Z574" s="22" t="n"/>
      <c r="AA574" s="22" t="n"/>
      <c r="AB574" s="22" t="n"/>
      <c r="AC574" s="22" t="n"/>
      <c r="AD574" s="22" t="n"/>
      <c r="AE574" s="22" t="n"/>
      <c r="AF574" s="22" t="n"/>
      <c r="AG574" s="22" t="n"/>
      <c r="AH574" s="22" t="n"/>
      <c r="AI574" s="22" t="n"/>
      <c r="AJ574" s="22" t="n"/>
      <c r="AK574" s="22" t="n"/>
      <c r="AL574" s="22" t="n"/>
      <c r="AM574" s="22" t="n"/>
      <c r="AN574" s="22" t="n"/>
      <c r="AO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  <c r="Y575" s="22" t="n"/>
      <c r="Z575" s="22" t="n"/>
      <c r="AA575" s="22" t="n"/>
      <c r="AB575" s="22" t="n"/>
      <c r="AC575" s="22" t="n"/>
      <c r="AD575" s="22" t="n"/>
      <c r="AE575" s="22" t="n"/>
      <c r="AF575" s="22" t="n"/>
      <c r="AG575" s="22" t="n"/>
      <c r="AH575" s="22" t="n"/>
      <c r="AI575" s="22" t="n"/>
      <c r="AJ575" s="22" t="n"/>
      <c r="AK575" s="22" t="n"/>
      <c r="AL575" s="22" t="n"/>
      <c r="AM575" s="22" t="n"/>
      <c r="AN575" s="22" t="n"/>
      <c r="AO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  <c r="Y576" s="22" t="n"/>
      <c r="Z576" s="22" t="n"/>
      <c r="AA576" s="22" t="n"/>
      <c r="AB576" s="22" t="n"/>
      <c r="AC576" s="22" t="n"/>
      <c r="AD576" s="22" t="n"/>
      <c r="AE576" s="22" t="n"/>
      <c r="AF576" s="22" t="n"/>
      <c r="AG576" s="22" t="n"/>
      <c r="AH576" s="22" t="n"/>
      <c r="AI576" s="22" t="n"/>
      <c r="AJ576" s="22" t="n"/>
      <c r="AK576" s="22" t="n"/>
      <c r="AL576" s="22" t="n"/>
      <c r="AM576" s="22" t="n"/>
      <c r="AN576" s="22" t="n"/>
      <c r="AO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  <c r="Y577" s="22" t="n"/>
      <c r="Z577" s="22" t="n"/>
      <c r="AA577" s="22" t="n"/>
      <c r="AB577" s="22" t="n"/>
      <c r="AC577" s="22" t="n"/>
      <c r="AD577" s="22" t="n"/>
      <c r="AE577" s="22" t="n"/>
      <c r="AF577" s="22" t="n"/>
      <c r="AG577" s="22" t="n"/>
      <c r="AH577" s="22" t="n"/>
      <c r="AI577" s="22" t="n"/>
      <c r="AJ577" s="22" t="n"/>
      <c r="AK577" s="22" t="n"/>
      <c r="AL577" s="22" t="n"/>
      <c r="AM577" s="22" t="n"/>
      <c r="AN577" s="22" t="n"/>
      <c r="AO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  <c r="Y578" s="22" t="n"/>
      <c r="Z578" s="22" t="n"/>
      <c r="AA578" s="22" t="n"/>
      <c r="AB578" s="22" t="n"/>
      <c r="AC578" s="22" t="n"/>
      <c r="AD578" s="22" t="n"/>
      <c r="AE578" s="22" t="n"/>
      <c r="AF578" s="22" t="n"/>
      <c r="AG578" s="22" t="n"/>
      <c r="AH578" s="22" t="n"/>
      <c r="AI578" s="22" t="n"/>
      <c r="AJ578" s="22" t="n"/>
      <c r="AK578" s="22" t="n"/>
      <c r="AL578" s="22" t="n"/>
      <c r="AM578" s="22" t="n"/>
      <c r="AN578" s="22" t="n"/>
      <c r="AO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  <c r="Y579" s="22" t="n"/>
      <c r="Z579" s="22" t="n"/>
      <c r="AA579" s="22" t="n"/>
      <c r="AB579" s="22" t="n"/>
      <c r="AC579" s="22" t="n"/>
      <c r="AD579" s="22" t="n"/>
      <c r="AE579" s="22" t="n"/>
      <c r="AF579" s="22" t="n"/>
      <c r="AG579" s="22" t="n"/>
      <c r="AH579" s="22" t="n"/>
      <c r="AI579" s="22" t="n"/>
      <c r="AJ579" s="22" t="n"/>
      <c r="AK579" s="22" t="n"/>
      <c r="AL579" s="22" t="n"/>
      <c r="AM579" s="22" t="n"/>
      <c r="AN579" s="22" t="n"/>
      <c r="AO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  <c r="Y580" s="22" t="n"/>
      <c r="Z580" s="22" t="n"/>
      <c r="AA580" s="22" t="n"/>
      <c r="AB580" s="22" t="n"/>
      <c r="AC580" s="22" t="n"/>
      <c r="AD580" s="22" t="n"/>
      <c r="AE580" s="22" t="n"/>
      <c r="AF580" s="22" t="n"/>
      <c r="AG580" s="22" t="n"/>
      <c r="AH580" s="22" t="n"/>
      <c r="AI580" s="22" t="n"/>
      <c r="AJ580" s="22" t="n"/>
      <c r="AK580" s="22" t="n"/>
      <c r="AL580" s="22" t="n"/>
      <c r="AM580" s="22" t="n"/>
      <c r="AN580" s="22" t="n"/>
      <c r="AO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  <c r="Y581" s="22" t="n"/>
      <c r="Z581" s="22" t="n"/>
      <c r="AA581" s="22" t="n"/>
      <c r="AB581" s="22" t="n"/>
      <c r="AC581" s="22" t="n"/>
      <c r="AD581" s="22" t="n"/>
      <c r="AE581" s="22" t="n"/>
      <c r="AF581" s="22" t="n"/>
      <c r="AG581" s="22" t="n"/>
      <c r="AH581" s="22" t="n"/>
      <c r="AI581" s="22" t="n"/>
      <c r="AJ581" s="22" t="n"/>
      <c r="AK581" s="22" t="n"/>
      <c r="AL581" s="22" t="n"/>
      <c r="AM581" s="22" t="n"/>
      <c r="AN581" s="22" t="n"/>
      <c r="AO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  <c r="Y582" s="22" t="n"/>
      <c r="Z582" s="22" t="n"/>
      <c r="AA582" s="22" t="n"/>
      <c r="AB582" s="22" t="n"/>
      <c r="AC582" s="22" t="n"/>
      <c r="AD582" s="22" t="n"/>
      <c r="AE582" s="22" t="n"/>
      <c r="AF582" s="22" t="n"/>
      <c r="AG582" s="22" t="n"/>
      <c r="AH582" s="22" t="n"/>
      <c r="AI582" s="22" t="n"/>
      <c r="AJ582" s="22" t="n"/>
      <c r="AK582" s="22" t="n"/>
      <c r="AL582" s="22" t="n"/>
      <c r="AM582" s="22" t="n"/>
      <c r="AN582" s="22" t="n"/>
      <c r="AO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  <c r="Y583" s="22" t="n"/>
      <c r="Z583" s="22" t="n"/>
      <c r="AA583" s="22" t="n"/>
      <c r="AB583" s="22" t="n"/>
      <c r="AC583" s="22" t="n"/>
      <c r="AD583" s="22" t="n"/>
      <c r="AE583" s="22" t="n"/>
      <c r="AF583" s="22" t="n"/>
      <c r="AG583" s="22" t="n"/>
      <c r="AH583" s="22" t="n"/>
      <c r="AI583" s="22" t="n"/>
      <c r="AJ583" s="22" t="n"/>
      <c r="AK583" s="22" t="n"/>
      <c r="AL583" s="22" t="n"/>
      <c r="AM583" s="22" t="n"/>
      <c r="AN583" s="22" t="n"/>
      <c r="AO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  <c r="Y584" s="22" t="n"/>
      <c r="Z584" s="22" t="n"/>
      <c r="AA584" s="22" t="n"/>
      <c r="AB584" s="22" t="n"/>
      <c r="AC584" s="22" t="n"/>
      <c r="AD584" s="22" t="n"/>
      <c r="AE584" s="22" t="n"/>
      <c r="AF584" s="22" t="n"/>
      <c r="AG584" s="22" t="n"/>
      <c r="AH584" s="22" t="n"/>
      <c r="AI584" s="22" t="n"/>
      <c r="AJ584" s="22" t="n"/>
      <c r="AK584" s="22" t="n"/>
      <c r="AL584" s="22" t="n"/>
      <c r="AM584" s="22" t="n"/>
      <c r="AN584" s="22" t="n"/>
      <c r="AO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  <c r="Y585" s="22" t="n"/>
      <c r="Z585" s="22" t="n"/>
      <c r="AA585" s="22" t="n"/>
      <c r="AB585" s="22" t="n"/>
      <c r="AC585" s="22" t="n"/>
      <c r="AD585" s="22" t="n"/>
      <c r="AE585" s="22" t="n"/>
      <c r="AF585" s="22" t="n"/>
      <c r="AG585" s="22" t="n"/>
      <c r="AH585" s="22" t="n"/>
      <c r="AI585" s="22" t="n"/>
      <c r="AJ585" s="22" t="n"/>
      <c r="AK585" s="22" t="n"/>
      <c r="AL585" s="22" t="n"/>
      <c r="AM585" s="22" t="n"/>
      <c r="AN585" s="22" t="n"/>
      <c r="AO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  <c r="Y586" s="22" t="n"/>
      <c r="Z586" s="22" t="n"/>
      <c r="AA586" s="22" t="n"/>
      <c r="AB586" s="22" t="n"/>
      <c r="AC586" s="22" t="n"/>
      <c r="AD586" s="22" t="n"/>
      <c r="AE586" s="22" t="n"/>
      <c r="AF586" s="22" t="n"/>
      <c r="AG586" s="22" t="n"/>
      <c r="AH586" s="22" t="n"/>
      <c r="AI586" s="22" t="n"/>
      <c r="AJ586" s="22" t="n"/>
      <c r="AK586" s="22" t="n"/>
      <c r="AL586" s="22" t="n"/>
      <c r="AM586" s="22" t="n"/>
      <c r="AN586" s="22" t="n"/>
      <c r="AO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  <c r="Y587" s="22" t="n"/>
      <c r="Z587" s="22" t="n"/>
      <c r="AA587" s="22" t="n"/>
      <c r="AB587" s="22" t="n"/>
      <c r="AC587" s="22" t="n"/>
      <c r="AD587" s="22" t="n"/>
      <c r="AE587" s="22" t="n"/>
      <c r="AF587" s="22" t="n"/>
      <c r="AG587" s="22" t="n"/>
      <c r="AH587" s="22" t="n"/>
      <c r="AI587" s="22" t="n"/>
      <c r="AJ587" s="22" t="n"/>
      <c r="AK587" s="22" t="n"/>
      <c r="AL587" s="22" t="n"/>
      <c r="AM587" s="22" t="n"/>
      <c r="AN587" s="22" t="n"/>
      <c r="AO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  <c r="Y588" s="22" t="n"/>
      <c r="Z588" s="22" t="n"/>
      <c r="AA588" s="22" t="n"/>
      <c r="AB588" s="22" t="n"/>
      <c r="AC588" s="22" t="n"/>
      <c r="AD588" s="22" t="n"/>
      <c r="AE588" s="22" t="n"/>
      <c r="AF588" s="22" t="n"/>
      <c r="AG588" s="22" t="n"/>
      <c r="AH588" s="22" t="n"/>
      <c r="AI588" s="22" t="n"/>
      <c r="AJ588" s="22" t="n"/>
      <c r="AK588" s="22" t="n"/>
      <c r="AL588" s="22" t="n"/>
      <c r="AM588" s="22" t="n"/>
      <c r="AN588" s="22" t="n"/>
      <c r="AO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  <c r="Y589" s="22" t="n"/>
      <c r="Z589" s="22" t="n"/>
      <c r="AA589" s="22" t="n"/>
      <c r="AB589" s="22" t="n"/>
      <c r="AC589" s="22" t="n"/>
      <c r="AD589" s="22" t="n"/>
      <c r="AE589" s="22" t="n"/>
      <c r="AF589" s="22" t="n"/>
      <c r="AG589" s="22" t="n"/>
      <c r="AH589" s="22" t="n"/>
      <c r="AI589" s="22" t="n"/>
      <c r="AJ589" s="22" t="n"/>
      <c r="AK589" s="22" t="n"/>
      <c r="AL589" s="22" t="n"/>
      <c r="AM589" s="22" t="n"/>
      <c r="AN589" s="22" t="n"/>
      <c r="AO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  <c r="Y590" s="22" t="n"/>
      <c r="Z590" s="22" t="n"/>
      <c r="AA590" s="22" t="n"/>
      <c r="AB590" s="22" t="n"/>
      <c r="AC590" s="22" t="n"/>
      <c r="AD590" s="22" t="n"/>
      <c r="AE590" s="22" t="n"/>
      <c r="AF590" s="22" t="n"/>
      <c r="AG590" s="22" t="n"/>
      <c r="AH590" s="22" t="n"/>
      <c r="AI590" s="22" t="n"/>
      <c r="AJ590" s="22" t="n"/>
      <c r="AK590" s="22" t="n"/>
      <c r="AL590" s="22" t="n"/>
      <c r="AM590" s="22" t="n"/>
      <c r="AN590" s="22" t="n"/>
      <c r="AO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  <c r="Y591" s="22" t="n"/>
      <c r="Z591" s="22" t="n"/>
      <c r="AA591" s="22" t="n"/>
      <c r="AB591" s="22" t="n"/>
      <c r="AC591" s="22" t="n"/>
      <c r="AD591" s="22" t="n"/>
      <c r="AE591" s="22" t="n"/>
      <c r="AF591" s="22" t="n"/>
      <c r="AG591" s="22" t="n"/>
      <c r="AH591" s="22" t="n"/>
      <c r="AI591" s="22" t="n"/>
      <c r="AJ591" s="22" t="n"/>
      <c r="AK591" s="22" t="n"/>
      <c r="AL591" s="22" t="n"/>
      <c r="AM591" s="22" t="n"/>
      <c r="AN591" s="22" t="n"/>
      <c r="AO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  <c r="Y592" s="22" t="n"/>
      <c r="Z592" s="22" t="n"/>
      <c r="AA592" s="22" t="n"/>
      <c r="AB592" s="22" t="n"/>
      <c r="AC592" s="22" t="n"/>
      <c r="AD592" s="22" t="n"/>
      <c r="AE592" s="22" t="n"/>
      <c r="AF592" s="22" t="n"/>
      <c r="AG592" s="22" t="n"/>
      <c r="AH592" s="22" t="n"/>
      <c r="AI592" s="22" t="n"/>
      <c r="AJ592" s="22" t="n"/>
      <c r="AK592" s="22" t="n"/>
      <c r="AL592" s="22" t="n"/>
      <c r="AM592" s="22" t="n"/>
      <c r="AN592" s="22" t="n"/>
      <c r="AO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  <c r="Y593" s="22" t="n"/>
      <c r="Z593" s="22" t="n"/>
      <c r="AA593" s="22" t="n"/>
      <c r="AB593" s="22" t="n"/>
      <c r="AC593" s="22" t="n"/>
      <c r="AD593" s="22" t="n"/>
      <c r="AE593" s="22" t="n"/>
      <c r="AF593" s="22" t="n"/>
      <c r="AG593" s="22" t="n"/>
      <c r="AH593" s="22" t="n"/>
      <c r="AI593" s="22" t="n"/>
      <c r="AJ593" s="22" t="n"/>
      <c r="AK593" s="22" t="n"/>
      <c r="AL593" s="22" t="n"/>
      <c r="AM593" s="22" t="n"/>
      <c r="AN593" s="22" t="n"/>
      <c r="AO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  <c r="Y594" s="22" t="n"/>
      <c r="Z594" s="22" t="n"/>
      <c r="AA594" s="22" t="n"/>
      <c r="AB594" s="22" t="n"/>
      <c r="AC594" s="22" t="n"/>
      <c r="AD594" s="22" t="n"/>
      <c r="AE594" s="22" t="n"/>
      <c r="AF594" s="22" t="n"/>
      <c r="AG594" s="22" t="n"/>
      <c r="AH594" s="22" t="n"/>
      <c r="AI594" s="22" t="n"/>
      <c r="AJ594" s="22" t="n"/>
      <c r="AK594" s="22" t="n"/>
      <c r="AL594" s="22" t="n"/>
      <c r="AM594" s="22" t="n"/>
      <c r="AN594" s="22" t="n"/>
      <c r="AO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  <c r="Y595" s="22" t="n"/>
      <c r="Z595" s="22" t="n"/>
      <c r="AA595" s="22" t="n"/>
      <c r="AB595" s="22" t="n"/>
      <c r="AC595" s="22" t="n"/>
      <c r="AD595" s="22" t="n"/>
      <c r="AE595" s="22" t="n"/>
      <c r="AF595" s="22" t="n"/>
      <c r="AG595" s="22" t="n"/>
      <c r="AH595" s="22" t="n"/>
      <c r="AI595" s="22" t="n"/>
      <c r="AJ595" s="22" t="n"/>
      <c r="AK595" s="22" t="n"/>
      <c r="AL595" s="22" t="n"/>
      <c r="AM595" s="22" t="n"/>
      <c r="AN595" s="22" t="n"/>
      <c r="AO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  <c r="Y596" s="22" t="n"/>
      <c r="Z596" s="22" t="n"/>
      <c r="AA596" s="22" t="n"/>
      <c r="AB596" s="22" t="n"/>
      <c r="AC596" s="22" t="n"/>
      <c r="AD596" s="22" t="n"/>
      <c r="AE596" s="22" t="n"/>
      <c r="AF596" s="22" t="n"/>
      <c r="AG596" s="22" t="n"/>
      <c r="AH596" s="22" t="n"/>
      <c r="AI596" s="22" t="n"/>
      <c r="AJ596" s="22" t="n"/>
      <c r="AK596" s="22" t="n"/>
      <c r="AL596" s="22" t="n"/>
      <c r="AM596" s="22" t="n"/>
      <c r="AN596" s="22" t="n"/>
      <c r="AO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  <c r="Y597" s="22" t="n"/>
      <c r="Z597" s="22" t="n"/>
      <c r="AA597" s="22" t="n"/>
      <c r="AB597" s="22" t="n"/>
      <c r="AC597" s="22" t="n"/>
      <c r="AD597" s="22" t="n"/>
      <c r="AE597" s="22" t="n"/>
      <c r="AF597" s="22" t="n"/>
      <c r="AG597" s="22" t="n"/>
      <c r="AH597" s="22" t="n"/>
      <c r="AI597" s="22" t="n"/>
      <c r="AJ597" s="22" t="n"/>
      <c r="AK597" s="22" t="n"/>
      <c r="AL597" s="22" t="n"/>
      <c r="AM597" s="22" t="n"/>
      <c r="AN597" s="22" t="n"/>
      <c r="AO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  <c r="Y598" s="22" t="n"/>
      <c r="Z598" s="22" t="n"/>
      <c r="AA598" s="22" t="n"/>
      <c r="AB598" s="22" t="n"/>
      <c r="AC598" s="22" t="n"/>
      <c r="AD598" s="22" t="n"/>
      <c r="AE598" s="22" t="n"/>
      <c r="AF598" s="22" t="n"/>
      <c r="AG598" s="22" t="n"/>
      <c r="AH598" s="22" t="n"/>
      <c r="AI598" s="22" t="n"/>
      <c r="AJ598" s="22" t="n"/>
      <c r="AK598" s="22" t="n"/>
      <c r="AL598" s="22" t="n"/>
      <c r="AM598" s="22" t="n"/>
      <c r="AN598" s="22" t="n"/>
      <c r="AO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  <c r="Y599" s="22" t="n"/>
      <c r="Z599" s="22" t="n"/>
      <c r="AA599" s="22" t="n"/>
      <c r="AB599" s="22" t="n"/>
      <c r="AC599" s="22" t="n"/>
      <c r="AD599" s="22" t="n"/>
      <c r="AE599" s="22" t="n"/>
      <c r="AF599" s="22" t="n"/>
      <c r="AG599" s="22" t="n"/>
      <c r="AH599" s="22" t="n"/>
      <c r="AI599" s="22" t="n"/>
      <c r="AJ599" s="22" t="n"/>
      <c r="AK599" s="22" t="n"/>
      <c r="AL599" s="22" t="n"/>
      <c r="AM599" s="22" t="n"/>
      <c r="AN599" s="22" t="n"/>
      <c r="AO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  <c r="Y600" s="22" t="n"/>
      <c r="Z600" s="22" t="n"/>
      <c r="AA600" s="22" t="n"/>
      <c r="AB600" s="22" t="n"/>
      <c r="AC600" s="22" t="n"/>
      <c r="AD600" s="22" t="n"/>
      <c r="AE600" s="22" t="n"/>
      <c r="AF600" s="22" t="n"/>
      <c r="AG600" s="22" t="n"/>
      <c r="AH600" s="22" t="n"/>
      <c r="AI600" s="22" t="n"/>
      <c r="AJ600" s="22" t="n"/>
      <c r="AK600" s="22" t="n"/>
      <c r="AL600" s="22" t="n"/>
      <c r="AM600" s="22" t="n"/>
      <c r="AN600" s="22" t="n"/>
      <c r="AO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  <c r="Y601" s="22" t="n"/>
      <c r="Z601" s="22" t="n"/>
      <c r="AA601" s="22" t="n"/>
      <c r="AB601" s="22" t="n"/>
      <c r="AC601" s="22" t="n"/>
      <c r="AD601" s="22" t="n"/>
      <c r="AE601" s="22" t="n"/>
      <c r="AF601" s="22" t="n"/>
      <c r="AG601" s="22" t="n"/>
      <c r="AH601" s="22" t="n"/>
      <c r="AI601" s="22" t="n"/>
      <c r="AJ601" s="22" t="n"/>
      <c r="AK601" s="22" t="n"/>
      <c r="AL601" s="22" t="n"/>
      <c r="AM601" s="22" t="n"/>
      <c r="AN601" s="22" t="n"/>
      <c r="AO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  <c r="Y602" s="22" t="n"/>
      <c r="Z602" s="22" t="n"/>
      <c r="AA602" s="22" t="n"/>
      <c r="AB602" s="22" t="n"/>
      <c r="AC602" s="22" t="n"/>
      <c r="AD602" s="22" t="n"/>
      <c r="AE602" s="22" t="n"/>
      <c r="AF602" s="22" t="n"/>
      <c r="AG602" s="22" t="n"/>
      <c r="AH602" s="22" t="n"/>
      <c r="AI602" s="22" t="n"/>
      <c r="AJ602" s="22" t="n"/>
      <c r="AK602" s="22" t="n"/>
      <c r="AL602" s="22" t="n"/>
      <c r="AM602" s="22" t="n"/>
      <c r="AN602" s="22" t="n"/>
      <c r="AO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  <c r="Y603" s="22" t="n"/>
      <c r="Z603" s="22" t="n"/>
      <c r="AA603" s="22" t="n"/>
      <c r="AB603" s="22" t="n"/>
      <c r="AC603" s="22" t="n"/>
      <c r="AD603" s="22" t="n"/>
      <c r="AE603" s="22" t="n"/>
      <c r="AF603" s="22" t="n"/>
      <c r="AG603" s="22" t="n"/>
      <c r="AH603" s="22" t="n"/>
      <c r="AI603" s="22" t="n"/>
      <c r="AJ603" s="22" t="n"/>
      <c r="AK603" s="22" t="n"/>
      <c r="AL603" s="22" t="n"/>
      <c r="AM603" s="22" t="n"/>
      <c r="AN603" s="22" t="n"/>
      <c r="AO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  <c r="Y604" s="22" t="n"/>
      <c r="Z604" s="22" t="n"/>
      <c r="AA604" s="22" t="n"/>
      <c r="AB604" s="22" t="n"/>
      <c r="AC604" s="22" t="n"/>
      <c r="AD604" s="22" t="n"/>
      <c r="AE604" s="22" t="n"/>
      <c r="AF604" s="22" t="n"/>
      <c r="AG604" s="22" t="n"/>
      <c r="AH604" s="22" t="n"/>
      <c r="AI604" s="22" t="n"/>
      <c r="AJ604" s="22" t="n"/>
      <c r="AK604" s="22" t="n"/>
      <c r="AL604" s="22" t="n"/>
      <c r="AM604" s="22" t="n"/>
      <c r="AN604" s="22" t="n"/>
      <c r="AO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  <c r="Y605" s="22" t="n"/>
      <c r="Z605" s="22" t="n"/>
      <c r="AA605" s="22" t="n"/>
      <c r="AB605" s="22" t="n"/>
      <c r="AC605" s="22" t="n"/>
      <c r="AD605" s="22" t="n"/>
      <c r="AE605" s="22" t="n"/>
      <c r="AF605" s="22" t="n"/>
      <c r="AG605" s="22" t="n"/>
      <c r="AH605" s="22" t="n"/>
      <c r="AI605" s="22" t="n"/>
      <c r="AJ605" s="22" t="n"/>
      <c r="AK605" s="22" t="n"/>
      <c r="AL605" s="22" t="n"/>
      <c r="AM605" s="22" t="n"/>
      <c r="AN605" s="22" t="n"/>
      <c r="AO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  <c r="Y606" s="22" t="n"/>
      <c r="Z606" s="22" t="n"/>
      <c r="AA606" s="22" t="n"/>
      <c r="AB606" s="22" t="n"/>
      <c r="AC606" s="22" t="n"/>
      <c r="AD606" s="22" t="n"/>
      <c r="AE606" s="22" t="n"/>
      <c r="AF606" s="22" t="n"/>
      <c r="AG606" s="22" t="n"/>
      <c r="AH606" s="22" t="n"/>
      <c r="AI606" s="22" t="n"/>
      <c r="AJ606" s="22" t="n"/>
      <c r="AK606" s="22" t="n"/>
      <c r="AL606" s="22" t="n"/>
      <c r="AM606" s="22" t="n"/>
      <c r="AN606" s="22" t="n"/>
      <c r="AO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  <c r="Y607" s="22" t="n"/>
      <c r="Z607" s="22" t="n"/>
      <c r="AA607" s="22" t="n"/>
      <c r="AB607" s="22" t="n"/>
      <c r="AC607" s="22" t="n"/>
      <c r="AD607" s="22" t="n"/>
      <c r="AE607" s="22" t="n"/>
      <c r="AF607" s="22" t="n"/>
      <c r="AG607" s="22" t="n"/>
      <c r="AH607" s="22" t="n"/>
      <c r="AI607" s="22" t="n"/>
      <c r="AJ607" s="22" t="n"/>
      <c r="AK607" s="22" t="n"/>
      <c r="AL607" s="22" t="n"/>
      <c r="AM607" s="22" t="n"/>
      <c r="AN607" s="22" t="n"/>
      <c r="AO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  <c r="Y608" s="22" t="n"/>
      <c r="Z608" s="22" t="n"/>
      <c r="AA608" s="22" t="n"/>
      <c r="AB608" s="22" t="n"/>
      <c r="AC608" s="22" t="n"/>
      <c r="AD608" s="22" t="n"/>
      <c r="AE608" s="22" t="n"/>
      <c r="AF608" s="22" t="n"/>
      <c r="AG608" s="22" t="n"/>
      <c r="AH608" s="22" t="n"/>
      <c r="AI608" s="22" t="n"/>
      <c r="AJ608" s="22" t="n"/>
      <c r="AK608" s="22" t="n"/>
      <c r="AL608" s="22" t="n"/>
      <c r="AM608" s="22" t="n"/>
      <c r="AN608" s="22" t="n"/>
      <c r="AO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  <c r="Y609" s="22" t="n"/>
      <c r="Z609" s="22" t="n"/>
      <c r="AA609" s="22" t="n"/>
      <c r="AB609" s="22" t="n"/>
      <c r="AC609" s="22" t="n"/>
      <c r="AD609" s="22" t="n"/>
      <c r="AE609" s="22" t="n"/>
      <c r="AF609" s="22" t="n"/>
      <c r="AG609" s="22" t="n"/>
      <c r="AH609" s="22" t="n"/>
      <c r="AI609" s="22" t="n"/>
      <c r="AJ609" s="22" t="n"/>
      <c r="AK609" s="22" t="n"/>
      <c r="AL609" s="22" t="n"/>
      <c r="AM609" s="22" t="n"/>
      <c r="AN609" s="22" t="n"/>
      <c r="AO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  <c r="Y610" s="22" t="n"/>
      <c r="Z610" s="22" t="n"/>
      <c r="AA610" s="22" t="n"/>
      <c r="AB610" s="22" t="n"/>
      <c r="AC610" s="22" t="n"/>
      <c r="AD610" s="22" t="n"/>
      <c r="AE610" s="22" t="n"/>
      <c r="AF610" s="22" t="n"/>
      <c r="AG610" s="22" t="n"/>
      <c r="AH610" s="22" t="n"/>
      <c r="AI610" s="22" t="n"/>
      <c r="AJ610" s="22" t="n"/>
      <c r="AK610" s="22" t="n"/>
      <c r="AL610" s="22" t="n"/>
      <c r="AM610" s="22" t="n"/>
      <c r="AN610" s="22" t="n"/>
      <c r="AO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  <c r="Y611" s="22" t="n"/>
      <c r="Z611" s="22" t="n"/>
      <c r="AA611" s="22" t="n"/>
      <c r="AB611" s="22" t="n"/>
      <c r="AC611" s="22" t="n"/>
      <c r="AD611" s="22" t="n"/>
      <c r="AE611" s="22" t="n"/>
      <c r="AF611" s="22" t="n"/>
      <c r="AG611" s="22" t="n"/>
      <c r="AH611" s="22" t="n"/>
      <c r="AI611" s="22" t="n"/>
      <c r="AJ611" s="22" t="n"/>
      <c r="AK611" s="22" t="n"/>
      <c r="AL611" s="22" t="n"/>
      <c r="AM611" s="22" t="n"/>
      <c r="AN611" s="22" t="n"/>
      <c r="AO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  <c r="Y612" s="22" t="n"/>
      <c r="Z612" s="22" t="n"/>
      <c r="AA612" s="22" t="n"/>
      <c r="AB612" s="22" t="n"/>
      <c r="AC612" s="22" t="n"/>
      <c r="AD612" s="22" t="n"/>
      <c r="AE612" s="22" t="n"/>
      <c r="AF612" s="22" t="n"/>
      <c r="AG612" s="22" t="n"/>
      <c r="AH612" s="22" t="n"/>
      <c r="AI612" s="22" t="n"/>
      <c r="AJ612" s="22" t="n"/>
      <c r="AK612" s="22" t="n"/>
      <c r="AL612" s="22" t="n"/>
      <c r="AM612" s="22" t="n"/>
      <c r="AN612" s="22" t="n"/>
      <c r="AO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  <c r="Y613" s="22" t="n"/>
      <c r="Z613" s="22" t="n"/>
      <c r="AA613" s="22" t="n"/>
      <c r="AB613" s="22" t="n"/>
      <c r="AC613" s="22" t="n"/>
      <c r="AD613" s="22" t="n"/>
      <c r="AE613" s="22" t="n"/>
      <c r="AF613" s="22" t="n"/>
      <c r="AG613" s="22" t="n"/>
      <c r="AH613" s="22" t="n"/>
      <c r="AI613" s="22" t="n"/>
      <c r="AJ613" s="22" t="n"/>
      <c r="AK613" s="22" t="n"/>
      <c r="AL613" s="22" t="n"/>
      <c r="AM613" s="22" t="n"/>
      <c r="AN613" s="22" t="n"/>
      <c r="AO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  <c r="Y614" s="22" t="n"/>
      <c r="Z614" s="22" t="n"/>
      <c r="AA614" s="22" t="n"/>
      <c r="AB614" s="22" t="n"/>
      <c r="AC614" s="22" t="n"/>
      <c r="AD614" s="22" t="n"/>
      <c r="AE614" s="22" t="n"/>
      <c r="AF614" s="22" t="n"/>
      <c r="AG614" s="22" t="n"/>
      <c r="AH614" s="22" t="n"/>
      <c r="AI614" s="22" t="n"/>
      <c r="AJ614" s="22" t="n"/>
      <c r="AK614" s="22" t="n"/>
      <c r="AL614" s="22" t="n"/>
      <c r="AM614" s="22" t="n"/>
      <c r="AN614" s="22" t="n"/>
      <c r="AO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  <c r="Y615" s="22" t="n"/>
      <c r="Z615" s="22" t="n"/>
      <c r="AA615" s="22" t="n"/>
      <c r="AB615" s="22" t="n"/>
      <c r="AC615" s="22" t="n"/>
      <c r="AD615" s="22" t="n"/>
      <c r="AE615" s="22" t="n"/>
      <c r="AF615" s="22" t="n"/>
      <c r="AG615" s="22" t="n"/>
      <c r="AH615" s="22" t="n"/>
      <c r="AI615" s="22" t="n"/>
      <c r="AJ615" s="22" t="n"/>
      <c r="AK615" s="22" t="n"/>
      <c r="AL615" s="22" t="n"/>
      <c r="AM615" s="22" t="n"/>
      <c r="AN615" s="22" t="n"/>
      <c r="AO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  <c r="Y616" s="22" t="n"/>
      <c r="Z616" s="22" t="n"/>
      <c r="AA616" s="22" t="n"/>
      <c r="AB616" s="22" t="n"/>
      <c r="AC616" s="22" t="n"/>
      <c r="AD616" s="22" t="n"/>
      <c r="AE616" s="22" t="n"/>
      <c r="AF616" s="22" t="n"/>
      <c r="AG616" s="22" t="n"/>
      <c r="AH616" s="22" t="n"/>
      <c r="AI616" s="22" t="n"/>
      <c r="AJ616" s="22" t="n"/>
      <c r="AK616" s="22" t="n"/>
      <c r="AL616" s="22" t="n"/>
      <c r="AM616" s="22" t="n"/>
      <c r="AN616" s="22" t="n"/>
      <c r="AO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  <c r="Y617" s="22" t="n"/>
      <c r="Z617" s="22" t="n"/>
      <c r="AA617" s="22" t="n"/>
      <c r="AB617" s="22" t="n"/>
      <c r="AC617" s="22" t="n"/>
      <c r="AD617" s="22" t="n"/>
      <c r="AE617" s="22" t="n"/>
      <c r="AF617" s="22" t="n"/>
      <c r="AG617" s="22" t="n"/>
      <c r="AH617" s="22" t="n"/>
      <c r="AI617" s="22" t="n"/>
      <c r="AJ617" s="22" t="n"/>
      <c r="AK617" s="22" t="n"/>
      <c r="AL617" s="22" t="n"/>
      <c r="AM617" s="22" t="n"/>
      <c r="AN617" s="22" t="n"/>
      <c r="AO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  <c r="Y618" s="22" t="n"/>
      <c r="Z618" s="22" t="n"/>
      <c r="AA618" s="22" t="n"/>
      <c r="AB618" s="22" t="n"/>
      <c r="AC618" s="22" t="n"/>
      <c r="AD618" s="22" t="n"/>
      <c r="AE618" s="22" t="n"/>
      <c r="AF618" s="22" t="n"/>
      <c r="AG618" s="22" t="n"/>
      <c r="AH618" s="22" t="n"/>
      <c r="AI618" s="22" t="n"/>
      <c r="AJ618" s="22" t="n"/>
      <c r="AK618" s="22" t="n"/>
      <c r="AL618" s="22" t="n"/>
      <c r="AM618" s="22" t="n"/>
      <c r="AN618" s="22" t="n"/>
      <c r="AO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  <c r="Y619" s="22" t="n"/>
      <c r="Z619" s="22" t="n"/>
      <c r="AA619" s="22" t="n"/>
      <c r="AB619" s="22" t="n"/>
      <c r="AC619" s="22" t="n"/>
      <c r="AD619" s="22" t="n"/>
      <c r="AE619" s="22" t="n"/>
      <c r="AF619" s="22" t="n"/>
      <c r="AG619" s="22" t="n"/>
      <c r="AH619" s="22" t="n"/>
      <c r="AI619" s="22" t="n"/>
      <c r="AJ619" s="22" t="n"/>
      <c r="AK619" s="22" t="n"/>
      <c r="AL619" s="22" t="n"/>
      <c r="AM619" s="22" t="n"/>
      <c r="AN619" s="22" t="n"/>
      <c r="AO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  <c r="Y620" s="22" t="n"/>
      <c r="Z620" s="22" t="n"/>
      <c r="AA620" s="22" t="n"/>
      <c r="AB620" s="22" t="n"/>
      <c r="AC620" s="22" t="n"/>
      <c r="AD620" s="22" t="n"/>
      <c r="AE620" s="22" t="n"/>
      <c r="AF620" s="22" t="n"/>
      <c r="AG620" s="22" t="n"/>
      <c r="AH620" s="22" t="n"/>
      <c r="AI620" s="22" t="n"/>
      <c r="AJ620" s="22" t="n"/>
      <c r="AK620" s="22" t="n"/>
      <c r="AL620" s="22" t="n"/>
      <c r="AM620" s="22" t="n"/>
      <c r="AN620" s="22" t="n"/>
      <c r="AO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  <c r="Y621" s="22" t="n"/>
      <c r="Z621" s="22" t="n"/>
      <c r="AA621" s="22" t="n"/>
      <c r="AB621" s="22" t="n"/>
      <c r="AC621" s="22" t="n"/>
      <c r="AD621" s="22" t="n"/>
      <c r="AE621" s="22" t="n"/>
      <c r="AF621" s="22" t="n"/>
      <c r="AG621" s="22" t="n"/>
      <c r="AH621" s="22" t="n"/>
      <c r="AI621" s="22" t="n"/>
      <c r="AJ621" s="22" t="n"/>
      <c r="AK621" s="22" t="n"/>
      <c r="AL621" s="22" t="n"/>
      <c r="AM621" s="22" t="n"/>
      <c r="AN621" s="22" t="n"/>
      <c r="AO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  <c r="Y622" s="22" t="n"/>
      <c r="Z622" s="22" t="n"/>
      <c r="AA622" s="22" t="n"/>
      <c r="AB622" s="22" t="n"/>
      <c r="AC622" s="22" t="n"/>
      <c r="AD622" s="22" t="n"/>
      <c r="AE622" s="22" t="n"/>
      <c r="AF622" s="22" t="n"/>
      <c r="AG622" s="22" t="n"/>
      <c r="AH622" s="22" t="n"/>
      <c r="AI622" s="22" t="n"/>
      <c r="AJ622" s="22" t="n"/>
      <c r="AK622" s="22" t="n"/>
      <c r="AL622" s="22" t="n"/>
      <c r="AM622" s="22" t="n"/>
      <c r="AN622" s="22" t="n"/>
      <c r="AO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  <c r="Y623" s="22" t="n"/>
      <c r="Z623" s="22" t="n"/>
      <c r="AA623" s="22" t="n"/>
      <c r="AB623" s="22" t="n"/>
      <c r="AC623" s="22" t="n"/>
      <c r="AD623" s="22" t="n"/>
      <c r="AE623" s="22" t="n"/>
      <c r="AF623" s="22" t="n"/>
      <c r="AG623" s="22" t="n"/>
      <c r="AH623" s="22" t="n"/>
      <c r="AI623" s="22" t="n"/>
      <c r="AJ623" s="22" t="n"/>
      <c r="AK623" s="22" t="n"/>
      <c r="AL623" s="22" t="n"/>
      <c r="AM623" s="22" t="n"/>
      <c r="AN623" s="22" t="n"/>
      <c r="AO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  <c r="Y624" s="22" t="n"/>
      <c r="Z624" s="22" t="n"/>
      <c r="AA624" s="22" t="n"/>
      <c r="AB624" s="22" t="n"/>
      <c r="AC624" s="22" t="n"/>
      <c r="AD624" s="22" t="n"/>
      <c r="AE624" s="22" t="n"/>
      <c r="AF624" s="22" t="n"/>
      <c r="AG624" s="22" t="n"/>
      <c r="AH624" s="22" t="n"/>
      <c r="AI624" s="22" t="n"/>
      <c r="AJ624" s="22" t="n"/>
      <c r="AK624" s="22" t="n"/>
      <c r="AL624" s="22" t="n"/>
      <c r="AM624" s="22" t="n"/>
      <c r="AN624" s="22" t="n"/>
      <c r="AO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  <c r="Y625" s="22" t="n"/>
      <c r="Z625" s="22" t="n"/>
      <c r="AA625" s="22" t="n"/>
      <c r="AB625" s="22" t="n"/>
      <c r="AC625" s="22" t="n"/>
      <c r="AD625" s="22" t="n"/>
      <c r="AE625" s="22" t="n"/>
      <c r="AF625" s="22" t="n"/>
      <c r="AG625" s="22" t="n"/>
      <c r="AH625" s="22" t="n"/>
      <c r="AI625" s="22" t="n"/>
      <c r="AJ625" s="22" t="n"/>
      <c r="AK625" s="22" t="n"/>
      <c r="AL625" s="22" t="n"/>
      <c r="AM625" s="22" t="n"/>
      <c r="AN625" s="22" t="n"/>
      <c r="AO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  <c r="Y626" s="22" t="n"/>
      <c r="Z626" s="22" t="n"/>
      <c r="AA626" s="22" t="n"/>
      <c r="AB626" s="22" t="n"/>
      <c r="AC626" s="22" t="n"/>
      <c r="AD626" s="22" t="n"/>
      <c r="AE626" s="22" t="n"/>
      <c r="AF626" s="22" t="n"/>
      <c r="AG626" s="22" t="n"/>
      <c r="AH626" s="22" t="n"/>
      <c r="AI626" s="22" t="n"/>
      <c r="AJ626" s="22" t="n"/>
      <c r="AK626" s="22" t="n"/>
      <c r="AL626" s="22" t="n"/>
      <c r="AM626" s="22" t="n"/>
      <c r="AN626" s="22" t="n"/>
      <c r="AO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  <c r="Y627" s="22" t="n"/>
      <c r="Z627" s="22" t="n"/>
      <c r="AA627" s="22" t="n"/>
      <c r="AB627" s="22" t="n"/>
      <c r="AC627" s="22" t="n"/>
      <c r="AD627" s="22" t="n"/>
      <c r="AE627" s="22" t="n"/>
      <c r="AF627" s="22" t="n"/>
      <c r="AG627" s="22" t="n"/>
      <c r="AH627" s="22" t="n"/>
      <c r="AI627" s="22" t="n"/>
      <c r="AJ627" s="22" t="n"/>
      <c r="AK627" s="22" t="n"/>
      <c r="AL627" s="22" t="n"/>
      <c r="AM627" s="22" t="n"/>
      <c r="AN627" s="22" t="n"/>
      <c r="AO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  <c r="Y628" s="22" t="n"/>
      <c r="Z628" s="22" t="n"/>
      <c r="AA628" s="22" t="n"/>
      <c r="AB628" s="22" t="n"/>
      <c r="AC628" s="22" t="n"/>
      <c r="AD628" s="22" t="n"/>
      <c r="AE628" s="22" t="n"/>
      <c r="AF628" s="22" t="n"/>
      <c r="AG628" s="22" t="n"/>
      <c r="AH628" s="22" t="n"/>
      <c r="AI628" s="22" t="n"/>
      <c r="AJ628" s="22" t="n"/>
      <c r="AK628" s="22" t="n"/>
      <c r="AL628" s="22" t="n"/>
      <c r="AM628" s="22" t="n"/>
      <c r="AN628" s="22" t="n"/>
      <c r="AO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  <c r="Y629" s="22" t="n"/>
      <c r="Z629" s="22" t="n"/>
      <c r="AA629" s="22" t="n"/>
      <c r="AB629" s="22" t="n"/>
      <c r="AC629" s="22" t="n"/>
      <c r="AD629" s="22" t="n"/>
      <c r="AE629" s="22" t="n"/>
      <c r="AF629" s="22" t="n"/>
      <c r="AG629" s="22" t="n"/>
      <c r="AH629" s="22" t="n"/>
      <c r="AI629" s="22" t="n"/>
      <c r="AJ629" s="22" t="n"/>
      <c r="AK629" s="22" t="n"/>
      <c r="AL629" s="22" t="n"/>
      <c r="AM629" s="22" t="n"/>
      <c r="AN629" s="22" t="n"/>
      <c r="AO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  <c r="Y630" s="22" t="n"/>
      <c r="Z630" s="22" t="n"/>
      <c r="AA630" s="22" t="n"/>
      <c r="AB630" s="22" t="n"/>
      <c r="AC630" s="22" t="n"/>
      <c r="AD630" s="22" t="n"/>
      <c r="AE630" s="22" t="n"/>
      <c r="AF630" s="22" t="n"/>
      <c r="AG630" s="22" t="n"/>
      <c r="AH630" s="22" t="n"/>
      <c r="AI630" s="22" t="n"/>
      <c r="AJ630" s="22" t="n"/>
      <c r="AK630" s="22" t="n"/>
      <c r="AL630" s="22" t="n"/>
      <c r="AM630" s="22" t="n"/>
      <c r="AN630" s="22" t="n"/>
      <c r="AO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  <c r="Y631" s="22" t="n"/>
      <c r="Z631" s="22" t="n"/>
      <c r="AA631" s="22" t="n"/>
      <c r="AB631" s="22" t="n"/>
      <c r="AC631" s="22" t="n"/>
      <c r="AD631" s="22" t="n"/>
      <c r="AE631" s="22" t="n"/>
      <c r="AF631" s="22" t="n"/>
      <c r="AG631" s="22" t="n"/>
      <c r="AH631" s="22" t="n"/>
      <c r="AI631" s="22" t="n"/>
      <c r="AJ631" s="22" t="n"/>
      <c r="AK631" s="22" t="n"/>
      <c r="AL631" s="22" t="n"/>
      <c r="AM631" s="22" t="n"/>
      <c r="AN631" s="22" t="n"/>
      <c r="AO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  <c r="Y632" s="22" t="n"/>
      <c r="Z632" s="22" t="n"/>
      <c r="AA632" s="22" t="n"/>
      <c r="AB632" s="22" t="n"/>
      <c r="AC632" s="22" t="n"/>
      <c r="AD632" s="22" t="n"/>
      <c r="AE632" s="22" t="n"/>
      <c r="AF632" s="22" t="n"/>
      <c r="AG632" s="22" t="n"/>
      <c r="AH632" s="22" t="n"/>
      <c r="AI632" s="22" t="n"/>
      <c r="AJ632" s="22" t="n"/>
      <c r="AK632" s="22" t="n"/>
      <c r="AL632" s="22" t="n"/>
      <c r="AM632" s="22" t="n"/>
      <c r="AN632" s="22" t="n"/>
      <c r="AO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  <c r="Y633" s="22" t="n"/>
      <c r="Z633" s="22" t="n"/>
      <c r="AA633" s="22" t="n"/>
      <c r="AB633" s="22" t="n"/>
      <c r="AC633" s="22" t="n"/>
      <c r="AD633" s="22" t="n"/>
      <c r="AE633" s="22" t="n"/>
      <c r="AF633" s="22" t="n"/>
      <c r="AG633" s="22" t="n"/>
      <c r="AH633" s="22" t="n"/>
      <c r="AI633" s="22" t="n"/>
      <c r="AJ633" s="22" t="n"/>
      <c r="AK633" s="22" t="n"/>
      <c r="AL633" s="22" t="n"/>
      <c r="AM633" s="22" t="n"/>
      <c r="AN633" s="22" t="n"/>
      <c r="AO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  <c r="Y634" s="22" t="n"/>
      <c r="Z634" s="22" t="n"/>
      <c r="AA634" s="22" t="n"/>
      <c r="AB634" s="22" t="n"/>
      <c r="AC634" s="22" t="n"/>
      <c r="AD634" s="22" t="n"/>
      <c r="AE634" s="22" t="n"/>
      <c r="AF634" s="22" t="n"/>
      <c r="AG634" s="22" t="n"/>
      <c r="AH634" s="22" t="n"/>
      <c r="AI634" s="22" t="n"/>
      <c r="AJ634" s="22" t="n"/>
      <c r="AK634" s="22" t="n"/>
      <c r="AL634" s="22" t="n"/>
      <c r="AM634" s="22" t="n"/>
      <c r="AN634" s="22" t="n"/>
      <c r="AO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  <c r="Y635" s="22" t="n"/>
      <c r="Z635" s="22" t="n"/>
      <c r="AA635" s="22" t="n"/>
      <c r="AB635" s="22" t="n"/>
      <c r="AC635" s="22" t="n"/>
      <c r="AD635" s="22" t="n"/>
      <c r="AE635" s="22" t="n"/>
      <c r="AF635" s="22" t="n"/>
      <c r="AG635" s="22" t="n"/>
      <c r="AH635" s="22" t="n"/>
      <c r="AI635" s="22" t="n"/>
      <c r="AJ635" s="22" t="n"/>
      <c r="AK635" s="22" t="n"/>
      <c r="AL635" s="22" t="n"/>
      <c r="AM635" s="22" t="n"/>
      <c r="AN635" s="22" t="n"/>
      <c r="AO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  <c r="Y636" s="22" t="n"/>
      <c r="Z636" s="22" t="n"/>
      <c r="AA636" s="22" t="n"/>
      <c r="AB636" s="22" t="n"/>
      <c r="AC636" s="22" t="n"/>
      <c r="AD636" s="22" t="n"/>
      <c r="AE636" s="22" t="n"/>
      <c r="AF636" s="22" t="n"/>
      <c r="AG636" s="22" t="n"/>
      <c r="AH636" s="22" t="n"/>
      <c r="AI636" s="22" t="n"/>
      <c r="AJ636" s="22" t="n"/>
      <c r="AK636" s="22" t="n"/>
      <c r="AL636" s="22" t="n"/>
      <c r="AM636" s="22" t="n"/>
      <c r="AN636" s="22" t="n"/>
      <c r="AO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  <c r="Y637" s="22" t="n"/>
      <c r="Z637" s="22" t="n"/>
      <c r="AA637" s="22" t="n"/>
      <c r="AB637" s="22" t="n"/>
      <c r="AC637" s="22" t="n"/>
      <c r="AD637" s="22" t="n"/>
      <c r="AE637" s="22" t="n"/>
      <c r="AF637" s="22" t="n"/>
      <c r="AG637" s="22" t="n"/>
      <c r="AH637" s="22" t="n"/>
      <c r="AI637" s="22" t="n"/>
      <c r="AJ637" s="22" t="n"/>
      <c r="AK637" s="22" t="n"/>
      <c r="AL637" s="22" t="n"/>
      <c r="AM637" s="22" t="n"/>
      <c r="AN637" s="22" t="n"/>
      <c r="AO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  <c r="Y638" s="22" t="n"/>
      <c r="Z638" s="22" t="n"/>
      <c r="AA638" s="22" t="n"/>
      <c r="AB638" s="22" t="n"/>
      <c r="AC638" s="22" t="n"/>
      <c r="AD638" s="22" t="n"/>
      <c r="AE638" s="22" t="n"/>
      <c r="AF638" s="22" t="n"/>
      <c r="AG638" s="22" t="n"/>
      <c r="AH638" s="22" t="n"/>
      <c r="AI638" s="22" t="n"/>
      <c r="AJ638" s="22" t="n"/>
      <c r="AK638" s="22" t="n"/>
      <c r="AL638" s="22" t="n"/>
      <c r="AM638" s="22" t="n"/>
      <c r="AN638" s="22" t="n"/>
      <c r="AO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  <c r="Y639" s="22" t="n"/>
      <c r="Z639" s="22" t="n"/>
      <c r="AA639" s="22" t="n"/>
      <c r="AB639" s="22" t="n"/>
      <c r="AC639" s="22" t="n"/>
      <c r="AD639" s="22" t="n"/>
      <c r="AE639" s="22" t="n"/>
      <c r="AF639" s="22" t="n"/>
      <c r="AG639" s="22" t="n"/>
      <c r="AH639" s="22" t="n"/>
      <c r="AI639" s="22" t="n"/>
      <c r="AJ639" s="22" t="n"/>
      <c r="AK639" s="22" t="n"/>
      <c r="AL639" s="22" t="n"/>
      <c r="AM639" s="22" t="n"/>
      <c r="AN639" s="22" t="n"/>
      <c r="AO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  <c r="Y640" s="22" t="n"/>
      <c r="Z640" s="22" t="n"/>
      <c r="AA640" s="22" t="n"/>
      <c r="AB640" s="22" t="n"/>
      <c r="AC640" s="22" t="n"/>
      <c r="AD640" s="22" t="n"/>
      <c r="AE640" s="22" t="n"/>
      <c r="AF640" s="22" t="n"/>
      <c r="AG640" s="22" t="n"/>
      <c r="AH640" s="22" t="n"/>
      <c r="AI640" s="22" t="n"/>
      <c r="AJ640" s="22" t="n"/>
      <c r="AK640" s="22" t="n"/>
      <c r="AL640" s="22" t="n"/>
      <c r="AM640" s="22" t="n"/>
      <c r="AN640" s="22" t="n"/>
      <c r="AO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  <c r="Y641" s="22" t="n"/>
      <c r="Z641" s="22" t="n"/>
      <c r="AA641" s="22" t="n"/>
      <c r="AB641" s="22" t="n"/>
      <c r="AC641" s="22" t="n"/>
      <c r="AD641" s="22" t="n"/>
      <c r="AE641" s="22" t="n"/>
      <c r="AF641" s="22" t="n"/>
      <c r="AG641" s="22" t="n"/>
      <c r="AH641" s="22" t="n"/>
      <c r="AI641" s="22" t="n"/>
      <c r="AJ641" s="22" t="n"/>
      <c r="AK641" s="22" t="n"/>
      <c r="AL641" s="22" t="n"/>
      <c r="AM641" s="22" t="n"/>
      <c r="AN641" s="22" t="n"/>
      <c r="AO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  <c r="Y642" s="22" t="n"/>
      <c r="Z642" s="22" t="n"/>
      <c r="AA642" s="22" t="n"/>
      <c r="AB642" s="22" t="n"/>
      <c r="AC642" s="22" t="n"/>
      <c r="AD642" s="22" t="n"/>
      <c r="AE642" s="22" t="n"/>
      <c r="AF642" s="22" t="n"/>
      <c r="AG642" s="22" t="n"/>
      <c r="AH642" s="22" t="n"/>
      <c r="AI642" s="22" t="n"/>
      <c r="AJ642" s="22" t="n"/>
      <c r="AK642" s="22" t="n"/>
      <c r="AL642" s="22" t="n"/>
      <c r="AM642" s="22" t="n"/>
      <c r="AN642" s="22" t="n"/>
      <c r="AO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  <c r="Y643" s="22" t="n"/>
      <c r="Z643" s="22" t="n"/>
      <c r="AA643" s="22" t="n"/>
      <c r="AB643" s="22" t="n"/>
      <c r="AC643" s="22" t="n"/>
      <c r="AD643" s="22" t="n"/>
      <c r="AE643" s="22" t="n"/>
      <c r="AF643" s="22" t="n"/>
      <c r="AG643" s="22" t="n"/>
      <c r="AH643" s="22" t="n"/>
      <c r="AI643" s="22" t="n"/>
      <c r="AJ643" s="22" t="n"/>
      <c r="AK643" s="22" t="n"/>
      <c r="AL643" s="22" t="n"/>
      <c r="AM643" s="22" t="n"/>
      <c r="AN643" s="22" t="n"/>
      <c r="AO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  <c r="Y644" s="22" t="n"/>
      <c r="Z644" s="22" t="n"/>
      <c r="AA644" s="22" t="n"/>
      <c r="AB644" s="22" t="n"/>
      <c r="AC644" s="22" t="n"/>
      <c r="AD644" s="22" t="n"/>
      <c r="AE644" s="22" t="n"/>
      <c r="AF644" s="22" t="n"/>
      <c r="AG644" s="22" t="n"/>
      <c r="AH644" s="22" t="n"/>
      <c r="AI644" s="22" t="n"/>
      <c r="AJ644" s="22" t="n"/>
      <c r="AK644" s="22" t="n"/>
      <c r="AL644" s="22" t="n"/>
      <c r="AM644" s="22" t="n"/>
      <c r="AN644" s="22" t="n"/>
      <c r="AO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  <c r="Y645" s="22" t="n"/>
      <c r="Z645" s="22" t="n"/>
      <c r="AA645" s="22" t="n"/>
      <c r="AB645" s="22" t="n"/>
      <c r="AC645" s="22" t="n"/>
      <c r="AD645" s="22" t="n"/>
      <c r="AE645" s="22" t="n"/>
      <c r="AF645" s="22" t="n"/>
      <c r="AG645" s="22" t="n"/>
      <c r="AH645" s="22" t="n"/>
      <c r="AI645" s="22" t="n"/>
      <c r="AJ645" s="22" t="n"/>
      <c r="AK645" s="22" t="n"/>
      <c r="AL645" s="22" t="n"/>
      <c r="AM645" s="22" t="n"/>
      <c r="AN645" s="22" t="n"/>
      <c r="AO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  <c r="Y646" s="22" t="n"/>
      <c r="Z646" s="22" t="n"/>
      <c r="AA646" s="22" t="n"/>
      <c r="AB646" s="22" t="n"/>
      <c r="AC646" s="22" t="n"/>
      <c r="AD646" s="22" t="n"/>
      <c r="AE646" s="22" t="n"/>
      <c r="AF646" s="22" t="n"/>
      <c r="AG646" s="22" t="n"/>
      <c r="AH646" s="22" t="n"/>
      <c r="AI646" s="22" t="n"/>
      <c r="AJ646" s="22" t="n"/>
      <c r="AK646" s="22" t="n"/>
      <c r="AL646" s="22" t="n"/>
      <c r="AM646" s="22" t="n"/>
      <c r="AN646" s="22" t="n"/>
      <c r="AO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  <c r="Y647" s="22" t="n"/>
      <c r="Z647" s="22" t="n"/>
      <c r="AA647" s="22" t="n"/>
      <c r="AB647" s="22" t="n"/>
      <c r="AC647" s="22" t="n"/>
      <c r="AD647" s="22" t="n"/>
      <c r="AE647" s="22" t="n"/>
      <c r="AF647" s="22" t="n"/>
      <c r="AG647" s="22" t="n"/>
      <c r="AH647" s="22" t="n"/>
      <c r="AI647" s="22" t="n"/>
      <c r="AJ647" s="22" t="n"/>
      <c r="AK647" s="22" t="n"/>
      <c r="AL647" s="22" t="n"/>
      <c r="AM647" s="22" t="n"/>
      <c r="AN647" s="22" t="n"/>
      <c r="AO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  <c r="Y648" s="22" t="n"/>
      <c r="Z648" s="22" t="n"/>
      <c r="AA648" s="22" t="n"/>
      <c r="AB648" s="22" t="n"/>
      <c r="AC648" s="22" t="n"/>
      <c r="AD648" s="22" t="n"/>
      <c r="AE648" s="22" t="n"/>
      <c r="AF648" s="22" t="n"/>
      <c r="AG648" s="22" t="n"/>
      <c r="AH648" s="22" t="n"/>
      <c r="AI648" s="22" t="n"/>
      <c r="AJ648" s="22" t="n"/>
      <c r="AK648" s="22" t="n"/>
      <c r="AL648" s="22" t="n"/>
      <c r="AM648" s="22" t="n"/>
      <c r="AN648" s="22" t="n"/>
      <c r="AO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  <c r="Y649" s="22" t="n"/>
      <c r="Z649" s="22" t="n"/>
      <c r="AA649" s="22" t="n"/>
      <c r="AB649" s="22" t="n"/>
      <c r="AC649" s="22" t="n"/>
      <c r="AD649" s="22" t="n"/>
      <c r="AE649" s="22" t="n"/>
      <c r="AF649" s="22" t="n"/>
      <c r="AG649" s="22" t="n"/>
      <c r="AH649" s="22" t="n"/>
      <c r="AI649" s="22" t="n"/>
      <c r="AJ649" s="22" t="n"/>
      <c r="AK649" s="22" t="n"/>
      <c r="AL649" s="22" t="n"/>
      <c r="AM649" s="22" t="n"/>
      <c r="AN649" s="22" t="n"/>
      <c r="AO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  <c r="Y650" s="22" t="n"/>
      <c r="Z650" s="22" t="n"/>
      <c r="AA650" s="22" t="n"/>
      <c r="AB650" s="22" t="n"/>
      <c r="AC650" s="22" t="n"/>
      <c r="AD650" s="22" t="n"/>
      <c r="AE650" s="22" t="n"/>
      <c r="AF650" s="22" t="n"/>
      <c r="AG650" s="22" t="n"/>
      <c r="AH650" s="22" t="n"/>
      <c r="AI650" s="22" t="n"/>
      <c r="AJ650" s="22" t="n"/>
      <c r="AK650" s="22" t="n"/>
      <c r="AL650" s="22" t="n"/>
      <c r="AM650" s="22" t="n"/>
      <c r="AN650" s="22" t="n"/>
      <c r="AO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  <c r="Y651" s="22" t="n"/>
      <c r="Z651" s="22" t="n"/>
      <c r="AA651" s="22" t="n"/>
      <c r="AB651" s="22" t="n"/>
      <c r="AC651" s="22" t="n"/>
      <c r="AD651" s="22" t="n"/>
      <c r="AE651" s="22" t="n"/>
      <c r="AF651" s="22" t="n"/>
      <c r="AG651" s="22" t="n"/>
      <c r="AH651" s="22" t="n"/>
      <c r="AI651" s="22" t="n"/>
      <c r="AJ651" s="22" t="n"/>
      <c r="AK651" s="22" t="n"/>
      <c r="AL651" s="22" t="n"/>
      <c r="AM651" s="22" t="n"/>
      <c r="AN651" s="22" t="n"/>
      <c r="AO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  <c r="Y652" s="22" t="n"/>
      <c r="Z652" s="22" t="n"/>
      <c r="AA652" s="22" t="n"/>
      <c r="AB652" s="22" t="n"/>
      <c r="AC652" s="22" t="n"/>
      <c r="AD652" s="22" t="n"/>
      <c r="AE652" s="22" t="n"/>
      <c r="AF652" s="22" t="n"/>
      <c r="AG652" s="22" t="n"/>
      <c r="AH652" s="22" t="n"/>
      <c r="AI652" s="22" t="n"/>
      <c r="AJ652" s="22" t="n"/>
      <c r="AK652" s="22" t="n"/>
      <c r="AL652" s="22" t="n"/>
      <c r="AM652" s="22" t="n"/>
      <c r="AN652" s="22" t="n"/>
      <c r="AO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  <c r="Y653" s="22" t="n"/>
      <c r="Z653" s="22" t="n"/>
      <c r="AA653" s="22" t="n"/>
      <c r="AB653" s="22" t="n"/>
      <c r="AC653" s="22" t="n"/>
      <c r="AD653" s="22" t="n"/>
      <c r="AE653" s="22" t="n"/>
      <c r="AF653" s="22" t="n"/>
      <c r="AG653" s="22" t="n"/>
      <c r="AH653" s="22" t="n"/>
      <c r="AI653" s="22" t="n"/>
      <c r="AJ653" s="22" t="n"/>
      <c r="AK653" s="22" t="n"/>
      <c r="AL653" s="22" t="n"/>
      <c r="AM653" s="22" t="n"/>
      <c r="AN653" s="22" t="n"/>
      <c r="AO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  <c r="Y654" s="22" t="n"/>
      <c r="Z654" s="22" t="n"/>
      <c r="AA654" s="22" t="n"/>
      <c r="AB654" s="22" t="n"/>
      <c r="AC654" s="22" t="n"/>
      <c r="AD654" s="22" t="n"/>
      <c r="AE654" s="22" t="n"/>
      <c r="AF654" s="22" t="n"/>
      <c r="AG654" s="22" t="n"/>
      <c r="AH654" s="22" t="n"/>
      <c r="AI654" s="22" t="n"/>
      <c r="AJ654" s="22" t="n"/>
      <c r="AK654" s="22" t="n"/>
      <c r="AL654" s="22" t="n"/>
      <c r="AM654" s="22" t="n"/>
      <c r="AN654" s="22" t="n"/>
      <c r="AO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  <c r="Y655" s="22" t="n"/>
      <c r="Z655" s="22" t="n"/>
      <c r="AA655" s="22" t="n"/>
      <c r="AB655" s="22" t="n"/>
      <c r="AC655" s="22" t="n"/>
      <c r="AD655" s="22" t="n"/>
      <c r="AE655" s="22" t="n"/>
      <c r="AF655" s="22" t="n"/>
      <c r="AG655" s="22" t="n"/>
      <c r="AH655" s="22" t="n"/>
      <c r="AI655" s="22" t="n"/>
      <c r="AJ655" s="22" t="n"/>
      <c r="AK655" s="22" t="n"/>
      <c r="AL655" s="22" t="n"/>
      <c r="AM655" s="22" t="n"/>
      <c r="AN655" s="22" t="n"/>
      <c r="AO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  <c r="Y656" s="22" t="n"/>
      <c r="Z656" s="22" t="n"/>
      <c r="AA656" s="22" t="n"/>
      <c r="AB656" s="22" t="n"/>
      <c r="AC656" s="22" t="n"/>
      <c r="AD656" s="22" t="n"/>
      <c r="AE656" s="22" t="n"/>
      <c r="AF656" s="22" t="n"/>
      <c r="AG656" s="22" t="n"/>
      <c r="AH656" s="22" t="n"/>
      <c r="AI656" s="22" t="n"/>
      <c r="AJ656" s="22" t="n"/>
      <c r="AK656" s="22" t="n"/>
      <c r="AL656" s="22" t="n"/>
      <c r="AM656" s="22" t="n"/>
      <c r="AN656" s="22" t="n"/>
      <c r="AO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  <c r="Y657" s="22" t="n"/>
      <c r="Z657" s="22" t="n"/>
      <c r="AA657" s="22" t="n"/>
      <c r="AB657" s="22" t="n"/>
      <c r="AC657" s="22" t="n"/>
      <c r="AD657" s="22" t="n"/>
      <c r="AE657" s="22" t="n"/>
      <c r="AF657" s="22" t="n"/>
      <c r="AG657" s="22" t="n"/>
      <c r="AH657" s="22" t="n"/>
      <c r="AI657" s="22" t="n"/>
      <c r="AJ657" s="22" t="n"/>
      <c r="AK657" s="22" t="n"/>
      <c r="AL657" s="22" t="n"/>
      <c r="AM657" s="22" t="n"/>
      <c r="AN657" s="22" t="n"/>
      <c r="AO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  <c r="Y658" s="22" t="n"/>
      <c r="Z658" s="22" t="n"/>
      <c r="AA658" s="22" t="n"/>
      <c r="AB658" s="22" t="n"/>
      <c r="AC658" s="22" t="n"/>
      <c r="AD658" s="22" t="n"/>
      <c r="AE658" s="22" t="n"/>
      <c r="AF658" s="22" t="n"/>
      <c r="AG658" s="22" t="n"/>
      <c r="AH658" s="22" t="n"/>
      <c r="AI658" s="22" t="n"/>
      <c r="AJ658" s="22" t="n"/>
      <c r="AK658" s="22" t="n"/>
      <c r="AL658" s="22" t="n"/>
      <c r="AM658" s="22" t="n"/>
      <c r="AN658" s="22" t="n"/>
      <c r="AO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  <c r="Y659" s="22" t="n"/>
      <c r="Z659" s="22" t="n"/>
      <c r="AA659" s="22" t="n"/>
      <c r="AB659" s="22" t="n"/>
      <c r="AC659" s="22" t="n"/>
      <c r="AD659" s="22" t="n"/>
      <c r="AE659" s="22" t="n"/>
      <c r="AF659" s="22" t="n"/>
      <c r="AG659" s="22" t="n"/>
      <c r="AH659" s="22" t="n"/>
      <c r="AI659" s="22" t="n"/>
      <c r="AJ659" s="22" t="n"/>
      <c r="AK659" s="22" t="n"/>
      <c r="AL659" s="22" t="n"/>
      <c r="AM659" s="22" t="n"/>
      <c r="AN659" s="22" t="n"/>
      <c r="AO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  <c r="Y660" s="22" t="n"/>
      <c r="Z660" s="22" t="n"/>
      <c r="AA660" s="22" t="n"/>
      <c r="AB660" s="22" t="n"/>
      <c r="AC660" s="22" t="n"/>
      <c r="AD660" s="22" t="n"/>
      <c r="AE660" s="22" t="n"/>
      <c r="AF660" s="22" t="n"/>
      <c r="AG660" s="22" t="n"/>
      <c r="AH660" s="22" t="n"/>
      <c r="AI660" s="22" t="n"/>
      <c r="AJ660" s="22" t="n"/>
      <c r="AK660" s="22" t="n"/>
      <c r="AL660" s="22" t="n"/>
      <c r="AM660" s="22" t="n"/>
      <c r="AN660" s="22" t="n"/>
      <c r="AO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  <c r="Y661" s="22" t="n"/>
      <c r="Z661" s="22" t="n"/>
      <c r="AA661" s="22" t="n"/>
      <c r="AB661" s="22" t="n"/>
      <c r="AC661" s="22" t="n"/>
      <c r="AD661" s="22" t="n"/>
      <c r="AE661" s="22" t="n"/>
      <c r="AF661" s="22" t="n"/>
      <c r="AG661" s="22" t="n"/>
      <c r="AH661" s="22" t="n"/>
      <c r="AI661" s="22" t="n"/>
      <c r="AJ661" s="22" t="n"/>
      <c r="AK661" s="22" t="n"/>
      <c r="AL661" s="22" t="n"/>
      <c r="AM661" s="22" t="n"/>
      <c r="AN661" s="22" t="n"/>
      <c r="AO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  <c r="Y662" s="22" t="n"/>
      <c r="Z662" s="22" t="n"/>
      <c r="AA662" s="22" t="n"/>
      <c r="AB662" s="22" t="n"/>
      <c r="AC662" s="22" t="n"/>
      <c r="AD662" s="22" t="n"/>
      <c r="AE662" s="22" t="n"/>
      <c r="AF662" s="22" t="n"/>
      <c r="AG662" s="22" t="n"/>
      <c r="AH662" s="22" t="n"/>
      <c r="AI662" s="22" t="n"/>
      <c r="AJ662" s="22" t="n"/>
      <c r="AK662" s="22" t="n"/>
      <c r="AL662" s="22" t="n"/>
      <c r="AM662" s="22" t="n"/>
      <c r="AN662" s="22" t="n"/>
      <c r="AO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  <c r="Y663" s="22" t="n"/>
      <c r="Z663" s="22" t="n"/>
      <c r="AA663" s="22" t="n"/>
      <c r="AB663" s="22" t="n"/>
      <c r="AC663" s="22" t="n"/>
      <c r="AD663" s="22" t="n"/>
      <c r="AE663" s="22" t="n"/>
      <c r="AF663" s="22" t="n"/>
      <c r="AG663" s="22" t="n"/>
      <c r="AH663" s="22" t="n"/>
      <c r="AI663" s="22" t="n"/>
      <c r="AJ663" s="22" t="n"/>
      <c r="AK663" s="22" t="n"/>
      <c r="AL663" s="22" t="n"/>
      <c r="AM663" s="22" t="n"/>
      <c r="AN663" s="22" t="n"/>
      <c r="AO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  <c r="Y664" s="22" t="n"/>
      <c r="Z664" s="22" t="n"/>
      <c r="AA664" s="22" t="n"/>
      <c r="AB664" s="22" t="n"/>
      <c r="AC664" s="22" t="n"/>
      <c r="AD664" s="22" t="n"/>
      <c r="AE664" s="22" t="n"/>
      <c r="AF664" s="22" t="n"/>
      <c r="AG664" s="22" t="n"/>
      <c r="AH664" s="22" t="n"/>
      <c r="AI664" s="22" t="n"/>
      <c r="AJ664" s="22" t="n"/>
      <c r="AK664" s="22" t="n"/>
      <c r="AL664" s="22" t="n"/>
      <c r="AM664" s="22" t="n"/>
      <c r="AN664" s="22" t="n"/>
      <c r="AO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  <c r="Y665" s="22" t="n"/>
      <c r="Z665" s="22" t="n"/>
      <c r="AA665" s="22" t="n"/>
      <c r="AB665" s="22" t="n"/>
      <c r="AC665" s="22" t="n"/>
      <c r="AD665" s="22" t="n"/>
      <c r="AE665" s="22" t="n"/>
      <c r="AF665" s="22" t="n"/>
      <c r="AG665" s="22" t="n"/>
      <c r="AH665" s="22" t="n"/>
      <c r="AI665" s="22" t="n"/>
      <c r="AJ665" s="22" t="n"/>
      <c r="AK665" s="22" t="n"/>
      <c r="AL665" s="22" t="n"/>
      <c r="AM665" s="22" t="n"/>
      <c r="AN665" s="22" t="n"/>
      <c r="AO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  <c r="Y666" s="22" t="n"/>
      <c r="Z666" s="22" t="n"/>
      <c r="AA666" s="22" t="n"/>
      <c r="AB666" s="22" t="n"/>
      <c r="AC666" s="22" t="n"/>
      <c r="AD666" s="22" t="n"/>
      <c r="AE666" s="22" t="n"/>
      <c r="AF666" s="22" t="n"/>
      <c r="AG666" s="22" t="n"/>
      <c r="AH666" s="22" t="n"/>
      <c r="AI666" s="22" t="n"/>
      <c r="AJ666" s="22" t="n"/>
      <c r="AK666" s="22" t="n"/>
      <c r="AL666" s="22" t="n"/>
      <c r="AM666" s="22" t="n"/>
      <c r="AN666" s="22" t="n"/>
      <c r="AO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  <c r="Y667" s="22" t="n"/>
      <c r="Z667" s="22" t="n"/>
      <c r="AA667" s="22" t="n"/>
      <c r="AB667" s="22" t="n"/>
      <c r="AC667" s="22" t="n"/>
      <c r="AD667" s="22" t="n"/>
      <c r="AE667" s="22" t="n"/>
      <c r="AF667" s="22" t="n"/>
      <c r="AG667" s="22" t="n"/>
      <c r="AH667" s="22" t="n"/>
      <c r="AI667" s="22" t="n"/>
      <c r="AJ667" s="22" t="n"/>
      <c r="AK667" s="22" t="n"/>
      <c r="AL667" s="22" t="n"/>
      <c r="AM667" s="22" t="n"/>
      <c r="AN667" s="22" t="n"/>
      <c r="AO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  <c r="Y668" s="22" t="n"/>
      <c r="Z668" s="22" t="n"/>
      <c r="AA668" s="22" t="n"/>
      <c r="AB668" s="22" t="n"/>
      <c r="AC668" s="22" t="n"/>
      <c r="AD668" s="22" t="n"/>
      <c r="AE668" s="22" t="n"/>
      <c r="AF668" s="22" t="n"/>
      <c r="AG668" s="22" t="n"/>
      <c r="AH668" s="22" t="n"/>
      <c r="AI668" s="22" t="n"/>
      <c r="AJ668" s="22" t="n"/>
      <c r="AK668" s="22" t="n"/>
      <c r="AL668" s="22" t="n"/>
      <c r="AM668" s="22" t="n"/>
      <c r="AN668" s="22" t="n"/>
      <c r="AO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  <c r="Y669" s="22" t="n"/>
      <c r="Z669" s="22" t="n"/>
      <c r="AA669" s="22" t="n"/>
      <c r="AB669" s="22" t="n"/>
      <c r="AC669" s="22" t="n"/>
      <c r="AD669" s="22" t="n"/>
      <c r="AE669" s="22" t="n"/>
      <c r="AF669" s="22" t="n"/>
      <c r="AG669" s="22" t="n"/>
      <c r="AH669" s="22" t="n"/>
      <c r="AI669" s="22" t="n"/>
      <c r="AJ669" s="22" t="n"/>
      <c r="AK669" s="22" t="n"/>
      <c r="AL669" s="22" t="n"/>
      <c r="AM669" s="22" t="n"/>
      <c r="AN669" s="22" t="n"/>
      <c r="AO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  <c r="Y670" s="22" t="n"/>
      <c r="Z670" s="22" t="n"/>
      <c r="AA670" s="22" t="n"/>
      <c r="AB670" s="22" t="n"/>
      <c r="AC670" s="22" t="n"/>
      <c r="AD670" s="22" t="n"/>
      <c r="AE670" s="22" t="n"/>
      <c r="AF670" s="22" t="n"/>
      <c r="AG670" s="22" t="n"/>
      <c r="AH670" s="22" t="n"/>
      <c r="AI670" s="22" t="n"/>
      <c r="AJ670" s="22" t="n"/>
      <c r="AK670" s="22" t="n"/>
      <c r="AL670" s="22" t="n"/>
      <c r="AM670" s="22" t="n"/>
      <c r="AN670" s="22" t="n"/>
      <c r="AO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  <c r="Y671" s="22" t="n"/>
      <c r="Z671" s="22" t="n"/>
      <c r="AA671" s="22" t="n"/>
      <c r="AB671" s="22" t="n"/>
      <c r="AC671" s="22" t="n"/>
      <c r="AD671" s="22" t="n"/>
      <c r="AE671" s="22" t="n"/>
      <c r="AF671" s="22" t="n"/>
      <c r="AG671" s="22" t="n"/>
      <c r="AH671" s="22" t="n"/>
      <c r="AI671" s="22" t="n"/>
      <c r="AJ671" s="22" t="n"/>
      <c r="AK671" s="22" t="n"/>
      <c r="AL671" s="22" t="n"/>
      <c r="AM671" s="22" t="n"/>
      <c r="AN671" s="22" t="n"/>
      <c r="AO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  <c r="Y672" s="22" t="n"/>
      <c r="Z672" s="22" t="n"/>
      <c r="AA672" s="22" t="n"/>
      <c r="AB672" s="22" t="n"/>
      <c r="AC672" s="22" t="n"/>
      <c r="AD672" s="22" t="n"/>
      <c r="AE672" s="22" t="n"/>
      <c r="AF672" s="22" t="n"/>
      <c r="AG672" s="22" t="n"/>
      <c r="AH672" s="22" t="n"/>
      <c r="AI672" s="22" t="n"/>
      <c r="AJ672" s="22" t="n"/>
      <c r="AK672" s="22" t="n"/>
      <c r="AL672" s="22" t="n"/>
      <c r="AM672" s="22" t="n"/>
      <c r="AN672" s="22" t="n"/>
      <c r="AO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  <c r="Y673" s="22" t="n"/>
      <c r="Z673" s="22" t="n"/>
      <c r="AA673" s="22" t="n"/>
      <c r="AB673" s="22" t="n"/>
      <c r="AC673" s="22" t="n"/>
      <c r="AD673" s="22" t="n"/>
      <c r="AE673" s="22" t="n"/>
      <c r="AF673" s="22" t="n"/>
      <c r="AG673" s="22" t="n"/>
      <c r="AH673" s="22" t="n"/>
      <c r="AI673" s="22" t="n"/>
      <c r="AJ673" s="22" t="n"/>
      <c r="AK673" s="22" t="n"/>
      <c r="AL673" s="22" t="n"/>
      <c r="AM673" s="22" t="n"/>
      <c r="AN673" s="22" t="n"/>
      <c r="AO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  <c r="Y674" s="22" t="n"/>
      <c r="Z674" s="22" t="n"/>
      <c r="AA674" s="22" t="n"/>
      <c r="AB674" s="22" t="n"/>
      <c r="AC674" s="22" t="n"/>
      <c r="AD674" s="22" t="n"/>
      <c r="AE674" s="22" t="n"/>
      <c r="AF674" s="22" t="n"/>
      <c r="AG674" s="22" t="n"/>
      <c r="AH674" s="22" t="n"/>
      <c r="AI674" s="22" t="n"/>
      <c r="AJ674" s="22" t="n"/>
      <c r="AK674" s="22" t="n"/>
      <c r="AL674" s="22" t="n"/>
      <c r="AM674" s="22" t="n"/>
      <c r="AN674" s="22" t="n"/>
      <c r="AO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  <c r="Y675" s="22" t="n"/>
      <c r="Z675" s="22" t="n"/>
      <c r="AA675" s="22" t="n"/>
      <c r="AB675" s="22" t="n"/>
      <c r="AC675" s="22" t="n"/>
      <c r="AD675" s="22" t="n"/>
      <c r="AE675" s="22" t="n"/>
      <c r="AF675" s="22" t="n"/>
      <c r="AG675" s="22" t="n"/>
      <c r="AH675" s="22" t="n"/>
      <c r="AI675" s="22" t="n"/>
      <c r="AJ675" s="22" t="n"/>
      <c r="AK675" s="22" t="n"/>
      <c r="AL675" s="22" t="n"/>
      <c r="AM675" s="22" t="n"/>
      <c r="AN675" s="22" t="n"/>
      <c r="AO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  <c r="Y676" s="22" t="n"/>
      <c r="Z676" s="22" t="n"/>
      <c r="AA676" s="22" t="n"/>
      <c r="AB676" s="22" t="n"/>
      <c r="AC676" s="22" t="n"/>
      <c r="AD676" s="22" t="n"/>
      <c r="AE676" s="22" t="n"/>
      <c r="AF676" s="22" t="n"/>
      <c r="AG676" s="22" t="n"/>
      <c r="AH676" s="22" t="n"/>
      <c r="AI676" s="22" t="n"/>
      <c r="AJ676" s="22" t="n"/>
      <c r="AK676" s="22" t="n"/>
      <c r="AL676" s="22" t="n"/>
      <c r="AM676" s="22" t="n"/>
      <c r="AN676" s="22" t="n"/>
      <c r="AO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  <c r="Y677" s="22" t="n"/>
      <c r="Z677" s="22" t="n"/>
      <c r="AA677" s="22" t="n"/>
      <c r="AB677" s="22" t="n"/>
      <c r="AC677" s="22" t="n"/>
      <c r="AD677" s="22" t="n"/>
      <c r="AE677" s="22" t="n"/>
      <c r="AF677" s="22" t="n"/>
      <c r="AG677" s="22" t="n"/>
      <c r="AH677" s="22" t="n"/>
      <c r="AI677" s="22" t="n"/>
      <c r="AJ677" s="22" t="n"/>
      <c r="AK677" s="22" t="n"/>
      <c r="AL677" s="22" t="n"/>
      <c r="AM677" s="22" t="n"/>
      <c r="AN677" s="22" t="n"/>
      <c r="AO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  <c r="Y678" s="22" t="n"/>
      <c r="Z678" s="22" t="n"/>
      <c r="AA678" s="22" t="n"/>
      <c r="AB678" s="22" t="n"/>
      <c r="AC678" s="22" t="n"/>
      <c r="AD678" s="22" t="n"/>
      <c r="AE678" s="22" t="n"/>
      <c r="AF678" s="22" t="n"/>
      <c r="AG678" s="22" t="n"/>
      <c r="AH678" s="22" t="n"/>
      <c r="AI678" s="22" t="n"/>
      <c r="AJ678" s="22" t="n"/>
      <c r="AK678" s="22" t="n"/>
      <c r="AL678" s="22" t="n"/>
      <c r="AM678" s="22" t="n"/>
      <c r="AN678" s="22" t="n"/>
      <c r="AO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  <c r="Y679" s="22" t="n"/>
      <c r="Z679" s="22" t="n"/>
      <c r="AA679" s="22" t="n"/>
      <c r="AB679" s="22" t="n"/>
      <c r="AC679" s="22" t="n"/>
      <c r="AD679" s="22" t="n"/>
      <c r="AE679" s="22" t="n"/>
      <c r="AF679" s="22" t="n"/>
      <c r="AG679" s="22" t="n"/>
      <c r="AH679" s="22" t="n"/>
      <c r="AI679" s="22" t="n"/>
      <c r="AJ679" s="22" t="n"/>
      <c r="AK679" s="22" t="n"/>
      <c r="AL679" s="22" t="n"/>
      <c r="AM679" s="22" t="n"/>
      <c r="AN679" s="22" t="n"/>
      <c r="AO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  <c r="Y680" s="22" t="n"/>
      <c r="Z680" s="22" t="n"/>
      <c r="AA680" s="22" t="n"/>
      <c r="AB680" s="22" t="n"/>
      <c r="AC680" s="22" t="n"/>
      <c r="AD680" s="22" t="n"/>
      <c r="AE680" s="22" t="n"/>
      <c r="AF680" s="22" t="n"/>
      <c r="AG680" s="22" t="n"/>
      <c r="AH680" s="22" t="n"/>
      <c r="AI680" s="22" t="n"/>
      <c r="AJ680" s="22" t="n"/>
      <c r="AK680" s="22" t="n"/>
      <c r="AL680" s="22" t="n"/>
      <c r="AM680" s="22" t="n"/>
      <c r="AN680" s="22" t="n"/>
      <c r="AO680" s="22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282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322" t="inlineStr">
        <is>
          <t>period</t>
        </is>
      </c>
      <c r="B1" s="322" t="inlineStr">
        <is>
          <t>metric</t>
        </is>
      </c>
      <c r="C1" s="322" t="inlineStr">
        <is>
          <t>previous_guide</t>
        </is>
      </c>
      <c r="D1" s="322" t="inlineStr">
        <is>
          <t>current_guide</t>
        </is>
      </c>
      <c r="E1" s="322" t="inlineStr">
        <is>
          <t>actual</t>
        </is>
      </c>
      <c r="F1" s="322" t="inlineStr">
        <is>
          <t>status</t>
        </is>
      </c>
      <c r="G1" s="322" t="inlineStr">
        <is>
          <t>source_ref</t>
        </is>
      </c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</row>
    <row r="2">
      <c r="A2" s="22" t="n"/>
      <c r="B2" s="324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331" t="n"/>
      <c r="O2" s="331" t="n"/>
      <c r="P2" s="331" t="n"/>
      <c r="Q2" s="331" t="n"/>
      <c r="R2" s="22" t="n"/>
      <c r="S2" s="22" t="n"/>
      <c r="T2" s="22" t="n"/>
      <c r="U2" s="22" t="n"/>
      <c r="V2" s="331" t="n"/>
    </row>
    <row r="3">
      <c r="A3" s="22" t="n"/>
      <c r="B3" s="324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331" t="n"/>
      <c r="O3" s="331" t="n"/>
      <c r="P3" s="331" t="n"/>
      <c r="Q3" s="331" t="n"/>
      <c r="R3" s="22" t="n"/>
      <c r="S3" s="22" t="n"/>
      <c r="T3" s="22" t="n"/>
      <c r="U3" s="22" t="n"/>
      <c r="V3" s="331" t="n"/>
    </row>
    <row r="4">
      <c r="A4" s="22" t="n"/>
      <c r="B4" s="324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331" t="n"/>
      <c r="O4" s="331" t="n"/>
      <c r="P4" s="331" t="n"/>
      <c r="Q4" s="331" t="n"/>
      <c r="R4" s="22" t="n"/>
      <c r="S4" s="22" t="n"/>
      <c r="T4" s="22" t="n"/>
      <c r="U4" s="22" t="n"/>
      <c r="V4" s="331" t="n"/>
    </row>
    <row r="5">
      <c r="A5" s="22" t="n"/>
      <c r="B5" s="324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331" t="n"/>
      <c r="O5" s="331" t="n"/>
      <c r="P5" s="331" t="n"/>
      <c r="Q5" s="331" t="n"/>
      <c r="R5" s="22" t="n"/>
      <c r="S5" s="22" t="n"/>
      <c r="T5" s="22" t="n"/>
      <c r="U5" s="22" t="n"/>
      <c r="V5" s="331" t="n"/>
    </row>
    <row r="6">
      <c r="A6" s="22" t="n"/>
      <c r="B6" s="324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331" t="n"/>
      <c r="O6" s="331" t="n"/>
      <c r="P6" s="331" t="n"/>
      <c r="Q6" s="331" t="n"/>
      <c r="R6" s="22" t="n"/>
      <c r="S6" s="22" t="n"/>
      <c r="T6" s="22" t="n"/>
      <c r="U6" s="22" t="n"/>
      <c r="V6" s="331" t="n"/>
    </row>
    <row r="7">
      <c r="A7" s="22" t="n"/>
      <c r="B7" s="324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331" t="n"/>
      <c r="O7" s="331" t="n"/>
      <c r="P7" s="331" t="n"/>
      <c r="Q7" s="331" t="n"/>
      <c r="R7" s="22" t="n"/>
      <c r="S7" s="22" t="n"/>
      <c r="T7" s="22" t="n"/>
      <c r="U7" s="22" t="n"/>
      <c r="V7" s="331" t="n"/>
    </row>
    <row r="8">
      <c r="A8" s="22" t="n"/>
      <c r="B8" s="324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331" t="n"/>
      <c r="O8" s="331" t="n"/>
      <c r="P8" s="331" t="n"/>
      <c r="Q8" s="331" t="n"/>
      <c r="R8" s="22" t="n"/>
      <c r="S8" s="22" t="n"/>
      <c r="T8" s="22" t="n"/>
      <c r="U8" s="22" t="n"/>
      <c r="V8" s="331" t="n"/>
    </row>
    <row r="9">
      <c r="A9" s="22" t="n"/>
      <c r="B9" s="324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331" t="n"/>
      <c r="O9" s="331" t="n"/>
      <c r="P9" s="331" t="n"/>
      <c r="Q9" s="331" t="n"/>
      <c r="R9" s="22" t="n"/>
      <c r="S9" s="22" t="n"/>
      <c r="T9" s="22" t="n"/>
      <c r="U9" s="22" t="n"/>
      <c r="V9" s="331" t="n"/>
    </row>
    <row r="10">
      <c r="A10" s="22" t="n"/>
      <c r="B10" s="324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331" t="n"/>
      <c r="O10" s="331" t="n"/>
      <c r="P10" s="331" t="n"/>
      <c r="Q10" s="331" t="n"/>
      <c r="R10" s="22" t="n"/>
      <c r="S10" s="22" t="n"/>
      <c r="T10" s="22" t="n"/>
      <c r="U10" s="22" t="n"/>
      <c r="V10" s="331" t="n"/>
    </row>
    <row r="11">
      <c r="A11" s="22" t="n"/>
      <c r="B11" s="324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331" t="n"/>
      <c r="O11" s="331" t="n"/>
      <c r="P11" s="331" t="n"/>
      <c r="Q11" s="331" t="n"/>
      <c r="R11" s="22" t="n"/>
      <c r="S11" s="22" t="n"/>
      <c r="T11" s="22" t="n"/>
      <c r="U11" s="22" t="n"/>
      <c r="V11" s="331" t="n"/>
    </row>
    <row r="12">
      <c r="A12" s="22" t="n"/>
      <c r="B12" s="324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331" t="n"/>
      <c r="O12" s="331" t="n"/>
      <c r="P12" s="331" t="n"/>
      <c r="Q12" s="331" t="n"/>
      <c r="R12" s="22" t="n"/>
      <c r="S12" s="22" t="n"/>
      <c r="T12" s="22" t="n"/>
      <c r="U12" s="22" t="n"/>
      <c r="V12" s="331" t="n"/>
    </row>
    <row r="13">
      <c r="A13" s="22" t="n"/>
      <c r="B13" s="324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331" t="n"/>
      <c r="O13" s="331" t="n"/>
      <c r="P13" s="331" t="n"/>
      <c r="Q13" s="331" t="n"/>
      <c r="R13" s="22" t="n"/>
      <c r="S13" s="22" t="n"/>
      <c r="T13" s="22" t="n"/>
      <c r="U13" s="22" t="n"/>
      <c r="V13" s="331" t="n"/>
    </row>
    <row r="14">
      <c r="A14" s="22" t="n"/>
      <c r="B14" s="324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331" t="n"/>
      <c r="O14" s="331" t="n"/>
      <c r="P14" s="331" t="n"/>
      <c r="Q14" s="331" t="n"/>
      <c r="R14" s="22" t="n"/>
      <c r="S14" s="22" t="n"/>
      <c r="T14" s="22" t="n"/>
      <c r="U14" s="22" t="n"/>
      <c r="V14" s="331" t="n"/>
    </row>
    <row r="15">
      <c r="A15" s="22" t="n"/>
      <c r="B15" s="324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31" t="n"/>
      <c r="O15" s="331" t="n"/>
      <c r="P15" s="331" t="n"/>
      <c r="Q15" s="331" t="n"/>
      <c r="R15" s="22" t="n"/>
      <c r="S15" s="22" t="n"/>
      <c r="T15" s="22" t="n"/>
      <c r="U15" s="22" t="n"/>
      <c r="V15" s="331" t="n"/>
    </row>
    <row r="16">
      <c r="A16" s="22" t="n"/>
      <c r="B16" s="324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331" t="n"/>
      <c r="O16" s="331" t="n"/>
      <c r="P16" s="331" t="n"/>
      <c r="Q16" s="331" t="n"/>
      <c r="R16" s="22" t="n"/>
      <c r="S16" s="22" t="n"/>
      <c r="T16" s="22" t="n"/>
      <c r="U16" s="22" t="n"/>
      <c r="V16" s="331" t="n"/>
    </row>
    <row r="17">
      <c r="A17" s="22" t="n"/>
      <c r="B17" s="324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331" t="n"/>
      <c r="O17" s="331" t="n"/>
      <c r="P17" s="331" t="n"/>
      <c r="Q17" s="331" t="n"/>
      <c r="R17" s="22" t="n"/>
      <c r="S17" s="22" t="n"/>
      <c r="T17" s="22" t="n"/>
      <c r="U17" s="22" t="n"/>
      <c r="V17" s="331" t="n"/>
    </row>
    <row r="18">
      <c r="A18" s="22" t="n"/>
      <c r="B18" s="324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331" t="n"/>
      <c r="O18" s="331" t="n"/>
      <c r="P18" s="331" t="n"/>
      <c r="Q18" s="331" t="n"/>
      <c r="R18" s="22" t="n"/>
      <c r="S18" s="22" t="n"/>
      <c r="T18" s="22" t="n"/>
      <c r="U18" s="22" t="n"/>
      <c r="V18" s="331" t="n"/>
    </row>
    <row r="19">
      <c r="A19" s="22" t="n"/>
      <c r="B19" s="324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331" t="n"/>
      <c r="O19" s="331" t="n"/>
      <c r="P19" s="331" t="n"/>
      <c r="Q19" s="331" t="n"/>
      <c r="R19" s="22" t="n"/>
      <c r="S19" s="22" t="n"/>
      <c r="T19" s="22" t="n"/>
      <c r="U19" s="22" t="n"/>
      <c r="V19" s="331" t="n"/>
    </row>
    <row r="20">
      <c r="A20" s="22" t="n"/>
      <c r="B20" s="324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331" t="n"/>
      <c r="O20" s="331" t="n"/>
      <c r="P20" s="331" t="n"/>
      <c r="Q20" s="331" t="n"/>
      <c r="R20" s="22" t="n"/>
      <c r="S20" s="22" t="n"/>
      <c r="T20" s="22" t="n"/>
      <c r="U20" s="22" t="n"/>
      <c r="V20" s="331" t="n"/>
    </row>
    <row r="21">
      <c r="A21" s="22" t="n"/>
      <c r="B21" s="324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331" t="n"/>
      <c r="O21" s="331" t="n"/>
      <c r="P21" s="331" t="n"/>
      <c r="Q21" s="331" t="n"/>
      <c r="R21" s="22" t="n"/>
      <c r="S21" s="22" t="n"/>
      <c r="T21" s="22" t="n"/>
      <c r="U21" s="22" t="n"/>
      <c r="V21" s="331" t="n"/>
    </row>
    <row r="22">
      <c r="A22" s="22" t="n"/>
      <c r="B22" s="324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331" t="n"/>
      <c r="O22" s="331" t="n"/>
      <c r="P22" s="331" t="n"/>
      <c r="Q22" s="331" t="n"/>
      <c r="R22" s="22" t="n"/>
      <c r="S22" s="22" t="n"/>
      <c r="T22" s="22" t="n"/>
      <c r="U22" s="22" t="n"/>
      <c r="V22" s="331" t="n"/>
    </row>
    <row r="23">
      <c r="A23" s="22" t="n"/>
      <c r="B23" s="324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331" t="n"/>
      <c r="O23" s="331" t="n"/>
      <c r="P23" s="331" t="n"/>
      <c r="Q23" s="331" t="n"/>
      <c r="R23" s="22" t="n"/>
      <c r="S23" s="22" t="n"/>
      <c r="T23" s="22" t="n"/>
      <c r="U23" s="22" t="n"/>
      <c r="V23" s="331" t="n"/>
    </row>
    <row r="24">
      <c r="A24" s="22" t="n"/>
      <c r="B24" s="324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331" t="n"/>
      <c r="O24" s="331" t="n"/>
      <c r="P24" s="331" t="n"/>
      <c r="Q24" s="331" t="n"/>
      <c r="R24" s="22" t="n"/>
      <c r="S24" s="22" t="n"/>
      <c r="T24" s="22" t="n"/>
      <c r="U24" s="22" t="n"/>
      <c r="V24" s="331" t="n"/>
    </row>
    <row r="25">
      <c r="A25" s="22" t="n"/>
      <c r="B25" s="324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331" t="n"/>
      <c r="O25" s="331" t="n"/>
      <c r="P25" s="331" t="n"/>
      <c r="Q25" s="331" t="n"/>
      <c r="R25" s="22" t="n"/>
      <c r="S25" s="22" t="n"/>
      <c r="T25" s="22" t="n"/>
      <c r="U25" s="22" t="n"/>
      <c r="V25" s="331" t="n"/>
    </row>
    <row r="26">
      <c r="A26" s="22" t="n"/>
      <c r="B26" s="324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331" t="n"/>
      <c r="O26" s="331" t="n"/>
      <c r="P26" s="331" t="n"/>
      <c r="Q26" s="331" t="n"/>
      <c r="R26" s="22" t="n"/>
      <c r="S26" s="22" t="n"/>
      <c r="T26" s="22" t="n"/>
      <c r="U26" s="22" t="n"/>
      <c r="V26" s="331" t="n"/>
    </row>
    <row r="27">
      <c r="A27" s="22" t="n"/>
      <c r="B27" s="324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331" t="n"/>
      <c r="O27" s="331" t="n"/>
      <c r="P27" s="331" t="n"/>
      <c r="Q27" s="331" t="n"/>
      <c r="R27" s="22" t="n"/>
      <c r="S27" s="22" t="n"/>
      <c r="T27" s="22" t="n"/>
      <c r="U27" s="22" t="n"/>
      <c r="V27" s="331" t="n"/>
    </row>
    <row r="28">
      <c r="A28" s="22" t="n"/>
      <c r="B28" s="324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331" t="n"/>
      <c r="O28" s="331" t="n"/>
      <c r="P28" s="331" t="n"/>
      <c r="Q28" s="331" t="n"/>
      <c r="R28" s="22" t="n"/>
      <c r="S28" s="22" t="n"/>
      <c r="T28" s="22" t="n"/>
      <c r="U28" s="22" t="n"/>
      <c r="V28" s="331" t="n"/>
    </row>
    <row r="29">
      <c r="A29" s="22" t="n"/>
      <c r="B29" s="324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331" t="n"/>
      <c r="O29" s="331" t="n"/>
      <c r="P29" s="331" t="n"/>
      <c r="Q29" s="331" t="n"/>
      <c r="R29" s="22" t="n"/>
      <c r="S29" s="22" t="n"/>
      <c r="T29" s="22" t="n"/>
      <c r="U29" s="22" t="n"/>
      <c r="V29" s="331" t="n"/>
    </row>
    <row r="30">
      <c r="A30" s="22" t="n"/>
      <c r="B30" s="324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331" t="n"/>
      <c r="O30" s="331" t="n"/>
      <c r="P30" s="331" t="n"/>
      <c r="Q30" s="331" t="n"/>
      <c r="R30" s="22" t="n"/>
      <c r="S30" s="22" t="n"/>
      <c r="T30" s="22" t="n"/>
      <c r="U30" s="22" t="n"/>
      <c r="V30" s="331" t="n"/>
    </row>
    <row r="31">
      <c r="A31" s="22" t="n"/>
      <c r="B31" s="324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331" t="n"/>
      <c r="O31" s="331" t="n"/>
      <c r="P31" s="331" t="n"/>
      <c r="Q31" s="331" t="n"/>
      <c r="R31" s="22" t="n"/>
      <c r="S31" s="22" t="n"/>
      <c r="T31" s="22" t="n"/>
      <c r="U31" s="22" t="n"/>
      <c r="V31" s="331" t="n"/>
    </row>
    <row r="32">
      <c r="A32" s="22" t="n"/>
      <c r="B32" s="324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331" t="n"/>
      <c r="O32" s="331" t="n"/>
      <c r="P32" s="331" t="n"/>
      <c r="Q32" s="331" t="n"/>
      <c r="R32" s="22" t="n"/>
      <c r="S32" s="22" t="n"/>
      <c r="T32" s="22" t="n"/>
      <c r="U32" s="22" t="n"/>
      <c r="V32" s="331" t="n"/>
    </row>
    <row r="33">
      <c r="A33" s="22" t="n"/>
      <c r="B33" s="324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331" t="n"/>
      <c r="O33" s="331" t="n"/>
      <c r="P33" s="331" t="n"/>
      <c r="Q33" s="331" t="n"/>
      <c r="R33" s="22" t="n"/>
      <c r="S33" s="22" t="n"/>
      <c r="T33" s="22" t="n"/>
      <c r="U33" s="22" t="n"/>
      <c r="V33" s="331" t="n"/>
    </row>
    <row r="34">
      <c r="A34" s="22" t="n"/>
      <c r="B34" s="324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331" t="n"/>
      <c r="O34" s="331" t="n"/>
      <c r="P34" s="331" t="n"/>
      <c r="Q34" s="331" t="n"/>
      <c r="R34" s="22" t="n"/>
      <c r="S34" s="22" t="n"/>
      <c r="T34" s="22" t="n"/>
      <c r="U34" s="22" t="n"/>
      <c r="V34" s="331" t="n"/>
    </row>
    <row r="35">
      <c r="A35" s="22" t="n"/>
      <c r="B35" s="324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331" t="n"/>
      <c r="O35" s="331" t="n"/>
      <c r="P35" s="331" t="n"/>
      <c r="Q35" s="331" t="n"/>
      <c r="R35" s="22" t="n"/>
      <c r="S35" s="22" t="n"/>
      <c r="T35" s="22" t="n"/>
      <c r="U35" s="22" t="n"/>
      <c r="V35" s="331" t="n"/>
    </row>
    <row r="36">
      <c r="A36" s="22" t="n"/>
      <c r="B36" s="324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331" t="n"/>
      <c r="O36" s="331" t="n"/>
      <c r="P36" s="331" t="n"/>
      <c r="Q36" s="331" t="n"/>
      <c r="R36" s="22" t="n"/>
      <c r="S36" s="22" t="n"/>
      <c r="T36" s="22" t="n"/>
      <c r="U36" s="22" t="n"/>
      <c r="V36" s="331" t="n"/>
    </row>
    <row r="37">
      <c r="A37" s="22" t="n"/>
      <c r="B37" s="324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331" t="n"/>
      <c r="O37" s="331" t="n"/>
      <c r="P37" s="331" t="n"/>
      <c r="Q37" s="331" t="n"/>
      <c r="R37" s="22" t="n"/>
      <c r="S37" s="22" t="n"/>
      <c r="T37" s="22" t="n"/>
      <c r="U37" s="22" t="n"/>
      <c r="V37" s="331" t="n"/>
    </row>
    <row r="38">
      <c r="A38" s="22" t="n"/>
      <c r="B38" s="324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331" t="n"/>
      <c r="O38" s="331" t="n"/>
      <c r="P38" s="331" t="n"/>
      <c r="Q38" s="331" t="n"/>
      <c r="R38" s="22" t="n"/>
      <c r="S38" s="22" t="n"/>
      <c r="T38" s="22" t="n"/>
      <c r="U38" s="22" t="n"/>
      <c r="V38" s="331" t="n"/>
    </row>
    <row r="39">
      <c r="A39" s="22" t="n"/>
      <c r="B39" s="324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331" t="n"/>
      <c r="O39" s="331" t="n"/>
      <c r="P39" s="331" t="n"/>
      <c r="Q39" s="331" t="n"/>
      <c r="R39" s="22" t="n"/>
      <c r="S39" s="22" t="n"/>
      <c r="T39" s="22" t="n"/>
      <c r="U39" s="22" t="n"/>
      <c r="V39" s="331" t="n"/>
    </row>
    <row r="40">
      <c r="A40" s="22" t="n"/>
      <c r="B40" s="324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331" t="n"/>
      <c r="O40" s="331" t="n"/>
      <c r="P40" s="331" t="n"/>
      <c r="Q40" s="331" t="n"/>
      <c r="R40" s="22" t="n"/>
      <c r="S40" s="22" t="n"/>
      <c r="T40" s="22" t="n"/>
      <c r="U40" s="22" t="n"/>
      <c r="V40" s="331" t="n"/>
    </row>
    <row r="41">
      <c r="A41" s="22" t="n"/>
      <c r="B41" s="324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331" t="n"/>
      <c r="O41" s="331" t="n"/>
      <c r="P41" s="331" t="n"/>
      <c r="Q41" s="331" t="n"/>
      <c r="R41" s="22" t="n"/>
      <c r="S41" s="22" t="n"/>
      <c r="T41" s="22" t="n"/>
      <c r="U41" s="22" t="n"/>
      <c r="V41" s="331" t="n"/>
    </row>
    <row r="42">
      <c r="A42" s="22" t="n"/>
      <c r="B42" s="324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331" t="n"/>
      <c r="O42" s="331" t="n"/>
      <c r="P42" s="331" t="n"/>
      <c r="Q42" s="331" t="n"/>
      <c r="R42" s="22" t="n"/>
      <c r="S42" s="22" t="n"/>
      <c r="T42" s="22" t="n"/>
      <c r="U42" s="22" t="n"/>
      <c r="V42" s="331" t="n"/>
    </row>
    <row r="43">
      <c r="A43" s="22" t="n"/>
      <c r="B43" s="324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331" t="n"/>
      <c r="O43" s="331" t="n"/>
      <c r="P43" s="331" t="n"/>
      <c r="Q43" s="331" t="n"/>
      <c r="R43" s="22" t="n"/>
      <c r="S43" s="22" t="n"/>
      <c r="T43" s="22" t="n"/>
      <c r="U43" s="22" t="n"/>
      <c r="V43" s="331" t="n"/>
    </row>
    <row r="44">
      <c r="A44" s="22" t="n"/>
      <c r="B44" s="324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331" t="n"/>
      <c r="O44" s="331" t="n"/>
      <c r="P44" s="331" t="n"/>
      <c r="Q44" s="331" t="n"/>
      <c r="R44" s="22" t="n"/>
      <c r="S44" s="22" t="n"/>
      <c r="T44" s="22" t="n"/>
      <c r="U44" s="22" t="n"/>
      <c r="V44" s="331" t="n"/>
    </row>
    <row r="45">
      <c r="A45" s="22" t="n"/>
      <c r="B45" s="324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331" t="n"/>
      <c r="O45" s="331" t="n"/>
      <c r="P45" s="331" t="n"/>
      <c r="Q45" s="331" t="n"/>
      <c r="R45" s="22" t="n"/>
      <c r="S45" s="22" t="n"/>
      <c r="T45" s="22" t="n"/>
      <c r="U45" s="22" t="n"/>
      <c r="V45" s="331" t="n"/>
    </row>
    <row r="46">
      <c r="A46" s="22" t="n"/>
      <c r="B46" s="324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331" t="n"/>
      <c r="O46" s="331" t="n"/>
      <c r="P46" s="331" t="n"/>
      <c r="Q46" s="331" t="n"/>
      <c r="R46" s="22" t="n"/>
      <c r="S46" s="22" t="n"/>
      <c r="T46" s="22" t="n"/>
      <c r="U46" s="22" t="n"/>
      <c r="V46" s="331" t="n"/>
    </row>
    <row r="47">
      <c r="A47" s="22" t="n"/>
      <c r="B47" s="324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331" t="n"/>
      <c r="O47" s="331" t="n"/>
      <c r="P47" s="331" t="n"/>
      <c r="Q47" s="331" t="n"/>
      <c r="R47" s="22" t="n"/>
      <c r="S47" s="22" t="n"/>
      <c r="T47" s="22" t="n"/>
      <c r="U47" s="22" t="n"/>
      <c r="V47" s="331" t="n"/>
    </row>
    <row r="48">
      <c r="A48" s="22" t="n"/>
      <c r="B48" s="324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331" t="n"/>
      <c r="O48" s="331" t="n"/>
      <c r="P48" s="331" t="n"/>
      <c r="Q48" s="331" t="n"/>
      <c r="R48" s="22" t="n"/>
      <c r="S48" s="22" t="n"/>
      <c r="T48" s="22" t="n"/>
      <c r="U48" s="22" t="n"/>
      <c r="V48" s="331" t="n"/>
    </row>
    <row r="49">
      <c r="A49" s="22" t="n"/>
      <c r="B49" s="324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331" t="n"/>
      <c r="O49" s="331" t="n"/>
      <c r="P49" s="331" t="n"/>
      <c r="Q49" s="331" t="n"/>
      <c r="R49" s="22" t="n"/>
      <c r="S49" s="22" t="n"/>
      <c r="T49" s="22" t="n"/>
      <c r="U49" s="22" t="n"/>
      <c r="V49" s="331" t="n"/>
    </row>
    <row r="50">
      <c r="A50" s="22" t="n"/>
      <c r="B50" s="324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331" t="n"/>
      <c r="O50" s="331" t="n"/>
      <c r="P50" s="331" t="n"/>
      <c r="Q50" s="331" t="n"/>
      <c r="R50" s="22" t="n"/>
      <c r="S50" s="22" t="n"/>
      <c r="T50" s="22" t="n"/>
      <c r="U50" s="22" t="n"/>
      <c r="V50" s="331" t="n"/>
    </row>
    <row r="51">
      <c r="A51" s="22" t="n"/>
      <c r="B51" s="324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331" t="n"/>
      <c r="O51" s="331" t="n"/>
      <c r="P51" s="331" t="n"/>
      <c r="Q51" s="331" t="n"/>
      <c r="R51" s="22" t="n"/>
      <c r="S51" s="22" t="n"/>
      <c r="T51" s="22" t="n"/>
      <c r="U51" s="22" t="n"/>
      <c r="V51" s="331" t="n"/>
    </row>
    <row r="52">
      <c r="A52" s="22" t="n"/>
      <c r="B52" s="324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331" t="n"/>
      <c r="O52" s="331" t="n"/>
      <c r="P52" s="331" t="n"/>
      <c r="Q52" s="331" t="n"/>
      <c r="R52" s="22" t="n"/>
      <c r="S52" s="22" t="n"/>
      <c r="T52" s="22" t="n"/>
      <c r="U52" s="22" t="n"/>
      <c r="V52" s="331" t="n"/>
    </row>
    <row r="53">
      <c r="A53" s="22" t="n"/>
      <c r="B53" s="324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331" t="n"/>
      <c r="O53" s="331" t="n"/>
      <c r="P53" s="331" t="n"/>
      <c r="Q53" s="331" t="n"/>
      <c r="R53" s="22" t="n"/>
      <c r="S53" s="22" t="n"/>
      <c r="T53" s="22" t="n"/>
      <c r="U53" s="22" t="n"/>
      <c r="V53" s="331" t="n"/>
    </row>
    <row r="54">
      <c r="A54" s="22" t="n"/>
      <c r="B54" s="324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331" t="n"/>
      <c r="O54" s="331" t="n"/>
      <c r="P54" s="331" t="n"/>
      <c r="Q54" s="331" t="n"/>
      <c r="R54" s="22" t="n"/>
      <c r="S54" s="22" t="n"/>
      <c r="T54" s="22" t="n"/>
      <c r="U54" s="22" t="n"/>
      <c r="V54" s="331" t="n"/>
    </row>
    <row r="55">
      <c r="A55" s="22" t="n"/>
      <c r="B55" s="324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331" t="n"/>
      <c r="O55" s="331" t="n"/>
      <c r="P55" s="331" t="n"/>
      <c r="Q55" s="331" t="n"/>
      <c r="R55" s="22" t="n"/>
      <c r="S55" s="22" t="n"/>
      <c r="T55" s="22" t="n"/>
      <c r="U55" s="22" t="n"/>
      <c r="V55" s="331" t="n"/>
    </row>
    <row r="56">
      <c r="A56" s="22" t="n"/>
      <c r="B56" s="324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331" t="n"/>
      <c r="O56" s="331" t="n"/>
      <c r="P56" s="331" t="n"/>
      <c r="Q56" s="331" t="n"/>
      <c r="R56" s="22" t="n"/>
      <c r="S56" s="22" t="n"/>
      <c r="T56" s="22" t="n"/>
      <c r="U56" s="22" t="n"/>
      <c r="V56" s="331" t="n"/>
    </row>
    <row r="57">
      <c r="A57" s="22" t="n"/>
      <c r="B57" s="324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331" t="n"/>
      <c r="O57" s="331" t="n"/>
      <c r="P57" s="331" t="n"/>
      <c r="Q57" s="331" t="n"/>
      <c r="R57" s="22" t="n"/>
      <c r="S57" s="22" t="n"/>
      <c r="T57" s="22" t="n"/>
      <c r="U57" s="22" t="n"/>
      <c r="V57" s="331" t="n"/>
    </row>
    <row r="58">
      <c r="A58" s="22" t="n"/>
      <c r="B58" s="324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331" t="n"/>
      <c r="O58" s="331" t="n"/>
      <c r="P58" s="331" t="n"/>
      <c r="Q58" s="331" t="n"/>
      <c r="R58" s="22" t="n"/>
      <c r="S58" s="22" t="n"/>
      <c r="T58" s="22" t="n"/>
      <c r="U58" s="22" t="n"/>
      <c r="V58" s="331" t="n"/>
    </row>
    <row r="59">
      <c r="A59" s="22" t="n"/>
      <c r="B59" s="324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331" t="n"/>
      <c r="O59" s="331" t="n"/>
      <c r="P59" s="331" t="n"/>
      <c r="Q59" s="331" t="n"/>
      <c r="R59" s="22" t="n"/>
      <c r="S59" s="22" t="n"/>
      <c r="T59" s="22" t="n"/>
      <c r="U59" s="22" t="n"/>
      <c r="V59" s="331" t="n"/>
    </row>
    <row r="60">
      <c r="A60" s="22" t="n"/>
      <c r="B60" s="324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331" t="n"/>
      <c r="O60" s="331" t="n"/>
      <c r="P60" s="331" t="n"/>
      <c r="Q60" s="331" t="n"/>
      <c r="R60" s="22" t="n"/>
      <c r="S60" s="22" t="n"/>
      <c r="T60" s="22" t="n"/>
      <c r="U60" s="22" t="n"/>
      <c r="V60" s="331" t="n"/>
    </row>
    <row r="61">
      <c r="A61" s="22" t="n"/>
      <c r="B61" s="324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331" t="n"/>
      <c r="O61" s="331" t="n"/>
      <c r="P61" s="331" t="n"/>
      <c r="Q61" s="331" t="n"/>
      <c r="R61" s="22" t="n"/>
      <c r="S61" s="22" t="n"/>
      <c r="T61" s="22" t="n"/>
      <c r="U61" s="22" t="n"/>
      <c r="V61" s="331" t="n"/>
    </row>
    <row r="62">
      <c r="A62" s="22" t="n"/>
      <c r="B62" s="324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331" t="n"/>
      <c r="O62" s="331" t="n"/>
      <c r="P62" s="331" t="n"/>
      <c r="Q62" s="331" t="n"/>
      <c r="R62" s="22" t="n"/>
      <c r="S62" s="22" t="n"/>
      <c r="T62" s="22" t="n"/>
      <c r="U62" s="22" t="n"/>
      <c r="V62" s="331" t="n"/>
    </row>
    <row r="63">
      <c r="A63" s="22" t="n"/>
      <c r="B63" s="324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331" t="n"/>
      <c r="O63" s="331" t="n"/>
      <c r="P63" s="331" t="n"/>
      <c r="Q63" s="331" t="n"/>
      <c r="R63" s="22" t="n"/>
      <c r="S63" s="22" t="n"/>
      <c r="T63" s="22" t="n"/>
      <c r="U63" s="22" t="n"/>
      <c r="V63" s="331" t="n"/>
    </row>
    <row r="64">
      <c r="A64" s="22" t="n"/>
      <c r="B64" s="324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331" t="n"/>
      <c r="O64" s="331" t="n"/>
      <c r="P64" s="331" t="n"/>
      <c r="Q64" s="331" t="n"/>
      <c r="R64" s="22" t="n"/>
      <c r="S64" s="22" t="n"/>
      <c r="T64" s="22" t="n"/>
      <c r="U64" s="22" t="n"/>
      <c r="V64" s="331" t="n"/>
    </row>
    <row r="65">
      <c r="A65" s="22" t="n"/>
      <c r="B65" s="324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331" t="n"/>
      <c r="O65" s="331" t="n"/>
      <c r="P65" s="331" t="n"/>
      <c r="Q65" s="331" t="n"/>
      <c r="R65" s="22" t="n"/>
      <c r="S65" s="22" t="n"/>
      <c r="T65" s="22" t="n"/>
      <c r="U65" s="22" t="n"/>
      <c r="V65" s="331" t="n"/>
    </row>
    <row r="66">
      <c r="A66" s="22" t="n"/>
      <c r="B66" s="324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331" t="n"/>
      <c r="O66" s="331" t="n"/>
      <c r="P66" s="331" t="n"/>
      <c r="Q66" s="331" t="n"/>
      <c r="R66" s="22" t="n"/>
      <c r="S66" s="22" t="n"/>
      <c r="T66" s="22" t="n"/>
      <c r="U66" s="22" t="n"/>
      <c r="V66" s="331" t="n"/>
    </row>
    <row r="67">
      <c r="A67" s="22" t="n"/>
      <c r="B67" s="324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331" t="n"/>
      <c r="O67" s="331" t="n"/>
      <c r="P67" s="331" t="n"/>
      <c r="Q67" s="331" t="n"/>
      <c r="R67" s="22" t="n"/>
      <c r="S67" s="22" t="n"/>
      <c r="T67" s="22" t="n"/>
      <c r="U67" s="22" t="n"/>
      <c r="V67" s="331" t="n"/>
    </row>
    <row r="68">
      <c r="A68" s="22" t="n"/>
      <c r="B68" s="324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331" t="n"/>
      <c r="O68" s="331" t="n"/>
      <c r="P68" s="331" t="n"/>
      <c r="Q68" s="331" t="n"/>
      <c r="R68" s="22" t="n"/>
      <c r="S68" s="22" t="n"/>
      <c r="T68" s="22" t="n"/>
      <c r="U68" s="22" t="n"/>
      <c r="V68" s="331" t="n"/>
    </row>
    <row r="69">
      <c r="A69" s="22" t="n"/>
      <c r="B69" s="324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331" t="n"/>
      <c r="O69" s="331" t="n"/>
      <c r="P69" s="331" t="n"/>
      <c r="Q69" s="331" t="n"/>
      <c r="R69" s="22" t="n"/>
      <c r="S69" s="22" t="n"/>
      <c r="T69" s="22" t="n"/>
      <c r="U69" s="22" t="n"/>
      <c r="V69" s="331" t="n"/>
    </row>
    <row r="70">
      <c r="A70" s="22" t="n"/>
      <c r="B70" s="324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331" t="n"/>
      <c r="O70" s="331" t="n"/>
      <c r="P70" s="331" t="n"/>
      <c r="Q70" s="331" t="n"/>
      <c r="R70" s="22" t="n"/>
      <c r="S70" s="22" t="n"/>
      <c r="T70" s="22" t="n"/>
      <c r="U70" s="22" t="n"/>
      <c r="V70" s="331" t="n"/>
    </row>
    <row r="71">
      <c r="A71" s="22" t="n"/>
      <c r="B71" s="324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331" t="n"/>
      <c r="O71" s="331" t="n"/>
      <c r="P71" s="331" t="n"/>
      <c r="Q71" s="331" t="n"/>
      <c r="R71" s="22" t="n"/>
      <c r="S71" s="22" t="n"/>
      <c r="T71" s="22" t="n"/>
      <c r="U71" s="22" t="n"/>
      <c r="V71" s="331" t="n"/>
    </row>
    <row r="72">
      <c r="A72" s="22" t="n"/>
      <c r="B72" s="324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331" t="n"/>
      <c r="O72" s="331" t="n"/>
      <c r="P72" s="331" t="n"/>
      <c r="Q72" s="331" t="n"/>
      <c r="R72" s="22" t="n"/>
      <c r="S72" s="22" t="n"/>
      <c r="T72" s="22" t="n"/>
      <c r="U72" s="22" t="n"/>
      <c r="V72" s="331" t="n"/>
    </row>
    <row r="73">
      <c r="A73" s="22" t="n"/>
      <c r="B73" s="324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331" t="n"/>
      <c r="O73" s="331" t="n"/>
      <c r="P73" s="331" t="n"/>
      <c r="Q73" s="331" t="n"/>
      <c r="R73" s="22" t="n"/>
      <c r="S73" s="22" t="n"/>
      <c r="T73" s="22" t="n"/>
      <c r="U73" s="22" t="n"/>
      <c r="V73" s="331" t="n"/>
    </row>
    <row r="74">
      <c r="A74" s="22" t="n"/>
      <c r="B74" s="324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331" t="n"/>
      <c r="O74" s="331" t="n"/>
      <c r="P74" s="331" t="n"/>
      <c r="Q74" s="331" t="n"/>
      <c r="R74" s="22" t="n"/>
      <c r="S74" s="22" t="n"/>
      <c r="T74" s="22" t="n"/>
      <c r="U74" s="22" t="n"/>
      <c r="V74" s="331" t="n"/>
    </row>
    <row r="75">
      <c r="A75" s="22" t="n"/>
      <c r="B75" s="324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331" t="n"/>
      <c r="O75" s="331" t="n"/>
      <c r="P75" s="331" t="n"/>
      <c r="Q75" s="331" t="n"/>
      <c r="R75" s="22" t="n"/>
      <c r="S75" s="22" t="n"/>
      <c r="T75" s="22" t="n"/>
      <c r="U75" s="22" t="n"/>
      <c r="V75" s="331" t="n"/>
    </row>
    <row r="76">
      <c r="A76" s="22" t="n"/>
      <c r="B76" s="324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331" t="n"/>
      <c r="O76" s="331" t="n"/>
      <c r="P76" s="331" t="n"/>
      <c r="Q76" s="331" t="n"/>
      <c r="R76" s="22" t="n"/>
      <c r="S76" s="22" t="n"/>
      <c r="T76" s="22" t="n"/>
      <c r="U76" s="22" t="n"/>
      <c r="V76" s="331" t="n"/>
    </row>
    <row r="77">
      <c r="A77" s="22" t="n"/>
      <c r="B77" s="324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331" t="n"/>
      <c r="O77" s="331" t="n"/>
      <c r="P77" s="331" t="n"/>
      <c r="Q77" s="331" t="n"/>
      <c r="R77" s="22" t="n"/>
      <c r="S77" s="22" t="n"/>
      <c r="T77" s="22" t="n"/>
      <c r="U77" s="22" t="n"/>
      <c r="V77" s="331" t="n"/>
    </row>
    <row r="78">
      <c r="A78" s="22" t="n"/>
      <c r="B78" s="324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331" t="n"/>
      <c r="O78" s="331" t="n"/>
      <c r="P78" s="331" t="n"/>
      <c r="Q78" s="331" t="n"/>
      <c r="R78" s="22" t="n"/>
      <c r="S78" s="22" t="n"/>
      <c r="T78" s="22" t="n"/>
      <c r="U78" s="22" t="n"/>
      <c r="V78" s="331" t="n"/>
    </row>
    <row r="79">
      <c r="A79" s="22" t="n"/>
      <c r="B79" s="324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331" t="n"/>
      <c r="O79" s="331" t="n"/>
      <c r="P79" s="331" t="n"/>
      <c r="Q79" s="331" t="n"/>
      <c r="R79" s="22" t="n"/>
      <c r="S79" s="22" t="n"/>
      <c r="T79" s="22" t="n"/>
      <c r="U79" s="22" t="n"/>
      <c r="V79" s="331" t="n"/>
    </row>
    <row r="80">
      <c r="A80" s="22" t="n"/>
      <c r="B80" s="324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331" t="n"/>
      <c r="O80" s="331" t="n"/>
      <c r="P80" s="331" t="n"/>
      <c r="Q80" s="331" t="n"/>
      <c r="R80" s="22" t="n"/>
      <c r="S80" s="22" t="n"/>
      <c r="T80" s="22" t="n"/>
      <c r="U80" s="22" t="n"/>
      <c r="V80" s="331" t="n"/>
    </row>
    <row r="81">
      <c r="A81" s="22" t="n"/>
      <c r="B81" s="324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331" t="n"/>
      <c r="O81" s="331" t="n"/>
      <c r="P81" s="331" t="n"/>
      <c r="Q81" s="331" t="n"/>
      <c r="R81" s="22" t="n"/>
      <c r="S81" s="22" t="n"/>
      <c r="T81" s="22" t="n"/>
      <c r="U81" s="22" t="n"/>
      <c r="V81" s="331" t="n"/>
    </row>
    <row r="82">
      <c r="A82" s="22" t="n"/>
      <c r="B82" s="324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331" t="n"/>
      <c r="O82" s="331" t="n"/>
      <c r="P82" s="331" t="n"/>
      <c r="Q82" s="331" t="n"/>
      <c r="R82" s="22" t="n"/>
      <c r="S82" s="22" t="n"/>
      <c r="T82" s="22" t="n"/>
      <c r="U82" s="22" t="n"/>
      <c r="V82" s="331" t="n"/>
    </row>
    <row r="83">
      <c r="A83" s="22" t="n"/>
      <c r="B83" s="324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331" t="n"/>
      <c r="O83" s="331" t="n"/>
      <c r="P83" s="331" t="n"/>
      <c r="Q83" s="331" t="n"/>
      <c r="R83" s="22" t="n"/>
      <c r="S83" s="22" t="n"/>
      <c r="T83" s="22" t="n"/>
      <c r="U83" s="22" t="n"/>
      <c r="V83" s="331" t="n"/>
    </row>
    <row r="84">
      <c r="A84" s="22" t="n"/>
      <c r="B84" s="324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331" t="n"/>
      <c r="O84" s="331" t="n"/>
      <c r="P84" s="331" t="n"/>
      <c r="Q84" s="331" t="n"/>
      <c r="R84" s="22" t="n"/>
      <c r="S84" s="22" t="n"/>
      <c r="T84" s="22" t="n"/>
      <c r="U84" s="22" t="n"/>
      <c r="V84" s="331" t="n"/>
    </row>
    <row r="85">
      <c r="A85" s="22" t="n"/>
      <c r="B85" s="324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331" t="n"/>
      <c r="O85" s="331" t="n"/>
      <c r="P85" s="331" t="n"/>
      <c r="Q85" s="331" t="n"/>
      <c r="R85" s="22" t="n"/>
      <c r="S85" s="22" t="n"/>
      <c r="T85" s="22" t="n"/>
      <c r="U85" s="22" t="n"/>
      <c r="V85" s="331" t="n"/>
    </row>
    <row r="86">
      <c r="A86" s="22" t="n"/>
      <c r="B86" s="324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331" t="n"/>
      <c r="O86" s="331" t="n"/>
      <c r="P86" s="331" t="n"/>
      <c r="Q86" s="331" t="n"/>
      <c r="R86" s="22" t="n"/>
      <c r="S86" s="22" t="n"/>
      <c r="T86" s="22" t="n"/>
      <c r="U86" s="22" t="n"/>
      <c r="V86" s="331" t="n"/>
    </row>
    <row r="87">
      <c r="A87" s="22" t="n"/>
      <c r="B87" s="324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331" t="n"/>
      <c r="O87" s="331" t="n"/>
      <c r="P87" s="331" t="n"/>
      <c r="Q87" s="331" t="n"/>
      <c r="R87" s="22" t="n"/>
      <c r="S87" s="22" t="n"/>
      <c r="T87" s="22" t="n"/>
      <c r="U87" s="22" t="n"/>
      <c r="V87" s="331" t="n"/>
    </row>
    <row r="88">
      <c r="A88" s="22" t="n"/>
      <c r="B88" s="324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331" t="n"/>
      <c r="O88" s="331" t="n"/>
      <c r="P88" s="331" t="n"/>
      <c r="Q88" s="331" t="n"/>
      <c r="R88" s="22" t="n"/>
      <c r="S88" s="22" t="n"/>
      <c r="T88" s="22" t="n"/>
      <c r="U88" s="22" t="n"/>
      <c r="V88" s="331" t="n"/>
    </row>
    <row r="89">
      <c r="A89" s="22" t="n"/>
      <c r="B89" s="324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331" t="n"/>
      <c r="O89" s="331" t="n"/>
      <c r="P89" s="331" t="n"/>
      <c r="Q89" s="331" t="n"/>
      <c r="R89" s="22" t="n"/>
      <c r="S89" s="22" t="n"/>
      <c r="T89" s="22" t="n"/>
      <c r="U89" s="22" t="n"/>
      <c r="V89" s="331" t="n"/>
    </row>
    <row r="90">
      <c r="A90" s="22" t="n"/>
      <c r="B90" s="324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331" t="n"/>
      <c r="O90" s="331" t="n"/>
      <c r="P90" s="331" t="n"/>
      <c r="Q90" s="331" t="n"/>
      <c r="R90" s="22" t="n"/>
      <c r="S90" s="22" t="n"/>
      <c r="T90" s="22" t="n"/>
      <c r="U90" s="22" t="n"/>
      <c r="V90" s="331" t="n"/>
    </row>
    <row r="91">
      <c r="A91" s="22" t="n"/>
      <c r="B91" s="324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331" t="n"/>
      <c r="O91" s="331" t="n"/>
      <c r="P91" s="331" t="n"/>
      <c r="Q91" s="331" t="n"/>
      <c r="R91" s="22" t="n"/>
      <c r="S91" s="22" t="n"/>
      <c r="T91" s="22" t="n"/>
      <c r="U91" s="22" t="n"/>
      <c r="V91" s="331" t="n"/>
    </row>
    <row r="92">
      <c r="A92" s="22" t="n"/>
      <c r="B92" s="324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331" t="n"/>
      <c r="O92" s="331" t="n"/>
      <c r="P92" s="331" t="n"/>
      <c r="Q92" s="331" t="n"/>
      <c r="R92" s="22" t="n"/>
      <c r="S92" s="22" t="n"/>
      <c r="T92" s="22" t="n"/>
      <c r="U92" s="22" t="n"/>
      <c r="V92" s="331" t="n"/>
    </row>
    <row r="93">
      <c r="A93" s="22" t="n"/>
      <c r="B93" s="324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331" t="n"/>
      <c r="O93" s="331" t="n"/>
      <c r="P93" s="331" t="n"/>
      <c r="Q93" s="331" t="n"/>
      <c r="R93" s="22" t="n"/>
      <c r="S93" s="22" t="n"/>
      <c r="T93" s="22" t="n"/>
      <c r="U93" s="22" t="n"/>
      <c r="V93" s="331" t="n"/>
    </row>
    <row r="94">
      <c r="A94" s="22" t="n"/>
      <c r="B94" s="324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331" t="n"/>
      <c r="O94" s="331" t="n"/>
      <c r="P94" s="331" t="n"/>
      <c r="Q94" s="331" t="n"/>
      <c r="R94" s="22" t="n"/>
      <c r="S94" s="22" t="n"/>
      <c r="T94" s="22" t="n"/>
      <c r="U94" s="22" t="n"/>
      <c r="V94" s="331" t="n"/>
    </row>
    <row r="95">
      <c r="A95" s="22" t="n"/>
      <c r="B95" s="324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331" t="n"/>
      <c r="O95" s="331" t="n"/>
      <c r="P95" s="331" t="n"/>
      <c r="Q95" s="331" t="n"/>
      <c r="R95" s="22" t="n"/>
      <c r="S95" s="22" t="n"/>
      <c r="T95" s="22" t="n"/>
      <c r="U95" s="22" t="n"/>
      <c r="V95" s="331" t="n"/>
    </row>
    <row r="96">
      <c r="A96" s="22" t="n"/>
      <c r="B96" s="324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331" t="n"/>
      <c r="O96" s="331" t="n"/>
      <c r="P96" s="331" t="n"/>
      <c r="Q96" s="331" t="n"/>
      <c r="R96" s="22" t="n"/>
      <c r="S96" s="22" t="n"/>
      <c r="T96" s="22" t="n"/>
      <c r="U96" s="22" t="n"/>
      <c r="V96" s="331" t="n"/>
    </row>
    <row r="97">
      <c r="A97" s="22" t="n"/>
      <c r="B97" s="324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331" t="n"/>
      <c r="O97" s="331" t="n"/>
      <c r="P97" s="331" t="n"/>
      <c r="Q97" s="331" t="n"/>
      <c r="R97" s="22" t="n"/>
      <c r="S97" s="22" t="n"/>
      <c r="T97" s="22" t="n"/>
      <c r="U97" s="22" t="n"/>
      <c r="V97" s="331" t="n"/>
    </row>
    <row r="98">
      <c r="A98" s="22" t="n"/>
      <c r="B98" s="324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331" t="n"/>
      <c r="O98" s="331" t="n"/>
      <c r="P98" s="331" t="n"/>
      <c r="Q98" s="331" t="n"/>
      <c r="R98" s="22" t="n"/>
      <c r="S98" s="22" t="n"/>
      <c r="T98" s="22" t="n"/>
      <c r="U98" s="22" t="n"/>
      <c r="V98" s="331" t="n"/>
    </row>
    <row r="99">
      <c r="A99" s="22" t="n"/>
      <c r="B99" s="324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331" t="n"/>
      <c r="O99" s="331" t="n"/>
      <c r="P99" s="331" t="n"/>
      <c r="Q99" s="331" t="n"/>
      <c r="R99" s="22" t="n"/>
      <c r="S99" s="22" t="n"/>
      <c r="T99" s="22" t="n"/>
      <c r="U99" s="22" t="n"/>
      <c r="V99" s="331" t="n"/>
    </row>
    <row r="100">
      <c r="A100" s="22" t="n"/>
      <c r="B100" s="324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331" t="n"/>
      <c r="O100" s="331" t="n"/>
      <c r="P100" s="331" t="n"/>
      <c r="Q100" s="331" t="n"/>
      <c r="R100" s="22" t="n"/>
      <c r="S100" s="22" t="n"/>
      <c r="T100" s="22" t="n"/>
      <c r="U100" s="22" t="n"/>
      <c r="V100" s="331" t="n"/>
    </row>
    <row r="101">
      <c r="A101" s="22" t="n"/>
      <c r="B101" s="324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331" t="n"/>
      <c r="O101" s="331" t="n"/>
      <c r="P101" s="331" t="n"/>
      <c r="Q101" s="331" t="n"/>
      <c r="R101" s="22" t="n"/>
      <c r="S101" s="22" t="n"/>
      <c r="T101" s="22" t="n"/>
      <c r="U101" s="22" t="n"/>
      <c r="V101" s="331" t="n"/>
    </row>
    <row r="102">
      <c r="A102" s="22" t="n"/>
      <c r="B102" s="324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331" t="n"/>
      <c r="O102" s="331" t="n"/>
      <c r="P102" s="331" t="n"/>
      <c r="Q102" s="331" t="n"/>
      <c r="R102" s="22" t="n"/>
      <c r="S102" s="22" t="n"/>
      <c r="T102" s="22" t="n"/>
      <c r="U102" s="22" t="n"/>
      <c r="V102" s="331" t="n"/>
    </row>
    <row r="103">
      <c r="A103" s="22" t="n"/>
      <c r="B103" s="324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331" t="n"/>
      <c r="O103" s="331" t="n"/>
      <c r="P103" s="331" t="n"/>
      <c r="Q103" s="331" t="n"/>
      <c r="R103" s="22" t="n"/>
      <c r="S103" s="22" t="n"/>
      <c r="T103" s="22" t="n"/>
      <c r="U103" s="22" t="n"/>
      <c r="V103" s="331" t="n"/>
    </row>
    <row r="104">
      <c r="A104" s="22" t="n"/>
      <c r="B104" s="324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331" t="n"/>
      <c r="O104" s="331" t="n"/>
      <c r="P104" s="331" t="n"/>
      <c r="Q104" s="331" t="n"/>
      <c r="R104" s="22" t="n"/>
      <c r="S104" s="22" t="n"/>
      <c r="T104" s="22" t="n"/>
      <c r="U104" s="22" t="n"/>
      <c r="V104" s="331" t="n"/>
    </row>
    <row r="105">
      <c r="A105" s="22" t="n"/>
      <c r="B105" s="324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331" t="n"/>
      <c r="O105" s="331" t="n"/>
      <c r="P105" s="331" t="n"/>
      <c r="Q105" s="331" t="n"/>
      <c r="R105" s="22" t="n"/>
      <c r="S105" s="22" t="n"/>
      <c r="T105" s="22" t="n"/>
      <c r="U105" s="22" t="n"/>
      <c r="V105" s="331" t="n"/>
    </row>
    <row r="106">
      <c r="A106" s="22" t="n"/>
      <c r="B106" s="324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331" t="n"/>
      <c r="O106" s="331" t="n"/>
      <c r="P106" s="331" t="n"/>
      <c r="Q106" s="331" t="n"/>
      <c r="R106" s="22" t="n"/>
      <c r="S106" s="22" t="n"/>
      <c r="T106" s="22" t="n"/>
      <c r="U106" s="22" t="n"/>
      <c r="V106" s="331" t="n"/>
    </row>
    <row r="107">
      <c r="A107" s="22" t="n"/>
      <c r="B107" s="324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331" t="n"/>
      <c r="O107" s="331" t="n"/>
      <c r="P107" s="331" t="n"/>
      <c r="Q107" s="331" t="n"/>
      <c r="R107" s="22" t="n"/>
      <c r="S107" s="22" t="n"/>
      <c r="T107" s="22" t="n"/>
      <c r="U107" s="22" t="n"/>
      <c r="V107" s="331" t="n"/>
    </row>
    <row r="108">
      <c r="A108" s="22" t="n"/>
      <c r="B108" s="324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331" t="n"/>
      <c r="O108" s="331" t="n"/>
      <c r="P108" s="331" t="n"/>
      <c r="Q108" s="331" t="n"/>
      <c r="R108" s="22" t="n"/>
      <c r="S108" s="22" t="n"/>
      <c r="T108" s="22" t="n"/>
      <c r="U108" s="22" t="n"/>
      <c r="V108" s="331" t="n"/>
    </row>
    <row r="109">
      <c r="A109" s="22" t="n"/>
      <c r="B109" s="324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331" t="n"/>
      <c r="O109" s="331" t="n"/>
      <c r="P109" s="331" t="n"/>
      <c r="Q109" s="331" t="n"/>
      <c r="R109" s="22" t="n"/>
      <c r="S109" s="22" t="n"/>
      <c r="T109" s="22" t="n"/>
      <c r="U109" s="22" t="n"/>
      <c r="V109" s="331" t="n"/>
    </row>
    <row r="110">
      <c r="A110" s="22" t="n"/>
      <c r="B110" s="324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331" t="n"/>
      <c r="O110" s="331" t="n"/>
      <c r="P110" s="331" t="n"/>
      <c r="Q110" s="331" t="n"/>
      <c r="R110" s="22" t="n"/>
      <c r="S110" s="22" t="n"/>
      <c r="T110" s="22" t="n"/>
      <c r="U110" s="22" t="n"/>
      <c r="V110" s="331" t="n"/>
    </row>
    <row r="111">
      <c r="A111" s="22" t="n"/>
      <c r="B111" s="324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331" t="n"/>
      <c r="O111" s="331" t="n"/>
      <c r="P111" s="331" t="n"/>
      <c r="Q111" s="331" t="n"/>
      <c r="R111" s="22" t="n"/>
      <c r="S111" s="22" t="n"/>
      <c r="T111" s="22" t="n"/>
      <c r="U111" s="22" t="n"/>
      <c r="V111" s="331" t="n"/>
    </row>
    <row r="112">
      <c r="A112" s="22" t="n"/>
      <c r="B112" s="324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331" t="n"/>
      <c r="O112" s="331" t="n"/>
      <c r="P112" s="331" t="n"/>
      <c r="Q112" s="331" t="n"/>
      <c r="R112" s="22" t="n"/>
      <c r="S112" s="22" t="n"/>
      <c r="T112" s="22" t="n"/>
      <c r="U112" s="22" t="n"/>
      <c r="V112" s="331" t="n"/>
    </row>
    <row r="113">
      <c r="A113" s="22" t="n"/>
      <c r="B113" s="324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331" t="n"/>
      <c r="O113" s="331" t="n"/>
      <c r="P113" s="331" t="n"/>
      <c r="Q113" s="331" t="n"/>
      <c r="R113" s="22" t="n"/>
      <c r="S113" s="22" t="n"/>
      <c r="T113" s="22" t="n"/>
      <c r="U113" s="22" t="n"/>
      <c r="V113" s="331" t="n"/>
    </row>
    <row r="114">
      <c r="A114" s="22" t="n"/>
      <c r="B114" s="324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331" t="n"/>
      <c r="O114" s="331" t="n"/>
      <c r="P114" s="331" t="n"/>
      <c r="Q114" s="331" t="n"/>
      <c r="R114" s="22" t="n"/>
      <c r="S114" s="22" t="n"/>
      <c r="T114" s="22" t="n"/>
      <c r="U114" s="22" t="n"/>
      <c r="V114" s="331" t="n"/>
    </row>
    <row r="115">
      <c r="A115" s="22" t="n"/>
      <c r="B115" s="324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331" t="n"/>
      <c r="O115" s="331" t="n"/>
      <c r="P115" s="331" t="n"/>
      <c r="Q115" s="331" t="n"/>
      <c r="R115" s="22" t="n"/>
      <c r="S115" s="22" t="n"/>
      <c r="T115" s="22" t="n"/>
      <c r="U115" s="22" t="n"/>
      <c r="V115" s="331" t="n"/>
    </row>
    <row r="116">
      <c r="A116" s="22" t="n"/>
      <c r="B116" s="324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331" t="n"/>
      <c r="O116" s="331" t="n"/>
      <c r="P116" s="331" t="n"/>
      <c r="Q116" s="331" t="n"/>
      <c r="R116" s="22" t="n"/>
      <c r="S116" s="22" t="n"/>
      <c r="T116" s="22" t="n"/>
      <c r="U116" s="22" t="n"/>
      <c r="V116" s="331" t="n"/>
    </row>
    <row r="117">
      <c r="A117" s="22" t="n"/>
      <c r="B117" s="324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331" t="n"/>
      <c r="O117" s="331" t="n"/>
      <c r="P117" s="331" t="n"/>
      <c r="Q117" s="331" t="n"/>
      <c r="R117" s="22" t="n"/>
      <c r="S117" s="22" t="n"/>
      <c r="T117" s="22" t="n"/>
      <c r="U117" s="22" t="n"/>
      <c r="V117" s="331" t="n"/>
    </row>
    <row r="118">
      <c r="A118" s="22" t="n"/>
      <c r="B118" s="324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331" t="n"/>
      <c r="O118" s="331" t="n"/>
      <c r="P118" s="331" t="n"/>
      <c r="Q118" s="331" t="n"/>
      <c r="R118" s="22" t="n"/>
      <c r="S118" s="22" t="n"/>
      <c r="T118" s="22" t="n"/>
      <c r="U118" s="22" t="n"/>
      <c r="V118" s="331" t="n"/>
    </row>
    <row r="119">
      <c r="A119" s="22" t="n"/>
      <c r="B119" s="324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331" t="n"/>
      <c r="O119" s="331" t="n"/>
      <c r="P119" s="331" t="n"/>
      <c r="Q119" s="331" t="n"/>
      <c r="R119" s="22" t="n"/>
      <c r="S119" s="22" t="n"/>
      <c r="T119" s="22" t="n"/>
      <c r="U119" s="22" t="n"/>
      <c r="V119" s="331" t="n"/>
    </row>
    <row r="120">
      <c r="A120" s="22" t="n"/>
      <c r="B120" s="324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331" t="n"/>
      <c r="O120" s="331" t="n"/>
      <c r="P120" s="331" t="n"/>
      <c r="Q120" s="331" t="n"/>
      <c r="R120" s="22" t="n"/>
      <c r="S120" s="22" t="n"/>
      <c r="T120" s="22" t="n"/>
      <c r="U120" s="22" t="n"/>
      <c r="V120" s="331" t="n"/>
    </row>
    <row r="121">
      <c r="A121" s="22" t="n"/>
      <c r="B121" s="324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331" t="n"/>
      <c r="O121" s="331" t="n"/>
      <c r="P121" s="331" t="n"/>
      <c r="Q121" s="331" t="n"/>
      <c r="R121" s="22" t="n"/>
      <c r="S121" s="22" t="n"/>
      <c r="T121" s="22" t="n"/>
      <c r="U121" s="22" t="n"/>
      <c r="V121" s="331" t="n"/>
    </row>
    <row r="122">
      <c r="A122" s="22" t="n"/>
      <c r="B122" s="324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331" t="n"/>
      <c r="O122" s="331" t="n"/>
      <c r="P122" s="331" t="n"/>
      <c r="Q122" s="331" t="n"/>
      <c r="R122" s="22" t="n"/>
      <c r="S122" s="22" t="n"/>
      <c r="T122" s="22" t="n"/>
      <c r="U122" s="22" t="n"/>
      <c r="V122" s="331" t="n"/>
    </row>
    <row r="123">
      <c r="A123" s="22" t="n"/>
      <c r="B123" s="324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331" t="n"/>
      <c r="O123" s="331" t="n"/>
      <c r="P123" s="331" t="n"/>
      <c r="Q123" s="331" t="n"/>
      <c r="R123" s="22" t="n"/>
      <c r="S123" s="22" t="n"/>
      <c r="T123" s="22" t="n"/>
      <c r="U123" s="22" t="n"/>
      <c r="V123" s="331" t="n"/>
    </row>
    <row r="124">
      <c r="A124" s="22" t="n"/>
      <c r="B124" s="324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331" t="n"/>
      <c r="O124" s="331" t="n"/>
      <c r="P124" s="331" t="n"/>
      <c r="Q124" s="331" t="n"/>
      <c r="R124" s="22" t="n"/>
      <c r="S124" s="22" t="n"/>
      <c r="T124" s="22" t="n"/>
      <c r="U124" s="22" t="n"/>
      <c r="V124" s="331" t="n"/>
    </row>
    <row r="125">
      <c r="A125" s="22" t="n"/>
      <c r="B125" s="324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331" t="n"/>
      <c r="O125" s="331" t="n"/>
      <c r="P125" s="331" t="n"/>
      <c r="Q125" s="331" t="n"/>
      <c r="R125" s="22" t="n"/>
      <c r="S125" s="22" t="n"/>
      <c r="T125" s="22" t="n"/>
      <c r="U125" s="22" t="n"/>
      <c r="V125" s="331" t="n"/>
    </row>
    <row r="126">
      <c r="A126" s="22" t="n"/>
      <c r="B126" s="324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331" t="n"/>
      <c r="O126" s="331" t="n"/>
      <c r="P126" s="331" t="n"/>
      <c r="Q126" s="331" t="n"/>
      <c r="R126" s="22" t="n"/>
      <c r="S126" s="22" t="n"/>
      <c r="T126" s="22" t="n"/>
      <c r="U126" s="22" t="n"/>
      <c r="V126" s="331" t="n"/>
    </row>
    <row r="127">
      <c r="A127" s="22" t="n"/>
      <c r="B127" s="324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331" t="n"/>
      <c r="O127" s="331" t="n"/>
      <c r="P127" s="331" t="n"/>
      <c r="Q127" s="331" t="n"/>
      <c r="R127" s="22" t="n"/>
      <c r="S127" s="22" t="n"/>
      <c r="T127" s="22" t="n"/>
      <c r="U127" s="22" t="n"/>
      <c r="V127" s="331" t="n"/>
    </row>
    <row r="128">
      <c r="A128" s="22" t="n"/>
      <c r="B128" s="324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331" t="n"/>
      <c r="O128" s="331" t="n"/>
      <c r="P128" s="331" t="n"/>
      <c r="Q128" s="331" t="n"/>
      <c r="R128" s="22" t="n"/>
      <c r="S128" s="22" t="n"/>
      <c r="T128" s="22" t="n"/>
      <c r="U128" s="22" t="n"/>
      <c r="V128" s="331" t="n"/>
    </row>
    <row r="129">
      <c r="A129" s="22" t="n"/>
      <c r="B129" s="324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331" t="n"/>
      <c r="O129" s="331" t="n"/>
      <c r="P129" s="331" t="n"/>
      <c r="Q129" s="331" t="n"/>
      <c r="R129" s="22" t="n"/>
      <c r="S129" s="22" t="n"/>
      <c r="T129" s="22" t="n"/>
      <c r="U129" s="22" t="n"/>
      <c r="V129" s="331" t="n"/>
    </row>
    <row r="130">
      <c r="A130" s="22" t="n"/>
      <c r="B130" s="324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331" t="n"/>
      <c r="O130" s="331" t="n"/>
      <c r="P130" s="331" t="n"/>
      <c r="Q130" s="331" t="n"/>
      <c r="R130" s="22" t="n"/>
      <c r="S130" s="22" t="n"/>
      <c r="T130" s="22" t="n"/>
      <c r="U130" s="22" t="n"/>
      <c r="V130" s="331" t="n"/>
    </row>
    <row r="131">
      <c r="A131" s="22" t="n"/>
      <c r="B131" s="324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331" t="n"/>
      <c r="O131" s="331" t="n"/>
      <c r="P131" s="331" t="n"/>
      <c r="Q131" s="331" t="n"/>
      <c r="R131" s="22" t="n"/>
      <c r="S131" s="22" t="n"/>
      <c r="T131" s="22" t="n"/>
      <c r="U131" s="22" t="n"/>
      <c r="V131" s="331" t="n"/>
    </row>
    <row r="132">
      <c r="A132" s="22" t="n"/>
      <c r="B132" s="324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331" t="n"/>
      <c r="O132" s="331" t="n"/>
      <c r="P132" s="331" t="n"/>
      <c r="Q132" s="331" t="n"/>
      <c r="R132" s="22" t="n"/>
      <c r="S132" s="22" t="n"/>
      <c r="T132" s="22" t="n"/>
      <c r="U132" s="22" t="n"/>
      <c r="V132" s="331" t="n"/>
    </row>
    <row r="133">
      <c r="A133" s="22" t="n"/>
      <c r="B133" s="324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331" t="n"/>
      <c r="O133" s="331" t="n"/>
      <c r="P133" s="331" t="n"/>
      <c r="Q133" s="331" t="n"/>
      <c r="R133" s="22" t="n"/>
      <c r="S133" s="22" t="n"/>
      <c r="T133" s="22" t="n"/>
      <c r="U133" s="22" t="n"/>
      <c r="V133" s="331" t="n"/>
    </row>
    <row r="134">
      <c r="A134" s="22" t="n"/>
      <c r="B134" s="324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331" t="n"/>
      <c r="O134" s="331" t="n"/>
      <c r="P134" s="331" t="n"/>
      <c r="Q134" s="331" t="n"/>
      <c r="R134" s="22" t="n"/>
      <c r="S134" s="22" t="n"/>
      <c r="T134" s="22" t="n"/>
      <c r="U134" s="22" t="n"/>
      <c r="V134" s="331" t="n"/>
    </row>
    <row r="135">
      <c r="A135" s="22" t="n"/>
      <c r="B135" s="324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331" t="n"/>
      <c r="O135" s="331" t="n"/>
      <c r="P135" s="331" t="n"/>
      <c r="Q135" s="331" t="n"/>
      <c r="R135" s="22" t="n"/>
      <c r="S135" s="22" t="n"/>
      <c r="T135" s="22" t="n"/>
      <c r="U135" s="22" t="n"/>
      <c r="V135" s="331" t="n"/>
    </row>
    <row r="136">
      <c r="A136" s="22" t="n"/>
      <c r="B136" s="324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331" t="n"/>
      <c r="O136" s="331" t="n"/>
      <c r="P136" s="331" t="n"/>
      <c r="Q136" s="331" t="n"/>
      <c r="R136" s="22" t="n"/>
      <c r="S136" s="22" t="n"/>
      <c r="T136" s="22" t="n"/>
      <c r="U136" s="22" t="n"/>
      <c r="V136" s="331" t="n"/>
    </row>
    <row r="137">
      <c r="A137" s="22" t="n"/>
      <c r="B137" s="324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331" t="n"/>
      <c r="O137" s="331" t="n"/>
      <c r="P137" s="331" t="n"/>
      <c r="Q137" s="331" t="n"/>
      <c r="R137" s="22" t="n"/>
      <c r="S137" s="22" t="n"/>
      <c r="T137" s="22" t="n"/>
      <c r="U137" s="22" t="n"/>
      <c r="V137" s="331" t="n"/>
    </row>
    <row r="138">
      <c r="A138" s="22" t="n"/>
      <c r="B138" s="324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331" t="n"/>
      <c r="O138" s="331" t="n"/>
      <c r="P138" s="331" t="n"/>
      <c r="Q138" s="331" t="n"/>
      <c r="R138" s="22" t="n"/>
      <c r="S138" s="22" t="n"/>
      <c r="T138" s="22" t="n"/>
      <c r="U138" s="22" t="n"/>
      <c r="V138" s="331" t="n"/>
    </row>
    <row r="139">
      <c r="A139" s="22" t="n"/>
      <c r="B139" s="324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331" t="n"/>
      <c r="O139" s="331" t="n"/>
      <c r="P139" s="331" t="n"/>
      <c r="Q139" s="331" t="n"/>
      <c r="R139" s="22" t="n"/>
      <c r="S139" s="22" t="n"/>
      <c r="T139" s="22" t="n"/>
      <c r="U139" s="22" t="n"/>
      <c r="V139" s="331" t="n"/>
    </row>
    <row r="140">
      <c r="A140" s="22" t="n"/>
      <c r="B140" s="324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331" t="n"/>
      <c r="O140" s="331" t="n"/>
      <c r="P140" s="331" t="n"/>
      <c r="Q140" s="331" t="n"/>
      <c r="R140" s="22" t="n"/>
      <c r="S140" s="22" t="n"/>
      <c r="T140" s="22" t="n"/>
      <c r="U140" s="22" t="n"/>
      <c r="V140" s="331" t="n"/>
    </row>
    <row r="141">
      <c r="A141" s="22" t="n"/>
      <c r="B141" s="324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331" t="n"/>
      <c r="O141" s="331" t="n"/>
      <c r="P141" s="331" t="n"/>
      <c r="Q141" s="331" t="n"/>
      <c r="R141" s="22" t="n"/>
      <c r="S141" s="22" t="n"/>
      <c r="T141" s="22" t="n"/>
      <c r="U141" s="22" t="n"/>
      <c r="V141" s="331" t="n"/>
    </row>
    <row r="142">
      <c r="A142" s="22" t="n"/>
      <c r="B142" s="324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331" t="n"/>
      <c r="O142" s="331" t="n"/>
      <c r="P142" s="331" t="n"/>
      <c r="Q142" s="331" t="n"/>
      <c r="R142" s="22" t="n"/>
      <c r="S142" s="22" t="n"/>
      <c r="T142" s="22" t="n"/>
      <c r="U142" s="22" t="n"/>
      <c r="V142" s="331" t="n"/>
    </row>
    <row r="143">
      <c r="A143" s="22" t="n"/>
      <c r="B143" s="324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331" t="n"/>
      <c r="O143" s="331" t="n"/>
      <c r="P143" s="331" t="n"/>
      <c r="Q143" s="331" t="n"/>
      <c r="R143" s="22" t="n"/>
      <c r="S143" s="22" t="n"/>
      <c r="T143" s="22" t="n"/>
      <c r="U143" s="22" t="n"/>
      <c r="V143" s="331" t="n"/>
    </row>
    <row r="144">
      <c r="A144" s="22" t="n"/>
      <c r="B144" s="324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331" t="n"/>
      <c r="O144" s="331" t="n"/>
      <c r="P144" s="331" t="n"/>
      <c r="Q144" s="331" t="n"/>
      <c r="R144" s="22" t="n"/>
      <c r="S144" s="22" t="n"/>
      <c r="T144" s="22" t="n"/>
      <c r="U144" s="22" t="n"/>
      <c r="V144" s="331" t="n"/>
    </row>
    <row r="145">
      <c r="A145" s="22" t="n"/>
      <c r="B145" s="324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331" t="n"/>
      <c r="O145" s="331" t="n"/>
      <c r="P145" s="331" t="n"/>
      <c r="Q145" s="331" t="n"/>
      <c r="R145" s="22" t="n"/>
      <c r="S145" s="22" t="n"/>
      <c r="T145" s="22" t="n"/>
      <c r="U145" s="22" t="n"/>
      <c r="V145" s="331" t="n"/>
    </row>
    <row r="146">
      <c r="A146" s="22" t="n"/>
      <c r="B146" s="324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331" t="n"/>
      <c r="O146" s="331" t="n"/>
      <c r="P146" s="331" t="n"/>
      <c r="Q146" s="331" t="n"/>
      <c r="R146" s="22" t="n"/>
      <c r="S146" s="22" t="n"/>
      <c r="T146" s="22" t="n"/>
      <c r="U146" s="22" t="n"/>
      <c r="V146" s="331" t="n"/>
    </row>
    <row r="147">
      <c r="A147" s="22" t="n"/>
      <c r="B147" s="324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331" t="n"/>
      <c r="O147" s="331" t="n"/>
      <c r="P147" s="331" t="n"/>
      <c r="Q147" s="331" t="n"/>
      <c r="R147" s="22" t="n"/>
      <c r="S147" s="22" t="n"/>
      <c r="T147" s="22" t="n"/>
      <c r="U147" s="22" t="n"/>
      <c r="V147" s="331" t="n"/>
    </row>
    <row r="148">
      <c r="A148" s="22" t="n"/>
      <c r="B148" s="324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331" t="n"/>
      <c r="O148" s="331" t="n"/>
      <c r="P148" s="331" t="n"/>
      <c r="Q148" s="331" t="n"/>
      <c r="R148" s="22" t="n"/>
      <c r="S148" s="22" t="n"/>
      <c r="T148" s="22" t="n"/>
      <c r="U148" s="22" t="n"/>
      <c r="V148" s="331" t="n"/>
    </row>
    <row r="149">
      <c r="A149" s="22" t="n"/>
      <c r="B149" s="324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331" t="n"/>
      <c r="O149" s="331" t="n"/>
      <c r="P149" s="331" t="n"/>
      <c r="Q149" s="331" t="n"/>
      <c r="R149" s="22" t="n"/>
      <c r="S149" s="22" t="n"/>
      <c r="T149" s="22" t="n"/>
      <c r="U149" s="22" t="n"/>
      <c r="V149" s="331" t="n"/>
    </row>
    <row r="150">
      <c r="A150" s="22" t="n"/>
      <c r="B150" s="324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331" t="n"/>
      <c r="O150" s="331" t="n"/>
      <c r="P150" s="331" t="n"/>
      <c r="Q150" s="331" t="n"/>
      <c r="R150" s="22" t="n"/>
      <c r="S150" s="22" t="n"/>
      <c r="T150" s="22" t="n"/>
      <c r="U150" s="22" t="n"/>
      <c r="V150" s="331" t="n"/>
    </row>
    <row r="151">
      <c r="A151" s="22" t="n"/>
      <c r="B151" s="324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331" t="n"/>
      <c r="O151" s="331" t="n"/>
      <c r="P151" s="331" t="n"/>
      <c r="Q151" s="331" t="n"/>
      <c r="R151" s="22" t="n"/>
      <c r="S151" s="22" t="n"/>
      <c r="T151" s="22" t="n"/>
      <c r="U151" s="22" t="n"/>
      <c r="V151" s="331" t="n"/>
    </row>
    <row r="152">
      <c r="A152" s="22" t="n"/>
      <c r="B152" s="324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331" t="n"/>
      <c r="O152" s="331" t="n"/>
      <c r="P152" s="331" t="n"/>
      <c r="Q152" s="331" t="n"/>
      <c r="R152" s="22" t="n"/>
      <c r="S152" s="22" t="n"/>
      <c r="T152" s="22" t="n"/>
      <c r="U152" s="22" t="n"/>
      <c r="V152" s="331" t="n"/>
    </row>
    <row r="153">
      <c r="A153" s="22" t="n"/>
      <c r="B153" s="324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331" t="n"/>
      <c r="O153" s="331" t="n"/>
      <c r="P153" s="331" t="n"/>
      <c r="Q153" s="331" t="n"/>
      <c r="R153" s="22" t="n"/>
      <c r="S153" s="22" t="n"/>
      <c r="T153" s="22" t="n"/>
      <c r="U153" s="22" t="n"/>
      <c r="V153" s="331" t="n"/>
    </row>
    <row r="154">
      <c r="A154" s="22" t="n"/>
      <c r="B154" s="324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331" t="n"/>
      <c r="O154" s="331" t="n"/>
      <c r="P154" s="331" t="n"/>
      <c r="Q154" s="331" t="n"/>
      <c r="R154" s="22" t="n"/>
      <c r="S154" s="22" t="n"/>
      <c r="T154" s="22" t="n"/>
      <c r="U154" s="22" t="n"/>
      <c r="V154" s="331" t="n"/>
    </row>
    <row r="155">
      <c r="A155" s="22" t="n"/>
      <c r="B155" s="324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331" t="n"/>
      <c r="O155" s="331" t="n"/>
      <c r="P155" s="331" t="n"/>
      <c r="Q155" s="331" t="n"/>
      <c r="R155" s="22" t="n"/>
      <c r="S155" s="22" t="n"/>
      <c r="T155" s="22" t="n"/>
      <c r="U155" s="22" t="n"/>
      <c r="V155" s="331" t="n"/>
    </row>
    <row r="156">
      <c r="A156" s="22" t="n"/>
      <c r="B156" s="324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331" t="n"/>
      <c r="O156" s="331" t="n"/>
      <c r="P156" s="331" t="n"/>
      <c r="Q156" s="331" t="n"/>
      <c r="R156" s="22" t="n"/>
      <c r="S156" s="22" t="n"/>
      <c r="T156" s="22" t="n"/>
      <c r="U156" s="22" t="n"/>
      <c r="V156" s="331" t="n"/>
    </row>
    <row r="157">
      <c r="A157" s="22" t="n"/>
      <c r="B157" s="324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331" t="n"/>
      <c r="O157" s="331" t="n"/>
      <c r="P157" s="331" t="n"/>
      <c r="Q157" s="331" t="n"/>
      <c r="R157" s="22" t="n"/>
      <c r="S157" s="22" t="n"/>
      <c r="T157" s="22" t="n"/>
      <c r="U157" s="22" t="n"/>
      <c r="V157" s="331" t="n"/>
    </row>
    <row r="158">
      <c r="A158" s="22" t="n"/>
      <c r="B158" s="324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331" t="n"/>
      <c r="O158" s="331" t="n"/>
      <c r="P158" s="331" t="n"/>
      <c r="Q158" s="331" t="n"/>
      <c r="R158" s="22" t="n"/>
      <c r="S158" s="22" t="n"/>
      <c r="T158" s="22" t="n"/>
      <c r="U158" s="22" t="n"/>
      <c r="V158" s="331" t="n"/>
    </row>
    <row r="159">
      <c r="A159" s="22" t="n"/>
      <c r="B159" s="324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331" t="n"/>
      <c r="O159" s="331" t="n"/>
      <c r="P159" s="331" t="n"/>
      <c r="Q159" s="331" t="n"/>
      <c r="R159" s="22" t="n"/>
      <c r="S159" s="22" t="n"/>
      <c r="T159" s="22" t="n"/>
      <c r="U159" s="22" t="n"/>
      <c r="V159" s="331" t="n"/>
    </row>
    <row r="160">
      <c r="A160" s="22" t="n"/>
      <c r="B160" s="324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331" t="n"/>
      <c r="O160" s="331" t="n"/>
      <c r="P160" s="331" t="n"/>
      <c r="Q160" s="331" t="n"/>
      <c r="R160" s="22" t="n"/>
      <c r="S160" s="22" t="n"/>
      <c r="T160" s="22" t="n"/>
      <c r="U160" s="22" t="n"/>
      <c r="V160" s="331" t="n"/>
    </row>
    <row r="161">
      <c r="A161" s="22" t="n"/>
      <c r="B161" s="324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331" t="n"/>
      <c r="O161" s="331" t="n"/>
      <c r="P161" s="331" t="n"/>
      <c r="Q161" s="331" t="n"/>
      <c r="R161" s="22" t="n"/>
      <c r="S161" s="22" t="n"/>
      <c r="T161" s="22" t="n"/>
      <c r="U161" s="22" t="n"/>
      <c r="V161" s="331" t="n"/>
    </row>
    <row r="162">
      <c r="A162" s="22" t="n"/>
      <c r="B162" s="324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331" t="n"/>
      <c r="O162" s="331" t="n"/>
      <c r="P162" s="331" t="n"/>
      <c r="Q162" s="331" t="n"/>
      <c r="R162" s="22" t="n"/>
      <c r="S162" s="22" t="n"/>
      <c r="T162" s="22" t="n"/>
      <c r="U162" s="22" t="n"/>
      <c r="V162" s="331" t="n"/>
    </row>
    <row r="163">
      <c r="A163" s="22" t="n"/>
      <c r="B163" s="324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331" t="n"/>
      <c r="O163" s="331" t="n"/>
      <c r="P163" s="331" t="n"/>
      <c r="Q163" s="331" t="n"/>
      <c r="R163" s="22" t="n"/>
      <c r="S163" s="22" t="n"/>
      <c r="T163" s="22" t="n"/>
      <c r="U163" s="22" t="n"/>
      <c r="V163" s="331" t="n"/>
    </row>
    <row r="164">
      <c r="A164" s="22" t="n"/>
      <c r="B164" s="324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331" t="n"/>
      <c r="O164" s="331" t="n"/>
      <c r="P164" s="331" t="n"/>
      <c r="Q164" s="331" t="n"/>
      <c r="R164" s="22" t="n"/>
      <c r="S164" s="22" t="n"/>
      <c r="T164" s="22" t="n"/>
      <c r="U164" s="22" t="n"/>
      <c r="V164" s="331" t="n"/>
    </row>
    <row r="165">
      <c r="A165" s="22" t="n"/>
      <c r="B165" s="324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331" t="n"/>
      <c r="O165" s="331" t="n"/>
      <c r="P165" s="331" t="n"/>
      <c r="Q165" s="331" t="n"/>
      <c r="R165" s="22" t="n"/>
      <c r="S165" s="22" t="n"/>
      <c r="T165" s="22" t="n"/>
      <c r="U165" s="22" t="n"/>
      <c r="V165" s="331" t="n"/>
    </row>
    <row r="166">
      <c r="A166" s="22" t="n"/>
      <c r="B166" s="324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331" t="n"/>
      <c r="O166" s="331" t="n"/>
      <c r="P166" s="331" t="n"/>
      <c r="Q166" s="331" t="n"/>
      <c r="R166" s="22" t="n"/>
      <c r="S166" s="22" t="n"/>
      <c r="T166" s="22" t="n"/>
      <c r="U166" s="22" t="n"/>
      <c r="V166" s="331" t="n"/>
    </row>
    <row r="167">
      <c r="A167" s="22" t="n"/>
      <c r="B167" s="324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331" t="n"/>
      <c r="O167" s="331" t="n"/>
      <c r="P167" s="331" t="n"/>
      <c r="Q167" s="331" t="n"/>
      <c r="R167" s="22" t="n"/>
      <c r="S167" s="22" t="n"/>
      <c r="T167" s="22" t="n"/>
      <c r="U167" s="22" t="n"/>
      <c r="V167" s="331" t="n"/>
    </row>
    <row r="168">
      <c r="A168" s="22" t="n"/>
      <c r="B168" s="324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331" t="n"/>
      <c r="O168" s="331" t="n"/>
      <c r="P168" s="331" t="n"/>
      <c r="Q168" s="331" t="n"/>
      <c r="R168" s="22" t="n"/>
      <c r="S168" s="22" t="n"/>
      <c r="T168" s="22" t="n"/>
      <c r="U168" s="22" t="n"/>
      <c r="V168" s="331" t="n"/>
    </row>
    <row r="169">
      <c r="A169" s="22" t="n"/>
      <c r="B169" s="324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331" t="n"/>
      <c r="O169" s="331" t="n"/>
      <c r="P169" s="331" t="n"/>
      <c r="Q169" s="331" t="n"/>
      <c r="R169" s="22" t="n"/>
      <c r="S169" s="22" t="n"/>
      <c r="T169" s="22" t="n"/>
      <c r="U169" s="22" t="n"/>
      <c r="V169" s="331" t="n"/>
    </row>
    <row r="170">
      <c r="A170" s="22" t="n"/>
      <c r="B170" s="324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331" t="n"/>
      <c r="O170" s="331" t="n"/>
      <c r="P170" s="331" t="n"/>
      <c r="Q170" s="331" t="n"/>
      <c r="R170" s="22" t="n"/>
      <c r="S170" s="22" t="n"/>
      <c r="T170" s="22" t="n"/>
      <c r="U170" s="22" t="n"/>
      <c r="V170" s="331" t="n"/>
    </row>
    <row r="171">
      <c r="A171" s="22" t="n"/>
      <c r="B171" s="324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331" t="n"/>
      <c r="O171" s="331" t="n"/>
      <c r="P171" s="331" t="n"/>
      <c r="Q171" s="331" t="n"/>
      <c r="R171" s="22" t="n"/>
      <c r="S171" s="22" t="n"/>
      <c r="T171" s="22" t="n"/>
      <c r="U171" s="22" t="n"/>
      <c r="V171" s="331" t="n"/>
    </row>
    <row r="172">
      <c r="A172" s="22" t="n"/>
      <c r="B172" s="324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331" t="n"/>
      <c r="O172" s="331" t="n"/>
      <c r="P172" s="331" t="n"/>
      <c r="Q172" s="331" t="n"/>
      <c r="R172" s="22" t="n"/>
      <c r="S172" s="22" t="n"/>
      <c r="T172" s="22" t="n"/>
      <c r="U172" s="22" t="n"/>
      <c r="V172" s="331" t="n"/>
    </row>
    <row r="173">
      <c r="A173" s="22" t="n"/>
      <c r="B173" s="324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331" t="n"/>
      <c r="O173" s="331" t="n"/>
      <c r="P173" s="331" t="n"/>
      <c r="Q173" s="331" t="n"/>
      <c r="R173" s="22" t="n"/>
      <c r="S173" s="22" t="n"/>
      <c r="T173" s="22" t="n"/>
      <c r="U173" s="22" t="n"/>
      <c r="V173" s="331" t="n"/>
    </row>
    <row r="174">
      <c r="A174" s="22" t="n"/>
      <c r="B174" s="324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331" t="n"/>
      <c r="O174" s="331" t="n"/>
      <c r="P174" s="331" t="n"/>
      <c r="Q174" s="331" t="n"/>
      <c r="R174" s="22" t="n"/>
      <c r="S174" s="22" t="n"/>
      <c r="T174" s="22" t="n"/>
      <c r="U174" s="22" t="n"/>
      <c r="V174" s="331" t="n"/>
    </row>
    <row r="175">
      <c r="A175" s="22" t="n"/>
      <c r="B175" s="324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331" t="n"/>
      <c r="O175" s="331" t="n"/>
      <c r="P175" s="331" t="n"/>
      <c r="Q175" s="331" t="n"/>
      <c r="R175" s="22" t="n"/>
      <c r="S175" s="22" t="n"/>
      <c r="T175" s="22" t="n"/>
      <c r="U175" s="22" t="n"/>
      <c r="V175" s="331" t="n"/>
    </row>
    <row r="176">
      <c r="A176" s="22" t="n"/>
      <c r="B176" s="324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331" t="n"/>
      <c r="O176" s="331" t="n"/>
      <c r="P176" s="331" t="n"/>
      <c r="Q176" s="331" t="n"/>
      <c r="R176" s="22" t="n"/>
      <c r="S176" s="22" t="n"/>
      <c r="T176" s="22" t="n"/>
      <c r="U176" s="22" t="n"/>
      <c r="V176" s="331" t="n"/>
    </row>
    <row r="177">
      <c r="A177" s="22" t="n"/>
      <c r="B177" s="324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331" t="n"/>
      <c r="O177" s="331" t="n"/>
      <c r="P177" s="331" t="n"/>
      <c r="Q177" s="331" t="n"/>
      <c r="R177" s="22" t="n"/>
      <c r="S177" s="22" t="n"/>
      <c r="T177" s="22" t="n"/>
      <c r="U177" s="22" t="n"/>
      <c r="V177" s="331" t="n"/>
    </row>
    <row r="178">
      <c r="A178" s="22" t="n"/>
      <c r="B178" s="324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331" t="n"/>
      <c r="O178" s="331" t="n"/>
      <c r="P178" s="331" t="n"/>
      <c r="Q178" s="331" t="n"/>
      <c r="R178" s="22" t="n"/>
      <c r="S178" s="22" t="n"/>
      <c r="T178" s="22" t="n"/>
      <c r="U178" s="22" t="n"/>
      <c r="V178" s="331" t="n"/>
    </row>
    <row r="179">
      <c r="A179" s="22" t="n"/>
      <c r="B179" s="324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331" t="n"/>
      <c r="O179" s="331" t="n"/>
      <c r="P179" s="331" t="n"/>
      <c r="Q179" s="331" t="n"/>
      <c r="R179" s="22" t="n"/>
      <c r="S179" s="22" t="n"/>
      <c r="T179" s="22" t="n"/>
      <c r="U179" s="22" t="n"/>
      <c r="V179" s="331" t="n"/>
    </row>
    <row r="180">
      <c r="A180" s="22" t="n"/>
      <c r="B180" s="324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331" t="n"/>
      <c r="O180" s="331" t="n"/>
      <c r="P180" s="331" t="n"/>
      <c r="Q180" s="331" t="n"/>
      <c r="R180" s="22" t="n"/>
      <c r="S180" s="22" t="n"/>
      <c r="T180" s="22" t="n"/>
      <c r="U180" s="22" t="n"/>
      <c r="V180" s="331" t="n"/>
    </row>
    <row r="181">
      <c r="A181" s="22" t="n"/>
      <c r="B181" s="324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331" t="n"/>
      <c r="O181" s="331" t="n"/>
      <c r="P181" s="331" t="n"/>
      <c r="Q181" s="331" t="n"/>
      <c r="R181" s="22" t="n"/>
      <c r="S181" s="22" t="n"/>
      <c r="T181" s="22" t="n"/>
      <c r="U181" s="22" t="n"/>
      <c r="V181" s="331" t="n"/>
    </row>
    <row r="182">
      <c r="A182" s="22" t="n"/>
      <c r="B182" s="324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331" t="n"/>
      <c r="O182" s="331" t="n"/>
      <c r="P182" s="331" t="n"/>
      <c r="Q182" s="331" t="n"/>
      <c r="R182" s="22" t="n"/>
      <c r="S182" s="22" t="n"/>
      <c r="T182" s="22" t="n"/>
      <c r="U182" s="22" t="n"/>
      <c r="V182" s="331" t="n"/>
    </row>
    <row r="183">
      <c r="A183" s="22" t="n"/>
      <c r="B183" s="324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331" t="n"/>
      <c r="O183" s="331" t="n"/>
      <c r="P183" s="331" t="n"/>
      <c r="Q183" s="331" t="n"/>
      <c r="R183" s="22" t="n"/>
      <c r="S183" s="22" t="n"/>
      <c r="T183" s="22" t="n"/>
      <c r="U183" s="22" t="n"/>
      <c r="V183" s="331" t="n"/>
    </row>
    <row r="184">
      <c r="A184" s="22" t="n"/>
      <c r="B184" s="324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331" t="n"/>
      <c r="O184" s="331" t="n"/>
      <c r="P184" s="331" t="n"/>
      <c r="Q184" s="331" t="n"/>
      <c r="R184" s="22" t="n"/>
      <c r="S184" s="22" t="n"/>
      <c r="T184" s="22" t="n"/>
      <c r="U184" s="22" t="n"/>
      <c r="V184" s="331" t="n"/>
    </row>
    <row r="185">
      <c r="A185" s="22" t="n"/>
      <c r="B185" s="324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331" t="n"/>
      <c r="O185" s="331" t="n"/>
      <c r="P185" s="331" t="n"/>
      <c r="Q185" s="331" t="n"/>
      <c r="R185" s="22" t="n"/>
      <c r="S185" s="22" t="n"/>
      <c r="T185" s="22" t="n"/>
      <c r="U185" s="22" t="n"/>
      <c r="V185" s="331" t="n"/>
    </row>
    <row r="186">
      <c r="A186" s="22" t="n"/>
      <c r="B186" s="324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331" t="n"/>
      <c r="O186" s="331" t="n"/>
      <c r="P186" s="331" t="n"/>
      <c r="Q186" s="331" t="n"/>
      <c r="R186" s="22" t="n"/>
      <c r="S186" s="22" t="n"/>
      <c r="T186" s="22" t="n"/>
      <c r="U186" s="22" t="n"/>
      <c r="V186" s="331" t="n"/>
    </row>
    <row r="187">
      <c r="A187" s="22" t="n"/>
      <c r="B187" s="324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331" t="n"/>
      <c r="O187" s="331" t="n"/>
      <c r="P187" s="331" t="n"/>
      <c r="Q187" s="331" t="n"/>
      <c r="R187" s="22" t="n"/>
      <c r="S187" s="22" t="n"/>
      <c r="T187" s="22" t="n"/>
      <c r="U187" s="22" t="n"/>
      <c r="V187" s="331" t="n"/>
    </row>
    <row r="188">
      <c r="A188" s="22" t="n"/>
      <c r="B188" s="324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331" t="n"/>
      <c r="O188" s="331" t="n"/>
      <c r="P188" s="331" t="n"/>
      <c r="Q188" s="331" t="n"/>
      <c r="R188" s="22" t="n"/>
      <c r="S188" s="22" t="n"/>
      <c r="T188" s="22" t="n"/>
      <c r="U188" s="22" t="n"/>
      <c r="V188" s="331" t="n"/>
    </row>
    <row r="189">
      <c r="A189" s="22" t="n"/>
      <c r="B189" s="324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331" t="n"/>
      <c r="O189" s="331" t="n"/>
      <c r="P189" s="331" t="n"/>
      <c r="Q189" s="331" t="n"/>
      <c r="R189" s="22" t="n"/>
      <c r="S189" s="22" t="n"/>
      <c r="T189" s="22" t="n"/>
      <c r="U189" s="22" t="n"/>
      <c r="V189" s="331" t="n"/>
    </row>
    <row r="190">
      <c r="A190" s="22" t="n"/>
      <c r="B190" s="324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331" t="n"/>
      <c r="O190" s="331" t="n"/>
      <c r="P190" s="331" t="n"/>
      <c r="Q190" s="331" t="n"/>
      <c r="R190" s="22" t="n"/>
      <c r="S190" s="22" t="n"/>
      <c r="T190" s="22" t="n"/>
      <c r="U190" s="22" t="n"/>
      <c r="V190" s="331" t="n"/>
    </row>
    <row r="191">
      <c r="A191" s="22" t="n"/>
      <c r="B191" s="324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331" t="n"/>
      <c r="O191" s="331" t="n"/>
      <c r="P191" s="331" t="n"/>
      <c r="Q191" s="331" t="n"/>
      <c r="R191" s="22" t="n"/>
      <c r="S191" s="22" t="n"/>
      <c r="T191" s="22" t="n"/>
      <c r="U191" s="22" t="n"/>
      <c r="V191" s="331" t="n"/>
    </row>
    <row r="192">
      <c r="A192" s="22" t="n"/>
      <c r="B192" s="324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331" t="n"/>
      <c r="O192" s="331" t="n"/>
      <c r="P192" s="331" t="n"/>
      <c r="Q192" s="331" t="n"/>
      <c r="R192" s="22" t="n"/>
      <c r="S192" s="22" t="n"/>
      <c r="T192" s="22" t="n"/>
      <c r="U192" s="22" t="n"/>
      <c r="V192" s="331" t="n"/>
    </row>
    <row r="193">
      <c r="A193" s="22" t="n"/>
      <c r="B193" s="324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331" t="n"/>
      <c r="O193" s="331" t="n"/>
      <c r="P193" s="331" t="n"/>
      <c r="Q193" s="331" t="n"/>
      <c r="R193" s="22" t="n"/>
      <c r="S193" s="22" t="n"/>
      <c r="T193" s="22" t="n"/>
      <c r="U193" s="22" t="n"/>
      <c r="V193" s="331" t="n"/>
    </row>
    <row r="194">
      <c r="A194" s="22" t="n"/>
      <c r="B194" s="324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331" t="n"/>
      <c r="O194" s="331" t="n"/>
      <c r="P194" s="331" t="n"/>
      <c r="Q194" s="331" t="n"/>
      <c r="R194" s="22" t="n"/>
      <c r="S194" s="22" t="n"/>
      <c r="T194" s="22" t="n"/>
      <c r="U194" s="22" t="n"/>
      <c r="V194" s="331" t="n"/>
    </row>
    <row r="195">
      <c r="A195" s="22" t="n"/>
      <c r="B195" s="324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331" t="n"/>
      <c r="O195" s="331" t="n"/>
      <c r="P195" s="331" t="n"/>
      <c r="Q195" s="331" t="n"/>
      <c r="R195" s="22" t="n"/>
      <c r="S195" s="22" t="n"/>
      <c r="T195" s="22" t="n"/>
      <c r="U195" s="22" t="n"/>
      <c r="V195" s="331" t="n"/>
    </row>
    <row r="196">
      <c r="A196" s="22" t="n"/>
      <c r="B196" s="324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331" t="n"/>
      <c r="O196" s="331" t="n"/>
      <c r="P196" s="331" t="n"/>
      <c r="Q196" s="331" t="n"/>
      <c r="R196" s="22" t="n"/>
      <c r="S196" s="22" t="n"/>
      <c r="T196" s="22" t="n"/>
      <c r="U196" s="22" t="n"/>
      <c r="V196" s="331" t="n"/>
    </row>
    <row r="197">
      <c r="A197" s="22" t="n"/>
      <c r="B197" s="324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331" t="n"/>
      <c r="O197" s="331" t="n"/>
      <c r="P197" s="331" t="n"/>
      <c r="Q197" s="331" t="n"/>
      <c r="R197" s="22" t="n"/>
      <c r="S197" s="22" t="n"/>
      <c r="T197" s="22" t="n"/>
      <c r="U197" s="22" t="n"/>
      <c r="V197" s="331" t="n"/>
    </row>
    <row r="198">
      <c r="A198" s="22" t="n"/>
      <c r="B198" s="324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331" t="n"/>
      <c r="O198" s="331" t="n"/>
      <c r="P198" s="331" t="n"/>
      <c r="Q198" s="331" t="n"/>
      <c r="R198" s="22" t="n"/>
      <c r="S198" s="22" t="n"/>
      <c r="T198" s="22" t="n"/>
      <c r="U198" s="22" t="n"/>
      <c r="V198" s="331" t="n"/>
    </row>
    <row r="199">
      <c r="A199" s="22" t="n"/>
      <c r="B199" s="324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331" t="n"/>
      <c r="O199" s="331" t="n"/>
      <c r="P199" s="331" t="n"/>
      <c r="Q199" s="331" t="n"/>
      <c r="R199" s="22" t="n"/>
      <c r="S199" s="22" t="n"/>
      <c r="T199" s="22" t="n"/>
      <c r="U199" s="22" t="n"/>
      <c r="V199" s="331" t="n"/>
    </row>
    <row r="200">
      <c r="A200" s="22" t="n"/>
      <c r="B200" s="324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331" t="n"/>
      <c r="O200" s="331" t="n"/>
      <c r="P200" s="331" t="n"/>
      <c r="Q200" s="331" t="n"/>
      <c r="R200" s="22" t="n"/>
      <c r="S200" s="22" t="n"/>
      <c r="T200" s="22" t="n"/>
      <c r="U200" s="22" t="n"/>
      <c r="V200" s="331" t="n"/>
    </row>
    <row r="201">
      <c r="A201" s="22" t="n"/>
      <c r="B201" s="324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331" t="n"/>
      <c r="O201" s="331" t="n"/>
      <c r="P201" s="331" t="n"/>
      <c r="Q201" s="331" t="n"/>
      <c r="R201" s="22" t="n"/>
      <c r="S201" s="22" t="n"/>
      <c r="T201" s="22" t="n"/>
      <c r="U201" s="22" t="n"/>
      <c r="V201" s="331" t="n"/>
    </row>
    <row r="202">
      <c r="A202" s="22" t="n"/>
      <c r="B202" s="324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331" t="n"/>
      <c r="O202" s="331" t="n"/>
      <c r="P202" s="331" t="n"/>
      <c r="Q202" s="331" t="n"/>
      <c r="R202" s="22" t="n"/>
      <c r="S202" s="22" t="n"/>
      <c r="T202" s="22" t="n"/>
      <c r="U202" s="22" t="n"/>
      <c r="V202" s="331" t="n"/>
    </row>
    <row r="203">
      <c r="A203" s="22" t="n"/>
      <c r="B203" s="324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331" t="n"/>
      <c r="O203" s="331" t="n"/>
      <c r="P203" s="331" t="n"/>
      <c r="Q203" s="331" t="n"/>
      <c r="R203" s="22" t="n"/>
      <c r="S203" s="22" t="n"/>
      <c r="T203" s="22" t="n"/>
      <c r="U203" s="22" t="n"/>
      <c r="V203" s="331" t="n"/>
    </row>
    <row r="204">
      <c r="A204" s="22" t="n"/>
      <c r="B204" s="324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331" t="n"/>
      <c r="O204" s="331" t="n"/>
      <c r="P204" s="331" t="n"/>
      <c r="Q204" s="331" t="n"/>
      <c r="R204" s="22" t="n"/>
      <c r="S204" s="22" t="n"/>
      <c r="T204" s="22" t="n"/>
      <c r="U204" s="22" t="n"/>
      <c r="V204" s="331" t="n"/>
    </row>
    <row r="205">
      <c r="A205" s="22" t="n"/>
      <c r="B205" s="324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331" t="n"/>
      <c r="O205" s="331" t="n"/>
      <c r="P205" s="331" t="n"/>
      <c r="Q205" s="331" t="n"/>
      <c r="R205" s="22" t="n"/>
      <c r="S205" s="22" t="n"/>
      <c r="T205" s="22" t="n"/>
      <c r="U205" s="22" t="n"/>
      <c r="V205" s="331" t="n"/>
    </row>
    <row r="206">
      <c r="A206" s="22" t="n"/>
      <c r="B206" s="324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331" t="n"/>
      <c r="O206" s="331" t="n"/>
      <c r="P206" s="331" t="n"/>
      <c r="Q206" s="331" t="n"/>
      <c r="R206" s="22" t="n"/>
      <c r="S206" s="22" t="n"/>
      <c r="T206" s="22" t="n"/>
      <c r="U206" s="22" t="n"/>
      <c r="V206" s="331" t="n"/>
    </row>
    <row r="207">
      <c r="A207" s="22" t="n"/>
      <c r="B207" s="324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331" t="n"/>
      <c r="O207" s="331" t="n"/>
      <c r="P207" s="331" t="n"/>
      <c r="Q207" s="331" t="n"/>
      <c r="R207" s="22" t="n"/>
      <c r="S207" s="22" t="n"/>
      <c r="T207" s="22" t="n"/>
      <c r="U207" s="22" t="n"/>
      <c r="V207" s="331" t="n"/>
    </row>
    <row r="208">
      <c r="A208" s="22" t="n"/>
      <c r="B208" s="324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331" t="n"/>
      <c r="O208" s="331" t="n"/>
      <c r="P208" s="331" t="n"/>
      <c r="Q208" s="331" t="n"/>
      <c r="R208" s="22" t="n"/>
      <c r="S208" s="22" t="n"/>
      <c r="T208" s="22" t="n"/>
      <c r="U208" s="22" t="n"/>
      <c r="V208" s="331" t="n"/>
    </row>
    <row r="209">
      <c r="A209" s="22" t="n"/>
      <c r="B209" s="324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331" t="n"/>
      <c r="O209" s="331" t="n"/>
      <c r="P209" s="331" t="n"/>
      <c r="Q209" s="331" t="n"/>
      <c r="R209" s="22" t="n"/>
      <c r="S209" s="22" t="n"/>
      <c r="T209" s="22" t="n"/>
      <c r="U209" s="22" t="n"/>
      <c r="V209" s="331" t="n"/>
    </row>
    <row r="210">
      <c r="A210" s="22" t="n"/>
      <c r="B210" s="324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331" t="n"/>
      <c r="O210" s="331" t="n"/>
      <c r="P210" s="331" t="n"/>
      <c r="Q210" s="331" t="n"/>
      <c r="R210" s="22" t="n"/>
      <c r="S210" s="22" t="n"/>
      <c r="T210" s="22" t="n"/>
      <c r="U210" s="22" t="n"/>
      <c r="V210" s="331" t="n"/>
    </row>
    <row r="211">
      <c r="A211" s="22" t="n"/>
      <c r="B211" s="324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331" t="n"/>
      <c r="O211" s="331" t="n"/>
      <c r="P211" s="331" t="n"/>
      <c r="Q211" s="331" t="n"/>
      <c r="R211" s="22" t="n"/>
      <c r="S211" s="22" t="n"/>
      <c r="T211" s="22" t="n"/>
      <c r="U211" s="22" t="n"/>
      <c r="V211" s="331" t="n"/>
    </row>
    <row r="212">
      <c r="A212" s="22" t="n"/>
      <c r="B212" s="324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331" t="n"/>
      <c r="O212" s="331" t="n"/>
      <c r="P212" s="331" t="n"/>
      <c r="Q212" s="331" t="n"/>
      <c r="R212" s="22" t="n"/>
      <c r="S212" s="22" t="n"/>
      <c r="T212" s="22" t="n"/>
      <c r="U212" s="22" t="n"/>
      <c r="V212" s="331" t="n"/>
    </row>
    <row r="213">
      <c r="A213" s="22" t="n"/>
      <c r="B213" s="324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331" t="n"/>
      <c r="O213" s="331" t="n"/>
      <c r="P213" s="331" t="n"/>
      <c r="Q213" s="331" t="n"/>
      <c r="R213" s="22" t="n"/>
      <c r="S213" s="22" t="n"/>
      <c r="T213" s="22" t="n"/>
      <c r="U213" s="22" t="n"/>
      <c r="V213" s="331" t="n"/>
    </row>
    <row r="214">
      <c r="A214" s="22" t="n"/>
      <c r="B214" s="324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331" t="n"/>
      <c r="O214" s="331" t="n"/>
      <c r="P214" s="331" t="n"/>
      <c r="Q214" s="331" t="n"/>
      <c r="R214" s="22" t="n"/>
      <c r="S214" s="22" t="n"/>
      <c r="T214" s="22" t="n"/>
      <c r="U214" s="22" t="n"/>
      <c r="V214" s="331" t="n"/>
    </row>
    <row r="215">
      <c r="A215" s="22" t="n"/>
      <c r="B215" s="324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331" t="n"/>
      <c r="O215" s="331" t="n"/>
      <c r="P215" s="331" t="n"/>
      <c r="Q215" s="331" t="n"/>
      <c r="R215" s="22" t="n"/>
      <c r="S215" s="22" t="n"/>
      <c r="T215" s="22" t="n"/>
      <c r="U215" s="22" t="n"/>
      <c r="V215" s="331" t="n"/>
    </row>
    <row r="216">
      <c r="A216" s="22" t="n"/>
      <c r="B216" s="324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331" t="n"/>
      <c r="O216" s="331" t="n"/>
      <c r="P216" s="331" t="n"/>
      <c r="Q216" s="331" t="n"/>
      <c r="R216" s="22" t="n"/>
      <c r="S216" s="22" t="n"/>
      <c r="T216" s="22" t="n"/>
      <c r="U216" s="22" t="n"/>
      <c r="V216" s="331" t="n"/>
    </row>
    <row r="217">
      <c r="A217" s="22" t="n"/>
      <c r="B217" s="324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331" t="n"/>
      <c r="O217" s="331" t="n"/>
      <c r="P217" s="331" t="n"/>
      <c r="Q217" s="331" t="n"/>
      <c r="R217" s="22" t="n"/>
      <c r="S217" s="22" t="n"/>
      <c r="T217" s="22" t="n"/>
      <c r="U217" s="22" t="n"/>
      <c r="V217" s="331" t="n"/>
    </row>
    <row r="218">
      <c r="A218" s="22" t="n"/>
      <c r="B218" s="324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331" t="n"/>
      <c r="O218" s="331" t="n"/>
      <c r="P218" s="331" t="n"/>
      <c r="Q218" s="331" t="n"/>
      <c r="R218" s="22" t="n"/>
      <c r="S218" s="22" t="n"/>
      <c r="T218" s="22" t="n"/>
      <c r="U218" s="22" t="n"/>
      <c r="V218" s="331" t="n"/>
    </row>
    <row r="219">
      <c r="A219" s="22" t="n"/>
      <c r="B219" s="324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331" t="n"/>
      <c r="O219" s="331" t="n"/>
      <c r="P219" s="331" t="n"/>
      <c r="Q219" s="331" t="n"/>
      <c r="R219" s="22" t="n"/>
      <c r="S219" s="22" t="n"/>
      <c r="T219" s="22" t="n"/>
      <c r="U219" s="22" t="n"/>
      <c r="V219" s="331" t="n"/>
    </row>
    <row r="220">
      <c r="A220" s="22" t="n"/>
      <c r="B220" s="324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331" t="n"/>
      <c r="O220" s="331" t="n"/>
      <c r="P220" s="331" t="n"/>
      <c r="Q220" s="331" t="n"/>
      <c r="R220" s="22" t="n"/>
      <c r="S220" s="22" t="n"/>
      <c r="T220" s="22" t="n"/>
      <c r="U220" s="22" t="n"/>
      <c r="V220" s="331" t="n"/>
    </row>
    <row r="221">
      <c r="A221" s="22" t="n"/>
      <c r="B221" s="324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331" t="n"/>
      <c r="O221" s="331" t="n"/>
      <c r="P221" s="331" t="n"/>
      <c r="Q221" s="331" t="n"/>
      <c r="R221" s="22" t="n"/>
      <c r="S221" s="22" t="n"/>
      <c r="T221" s="22" t="n"/>
      <c r="U221" s="22" t="n"/>
      <c r="V221" s="331" t="n"/>
    </row>
    <row r="222">
      <c r="A222" s="22" t="n"/>
      <c r="B222" s="324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331" t="n"/>
      <c r="O222" s="331" t="n"/>
      <c r="P222" s="331" t="n"/>
      <c r="Q222" s="331" t="n"/>
      <c r="R222" s="22" t="n"/>
      <c r="S222" s="22" t="n"/>
      <c r="T222" s="22" t="n"/>
      <c r="U222" s="22" t="n"/>
      <c r="V222" s="331" t="n"/>
    </row>
    <row r="223">
      <c r="A223" s="22" t="n"/>
      <c r="B223" s="324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331" t="n"/>
      <c r="O223" s="331" t="n"/>
      <c r="P223" s="331" t="n"/>
      <c r="Q223" s="331" t="n"/>
      <c r="R223" s="22" t="n"/>
      <c r="S223" s="22" t="n"/>
      <c r="T223" s="22" t="n"/>
      <c r="U223" s="22" t="n"/>
      <c r="V223" s="331" t="n"/>
    </row>
    <row r="224">
      <c r="A224" s="22" t="n"/>
      <c r="B224" s="324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331" t="n"/>
      <c r="O224" s="331" t="n"/>
      <c r="P224" s="331" t="n"/>
      <c r="Q224" s="331" t="n"/>
      <c r="R224" s="22" t="n"/>
      <c r="S224" s="22" t="n"/>
      <c r="T224" s="22" t="n"/>
      <c r="U224" s="22" t="n"/>
      <c r="V224" s="331" t="n"/>
    </row>
    <row r="225">
      <c r="A225" s="22" t="n"/>
      <c r="B225" s="324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331" t="n"/>
      <c r="O225" s="331" t="n"/>
      <c r="P225" s="331" t="n"/>
      <c r="Q225" s="331" t="n"/>
      <c r="R225" s="22" t="n"/>
      <c r="S225" s="22" t="n"/>
      <c r="T225" s="22" t="n"/>
      <c r="U225" s="22" t="n"/>
      <c r="V225" s="331" t="n"/>
    </row>
    <row r="226">
      <c r="A226" s="22" t="n"/>
      <c r="B226" s="324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331" t="n"/>
      <c r="O226" s="331" t="n"/>
      <c r="P226" s="331" t="n"/>
      <c r="Q226" s="331" t="n"/>
      <c r="R226" s="22" t="n"/>
      <c r="S226" s="22" t="n"/>
      <c r="T226" s="22" t="n"/>
      <c r="U226" s="22" t="n"/>
      <c r="V226" s="331" t="n"/>
    </row>
    <row r="227">
      <c r="A227" s="22" t="n"/>
      <c r="B227" s="324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331" t="n"/>
      <c r="O227" s="331" t="n"/>
      <c r="P227" s="331" t="n"/>
      <c r="Q227" s="331" t="n"/>
      <c r="R227" s="22" t="n"/>
      <c r="S227" s="22" t="n"/>
      <c r="T227" s="22" t="n"/>
      <c r="U227" s="22" t="n"/>
      <c r="V227" s="331" t="n"/>
    </row>
    <row r="228">
      <c r="A228" s="22" t="n"/>
      <c r="B228" s="324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331" t="n"/>
      <c r="O228" s="331" t="n"/>
      <c r="P228" s="331" t="n"/>
      <c r="Q228" s="331" t="n"/>
      <c r="R228" s="22" t="n"/>
      <c r="S228" s="22" t="n"/>
      <c r="T228" s="22" t="n"/>
      <c r="U228" s="22" t="n"/>
      <c r="V228" s="331" t="n"/>
    </row>
    <row r="229">
      <c r="A229" s="22" t="n"/>
      <c r="B229" s="324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331" t="n"/>
      <c r="O229" s="331" t="n"/>
      <c r="P229" s="331" t="n"/>
      <c r="Q229" s="331" t="n"/>
      <c r="R229" s="22" t="n"/>
      <c r="S229" s="22" t="n"/>
      <c r="T229" s="22" t="n"/>
      <c r="U229" s="22" t="n"/>
      <c r="V229" s="331" t="n"/>
    </row>
    <row r="230">
      <c r="A230" s="22" t="n"/>
      <c r="B230" s="324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331" t="n"/>
      <c r="O230" s="331" t="n"/>
      <c r="P230" s="331" t="n"/>
      <c r="Q230" s="331" t="n"/>
      <c r="R230" s="22" t="n"/>
      <c r="S230" s="22" t="n"/>
      <c r="T230" s="22" t="n"/>
      <c r="U230" s="22" t="n"/>
      <c r="V230" s="331" t="n"/>
    </row>
    <row r="231">
      <c r="A231" s="22" t="n"/>
      <c r="B231" s="324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331" t="n"/>
      <c r="O231" s="331" t="n"/>
      <c r="P231" s="331" t="n"/>
      <c r="Q231" s="331" t="n"/>
      <c r="R231" s="22" t="n"/>
      <c r="S231" s="22" t="n"/>
      <c r="T231" s="22" t="n"/>
      <c r="U231" s="22" t="n"/>
      <c r="V231" s="331" t="n"/>
    </row>
    <row r="232">
      <c r="A232" s="22" t="n"/>
      <c r="B232" s="324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331" t="n"/>
      <c r="O232" s="331" t="n"/>
      <c r="P232" s="331" t="n"/>
      <c r="Q232" s="331" t="n"/>
      <c r="R232" s="22" t="n"/>
      <c r="S232" s="22" t="n"/>
      <c r="T232" s="22" t="n"/>
      <c r="U232" s="22" t="n"/>
      <c r="V232" s="331" t="n"/>
    </row>
    <row r="233">
      <c r="A233" s="22" t="n"/>
      <c r="B233" s="324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331" t="n"/>
      <c r="O233" s="331" t="n"/>
      <c r="P233" s="331" t="n"/>
      <c r="Q233" s="331" t="n"/>
      <c r="R233" s="22" t="n"/>
      <c r="S233" s="22" t="n"/>
      <c r="T233" s="22" t="n"/>
      <c r="U233" s="22" t="n"/>
      <c r="V233" s="331" t="n"/>
    </row>
    <row r="234">
      <c r="A234" s="22" t="n"/>
      <c r="B234" s="324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331" t="n"/>
      <c r="O234" s="331" t="n"/>
      <c r="P234" s="331" t="n"/>
      <c r="Q234" s="331" t="n"/>
      <c r="R234" s="22" t="n"/>
      <c r="S234" s="22" t="n"/>
      <c r="T234" s="22" t="n"/>
      <c r="U234" s="22" t="n"/>
      <c r="V234" s="331" t="n"/>
    </row>
    <row r="235">
      <c r="A235" s="22" t="n"/>
      <c r="B235" s="324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331" t="n"/>
      <c r="O235" s="331" t="n"/>
      <c r="P235" s="331" t="n"/>
      <c r="Q235" s="331" t="n"/>
      <c r="R235" s="22" t="n"/>
      <c r="S235" s="22" t="n"/>
      <c r="T235" s="22" t="n"/>
      <c r="U235" s="22" t="n"/>
      <c r="V235" s="331" t="n"/>
    </row>
    <row r="236">
      <c r="A236" s="22" t="n"/>
      <c r="B236" s="324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331" t="n"/>
      <c r="O236" s="331" t="n"/>
      <c r="P236" s="331" t="n"/>
      <c r="Q236" s="331" t="n"/>
      <c r="R236" s="22" t="n"/>
      <c r="S236" s="22" t="n"/>
      <c r="T236" s="22" t="n"/>
      <c r="U236" s="22" t="n"/>
      <c r="V236" s="331" t="n"/>
    </row>
    <row r="237">
      <c r="A237" s="22" t="n"/>
      <c r="B237" s="324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331" t="n"/>
      <c r="O237" s="331" t="n"/>
      <c r="P237" s="331" t="n"/>
      <c r="Q237" s="331" t="n"/>
      <c r="R237" s="22" t="n"/>
      <c r="S237" s="22" t="n"/>
      <c r="T237" s="22" t="n"/>
      <c r="U237" s="22" t="n"/>
      <c r="V237" s="331" t="n"/>
    </row>
    <row r="238">
      <c r="A238" s="22" t="n"/>
      <c r="B238" s="324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331" t="n"/>
      <c r="O238" s="331" t="n"/>
      <c r="P238" s="331" t="n"/>
      <c r="Q238" s="331" t="n"/>
      <c r="R238" s="22" t="n"/>
      <c r="S238" s="22" t="n"/>
      <c r="T238" s="22" t="n"/>
      <c r="U238" s="22" t="n"/>
      <c r="V238" s="331" t="n"/>
    </row>
    <row r="239">
      <c r="A239" s="22" t="n"/>
      <c r="B239" s="324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331" t="n"/>
      <c r="O239" s="331" t="n"/>
      <c r="P239" s="331" t="n"/>
      <c r="Q239" s="331" t="n"/>
      <c r="R239" s="22" t="n"/>
      <c r="S239" s="22" t="n"/>
      <c r="T239" s="22" t="n"/>
      <c r="U239" s="22" t="n"/>
      <c r="V239" s="331" t="n"/>
    </row>
    <row r="240">
      <c r="A240" s="22" t="n"/>
      <c r="B240" s="324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331" t="n"/>
      <c r="O240" s="331" t="n"/>
      <c r="P240" s="331" t="n"/>
      <c r="Q240" s="331" t="n"/>
      <c r="R240" s="22" t="n"/>
      <c r="S240" s="22" t="n"/>
      <c r="T240" s="22" t="n"/>
      <c r="U240" s="22" t="n"/>
      <c r="V240" s="331" t="n"/>
    </row>
    <row r="241">
      <c r="A241" s="22" t="n"/>
      <c r="B241" s="324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331" t="n"/>
      <c r="O241" s="331" t="n"/>
      <c r="P241" s="331" t="n"/>
      <c r="Q241" s="331" t="n"/>
      <c r="R241" s="22" t="n"/>
      <c r="S241" s="22" t="n"/>
      <c r="T241" s="22" t="n"/>
      <c r="U241" s="22" t="n"/>
      <c r="V241" s="331" t="n"/>
    </row>
    <row r="242">
      <c r="A242" s="22" t="n"/>
      <c r="B242" s="324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331" t="n"/>
      <c r="O242" s="331" t="n"/>
      <c r="P242" s="331" t="n"/>
      <c r="Q242" s="331" t="n"/>
      <c r="R242" s="22" t="n"/>
      <c r="S242" s="22" t="n"/>
      <c r="T242" s="22" t="n"/>
      <c r="U242" s="22" t="n"/>
      <c r="V242" s="331" t="n"/>
    </row>
    <row r="243">
      <c r="A243" s="22" t="n"/>
      <c r="B243" s="324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331" t="n"/>
      <c r="O243" s="331" t="n"/>
      <c r="P243" s="331" t="n"/>
      <c r="Q243" s="331" t="n"/>
      <c r="R243" s="22" t="n"/>
      <c r="S243" s="22" t="n"/>
      <c r="T243" s="22" t="n"/>
      <c r="U243" s="22" t="n"/>
      <c r="V243" s="331" t="n"/>
    </row>
    <row r="244">
      <c r="A244" s="22" t="n"/>
      <c r="B244" s="324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331" t="n"/>
      <c r="O244" s="331" t="n"/>
      <c r="P244" s="331" t="n"/>
      <c r="Q244" s="331" t="n"/>
      <c r="R244" s="22" t="n"/>
      <c r="S244" s="22" t="n"/>
      <c r="T244" s="22" t="n"/>
      <c r="U244" s="22" t="n"/>
      <c r="V244" s="331" t="n"/>
    </row>
    <row r="245">
      <c r="A245" s="22" t="n"/>
      <c r="B245" s="324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331" t="n"/>
      <c r="O245" s="331" t="n"/>
      <c r="P245" s="331" t="n"/>
      <c r="Q245" s="331" t="n"/>
      <c r="R245" s="22" t="n"/>
      <c r="S245" s="22" t="n"/>
      <c r="T245" s="22" t="n"/>
      <c r="U245" s="22" t="n"/>
      <c r="V245" s="331" t="n"/>
    </row>
    <row r="246">
      <c r="A246" s="22" t="n"/>
      <c r="B246" s="324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331" t="n"/>
      <c r="O246" s="331" t="n"/>
      <c r="P246" s="331" t="n"/>
      <c r="Q246" s="331" t="n"/>
      <c r="R246" s="22" t="n"/>
      <c r="S246" s="22" t="n"/>
      <c r="T246" s="22" t="n"/>
      <c r="U246" s="22" t="n"/>
      <c r="V246" s="331" t="n"/>
    </row>
    <row r="247">
      <c r="A247" s="22" t="n"/>
      <c r="B247" s="324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331" t="n"/>
      <c r="O247" s="331" t="n"/>
      <c r="P247" s="331" t="n"/>
      <c r="Q247" s="331" t="n"/>
      <c r="R247" s="22" t="n"/>
      <c r="S247" s="22" t="n"/>
      <c r="T247" s="22" t="n"/>
      <c r="U247" s="22" t="n"/>
      <c r="V247" s="331" t="n"/>
    </row>
    <row r="248">
      <c r="A248" s="22" t="n"/>
      <c r="B248" s="324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331" t="n"/>
      <c r="O248" s="331" t="n"/>
      <c r="P248" s="331" t="n"/>
      <c r="Q248" s="331" t="n"/>
      <c r="R248" s="22" t="n"/>
      <c r="S248" s="22" t="n"/>
      <c r="T248" s="22" t="n"/>
      <c r="U248" s="22" t="n"/>
      <c r="V248" s="331" t="n"/>
    </row>
    <row r="249">
      <c r="A249" s="22" t="n"/>
      <c r="B249" s="324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331" t="n"/>
      <c r="O249" s="331" t="n"/>
      <c r="P249" s="331" t="n"/>
      <c r="Q249" s="331" t="n"/>
      <c r="R249" s="22" t="n"/>
      <c r="S249" s="22" t="n"/>
      <c r="T249" s="22" t="n"/>
      <c r="U249" s="22" t="n"/>
      <c r="V249" s="331" t="n"/>
    </row>
    <row r="250">
      <c r="A250" s="22" t="n"/>
      <c r="B250" s="324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331" t="n"/>
      <c r="O250" s="331" t="n"/>
      <c r="P250" s="331" t="n"/>
      <c r="Q250" s="331" t="n"/>
      <c r="R250" s="22" t="n"/>
      <c r="S250" s="22" t="n"/>
      <c r="T250" s="22" t="n"/>
      <c r="U250" s="22" t="n"/>
      <c r="V250" s="331" t="n"/>
    </row>
    <row r="251">
      <c r="A251" s="22" t="n"/>
      <c r="B251" s="324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331" t="n"/>
      <c r="O251" s="331" t="n"/>
      <c r="P251" s="331" t="n"/>
      <c r="Q251" s="331" t="n"/>
      <c r="R251" s="22" t="n"/>
      <c r="S251" s="22" t="n"/>
      <c r="T251" s="22" t="n"/>
      <c r="U251" s="22" t="n"/>
      <c r="V251" s="331" t="n"/>
    </row>
    <row r="252">
      <c r="A252" s="22" t="n"/>
      <c r="B252" s="324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331" t="n"/>
      <c r="O252" s="331" t="n"/>
      <c r="P252" s="331" t="n"/>
      <c r="Q252" s="331" t="n"/>
      <c r="R252" s="22" t="n"/>
      <c r="S252" s="22" t="n"/>
      <c r="T252" s="22" t="n"/>
      <c r="U252" s="22" t="n"/>
      <c r="V252" s="331" t="n"/>
    </row>
    <row r="253">
      <c r="A253" s="22" t="n"/>
      <c r="B253" s="324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331" t="n"/>
      <c r="O253" s="331" t="n"/>
      <c r="P253" s="331" t="n"/>
      <c r="Q253" s="331" t="n"/>
      <c r="R253" s="22" t="n"/>
      <c r="S253" s="22" t="n"/>
      <c r="T253" s="22" t="n"/>
      <c r="U253" s="22" t="n"/>
      <c r="V253" s="331" t="n"/>
    </row>
    <row r="254">
      <c r="A254" s="22" t="n"/>
      <c r="B254" s="324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331" t="n"/>
      <c r="O254" s="331" t="n"/>
      <c r="P254" s="331" t="n"/>
      <c r="Q254" s="331" t="n"/>
      <c r="R254" s="22" t="n"/>
      <c r="S254" s="22" t="n"/>
      <c r="T254" s="22" t="n"/>
      <c r="U254" s="22" t="n"/>
      <c r="V254" s="331" t="n"/>
    </row>
    <row r="255">
      <c r="A255" s="22" t="n"/>
      <c r="B255" s="324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331" t="n"/>
      <c r="O255" s="331" t="n"/>
      <c r="P255" s="331" t="n"/>
      <c r="Q255" s="331" t="n"/>
      <c r="R255" s="22" t="n"/>
      <c r="S255" s="22" t="n"/>
      <c r="T255" s="22" t="n"/>
      <c r="U255" s="22" t="n"/>
      <c r="V255" s="331" t="n"/>
    </row>
    <row r="256">
      <c r="A256" s="22" t="n"/>
      <c r="B256" s="324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331" t="n"/>
      <c r="O256" s="331" t="n"/>
      <c r="P256" s="331" t="n"/>
      <c r="Q256" s="331" t="n"/>
      <c r="R256" s="22" t="n"/>
      <c r="S256" s="22" t="n"/>
      <c r="T256" s="22" t="n"/>
      <c r="U256" s="22" t="n"/>
      <c r="V256" s="331" t="n"/>
    </row>
    <row r="257">
      <c r="A257" s="22" t="n"/>
      <c r="B257" s="324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331" t="n"/>
      <c r="O257" s="331" t="n"/>
      <c r="P257" s="331" t="n"/>
      <c r="Q257" s="331" t="n"/>
      <c r="R257" s="22" t="n"/>
      <c r="S257" s="22" t="n"/>
      <c r="T257" s="22" t="n"/>
      <c r="U257" s="22" t="n"/>
      <c r="V257" s="331" t="n"/>
    </row>
    <row r="258">
      <c r="A258" s="22" t="n"/>
      <c r="B258" s="324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331" t="n"/>
      <c r="O258" s="331" t="n"/>
      <c r="P258" s="331" t="n"/>
      <c r="Q258" s="331" t="n"/>
      <c r="R258" s="22" t="n"/>
      <c r="S258" s="22" t="n"/>
      <c r="T258" s="22" t="n"/>
      <c r="U258" s="22" t="n"/>
      <c r="V258" s="331" t="n"/>
    </row>
    <row r="259">
      <c r="A259" s="22" t="n"/>
      <c r="B259" s="324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331" t="n"/>
      <c r="O259" s="331" t="n"/>
      <c r="P259" s="331" t="n"/>
      <c r="Q259" s="331" t="n"/>
      <c r="R259" s="22" t="n"/>
      <c r="S259" s="22" t="n"/>
      <c r="T259" s="22" t="n"/>
      <c r="U259" s="22" t="n"/>
      <c r="V259" s="331" t="n"/>
    </row>
    <row r="260">
      <c r="A260" s="22" t="n"/>
      <c r="B260" s="324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331" t="n"/>
      <c r="O260" s="331" t="n"/>
      <c r="P260" s="331" t="n"/>
      <c r="Q260" s="331" t="n"/>
      <c r="R260" s="22" t="n"/>
      <c r="S260" s="22" t="n"/>
      <c r="T260" s="22" t="n"/>
      <c r="U260" s="22" t="n"/>
      <c r="V260" s="331" t="n"/>
    </row>
    <row r="261">
      <c r="A261" s="22" t="n"/>
      <c r="B261" s="324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331" t="n"/>
      <c r="O261" s="331" t="n"/>
      <c r="P261" s="331" t="n"/>
      <c r="Q261" s="331" t="n"/>
      <c r="R261" s="22" t="n"/>
      <c r="S261" s="22" t="n"/>
      <c r="T261" s="22" t="n"/>
      <c r="U261" s="22" t="n"/>
      <c r="V261" s="331" t="n"/>
    </row>
    <row r="262">
      <c r="A262" s="22" t="n"/>
      <c r="B262" s="324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331" t="n"/>
      <c r="O262" s="331" t="n"/>
      <c r="P262" s="331" t="n"/>
      <c r="Q262" s="331" t="n"/>
      <c r="R262" s="22" t="n"/>
      <c r="S262" s="22" t="n"/>
      <c r="T262" s="22" t="n"/>
      <c r="U262" s="22" t="n"/>
      <c r="V262" s="331" t="n"/>
    </row>
    <row r="263">
      <c r="A263" s="22" t="n"/>
      <c r="B263" s="324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331" t="n"/>
      <c r="O263" s="331" t="n"/>
      <c r="P263" s="331" t="n"/>
      <c r="Q263" s="331" t="n"/>
      <c r="R263" s="22" t="n"/>
      <c r="S263" s="22" t="n"/>
      <c r="T263" s="22" t="n"/>
      <c r="U263" s="22" t="n"/>
      <c r="V263" s="331" t="n"/>
    </row>
    <row r="264">
      <c r="A264" s="22" t="n"/>
      <c r="B264" s="324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331" t="n"/>
      <c r="O264" s="331" t="n"/>
      <c r="P264" s="331" t="n"/>
      <c r="Q264" s="331" t="n"/>
      <c r="R264" s="22" t="n"/>
      <c r="S264" s="22" t="n"/>
      <c r="T264" s="22" t="n"/>
      <c r="U264" s="22" t="n"/>
      <c r="V264" s="331" t="n"/>
    </row>
    <row r="265">
      <c r="A265" s="22" t="n"/>
      <c r="B265" s="324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331" t="n"/>
      <c r="O265" s="331" t="n"/>
      <c r="P265" s="331" t="n"/>
      <c r="Q265" s="331" t="n"/>
      <c r="R265" s="22" t="n"/>
      <c r="S265" s="22" t="n"/>
      <c r="T265" s="22" t="n"/>
      <c r="U265" s="22" t="n"/>
      <c r="V265" s="331" t="n"/>
    </row>
    <row r="266">
      <c r="A266" s="22" t="n"/>
      <c r="B266" s="324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331" t="n"/>
      <c r="O266" s="331" t="n"/>
      <c r="P266" s="331" t="n"/>
      <c r="Q266" s="331" t="n"/>
      <c r="R266" s="22" t="n"/>
      <c r="S266" s="22" t="n"/>
      <c r="T266" s="22" t="n"/>
      <c r="U266" s="22" t="n"/>
      <c r="V266" s="331" t="n"/>
    </row>
    <row r="267">
      <c r="A267" s="22" t="n"/>
      <c r="B267" s="324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331" t="n"/>
      <c r="O267" s="331" t="n"/>
      <c r="P267" s="331" t="n"/>
      <c r="Q267" s="331" t="n"/>
      <c r="R267" s="22" t="n"/>
      <c r="S267" s="22" t="n"/>
      <c r="T267" s="22" t="n"/>
      <c r="U267" s="22" t="n"/>
      <c r="V267" s="331" t="n"/>
    </row>
    <row r="268">
      <c r="A268" s="22" t="n"/>
      <c r="B268" s="324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331" t="n"/>
      <c r="O268" s="331" t="n"/>
      <c r="P268" s="331" t="n"/>
      <c r="Q268" s="331" t="n"/>
      <c r="R268" s="22" t="n"/>
      <c r="S268" s="22" t="n"/>
      <c r="T268" s="22" t="n"/>
      <c r="U268" s="22" t="n"/>
      <c r="V268" s="331" t="n"/>
    </row>
    <row r="269">
      <c r="A269" s="22" t="n"/>
      <c r="B269" s="324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331" t="n"/>
      <c r="O269" s="331" t="n"/>
      <c r="P269" s="331" t="n"/>
      <c r="Q269" s="331" t="n"/>
      <c r="R269" s="22" t="n"/>
      <c r="S269" s="22" t="n"/>
      <c r="T269" s="22" t="n"/>
      <c r="U269" s="22" t="n"/>
      <c r="V269" s="331" t="n"/>
    </row>
    <row r="270">
      <c r="A270" s="22" t="n"/>
      <c r="B270" s="324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331" t="n"/>
      <c r="O270" s="331" t="n"/>
      <c r="P270" s="331" t="n"/>
      <c r="Q270" s="331" t="n"/>
      <c r="R270" s="22" t="n"/>
      <c r="S270" s="22" t="n"/>
      <c r="T270" s="22" t="n"/>
      <c r="U270" s="22" t="n"/>
      <c r="V270" s="331" t="n"/>
    </row>
    <row r="271">
      <c r="A271" s="22" t="n"/>
      <c r="B271" s="324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331" t="n"/>
      <c r="O271" s="331" t="n"/>
      <c r="P271" s="331" t="n"/>
      <c r="Q271" s="331" t="n"/>
      <c r="R271" s="22" t="n"/>
      <c r="S271" s="22" t="n"/>
      <c r="T271" s="22" t="n"/>
      <c r="U271" s="22" t="n"/>
      <c r="V271" s="331" t="n"/>
    </row>
    <row r="272">
      <c r="A272" s="22" t="n"/>
      <c r="B272" s="324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331" t="n"/>
      <c r="O272" s="331" t="n"/>
      <c r="P272" s="331" t="n"/>
      <c r="Q272" s="331" t="n"/>
      <c r="R272" s="22" t="n"/>
      <c r="S272" s="22" t="n"/>
      <c r="T272" s="22" t="n"/>
      <c r="U272" s="22" t="n"/>
      <c r="V272" s="331" t="n"/>
    </row>
    <row r="273">
      <c r="A273" s="22" t="n"/>
      <c r="B273" s="324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331" t="n"/>
      <c r="O273" s="331" t="n"/>
      <c r="P273" s="331" t="n"/>
      <c r="Q273" s="331" t="n"/>
      <c r="R273" s="22" t="n"/>
      <c r="S273" s="22" t="n"/>
      <c r="T273" s="22" t="n"/>
      <c r="U273" s="22" t="n"/>
      <c r="V273" s="331" t="n"/>
    </row>
    <row r="274">
      <c r="A274" s="22" t="n"/>
      <c r="B274" s="324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331" t="n"/>
      <c r="O274" s="331" t="n"/>
      <c r="P274" s="331" t="n"/>
      <c r="Q274" s="331" t="n"/>
      <c r="R274" s="22" t="n"/>
      <c r="S274" s="22" t="n"/>
      <c r="T274" s="22" t="n"/>
      <c r="U274" s="22" t="n"/>
      <c r="V274" s="331" t="n"/>
    </row>
    <row r="275">
      <c r="A275" s="22" t="n"/>
      <c r="B275" s="324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331" t="n"/>
      <c r="O275" s="331" t="n"/>
      <c r="P275" s="331" t="n"/>
      <c r="Q275" s="331" t="n"/>
      <c r="R275" s="22" t="n"/>
      <c r="S275" s="22" t="n"/>
      <c r="T275" s="22" t="n"/>
      <c r="U275" s="22" t="n"/>
      <c r="V275" s="331" t="n"/>
    </row>
    <row r="276">
      <c r="A276" s="22" t="n"/>
      <c r="B276" s="324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331" t="n"/>
      <c r="O276" s="331" t="n"/>
      <c r="P276" s="331" t="n"/>
      <c r="Q276" s="331" t="n"/>
      <c r="R276" s="22" t="n"/>
      <c r="S276" s="22" t="n"/>
      <c r="T276" s="22" t="n"/>
      <c r="U276" s="22" t="n"/>
      <c r="V276" s="331" t="n"/>
    </row>
    <row r="277">
      <c r="A277" s="22" t="n"/>
      <c r="B277" s="324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331" t="n"/>
      <c r="O277" s="331" t="n"/>
      <c r="P277" s="331" t="n"/>
      <c r="Q277" s="331" t="n"/>
      <c r="R277" s="22" t="n"/>
      <c r="S277" s="22" t="n"/>
      <c r="T277" s="22" t="n"/>
      <c r="U277" s="22" t="n"/>
      <c r="V277" s="331" t="n"/>
    </row>
    <row r="278">
      <c r="A278" s="22" t="n"/>
      <c r="B278" s="324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331" t="n"/>
      <c r="O278" s="331" t="n"/>
      <c r="P278" s="331" t="n"/>
      <c r="Q278" s="331" t="n"/>
      <c r="R278" s="22" t="n"/>
      <c r="S278" s="22" t="n"/>
      <c r="T278" s="22" t="n"/>
      <c r="U278" s="22" t="n"/>
      <c r="V278" s="331" t="n"/>
    </row>
    <row r="279">
      <c r="A279" s="22" t="n"/>
      <c r="B279" s="324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331" t="n"/>
      <c r="O279" s="331" t="n"/>
      <c r="P279" s="331" t="n"/>
      <c r="Q279" s="331" t="n"/>
      <c r="R279" s="22" t="n"/>
      <c r="S279" s="22" t="n"/>
      <c r="T279" s="22" t="n"/>
      <c r="U279" s="22" t="n"/>
      <c r="V279" s="331" t="n"/>
    </row>
    <row r="280">
      <c r="A280" s="22" t="n"/>
      <c r="B280" s="324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331" t="n"/>
      <c r="O280" s="331" t="n"/>
      <c r="P280" s="331" t="n"/>
      <c r="Q280" s="331" t="n"/>
      <c r="R280" s="22" t="n"/>
      <c r="S280" s="22" t="n"/>
      <c r="T280" s="22" t="n"/>
      <c r="U280" s="22" t="n"/>
      <c r="V280" s="331" t="n"/>
    </row>
    <row r="281">
      <c r="A281" s="22" t="n"/>
      <c r="B281" s="324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331" t="n"/>
      <c r="O281" s="331" t="n"/>
      <c r="P281" s="331" t="n"/>
      <c r="Q281" s="331" t="n"/>
      <c r="R281" s="22" t="n"/>
      <c r="S281" s="22" t="n"/>
      <c r="T281" s="22" t="n"/>
      <c r="U281" s="22" t="n"/>
      <c r="V281" s="331" t="n"/>
    </row>
    <row r="282">
      <c r="A282" s="22" t="n"/>
      <c r="B282" s="324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331" t="n"/>
      <c r="O282" s="331" t="n"/>
      <c r="P282" s="331" t="n"/>
      <c r="Q282" s="331" t="n"/>
      <c r="R282" s="22" t="n"/>
      <c r="S282" s="22" t="n"/>
      <c r="T282" s="22" t="n"/>
      <c r="U282" s="22" t="n"/>
      <c r="V282" s="33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97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22" t="inlineStr">
        <is>
          <t>metric</t>
        </is>
      </c>
      <c r="B1" s="322" t="inlineStr">
        <is>
          <t>horizon</t>
        </is>
      </c>
      <c r="C1" s="322" t="inlineStr">
        <is>
          <t>period</t>
        </is>
      </c>
      <c r="D1" s="322" t="inlineStr">
        <is>
          <t>value</t>
        </is>
      </c>
      <c r="E1" s="322" t="inlineStr">
        <is>
          <t>unit</t>
        </is>
      </c>
      <c r="F1" s="322" t="inlineStr">
        <is>
          <t>status</t>
        </is>
      </c>
      <c r="G1" s="322" t="inlineStr">
        <is>
          <t>source_ref</t>
        </is>
      </c>
      <c r="H1" s="322" t="inlineStr">
        <is>
          <t>notes</t>
        </is>
      </c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B1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</cols>
  <sheetData>
    <row r="1">
      <c r="A1" s="322" t="inlineStr">
        <is>
          <t>period</t>
        </is>
      </c>
      <c r="B1" s="322" t="inlineStr">
        <is>
          <t>period_ordinal</t>
        </is>
      </c>
      <c r="C1" s="322" t="inlineStr">
        <is>
          <t>metric</t>
        </is>
      </c>
      <c r="D1" s="322" t="inlineStr">
        <is>
          <t>value</t>
        </is>
      </c>
      <c r="E1" s="322" t="inlineStr">
        <is>
          <t>unit</t>
        </is>
      </c>
      <c r="F1" s="322" t="inlineStr">
        <is>
          <t>source_ref</t>
        </is>
      </c>
      <c r="G1" s="322" t="inlineStr">
        <is>
          <t>status</t>
        </is>
      </c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  <c r="Y1" s="322" t="n"/>
      <c r="Z1" s="322" t="n"/>
      <c r="AA1" s="322" t="n"/>
      <c r="AB1" s="322" t="n"/>
      <c r="AC1" s="322" t="n"/>
      <c r="AD1" s="322" t="n"/>
      <c r="AE1" s="322" t="n"/>
      <c r="AF1" s="322" t="n"/>
      <c r="AG1" s="322" t="n"/>
      <c r="AH1" s="322" t="n"/>
      <c r="AI1" s="322" t="n"/>
      <c r="AJ1" s="322" t="n"/>
      <c r="AK1" s="322" t="n"/>
      <c r="AL1" s="322" t="n"/>
      <c r="AM1" s="322" t="n"/>
      <c r="AN1" s="322" t="n"/>
      <c r="AO1" s="322" t="n"/>
      <c r="AP1" s="322" t="n"/>
      <c r="AQ1" s="322" t="n"/>
      <c r="AR1" s="322" t="n"/>
      <c r="AS1" s="322" t="n"/>
      <c r="AT1" s="322" t="n"/>
      <c r="AU1" s="322" t="n"/>
      <c r="AV1" s="322" t="n"/>
      <c r="AW1" s="322" t="n"/>
      <c r="AX1" s="322" t="n"/>
      <c r="AY1" s="322" t="n"/>
      <c r="AZ1" s="322" t="n"/>
      <c r="BA1" s="322" t="n"/>
      <c r="BB1" s="322" t="n"/>
    </row>
    <row r="2">
      <c r="A2" s="502" t="n"/>
      <c r="B2" s="503" t="n"/>
      <c r="C2" s="503" t="n"/>
      <c r="D2" s="503" t="n"/>
      <c r="E2" s="503" t="n"/>
      <c r="F2" s="503" t="n"/>
      <c r="G2" s="503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2" t="n"/>
      <c r="AI2" s="22" t="n"/>
      <c r="AJ2" s="22" t="n"/>
      <c r="AK2" s="22" t="n"/>
      <c r="AL2" s="22" t="n"/>
      <c r="AM2" s="22" t="n"/>
      <c r="AN2" s="22" t="n"/>
      <c r="AO2" s="22" t="n"/>
      <c r="AP2" s="22" t="n"/>
      <c r="AQ2" s="22" t="n"/>
      <c r="AR2" s="22" t="n"/>
      <c r="AS2" s="22" t="n"/>
      <c r="AT2" s="22" t="n"/>
      <c r="AU2" s="22" t="n"/>
      <c r="AV2" s="22" t="n"/>
      <c r="AW2" s="22" t="n"/>
      <c r="AX2" s="22" t="n"/>
      <c r="AY2" s="22" t="n"/>
      <c r="AZ2" s="22" t="n"/>
      <c r="BA2" s="22" t="n"/>
      <c r="BB2" s="22" t="n"/>
    </row>
    <row r="3">
      <c r="A3" s="502" t="n"/>
      <c r="B3" s="503" t="n"/>
      <c r="C3" s="503" t="n"/>
      <c r="D3" s="503" t="n"/>
      <c r="E3" s="503" t="n"/>
      <c r="F3" s="503" t="n"/>
      <c r="G3" s="503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  <c r="AI3" s="22" t="n"/>
      <c r="AJ3" s="22" t="n"/>
      <c r="AK3" s="22" t="n"/>
      <c r="AL3" s="22" t="n"/>
      <c r="AM3" s="22" t="n"/>
      <c r="AN3" s="22" t="n"/>
      <c r="AO3" s="22" t="n"/>
      <c r="AP3" s="22" t="n"/>
      <c r="AQ3" s="22" t="n"/>
      <c r="AR3" s="22" t="n"/>
      <c r="AS3" s="22" t="n"/>
      <c r="AT3" s="22" t="n"/>
      <c r="AU3" s="22" t="n"/>
      <c r="AV3" s="22" t="n"/>
      <c r="AW3" s="22" t="n"/>
      <c r="AX3" s="22" t="n"/>
      <c r="AY3" s="22" t="n"/>
      <c r="AZ3" s="22" t="n"/>
      <c r="BA3" s="22" t="n"/>
      <c r="BB3" s="22" t="n"/>
    </row>
    <row r="4">
      <c r="A4" s="502" t="n"/>
      <c r="B4" s="503" t="n"/>
      <c r="C4" s="503" t="n"/>
      <c r="D4" s="503" t="n"/>
      <c r="E4" s="503" t="n"/>
      <c r="F4" s="503" t="n"/>
      <c r="G4" s="503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2" t="n"/>
      <c r="AI4" s="22" t="n"/>
      <c r="AJ4" s="22" t="n"/>
      <c r="AK4" s="22" t="n"/>
      <c r="AL4" s="22" t="n"/>
      <c r="AM4" s="22" t="n"/>
      <c r="AN4" s="22" t="n"/>
      <c r="AO4" s="22" t="n"/>
      <c r="AP4" s="22" t="n"/>
      <c r="AQ4" s="22" t="n"/>
      <c r="AR4" s="22" t="n"/>
      <c r="AS4" s="22" t="n"/>
      <c r="AT4" s="22" t="n"/>
      <c r="AU4" s="22" t="n"/>
      <c r="AV4" s="22" t="n"/>
      <c r="AW4" s="22" t="n"/>
      <c r="AX4" s="22" t="n"/>
      <c r="AY4" s="22" t="n"/>
      <c r="AZ4" s="22" t="n"/>
      <c r="BA4" s="22" t="n"/>
      <c r="BB4" s="22" t="n"/>
    </row>
    <row r="5">
      <c r="A5" s="502" t="n"/>
      <c r="B5" s="503" t="n"/>
      <c r="C5" s="503" t="n"/>
      <c r="D5" s="503" t="n"/>
      <c r="E5" s="503" t="n"/>
      <c r="F5" s="503" t="n"/>
      <c r="G5" s="503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  <c r="AP5" s="22" t="n"/>
      <c r="AQ5" s="22" t="n"/>
      <c r="AR5" s="22" t="n"/>
      <c r="AS5" s="22" t="n"/>
      <c r="AT5" s="22" t="n"/>
      <c r="AU5" s="22" t="n"/>
      <c r="AV5" s="22" t="n"/>
      <c r="AW5" s="22" t="n"/>
      <c r="AX5" s="22" t="n"/>
      <c r="AY5" s="22" t="n"/>
      <c r="AZ5" s="22" t="n"/>
      <c r="BA5" s="22" t="n"/>
      <c r="BB5" s="22" t="n"/>
    </row>
    <row r="6">
      <c r="A6" s="502" t="n"/>
      <c r="B6" s="503" t="n"/>
      <c r="C6" s="503" t="n"/>
      <c r="D6" s="503" t="n"/>
      <c r="E6" s="503" t="n"/>
      <c r="F6" s="503" t="n"/>
      <c r="G6" s="503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2" t="n"/>
      <c r="AI6" s="22" t="n"/>
      <c r="AJ6" s="22" t="n"/>
      <c r="AK6" s="22" t="n"/>
      <c r="AL6" s="22" t="n"/>
      <c r="AM6" s="22" t="n"/>
      <c r="AN6" s="22" t="n"/>
      <c r="AO6" s="22" t="n"/>
      <c r="AP6" s="22" t="n"/>
      <c r="AQ6" s="22" t="n"/>
      <c r="AR6" s="22" t="n"/>
      <c r="AS6" s="22" t="n"/>
      <c r="AT6" s="22" t="n"/>
      <c r="AU6" s="22" t="n"/>
      <c r="AV6" s="22" t="n"/>
      <c r="AW6" s="22" t="n"/>
      <c r="AX6" s="22" t="n"/>
      <c r="AY6" s="22" t="n"/>
      <c r="AZ6" s="22" t="n"/>
      <c r="BA6" s="22" t="n"/>
      <c r="BB6" s="22" t="n"/>
    </row>
    <row r="7">
      <c r="A7" s="502" t="n"/>
      <c r="B7" s="503" t="n"/>
      <c r="C7" s="503" t="n"/>
      <c r="D7" s="503" t="n"/>
      <c r="E7" s="503" t="n"/>
      <c r="F7" s="503" t="n"/>
      <c r="G7" s="503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</row>
    <row r="8">
      <c r="A8" s="502" t="n"/>
      <c r="B8" s="503" t="n"/>
      <c r="C8" s="503" t="n"/>
      <c r="D8" s="503" t="n"/>
      <c r="E8" s="503" t="n"/>
      <c r="F8" s="503" t="n"/>
      <c r="G8" s="503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</row>
    <row r="9">
      <c r="A9" s="502" t="n"/>
      <c r="B9" s="503" t="n"/>
      <c r="C9" s="503" t="n"/>
      <c r="D9" s="503" t="n"/>
      <c r="E9" s="503" t="n"/>
      <c r="F9" s="503" t="n"/>
      <c r="G9" s="503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2" t="n"/>
      <c r="AM9" s="22" t="n"/>
      <c r="AN9" s="22" t="n"/>
      <c r="AO9" s="22" t="n"/>
      <c r="AP9" s="22" t="n"/>
      <c r="AQ9" s="22" t="n"/>
      <c r="AR9" s="22" t="n"/>
      <c r="AS9" s="22" t="n"/>
      <c r="AT9" s="22" t="n"/>
      <c r="AU9" s="22" t="n"/>
      <c r="AV9" s="22" t="n"/>
      <c r="AW9" s="22" t="n"/>
      <c r="AX9" s="22" t="n"/>
      <c r="AY9" s="22" t="n"/>
      <c r="AZ9" s="22" t="n"/>
      <c r="BA9" s="22" t="n"/>
      <c r="BB9" s="22" t="n"/>
    </row>
    <row r="10">
      <c r="A10" s="502" t="n"/>
      <c r="B10" s="503" t="n"/>
      <c r="C10" s="503" t="n"/>
      <c r="D10" s="503" t="n"/>
      <c r="E10" s="503" t="n"/>
      <c r="F10" s="503" t="n"/>
      <c r="G10" s="503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</row>
    <row r="11">
      <c r="A11" s="502" t="n"/>
      <c r="B11" s="503" t="n"/>
      <c r="C11" s="503" t="n"/>
      <c r="D11" s="503" t="n"/>
      <c r="E11" s="503" t="n"/>
      <c r="F11" s="503" t="n"/>
      <c r="G11" s="503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</row>
    <row r="12">
      <c r="A12" s="502" t="n"/>
      <c r="B12" s="503" t="n"/>
      <c r="C12" s="503" t="n"/>
      <c r="D12" s="503" t="n"/>
      <c r="E12" s="503" t="n"/>
      <c r="F12" s="503" t="n"/>
      <c r="G12" s="503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</row>
    <row r="13">
      <c r="A13" s="502" t="n"/>
      <c r="B13" s="503" t="n"/>
      <c r="C13" s="503" t="n"/>
      <c r="D13" s="503" t="n"/>
      <c r="E13" s="503" t="n"/>
      <c r="F13" s="503" t="n"/>
      <c r="G13" s="503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</row>
    <row r="14">
      <c r="A14" s="502" t="n"/>
      <c r="B14" s="503" t="n"/>
      <c r="C14" s="503" t="n"/>
      <c r="D14" s="503" t="n"/>
      <c r="E14" s="503" t="n"/>
      <c r="F14" s="503" t="n"/>
      <c r="G14" s="503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</row>
    <row r="15">
      <c r="A15" s="502" t="n"/>
      <c r="B15" s="503" t="n"/>
      <c r="C15" s="503" t="n"/>
      <c r="D15" s="503" t="n"/>
      <c r="E15" s="503" t="n"/>
      <c r="F15" s="503" t="n"/>
      <c r="G15" s="503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</row>
    <row r="16">
      <c r="A16" s="502" t="n"/>
      <c r="B16" s="503" t="n"/>
      <c r="C16" s="503" t="n"/>
      <c r="D16" s="503" t="n"/>
      <c r="E16" s="503" t="n"/>
      <c r="F16" s="503" t="n"/>
      <c r="G16" s="503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/>
      <c r="AV16" s="22" t="n"/>
      <c r="AW16" s="22" t="n"/>
      <c r="AX16" s="22" t="n"/>
      <c r="AY16" s="22" t="n"/>
      <c r="AZ16" s="22" t="n"/>
      <c r="BA16" s="22" t="n"/>
      <c r="BB16" s="22" t="n"/>
    </row>
    <row r="17">
      <c r="A17" s="502" t="n"/>
      <c r="B17" s="503" t="n"/>
      <c r="C17" s="503" t="n"/>
      <c r="D17" s="503" t="n"/>
      <c r="E17" s="503" t="n"/>
      <c r="F17" s="503" t="n"/>
      <c r="G17" s="503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  <c r="AP17" s="22" t="n"/>
      <c r="AQ17" s="22" t="n"/>
      <c r="AR17" s="22" t="n"/>
      <c r="AS17" s="22" t="n"/>
      <c r="AT17" s="22" t="n"/>
      <c r="AU17" s="22" t="n"/>
      <c r="AV17" s="22" t="n"/>
      <c r="AW17" s="22" t="n"/>
      <c r="AX17" s="22" t="n"/>
      <c r="AY17" s="22" t="n"/>
      <c r="AZ17" s="22" t="n"/>
      <c r="BA17" s="22" t="n"/>
      <c r="BB17" s="22" t="n"/>
    </row>
    <row r="18">
      <c r="A18" s="502" t="n"/>
      <c r="B18" s="503" t="n"/>
      <c r="C18" s="503" t="n"/>
      <c r="D18" s="503" t="n"/>
      <c r="E18" s="503" t="n"/>
      <c r="F18" s="503" t="n"/>
      <c r="G18" s="503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</row>
    <row r="19">
      <c r="A19" s="502" t="n"/>
      <c r="B19" s="503" t="n"/>
      <c r="C19" s="503" t="n"/>
      <c r="D19" s="503" t="n"/>
      <c r="E19" s="503" t="n"/>
      <c r="F19" s="503" t="n"/>
      <c r="G19" s="503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</row>
    <row r="20">
      <c r="A20" s="502" t="n"/>
      <c r="B20" s="503" t="n"/>
      <c r="C20" s="503" t="n"/>
      <c r="D20" s="503" t="n"/>
      <c r="E20" s="503" t="n"/>
      <c r="F20" s="503" t="n"/>
      <c r="G20" s="503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</row>
    <row r="21">
      <c r="A21" s="502" t="n"/>
      <c r="B21" s="503" t="n"/>
      <c r="C21" s="503" t="n"/>
      <c r="D21" s="503" t="n"/>
      <c r="E21" s="503" t="n"/>
      <c r="F21" s="503" t="n"/>
      <c r="G21" s="503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</row>
    <row r="22">
      <c r="A22" s="502" t="n"/>
      <c r="B22" s="503" t="n"/>
      <c r="C22" s="503" t="n"/>
      <c r="D22" s="503" t="n"/>
      <c r="E22" s="503" t="n"/>
      <c r="F22" s="503" t="n"/>
      <c r="G22" s="503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  <c r="AP22" s="22" t="n"/>
      <c r="AQ22" s="22" t="n"/>
      <c r="AR22" s="22" t="n"/>
      <c r="AS22" s="22" t="n"/>
      <c r="AT22" s="22" t="n"/>
      <c r="AU22" s="22" t="n"/>
      <c r="AV22" s="22" t="n"/>
      <c r="AW22" s="22" t="n"/>
      <c r="AX22" s="22" t="n"/>
      <c r="AY22" s="22" t="n"/>
      <c r="AZ22" s="22" t="n"/>
      <c r="BA22" s="22" t="n"/>
      <c r="BB22" s="22" t="n"/>
    </row>
    <row r="23">
      <c r="A23" s="502" t="n"/>
      <c r="B23" s="503" t="n"/>
      <c r="C23" s="503" t="n"/>
      <c r="D23" s="503" t="n"/>
      <c r="E23" s="503" t="n"/>
      <c r="F23" s="503" t="n"/>
      <c r="G23" s="503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2" t="n"/>
      <c r="AM23" s="22" t="n"/>
      <c r="AN23" s="22" t="n"/>
      <c r="AO23" s="22" t="n"/>
      <c r="AP23" s="22" t="n"/>
      <c r="AQ23" s="22" t="n"/>
      <c r="AR23" s="22" t="n"/>
      <c r="AS23" s="22" t="n"/>
      <c r="AT23" s="22" t="n"/>
      <c r="AU23" s="22" t="n"/>
      <c r="AV23" s="22" t="n"/>
      <c r="AW23" s="22" t="n"/>
      <c r="AX23" s="22" t="n"/>
      <c r="AY23" s="22" t="n"/>
      <c r="AZ23" s="22" t="n"/>
      <c r="BA23" s="22" t="n"/>
      <c r="BB23" s="22" t="n"/>
    </row>
    <row r="24">
      <c r="A24" s="502" t="n"/>
      <c r="B24" s="503" t="n"/>
      <c r="C24" s="503" t="n"/>
      <c r="D24" s="503" t="n"/>
      <c r="E24" s="503" t="n"/>
      <c r="F24" s="503" t="n"/>
      <c r="G24" s="503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</row>
    <row r="25">
      <c r="A25" s="502" t="n"/>
      <c r="B25" s="503" t="n"/>
      <c r="C25" s="503" t="n"/>
      <c r="D25" s="503" t="n"/>
      <c r="E25" s="503" t="n"/>
      <c r="F25" s="503" t="n"/>
      <c r="G25" s="503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  <c r="AP25" s="22" t="n"/>
      <c r="AQ25" s="22" t="n"/>
      <c r="AR25" s="22" t="n"/>
      <c r="AS25" s="22" t="n"/>
      <c r="AT25" s="22" t="n"/>
      <c r="AU25" s="22" t="n"/>
      <c r="AV25" s="22" t="n"/>
      <c r="AW25" s="22" t="n"/>
      <c r="AX25" s="22" t="n"/>
      <c r="AY25" s="22" t="n"/>
      <c r="AZ25" s="22" t="n"/>
      <c r="BA25" s="22" t="n"/>
      <c r="BB25" s="22" t="n"/>
    </row>
    <row r="26">
      <c r="A26" s="502" t="n"/>
      <c r="B26" s="503" t="n"/>
      <c r="C26" s="503" t="n"/>
      <c r="D26" s="503" t="n"/>
      <c r="E26" s="503" t="n"/>
      <c r="F26" s="503" t="n"/>
      <c r="G26" s="503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</row>
    <row r="27">
      <c r="A27" s="502" t="n"/>
      <c r="B27" s="503" t="n"/>
      <c r="C27" s="503" t="n"/>
      <c r="D27" s="503" t="n"/>
      <c r="E27" s="503" t="n"/>
      <c r="F27" s="503" t="n"/>
      <c r="G27" s="503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</row>
    <row r="28">
      <c r="A28" s="502" t="n"/>
      <c r="B28" s="503" t="n"/>
      <c r="C28" s="503" t="n"/>
      <c r="D28" s="503" t="n"/>
      <c r="E28" s="503" t="n"/>
      <c r="F28" s="503" t="n"/>
      <c r="G28" s="503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  <c r="AP28" s="22" t="n"/>
      <c r="AQ28" s="22" t="n"/>
      <c r="AR28" s="22" t="n"/>
      <c r="AS28" s="22" t="n"/>
      <c r="AT28" s="22" t="n"/>
      <c r="AU28" s="22" t="n"/>
      <c r="AV28" s="22" t="n"/>
      <c r="AW28" s="22" t="n"/>
      <c r="AX28" s="22" t="n"/>
      <c r="AY28" s="22" t="n"/>
      <c r="AZ28" s="22" t="n"/>
      <c r="BA28" s="22" t="n"/>
      <c r="BB28" s="22" t="n"/>
    </row>
    <row r="29">
      <c r="A29" s="502" t="n"/>
      <c r="B29" s="503" t="n"/>
      <c r="C29" s="503" t="n"/>
      <c r="D29" s="503" t="n"/>
      <c r="E29" s="503" t="n"/>
      <c r="F29" s="503" t="n"/>
      <c r="G29" s="503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</row>
    <row r="30">
      <c r="A30" s="502" t="n"/>
      <c r="B30" s="503" t="n"/>
      <c r="C30" s="503" t="n"/>
      <c r="D30" s="503" t="n"/>
      <c r="E30" s="503" t="n"/>
      <c r="F30" s="503" t="n"/>
      <c r="G30" s="503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22" t="n"/>
      <c r="AJ30" s="22" t="n"/>
      <c r="AK30" s="22" t="n"/>
      <c r="AL30" s="22" t="n"/>
      <c r="AM30" s="22" t="n"/>
      <c r="AN30" s="22" t="n"/>
      <c r="AO30" s="22" t="n"/>
      <c r="AP30" s="22" t="n"/>
      <c r="AQ30" s="22" t="n"/>
      <c r="AR30" s="22" t="n"/>
      <c r="AS30" s="22" t="n"/>
      <c r="AT30" s="22" t="n"/>
      <c r="AU30" s="22" t="n"/>
      <c r="AV30" s="22" t="n"/>
      <c r="AW30" s="22" t="n"/>
      <c r="AX30" s="22" t="n"/>
      <c r="AY30" s="22" t="n"/>
      <c r="AZ30" s="22" t="n"/>
      <c r="BA30" s="22" t="n"/>
      <c r="BB30" s="22" t="n"/>
    </row>
    <row r="31">
      <c r="A31" s="502" t="n"/>
      <c r="B31" s="503" t="n"/>
      <c r="C31" s="503" t="n"/>
      <c r="D31" s="503" t="n"/>
      <c r="E31" s="503" t="n"/>
      <c r="F31" s="503" t="n"/>
      <c r="G31" s="503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22" t="n"/>
      <c r="AM31" s="22" t="n"/>
      <c r="AN31" s="22" t="n"/>
      <c r="AO31" s="22" t="n"/>
      <c r="AP31" s="22" t="n"/>
      <c r="AQ31" s="22" t="n"/>
      <c r="AR31" s="22" t="n"/>
      <c r="AS31" s="22" t="n"/>
      <c r="AT31" s="22" t="n"/>
      <c r="AU31" s="22" t="n"/>
      <c r="AV31" s="22" t="n"/>
      <c r="AW31" s="22" t="n"/>
      <c r="AX31" s="22" t="n"/>
      <c r="AY31" s="22" t="n"/>
      <c r="AZ31" s="22" t="n"/>
      <c r="BA31" s="22" t="n"/>
      <c r="BB31" s="22" t="n"/>
    </row>
    <row r="32">
      <c r="A32" s="502" t="n"/>
      <c r="B32" s="503" t="n"/>
      <c r="C32" s="503" t="n"/>
      <c r="D32" s="503" t="n"/>
      <c r="E32" s="503" t="n"/>
      <c r="F32" s="503" t="n"/>
      <c r="G32" s="503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  <c r="AI32" s="22" t="n"/>
      <c r="AJ32" s="22" t="n"/>
      <c r="AK32" s="22" t="n"/>
      <c r="AL32" s="22" t="n"/>
      <c r="AM32" s="22" t="n"/>
      <c r="AN32" s="22" t="n"/>
      <c r="AO32" s="22" t="n"/>
      <c r="AP32" s="22" t="n"/>
      <c r="AQ32" s="22" t="n"/>
      <c r="AR32" s="22" t="n"/>
      <c r="AS32" s="22" t="n"/>
      <c r="AT32" s="22" t="n"/>
      <c r="AU32" s="22" t="n"/>
      <c r="AV32" s="22" t="n"/>
      <c r="AW32" s="22" t="n"/>
      <c r="AX32" s="22" t="n"/>
      <c r="AY32" s="22" t="n"/>
      <c r="AZ32" s="22" t="n"/>
      <c r="BA32" s="22" t="n"/>
      <c r="BB32" s="22" t="n"/>
    </row>
    <row r="33">
      <c r="A33" s="502" t="n"/>
      <c r="B33" s="503" t="n"/>
      <c r="C33" s="503" t="n"/>
      <c r="D33" s="503" t="n"/>
      <c r="E33" s="503" t="n"/>
      <c r="F33" s="503" t="n"/>
      <c r="G33" s="503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</row>
    <row r="34">
      <c r="A34" s="502" t="n"/>
      <c r="B34" s="503" t="n"/>
      <c r="C34" s="503" t="n"/>
      <c r="D34" s="503" t="n"/>
      <c r="E34" s="503" t="n"/>
      <c r="F34" s="503" t="n"/>
      <c r="G34" s="503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</row>
    <row r="35">
      <c r="A35" s="502" t="n"/>
      <c r="B35" s="503" t="n"/>
      <c r="C35" s="503" t="n"/>
      <c r="D35" s="503" t="n"/>
      <c r="E35" s="503" t="n"/>
      <c r="F35" s="503" t="n"/>
      <c r="G35" s="503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22" t="n"/>
      <c r="AM35" s="22" t="n"/>
      <c r="AN35" s="22" t="n"/>
      <c r="AO35" s="22" t="n"/>
      <c r="AP35" s="22" t="n"/>
      <c r="AQ35" s="22" t="n"/>
      <c r="AR35" s="22" t="n"/>
      <c r="AS35" s="22" t="n"/>
      <c r="AT35" s="22" t="n"/>
      <c r="AU35" s="22" t="n"/>
      <c r="AV35" s="22" t="n"/>
      <c r="AW35" s="22" t="n"/>
      <c r="AX35" s="22" t="n"/>
      <c r="AY35" s="22" t="n"/>
      <c r="AZ35" s="22" t="n"/>
      <c r="BA35" s="22" t="n"/>
      <c r="BB35" s="22" t="n"/>
    </row>
    <row r="36">
      <c r="A36" s="502" t="n"/>
      <c r="B36" s="503" t="n"/>
      <c r="C36" s="503" t="n"/>
      <c r="D36" s="503" t="n"/>
      <c r="E36" s="503" t="n"/>
      <c r="F36" s="503" t="n"/>
      <c r="G36" s="503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  <c r="AI36" s="22" t="n"/>
      <c r="AJ36" s="22" t="n"/>
      <c r="AK36" s="22" t="n"/>
      <c r="AL36" s="22" t="n"/>
      <c r="AM36" s="22" t="n"/>
      <c r="AN36" s="22" t="n"/>
      <c r="AO36" s="22" t="n"/>
      <c r="AP36" s="22" t="n"/>
      <c r="AQ36" s="22" t="n"/>
      <c r="AR36" s="22" t="n"/>
      <c r="AS36" s="22" t="n"/>
      <c r="AT36" s="22" t="n"/>
      <c r="AU36" s="22" t="n"/>
      <c r="AV36" s="22" t="n"/>
      <c r="AW36" s="22" t="n"/>
      <c r="AX36" s="22" t="n"/>
      <c r="AY36" s="22" t="n"/>
      <c r="AZ36" s="22" t="n"/>
      <c r="BA36" s="22" t="n"/>
      <c r="BB36" s="22" t="n"/>
    </row>
    <row r="37">
      <c r="A37" s="502" t="n"/>
      <c r="B37" s="503" t="n"/>
      <c r="C37" s="503" t="n"/>
      <c r="D37" s="503" t="n"/>
      <c r="E37" s="503" t="n"/>
      <c r="F37" s="503" t="n"/>
      <c r="G37" s="503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2" t="n"/>
      <c r="AM37" s="22" t="n"/>
      <c r="AN37" s="22" t="n"/>
      <c r="AO37" s="22" t="n"/>
      <c r="AP37" s="22" t="n"/>
      <c r="AQ37" s="22" t="n"/>
      <c r="AR37" s="22" t="n"/>
      <c r="AS37" s="22" t="n"/>
      <c r="AT37" s="22" t="n"/>
      <c r="AU37" s="22" t="n"/>
      <c r="AV37" s="22" t="n"/>
      <c r="AW37" s="22" t="n"/>
      <c r="AX37" s="22" t="n"/>
      <c r="AY37" s="22" t="n"/>
      <c r="AZ37" s="22" t="n"/>
      <c r="BA37" s="22" t="n"/>
      <c r="BB37" s="22" t="n"/>
    </row>
    <row r="38">
      <c r="A38" s="502" t="n"/>
      <c r="B38" s="503" t="n"/>
      <c r="C38" s="503" t="n"/>
      <c r="D38" s="503" t="n"/>
      <c r="E38" s="503" t="n"/>
      <c r="F38" s="503" t="n"/>
      <c r="G38" s="503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</row>
    <row r="39">
      <c r="A39" s="502" t="n"/>
      <c r="B39" s="503" t="n"/>
      <c r="C39" s="503" t="n"/>
      <c r="D39" s="503" t="n"/>
      <c r="E39" s="503" t="n"/>
      <c r="F39" s="503" t="n"/>
      <c r="G39" s="503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2" t="n"/>
      <c r="AM39" s="22" t="n"/>
      <c r="AN39" s="22" t="n"/>
      <c r="AO39" s="22" t="n"/>
      <c r="AP39" s="22" t="n"/>
      <c r="AQ39" s="22" t="n"/>
      <c r="AR39" s="22" t="n"/>
      <c r="AS39" s="22" t="n"/>
      <c r="AT39" s="22" t="n"/>
      <c r="AU39" s="22" t="n"/>
      <c r="AV39" s="22" t="n"/>
      <c r="AW39" s="22" t="n"/>
      <c r="AX39" s="22" t="n"/>
      <c r="AY39" s="22" t="n"/>
      <c r="AZ39" s="22" t="n"/>
      <c r="BA39" s="22" t="n"/>
      <c r="BB39" s="22" t="n"/>
    </row>
    <row r="40">
      <c r="A40" s="502" t="n"/>
      <c r="B40" s="503" t="n"/>
      <c r="C40" s="503" t="n"/>
      <c r="D40" s="503" t="n"/>
      <c r="E40" s="503" t="n"/>
      <c r="F40" s="503" t="n"/>
      <c r="G40" s="503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2" t="n"/>
      <c r="AM40" s="22" t="n"/>
      <c r="AN40" s="22" t="n"/>
      <c r="AO40" s="22" t="n"/>
      <c r="AP40" s="22" t="n"/>
      <c r="AQ40" s="22" t="n"/>
      <c r="AR40" s="22" t="n"/>
      <c r="AS40" s="22" t="n"/>
      <c r="AT40" s="22" t="n"/>
      <c r="AU40" s="22" t="n"/>
      <c r="AV40" s="22" t="n"/>
      <c r="AW40" s="22" t="n"/>
      <c r="AX40" s="22" t="n"/>
      <c r="AY40" s="22" t="n"/>
      <c r="AZ40" s="22" t="n"/>
      <c r="BA40" s="22" t="n"/>
      <c r="BB40" s="22" t="n"/>
    </row>
    <row r="41">
      <c r="A41" s="502" t="n"/>
      <c r="B41" s="503" t="n"/>
      <c r="C41" s="503" t="n"/>
      <c r="D41" s="503" t="n"/>
      <c r="E41" s="503" t="n"/>
      <c r="F41" s="503" t="n"/>
      <c r="G41" s="503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/>
      <c r="AI41" s="22" t="n"/>
      <c r="AJ41" s="22" t="n"/>
      <c r="AK41" s="22" t="n"/>
      <c r="AL41" s="22" t="n"/>
      <c r="AM41" s="22" t="n"/>
      <c r="AN41" s="22" t="n"/>
      <c r="AO41" s="22" t="n"/>
      <c r="AP41" s="22" t="n"/>
      <c r="AQ41" s="22" t="n"/>
      <c r="AR41" s="22" t="n"/>
      <c r="AS41" s="22" t="n"/>
      <c r="AT41" s="22" t="n"/>
      <c r="AU41" s="22" t="n"/>
      <c r="AV41" s="22" t="n"/>
      <c r="AW41" s="22" t="n"/>
      <c r="AX41" s="22" t="n"/>
      <c r="AY41" s="22" t="n"/>
      <c r="AZ41" s="22" t="n"/>
      <c r="BA41" s="22" t="n"/>
      <c r="BB41" s="22" t="n"/>
    </row>
    <row r="42">
      <c r="A42" s="502" t="n"/>
      <c r="B42" s="503" t="n"/>
      <c r="C42" s="503" t="n"/>
      <c r="D42" s="503" t="n"/>
      <c r="E42" s="503" t="n"/>
      <c r="F42" s="503" t="n"/>
      <c r="G42" s="503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  <c r="AI42" s="22" t="n"/>
      <c r="AJ42" s="22" t="n"/>
      <c r="AK42" s="22" t="n"/>
      <c r="AL42" s="22" t="n"/>
      <c r="AM42" s="22" t="n"/>
      <c r="AN42" s="22" t="n"/>
      <c r="AO42" s="22" t="n"/>
      <c r="AP42" s="22" t="n"/>
      <c r="AQ42" s="22" t="n"/>
      <c r="AR42" s="22" t="n"/>
      <c r="AS42" s="22" t="n"/>
      <c r="AT42" s="22" t="n"/>
      <c r="AU42" s="22" t="n"/>
      <c r="AV42" s="22" t="n"/>
      <c r="AW42" s="22" t="n"/>
      <c r="AX42" s="22" t="n"/>
      <c r="AY42" s="22" t="n"/>
      <c r="AZ42" s="22" t="n"/>
      <c r="BA42" s="22" t="n"/>
      <c r="BB42" s="22" t="n"/>
    </row>
    <row r="43">
      <c r="A43" s="502" t="n"/>
      <c r="B43" s="503" t="n"/>
      <c r="C43" s="503" t="n"/>
      <c r="D43" s="503" t="n"/>
      <c r="E43" s="503" t="n"/>
      <c r="F43" s="503" t="n"/>
      <c r="G43" s="503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  <c r="AP43" s="22" t="n"/>
      <c r="AQ43" s="22" t="n"/>
      <c r="AR43" s="22" t="n"/>
      <c r="AS43" s="22" t="n"/>
      <c r="AT43" s="22" t="n"/>
      <c r="AU43" s="22" t="n"/>
      <c r="AV43" s="22" t="n"/>
      <c r="AW43" s="22" t="n"/>
      <c r="AX43" s="22" t="n"/>
      <c r="AY43" s="22" t="n"/>
      <c r="AZ43" s="22" t="n"/>
      <c r="BA43" s="22" t="n"/>
      <c r="BB43" s="22" t="n"/>
    </row>
    <row r="44">
      <c r="A44" s="502" t="n"/>
      <c r="B44" s="503" t="n"/>
      <c r="C44" s="503" t="n"/>
      <c r="D44" s="503" t="n"/>
      <c r="E44" s="503" t="n"/>
      <c r="F44" s="503" t="n"/>
      <c r="G44" s="503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22" t="n"/>
      <c r="AM44" s="22" t="n"/>
      <c r="AN44" s="22" t="n"/>
      <c r="AO44" s="22" t="n"/>
      <c r="AP44" s="22" t="n"/>
      <c r="AQ44" s="22" t="n"/>
      <c r="AR44" s="22" t="n"/>
      <c r="AS44" s="22" t="n"/>
      <c r="AT44" s="22" t="n"/>
      <c r="AU44" s="22" t="n"/>
      <c r="AV44" s="22" t="n"/>
      <c r="AW44" s="22" t="n"/>
      <c r="AX44" s="22" t="n"/>
      <c r="AY44" s="22" t="n"/>
      <c r="AZ44" s="22" t="n"/>
      <c r="BA44" s="22" t="n"/>
      <c r="BB44" s="22" t="n"/>
    </row>
    <row r="45">
      <c r="A45" s="502" t="n"/>
      <c r="B45" s="503" t="n"/>
      <c r="C45" s="503" t="n"/>
      <c r="D45" s="503" t="n"/>
      <c r="E45" s="503" t="n"/>
      <c r="F45" s="503" t="n"/>
      <c r="G45" s="503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2" t="n"/>
      <c r="AM45" s="22" t="n"/>
      <c r="AN45" s="22" t="n"/>
      <c r="AO45" s="22" t="n"/>
      <c r="AP45" s="22" t="n"/>
      <c r="AQ45" s="22" t="n"/>
      <c r="AR45" s="22" t="n"/>
      <c r="AS45" s="22" t="n"/>
      <c r="AT45" s="22" t="n"/>
      <c r="AU45" s="22" t="n"/>
      <c r="AV45" s="22" t="n"/>
      <c r="AW45" s="22" t="n"/>
      <c r="AX45" s="22" t="n"/>
      <c r="AY45" s="22" t="n"/>
      <c r="AZ45" s="22" t="n"/>
      <c r="BA45" s="22" t="n"/>
      <c r="BB45" s="22" t="n"/>
    </row>
    <row r="46">
      <c r="A46" s="502" t="n"/>
      <c r="B46" s="503" t="n"/>
      <c r="C46" s="503" t="n"/>
      <c r="D46" s="503" t="n"/>
      <c r="E46" s="503" t="n"/>
      <c r="F46" s="503" t="n"/>
      <c r="G46" s="503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2" t="n"/>
      <c r="AM46" s="22" t="n"/>
      <c r="AN46" s="22" t="n"/>
      <c r="AO46" s="22" t="n"/>
      <c r="AP46" s="22" t="n"/>
      <c r="AQ46" s="22" t="n"/>
      <c r="AR46" s="22" t="n"/>
      <c r="AS46" s="22" t="n"/>
      <c r="AT46" s="22" t="n"/>
      <c r="AU46" s="22" t="n"/>
      <c r="AV46" s="22" t="n"/>
      <c r="AW46" s="22" t="n"/>
      <c r="AX46" s="22" t="n"/>
      <c r="AY46" s="22" t="n"/>
      <c r="AZ46" s="22" t="n"/>
      <c r="BA46" s="22" t="n"/>
      <c r="BB46" s="22" t="n"/>
    </row>
    <row r="47">
      <c r="A47" s="502" t="n"/>
      <c r="B47" s="503" t="n"/>
      <c r="C47" s="503" t="n"/>
      <c r="D47" s="503" t="n"/>
      <c r="E47" s="503" t="n"/>
      <c r="F47" s="503" t="n"/>
      <c r="G47" s="503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2" t="n"/>
      <c r="AM47" s="22" t="n"/>
      <c r="AN47" s="22" t="n"/>
      <c r="AO47" s="22" t="n"/>
      <c r="AP47" s="22" t="n"/>
      <c r="AQ47" s="22" t="n"/>
      <c r="AR47" s="22" t="n"/>
      <c r="AS47" s="22" t="n"/>
      <c r="AT47" s="22" t="n"/>
      <c r="AU47" s="22" t="n"/>
      <c r="AV47" s="22" t="n"/>
      <c r="AW47" s="22" t="n"/>
      <c r="AX47" s="22" t="n"/>
      <c r="AY47" s="22" t="n"/>
      <c r="AZ47" s="22" t="n"/>
      <c r="BA47" s="22" t="n"/>
      <c r="BB47" s="22" t="n"/>
    </row>
    <row r="48">
      <c r="A48" s="502" t="n"/>
      <c r="B48" s="503" t="n"/>
      <c r="C48" s="503" t="n"/>
      <c r="D48" s="503" t="n"/>
      <c r="E48" s="503" t="n"/>
      <c r="F48" s="503" t="n"/>
      <c r="G48" s="503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  <c r="AI48" s="22" t="n"/>
      <c r="AJ48" s="22" t="n"/>
      <c r="AK48" s="22" t="n"/>
      <c r="AL48" s="22" t="n"/>
      <c r="AM48" s="22" t="n"/>
      <c r="AN48" s="22" t="n"/>
      <c r="AO48" s="22" t="n"/>
      <c r="AP48" s="22" t="n"/>
      <c r="AQ48" s="22" t="n"/>
      <c r="AR48" s="22" t="n"/>
      <c r="AS48" s="22" t="n"/>
      <c r="AT48" s="22" t="n"/>
      <c r="AU48" s="22" t="n"/>
      <c r="AV48" s="22" t="n"/>
      <c r="AW48" s="22" t="n"/>
      <c r="AX48" s="22" t="n"/>
      <c r="AY48" s="22" t="n"/>
      <c r="AZ48" s="22" t="n"/>
      <c r="BA48" s="22" t="n"/>
      <c r="BB48" s="22" t="n"/>
    </row>
    <row r="49">
      <c r="A49" s="502" t="n"/>
      <c r="B49" s="503" t="n"/>
      <c r="C49" s="503" t="n"/>
      <c r="D49" s="503" t="n"/>
      <c r="E49" s="503" t="n"/>
      <c r="F49" s="503" t="n"/>
      <c r="G49" s="503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2" t="n"/>
      <c r="AM49" s="22" t="n"/>
      <c r="AN49" s="22" t="n"/>
      <c r="AO49" s="22" t="n"/>
      <c r="AP49" s="22" t="n"/>
      <c r="AQ49" s="22" t="n"/>
      <c r="AR49" s="22" t="n"/>
      <c r="AS49" s="22" t="n"/>
      <c r="AT49" s="22" t="n"/>
      <c r="AU49" s="22" t="n"/>
      <c r="AV49" s="22" t="n"/>
      <c r="AW49" s="22" t="n"/>
      <c r="AX49" s="22" t="n"/>
      <c r="AY49" s="22" t="n"/>
      <c r="AZ49" s="22" t="n"/>
      <c r="BA49" s="22" t="n"/>
      <c r="BB49" s="22" t="n"/>
    </row>
    <row r="50">
      <c r="A50" s="502" t="n"/>
      <c r="B50" s="503" t="n"/>
      <c r="C50" s="503" t="n"/>
      <c r="D50" s="503" t="n"/>
      <c r="E50" s="503" t="n"/>
      <c r="F50" s="503" t="n"/>
      <c r="G50" s="503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2" t="n"/>
      <c r="AM50" s="22" t="n"/>
      <c r="AN50" s="22" t="n"/>
      <c r="AO50" s="22" t="n"/>
      <c r="AP50" s="22" t="n"/>
      <c r="AQ50" s="22" t="n"/>
      <c r="AR50" s="22" t="n"/>
      <c r="AS50" s="22" t="n"/>
      <c r="AT50" s="22" t="n"/>
      <c r="AU50" s="22" t="n"/>
      <c r="AV50" s="22" t="n"/>
      <c r="AW50" s="22" t="n"/>
      <c r="AX50" s="22" t="n"/>
      <c r="AY50" s="22" t="n"/>
      <c r="AZ50" s="22" t="n"/>
      <c r="BA50" s="22" t="n"/>
      <c r="BB50" s="22" t="n"/>
    </row>
    <row r="51">
      <c r="A51" s="504" t="n"/>
      <c r="B51" s="504" t="n"/>
      <c r="C51" s="504" t="n"/>
      <c r="D51" s="504" t="n"/>
      <c r="E51" s="504" t="n"/>
      <c r="F51" s="504" t="n"/>
      <c r="G51" s="504" t="n"/>
    </row>
    <row r="52">
      <c r="A52" s="504" t="n"/>
      <c r="B52" s="504" t="n"/>
      <c r="C52" s="504" t="n"/>
      <c r="D52" s="504" t="n"/>
      <c r="E52" s="504" t="n"/>
      <c r="F52" s="504" t="n"/>
      <c r="G52" s="504" t="n"/>
    </row>
    <row r="53">
      <c r="A53" s="504" t="n"/>
      <c r="B53" s="504" t="n"/>
      <c r="C53" s="504" t="n"/>
      <c r="D53" s="504" t="n"/>
      <c r="E53" s="504" t="n"/>
      <c r="F53" s="504" t="n"/>
      <c r="G53" s="504" t="n"/>
    </row>
    <row r="54">
      <c r="A54" s="504" t="n"/>
      <c r="B54" s="504" t="n"/>
      <c r="C54" s="504" t="n"/>
      <c r="D54" s="504" t="n"/>
      <c r="E54" s="504" t="n"/>
      <c r="F54" s="504" t="n"/>
      <c r="G54" s="504" t="n"/>
    </row>
    <row r="55">
      <c r="A55" s="504" t="n"/>
      <c r="B55" s="504" t="n"/>
      <c r="C55" s="504" t="n"/>
      <c r="D55" s="504" t="n"/>
      <c r="E55" s="504" t="n"/>
      <c r="F55" s="504" t="n"/>
      <c r="G55" s="504" t="n"/>
    </row>
    <row r="56">
      <c r="A56" s="504" t="n"/>
      <c r="B56" s="504" t="n"/>
      <c r="C56" s="504" t="n"/>
      <c r="D56" s="504" t="n"/>
      <c r="E56" s="504" t="n"/>
      <c r="F56" s="504" t="n"/>
      <c r="G56" s="504" t="n"/>
    </row>
    <row r="57">
      <c r="A57" s="504" t="n"/>
      <c r="B57" s="504" t="n"/>
      <c r="C57" s="504" t="n"/>
      <c r="D57" s="504" t="n"/>
      <c r="E57" s="504" t="n"/>
      <c r="F57" s="504" t="n"/>
      <c r="G57" s="504" t="n"/>
    </row>
    <row r="58">
      <c r="A58" s="504" t="n"/>
      <c r="B58" s="504" t="n"/>
      <c r="C58" s="504" t="n"/>
      <c r="D58" s="504" t="n"/>
      <c r="E58" s="504" t="n"/>
      <c r="F58" s="504" t="n"/>
      <c r="G58" s="504" t="n"/>
    </row>
    <row r="59">
      <c r="A59" s="504" t="n"/>
      <c r="B59" s="504" t="n"/>
      <c r="C59" s="504" t="n"/>
      <c r="D59" s="504" t="n"/>
      <c r="E59" s="504" t="n"/>
      <c r="F59" s="504" t="n"/>
      <c r="G59" s="504" t="n"/>
    </row>
    <row r="60">
      <c r="A60" s="504" t="n"/>
      <c r="B60" s="504" t="n"/>
      <c r="C60" s="504" t="n"/>
      <c r="D60" s="504" t="n"/>
      <c r="E60" s="504" t="n"/>
      <c r="F60" s="504" t="n"/>
      <c r="G60" s="504" t="n"/>
    </row>
    <row r="61">
      <c r="A61" s="504" t="n"/>
      <c r="B61" s="504" t="n"/>
      <c r="C61" s="504" t="n"/>
      <c r="D61" s="504" t="n"/>
      <c r="E61" s="504" t="n"/>
      <c r="F61" s="504" t="n"/>
      <c r="G61" s="504" t="n"/>
    </row>
    <row r="62">
      <c r="A62" s="504" t="n"/>
      <c r="B62" s="504" t="n"/>
      <c r="C62" s="504" t="n"/>
      <c r="D62" s="504" t="n"/>
      <c r="E62" s="504" t="n"/>
      <c r="F62" s="504" t="n"/>
      <c r="G62" s="504" t="n"/>
    </row>
    <row r="63">
      <c r="A63" s="504" t="n"/>
      <c r="B63" s="504" t="n"/>
      <c r="C63" s="504" t="n"/>
      <c r="D63" s="504" t="n"/>
      <c r="E63" s="504" t="n"/>
      <c r="F63" s="504" t="n"/>
      <c r="G63" s="504" t="n"/>
    </row>
    <row r="64">
      <c r="A64" s="504" t="n"/>
      <c r="B64" s="504" t="n"/>
      <c r="C64" s="504" t="n"/>
      <c r="D64" s="504" t="n"/>
      <c r="E64" s="504" t="n"/>
      <c r="F64" s="504" t="n"/>
      <c r="G64" s="504" t="n"/>
    </row>
    <row r="65">
      <c r="A65" s="504" t="n"/>
      <c r="B65" s="504" t="n"/>
      <c r="C65" s="504" t="n"/>
      <c r="D65" s="504" t="n"/>
      <c r="E65" s="504" t="n"/>
      <c r="F65" s="504" t="n"/>
      <c r="G65" s="504" t="n"/>
    </row>
    <row r="66">
      <c r="A66" s="504" t="n"/>
      <c r="B66" s="504" t="n"/>
      <c r="C66" s="504" t="n"/>
      <c r="D66" s="504" t="n"/>
      <c r="E66" s="504" t="n"/>
      <c r="F66" s="504" t="n"/>
      <c r="G66" s="504" t="n"/>
    </row>
    <row r="67">
      <c r="A67" s="504" t="n"/>
      <c r="B67" s="504" t="n"/>
      <c r="C67" s="504" t="n"/>
      <c r="D67" s="504" t="n"/>
      <c r="E67" s="504" t="n"/>
      <c r="F67" s="504" t="n"/>
      <c r="G67" s="504" t="n"/>
    </row>
    <row r="68">
      <c r="A68" s="504" t="n"/>
      <c r="B68" s="504" t="n"/>
      <c r="C68" s="504" t="n"/>
      <c r="D68" s="504" t="n"/>
      <c r="E68" s="504" t="n"/>
      <c r="F68" s="504" t="n"/>
      <c r="G68" s="504" t="n"/>
    </row>
    <row r="69">
      <c r="A69" s="504" t="n"/>
      <c r="B69" s="504" t="n"/>
      <c r="C69" s="504" t="n"/>
      <c r="D69" s="504" t="n"/>
      <c r="E69" s="504" t="n"/>
      <c r="F69" s="504" t="n"/>
      <c r="G69" s="504" t="n"/>
    </row>
    <row r="70">
      <c r="A70" s="504" t="n"/>
      <c r="B70" s="504" t="n"/>
      <c r="C70" s="504" t="n"/>
      <c r="D70" s="504" t="n"/>
      <c r="E70" s="504" t="n"/>
      <c r="F70" s="504" t="n"/>
      <c r="G70" s="504" t="n"/>
    </row>
    <row r="71">
      <c r="A71" s="504" t="n"/>
      <c r="B71" s="504" t="n"/>
      <c r="C71" s="504" t="n"/>
      <c r="D71" s="504" t="n"/>
      <c r="E71" s="504" t="n"/>
      <c r="F71" s="504" t="n"/>
      <c r="G71" s="504" t="n"/>
    </row>
    <row r="72">
      <c r="A72" s="504" t="n"/>
      <c r="B72" s="504" t="n"/>
      <c r="C72" s="504" t="n"/>
      <c r="D72" s="504" t="n"/>
      <c r="E72" s="504" t="n"/>
      <c r="F72" s="504" t="n"/>
      <c r="G72" s="504" t="n"/>
    </row>
    <row r="73">
      <c r="A73" s="504" t="n"/>
      <c r="B73" s="504" t="n"/>
      <c r="C73" s="504" t="n"/>
      <c r="D73" s="504" t="n"/>
      <c r="E73" s="504" t="n"/>
      <c r="F73" s="504" t="n"/>
      <c r="G73" s="504" t="n"/>
    </row>
    <row r="74">
      <c r="A74" s="504" t="n"/>
      <c r="B74" s="504" t="n"/>
      <c r="C74" s="504" t="n"/>
      <c r="D74" s="504" t="n"/>
      <c r="E74" s="504" t="n"/>
      <c r="F74" s="504" t="n"/>
      <c r="G74" s="504" t="n"/>
    </row>
    <row r="75">
      <c r="A75" s="504" t="n"/>
      <c r="B75" s="504" t="n"/>
      <c r="C75" s="504" t="n"/>
      <c r="D75" s="504" t="n"/>
      <c r="E75" s="504" t="n"/>
      <c r="F75" s="504" t="n"/>
      <c r="G75" s="504" t="n"/>
    </row>
    <row r="76">
      <c r="A76" s="504" t="n"/>
      <c r="B76" s="504" t="n"/>
      <c r="C76" s="504" t="n"/>
      <c r="D76" s="504" t="n"/>
      <c r="E76" s="504" t="n"/>
      <c r="F76" s="504" t="n"/>
      <c r="G76" s="504" t="n"/>
    </row>
    <row r="77">
      <c r="A77" s="504" t="n"/>
      <c r="B77" s="504" t="n"/>
      <c r="C77" s="504" t="n"/>
      <c r="D77" s="504" t="n"/>
      <c r="E77" s="504" t="n"/>
      <c r="F77" s="504" t="n"/>
      <c r="G77" s="504" t="n"/>
    </row>
    <row r="78">
      <c r="A78" s="504" t="n"/>
      <c r="B78" s="504" t="n"/>
      <c r="C78" s="504" t="n"/>
      <c r="D78" s="504" t="n"/>
      <c r="E78" s="504" t="n"/>
      <c r="F78" s="504" t="n"/>
      <c r="G78" s="504" t="n"/>
    </row>
    <row r="79">
      <c r="A79" s="504" t="n"/>
      <c r="B79" s="504" t="n"/>
      <c r="C79" s="504" t="n"/>
      <c r="D79" s="504" t="n"/>
      <c r="E79" s="504" t="n"/>
      <c r="F79" s="504" t="n"/>
      <c r="G79" s="504" t="n"/>
    </row>
    <row r="80">
      <c r="A80" s="504" t="n"/>
      <c r="B80" s="504" t="n"/>
      <c r="C80" s="504" t="n"/>
      <c r="D80" s="504" t="n"/>
      <c r="E80" s="504" t="n"/>
      <c r="F80" s="504" t="n"/>
      <c r="G80" s="504" t="n"/>
    </row>
    <row r="81">
      <c r="A81" s="504" t="n"/>
      <c r="B81" s="504" t="n"/>
      <c r="C81" s="504" t="n"/>
      <c r="D81" s="504" t="n"/>
      <c r="E81" s="504" t="n"/>
      <c r="F81" s="504" t="n"/>
      <c r="G81" s="504" t="n"/>
    </row>
    <row r="82">
      <c r="A82" s="504" t="n"/>
      <c r="B82" s="504" t="n"/>
      <c r="C82" s="504" t="n"/>
      <c r="D82" s="504" t="n"/>
      <c r="E82" s="504" t="n"/>
      <c r="F82" s="504" t="n"/>
      <c r="G82" s="504" t="n"/>
    </row>
    <row r="83">
      <c r="A83" s="504" t="n"/>
      <c r="B83" s="504" t="n"/>
      <c r="C83" s="504" t="n"/>
      <c r="D83" s="504" t="n"/>
      <c r="E83" s="504" t="n"/>
      <c r="F83" s="504" t="n"/>
      <c r="G83" s="504" t="n"/>
    </row>
    <row r="84">
      <c r="A84" s="504" t="n"/>
      <c r="B84" s="504" t="n"/>
      <c r="C84" s="504" t="n"/>
      <c r="D84" s="504" t="n"/>
      <c r="E84" s="504" t="n"/>
      <c r="F84" s="504" t="n"/>
      <c r="G84" s="504" t="n"/>
    </row>
    <row r="85">
      <c r="A85" s="504" t="n"/>
      <c r="B85" s="504" t="n"/>
      <c r="C85" s="504" t="n"/>
      <c r="D85" s="504" t="n"/>
      <c r="E85" s="504" t="n"/>
      <c r="F85" s="504" t="n"/>
      <c r="G85" s="504" t="n"/>
    </row>
    <row r="86">
      <c r="A86" s="504" t="n"/>
      <c r="B86" s="504" t="n"/>
      <c r="C86" s="504" t="n"/>
      <c r="D86" s="504" t="n"/>
      <c r="E86" s="504" t="n"/>
      <c r="F86" s="504" t="n"/>
      <c r="G86" s="504" t="n"/>
    </row>
    <row r="87">
      <c r="A87" s="504" t="n"/>
      <c r="B87" s="504" t="n"/>
      <c r="C87" s="504" t="n"/>
      <c r="D87" s="504" t="n"/>
      <c r="E87" s="504" t="n"/>
      <c r="F87" s="504" t="n"/>
      <c r="G87" s="504" t="n"/>
    </row>
    <row r="88">
      <c r="A88" s="504" t="n"/>
      <c r="B88" s="504" t="n"/>
      <c r="C88" s="504" t="n"/>
      <c r="D88" s="504" t="n"/>
      <c r="E88" s="504" t="n"/>
      <c r="F88" s="504" t="n"/>
      <c r="G88" s="504" t="n"/>
    </row>
    <row r="89">
      <c r="A89" s="504" t="n"/>
      <c r="B89" s="504" t="n"/>
      <c r="C89" s="504" t="n"/>
      <c r="D89" s="504" t="n"/>
      <c r="E89" s="504" t="n"/>
      <c r="F89" s="504" t="n"/>
      <c r="G89" s="504" t="n"/>
    </row>
    <row r="90">
      <c r="A90" s="504" t="n"/>
      <c r="B90" s="504" t="n"/>
      <c r="C90" s="504" t="n"/>
      <c r="D90" s="504" t="n"/>
      <c r="E90" s="504" t="n"/>
      <c r="F90" s="504" t="n"/>
      <c r="G90" s="504" t="n"/>
    </row>
    <row r="91">
      <c r="A91" s="504" t="n"/>
      <c r="B91" s="504" t="n"/>
      <c r="C91" s="504" t="n"/>
      <c r="D91" s="504" t="n"/>
      <c r="E91" s="504" t="n"/>
      <c r="F91" s="504" t="n"/>
      <c r="G91" s="504" t="n"/>
    </row>
    <row r="92">
      <c r="A92" s="504" t="n"/>
      <c r="B92" s="504" t="n"/>
      <c r="C92" s="504" t="n"/>
      <c r="D92" s="504" t="n"/>
      <c r="E92" s="504" t="n"/>
      <c r="F92" s="504" t="n"/>
      <c r="G92" s="504" t="n"/>
    </row>
    <row r="93">
      <c r="A93" s="504" t="n"/>
      <c r="B93" s="504" t="n"/>
      <c r="C93" s="504" t="n"/>
      <c r="D93" s="504" t="n"/>
      <c r="E93" s="504" t="n"/>
      <c r="F93" s="504" t="n"/>
      <c r="G93" s="504" t="n"/>
    </row>
    <row r="94">
      <c r="A94" s="504" t="n"/>
      <c r="B94" s="504" t="n"/>
      <c r="C94" s="504" t="n"/>
      <c r="D94" s="504" t="n"/>
      <c r="E94" s="504" t="n"/>
      <c r="F94" s="504" t="n"/>
      <c r="G94" s="504" t="n"/>
    </row>
    <row r="95">
      <c r="A95" s="504" t="n"/>
      <c r="B95" s="504" t="n"/>
      <c r="C95" s="504" t="n"/>
      <c r="D95" s="504" t="n"/>
      <c r="E95" s="504" t="n"/>
      <c r="F95" s="504" t="n"/>
      <c r="G95" s="504" t="n"/>
    </row>
    <row r="96">
      <c r="A96" s="504" t="n"/>
      <c r="B96" s="504" t="n"/>
      <c r="C96" s="504" t="n"/>
      <c r="D96" s="504" t="n"/>
      <c r="E96" s="504" t="n"/>
      <c r="F96" s="504" t="n"/>
      <c r="G96" s="504" t="n"/>
    </row>
    <row r="97">
      <c r="A97" s="504" t="n"/>
      <c r="B97" s="504" t="n"/>
      <c r="C97" s="504" t="n"/>
      <c r="D97" s="504" t="n"/>
      <c r="E97" s="504" t="n"/>
      <c r="F97" s="504" t="n"/>
      <c r="G97" s="504" t="n"/>
    </row>
    <row r="98">
      <c r="A98" s="504" t="n"/>
      <c r="B98" s="504" t="n"/>
      <c r="C98" s="504" t="n"/>
      <c r="D98" s="504" t="n"/>
      <c r="E98" s="504" t="n"/>
      <c r="F98" s="504" t="n"/>
      <c r="G98" s="504" t="n"/>
    </row>
    <row r="99">
      <c r="A99" s="504" t="n"/>
      <c r="B99" s="504" t="n"/>
      <c r="C99" s="504" t="n"/>
      <c r="D99" s="504" t="n"/>
      <c r="E99" s="504" t="n"/>
      <c r="F99" s="504" t="n"/>
      <c r="G99" s="504" t="n"/>
    </row>
    <row r="100">
      <c r="A100" s="504" t="n"/>
      <c r="B100" s="504" t="n"/>
      <c r="C100" s="504" t="n"/>
      <c r="D100" s="504" t="n"/>
      <c r="E100" s="504" t="n"/>
      <c r="F100" s="504" t="n"/>
      <c r="G100" s="504" t="n"/>
    </row>
    <row r="101">
      <c r="A101" s="504" t="n"/>
      <c r="B101" s="504" t="n"/>
      <c r="C101" s="504" t="n"/>
      <c r="D101" s="504" t="n"/>
      <c r="E101" s="504" t="n"/>
      <c r="F101" s="504" t="n"/>
      <c r="G101" s="504" t="n"/>
    </row>
    <row r="102">
      <c r="A102" s="504" t="n"/>
      <c r="B102" s="504" t="n"/>
      <c r="C102" s="504" t="n"/>
      <c r="D102" s="504" t="n"/>
      <c r="E102" s="504" t="n"/>
      <c r="F102" s="504" t="n"/>
      <c r="G102" s="504" t="n"/>
    </row>
    <row r="103">
      <c r="A103" s="504" t="n"/>
      <c r="B103" s="504" t="n"/>
      <c r="C103" s="504" t="n"/>
      <c r="D103" s="504" t="n"/>
      <c r="E103" s="504" t="n"/>
      <c r="F103" s="504" t="n"/>
      <c r="G103" s="504" t="n"/>
    </row>
    <row r="104">
      <c r="A104" s="504" t="n"/>
      <c r="B104" s="504" t="n"/>
      <c r="C104" s="504" t="n"/>
      <c r="D104" s="504" t="n"/>
      <c r="E104" s="504" t="n"/>
      <c r="F104" s="504" t="n"/>
      <c r="G104" s="504" t="n"/>
    </row>
    <row r="105">
      <c r="A105" s="504" t="n"/>
      <c r="B105" s="504" t="n"/>
      <c r="C105" s="504" t="n"/>
      <c r="D105" s="504" t="n"/>
      <c r="E105" s="504" t="n"/>
      <c r="F105" s="504" t="n"/>
      <c r="G105" s="504" t="n"/>
    </row>
    <row r="106">
      <c r="A106" s="504" t="n"/>
      <c r="B106" s="504" t="n"/>
      <c r="C106" s="504" t="n"/>
      <c r="D106" s="504" t="n"/>
      <c r="E106" s="504" t="n"/>
      <c r="F106" s="504" t="n"/>
      <c r="G106" s="504" t="n"/>
    </row>
    <row r="107">
      <c r="A107" s="504" t="n"/>
      <c r="B107" s="504" t="n"/>
      <c r="C107" s="504" t="n"/>
      <c r="D107" s="504" t="n"/>
      <c r="E107" s="504" t="n"/>
      <c r="F107" s="504" t="n"/>
      <c r="G107" s="504" t="n"/>
    </row>
    <row r="108">
      <c r="A108" s="504" t="n"/>
      <c r="B108" s="504" t="n"/>
      <c r="C108" s="504" t="n"/>
      <c r="D108" s="504" t="n"/>
      <c r="E108" s="504" t="n"/>
      <c r="F108" s="504" t="n"/>
      <c r="G108" s="504" t="n"/>
    </row>
    <row r="109">
      <c r="A109" s="504" t="n"/>
      <c r="B109" s="504" t="n"/>
      <c r="C109" s="504" t="n"/>
      <c r="D109" s="504" t="n"/>
      <c r="E109" s="504" t="n"/>
      <c r="F109" s="504" t="n"/>
      <c r="G109" s="504" t="n"/>
    </row>
    <row r="110">
      <c r="A110" s="504" t="n"/>
      <c r="B110" s="504" t="n"/>
      <c r="C110" s="504" t="n"/>
      <c r="D110" s="504" t="n"/>
      <c r="E110" s="504" t="n"/>
      <c r="F110" s="504" t="n"/>
      <c r="G110" s="504" t="n"/>
    </row>
    <row r="111">
      <c r="A111" s="504" t="n"/>
      <c r="B111" s="504" t="n"/>
      <c r="C111" s="504" t="n"/>
      <c r="D111" s="504" t="n"/>
      <c r="E111" s="504" t="n"/>
      <c r="F111" s="504" t="n"/>
      <c r="G111" s="504" t="n"/>
    </row>
    <row r="112">
      <c r="A112" s="504" t="n"/>
      <c r="B112" s="504" t="n"/>
      <c r="C112" s="504" t="n"/>
      <c r="D112" s="504" t="n"/>
      <c r="E112" s="504" t="n"/>
      <c r="F112" s="504" t="n"/>
      <c r="G112" s="504" t="n"/>
    </row>
    <row r="113">
      <c r="A113" s="504" t="n"/>
      <c r="B113" s="504" t="n"/>
      <c r="C113" s="504" t="n"/>
      <c r="D113" s="504" t="n"/>
      <c r="E113" s="504" t="n"/>
      <c r="F113" s="504" t="n"/>
      <c r="G113" s="504" t="n"/>
    </row>
    <row r="114">
      <c r="A114" s="504" t="n"/>
      <c r="B114" s="504" t="n"/>
      <c r="C114" s="504" t="n"/>
      <c r="D114" s="504" t="n"/>
      <c r="E114" s="504" t="n"/>
      <c r="F114" s="504" t="n"/>
      <c r="G114" s="504" t="n"/>
    </row>
    <row r="115">
      <c r="A115" s="504" t="n"/>
      <c r="B115" s="504" t="n"/>
      <c r="C115" s="504" t="n"/>
      <c r="D115" s="504" t="n"/>
      <c r="E115" s="504" t="n"/>
      <c r="F115" s="504" t="n"/>
      <c r="G115" s="504" t="n"/>
    </row>
    <row r="116">
      <c r="A116" s="504" t="n"/>
      <c r="B116" s="504" t="n"/>
      <c r="C116" s="504" t="n"/>
      <c r="D116" s="504" t="n"/>
      <c r="E116" s="504" t="n"/>
      <c r="F116" s="504" t="n"/>
      <c r="G116" s="504" t="n"/>
    </row>
    <row r="117">
      <c r="A117" s="504" t="n"/>
      <c r="B117" s="504" t="n"/>
      <c r="C117" s="504" t="n"/>
      <c r="D117" s="504" t="n"/>
      <c r="E117" s="504" t="n"/>
      <c r="F117" s="504" t="n"/>
      <c r="G117" s="504" t="n"/>
    </row>
    <row r="118">
      <c r="A118" s="504" t="n"/>
      <c r="B118" s="504" t="n"/>
      <c r="C118" s="504" t="n"/>
      <c r="D118" s="504" t="n"/>
      <c r="E118" s="504" t="n"/>
      <c r="F118" s="504" t="n"/>
      <c r="G118" s="504" t="n"/>
    </row>
    <row r="119">
      <c r="A119" s="504" t="n"/>
      <c r="B119" s="504" t="n"/>
      <c r="C119" s="504" t="n"/>
      <c r="D119" s="504" t="n"/>
      <c r="E119" s="504" t="n"/>
      <c r="F119" s="504" t="n"/>
      <c r="G119" s="504" t="n"/>
    </row>
    <row r="120">
      <c r="A120" s="504" t="n"/>
      <c r="B120" s="504" t="n"/>
      <c r="C120" s="504" t="n"/>
      <c r="D120" s="504" t="n"/>
      <c r="E120" s="504" t="n"/>
      <c r="F120" s="504" t="n"/>
      <c r="G120" s="504" t="n"/>
    </row>
    <row r="121">
      <c r="A121" s="504" t="n"/>
      <c r="B121" s="504" t="n"/>
      <c r="C121" s="504" t="n"/>
      <c r="D121" s="504" t="n"/>
      <c r="E121" s="504" t="n"/>
      <c r="F121" s="504" t="n"/>
      <c r="G121" s="504" t="n"/>
    </row>
    <row r="122">
      <c r="A122" s="504" t="n"/>
      <c r="B122" s="504" t="n"/>
      <c r="C122" s="504" t="n"/>
      <c r="D122" s="504" t="n"/>
      <c r="E122" s="504" t="n"/>
      <c r="F122" s="504" t="n"/>
      <c r="G122" s="504" t="n"/>
    </row>
    <row r="123">
      <c r="A123" s="504" t="n"/>
      <c r="B123" s="504" t="n"/>
      <c r="C123" s="504" t="n"/>
      <c r="D123" s="504" t="n"/>
      <c r="E123" s="504" t="n"/>
      <c r="F123" s="504" t="n"/>
      <c r="G123" s="504" t="n"/>
    </row>
    <row r="124">
      <c r="A124" s="504" t="n"/>
      <c r="B124" s="504" t="n"/>
      <c r="C124" s="504" t="n"/>
      <c r="D124" s="504" t="n"/>
      <c r="E124" s="504" t="n"/>
      <c r="F124" s="504" t="n"/>
      <c r="G124" s="504" t="n"/>
    </row>
    <row r="125">
      <c r="A125" s="504" t="n"/>
      <c r="B125" s="504" t="n"/>
      <c r="C125" s="504" t="n"/>
      <c r="D125" s="504" t="n"/>
      <c r="E125" s="504" t="n"/>
      <c r="F125" s="504" t="n"/>
      <c r="G125" s="504" t="n"/>
    </row>
    <row r="126">
      <c r="A126" s="504" t="n"/>
      <c r="B126" s="504" t="n"/>
      <c r="C126" s="504" t="n"/>
      <c r="D126" s="504" t="n"/>
      <c r="E126" s="504" t="n"/>
      <c r="F126" s="504" t="n"/>
      <c r="G126" s="504" t="n"/>
    </row>
    <row r="127">
      <c r="A127" s="504" t="n"/>
      <c r="B127" s="504" t="n"/>
      <c r="C127" s="504" t="n"/>
      <c r="D127" s="504" t="n"/>
      <c r="E127" s="504" t="n"/>
      <c r="F127" s="504" t="n"/>
      <c r="G127" s="504" t="n"/>
    </row>
    <row r="128">
      <c r="A128" s="504" t="n"/>
      <c r="B128" s="504" t="n"/>
      <c r="C128" s="504" t="n"/>
      <c r="D128" s="504" t="n"/>
      <c r="E128" s="504" t="n"/>
      <c r="F128" s="504" t="n"/>
      <c r="G128" s="504" t="n"/>
    </row>
    <row r="129">
      <c r="A129" s="504" t="n"/>
      <c r="B129" s="504" t="n"/>
      <c r="C129" s="504" t="n"/>
      <c r="D129" s="504" t="n"/>
      <c r="E129" s="504" t="n"/>
      <c r="F129" s="504" t="n"/>
      <c r="G129" s="504" t="n"/>
    </row>
    <row r="130">
      <c r="A130" s="504" t="n"/>
      <c r="B130" s="504" t="n"/>
      <c r="C130" s="504" t="n"/>
      <c r="D130" s="504" t="n"/>
      <c r="E130" s="504" t="n"/>
      <c r="F130" s="504" t="n"/>
      <c r="G130" s="504" t="n"/>
    </row>
    <row r="131">
      <c r="A131" s="504" t="n"/>
      <c r="B131" s="504" t="n"/>
      <c r="C131" s="504" t="n"/>
      <c r="D131" s="504" t="n"/>
      <c r="E131" s="504" t="n"/>
      <c r="F131" s="504" t="n"/>
      <c r="G131" s="504" t="n"/>
    </row>
    <row r="132">
      <c r="A132" s="504" t="n"/>
      <c r="B132" s="504" t="n"/>
      <c r="C132" s="504" t="n"/>
      <c r="D132" s="504" t="n"/>
      <c r="E132" s="504" t="n"/>
      <c r="F132" s="504" t="n"/>
      <c r="G132" s="504" t="n"/>
    </row>
    <row r="133">
      <c r="A133" s="504" t="n"/>
      <c r="B133" s="504" t="n"/>
      <c r="C133" s="504" t="n"/>
      <c r="D133" s="504" t="n"/>
      <c r="E133" s="504" t="n"/>
      <c r="F133" s="504" t="n"/>
      <c r="G133" s="504" t="n"/>
    </row>
    <row r="134">
      <c r="A134" s="504" t="n"/>
      <c r="B134" s="504" t="n"/>
      <c r="C134" s="504" t="n"/>
      <c r="D134" s="504" t="n"/>
      <c r="E134" s="504" t="n"/>
      <c r="F134" s="504" t="n"/>
      <c r="G134" s="504" t="n"/>
    </row>
    <row r="135">
      <c r="A135" s="504" t="n"/>
      <c r="B135" s="504" t="n"/>
      <c r="C135" s="504" t="n"/>
      <c r="D135" s="504" t="n"/>
      <c r="E135" s="504" t="n"/>
      <c r="F135" s="504" t="n"/>
      <c r="G135" s="504" t="n"/>
    </row>
    <row r="136">
      <c r="A136" s="504" t="n"/>
      <c r="B136" s="504" t="n"/>
      <c r="C136" s="504" t="n"/>
      <c r="D136" s="504" t="n"/>
      <c r="E136" s="504" t="n"/>
      <c r="F136" s="504" t="n"/>
      <c r="G136" s="504" t="n"/>
    </row>
    <row r="137">
      <c r="A137" s="504" t="n"/>
      <c r="B137" s="504" t="n"/>
      <c r="C137" s="504" t="n"/>
      <c r="D137" s="504" t="n"/>
      <c r="E137" s="504" t="n"/>
      <c r="F137" s="504" t="n"/>
      <c r="G137" s="504" t="n"/>
    </row>
    <row r="138">
      <c r="A138" s="504" t="n"/>
      <c r="B138" s="504" t="n"/>
      <c r="C138" s="504" t="n"/>
      <c r="D138" s="504" t="n"/>
      <c r="E138" s="504" t="n"/>
      <c r="F138" s="504" t="n"/>
      <c r="G138" s="504" t="n"/>
    </row>
    <row r="139">
      <c r="A139" s="504" t="n"/>
      <c r="B139" s="504" t="n"/>
      <c r="C139" s="504" t="n"/>
      <c r="D139" s="504" t="n"/>
      <c r="E139" s="504" t="n"/>
      <c r="F139" s="504" t="n"/>
      <c r="G139" s="504" t="n"/>
    </row>
    <row r="140">
      <c r="A140" s="504" t="n"/>
      <c r="B140" s="504" t="n"/>
      <c r="C140" s="504" t="n"/>
      <c r="D140" s="504" t="n"/>
      <c r="E140" s="504" t="n"/>
      <c r="F140" s="504" t="n"/>
      <c r="G140" s="504" t="n"/>
    </row>
    <row r="141">
      <c r="A141" s="504" t="n"/>
      <c r="B141" s="504" t="n"/>
      <c r="C141" s="504" t="n"/>
      <c r="D141" s="504" t="n"/>
      <c r="E141" s="504" t="n"/>
      <c r="F141" s="504" t="n"/>
      <c r="G141" s="504" t="n"/>
    </row>
    <row r="142">
      <c r="A142" s="504" t="n"/>
      <c r="B142" s="504" t="n"/>
      <c r="C142" s="504" t="n"/>
      <c r="D142" s="504" t="n"/>
      <c r="E142" s="504" t="n"/>
      <c r="F142" s="504" t="n"/>
      <c r="G142" s="504" t="n"/>
    </row>
    <row r="143">
      <c r="A143" s="504" t="n"/>
      <c r="B143" s="504" t="n"/>
      <c r="C143" s="504" t="n"/>
      <c r="D143" s="504" t="n"/>
      <c r="E143" s="504" t="n"/>
      <c r="F143" s="504" t="n"/>
      <c r="G143" s="504" t="n"/>
    </row>
    <row r="144">
      <c r="A144" s="504" t="n"/>
      <c r="B144" s="504" t="n"/>
      <c r="C144" s="504" t="n"/>
      <c r="D144" s="504" t="n"/>
      <c r="E144" s="504" t="n"/>
      <c r="F144" s="504" t="n"/>
      <c r="G144" s="504" t="n"/>
    </row>
    <row r="145">
      <c r="A145" s="504" t="n"/>
      <c r="B145" s="504" t="n"/>
      <c r="C145" s="504" t="n"/>
      <c r="D145" s="504" t="n"/>
      <c r="E145" s="504" t="n"/>
      <c r="F145" s="504" t="n"/>
      <c r="G145" s="504" t="n"/>
    </row>
    <row r="146">
      <c r="A146" s="504" t="n"/>
      <c r="B146" s="504" t="n"/>
      <c r="C146" s="504" t="n"/>
      <c r="D146" s="504" t="n"/>
      <c r="E146" s="504" t="n"/>
      <c r="F146" s="504" t="n"/>
      <c r="G146" s="504" t="n"/>
    </row>
    <row r="147">
      <c r="A147" s="504" t="n"/>
      <c r="B147" s="504" t="n"/>
      <c r="C147" s="504" t="n"/>
      <c r="D147" s="504" t="n"/>
      <c r="E147" s="504" t="n"/>
      <c r="F147" s="504" t="n"/>
      <c r="G147" s="504" t="n"/>
    </row>
    <row r="148">
      <c r="A148" s="504" t="n"/>
      <c r="B148" s="504" t="n"/>
      <c r="C148" s="504" t="n"/>
      <c r="D148" s="504" t="n"/>
      <c r="E148" s="504" t="n"/>
      <c r="F148" s="504" t="n"/>
      <c r="G148" s="504" t="n"/>
    </row>
    <row r="149">
      <c r="A149" s="504" t="n"/>
      <c r="B149" s="504" t="n"/>
      <c r="C149" s="504" t="n"/>
      <c r="D149" s="504" t="n"/>
      <c r="E149" s="504" t="n"/>
      <c r="F149" s="504" t="n"/>
      <c r="G149" s="504" t="n"/>
    </row>
    <row r="150">
      <c r="A150" s="504" t="n"/>
      <c r="B150" s="504" t="n"/>
      <c r="C150" s="504" t="n"/>
      <c r="D150" s="504" t="n"/>
      <c r="E150" s="504" t="n"/>
      <c r="F150" s="504" t="n"/>
      <c r="G150" s="504" t="n"/>
    </row>
    <row r="151">
      <c r="A151" s="504" t="n"/>
      <c r="B151" s="504" t="n"/>
      <c r="C151" s="504" t="n"/>
      <c r="D151" s="504" t="n"/>
      <c r="E151" s="504" t="n"/>
      <c r="F151" s="504" t="n"/>
      <c r="G151" s="504" t="n"/>
    </row>
    <row r="152">
      <c r="A152" s="504" t="n"/>
      <c r="B152" s="504" t="n"/>
      <c r="C152" s="504" t="n"/>
      <c r="D152" s="504" t="n"/>
      <c r="E152" s="504" t="n"/>
      <c r="F152" s="504" t="n"/>
      <c r="G152" s="504" t="n"/>
    </row>
    <row r="153">
      <c r="A153" s="504" t="n"/>
      <c r="B153" s="504" t="n"/>
      <c r="C153" s="504" t="n"/>
      <c r="D153" s="504" t="n"/>
      <c r="E153" s="504" t="n"/>
      <c r="F153" s="504" t="n"/>
      <c r="G153" s="504" t="n"/>
    </row>
    <row r="154">
      <c r="A154" s="504" t="n"/>
      <c r="B154" s="504" t="n"/>
      <c r="C154" s="504" t="n"/>
      <c r="D154" s="504" t="n"/>
      <c r="E154" s="504" t="n"/>
      <c r="F154" s="504" t="n"/>
      <c r="G154" s="504" t="n"/>
    </row>
    <row r="155">
      <c r="A155" s="504" t="n"/>
      <c r="B155" s="504" t="n"/>
      <c r="C155" s="504" t="n"/>
      <c r="D155" s="504" t="n"/>
      <c r="E155" s="504" t="n"/>
      <c r="F155" s="504" t="n"/>
      <c r="G155" s="504" t="n"/>
    </row>
    <row r="156">
      <c r="A156" s="504" t="n"/>
      <c r="B156" s="504" t="n"/>
      <c r="C156" s="504" t="n"/>
      <c r="D156" s="504" t="n"/>
      <c r="E156" s="504" t="n"/>
      <c r="F156" s="504" t="n"/>
      <c r="G156" s="504" t="n"/>
    </row>
    <row r="157">
      <c r="A157" s="504" t="n"/>
      <c r="B157" s="504" t="n"/>
      <c r="C157" s="504" t="n"/>
      <c r="D157" s="504" t="n"/>
      <c r="E157" s="504" t="n"/>
      <c r="F157" s="504" t="n"/>
      <c r="G157" s="504" t="n"/>
    </row>
    <row r="158">
      <c r="A158" s="504" t="n"/>
      <c r="B158" s="504" t="n"/>
      <c r="C158" s="504" t="n"/>
      <c r="D158" s="504" t="n"/>
      <c r="E158" s="504" t="n"/>
      <c r="F158" s="504" t="n"/>
      <c r="G158" s="504" t="n"/>
    </row>
    <row r="159">
      <c r="A159" s="504" t="n"/>
      <c r="B159" s="504" t="n"/>
      <c r="C159" s="504" t="n"/>
      <c r="D159" s="504" t="n"/>
      <c r="E159" s="504" t="n"/>
      <c r="F159" s="504" t="n"/>
      <c r="G159" s="504" t="n"/>
    </row>
    <row r="160">
      <c r="A160" s="504" t="n"/>
      <c r="B160" s="504" t="n"/>
      <c r="C160" s="504" t="n"/>
      <c r="D160" s="504" t="n"/>
      <c r="E160" s="504" t="n"/>
      <c r="F160" s="504" t="n"/>
      <c r="G160" s="504" t="n"/>
    </row>
    <row r="161">
      <c r="A161" s="504" t="n"/>
      <c r="B161" s="504" t="n"/>
      <c r="C161" s="504" t="n"/>
      <c r="D161" s="504" t="n"/>
      <c r="E161" s="504" t="n"/>
      <c r="F161" s="504" t="n"/>
      <c r="G161" s="504" t="n"/>
    </row>
    <row r="162">
      <c r="A162" s="504" t="n"/>
      <c r="B162" s="504" t="n"/>
      <c r="C162" s="504" t="n"/>
      <c r="D162" s="504" t="n"/>
      <c r="E162" s="504" t="n"/>
      <c r="F162" s="504" t="n"/>
      <c r="G162" s="504" t="n"/>
    </row>
    <row r="163">
      <c r="A163" s="504" t="n"/>
      <c r="B163" s="504" t="n"/>
      <c r="C163" s="504" t="n"/>
      <c r="D163" s="504" t="n"/>
      <c r="E163" s="504" t="n"/>
      <c r="F163" s="504" t="n"/>
      <c r="G163" s="504" t="n"/>
    </row>
    <row r="164">
      <c r="A164" s="504" t="n"/>
      <c r="B164" s="504" t="n"/>
      <c r="C164" s="504" t="n"/>
      <c r="D164" s="504" t="n"/>
      <c r="E164" s="504" t="n"/>
      <c r="F164" s="504" t="n"/>
      <c r="G164" s="504" t="n"/>
    </row>
    <row r="165">
      <c r="A165" s="504" t="n"/>
      <c r="B165" s="504" t="n"/>
      <c r="C165" s="504" t="n"/>
      <c r="D165" s="504" t="n"/>
      <c r="E165" s="504" t="n"/>
      <c r="F165" s="504" t="n"/>
      <c r="G165" s="504" t="n"/>
    </row>
    <row r="166">
      <c r="A166" s="504" t="n"/>
      <c r="B166" s="504" t="n"/>
      <c r="C166" s="504" t="n"/>
      <c r="D166" s="504" t="n"/>
      <c r="E166" s="504" t="n"/>
      <c r="F166" s="504" t="n"/>
      <c r="G166" s="504" t="n"/>
    </row>
    <row r="167">
      <c r="A167" s="504" t="n"/>
      <c r="B167" s="504" t="n"/>
      <c r="C167" s="504" t="n"/>
      <c r="D167" s="504" t="n"/>
      <c r="E167" s="504" t="n"/>
      <c r="F167" s="504" t="n"/>
      <c r="G167" s="504" t="n"/>
    </row>
    <row r="168">
      <c r="A168" s="504" t="n"/>
      <c r="B168" s="504" t="n"/>
      <c r="C168" s="504" t="n"/>
      <c r="D168" s="504" t="n"/>
      <c r="E168" s="504" t="n"/>
      <c r="F168" s="504" t="n"/>
      <c r="G168" s="504" t="n"/>
    </row>
    <row r="169">
      <c r="A169" s="504" t="n"/>
      <c r="B169" s="504" t="n"/>
      <c r="C169" s="504" t="n"/>
      <c r="D169" s="504" t="n"/>
      <c r="E169" s="504" t="n"/>
      <c r="F169" s="504" t="n"/>
      <c r="G169" s="504" t="n"/>
    </row>
    <row r="170">
      <c r="A170" s="504" t="n"/>
      <c r="B170" s="504" t="n"/>
      <c r="C170" s="504" t="n"/>
      <c r="D170" s="504" t="n"/>
      <c r="E170" s="504" t="n"/>
      <c r="F170" s="504" t="n"/>
      <c r="G170" s="504" t="n"/>
    </row>
    <row r="171">
      <c r="A171" s="504" t="n"/>
      <c r="B171" s="504" t="n"/>
      <c r="C171" s="504" t="n"/>
      <c r="D171" s="504" t="n"/>
      <c r="E171" s="504" t="n"/>
      <c r="F171" s="504" t="n"/>
      <c r="G171" s="504" t="n"/>
    </row>
    <row r="172">
      <c r="A172" s="504" t="n"/>
      <c r="B172" s="504" t="n"/>
      <c r="C172" s="504" t="n"/>
      <c r="D172" s="504" t="n"/>
      <c r="E172" s="504" t="n"/>
      <c r="F172" s="504" t="n"/>
      <c r="G172" s="504" t="n"/>
    </row>
    <row r="173">
      <c r="A173" s="504" t="n"/>
      <c r="B173" s="504" t="n"/>
      <c r="C173" s="504" t="n"/>
      <c r="D173" s="504" t="n"/>
      <c r="E173" s="504" t="n"/>
      <c r="F173" s="504" t="n"/>
      <c r="G173" s="504" t="n"/>
    </row>
    <row r="174">
      <c r="A174" s="504" t="n"/>
      <c r="B174" s="504" t="n"/>
      <c r="C174" s="504" t="n"/>
      <c r="D174" s="504" t="n"/>
      <c r="E174" s="504" t="n"/>
      <c r="F174" s="504" t="n"/>
      <c r="G174" s="504" t="n"/>
    </row>
    <row r="175">
      <c r="A175" s="504" t="n"/>
      <c r="B175" s="504" t="n"/>
      <c r="C175" s="504" t="n"/>
      <c r="D175" s="504" t="n"/>
      <c r="E175" s="504" t="n"/>
      <c r="F175" s="504" t="n"/>
      <c r="G175" s="504" t="n"/>
    </row>
    <row r="176">
      <c r="A176" s="504" t="n"/>
      <c r="B176" s="504" t="n"/>
      <c r="C176" s="504" t="n"/>
      <c r="D176" s="504" t="n"/>
      <c r="E176" s="504" t="n"/>
      <c r="F176" s="504" t="n"/>
      <c r="G176" s="504" t="n"/>
    </row>
    <row r="177">
      <c r="A177" s="504" t="n"/>
      <c r="B177" s="504" t="n"/>
      <c r="C177" s="504" t="n"/>
      <c r="D177" s="504" t="n"/>
      <c r="E177" s="504" t="n"/>
      <c r="F177" s="504" t="n"/>
      <c r="G177" s="504" t="n"/>
    </row>
    <row r="178">
      <c r="A178" s="504" t="n"/>
      <c r="B178" s="504" t="n"/>
      <c r="C178" s="504" t="n"/>
      <c r="D178" s="504" t="n"/>
      <c r="E178" s="504" t="n"/>
      <c r="F178" s="504" t="n"/>
      <c r="G178" s="504" t="n"/>
    </row>
    <row r="179">
      <c r="A179" s="504" t="n"/>
      <c r="B179" s="504" t="n"/>
      <c r="C179" s="504" t="n"/>
      <c r="D179" s="504" t="n"/>
      <c r="E179" s="504" t="n"/>
      <c r="F179" s="504" t="n"/>
      <c r="G179" s="504" t="n"/>
    </row>
    <row r="180">
      <c r="A180" s="504" t="n"/>
      <c r="B180" s="504" t="n"/>
      <c r="C180" s="504" t="n"/>
      <c r="D180" s="504" t="n"/>
      <c r="E180" s="504" t="n"/>
      <c r="F180" s="504" t="n"/>
      <c r="G180" s="504" t="n"/>
    </row>
    <row r="181">
      <c r="A181" s="504" t="n"/>
      <c r="B181" s="504" t="n"/>
      <c r="C181" s="504" t="n"/>
      <c r="D181" s="504" t="n"/>
      <c r="E181" s="504" t="n"/>
      <c r="F181" s="504" t="n"/>
      <c r="G181" s="504" t="n"/>
    </row>
    <row r="182">
      <c r="A182" s="504" t="n"/>
      <c r="B182" s="504" t="n"/>
      <c r="C182" s="504" t="n"/>
      <c r="D182" s="504" t="n"/>
      <c r="E182" s="504" t="n"/>
      <c r="F182" s="504" t="n"/>
      <c r="G182" s="504" t="n"/>
    </row>
    <row r="183">
      <c r="A183" s="504" t="n"/>
      <c r="B183" s="504" t="n"/>
      <c r="C183" s="504" t="n"/>
      <c r="D183" s="504" t="n"/>
      <c r="E183" s="504" t="n"/>
      <c r="F183" s="504" t="n"/>
      <c r="G183" s="504" t="n"/>
    </row>
    <row r="184">
      <c r="A184" s="504" t="n"/>
      <c r="B184" s="504" t="n"/>
      <c r="C184" s="504" t="n"/>
      <c r="D184" s="504" t="n"/>
      <c r="E184" s="504" t="n"/>
      <c r="F184" s="504" t="n"/>
      <c r="G184" s="504" t="n"/>
    </row>
    <row r="185">
      <c r="A185" s="504" t="n"/>
      <c r="B185" s="504" t="n"/>
      <c r="C185" s="504" t="n"/>
      <c r="D185" s="504" t="n"/>
      <c r="E185" s="504" t="n"/>
      <c r="F185" s="504" t="n"/>
      <c r="G185" s="504" t="n"/>
    </row>
    <row r="186">
      <c r="A186" s="504" t="n"/>
      <c r="B186" s="504" t="n"/>
      <c r="C186" s="504" t="n"/>
      <c r="D186" s="504" t="n"/>
      <c r="E186" s="504" t="n"/>
      <c r="F186" s="504" t="n"/>
      <c r="G186" s="504" t="n"/>
    </row>
    <row r="187">
      <c r="A187" s="504" t="n"/>
      <c r="B187" s="504" t="n"/>
      <c r="C187" s="504" t="n"/>
      <c r="D187" s="504" t="n"/>
      <c r="E187" s="504" t="n"/>
      <c r="F187" s="504" t="n"/>
      <c r="G187" s="504" t="n"/>
    </row>
    <row r="188">
      <c r="A188" s="504" t="n"/>
      <c r="B188" s="504" t="n"/>
      <c r="C188" s="504" t="n"/>
      <c r="D188" s="504" t="n"/>
      <c r="E188" s="504" t="n"/>
      <c r="F188" s="504" t="n"/>
      <c r="G188" s="504" t="n"/>
    </row>
    <row r="189">
      <c r="A189" s="504" t="n"/>
      <c r="B189" s="504" t="n"/>
      <c r="C189" s="504" t="n"/>
      <c r="D189" s="504" t="n"/>
      <c r="E189" s="504" t="n"/>
      <c r="F189" s="504" t="n"/>
      <c r="G189" s="504" t="n"/>
    </row>
    <row r="190">
      <c r="A190" s="504" t="n"/>
      <c r="B190" s="504" t="n"/>
      <c r="C190" s="504" t="n"/>
      <c r="D190" s="504" t="n"/>
      <c r="E190" s="504" t="n"/>
      <c r="F190" s="504" t="n"/>
      <c r="G190" s="504" t="n"/>
    </row>
    <row r="191">
      <c r="A191" s="504" t="n"/>
      <c r="B191" s="504" t="n"/>
      <c r="C191" s="504" t="n"/>
      <c r="D191" s="504" t="n"/>
      <c r="E191" s="504" t="n"/>
      <c r="F191" s="504" t="n"/>
      <c r="G191" s="504" t="n"/>
    </row>
    <row r="192">
      <c r="A192" s="504" t="n"/>
      <c r="B192" s="504" t="n"/>
      <c r="C192" s="504" t="n"/>
      <c r="D192" s="504" t="n"/>
      <c r="E192" s="504" t="n"/>
      <c r="F192" s="504" t="n"/>
      <c r="G192" s="504" t="n"/>
    </row>
    <row r="193">
      <c r="A193" s="504" t="n"/>
      <c r="B193" s="504" t="n"/>
      <c r="C193" s="504" t="n"/>
      <c r="D193" s="504" t="n"/>
      <c r="E193" s="504" t="n"/>
      <c r="F193" s="504" t="n"/>
      <c r="G193" s="504" t="n"/>
    </row>
    <row r="194">
      <c r="A194" s="504" t="n"/>
      <c r="B194" s="504" t="n"/>
      <c r="C194" s="504" t="n"/>
      <c r="D194" s="504" t="n"/>
      <c r="E194" s="504" t="n"/>
      <c r="F194" s="504" t="n"/>
      <c r="G194" s="504" t="n"/>
    </row>
    <row r="195">
      <c r="A195" s="504" t="n"/>
      <c r="B195" s="504" t="n"/>
      <c r="C195" s="504" t="n"/>
      <c r="D195" s="504" t="n"/>
      <c r="E195" s="504" t="n"/>
      <c r="F195" s="504" t="n"/>
      <c r="G195" s="504" t="n"/>
    </row>
    <row r="196">
      <c r="A196" s="504" t="n"/>
      <c r="B196" s="504" t="n"/>
      <c r="C196" s="504" t="n"/>
      <c r="D196" s="504" t="n"/>
      <c r="E196" s="504" t="n"/>
      <c r="F196" s="504" t="n"/>
      <c r="G196" s="504" t="n"/>
    </row>
    <row r="197">
      <c r="A197" s="504" t="n"/>
      <c r="B197" s="504" t="n"/>
      <c r="C197" s="504" t="n"/>
      <c r="D197" s="504" t="n"/>
      <c r="E197" s="504" t="n"/>
      <c r="F197" s="504" t="n"/>
      <c r="G197" s="504" t="n"/>
    </row>
    <row r="198">
      <c r="A198" s="504" t="n"/>
      <c r="B198" s="504" t="n"/>
      <c r="C198" s="504" t="n"/>
      <c r="D198" s="504" t="n"/>
      <c r="E198" s="504" t="n"/>
      <c r="F198" s="504" t="n"/>
      <c r="G198" s="504" t="n"/>
    </row>
    <row r="199">
      <c r="A199" s="504" t="n"/>
      <c r="B199" s="504" t="n"/>
      <c r="C199" s="504" t="n"/>
      <c r="D199" s="504" t="n"/>
      <c r="E199" s="504" t="n"/>
      <c r="F199" s="504" t="n"/>
      <c r="G199" s="504" t="n"/>
    </row>
    <row r="200">
      <c r="A200" s="504" t="n"/>
      <c r="B200" s="504" t="n"/>
      <c r="C200" s="504" t="n"/>
      <c r="D200" s="504" t="n"/>
      <c r="E200" s="504" t="n"/>
      <c r="F200" s="504" t="n"/>
      <c r="G200" s="504" t="n"/>
    </row>
    <row r="201">
      <c r="A201" s="504" t="n"/>
      <c r="B201" s="504" t="n"/>
      <c r="C201" s="504" t="n"/>
      <c r="D201" s="504" t="n"/>
      <c r="E201" s="504" t="n"/>
      <c r="F201" s="504" t="n"/>
      <c r="G201" s="504" t="n"/>
    </row>
    <row r="202">
      <c r="A202" s="504" t="n"/>
      <c r="B202" s="504" t="n"/>
      <c r="C202" s="504" t="n"/>
      <c r="D202" s="504" t="n"/>
      <c r="E202" s="504" t="n"/>
      <c r="F202" s="504" t="n"/>
      <c r="G202" s="504" t="n"/>
    </row>
    <row r="203">
      <c r="A203" s="504" t="n"/>
      <c r="B203" s="504" t="n"/>
      <c r="C203" s="504" t="n"/>
      <c r="D203" s="504" t="n"/>
      <c r="E203" s="504" t="n"/>
      <c r="F203" s="504" t="n"/>
      <c r="G203" s="504" t="n"/>
    </row>
    <row r="204">
      <c r="A204" s="504" t="n"/>
      <c r="B204" s="504" t="n"/>
      <c r="C204" s="504" t="n"/>
      <c r="D204" s="504" t="n"/>
      <c r="E204" s="504" t="n"/>
      <c r="F204" s="504" t="n"/>
      <c r="G204" s="504" t="n"/>
    </row>
    <row r="205">
      <c r="A205" s="504" t="n"/>
      <c r="B205" s="504" t="n"/>
      <c r="C205" s="504" t="n"/>
      <c r="D205" s="504" t="n"/>
      <c r="E205" s="504" t="n"/>
      <c r="F205" s="504" t="n"/>
      <c r="G205" s="504" t="n"/>
    </row>
    <row r="206">
      <c r="A206" s="504" t="n"/>
      <c r="B206" s="504" t="n"/>
      <c r="C206" s="504" t="n"/>
      <c r="D206" s="504" t="n"/>
      <c r="E206" s="504" t="n"/>
      <c r="F206" s="504" t="n"/>
      <c r="G206" s="504" t="n"/>
    </row>
    <row r="207">
      <c r="A207" s="504" t="n"/>
      <c r="B207" s="504" t="n"/>
      <c r="C207" s="504" t="n"/>
      <c r="D207" s="504" t="n"/>
      <c r="E207" s="504" t="n"/>
      <c r="F207" s="504" t="n"/>
      <c r="G207" s="504" t="n"/>
    </row>
    <row r="208">
      <c r="A208" s="504" t="n"/>
      <c r="B208" s="504" t="n"/>
      <c r="C208" s="504" t="n"/>
      <c r="D208" s="504" t="n"/>
      <c r="E208" s="504" t="n"/>
      <c r="F208" s="504" t="n"/>
      <c r="G208" s="504" t="n"/>
    </row>
    <row r="209">
      <c r="A209" s="504" t="n"/>
      <c r="B209" s="504" t="n"/>
      <c r="C209" s="504" t="n"/>
      <c r="D209" s="504" t="n"/>
      <c r="E209" s="504" t="n"/>
      <c r="F209" s="504" t="n"/>
      <c r="G209" s="504" t="n"/>
    </row>
    <row r="210">
      <c r="A210" s="504" t="n"/>
      <c r="B210" s="504" t="n"/>
      <c r="C210" s="504" t="n"/>
      <c r="D210" s="504" t="n"/>
      <c r="E210" s="504" t="n"/>
      <c r="F210" s="504" t="n"/>
      <c r="G210" s="504" t="n"/>
    </row>
    <row r="211">
      <c r="A211" s="504" t="n"/>
      <c r="B211" s="504" t="n"/>
      <c r="C211" s="504" t="n"/>
      <c r="D211" s="504" t="n"/>
      <c r="E211" s="504" t="n"/>
      <c r="F211" s="504" t="n"/>
      <c r="G211" s="504" t="n"/>
    </row>
    <row r="212">
      <c r="A212" s="504" t="n"/>
      <c r="B212" s="504" t="n"/>
      <c r="C212" s="504" t="n"/>
      <c r="D212" s="504" t="n"/>
      <c r="E212" s="504" t="n"/>
      <c r="F212" s="504" t="n"/>
      <c r="G212" s="504" t="n"/>
    </row>
    <row r="213">
      <c r="A213" s="504" t="n"/>
      <c r="B213" s="504" t="n"/>
      <c r="C213" s="504" t="n"/>
      <c r="D213" s="504" t="n"/>
      <c r="E213" s="504" t="n"/>
      <c r="F213" s="504" t="n"/>
      <c r="G213" s="504" t="n"/>
    </row>
    <row r="214">
      <c r="A214" s="504" t="n"/>
      <c r="B214" s="504" t="n"/>
      <c r="C214" s="504" t="n"/>
      <c r="D214" s="504" t="n"/>
      <c r="E214" s="504" t="n"/>
      <c r="F214" s="504" t="n"/>
      <c r="G214" s="504" t="n"/>
    </row>
    <row r="215">
      <c r="A215" s="504" t="n"/>
      <c r="B215" s="504" t="n"/>
      <c r="C215" s="504" t="n"/>
      <c r="D215" s="504" t="n"/>
      <c r="E215" s="504" t="n"/>
      <c r="F215" s="504" t="n"/>
      <c r="G215" s="504" t="n"/>
    </row>
    <row r="216">
      <c r="A216" s="504" t="n"/>
      <c r="B216" s="504" t="n"/>
      <c r="C216" s="504" t="n"/>
      <c r="D216" s="504" t="n"/>
      <c r="E216" s="504" t="n"/>
      <c r="F216" s="504" t="n"/>
      <c r="G216" s="504" t="n"/>
    </row>
    <row r="217">
      <c r="A217" s="504" t="n"/>
      <c r="B217" s="504" t="n"/>
      <c r="C217" s="504" t="n"/>
      <c r="D217" s="504" t="n"/>
      <c r="E217" s="504" t="n"/>
      <c r="F217" s="504" t="n"/>
      <c r="G217" s="504" t="n"/>
    </row>
    <row r="218">
      <c r="A218" s="504" t="n"/>
      <c r="B218" s="504" t="n"/>
      <c r="C218" s="504" t="n"/>
      <c r="D218" s="504" t="n"/>
      <c r="E218" s="504" t="n"/>
      <c r="F218" s="504" t="n"/>
      <c r="G218" s="504" t="n"/>
    </row>
    <row r="219">
      <c r="A219" s="504" t="n"/>
      <c r="B219" s="504" t="n"/>
      <c r="C219" s="504" t="n"/>
      <c r="D219" s="504" t="n"/>
      <c r="E219" s="504" t="n"/>
      <c r="F219" s="504" t="n"/>
      <c r="G219" s="504" t="n"/>
    </row>
    <row r="220">
      <c r="A220" s="504" t="n"/>
      <c r="B220" s="504" t="n"/>
      <c r="C220" s="504" t="n"/>
      <c r="D220" s="504" t="n"/>
      <c r="E220" s="504" t="n"/>
      <c r="F220" s="504" t="n"/>
      <c r="G220" s="504" t="n"/>
    </row>
    <row r="221">
      <c r="A221" s="504" t="n"/>
      <c r="B221" s="504" t="n"/>
      <c r="C221" s="504" t="n"/>
      <c r="D221" s="504" t="n"/>
      <c r="E221" s="504" t="n"/>
      <c r="F221" s="504" t="n"/>
      <c r="G221" s="504" t="n"/>
    </row>
    <row r="222">
      <c r="A222" s="504" t="n"/>
      <c r="B222" s="504" t="n"/>
      <c r="C222" s="504" t="n"/>
      <c r="D222" s="504" t="n"/>
      <c r="E222" s="504" t="n"/>
      <c r="F222" s="504" t="n"/>
      <c r="G222" s="504" t="n"/>
    </row>
    <row r="223">
      <c r="A223" s="504" t="n"/>
      <c r="B223" s="504" t="n"/>
      <c r="C223" s="504" t="n"/>
      <c r="D223" s="504" t="n"/>
      <c r="E223" s="504" t="n"/>
      <c r="F223" s="504" t="n"/>
      <c r="G223" s="504" t="n"/>
    </row>
    <row r="224">
      <c r="A224" s="504" t="n"/>
      <c r="B224" s="504" t="n"/>
      <c r="C224" s="504" t="n"/>
      <c r="D224" s="504" t="n"/>
      <c r="E224" s="504" t="n"/>
      <c r="F224" s="504" t="n"/>
      <c r="G224" s="504" t="n"/>
    </row>
    <row r="225">
      <c r="A225" s="504" t="n"/>
      <c r="B225" s="504" t="n"/>
      <c r="C225" s="504" t="n"/>
      <c r="D225" s="504" t="n"/>
      <c r="E225" s="504" t="n"/>
      <c r="F225" s="504" t="n"/>
      <c r="G225" s="504" t="n"/>
    </row>
    <row r="226">
      <c r="A226" s="504" t="n"/>
      <c r="B226" s="504" t="n"/>
      <c r="C226" s="504" t="n"/>
      <c r="D226" s="504" t="n"/>
      <c r="E226" s="504" t="n"/>
      <c r="F226" s="504" t="n"/>
      <c r="G226" s="504" t="n"/>
    </row>
    <row r="227">
      <c r="A227" s="504" t="n"/>
      <c r="B227" s="504" t="n"/>
      <c r="C227" s="504" t="n"/>
      <c r="D227" s="504" t="n"/>
      <c r="E227" s="504" t="n"/>
      <c r="F227" s="504" t="n"/>
      <c r="G227" s="504" t="n"/>
    </row>
    <row r="228">
      <c r="A228" s="504" t="n"/>
      <c r="B228" s="504" t="n"/>
      <c r="C228" s="504" t="n"/>
      <c r="D228" s="504" t="n"/>
      <c r="E228" s="504" t="n"/>
      <c r="F228" s="504" t="n"/>
      <c r="G228" s="504" t="n"/>
    </row>
    <row r="229">
      <c r="A229" s="504" t="n"/>
      <c r="B229" s="504" t="n"/>
      <c r="C229" s="504" t="n"/>
      <c r="D229" s="504" t="n"/>
      <c r="E229" s="504" t="n"/>
      <c r="F229" s="504" t="n"/>
      <c r="G229" s="504" t="n"/>
    </row>
    <row r="230">
      <c r="A230" s="504" t="n"/>
      <c r="B230" s="504" t="n"/>
      <c r="C230" s="504" t="n"/>
      <c r="D230" s="504" t="n"/>
      <c r="E230" s="504" t="n"/>
      <c r="F230" s="504" t="n"/>
      <c r="G230" s="504" t="n"/>
    </row>
    <row r="231">
      <c r="A231" s="504" t="n"/>
      <c r="B231" s="504" t="n"/>
      <c r="C231" s="504" t="n"/>
      <c r="D231" s="504" t="n"/>
      <c r="E231" s="504" t="n"/>
      <c r="F231" s="504" t="n"/>
      <c r="G231" s="504" t="n"/>
    </row>
    <row r="232">
      <c r="A232" s="504" t="n"/>
      <c r="B232" s="504" t="n"/>
      <c r="C232" s="504" t="n"/>
      <c r="D232" s="504" t="n"/>
      <c r="E232" s="504" t="n"/>
      <c r="F232" s="504" t="n"/>
      <c r="G232" s="504" t="n"/>
    </row>
    <row r="233">
      <c r="A233" s="504" t="n"/>
      <c r="B233" s="504" t="n"/>
      <c r="C233" s="504" t="n"/>
      <c r="D233" s="504" t="n"/>
      <c r="E233" s="504" t="n"/>
      <c r="F233" s="504" t="n"/>
      <c r="G233" s="504" t="n"/>
    </row>
    <row r="234">
      <c r="A234" s="504" t="n"/>
      <c r="B234" s="504" t="n"/>
      <c r="C234" s="504" t="n"/>
      <c r="D234" s="504" t="n"/>
      <c r="E234" s="504" t="n"/>
      <c r="F234" s="504" t="n"/>
      <c r="G234" s="504" t="n"/>
    </row>
    <row r="235">
      <c r="A235" s="504" t="n"/>
      <c r="B235" s="504" t="n"/>
      <c r="C235" s="504" t="n"/>
      <c r="D235" s="504" t="n"/>
      <c r="E235" s="504" t="n"/>
      <c r="F235" s="504" t="n"/>
      <c r="G235" s="504" t="n"/>
    </row>
    <row r="236">
      <c r="A236" s="504" t="n"/>
      <c r="B236" s="504" t="n"/>
      <c r="C236" s="504" t="n"/>
      <c r="D236" s="504" t="n"/>
      <c r="E236" s="504" t="n"/>
      <c r="F236" s="504" t="n"/>
      <c r="G236" s="504" t="n"/>
    </row>
    <row r="237">
      <c r="A237" s="504" t="n"/>
      <c r="B237" s="504" t="n"/>
      <c r="C237" s="504" t="n"/>
      <c r="D237" s="504" t="n"/>
      <c r="E237" s="504" t="n"/>
      <c r="F237" s="504" t="n"/>
      <c r="G237" s="504" t="n"/>
    </row>
    <row r="238">
      <c r="A238" s="504" t="n"/>
      <c r="B238" s="504" t="n"/>
      <c r="C238" s="504" t="n"/>
      <c r="D238" s="504" t="n"/>
      <c r="E238" s="504" t="n"/>
      <c r="F238" s="504" t="n"/>
      <c r="G238" s="504" t="n"/>
    </row>
    <row r="239">
      <c r="A239" s="504" t="n"/>
      <c r="B239" s="504" t="n"/>
      <c r="C239" s="504" t="n"/>
      <c r="D239" s="504" t="n"/>
      <c r="E239" s="504" t="n"/>
      <c r="F239" s="504" t="n"/>
      <c r="G239" s="504" t="n"/>
    </row>
    <row r="240">
      <c r="A240" s="504" t="n"/>
      <c r="B240" s="504" t="n"/>
      <c r="C240" s="504" t="n"/>
      <c r="D240" s="504" t="n"/>
      <c r="E240" s="504" t="n"/>
      <c r="F240" s="504" t="n"/>
      <c r="G240" s="504" t="n"/>
    </row>
    <row r="241">
      <c r="A241" s="504" t="n"/>
      <c r="B241" s="504" t="n"/>
      <c r="C241" s="504" t="n"/>
      <c r="D241" s="504" t="n"/>
      <c r="E241" s="504" t="n"/>
      <c r="F241" s="504" t="n"/>
      <c r="G241" s="504" t="n"/>
    </row>
    <row r="242">
      <c r="A242" s="504" t="n"/>
      <c r="B242" s="504" t="n"/>
      <c r="C242" s="504" t="n"/>
      <c r="D242" s="504" t="n"/>
      <c r="E242" s="504" t="n"/>
      <c r="F242" s="504" t="n"/>
      <c r="G242" s="504" t="n"/>
    </row>
    <row r="243">
      <c r="A243" s="504" t="n"/>
      <c r="B243" s="504" t="n"/>
      <c r="C243" s="504" t="n"/>
      <c r="D243" s="504" t="n"/>
      <c r="E243" s="504" t="n"/>
      <c r="F243" s="504" t="n"/>
      <c r="G243" s="504" t="n"/>
    </row>
    <row r="244">
      <c r="A244" s="504" t="n"/>
      <c r="B244" s="504" t="n"/>
      <c r="C244" s="504" t="n"/>
      <c r="D244" s="504" t="n"/>
      <c r="E244" s="504" t="n"/>
      <c r="F244" s="504" t="n"/>
      <c r="G244" s="504" t="n"/>
    </row>
    <row r="245">
      <c r="A245" s="504" t="n"/>
      <c r="B245" s="504" t="n"/>
      <c r="C245" s="504" t="n"/>
      <c r="D245" s="504" t="n"/>
      <c r="E245" s="504" t="n"/>
      <c r="F245" s="504" t="n"/>
      <c r="G245" s="504" t="n"/>
    </row>
    <row r="246">
      <c r="A246" s="504" t="n"/>
      <c r="B246" s="504" t="n"/>
      <c r="C246" s="504" t="n"/>
      <c r="D246" s="504" t="n"/>
      <c r="E246" s="504" t="n"/>
      <c r="F246" s="504" t="n"/>
      <c r="G246" s="504" t="n"/>
    </row>
    <row r="247">
      <c r="A247" s="504" t="n"/>
      <c r="B247" s="504" t="n"/>
      <c r="C247" s="504" t="n"/>
      <c r="D247" s="504" t="n"/>
      <c r="E247" s="504" t="n"/>
      <c r="F247" s="504" t="n"/>
      <c r="G247" s="504" t="n"/>
    </row>
    <row r="248">
      <c r="A248" s="504" t="n"/>
      <c r="B248" s="504" t="n"/>
      <c r="C248" s="504" t="n"/>
      <c r="D248" s="504" t="n"/>
      <c r="E248" s="504" t="n"/>
      <c r="F248" s="504" t="n"/>
      <c r="G248" s="504" t="n"/>
    </row>
    <row r="249">
      <c r="A249" s="504" t="n"/>
      <c r="B249" s="504" t="n"/>
      <c r="C249" s="504" t="n"/>
      <c r="D249" s="504" t="n"/>
      <c r="E249" s="504" t="n"/>
      <c r="F249" s="504" t="n"/>
      <c r="G249" s="504" t="n"/>
    </row>
    <row r="250">
      <c r="A250" s="504" t="n"/>
      <c r="B250" s="504" t="n"/>
      <c r="C250" s="504" t="n"/>
      <c r="D250" s="504" t="n"/>
      <c r="E250" s="504" t="n"/>
      <c r="F250" s="504" t="n"/>
      <c r="G250" s="504" t="n"/>
    </row>
    <row r="251">
      <c r="A251" s="504" t="n"/>
      <c r="B251" s="504" t="n"/>
      <c r="C251" s="504" t="n"/>
      <c r="D251" s="504" t="n"/>
      <c r="E251" s="504" t="n"/>
      <c r="F251" s="504" t="n"/>
      <c r="G251" s="504" t="n"/>
    </row>
    <row r="252">
      <c r="A252" s="504" t="n"/>
      <c r="B252" s="504" t="n"/>
      <c r="C252" s="504" t="n"/>
      <c r="D252" s="504" t="n"/>
      <c r="E252" s="504" t="n"/>
      <c r="F252" s="504" t="n"/>
      <c r="G252" s="504" t="n"/>
    </row>
    <row r="253">
      <c r="A253" s="504" t="n"/>
      <c r="B253" s="504" t="n"/>
      <c r="C253" s="504" t="n"/>
      <c r="D253" s="504" t="n"/>
      <c r="E253" s="504" t="n"/>
      <c r="F253" s="504" t="n"/>
      <c r="G253" s="504" t="n"/>
    </row>
    <row r="254">
      <c r="A254" s="504" t="n"/>
      <c r="B254" s="504" t="n"/>
      <c r="C254" s="504" t="n"/>
      <c r="D254" s="504" t="n"/>
      <c r="E254" s="504" t="n"/>
      <c r="F254" s="504" t="n"/>
      <c r="G254" s="504" t="n"/>
    </row>
    <row r="255">
      <c r="A255" s="504" t="n"/>
      <c r="B255" s="504" t="n"/>
      <c r="C255" s="504" t="n"/>
      <c r="D255" s="504" t="n"/>
      <c r="E255" s="504" t="n"/>
      <c r="F255" s="504" t="n"/>
      <c r="G255" s="504" t="n"/>
    </row>
    <row r="256">
      <c r="A256" s="504" t="n"/>
      <c r="B256" s="504" t="n"/>
      <c r="C256" s="504" t="n"/>
      <c r="D256" s="504" t="n"/>
      <c r="E256" s="504" t="n"/>
      <c r="F256" s="504" t="n"/>
      <c r="G256" s="504" t="n"/>
    </row>
    <row r="257">
      <c r="A257" s="504" t="n"/>
      <c r="B257" s="504" t="n"/>
      <c r="C257" s="504" t="n"/>
      <c r="D257" s="504" t="n"/>
      <c r="E257" s="504" t="n"/>
      <c r="F257" s="504" t="n"/>
      <c r="G257" s="504" t="n"/>
    </row>
    <row r="258">
      <c r="A258" s="504" t="n"/>
      <c r="B258" s="504" t="n"/>
      <c r="C258" s="504" t="n"/>
      <c r="D258" s="504" t="n"/>
      <c r="E258" s="504" t="n"/>
      <c r="F258" s="504" t="n"/>
      <c r="G258" s="504" t="n"/>
    </row>
    <row r="259">
      <c r="A259" s="504" t="n"/>
      <c r="B259" s="504" t="n"/>
      <c r="C259" s="504" t="n"/>
      <c r="D259" s="504" t="n"/>
      <c r="E259" s="504" t="n"/>
      <c r="F259" s="504" t="n"/>
      <c r="G259" s="504" t="n"/>
    </row>
    <row r="260">
      <c r="A260" s="504" t="n"/>
      <c r="B260" s="504" t="n"/>
      <c r="C260" s="504" t="n"/>
      <c r="D260" s="504" t="n"/>
      <c r="E260" s="504" t="n"/>
      <c r="F260" s="504" t="n"/>
      <c r="G260" s="504" t="n"/>
    </row>
    <row r="261">
      <c r="A261" s="504" t="n"/>
      <c r="B261" s="504" t="n"/>
      <c r="C261" s="504" t="n"/>
      <c r="D261" s="504" t="n"/>
      <c r="E261" s="504" t="n"/>
      <c r="F261" s="504" t="n"/>
      <c r="G261" s="504" t="n"/>
    </row>
    <row r="262">
      <c r="A262" s="504" t="n"/>
      <c r="B262" s="504" t="n"/>
      <c r="C262" s="504" t="n"/>
      <c r="D262" s="504" t="n"/>
      <c r="E262" s="504" t="n"/>
      <c r="F262" s="504" t="n"/>
      <c r="G262" s="504" t="n"/>
    </row>
    <row r="263">
      <c r="A263" s="504" t="n"/>
      <c r="B263" s="504" t="n"/>
      <c r="C263" s="504" t="n"/>
      <c r="D263" s="504" t="n"/>
      <c r="E263" s="504" t="n"/>
      <c r="F263" s="504" t="n"/>
      <c r="G263" s="504" t="n"/>
    </row>
    <row r="264">
      <c r="A264" s="504" t="n"/>
      <c r="B264" s="504" t="n"/>
      <c r="C264" s="504" t="n"/>
      <c r="D264" s="504" t="n"/>
      <c r="E264" s="504" t="n"/>
      <c r="F264" s="504" t="n"/>
      <c r="G264" s="504" t="n"/>
    </row>
    <row r="265">
      <c r="A265" s="504" t="n"/>
      <c r="B265" s="504" t="n"/>
      <c r="C265" s="504" t="n"/>
      <c r="D265" s="504" t="n"/>
      <c r="E265" s="504" t="n"/>
      <c r="F265" s="504" t="n"/>
      <c r="G265" s="504" t="n"/>
    </row>
    <row r="266">
      <c r="A266" s="504" t="n"/>
      <c r="B266" s="504" t="n"/>
      <c r="C266" s="504" t="n"/>
      <c r="D266" s="504" t="n"/>
      <c r="E266" s="504" t="n"/>
      <c r="F266" s="504" t="n"/>
      <c r="G266" s="504" t="n"/>
    </row>
    <row r="267">
      <c r="A267" s="504" t="n"/>
      <c r="B267" s="504" t="n"/>
      <c r="C267" s="504" t="n"/>
      <c r="D267" s="504" t="n"/>
      <c r="E267" s="504" t="n"/>
      <c r="F267" s="504" t="n"/>
      <c r="G267" s="504" t="n"/>
    </row>
    <row r="268">
      <c r="A268" s="504" t="n"/>
      <c r="B268" s="504" t="n"/>
      <c r="C268" s="504" t="n"/>
      <c r="D268" s="504" t="n"/>
      <c r="E268" s="504" t="n"/>
      <c r="F268" s="504" t="n"/>
      <c r="G268" s="504" t="n"/>
    </row>
    <row r="269">
      <c r="A269" s="504" t="n"/>
      <c r="B269" s="504" t="n"/>
      <c r="C269" s="504" t="n"/>
      <c r="D269" s="504" t="n"/>
      <c r="E269" s="504" t="n"/>
      <c r="F269" s="504" t="n"/>
      <c r="G269" s="504" t="n"/>
    </row>
    <row r="270">
      <c r="A270" s="504" t="n"/>
      <c r="B270" s="504" t="n"/>
      <c r="C270" s="504" t="n"/>
      <c r="D270" s="504" t="n"/>
      <c r="E270" s="504" t="n"/>
      <c r="F270" s="504" t="n"/>
      <c r="G270" s="504" t="n"/>
    </row>
    <row r="271">
      <c r="A271" s="504" t="n"/>
      <c r="B271" s="504" t="n"/>
      <c r="C271" s="504" t="n"/>
      <c r="D271" s="504" t="n"/>
      <c r="E271" s="504" t="n"/>
      <c r="F271" s="504" t="n"/>
      <c r="G271" s="504" t="n"/>
    </row>
    <row r="272">
      <c r="A272" s="504" t="n"/>
      <c r="B272" s="504" t="n"/>
      <c r="C272" s="504" t="n"/>
      <c r="D272" s="504" t="n"/>
      <c r="E272" s="504" t="n"/>
      <c r="F272" s="504" t="n"/>
      <c r="G272" s="504" t="n"/>
    </row>
    <row r="273">
      <c r="A273" s="504" t="n"/>
      <c r="B273" s="504" t="n"/>
      <c r="C273" s="504" t="n"/>
      <c r="D273" s="504" t="n"/>
      <c r="E273" s="504" t="n"/>
      <c r="F273" s="504" t="n"/>
      <c r="G273" s="504" t="n"/>
    </row>
    <row r="274">
      <c r="A274" s="504" t="n"/>
      <c r="B274" s="504" t="n"/>
      <c r="C274" s="504" t="n"/>
      <c r="D274" s="504" t="n"/>
      <c r="E274" s="504" t="n"/>
      <c r="F274" s="504" t="n"/>
      <c r="G274" s="504" t="n"/>
    </row>
    <row r="275">
      <c r="A275" s="504" t="n"/>
      <c r="B275" s="504" t="n"/>
      <c r="C275" s="504" t="n"/>
      <c r="D275" s="504" t="n"/>
      <c r="E275" s="504" t="n"/>
      <c r="F275" s="504" t="n"/>
      <c r="G275" s="504" t="n"/>
    </row>
    <row r="276">
      <c r="A276" s="504" t="n"/>
      <c r="B276" s="504" t="n"/>
      <c r="C276" s="504" t="n"/>
      <c r="D276" s="504" t="n"/>
      <c r="E276" s="504" t="n"/>
      <c r="F276" s="504" t="n"/>
      <c r="G276" s="504" t="n"/>
    </row>
    <row r="277">
      <c r="A277" s="504" t="n"/>
      <c r="B277" s="504" t="n"/>
      <c r="C277" s="504" t="n"/>
      <c r="D277" s="504" t="n"/>
      <c r="E277" s="504" t="n"/>
      <c r="F277" s="504" t="n"/>
      <c r="G277" s="504" t="n"/>
    </row>
    <row r="278">
      <c r="A278" s="504" t="n"/>
      <c r="B278" s="504" t="n"/>
      <c r="C278" s="504" t="n"/>
      <c r="D278" s="504" t="n"/>
      <c r="E278" s="504" t="n"/>
      <c r="F278" s="504" t="n"/>
      <c r="G278" s="504" t="n"/>
    </row>
    <row r="279">
      <c r="A279" s="504" t="n"/>
      <c r="B279" s="504" t="n"/>
      <c r="C279" s="504" t="n"/>
      <c r="D279" s="504" t="n"/>
      <c r="E279" s="504" t="n"/>
      <c r="F279" s="504" t="n"/>
      <c r="G279" s="504" t="n"/>
    </row>
    <row r="280">
      <c r="A280" s="504" t="n"/>
      <c r="B280" s="504" t="n"/>
      <c r="C280" s="504" t="n"/>
      <c r="D280" s="504" t="n"/>
      <c r="E280" s="504" t="n"/>
      <c r="F280" s="504" t="n"/>
      <c r="G280" s="504" t="n"/>
    </row>
    <row r="281">
      <c r="A281" s="504" t="n"/>
      <c r="B281" s="504" t="n"/>
      <c r="C281" s="504" t="n"/>
      <c r="D281" s="504" t="n"/>
      <c r="E281" s="504" t="n"/>
      <c r="F281" s="504" t="n"/>
      <c r="G281" s="504" t="n"/>
    </row>
    <row r="282">
      <c r="A282" s="504" t="n"/>
      <c r="B282" s="504" t="n"/>
      <c r="C282" s="504" t="n"/>
      <c r="D282" s="504" t="n"/>
      <c r="E282" s="504" t="n"/>
      <c r="F282" s="504" t="n"/>
      <c r="G282" s="504" t="n"/>
    </row>
    <row r="283">
      <c r="A283" s="504" t="n"/>
      <c r="B283" s="504" t="n"/>
      <c r="C283" s="504" t="n"/>
      <c r="D283" s="504" t="n"/>
      <c r="E283" s="504" t="n"/>
      <c r="F283" s="504" t="n"/>
      <c r="G283" s="504" t="n"/>
    </row>
    <row r="284">
      <c r="A284" s="504" t="n"/>
      <c r="B284" s="504" t="n"/>
      <c r="C284" s="504" t="n"/>
      <c r="D284" s="504" t="n"/>
      <c r="E284" s="504" t="n"/>
      <c r="F284" s="504" t="n"/>
      <c r="G284" s="504" t="n"/>
    </row>
    <row r="285">
      <c r="A285" s="504" t="n"/>
      <c r="B285" s="504" t="n"/>
      <c r="C285" s="504" t="n"/>
      <c r="D285" s="504" t="n"/>
      <c r="E285" s="504" t="n"/>
      <c r="F285" s="504" t="n"/>
      <c r="G285" s="504" t="n"/>
    </row>
    <row r="286">
      <c r="A286" s="504" t="n"/>
      <c r="B286" s="504" t="n"/>
      <c r="C286" s="504" t="n"/>
      <c r="D286" s="504" t="n"/>
      <c r="E286" s="504" t="n"/>
      <c r="F286" s="504" t="n"/>
      <c r="G286" s="504" t="n"/>
    </row>
    <row r="287">
      <c r="A287" s="504" t="n"/>
      <c r="B287" s="504" t="n"/>
      <c r="C287" s="504" t="n"/>
      <c r="D287" s="504" t="n"/>
      <c r="E287" s="504" t="n"/>
      <c r="F287" s="504" t="n"/>
      <c r="G287" s="504" t="n"/>
    </row>
    <row r="288">
      <c r="A288" s="504" t="n"/>
      <c r="B288" s="504" t="n"/>
      <c r="C288" s="504" t="n"/>
      <c r="D288" s="504" t="n"/>
      <c r="E288" s="504" t="n"/>
      <c r="F288" s="504" t="n"/>
      <c r="G288" s="504" t="n"/>
    </row>
    <row r="289">
      <c r="A289" s="504" t="n"/>
      <c r="B289" s="504" t="n"/>
      <c r="C289" s="504" t="n"/>
      <c r="D289" s="504" t="n"/>
      <c r="E289" s="504" t="n"/>
      <c r="F289" s="504" t="n"/>
      <c r="G289" s="504" t="n"/>
    </row>
    <row r="290">
      <c r="A290" s="504" t="n"/>
      <c r="B290" s="504" t="n"/>
      <c r="C290" s="504" t="n"/>
      <c r="D290" s="504" t="n"/>
      <c r="E290" s="504" t="n"/>
      <c r="F290" s="504" t="n"/>
      <c r="G290" s="504" t="n"/>
    </row>
    <row r="291">
      <c r="A291" s="504" t="n"/>
      <c r="B291" s="504" t="n"/>
      <c r="C291" s="504" t="n"/>
      <c r="D291" s="504" t="n"/>
      <c r="E291" s="504" t="n"/>
      <c r="F291" s="504" t="n"/>
      <c r="G291" s="504" t="n"/>
    </row>
    <row r="292">
      <c r="A292" s="504" t="n"/>
      <c r="B292" s="504" t="n"/>
      <c r="C292" s="504" t="n"/>
      <c r="D292" s="504" t="n"/>
      <c r="E292" s="504" t="n"/>
      <c r="F292" s="504" t="n"/>
      <c r="G292" s="504" t="n"/>
    </row>
    <row r="293">
      <c r="A293" s="504" t="n"/>
      <c r="B293" s="504" t="n"/>
      <c r="C293" s="504" t="n"/>
      <c r="D293" s="504" t="n"/>
      <c r="E293" s="504" t="n"/>
      <c r="F293" s="504" t="n"/>
      <c r="G293" s="504" t="n"/>
    </row>
    <row r="294">
      <c r="A294" s="504" t="n"/>
      <c r="B294" s="504" t="n"/>
      <c r="C294" s="504" t="n"/>
      <c r="D294" s="504" t="n"/>
      <c r="E294" s="504" t="n"/>
      <c r="F294" s="504" t="n"/>
      <c r="G294" s="504" t="n"/>
    </row>
    <row r="295">
      <c r="A295" s="504" t="n"/>
      <c r="B295" s="504" t="n"/>
      <c r="C295" s="504" t="n"/>
      <c r="D295" s="504" t="n"/>
      <c r="E295" s="504" t="n"/>
      <c r="F295" s="504" t="n"/>
      <c r="G295" s="504" t="n"/>
    </row>
    <row r="296">
      <c r="A296" s="504" t="n"/>
      <c r="B296" s="504" t="n"/>
      <c r="C296" s="504" t="n"/>
      <c r="D296" s="504" t="n"/>
      <c r="E296" s="504" t="n"/>
      <c r="F296" s="504" t="n"/>
      <c r="G296" s="504" t="n"/>
    </row>
    <row r="297">
      <c r="A297" s="504" t="n"/>
      <c r="B297" s="504" t="n"/>
      <c r="C297" s="504" t="n"/>
      <c r="D297" s="504" t="n"/>
      <c r="E297" s="504" t="n"/>
      <c r="F297" s="504" t="n"/>
      <c r="G297" s="504" t="n"/>
    </row>
    <row r="298">
      <c r="A298" s="504" t="n"/>
      <c r="B298" s="504" t="n"/>
      <c r="C298" s="504" t="n"/>
      <c r="D298" s="504" t="n"/>
      <c r="E298" s="504" t="n"/>
      <c r="F298" s="504" t="n"/>
      <c r="G298" s="504" t="n"/>
    </row>
    <row r="299">
      <c r="A299" s="504" t="n"/>
      <c r="B299" s="504" t="n"/>
      <c r="C299" s="504" t="n"/>
      <c r="D299" s="504" t="n"/>
      <c r="E299" s="504" t="n"/>
      <c r="F299" s="504" t="n"/>
      <c r="G299" s="504" t="n"/>
    </row>
    <row r="300">
      <c r="A300" s="504" t="n"/>
      <c r="B300" s="504" t="n"/>
      <c r="C300" s="504" t="n"/>
      <c r="D300" s="504" t="n"/>
      <c r="E300" s="504" t="n"/>
      <c r="F300" s="504" t="n"/>
      <c r="G300" s="504" t="n"/>
    </row>
    <row r="301">
      <c r="A301" s="504" t="n"/>
      <c r="B301" s="504" t="n"/>
      <c r="C301" s="504" t="n"/>
      <c r="D301" s="504" t="n"/>
      <c r="E301" s="504" t="n"/>
      <c r="F301" s="504" t="n"/>
      <c r="G301" s="504" t="n"/>
    </row>
    <row r="302">
      <c r="A302" s="504" t="n"/>
      <c r="B302" s="504" t="n"/>
      <c r="C302" s="504" t="n"/>
      <c r="D302" s="504" t="n"/>
      <c r="E302" s="504" t="n"/>
      <c r="F302" s="504" t="n"/>
      <c r="G302" s="504" t="n"/>
    </row>
    <row r="303">
      <c r="A303" s="504" t="n"/>
      <c r="B303" s="504" t="n"/>
      <c r="C303" s="504" t="n"/>
      <c r="D303" s="504" t="n"/>
      <c r="E303" s="504" t="n"/>
      <c r="F303" s="504" t="n"/>
      <c r="G303" s="504" t="n"/>
    </row>
    <row r="304">
      <c r="A304" s="504" t="n"/>
      <c r="B304" s="504" t="n"/>
      <c r="C304" s="504" t="n"/>
      <c r="D304" s="504" t="n"/>
      <c r="E304" s="504" t="n"/>
      <c r="F304" s="504" t="n"/>
      <c r="G304" s="504" t="n"/>
    </row>
    <row r="305">
      <c r="A305" s="504" t="n"/>
      <c r="B305" s="504" t="n"/>
      <c r="C305" s="504" t="n"/>
      <c r="D305" s="504" t="n"/>
      <c r="E305" s="504" t="n"/>
      <c r="F305" s="504" t="n"/>
      <c r="G305" s="504" t="n"/>
    </row>
    <row r="306">
      <c r="A306" s="504" t="n"/>
      <c r="B306" s="504" t="n"/>
      <c r="C306" s="504" t="n"/>
      <c r="D306" s="504" t="n"/>
      <c r="E306" s="504" t="n"/>
      <c r="F306" s="504" t="n"/>
      <c r="G306" s="504" t="n"/>
    </row>
    <row r="307">
      <c r="A307" s="504" t="n"/>
      <c r="B307" s="504" t="n"/>
      <c r="C307" s="504" t="n"/>
      <c r="D307" s="504" t="n"/>
      <c r="E307" s="504" t="n"/>
      <c r="F307" s="504" t="n"/>
      <c r="G307" s="504" t="n"/>
    </row>
    <row r="308">
      <c r="A308" s="504" t="n"/>
      <c r="B308" s="504" t="n"/>
      <c r="C308" s="504" t="n"/>
      <c r="D308" s="504" t="n"/>
      <c r="E308" s="504" t="n"/>
      <c r="F308" s="504" t="n"/>
      <c r="G308" s="504" t="n"/>
    </row>
    <row r="309">
      <c r="A309" s="504" t="n"/>
      <c r="B309" s="504" t="n"/>
      <c r="C309" s="504" t="n"/>
      <c r="D309" s="504" t="n"/>
      <c r="E309" s="504" t="n"/>
      <c r="F309" s="504" t="n"/>
      <c r="G309" s="504" t="n"/>
    </row>
    <row r="310">
      <c r="A310" s="504" t="n"/>
      <c r="B310" s="504" t="n"/>
      <c r="C310" s="504" t="n"/>
      <c r="D310" s="504" t="n"/>
      <c r="E310" s="504" t="n"/>
      <c r="F310" s="504" t="n"/>
      <c r="G310" s="504" t="n"/>
    </row>
    <row r="311">
      <c r="A311" s="504" t="n"/>
      <c r="B311" s="504" t="n"/>
      <c r="C311" s="504" t="n"/>
      <c r="D311" s="504" t="n"/>
      <c r="E311" s="504" t="n"/>
      <c r="F311" s="504" t="n"/>
      <c r="G311" s="504" t="n"/>
    </row>
    <row r="312">
      <c r="A312" s="504" t="n"/>
      <c r="B312" s="504" t="n"/>
      <c r="C312" s="504" t="n"/>
      <c r="D312" s="504" t="n"/>
      <c r="E312" s="504" t="n"/>
      <c r="F312" s="504" t="n"/>
      <c r="G312" s="504" t="n"/>
    </row>
    <row r="313">
      <c r="A313" s="504" t="n"/>
      <c r="B313" s="504" t="n"/>
      <c r="C313" s="504" t="n"/>
      <c r="D313" s="504" t="n"/>
      <c r="E313" s="504" t="n"/>
      <c r="F313" s="504" t="n"/>
      <c r="G313" s="504" t="n"/>
    </row>
    <row r="314">
      <c r="A314" s="504" t="n"/>
      <c r="B314" s="504" t="n"/>
      <c r="C314" s="504" t="n"/>
      <c r="D314" s="504" t="n"/>
      <c r="E314" s="504" t="n"/>
      <c r="F314" s="504" t="n"/>
      <c r="G314" s="504" t="n"/>
    </row>
    <row r="315">
      <c r="A315" s="504" t="n"/>
      <c r="B315" s="504" t="n"/>
      <c r="C315" s="504" t="n"/>
      <c r="D315" s="504" t="n"/>
      <c r="E315" s="504" t="n"/>
      <c r="F315" s="504" t="n"/>
      <c r="G315" s="504" t="n"/>
    </row>
    <row r="316">
      <c r="A316" s="504" t="n"/>
      <c r="B316" s="504" t="n"/>
      <c r="C316" s="504" t="n"/>
      <c r="D316" s="504" t="n"/>
      <c r="E316" s="504" t="n"/>
      <c r="F316" s="504" t="n"/>
      <c r="G316" s="504" t="n"/>
    </row>
    <row r="317">
      <c r="A317" s="504" t="n"/>
      <c r="B317" s="504" t="n"/>
      <c r="C317" s="504" t="n"/>
      <c r="D317" s="504" t="n"/>
      <c r="E317" s="504" t="n"/>
      <c r="F317" s="504" t="n"/>
      <c r="G317" s="504" t="n"/>
    </row>
    <row r="318">
      <c r="A318" s="504" t="n"/>
      <c r="B318" s="504" t="n"/>
      <c r="C318" s="504" t="n"/>
      <c r="D318" s="504" t="n"/>
      <c r="E318" s="504" t="n"/>
      <c r="F318" s="504" t="n"/>
      <c r="G318" s="504" t="n"/>
    </row>
    <row r="319">
      <c r="A319" s="504" t="n"/>
      <c r="B319" s="504" t="n"/>
      <c r="C319" s="504" t="n"/>
      <c r="D319" s="504" t="n"/>
      <c r="E319" s="504" t="n"/>
      <c r="F319" s="504" t="n"/>
      <c r="G319" s="504" t="n"/>
    </row>
    <row r="320">
      <c r="A320" s="504" t="n"/>
      <c r="B320" s="504" t="n"/>
      <c r="C320" s="504" t="n"/>
      <c r="D320" s="504" t="n"/>
      <c r="E320" s="504" t="n"/>
      <c r="F320" s="504" t="n"/>
      <c r="G320" s="504" t="n"/>
    </row>
    <row r="321">
      <c r="A321" s="504" t="n"/>
      <c r="B321" s="504" t="n"/>
      <c r="C321" s="504" t="n"/>
      <c r="D321" s="504" t="n"/>
      <c r="E321" s="504" t="n"/>
      <c r="F321" s="504" t="n"/>
      <c r="G321" s="504" t="n"/>
    </row>
    <row r="322">
      <c r="A322" s="504" t="n"/>
      <c r="B322" s="504" t="n"/>
      <c r="C322" s="504" t="n"/>
      <c r="D322" s="504" t="n"/>
      <c r="E322" s="504" t="n"/>
      <c r="F322" s="504" t="n"/>
      <c r="G322" s="504" t="n"/>
    </row>
    <row r="323">
      <c r="A323" s="504" t="n"/>
      <c r="B323" s="504" t="n"/>
      <c r="C323" s="504" t="n"/>
      <c r="D323" s="504" t="n"/>
      <c r="E323" s="504" t="n"/>
      <c r="F323" s="504" t="n"/>
      <c r="G323" s="504" t="n"/>
    </row>
    <row r="324">
      <c r="A324" s="504" t="n"/>
      <c r="B324" s="504" t="n"/>
      <c r="C324" s="504" t="n"/>
      <c r="D324" s="504" t="n"/>
      <c r="E324" s="504" t="n"/>
      <c r="F324" s="504" t="n"/>
      <c r="G324" s="504" t="n"/>
    </row>
    <row r="325">
      <c r="A325" s="504" t="n"/>
      <c r="B325" s="504" t="n"/>
      <c r="C325" s="504" t="n"/>
      <c r="D325" s="504" t="n"/>
      <c r="E325" s="504" t="n"/>
      <c r="F325" s="504" t="n"/>
      <c r="G325" s="504" t="n"/>
    </row>
    <row r="326">
      <c r="A326" s="504" t="n"/>
      <c r="B326" s="504" t="n"/>
      <c r="C326" s="504" t="n"/>
      <c r="D326" s="504" t="n"/>
      <c r="E326" s="504" t="n"/>
      <c r="F326" s="504" t="n"/>
      <c r="G326" s="504" t="n"/>
    </row>
    <row r="327">
      <c r="A327" s="504" t="n"/>
      <c r="B327" s="504" t="n"/>
      <c r="C327" s="504" t="n"/>
      <c r="D327" s="504" t="n"/>
      <c r="E327" s="504" t="n"/>
      <c r="F327" s="504" t="n"/>
      <c r="G327" s="504" t="n"/>
    </row>
    <row r="328">
      <c r="A328" s="504" t="n"/>
      <c r="B328" s="504" t="n"/>
      <c r="C328" s="504" t="n"/>
      <c r="D328" s="504" t="n"/>
      <c r="E328" s="504" t="n"/>
      <c r="F328" s="504" t="n"/>
      <c r="G328" s="504" t="n"/>
    </row>
    <row r="329">
      <c r="A329" s="504" t="n"/>
      <c r="B329" s="504" t="n"/>
      <c r="C329" s="504" t="n"/>
      <c r="D329" s="504" t="n"/>
      <c r="E329" s="504" t="n"/>
      <c r="F329" s="504" t="n"/>
      <c r="G329" s="504" t="n"/>
    </row>
    <row r="330">
      <c r="A330" s="504" t="n"/>
      <c r="B330" s="504" t="n"/>
      <c r="C330" s="504" t="n"/>
      <c r="D330" s="504" t="n"/>
      <c r="E330" s="504" t="n"/>
      <c r="F330" s="504" t="n"/>
      <c r="G330" s="504" t="n"/>
    </row>
    <row r="331">
      <c r="A331" s="504" t="n"/>
      <c r="B331" s="504" t="n"/>
      <c r="C331" s="504" t="n"/>
      <c r="D331" s="504" t="n"/>
      <c r="E331" s="504" t="n"/>
      <c r="F331" s="504" t="n"/>
      <c r="G331" s="504" t="n"/>
    </row>
    <row r="332">
      <c r="A332" s="504" t="n"/>
      <c r="B332" s="504" t="n"/>
      <c r="C332" s="504" t="n"/>
      <c r="D332" s="504" t="n"/>
      <c r="E332" s="504" t="n"/>
      <c r="F332" s="504" t="n"/>
      <c r="G332" s="504" t="n"/>
    </row>
    <row r="333">
      <c r="A333" s="504" t="n"/>
      <c r="B333" s="504" t="n"/>
      <c r="C333" s="504" t="n"/>
      <c r="D333" s="504" t="n"/>
      <c r="E333" s="504" t="n"/>
      <c r="F333" s="504" t="n"/>
      <c r="G333" s="504" t="n"/>
    </row>
    <row r="334">
      <c r="A334" s="504" t="n"/>
      <c r="B334" s="504" t="n"/>
      <c r="C334" s="504" t="n"/>
      <c r="D334" s="504" t="n"/>
      <c r="E334" s="504" t="n"/>
      <c r="F334" s="504" t="n"/>
      <c r="G334" s="504" t="n"/>
    </row>
    <row r="335">
      <c r="A335" s="504" t="n"/>
      <c r="B335" s="504" t="n"/>
      <c r="C335" s="504" t="n"/>
      <c r="D335" s="504" t="n"/>
      <c r="E335" s="504" t="n"/>
      <c r="F335" s="504" t="n"/>
      <c r="G335" s="504" t="n"/>
    </row>
    <row r="336">
      <c r="A336" s="504" t="n"/>
      <c r="B336" s="504" t="n"/>
      <c r="C336" s="504" t="n"/>
      <c r="D336" s="504" t="n"/>
      <c r="E336" s="504" t="n"/>
      <c r="F336" s="504" t="n"/>
      <c r="G336" s="504" t="n"/>
    </row>
    <row r="337">
      <c r="A337" s="504" t="n"/>
      <c r="B337" s="504" t="n"/>
      <c r="C337" s="504" t="n"/>
      <c r="D337" s="504" t="n"/>
      <c r="E337" s="504" t="n"/>
      <c r="F337" s="504" t="n"/>
      <c r="G337" s="504" t="n"/>
    </row>
    <row r="338">
      <c r="A338" s="504" t="n"/>
      <c r="B338" s="504" t="n"/>
      <c r="C338" s="504" t="n"/>
      <c r="D338" s="504" t="n"/>
      <c r="E338" s="504" t="n"/>
      <c r="F338" s="504" t="n"/>
      <c r="G338" s="504" t="n"/>
    </row>
    <row r="339">
      <c r="A339" s="504" t="n"/>
      <c r="B339" s="504" t="n"/>
      <c r="C339" s="504" t="n"/>
      <c r="D339" s="504" t="n"/>
      <c r="E339" s="504" t="n"/>
      <c r="F339" s="504" t="n"/>
      <c r="G339" s="504" t="n"/>
    </row>
    <row r="340">
      <c r="A340" s="504" t="n"/>
      <c r="B340" s="504" t="n"/>
      <c r="C340" s="504" t="n"/>
      <c r="D340" s="504" t="n"/>
      <c r="E340" s="504" t="n"/>
      <c r="F340" s="504" t="n"/>
      <c r="G340" s="504" t="n"/>
    </row>
    <row r="341">
      <c r="A341" s="504" t="n"/>
      <c r="B341" s="504" t="n"/>
      <c r="C341" s="504" t="n"/>
      <c r="D341" s="504" t="n"/>
      <c r="E341" s="504" t="n"/>
      <c r="F341" s="504" t="n"/>
      <c r="G341" s="504" t="n"/>
    </row>
    <row r="342">
      <c r="A342" s="504" t="n"/>
      <c r="B342" s="504" t="n"/>
      <c r="C342" s="504" t="n"/>
      <c r="D342" s="504" t="n"/>
      <c r="E342" s="504" t="n"/>
      <c r="F342" s="504" t="n"/>
      <c r="G342" s="504" t="n"/>
    </row>
    <row r="343">
      <c r="A343" s="504" t="n"/>
      <c r="B343" s="504" t="n"/>
      <c r="C343" s="504" t="n"/>
      <c r="D343" s="504" t="n"/>
      <c r="E343" s="504" t="n"/>
      <c r="F343" s="504" t="n"/>
      <c r="G343" s="504" t="n"/>
    </row>
    <row r="344">
      <c r="A344" s="504" t="n"/>
      <c r="B344" s="504" t="n"/>
      <c r="C344" s="504" t="n"/>
      <c r="D344" s="504" t="n"/>
      <c r="E344" s="504" t="n"/>
      <c r="F344" s="504" t="n"/>
      <c r="G344" s="504" t="n"/>
    </row>
    <row r="345">
      <c r="A345" s="504" t="n"/>
      <c r="B345" s="504" t="n"/>
      <c r="C345" s="504" t="n"/>
      <c r="D345" s="504" t="n"/>
      <c r="E345" s="504" t="n"/>
      <c r="F345" s="504" t="n"/>
      <c r="G345" s="504" t="n"/>
    </row>
    <row r="346">
      <c r="A346" s="504" t="n"/>
      <c r="B346" s="504" t="n"/>
      <c r="C346" s="504" t="n"/>
      <c r="D346" s="504" t="n"/>
      <c r="E346" s="504" t="n"/>
      <c r="F346" s="504" t="n"/>
      <c r="G346" s="504" t="n"/>
    </row>
    <row r="347">
      <c r="A347" s="504" t="n"/>
      <c r="B347" s="504" t="n"/>
      <c r="C347" s="504" t="n"/>
      <c r="D347" s="504" t="n"/>
      <c r="E347" s="504" t="n"/>
      <c r="F347" s="504" t="n"/>
      <c r="G347" s="504" t="n"/>
    </row>
    <row r="348">
      <c r="A348" s="504" t="n"/>
      <c r="B348" s="504" t="n"/>
      <c r="C348" s="504" t="n"/>
      <c r="D348" s="504" t="n"/>
      <c r="E348" s="504" t="n"/>
      <c r="F348" s="504" t="n"/>
      <c r="G348" s="504" t="n"/>
    </row>
    <row r="349">
      <c r="A349" s="504" t="n"/>
      <c r="B349" s="504" t="n"/>
      <c r="C349" s="504" t="n"/>
      <c r="D349" s="504" t="n"/>
      <c r="E349" s="504" t="n"/>
      <c r="F349" s="504" t="n"/>
      <c r="G349" s="504" t="n"/>
    </row>
    <row r="350">
      <c r="A350" s="504" t="n"/>
      <c r="B350" s="504" t="n"/>
      <c r="C350" s="504" t="n"/>
      <c r="D350" s="504" t="n"/>
      <c r="E350" s="504" t="n"/>
      <c r="F350" s="504" t="n"/>
      <c r="G350" s="504" t="n"/>
    </row>
    <row r="351">
      <c r="A351" s="504" t="n"/>
      <c r="B351" s="504" t="n"/>
      <c r="C351" s="504" t="n"/>
      <c r="D351" s="504" t="n"/>
      <c r="E351" s="504" t="n"/>
      <c r="F351" s="504" t="n"/>
      <c r="G351" s="504" t="n"/>
    </row>
    <row r="352">
      <c r="A352" s="504" t="n"/>
      <c r="B352" s="504" t="n"/>
      <c r="C352" s="504" t="n"/>
      <c r="D352" s="504" t="n"/>
      <c r="E352" s="504" t="n"/>
      <c r="F352" s="504" t="n"/>
      <c r="G352" s="504" t="n"/>
    </row>
    <row r="353">
      <c r="A353" s="504" t="n"/>
      <c r="B353" s="504" t="n"/>
      <c r="C353" s="504" t="n"/>
      <c r="D353" s="504" t="n"/>
      <c r="E353" s="504" t="n"/>
      <c r="F353" s="504" t="n"/>
      <c r="G353" s="504" t="n"/>
    </row>
    <row r="354">
      <c r="A354" s="504" t="n"/>
      <c r="B354" s="504" t="n"/>
      <c r="C354" s="504" t="n"/>
      <c r="D354" s="504" t="n"/>
      <c r="E354" s="504" t="n"/>
      <c r="F354" s="504" t="n"/>
      <c r="G354" s="504" t="n"/>
    </row>
    <row r="355">
      <c r="A355" s="504" t="n"/>
      <c r="B355" s="504" t="n"/>
      <c r="C355" s="504" t="n"/>
      <c r="D355" s="504" t="n"/>
      <c r="E355" s="504" t="n"/>
      <c r="F355" s="504" t="n"/>
      <c r="G355" s="504" t="n"/>
    </row>
    <row r="356">
      <c r="A356" s="504" t="n"/>
      <c r="B356" s="504" t="n"/>
      <c r="C356" s="504" t="n"/>
      <c r="D356" s="504" t="n"/>
      <c r="E356" s="504" t="n"/>
      <c r="F356" s="504" t="n"/>
      <c r="G356" s="504" t="n"/>
    </row>
    <row r="357">
      <c r="A357" s="504" t="n"/>
      <c r="B357" s="504" t="n"/>
      <c r="C357" s="504" t="n"/>
      <c r="D357" s="504" t="n"/>
      <c r="E357" s="504" t="n"/>
      <c r="F357" s="504" t="n"/>
      <c r="G357" s="504" t="n"/>
    </row>
    <row r="358">
      <c r="A358" s="504" t="n"/>
      <c r="B358" s="504" t="n"/>
      <c r="C358" s="504" t="n"/>
      <c r="D358" s="504" t="n"/>
      <c r="E358" s="504" t="n"/>
      <c r="F358" s="504" t="n"/>
      <c r="G358" s="504" t="n"/>
    </row>
    <row r="359">
      <c r="A359" s="504" t="n"/>
      <c r="B359" s="504" t="n"/>
      <c r="C359" s="504" t="n"/>
      <c r="D359" s="504" t="n"/>
      <c r="E359" s="504" t="n"/>
      <c r="F359" s="504" t="n"/>
      <c r="G359" s="504" t="n"/>
    </row>
    <row r="360">
      <c r="A360" s="504" t="n"/>
      <c r="B360" s="504" t="n"/>
      <c r="C360" s="504" t="n"/>
      <c r="D360" s="504" t="n"/>
      <c r="E360" s="504" t="n"/>
      <c r="F360" s="504" t="n"/>
      <c r="G360" s="504" t="n"/>
    </row>
    <row r="361">
      <c r="A361" s="504" t="n"/>
      <c r="B361" s="504" t="n"/>
      <c r="C361" s="504" t="n"/>
      <c r="D361" s="504" t="n"/>
      <c r="E361" s="504" t="n"/>
      <c r="F361" s="504" t="n"/>
      <c r="G361" s="504" t="n"/>
    </row>
    <row r="362">
      <c r="A362" s="504" t="n"/>
      <c r="B362" s="504" t="n"/>
      <c r="C362" s="504" t="n"/>
      <c r="D362" s="504" t="n"/>
      <c r="E362" s="504" t="n"/>
      <c r="F362" s="504" t="n"/>
      <c r="G362" s="504" t="n"/>
    </row>
    <row r="363">
      <c r="A363" s="504" t="n"/>
      <c r="B363" s="504" t="n"/>
      <c r="C363" s="504" t="n"/>
      <c r="D363" s="504" t="n"/>
      <c r="E363" s="504" t="n"/>
      <c r="F363" s="504" t="n"/>
      <c r="G363" s="504" t="n"/>
    </row>
    <row r="364">
      <c r="A364" s="504" t="n"/>
      <c r="B364" s="504" t="n"/>
      <c r="C364" s="504" t="n"/>
      <c r="D364" s="504" t="n"/>
      <c r="E364" s="504" t="n"/>
      <c r="F364" s="504" t="n"/>
      <c r="G364" s="504" t="n"/>
    </row>
    <row r="365">
      <c r="A365" s="504" t="n"/>
      <c r="B365" s="504" t="n"/>
      <c r="C365" s="504" t="n"/>
      <c r="D365" s="504" t="n"/>
      <c r="E365" s="504" t="n"/>
      <c r="F365" s="504" t="n"/>
      <c r="G365" s="504" t="n"/>
    </row>
    <row r="366">
      <c r="A366" s="504" t="n"/>
      <c r="B366" s="504" t="n"/>
      <c r="C366" s="504" t="n"/>
      <c r="D366" s="504" t="n"/>
      <c r="E366" s="504" t="n"/>
      <c r="F366" s="504" t="n"/>
      <c r="G366" s="504" t="n"/>
    </row>
    <row r="367">
      <c r="A367" s="504" t="n"/>
      <c r="B367" s="504" t="n"/>
      <c r="C367" s="504" t="n"/>
      <c r="D367" s="504" t="n"/>
      <c r="E367" s="504" t="n"/>
      <c r="F367" s="504" t="n"/>
      <c r="G367" s="504" t="n"/>
    </row>
    <row r="368">
      <c r="A368" s="504" t="n"/>
      <c r="B368" s="504" t="n"/>
      <c r="C368" s="504" t="n"/>
      <c r="D368" s="504" t="n"/>
      <c r="E368" s="504" t="n"/>
      <c r="F368" s="504" t="n"/>
      <c r="G368" s="504" t="n"/>
    </row>
    <row r="369">
      <c r="A369" s="504" t="n"/>
      <c r="B369" s="504" t="n"/>
      <c r="C369" s="504" t="n"/>
      <c r="D369" s="504" t="n"/>
      <c r="E369" s="504" t="n"/>
      <c r="F369" s="504" t="n"/>
      <c r="G369" s="504" t="n"/>
    </row>
    <row r="370">
      <c r="A370" s="504" t="n"/>
      <c r="B370" s="504" t="n"/>
      <c r="C370" s="504" t="n"/>
      <c r="D370" s="504" t="n"/>
      <c r="E370" s="504" t="n"/>
      <c r="F370" s="504" t="n"/>
      <c r="G370" s="504" t="n"/>
    </row>
    <row r="371">
      <c r="A371" s="504" t="n"/>
      <c r="B371" s="504" t="n"/>
      <c r="C371" s="504" t="n"/>
      <c r="D371" s="504" t="n"/>
      <c r="E371" s="504" t="n"/>
      <c r="F371" s="504" t="n"/>
      <c r="G371" s="504" t="n"/>
    </row>
    <row r="372">
      <c r="A372" s="504" t="n"/>
      <c r="B372" s="504" t="n"/>
      <c r="C372" s="504" t="n"/>
      <c r="D372" s="504" t="n"/>
      <c r="E372" s="504" t="n"/>
      <c r="F372" s="504" t="n"/>
      <c r="G372" s="504" t="n"/>
    </row>
    <row r="373">
      <c r="A373" s="504" t="n"/>
      <c r="B373" s="504" t="n"/>
      <c r="C373" s="504" t="n"/>
      <c r="D373" s="504" t="n"/>
      <c r="E373" s="504" t="n"/>
      <c r="F373" s="504" t="n"/>
      <c r="G373" s="504" t="n"/>
    </row>
    <row r="374">
      <c r="A374" s="504" t="n"/>
      <c r="B374" s="504" t="n"/>
      <c r="C374" s="504" t="n"/>
      <c r="D374" s="504" t="n"/>
      <c r="E374" s="504" t="n"/>
      <c r="F374" s="504" t="n"/>
      <c r="G374" s="504" t="n"/>
    </row>
    <row r="375">
      <c r="A375" s="504" t="n"/>
      <c r="B375" s="504" t="n"/>
      <c r="C375" s="504" t="n"/>
      <c r="D375" s="504" t="n"/>
      <c r="E375" s="504" t="n"/>
      <c r="F375" s="504" t="n"/>
      <c r="G375" s="504" t="n"/>
    </row>
    <row r="376">
      <c r="A376" s="504" t="n"/>
      <c r="B376" s="504" t="n"/>
      <c r="C376" s="504" t="n"/>
      <c r="D376" s="504" t="n"/>
      <c r="E376" s="504" t="n"/>
      <c r="F376" s="504" t="n"/>
      <c r="G376" s="504" t="n"/>
    </row>
    <row r="377">
      <c r="A377" s="504" t="n"/>
      <c r="B377" s="504" t="n"/>
      <c r="C377" s="504" t="n"/>
      <c r="D377" s="504" t="n"/>
      <c r="E377" s="504" t="n"/>
      <c r="F377" s="504" t="n"/>
      <c r="G377" s="504" t="n"/>
    </row>
    <row r="378">
      <c r="A378" s="504" t="n"/>
      <c r="B378" s="504" t="n"/>
      <c r="C378" s="504" t="n"/>
      <c r="D378" s="504" t="n"/>
      <c r="E378" s="504" t="n"/>
      <c r="F378" s="504" t="n"/>
      <c r="G378" s="504" t="n"/>
    </row>
    <row r="379">
      <c r="A379" s="504" t="n"/>
      <c r="B379" s="504" t="n"/>
      <c r="C379" s="504" t="n"/>
      <c r="D379" s="504" t="n"/>
      <c r="E379" s="504" t="n"/>
      <c r="F379" s="504" t="n"/>
      <c r="G379" s="504" t="n"/>
    </row>
    <row r="380">
      <c r="A380" s="504" t="n"/>
      <c r="B380" s="504" t="n"/>
      <c r="C380" s="504" t="n"/>
      <c r="D380" s="504" t="n"/>
      <c r="E380" s="504" t="n"/>
      <c r="F380" s="504" t="n"/>
      <c r="G380" s="504" t="n"/>
    </row>
    <row r="381">
      <c r="A381" s="504" t="n"/>
      <c r="B381" s="504" t="n"/>
      <c r="C381" s="504" t="n"/>
      <c r="D381" s="504" t="n"/>
      <c r="E381" s="504" t="n"/>
      <c r="F381" s="504" t="n"/>
      <c r="G381" s="504" t="n"/>
    </row>
    <row r="382">
      <c r="A382" s="504" t="n"/>
      <c r="B382" s="504" t="n"/>
      <c r="C382" s="504" t="n"/>
      <c r="D382" s="504" t="n"/>
      <c r="E382" s="504" t="n"/>
      <c r="F382" s="504" t="n"/>
      <c r="G382" s="504" t="n"/>
    </row>
    <row r="383">
      <c r="A383" s="504" t="n"/>
      <c r="B383" s="504" t="n"/>
      <c r="C383" s="504" t="n"/>
      <c r="D383" s="504" t="n"/>
      <c r="E383" s="504" t="n"/>
      <c r="F383" s="504" t="n"/>
      <c r="G383" s="504" t="n"/>
    </row>
    <row r="384">
      <c r="A384" s="504" t="n"/>
      <c r="B384" s="504" t="n"/>
      <c r="C384" s="504" t="n"/>
      <c r="D384" s="504" t="n"/>
      <c r="E384" s="504" t="n"/>
      <c r="F384" s="504" t="n"/>
      <c r="G384" s="504" t="n"/>
    </row>
    <row r="385">
      <c r="A385" s="504" t="n"/>
      <c r="B385" s="504" t="n"/>
      <c r="C385" s="504" t="n"/>
      <c r="D385" s="504" t="n"/>
      <c r="E385" s="504" t="n"/>
      <c r="F385" s="504" t="n"/>
      <c r="G385" s="504" t="n"/>
    </row>
    <row r="386">
      <c r="A386" s="504" t="n"/>
      <c r="B386" s="504" t="n"/>
      <c r="C386" s="504" t="n"/>
      <c r="D386" s="504" t="n"/>
      <c r="E386" s="504" t="n"/>
      <c r="F386" s="504" t="n"/>
      <c r="G386" s="504" t="n"/>
    </row>
    <row r="387">
      <c r="A387" s="504" t="n"/>
      <c r="B387" s="504" t="n"/>
      <c r="C387" s="504" t="n"/>
      <c r="D387" s="504" t="n"/>
      <c r="E387" s="504" t="n"/>
      <c r="F387" s="504" t="n"/>
      <c r="G387" s="504" t="n"/>
    </row>
    <row r="388">
      <c r="A388" s="504" t="n"/>
      <c r="B388" s="504" t="n"/>
      <c r="C388" s="504" t="n"/>
      <c r="D388" s="504" t="n"/>
      <c r="E388" s="504" t="n"/>
      <c r="F388" s="504" t="n"/>
      <c r="G388" s="504" t="n"/>
    </row>
    <row r="389">
      <c r="A389" s="504" t="n"/>
      <c r="B389" s="504" t="n"/>
      <c r="C389" s="504" t="n"/>
      <c r="D389" s="504" t="n"/>
      <c r="E389" s="504" t="n"/>
      <c r="F389" s="504" t="n"/>
      <c r="G389" s="504" t="n"/>
    </row>
    <row r="390">
      <c r="A390" s="504" t="n"/>
      <c r="B390" s="504" t="n"/>
      <c r="C390" s="504" t="n"/>
      <c r="D390" s="504" t="n"/>
      <c r="E390" s="504" t="n"/>
      <c r="F390" s="504" t="n"/>
      <c r="G390" s="504" t="n"/>
    </row>
    <row r="391">
      <c r="A391" s="504" t="n"/>
      <c r="B391" s="504" t="n"/>
      <c r="C391" s="504" t="n"/>
      <c r="D391" s="504" t="n"/>
      <c r="E391" s="504" t="n"/>
      <c r="F391" s="504" t="n"/>
      <c r="G391" s="504" t="n"/>
    </row>
    <row r="392">
      <c r="A392" s="504" t="n"/>
      <c r="B392" s="504" t="n"/>
      <c r="C392" s="504" t="n"/>
      <c r="D392" s="504" t="n"/>
      <c r="E392" s="504" t="n"/>
      <c r="F392" s="504" t="n"/>
      <c r="G392" s="504" t="n"/>
    </row>
    <row r="393">
      <c r="A393" s="504" t="n"/>
      <c r="B393" s="504" t="n"/>
      <c r="C393" s="504" t="n"/>
      <c r="D393" s="504" t="n"/>
      <c r="E393" s="504" t="n"/>
      <c r="F393" s="504" t="n"/>
      <c r="G393" s="504" t="n"/>
    </row>
    <row r="394">
      <c r="A394" s="504" t="n"/>
      <c r="B394" s="504" t="n"/>
      <c r="C394" s="504" t="n"/>
      <c r="D394" s="504" t="n"/>
      <c r="E394" s="504" t="n"/>
      <c r="F394" s="504" t="n"/>
      <c r="G394" s="504" t="n"/>
    </row>
    <row r="395">
      <c r="A395" s="504" t="n"/>
      <c r="B395" s="504" t="n"/>
      <c r="C395" s="504" t="n"/>
      <c r="D395" s="504" t="n"/>
      <c r="E395" s="504" t="n"/>
      <c r="F395" s="504" t="n"/>
      <c r="G395" s="504" t="n"/>
    </row>
    <row r="396">
      <c r="A396" s="504" t="n"/>
      <c r="B396" s="504" t="n"/>
      <c r="C396" s="504" t="n"/>
      <c r="D396" s="504" t="n"/>
      <c r="E396" s="504" t="n"/>
      <c r="F396" s="504" t="n"/>
      <c r="G396" s="504" t="n"/>
    </row>
    <row r="397">
      <c r="A397" s="504" t="n"/>
      <c r="B397" s="504" t="n"/>
      <c r="C397" s="504" t="n"/>
      <c r="D397" s="504" t="n"/>
      <c r="E397" s="504" t="n"/>
      <c r="F397" s="504" t="n"/>
      <c r="G397" s="504" t="n"/>
    </row>
    <row r="398">
      <c r="A398" s="504" t="n"/>
      <c r="B398" s="504" t="n"/>
      <c r="C398" s="504" t="n"/>
      <c r="D398" s="504" t="n"/>
      <c r="E398" s="504" t="n"/>
      <c r="F398" s="504" t="n"/>
      <c r="G398" s="504" t="n"/>
    </row>
    <row r="399">
      <c r="A399" s="504" t="n"/>
      <c r="B399" s="504" t="n"/>
      <c r="C399" s="504" t="n"/>
      <c r="D399" s="504" t="n"/>
      <c r="E399" s="504" t="n"/>
      <c r="F399" s="504" t="n"/>
      <c r="G399" s="504" t="n"/>
    </row>
    <row r="400">
      <c r="A400" s="504" t="n"/>
      <c r="B400" s="504" t="n"/>
      <c r="C400" s="504" t="n"/>
      <c r="D400" s="504" t="n"/>
      <c r="E400" s="504" t="n"/>
      <c r="F400" s="504" t="n"/>
      <c r="G400" s="504" t="n"/>
    </row>
    <row r="401">
      <c r="A401" s="504" t="n"/>
      <c r="B401" s="504" t="n"/>
      <c r="C401" s="504" t="n"/>
      <c r="D401" s="504" t="n"/>
      <c r="E401" s="504" t="n"/>
      <c r="F401" s="504" t="n"/>
      <c r="G401" s="504" t="n"/>
    </row>
    <row r="402">
      <c r="A402" s="504" t="n"/>
      <c r="B402" s="504" t="n"/>
      <c r="C402" s="504" t="n"/>
      <c r="D402" s="504" t="n"/>
      <c r="E402" s="504" t="n"/>
      <c r="F402" s="504" t="n"/>
      <c r="G402" s="504" t="n"/>
    </row>
    <row r="403">
      <c r="A403" s="504" t="n"/>
      <c r="B403" s="504" t="n"/>
      <c r="C403" s="504" t="n"/>
      <c r="D403" s="504" t="n"/>
      <c r="E403" s="504" t="n"/>
      <c r="F403" s="504" t="n"/>
      <c r="G403" s="504" t="n"/>
    </row>
    <row r="404">
      <c r="A404" s="504" t="n"/>
      <c r="B404" s="504" t="n"/>
      <c r="C404" s="504" t="n"/>
      <c r="D404" s="504" t="n"/>
      <c r="E404" s="504" t="n"/>
      <c r="F404" s="504" t="n"/>
      <c r="G404" s="504" t="n"/>
    </row>
    <row r="405">
      <c r="A405" s="504" t="n"/>
      <c r="B405" s="504" t="n"/>
      <c r="C405" s="504" t="n"/>
      <c r="D405" s="504" t="n"/>
      <c r="E405" s="504" t="n"/>
      <c r="F405" s="504" t="n"/>
      <c r="G405" s="504" t="n"/>
    </row>
    <row r="406">
      <c r="A406" s="504" t="n"/>
      <c r="B406" s="504" t="n"/>
      <c r="C406" s="504" t="n"/>
      <c r="D406" s="504" t="n"/>
      <c r="E406" s="504" t="n"/>
      <c r="F406" s="504" t="n"/>
      <c r="G406" s="504" t="n"/>
    </row>
    <row r="407">
      <c r="A407" s="504" t="n"/>
      <c r="B407" s="504" t="n"/>
      <c r="C407" s="504" t="n"/>
      <c r="D407" s="504" t="n"/>
      <c r="E407" s="504" t="n"/>
      <c r="F407" s="504" t="n"/>
      <c r="G407" s="504" t="n"/>
    </row>
    <row r="408">
      <c r="A408" s="504" t="n"/>
      <c r="B408" s="504" t="n"/>
      <c r="C408" s="504" t="n"/>
      <c r="D408" s="504" t="n"/>
      <c r="E408" s="504" t="n"/>
      <c r="F408" s="504" t="n"/>
      <c r="G408" s="504" t="n"/>
    </row>
    <row r="409">
      <c r="A409" s="504" t="n"/>
      <c r="B409" s="504" t="n"/>
      <c r="C409" s="504" t="n"/>
      <c r="D409" s="504" t="n"/>
      <c r="E409" s="504" t="n"/>
      <c r="F409" s="504" t="n"/>
      <c r="G409" s="504" t="n"/>
    </row>
    <row r="410">
      <c r="A410" s="504" t="n"/>
      <c r="B410" s="504" t="n"/>
      <c r="C410" s="504" t="n"/>
      <c r="D410" s="504" t="n"/>
      <c r="E410" s="504" t="n"/>
      <c r="F410" s="504" t="n"/>
      <c r="G410" s="504" t="n"/>
    </row>
    <row r="411">
      <c r="A411" s="504" t="n"/>
      <c r="B411" s="504" t="n"/>
      <c r="C411" s="504" t="n"/>
      <c r="D411" s="504" t="n"/>
      <c r="E411" s="504" t="n"/>
      <c r="F411" s="504" t="n"/>
      <c r="G411" s="504" t="n"/>
    </row>
    <row r="412">
      <c r="A412" s="504" t="n"/>
      <c r="B412" s="504" t="n"/>
      <c r="C412" s="504" t="n"/>
      <c r="D412" s="504" t="n"/>
      <c r="E412" s="504" t="n"/>
      <c r="F412" s="504" t="n"/>
      <c r="G412" s="504" t="n"/>
    </row>
    <row r="413">
      <c r="A413" s="504" t="n"/>
      <c r="B413" s="504" t="n"/>
      <c r="C413" s="504" t="n"/>
      <c r="D413" s="504" t="n"/>
      <c r="E413" s="504" t="n"/>
      <c r="F413" s="504" t="n"/>
      <c r="G413" s="504" t="n"/>
    </row>
    <row r="414">
      <c r="A414" s="504" t="n"/>
      <c r="B414" s="504" t="n"/>
      <c r="C414" s="504" t="n"/>
      <c r="D414" s="504" t="n"/>
      <c r="E414" s="504" t="n"/>
      <c r="F414" s="504" t="n"/>
      <c r="G414" s="504" t="n"/>
    </row>
    <row r="415">
      <c r="A415" s="504" t="n"/>
      <c r="B415" s="504" t="n"/>
      <c r="C415" s="504" t="n"/>
      <c r="D415" s="504" t="n"/>
      <c r="E415" s="504" t="n"/>
      <c r="F415" s="504" t="n"/>
      <c r="G415" s="504" t="n"/>
    </row>
    <row r="416">
      <c r="A416" s="504" t="n"/>
      <c r="B416" s="504" t="n"/>
      <c r="C416" s="504" t="n"/>
      <c r="D416" s="504" t="n"/>
      <c r="E416" s="504" t="n"/>
      <c r="F416" s="504" t="n"/>
      <c r="G416" s="504" t="n"/>
    </row>
    <row r="417">
      <c r="A417" s="504" t="n"/>
      <c r="B417" s="504" t="n"/>
      <c r="C417" s="504" t="n"/>
      <c r="D417" s="504" t="n"/>
      <c r="E417" s="504" t="n"/>
      <c r="F417" s="504" t="n"/>
      <c r="G417" s="504" t="n"/>
    </row>
    <row r="418">
      <c r="A418" s="504" t="n"/>
      <c r="B418" s="504" t="n"/>
      <c r="C418" s="504" t="n"/>
      <c r="D418" s="504" t="n"/>
      <c r="E418" s="504" t="n"/>
      <c r="F418" s="504" t="n"/>
      <c r="G418" s="504" t="n"/>
    </row>
    <row r="419">
      <c r="A419" s="504" t="n"/>
      <c r="B419" s="504" t="n"/>
      <c r="C419" s="504" t="n"/>
      <c r="D419" s="504" t="n"/>
      <c r="E419" s="504" t="n"/>
      <c r="F419" s="504" t="n"/>
      <c r="G419" s="504" t="n"/>
    </row>
    <row r="420">
      <c r="A420" s="504" t="n"/>
      <c r="B420" s="504" t="n"/>
      <c r="C420" s="504" t="n"/>
      <c r="D420" s="504" t="n"/>
      <c r="E420" s="504" t="n"/>
      <c r="F420" s="504" t="n"/>
      <c r="G420" s="504" t="n"/>
    </row>
    <row r="421">
      <c r="A421" s="504" t="n"/>
      <c r="B421" s="504" t="n"/>
      <c r="C421" s="504" t="n"/>
      <c r="D421" s="504" t="n"/>
      <c r="E421" s="504" t="n"/>
      <c r="F421" s="504" t="n"/>
      <c r="G421" s="504" t="n"/>
    </row>
    <row r="422">
      <c r="A422" s="504" t="n"/>
      <c r="B422" s="504" t="n"/>
      <c r="C422" s="504" t="n"/>
      <c r="D422" s="504" t="n"/>
      <c r="E422" s="504" t="n"/>
      <c r="F422" s="504" t="n"/>
      <c r="G422" s="504" t="n"/>
    </row>
    <row r="423">
      <c r="A423" s="504" t="n"/>
      <c r="B423" s="504" t="n"/>
      <c r="C423" s="504" t="n"/>
      <c r="D423" s="504" t="n"/>
      <c r="E423" s="504" t="n"/>
      <c r="F423" s="504" t="n"/>
      <c r="G423" s="504" t="n"/>
    </row>
    <row r="424">
      <c r="A424" s="504" t="n"/>
      <c r="B424" s="504" t="n"/>
      <c r="C424" s="504" t="n"/>
      <c r="D424" s="504" t="n"/>
      <c r="E424" s="504" t="n"/>
      <c r="F424" s="504" t="n"/>
      <c r="G424" s="504" t="n"/>
    </row>
    <row r="425">
      <c r="A425" s="504" t="n"/>
      <c r="B425" s="504" t="n"/>
      <c r="C425" s="504" t="n"/>
      <c r="D425" s="504" t="n"/>
      <c r="E425" s="504" t="n"/>
      <c r="F425" s="504" t="n"/>
      <c r="G425" s="504" t="n"/>
    </row>
    <row r="426">
      <c r="A426" s="504" t="n"/>
      <c r="B426" s="504" t="n"/>
      <c r="C426" s="504" t="n"/>
      <c r="D426" s="504" t="n"/>
      <c r="E426" s="504" t="n"/>
      <c r="F426" s="504" t="n"/>
      <c r="G426" s="504" t="n"/>
    </row>
    <row r="427">
      <c r="A427" s="504" t="n"/>
      <c r="B427" s="504" t="n"/>
      <c r="C427" s="504" t="n"/>
      <c r="D427" s="504" t="n"/>
      <c r="E427" s="504" t="n"/>
      <c r="F427" s="504" t="n"/>
      <c r="G427" s="504" t="n"/>
    </row>
    <row r="428">
      <c r="A428" s="504" t="n"/>
      <c r="B428" s="504" t="n"/>
      <c r="C428" s="504" t="n"/>
      <c r="D428" s="504" t="n"/>
      <c r="E428" s="504" t="n"/>
      <c r="F428" s="504" t="n"/>
      <c r="G428" s="504" t="n"/>
    </row>
    <row r="429">
      <c r="A429" s="504" t="n"/>
      <c r="B429" s="504" t="n"/>
      <c r="C429" s="504" t="n"/>
      <c r="D429" s="504" t="n"/>
      <c r="E429" s="504" t="n"/>
      <c r="F429" s="504" t="n"/>
      <c r="G429" s="504" t="n"/>
    </row>
    <row r="430">
      <c r="A430" s="504" t="n"/>
      <c r="B430" s="504" t="n"/>
      <c r="C430" s="504" t="n"/>
      <c r="D430" s="504" t="n"/>
      <c r="E430" s="504" t="n"/>
      <c r="F430" s="504" t="n"/>
      <c r="G430" s="504" t="n"/>
    </row>
    <row r="431">
      <c r="A431" s="504" t="n"/>
      <c r="B431" s="504" t="n"/>
      <c r="C431" s="504" t="n"/>
      <c r="D431" s="504" t="n"/>
      <c r="E431" s="504" t="n"/>
      <c r="F431" s="504" t="n"/>
      <c r="G431" s="504" t="n"/>
    </row>
    <row r="432">
      <c r="A432" s="504" t="n"/>
      <c r="B432" s="504" t="n"/>
      <c r="C432" s="504" t="n"/>
      <c r="D432" s="504" t="n"/>
      <c r="E432" s="504" t="n"/>
      <c r="F432" s="504" t="n"/>
      <c r="G432" s="504" t="n"/>
    </row>
    <row r="433">
      <c r="A433" s="504" t="n"/>
      <c r="B433" s="504" t="n"/>
      <c r="C433" s="504" t="n"/>
      <c r="D433" s="504" t="n"/>
      <c r="E433" s="504" t="n"/>
      <c r="F433" s="504" t="n"/>
      <c r="G433" s="504" t="n"/>
    </row>
    <row r="434">
      <c r="A434" s="504" t="n"/>
      <c r="B434" s="504" t="n"/>
      <c r="C434" s="504" t="n"/>
      <c r="D434" s="504" t="n"/>
      <c r="E434" s="504" t="n"/>
      <c r="F434" s="504" t="n"/>
      <c r="G434" s="504" t="n"/>
    </row>
    <row r="435">
      <c r="A435" s="504" t="n"/>
      <c r="B435" s="504" t="n"/>
      <c r="C435" s="504" t="n"/>
      <c r="D435" s="504" t="n"/>
      <c r="E435" s="504" t="n"/>
      <c r="F435" s="504" t="n"/>
      <c r="G435" s="504" t="n"/>
    </row>
    <row r="436">
      <c r="A436" s="504" t="n"/>
      <c r="B436" s="504" t="n"/>
      <c r="C436" s="504" t="n"/>
      <c r="D436" s="504" t="n"/>
      <c r="E436" s="504" t="n"/>
      <c r="F436" s="504" t="n"/>
      <c r="G436" s="504" t="n"/>
    </row>
    <row r="437">
      <c r="A437" s="504" t="n"/>
      <c r="B437" s="504" t="n"/>
      <c r="C437" s="504" t="n"/>
      <c r="D437" s="504" t="n"/>
      <c r="E437" s="504" t="n"/>
      <c r="F437" s="504" t="n"/>
      <c r="G437" s="504" t="n"/>
    </row>
    <row r="438">
      <c r="A438" s="504" t="n"/>
      <c r="B438" s="504" t="n"/>
      <c r="C438" s="504" t="n"/>
      <c r="D438" s="504" t="n"/>
      <c r="E438" s="504" t="n"/>
      <c r="F438" s="504" t="n"/>
      <c r="G438" s="504" t="n"/>
    </row>
    <row r="439">
      <c r="A439" s="504" t="n"/>
      <c r="B439" s="504" t="n"/>
      <c r="C439" s="504" t="n"/>
      <c r="D439" s="504" t="n"/>
      <c r="E439" s="504" t="n"/>
      <c r="F439" s="504" t="n"/>
      <c r="G439" s="504" t="n"/>
    </row>
    <row r="440">
      <c r="A440" s="504" t="n"/>
      <c r="B440" s="504" t="n"/>
      <c r="C440" s="504" t="n"/>
      <c r="D440" s="504" t="n"/>
      <c r="E440" s="504" t="n"/>
      <c r="F440" s="504" t="n"/>
      <c r="G440" s="504" t="n"/>
    </row>
    <row r="441">
      <c r="A441" s="504" t="n"/>
      <c r="B441" s="504" t="n"/>
      <c r="C441" s="504" t="n"/>
      <c r="D441" s="504" t="n"/>
      <c r="E441" s="504" t="n"/>
      <c r="F441" s="504" t="n"/>
      <c r="G441" s="504" t="n"/>
    </row>
    <row r="442">
      <c r="A442" s="504" t="n"/>
      <c r="B442" s="504" t="n"/>
      <c r="C442" s="504" t="n"/>
      <c r="D442" s="504" t="n"/>
      <c r="E442" s="504" t="n"/>
      <c r="F442" s="504" t="n"/>
      <c r="G442" s="504" t="n"/>
    </row>
    <row r="443">
      <c r="A443" s="504" t="n"/>
      <c r="B443" s="504" t="n"/>
      <c r="C443" s="504" t="n"/>
      <c r="D443" s="504" t="n"/>
      <c r="E443" s="504" t="n"/>
      <c r="F443" s="504" t="n"/>
      <c r="G443" s="504" t="n"/>
    </row>
    <row r="444">
      <c r="A444" s="504" t="n"/>
      <c r="B444" s="504" t="n"/>
      <c r="C444" s="504" t="n"/>
      <c r="D444" s="504" t="n"/>
      <c r="E444" s="504" t="n"/>
      <c r="F444" s="504" t="n"/>
      <c r="G444" s="504" t="n"/>
    </row>
    <row r="445">
      <c r="A445" s="504" t="n"/>
      <c r="B445" s="504" t="n"/>
      <c r="C445" s="504" t="n"/>
      <c r="D445" s="504" t="n"/>
      <c r="E445" s="504" t="n"/>
      <c r="F445" s="504" t="n"/>
      <c r="G445" s="504" t="n"/>
    </row>
    <row r="446">
      <c r="A446" s="504" t="n"/>
      <c r="B446" s="504" t="n"/>
      <c r="C446" s="504" t="n"/>
      <c r="D446" s="504" t="n"/>
      <c r="E446" s="504" t="n"/>
      <c r="F446" s="504" t="n"/>
      <c r="G446" s="504" t="n"/>
    </row>
    <row r="447">
      <c r="A447" s="504" t="n"/>
      <c r="B447" s="504" t="n"/>
      <c r="C447" s="504" t="n"/>
      <c r="D447" s="504" t="n"/>
      <c r="E447" s="504" t="n"/>
      <c r="F447" s="504" t="n"/>
      <c r="G447" s="504" t="n"/>
    </row>
    <row r="448">
      <c r="A448" s="504" t="n"/>
      <c r="B448" s="504" t="n"/>
      <c r="C448" s="504" t="n"/>
      <c r="D448" s="504" t="n"/>
      <c r="E448" s="504" t="n"/>
      <c r="F448" s="504" t="n"/>
      <c r="G448" s="504" t="n"/>
    </row>
    <row r="449">
      <c r="A449" s="504" t="n"/>
      <c r="B449" s="504" t="n"/>
      <c r="C449" s="504" t="n"/>
      <c r="D449" s="504" t="n"/>
      <c r="E449" s="504" t="n"/>
      <c r="F449" s="504" t="n"/>
      <c r="G449" s="504" t="n"/>
    </row>
    <row r="450">
      <c r="A450" s="504" t="n"/>
      <c r="B450" s="504" t="n"/>
      <c r="C450" s="504" t="n"/>
      <c r="D450" s="504" t="n"/>
      <c r="E450" s="504" t="n"/>
      <c r="F450" s="504" t="n"/>
      <c r="G450" s="504" t="n"/>
    </row>
    <row r="451">
      <c r="A451" s="504" t="n"/>
      <c r="B451" s="504" t="n"/>
      <c r="C451" s="504" t="n"/>
      <c r="D451" s="504" t="n"/>
      <c r="E451" s="504" t="n"/>
      <c r="F451" s="504" t="n"/>
      <c r="G451" s="504" t="n"/>
    </row>
    <row r="452">
      <c r="A452" s="504" t="n"/>
      <c r="B452" s="504" t="n"/>
      <c r="C452" s="504" t="n"/>
      <c r="D452" s="504" t="n"/>
      <c r="E452" s="504" t="n"/>
      <c r="F452" s="504" t="n"/>
      <c r="G452" s="504" t="n"/>
    </row>
    <row r="453">
      <c r="A453" s="504" t="n"/>
      <c r="B453" s="504" t="n"/>
      <c r="C453" s="504" t="n"/>
      <c r="D453" s="504" t="n"/>
      <c r="E453" s="504" t="n"/>
      <c r="F453" s="504" t="n"/>
      <c r="G453" s="504" t="n"/>
    </row>
    <row r="454">
      <c r="A454" s="504" t="n"/>
      <c r="B454" s="504" t="n"/>
      <c r="C454" s="504" t="n"/>
      <c r="D454" s="504" t="n"/>
      <c r="E454" s="504" t="n"/>
      <c r="F454" s="504" t="n"/>
      <c r="G454" s="504" t="n"/>
    </row>
    <row r="455">
      <c r="A455" s="504" t="n"/>
      <c r="B455" s="504" t="n"/>
      <c r="C455" s="504" t="n"/>
      <c r="D455" s="504" t="n"/>
      <c r="E455" s="504" t="n"/>
      <c r="F455" s="504" t="n"/>
      <c r="G455" s="504" t="n"/>
    </row>
    <row r="456">
      <c r="A456" s="504" t="n"/>
      <c r="B456" s="504" t="n"/>
      <c r="C456" s="504" t="n"/>
      <c r="D456" s="504" t="n"/>
      <c r="E456" s="504" t="n"/>
      <c r="F456" s="504" t="n"/>
      <c r="G456" s="504" t="n"/>
    </row>
    <row r="457">
      <c r="A457" s="504" t="n"/>
      <c r="B457" s="504" t="n"/>
      <c r="C457" s="504" t="n"/>
      <c r="D457" s="504" t="n"/>
      <c r="E457" s="504" t="n"/>
      <c r="F457" s="504" t="n"/>
      <c r="G457" s="504" t="n"/>
    </row>
    <row r="458">
      <c r="A458" s="504" t="n"/>
      <c r="B458" s="504" t="n"/>
      <c r="C458" s="504" t="n"/>
      <c r="D458" s="504" t="n"/>
      <c r="E458" s="504" t="n"/>
      <c r="F458" s="504" t="n"/>
      <c r="G458" s="504" t="n"/>
    </row>
    <row r="459">
      <c r="A459" s="504" t="n"/>
      <c r="B459" s="504" t="n"/>
      <c r="C459" s="504" t="n"/>
      <c r="D459" s="504" t="n"/>
      <c r="E459" s="504" t="n"/>
      <c r="F459" s="504" t="n"/>
      <c r="G459" s="504" t="n"/>
    </row>
    <row r="460">
      <c r="A460" s="504" t="n"/>
      <c r="B460" s="504" t="n"/>
      <c r="C460" s="504" t="n"/>
      <c r="D460" s="504" t="n"/>
      <c r="E460" s="504" t="n"/>
      <c r="F460" s="504" t="n"/>
      <c r="G460" s="504" t="n"/>
    </row>
    <row r="461">
      <c r="A461" s="504" t="n"/>
      <c r="B461" s="504" t="n"/>
      <c r="C461" s="504" t="n"/>
      <c r="D461" s="504" t="n"/>
      <c r="E461" s="504" t="n"/>
      <c r="F461" s="504" t="n"/>
      <c r="G461" s="504" t="n"/>
    </row>
    <row r="462">
      <c r="A462" s="504" t="n"/>
      <c r="B462" s="504" t="n"/>
      <c r="C462" s="504" t="n"/>
      <c r="D462" s="504" t="n"/>
      <c r="E462" s="504" t="n"/>
      <c r="F462" s="504" t="n"/>
      <c r="G462" s="504" t="n"/>
    </row>
    <row r="463">
      <c r="A463" s="504" t="n"/>
      <c r="B463" s="504" t="n"/>
      <c r="C463" s="504" t="n"/>
      <c r="D463" s="504" t="n"/>
      <c r="E463" s="504" t="n"/>
      <c r="F463" s="504" t="n"/>
      <c r="G463" s="504" t="n"/>
    </row>
    <row r="464">
      <c r="A464" s="504" t="n"/>
      <c r="B464" s="504" t="n"/>
      <c r="C464" s="504" t="n"/>
      <c r="D464" s="504" t="n"/>
      <c r="E464" s="504" t="n"/>
      <c r="F464" s="504" t="n"/>
      <c r="G464" s="504" t="n"/>
    </row>
    <row r="465">
      <c r="A465" s="504" t="n"/>
      <c r="B465" s="504" t="n"/>
      <c r="C465" s="504" t="n"/>
      <c r="D465" s="504" t="n"/>
      <c r="E465" s="504" t="n"/>
      <c r="F465" s="504" t="n"/>
      <c r="G465" s="504" t="n"/>
    </row>
    <row r="466">
      <c r="A466" s="504" t="n"/>
      <c r="B466" s="504" t="n"/>
      <c r="C466" s="504" t="n"/>
      <c r="D466" s="504" t="n"/>
      <c r="E466" s="504" t="n"/>
      <c r="F466" s="504" t="n"/>
      <c r="G466" s="504" t="n"/>
    </row>
    <row r="467">
      <c r="A467" s="504" t="n"/>
      <c r="B467" s="504" t="n"/>
      <c r="C467" s="504" t="n"/>
      <c r="D467" s="504" t="n"/>
      <c r="E467" s="504" t="n"/>
      <c r="F467" s="504" t="n"/>
      <c r="G467" s="504" t="n"/>
    </row>
    <row r="468">
      <c r="A468" s="504" t="n"/>
      <c r="B468" s="504" t="n"/>
      <c r="C468" s="504" t="n"/>
      <c r="D468" s="504" t="n"/>
      <c r="E468" s="504" t="n"/>
      <c r="F468" s="504" t="n"/>
      <c r="G468" s="504" t="n"/>
    </row>
    <row r="469">
      <c r="A469" s="504" t="n"/>
      <c r="B469" s="504" t="n"/>
      <c r="C469" s="504" t="n"/>
      <c r="D469" s="504" t="n"/>
      <c r="E469" s="504" t="n"/>
      <c r="F469" s="504" t="n"/>
      <c r="G469" s="504" t="n"/>
    </row>
    <row r="470">
      <c r="A470" s="504" t="n"/>
      <c r="B470" s="504" t="n"/>
      <c r="C470" s="504" t="n"/>
      <c r="D470" s="504" t="n"/>
      <c r="E470" s="504" t="n"/>
      <c r="F470" s="504" t="n"/>
      <c r="G470" s="504" t="n"/>
    </row>
    <row r="471">
      <c r="A471" s="504" t="n"/>
      <c r="B471" s="504" t="n"/>
      <c r="C471" s="504" t="n"/>
      <c r="D471" s="504" t="n"/>
      <c r="E471" s="504" t="n"/>
      <c r="F471" s="504" t="n"/>
      <c r="G471" s="504" t="n"/>
    </row>
    <row r="472">
      <c r="A472" s="504" t="n"/>
      <c r="B472" s="504" t="n"/>
      <c r="C472" s="504" t="n"/>
      <c r="D472" s="504" t="n"/>
      <c r="E472" s="504" t="n"/>
      <c r="F472" s="504" t="n"/>
      <c r="G472" s="504" t="n"/>
    </row>
    <row r="473">
      <c r="A473" s="504" t="n"/>
      <c r="B473" s="504" t="n"/>
      <c r="C473" s="504" t="n"/>
      <c r="D473" s="504" t="n"/>
      <c r="E473" s="504" t="n"/>
      <c r="F473" s="504" t="n"/>
      <c r="G473" s="504" t="n"/>
    </row>
    <row r="474">
      <c r="A474" s="504" t="n"/>
      <c r="B474" s="504" t="n"/>
      <c r="C474" s="504" t="n"/>
      <c r="D474" s="504" t="n"/>
      <c r="E474" s="504" t="n"/>
      <c r="F474" s="504" t="n"/>
      <c r="G474" s="504" t="n"/>
    </row>
    <row r="475">
      <c r="A475" s="504" t="n"/>
      <c r="B475" s="504" t="n"/>
      <c r="C475" s="504" t="n"/>
      <c r="D475" s="504" t="n"/>
      <c r="E475" s="504" t="n"/>
      <c r="F475" s="504" t="n"/>
      <c r="G475" s="504" t="n"/>
    </row>
    <row r="476">
      <c r="A476" s="504" t="n"/>
      <c r="B476" s="504" t="n"/>
      <c r="C476" s="504" t="n"/>
      <c r="D476" s="504" t="n"/>
      <c r="E476" s="504" t="n"/>
      <c r="F476" s="504" t="n"/>
      <c r="G476" s="504" t="n"/>
    </row>
    <row r="477">
      <c r="A477" s="504" t="n"/>
      <c r="B477" s="504" t="n"/>
      <c r="C477" s="504" t="n"/>
      <c r="D477" s="504" t="n"/>
      <c r="E477" s="504" t="n"/>
      <c r="F477" s="504" t="n"/>
      <c r="G477" s="504" t="n"/>
    </row>
    <row r="478">
      <c r="A478" s="504" t="n"/>
      <c r="B478" s="504" t="n"/>
      <c r="C478" s="504" t="n"/>
      <c r="D478" s="504" t="n"/>
      <c r="E478" s="504" t="n"/>
      <c r="F478" s="504" t="n"/>
      <c r="G478" s="504" t="n"/>
    </row>
    <row r="479">
      <c r="A479" s="504" t="n"/>
      <c r="B479" s="504" t="n"/>
      <c r="C479" s="504" t="n"/>
      <c r="D479" s="504" t="n"/>
      <c r="E479" s="504" t="n"/>
      <c r="F479" s="504" t="n"/>
      <c r="G479" s="504" t="n"/>
    </row>
    <row r="480">
      <c r="A480" s="504" t="n"/>
      <c r="B480" s="504" t="n"/>
      <c r="C480" s="504" t="n"/>
      <c r="D480" s="504" t="n"/>
      <c r="E480" s="504" t="n"/>
      <c r="F480" s="504" t="n"/>
      <c r="G480" s="504" t="n"/>
    </row>
    <row r="481">
      <c r="A481" s="504" t="n"/>
      <c r="B481" s="504" t="n"/>
      <c r="C481" s="504" t="n"/>
      <c r="D481" s="504" t="n"/>
      <c r="E481" s="504" t="n"/>
      <c r="F481" s="504" t="n"/>
      <c r="G481" s="504" t="n"/>
    </row>
    <row r="482">
      <c r="A482" s="504" t="n"/>
      <c r="B482" s="504" t="n"/>
      <c r="C482" s="504" t="n"/>
      <c r="D482" s="504" t="n"/>
      <c r="E482" s="504" t="n"/>
      <c r="F482" s="504" t="n"/>
      <c r="G482" s="504" t="n"/>
    </row>
    <row r="483">
      <c r="A483" s="504" t="n"/>
      <c r="B483" s="504" t="n"/>
      <c r="C483" s="504" t="n"/>
      <c r="D483" s="504" t="n"/>
      <c r="E483" s="504" t="n"/>
      <c r="F483" s="504" t="n"/>
      <c r="G483" s="504" t="n"/>
    </row>
    <row r="484">
      <c r="A484" s="504" t="n"/>
      <c r="B484" s="504" t="n"/>
      <c r="C484" s="504" t="n"/>
      <c r="D484" s="504" t="n"/>
      <c r="E484" s="504" t="n"/>
      <c r="F484" s="504" t="n"/>
      <c r="G484" s="504" t="n"/>
    </row>
    <row r="485">
      <c r="A485" s="504" t="n"/>
      <c r="B485" s="504" t="n"/>
      <c r="C485" s="504" t="n"/>
      <c r="D485" s="504" t="n"/>
      <c r="E485" s="504" t="n"/>
      <c r="F485" s="504" t="n"/>
      <c r="G485" s="504" t="n"/>
    </row>
    <row r="486">
      <c r="A486" s="504" t="n"/>
      <c r="B486" s="504" t="n"/>
      <c r="C486" s="504" t="n"/>
      <c r="D486" s="504" t="n"/>
      <c r="E486" s="504" t="n"/>
      <c r="F486" s="504" t="n"/>
      <c r="G486" s="504" t="n"/>
    </row>
    <row r="487">
      <c r="A487" s="504" t="n"/>
      <c r="B487" s="504" t="n"/>
      <c r="C487" s="504" t="n"/>
      <c r="D487" s="504" t="n"/>
      <c r="E487" s="504" t="n"/>
      <c r="F487" s="504" t="n"/>
      <c r="G487" s="504" t="n"/>
    </row>
    <row r="488">
      <c r="A488" s="504" t="n"/>
      <c r="B488" s="504" t="n"/>
      <c r="C488" s="504" t="n"/>
      <c r="D488" s="504" t="n"/>
      <c r="E488" s="504" t="n"/>
      <c r="F488" s="504" t="n"/>
      <c r="G488" s="504" t="n"/>
    </row>
    <row r="489">
      <c r="A489" s="504" t="n"/>
      <c r="B489" s="504" t="n"/>
      <c r="C489" s="504" t="n"/>
      <c r="D489" s="504" t="n"/>
      <c r="E489" s="504" t="n"/>
      <c r="F489" s="504" t="n"/>
      <c r="G489" s="504" t="n"/>
    </row>
    <row r="490">
      <c r="A490" s="504" t="n"/>
      <c r="B490" s="504" t="n"/>
      <c r="C490" s="504" t="n"/>
      <c r="D490" s="504" t="n"/>
      <c r="E490" s="504" t="n"/>
      <c r="F490" s="504" t="n"/>
      <c r="G490" s="504" t="n"/>
    </row>
    <row r="491">
      <c r="A491" s="504" t="n"/>
      <c r="B491" s="504" t="n"/>
      <c r="C491" s="504" t="n"/>
      <c r="D491" s="504" t="n"/>
      <c r="E491" s="504" t="n"/>
      <c r="F491" s="504" t="n"/>
      <c r="G491" s="504" t="n"/>
    </row>
    <row r="492">
      <c r="A492" s="504" t="n"/>
      <c r="B492" s="504" t="n"/>
      <c r="C492" s="504" t="n"/>
      <c r="D492" s="504" t="n"/>
      <c r="E492" s="504" t="n"/>
      <c r="F492" s="504" t="n"/>
      <c r="G492" s="504" t="n"/>
    </row>
    <row r="493">
      <c r="A493" s="504" t="n"/>
      <c r="B493" s="504" t="n"/>
      <c r="C493" s="504" t="n"/>
      <c r="D493" s="504" t="n"/>
      <c r="E493" s="504" t="n"/>
      <c r="F493" s="504" t="n"/>
      <c r="G493" s="504" t="n"/>
    </row>
    <row r="494">
      <c r="A494" s="504" t="n"/>
      <c r="B494" s="504" t="n"/>
      <c r="C494" s="504" t="n"/>
      <c r="D494" s="504" t="n"/>
      <c r="E494" s="504" t="n"/>
      <c r="F494" s="504" t="n"/>
      <c r="G494" s="504" t="n"/>
    </row>
    <row r="495">
      <c r="A495" s="504" t="n"/>
      <c r="B495" s="504" t="n"/>
      <c r="C495" s="504" t="n"/>
      <c r="D495" s="504" t="n"/>
      <c r="E495" s="504" t="n"/>
      <c r="F495" s="504" t="n"/>
      <c r="G495" s="504" t="n"/>
    </row>
    <row r="496">
      <c r="A496" s="504" t="n"/>
      <c r="B496" s="504" t="n"/>
      <c r="C496" s="504" t="n"/>
      <c r="D496" s="504" t="n"/>
      <c r="E496" s="504" t="n"/>
      <c r="F496" s="504" t="n"/>
      <c r="G496" s="504" t="n"/>
    </row>
    <row r="497">
      <c r="A497" s="504" t="n"/>
      <c r="B497" s="504" t="n"/>
      <c r="C497" s="504" t="n"/>
      <c r="D497" s="504" t="n"/>
      <c r="E497" s="504" t="n"/>
      <c r="F497" s="504" t="n"/>
      <c r="G497" s="504" t="n"/>
    </row>
    <row r="498">
      <c r="A498" s="504" t="n"/>
      <c r="B498" s="504" t="n"/>
      <c r="C498" s="504" t="n"/>
      <c r="D498" s="504" t="n"/>
      <c r="E498" s="504" t="n"/>
      <c r="F498" s="504" t="n"/>
      <c r="G498" s="504" t="n"/>
    </row>
    <row r="499">
      <c r="A499" s="504" t="n"/>
      <c r="B499" s="504" t="n"/>
      <c r="C499" s="504" t="n"/>
      <c r="D499" s="504" t="n"/>
      <c r="E499" s="504" t="n"/>
      <c r="F499" s="504" t="n"/>
      <c r="G499" s="504" t="n"/>
    </row>
    <row r="500">
      <c r="A500" s="504" t="n"/>
      <c r="B500" s="504" t="n"/>
      <c r="C500" s="504" t="n"/>
      <c r="D500" s="504" t="n"/>
      <c r="E500" s="504" t="n"/>
      <c r="F500" s="504" t="n"/>
      <c r="G500" s="504" t="n"/>
    </row>
    <row r="501">
      <c r="A501" s="504" t="n"/>
      <c r="B501" s="504" t="n"/>
      <c r="C501" s="504" t="n"/>
      <c r="D501" s="504" t="n"/>
      <c r="E501" s="504" t="n"/>
      <c r="F501" s="504" t="n"/>
      <c r="G501" s="504" t="n"/>
    </row>
    <row r="502">
      <c r="A502" s="504" t="n"/>
      <c r="B502" s="504" t="n"/>
      <c r="C502" s="504" t="n"/>
      <c r="D502" s="504" t="n"/>
      <c r="E502" s="504" t="n"/>
      <c r="F502" s="504" t="n"/>
      <c r="G502" s="504" t="n"/>
    </row>
    <row r="503">
      <c r="A503" s="504" t="n"/>
      <c r="B503" s="504" t="n"/>
      <c r="C503" s="504" t="n"/>
      <c r="D503" s="504" t="n"/>
      <c r="E503" s="504" t="n"/>
      <c r="F503" s="504" t="n"/>
      <c r="G503" s="504" t="n"/>
    </row>
    <row r="504">
      <c r="A504" s="504" t="n"/>
      <c r="B504" s="504" t="n"/>
      <c r="C504" s="504" t="n"/>
      <c r="D504" s="504" t="n"/>
      <c r="E504" s="504" t="n"/>
      <c r="F504" s="504" t="n"/>
      <c r="G504" s="504" t="n"/>
    </row>
    <row r="505">
      <c r="A505" s="504" t="n"/>
      <c r="B505" s="504" t="n"/>
      <c r="C505" s="504" t="n"/>
      <c r="D505" s="504" t="n"/>
      <c r="E505" s="504" t="n"/>
      <c r="F505" s="504" t="n"/>
      <c r="G505" s="504" t="n"/>
    </row>
    <row r="506">
      <c r="A506" s="504" t="n"/>
      <c r="B506" s="504" t="n"/>
      <c r="C506" s="504" t="n"/>
      <c r="D506" s="504" t="n"/>
      <c r="E506" s="504" t="n"/>
      <c r="F506" s="504" t="n"/>
      <c r="G506" s="504" t="n"/>
    </row>
    <row r="507">
      <c r="A507" s="504" t="n"/>
      <c r="B507" s="504" t="n"/>
      <c r="C507" s="504" t="n"/>
      <c r="D507" s="504" t="n"/>
      <c r="E507" s="504" t="n"/>
      <c r="F507" s="504" t="n"/>
      <c r="G507" s="504" t="n"/>
    </row>
    <row r="508">
      <c r="A508" s="504" t="n"/>
      <c r="B508" s="504" t="n"/>
      <c r="C508" s="504" t="n"/>
      <c r="D508" s="504" t="n"/>
      <c r="E508" s="504" t="n"/>
      <c r="F508" s="504" t="n"/>
      <c r="G508" s="504" t="n"/>
    </row>
    <row r="509">
      <c r="A509" s="504" t="n"/>
      <c r="B509" s="504" t="n"/>
      <c r="C509" s="504" t="n"/>
      <c r="D509" s="504" t="n"/>
      <c r="E509" s="504" t="n"/>
      <c r="F509" s="504" t="n"/>
      <c r="G509" s="504" t="n"/>
    </row>
    <row r="510">
      <c r="A510" s="504" t="n"/>
      <c r="B510" s="504" t="n"/>
      <c r="C510" s="504" t="n"/>
      <c r="D510" s="504" t="n"/>
      <c r="E510" s="504" t="n"/>
      <c r="F510" s="504" t="n"/>
      <c r="G510" s="504" t="n"/>
    </row>
    <row r="511">
      <c r="A511" s="504" t="n"/>
      <c r="B511" s="504" t="n"/>
      <c r="C511" s="504" t="n"/>
      <c r="D511" s="504" t="n"/>
      <c r="E511" s="504" t="n"/>
      <c r="F511" s="504" t="n"/>
      <c r="G511" s="504" t="n"/>
    </row>
    <row r="512">
      <c r="A512" s="504" t="n"/>
      <c r="B512" s="504" t="n"/>
      <c r="C512" s="504" t="n"/>
      <c r="D512" s="504" t="n"/>
      <c r="E512" s="504" t="n"/>
      <c r="F512" s="504" t="n"/>
      <c r="G512" s="504" t="n"/>
    </row>
    <row r="513">
      <c r="A513" s="504" t="n"/>
      <c r="B513" s="504" t="n"/>
      <c r="C513" s="504" t="n"/>
      <c r="D513" s="504" t="n"/>
      <c r="E513" s="504" t="n"/>
      <c r="F513" s="504" t="n"/>
      <c r="G513" s="504" t="n"/>
    </row>
    <row r="514">
      <c r="A514" s="504" t="n"/>
      <c r="B514" s="504" t="n"/>
      <c r="C514" s="504" t="n"/>
      <c r="D514" s="504" t="n"/>
      <c r="E514" s="504" t="n"/>
      <c r="F514" s="504" t="n"/>
      <c r="G514" s="504" t="n"/>
    </row>
    <row r="515">
      <c r="A515" s="504" t="n"/>
      <c r="B515" s="504" t="n"/>
      <c r="C515" s="504" t="n"/>
      <c r="D515" s="504" t="n"/>
      <c r="E515" s="504" t="n"/>
      <c r="F515" s="504" t="n"/>
      <c r="G515" s="504" t="n"/>
    </row>
    <row r="516">
      <c r="A516" s="504" t="n"/>
      <c r="B516" s="504" t="n"/>
      <c r="C516" s="504" t="n"/>
      <c r="D516" s="504" t="n"/>
      <c r="E516" s="504" t="n"/>
      <c r="F516" s="504" t="n"/>
      <c r="G516" s="504" t="n"/>
    </row>
    <row r="517">
      <c r="A517" s="504" t="n"/>
      <c r="B517" s="504" t="n"/>
      <c r="C517" s="504" t="n"/>
      <c r="D517" s="504" t="n"/>
      <c r="E517" s="504" t="n"/>
      <c r="F517" s="504" t="n"/>
      <c r="G517" s="504" t="n"/>
    </row>
    <row r="518">
      <c r="A518" s="504" t="n"/>
      <c r="B518" s="504" t="n"/>
      <c r="C518" s="504" t="n"/>
      <c r="D518" s="504" t="n"/>
      <c r="E518" s="504" t="n"/>
      <c r="F518" s="504" t="n"/>
      <c r="G518" s="504" t="n"/>
    </row>
    <row r="519">
      <c r="A519" s="504" t="n"/>
      <c r="B519" s="504" t="n"/>
      <c r="C519" s="504" t="n"/>
      <c r="D519" s="504" t="n"/>
      <c r="E519" s="504" t="n"/>
      <c r="F519" s="504" t="n"/>
      <c r="G519" s="504" t="n"/>
    </row>
    <row r="520">
      <c r="A520" s="504" t="n"/>
      <c r="B520" s="504" t="n"/>
      <c r="C520" s="504" t="n"/>
      <c r="D520" s="504" t="n"/>
      <c r="E520" s="504" t="n"/>
      <c r="F520" s="504" t="n"/>
      <c r="G520" s="504" t="n"/>
    </row>
    <row r="521">
      <c r="A521" s="504" t="n"/>
      <c r="B521" s="504" t="n"/>
      <c r="C521" s="504" t="n"/>
      <c r="D521" s="504" t="n"/>
      <c r="E521" s="504" t="n"/>
      <c r="F521" s="504" t="n"/>
      <c r="G521" s="504" t="n"/>
    </row>
    <row r="522">
      <c r="A522" s="504" t="n"/>
      <c r="B522" s="504" t="n"/>
      <c r="C522" s="504" t="n"/>
      <c r="D522" s="504" t="n"/>
      <c r="E522" s="504" t="n"/>
      <c r="F522" s="504" t="n"/>
      <c r="G522" s="504" t="n"/>
    </row>
    <row r="523">
      <c r="A523" s="504" t="n"/>
      <c r="B523" s="504" t="n"/>
      <c r="C523" s="504" t="n"/>
      <c r="D523" s="504" t="n"/>
      <c r="E523" s="504" t="n"/>
      <c r="F523" s="504" t="n"/>
      <c r="G523" s="504" t="n"/>
    </row>
    <row r="524">
      <c r="A524" s="504" t="n"/>
      <c r="B524" s="504" t="n"/>
      <c r="C524" s="504" t="n"/>
      <c r="D524" s="504" t="n"/>
      <c r="E524" s="504" t="n"/>
      <c r="F524" s="504" t="n"/>
      <c r="G524" s="504" t="n"/>
    </row>
    <row r="525">
      <c r="A525" s="504" t="n"/>
      <c r="B525" s="504" t="n"/>
      <c r="C525" s="504" t="n"/>
      <c r="D525" s="504" t="n"/>
      <c r="E525" s="504" t="n"/>
      <c r="F525" s="504" t="n"/>
      <c r="G525" s="504" t="n"/>
    </row>
    <row r="526">
      <c r="A526" s="504" t="n"/>
      <c r="B526" s="504" t="n"/>
      <c r="C526" s="504" t="n"/>
      <c r="D526" s="504" t="n"/>
      <c r="E526" s="504" t="n"/>
      <c r="F526" s="504" t="n"/>
      <c r="G526" s="504" t="n"/>
    </row>
    <row r="527">
      <c r="A527" s="504" t="n"/>
      <c r="B527" s="504" t="n"/>
      <c r="C527" s="504" t="n"/>
      <c r="D527" s="504" t="n"/>
      <c r="E527" s="504" t="n"/>
      <c r="F527" s="504" t="n"/>
      <c r="G527" s="504" t="n"/>
    </row>
    <row r="528">
      <c r="A528" s="504" t="n"/>
      <c r="B528" s="504" t="n"/>
      <c r="C528" s="504" t="n"/>
      <c r="D528" s="504" t="n"/>
      <c r="E528" s="504" t="n"/>
      <c r="F528" s="504" t="n"/>
      <c r="G528" s="504" t="n"/>
    </row>
    <row r="529">
      <c r="A529" s="504" t="n"/>
      <c r="B529" s="504" t="n"/>
      <c r="C529" s="504" t="n"/>
      <c r="D529" s="504" t="n"/>
      <c r="E529" s="504" t="n"/>
      <c r="F529" s="504" t="n"/>
      <c r="G529" s="504" t="n"/>
    </row>
    <row r="530">
      <c r="A530" s="504" t="n"/>
      <c r="B530" s="504" t="n"/>
      <c r="C530" s="504" t="n"/>
      <c r="D530" s="504" t="n"/>
      <c r="E530" s="504" t="n"/>
      <c r="F530" s="504" t="n"/>
      <c r="G530" s="504" t="n"/>
    </row>
    <row r="531">
      <c r="A531" s="504" t="n"/>
      <c r="B531" s="504" t="n"/>
      <c r="C531" s="504" t="n"/>
      <c r="D531" s="504" t="n"/>
      <c r="E531" s="504" t="n"/>
      <c r="F531" s="504" t="n"/>
      <c r="G531" s="504" t="n"/>
    </row>
    <row r="532">
      <c r="A532" s="504" t="n"/>
      <c r="B532" s="504" t="n"/>
      <c r="C532" s="504" t="n"/>
      <c r="D532" s="504" t="n"/>
      <c r="E532" s="504" t="n"/>
      <c r="F532" s="504" t="n"/>
      <c r="G532" s="504" t="n"/>
    </row>
    <row r="533">
      <c r="A533" s="504" t="n"/>
      <c r="B533" s="504" t="n"/>
      <c r="C533" s="504" t="n"/>
      <c r="D533" s="504" t="n"/>
      <c r="E533" s="504" t="n"/>
      <c r="F533" s="504" t="n"/>
      <c r="G533" s="504" t="n"/>
    </row>
    <row r="534">
      <c r="A534" s="504" t="n"/>
      <c r="B534" s="504" t="n"/>
      <c r="C534" s="504" t="n"/>
      <c r="D534" s="504" t="n"/>
      <c r="E534" s="504" t="n"/>
      <c r="F534" s="504" t="n"/>
      <c r="G534" s="504" t="n"/>
    </row>
    <row r="535">
      <c r="A535" s="504" t="n"/>
      <c r="B535" s="504" t="n"/>
      <c r="C535" s="504" t="n"/>
      <c r="D535" s="504" t="n"/>
      <c r="E535" s="504" t="n"/>
      <c r="F535" s="504" t="n"/>
      <c r="G535" s="504" t="n"/>
    </row>
    <row r="536">
      <c r="A536" s="504" t="n"/>
      <c r="B536" s="504" t="n"/>
      <c r="C536" s="504" t="n"/>
      <c r="D536" s="504" t="n"/>
      <c r="E536" s="504" t="n"/>
      <c r="F536" s="504" t="n"/>
      <c r="G536" s="504" t="n"/>
    </row>
    <row r="537">
      <c r="A537" s="504" t="n"/>
      <c r="B537" s="504" t="n"/>
      <c r="C537" s="504" t="n"/>
      <c r="D537" s="504" t="n"/>
      <c r="E537" s="504" t="n"/>
      <c r="F537" s="504" t="n"/>
      <c r="G537" s="504" t="n"/>
    </row>
    <row r="538">
      <c r="A538" s="504" t="n"/>
      <c r="B538" s="504" t="n"/>
      <c r="C538" s="504" t="n"/>
      <c r="D538" s="504" t="n"/>
      <c r="E538" s="504" t="n"/>
      <c r="F538" s="504" t="n"/>
      <c r="G538" s="504" t="n"/>
    </row>
    <row r="539">
      <c r="A539" s="504" t="n"/>
      <c r="B539" s="504" t="n"/>
      <c r="C539" s="504" t="n"/>
      <c r="D539" s="504" t="n"/>
      <c r="E539" s="504" t="n"/>
      <c r="F539" s="504" t="n"/>
      <c r="G539" s="504" t="n"/>
    </row>
    <row r="540">
      <c r="A540" s="504" t="n"/>
      <c r="B540" s="504" t="n"/>
      <c r="C540" s="504" t="n"/>
      <c r="D540" s="504" t="n"/>
      <c r="E540" s="504" t="n"/>
      <c r="F540" s="504" t="n"/>
      <c r="G540" s="504" t="n"/>
    </row>
    <row r="541">
      <c r="A541" s="504" t="n"/>
      <c r="B541" s="504" t="n"/>
      <c r="C541" s="504" t="n"/>
      <c r="D541" s="504" t="n"/>
      <c r="E541" s="504" t="n"/>
      <c r="F541" s="504" t="n"/>
      <c r="G541" s="504" t="n"/>
    </row>
    <row r="542">
      <c r="A542" s="504" t="n"/>
      <c r="B542" s="504" t="n"/>
      <c r="C542" s="504" t="n"/>
      <c r="D542" s="504" t="n"/>
      <c r="E542" s="504" t="n"/>
      <c r="F542" s="504" t="n"/>
      <c r="G542" s="504" t="n"/>
    </row>
    <row r="543">
      <c r="A543" s="504" t="n"/>
      <c r="B543" s="504" t="n"/>
      <c r="C543" s="504" t="n"/>
      <c r="D543" s="504" t="n"/>
      <c r="E543" s="504" t="n"/>
      <c r="F543" s="504" t="n"/>
      <c r="G543" s="504" t="n"/>
    </row>
    <row r="544">
      <c r="A544" s="504" t="n"/>
      <c r="B544" s="504" t="n"/>
      <c r="C544" s="504" t="n"/>
      <c r="D544" s="504" t="n"/>
      <c r="E544" s="504" t="n"/>
      <c r="F544" s="504" t="n"/>
      <c r="G544" s="504" t="n"/>
    </row>
    <row r="545">
      <c r="A545" s="504" t="n"/>
      <c r="B545" s="504" t="n"/>
      <c r="C545" s="504" t="n"/>
      <c r="D545" s="504" t="n"/>
      <c r="E545" s="504" t="n"/>
      <c r="F545" s="504" t="n"/>
      <c r="G545" s="504" t="n"/>
    </row>
    <row r="546">
      <c r="A546" s="504" t="n"/>
      <c r="B546" s="504" t="n"/>
      <c r="C546" s="504" t="n"/>
      <c r="D546" s="504" t="n"/>
      <c r="E546" s="504" t="n"/>
      <c r="F546" s="504" t="n"/>
      <c r="G546" s="504" t="n"/>
    </row>
    <row r="547">
      <c r="A547" s="504" t="n"/>
      <c r="B547" s="504" t="n"/>
      <c r="C547" s="504" t="n"/>
      <c r="D547" s="504" t="n"/>
      <c r="E547" s="504" t="n"/>
      <c r="F547" s="504" t="n"/>
      <c r="G547" s="504" t="n"/>
    </row>
    <row r="548">
      <c r="A548" s="504" t="n"/>
      <c r="B548" s="504" t="n"/>
      <c r="C548" s="504" t="n"/>
      <c r="D548" s="504" t="n"/>
      <c r="E548" s="504" t="n"/>
      <c r="F548" s="504" t="n"/>
      <c r="G548" s="504" t="n"/>
    </row>
    <row r="549">
      <c r="A549" s="504" t="n"/>
      <c r="B549" s="504" t="n"/>
      <c r="C549" s="504" t="n"/>
      <c r="D549" s="504" t="n"/>
      <c r="E549" s="504" t="n"/>
      <c r="F549" s="504" t="n"/>
      <c r="G549" s="504" t="n"/>
    </row>
    <row r="550">
      <c r="A550" s="504" t="n"/>
      <c r="B550" s="504" t="n"/>
      <c r="C550" s="504" t="n"/>
      <c r="D550" s="504" t="n"/>
      <c r="E550" s="504" t="n"/>
      <c r="F550" s="504" t="n"/>
      <c r="G550" s="504" t="n"/>
    </row>
    <row r="551">
      <c r="A551" s="504" t="n"/>
      <c r="B551" s="504" t="n"/>
      <c r="C551" s="504" t="n"/>
      <c r="D551" s="504" t="n"/>
      <c r="E551" s="504" t="n"/>
      <c r="F551" s="504" t="n"/>
      <c r="G551" s="504" t="n"/>
    </row>
    <row r="552">
      <c r="A552" s="504" t="n"/>
      <c r="B552" s="504" t="n"/>
      <c r="C552" s="504" t="n"/>
      <c r="D552" s="504" t="n"/>
      <c r="E552" s="504" t="n"/>
      <c r="F552" s="504" t="n"/>
      <c r="G552" s="504" t="n"/>
    </row>
    <row r="553">
      <c r="A553" s="504" t="n"/>
      <c r="B553" s="504" t="n"/>
      <c r="C553" s="504" t="n"/>
      <c r="D553" s="504" t="n"/>
      <c r="E553" s="504" t="n"/>
      <c r="F553" s="504" t="n"/>
      <c r="G553" s="504" t="n"/>
    </row>
    <row r="554">
      <c r="A554" s="504" t="n"/>
      <c r="B554" s="504" t="n"/>
      <c r="C554" s="504" t="n"/>
      <c r="D554" s="504" t="n"/>
      <c r="E554" s="504" t="n"/>
      <c r="F554" s="504" t="n"/>
      <c r="G554" s="504" t="n"/>
    </row>
    <row r="555">
      <c r="A555" s="504" t="n"/>
      <c r="B555" s="504" t="n"/>
      <c r="C555" s="504" t="n"/>
      <c r="D555" s="504" t="n"/>
      <c r="E555" s="504" t="n"/>
      <c r="F555" s="504" t="n"/>
      <c r="G555" s="504" t="n"/>
    </row>
    <row r="556">
      <c r="A556" s="504" t="n"/>
      <c r="B556" s="504" t="n"/>
      <c r="C556" s="504" t="n"/>
      <c r="D556" s="504" t="n"/>
      <c r="E556" s="504" t="n"/>
      <c r="F556" s="504" t="n"/>
      <c r="G556" s="504" t="n"/>
    </row>
    <row r="557">
      <c r="A557" s="504" t="n"/>
      <c r="B557" s="504" t="n"/>
      <c r="C557" s="504" t="n"/>
      <c r="D557" s="504" t="n"/>
      <c r="E557" s="504" t="n"/>
      <c r="F557" s="504" t="n"/>
      <c r="G557" s="504" t="n"/>
    </row>
    <row r="558">
      <c r="A558" s="504" t="n"/>
      <c r="B558" s="504" t="n"/>
      <c r="C558" s="504" t="n"/>
      <c r="D558" s="504" t="n"/>
      <c r="E558" s="504" t="n"/>
      <c r="F558" s="504" t="n"/>
      <c r="G558" s="504" t="n"/>
    </row>
    <row r="559">
      <c r="A559" s="504" t="n"/>
      <c r="B559" s="504" t="n"/>
      <c r="C559" s="504" t="n"/>
      <c r="D559" s="504" t="n"/>
      <c r="E559" s="504" t="n"/>
      <c r="F559" s="504" t="n"/>
      <c r="G559" s="504" t="n"/>
    </row>
    <row r="560">
      <c r="A560" s="504" t="n"/>
      <c r="B560" s="504" t="n"/>
      <c r="C560" s="504" t="n"/>
      <c r="D560" s="504" t="n"/>
      <c r="E560" s="504" t="n"/>
      <c r="F560" s="504" t="n"/>
      <c r="G560" s="504" t="n"/>
    </row>
    <row r="561">
      <c r="A561" s="504" t="n"/>
      <c r="B561" s="504" t="n"/>
      <c r="C561" s="504" t="n"/>
      <c r="D561" s="504" t="n"/>
      <c r="E561" s="504" t="n"/>
      <c r="F561" s="504" t="n"/>
      <c r="G561" s="504" t="n"/>
    </row>
    <row r="562">
      <c r="A562" s="504" t="n"/>
      <c r="B562" s="504" t="n"/>
      <c r="C562" s="504" t="n"/>
      <c r="D562" s="504" t="n"/>
      <c r="E562" s="504" t="n"/>
      <c r="F562" s="504" t="n"/>
      <c r="G562" s="504" t="n"/>
    </row>
    <row r="563">
      <c r="A563" s="504" t="n"/>
      <c r="B563" s="504" t="n"/>
      <c r="C563" s="504" t="n"/>
      <c r="D563" s="504" t="n"/>
      <c r="E563" s="504" t="n"/>
      <c r="F563" s="504" t="n"/>
      <c r="G563" s="504" t="n"/>
    </row>
    <row r="564">
      <c r="A564" s="504" t="n"/>
      <c r="B564" s="504" t="n"/>
      <c r="C564" s="504" t="n"/>
      <c r="D564" s="504" t="n"/>
      <c r="E564" s="504" t="n"/>
      <c r="F564" s="504" t="n"/>
      <c r="G564" s="504" t="n"/>
    </row>
    <row r="565">
      <c r="A565" s="504" t="n"/>
      <c r="B565" s="504" t="n"/>
      <c r="C565" s="504" t="n"/>
      <c r="D565" s="504" t="n"/>
      <c r="E565" s="504" t="n"/>
      <c r="F565" s="504" t="n"/>
      <c r="G565" s="504" t="n"/>
    </row>
    <row r="566">
      <c r="A566" s="504" t="n"/>
      <c r="B566" s="504" t="n"/>
      <c r="C566" s="504" t="n"/>
      <c r="D566" s="504" t="n"/>
      <c r="E566" s="504" t="n"/>
      <c r="F566" s="504" t="n"/>
      <c r="G566" s="504" t="n"/>
    </row>
    <row r="567">
      <c r="A567" s="504" t="n"/>
      <c r="B567" s="504" t="n"/>
      <c r="C567" s="504" t="n"/>
      <c r="D567" s="504" t="n"/>
      <c r="E567" s="504" t="n"/>
      <c r="F567" s="504" t="n"/>
      <c r="G567" s="504" t="n"/>
    </row>
    <row r="568">
      <c r="A568" s="504" t="n"/>
      <c r="B568" s="504" t="n"/>
      <c r="C568" s="504" t="n"/>
      <c r="D568" s="504" t="n"/>
      <c r="E568" s="504" t="n"/>
      <c r="F568" s="504" t="n"/>
      <c r="G568" s="504" t="n"/>
    </row>
    <row r="569">
      <c r="A569" s="504" t="n"/>
      <c r="B569" s="504" t="n"/>
      <c r="C569" s="504" t="n"/>
      <c r="D569" s="504" t="n"/>
      <c r="E569" s="504" t="n"/>
      <c r="F569" s="504" t="n"/>
      <c r="G569" s="504" t="n"/>
    </row>
    <row r="570">
      <c r="A570" s="504" t="n"/>
      <c r="B570" s="504" t="n"/>
      <c r="C570" s="504" t="n"/>
      <c r="D570" s="504" t="n"/>
      <c r="E570" s="504" t="n"/>
      <c r="F570" s="504" t="n"/>
      <c r="G570" s="504" t="n"/>
    </row>
    <row r="571">
      <c r="A571" s="504" t="n"/>
      <c r="B571" s="504" t="n"/>
      <c r="C571" s="504" t="n"/>
      <c r="D571" s="504" t="n"/>
      <c r="E571" s="504" t="n"/>
      <c r="F571" s="504" t="n"/>
      <c r="G571" s="504" t="n"/>
    </row>
    <row r="572">
      <c r="A572" s="504" t="n"/>
      <c r="B572" s="504" t="n"/>
      <c r="C572" s="504" t="n"/>
      <c r="D572" s="504" t="n"/>
      <c r="E572" s="504" t="n"/>
      <c r="F572" s="504" t="n"/>
      <c r="G572" s="504" t="n"/>
    </row>
    <row r="573">
      <c r="A573" s="504" t="n"/>
      <c r="B573" s="504" t="n"/>
      <c r="C573" s="504" t="n"/>
      <c r="D573" s="504" t="n"/>
      <c r="E573" s="504" t="n"/>
      <c r="F573" s="504" t="n"/>
      <c r="G573" s="504" t="n"/>
    </row>
    <row r="574">
      <c r="A574" s="504" t="n"/>
      <c r="B574" s="504" t="n"/>
      <c r="C574" s="504" t="n"/>
      <c r="D574" s="504" t="n"/>
      <c r="E574" s="504" t="n"/>
      <c r="F574" s="504" t="n"/>
      <c r="G574" s="504" t="n"/>
    </row>
    <row r="575">
      <c r="A575" s="504" t="n"/>
      <c r="B575" s="504" t="n"/>
      <c r="C575" s="504" t="n"/>
      <c r="D575" s="504" t="n"/>
      <c r="E575" s="504" t="n"/>
      <c r="F575" s="504" t="n"/>
      <c r="G575" s="504" t="n"/>
    </row>
    <row r="576">
      <c r="A576" s="504" t="n"/>
      <c r="B576" s="504" t="n"/>
      <c r="C576" s="504" t="n"/>
      <c r="D576" s="504" t="n"/>
      <c r="E576" s="504" t="n"/>
      <c r="F576" s="504" t="n"/>
      <c r="G576" s="504" t="n"/>
    </row>
    <row r="577">
      <c r="A577" s="504" t="n"/>
      <c r="B577" s="504" t="n"/>
      <c r="C577" s="504" t="n"/>
      <c r="D577" s="504" t="n"/>
      <c r="E577" s="504" t="n"/>
      <c r="F577" s="504" t="n"/>
      <c r="G577" s="504" t="n"/>
    </row>
    <row r="578">
      <c r="A578" s="504" t="n"/>
      <c r="B578" s="504" t="n"/>
      <c r="C578" s="504" t="n"/>
      <c r="D578" s="504" t="n"/>
      <c r="E578" s="504" t="n"/>
      <c r="F578" s="504" t="n"/>
      <c r="G578" s="504" t="n"/>
    </row>
    <row r="579">
      <c r="A579" s="504" t="n"/>
      <c r="B579" s="504" t="n"/>
      <c r="C579" s="504" t="n"/>
      <c r="D579" s="504" t="n"/>
      <c r="E579" s="504" t="n"/>
      <c r="F579" s="504" t="n"/>
      <c r="G579" s="504" t="n"/>
    </row>
    <row r="580">
      <c r="A580" s="504" t="n"/>
      <c r="B580" s="504" t="n"/>
      <c r="C580" s="504" t="n"/>
      <c r="D580" s="504" t="n"/>
      <c r="E580" s="504" t="n"/>
      <c r="F580" s="504" t="n"/>
      <c r="G580" s="504" t="n"/>
    </row>
    <row r="581">
      <c r="A581" s="504" t="n"/>
      <c r="B581" s="504" t="n"/>
      <c r="C581" s="504" t="n"/>
      <c r="D581" s="504" t="n"/>
      <c r="E581" s="504" t="n"/>
      <c r="F581" s="504" t="n"/>
      <c r="G581" s="504" t="n"/>
    </row>
    <row r="582">
      <c r="A582" s="504" t="n"/>
      <c r="B582" s="504" t="n"/>
      <c r="C582" s="504" t="n"/>
      <c r="D582" s="504" t="n"/>
      <c r="E582" s="504" t="n"/>
      <c r="F582" s="504" t="n"/>
      <c r="G582" s="504" t="n"/>
    </row>
    <row r="583">
      <c r="A583" s="504" t="n"/>
      <c r="B583" s="504" t="n"/>
      <c r="C583" s="504" t="n"/>
      <c r="D583" s="504" t="n"/>
      <c r="E583" s="504" t="n"/>
      <c r="F583" s="504" t="n"/>
      <c r="G583" s="504" t="n"/>
    </row>
    <row r="584">
      <c r="A584" s="504" t="n"/>
      <c r="B584" s="504" t="n"/>
      <c r="C584" s="504" t="n"/>
      <c r="D584" s="504" t="n"/>
      <c r="E584" s="504" t="n"/>
      <c r="F584" s="504" t="n"/>
      <c r="G584" s="504" t="n"/>
    </row>
    <row r="585">
      <c r="A585" s="504" t="n"/>
      <c r="B585" s="504" t="n"/>
      <c r="C585" s="504" t="n"/>
      <c r="D585" s="504" t="n"/>
      <c r="E585" s="504" t="n"/>
      <c r="F585" s="504" t="n"/>
      <c r="G585" s="504" t="n"/>
    </row>
    <row r="586">
      <c r="A586" s="504" t="n"/>
      <c r="B586" s="504" t="n"/>
      <c r="C586" s="504" t="n"/>
      <c r="D586" s="504" t="n"/>
      <c r="E586" s="504" t="n"/>
      <c r="F586" s="504" t="n"/>
      <c r="G586" s="504" t="n"/>
    </row>
    <row r="587">
      <c r="A587" s="504" t="n"/>
      <c r="B587" s="504" t="n"/>
      <c r="C587" s="504" t="n"/>
      <c r="D587" s="504" t="n"/>
      <c r="E587" s="504" t="n"/>
      <c r="F587" s="504" t="n"/>
      <c r="G587" s="504" t="n"/>
    </row>
    <row r="588">
      <c r="A588" s="504" t="n"/>
      <c r="B588" s="504" t="n"/>
      <c r="C588" s="504" t="n"/>
      <c r="D588" s="504" t="n"/>
      <c r="E588" s="504" t="n"/>
      <c r="F588" s="504" t="n"/>
      <c r="G588" s="504" t="n"/>
    </row>
    <row r="589">
      <c r="A589" s="504" t="n"/>
      <c r="B589" s="504" t="n"/>
      <c r="C589" s="504" t="n"/>
      <c r="D589" s="504" t="n"/>
      <c r="E589" s="504" t="n"/>
      <c r="F589" s="504" t="n"/>
      <c r="G589" s="504" t="n"/>
    </row>
    <row r="590">
      <c r="A590" s="504" t="n"/>
      <c r="B590" s="504" t="n"/>
      <c r="C590" s="504" t="n"/>
      <c r="D590" s="504" t="n"/>
      <c r="E590" s="504" t="n"/>
      <c r="F590" s="504" t="n"/>
      <c r="G590" s="504" t="n"/>
    </row>
    <row r="591">
      <c r="A591" s="504" t="n"/>
      <c r="B591" s="504" t="n"/>
      <c r="C591" s="504" t="n"/>
      <c r="D591" s="504" t="n"/>
      <c r="E591" s="504" t="n"/>
      <c r="F591" s="504" t="n"/>
      <c r="G591" s="504" t="n"/>
    </row>
    <row r="592">
      <c r="A592" s="504" t="n"/>
      <c r="B592" s="504" t="n"/>
      <c r="C592" s="504" t="n"/>
      <c r="D592" s="504" t="n"/>
      <c r="E592" s="504" t="n"/>
      <c r="F592" s="504" t="n"/>
      <c r="G592" s="504" t="n"/>
    </row>
    <row r="593">
      <c r="A593" s="504" t="n"/>
      <c r="B593" s="504" t="n"/>
      <c r="C593" s="504" t="n"/>
      <c r="D593" s="504" t="n"/>
      <c r="E593" s="504" t="n"/>
      <c r="F593" s="504" t="n"/>
      <c r="G593" s="504" t="n"/>
    </row>
    <row r="594">
      <c r="A594" s="504" t="n"/>
      <c r="B594" s="504" t="n"/>
      <c r="C594" s="504" t="n"/>
      <c r="D594" s="504" t="n"/>
      <c r="E594" s="504" t="n"/>
      <c r="F594" s="504" t="n"/>
      <c r="G594" s="504" t="n"/>
    </row>
    <row r="595">
      <c r="A595" s="504" t="n"/>
      <c r="B595" s="504" t="n"/>
      <c r="C595" s="504" t="n"/>
      <c r="D595" s="504" t="n"/>
      <c r="E595" s="504" t="n"/>
      <c r="F595" s="504" t="n"/>
      <c r="G595" s="504" t="n"/>
    </row>
    <row r="596">
      <c r="A596" s="504" t="n"/>
      <c r="B596" s="504" t="n"/>
      <c r="C596" s="504" t="n"/>
      <c r="D596" s="504" t="n"/>
      <c r="E596" s="504" t="n"/>
      <c r="F596" s="504" t="n"/>
      <c r="G596" s="504" t="n"/>
    </row>
    <row r="597">
      <c r="A597" s="504" t="n"/>
      <c r="B597" s="504" t="n"/>
      <c r="C597" s="504" t="n"/>
      <c r="D597" s="504" t="n"/>
      <c r="E597" s="504" t="n"/>
      <c r="F597" s="504" t="n"/>
      <c r="G597" s="504" t="n"/>
    </row>
    <row r="598">
      <c r="A598" s="504" t="n"/>
      <c r="B598" s="504" t="n"/>
      <c r="C598" s="504" t="n"/>
      <c r="D598" s="504" t="n"/>
      <c r="E598" s="504" t="n"/>
      <c r="F598" s="504" t="n"/>
      <c r="G598" s="504" t="n"/>
    </row>
    <row r="599">
      <c r="A599" s="504" t="n"/>
      <c r="B599" s="504" t="n"/>
      <c r="C599" s="504" t="n"/>
      <c r="D599" s="504" t="n"/>
      <c r="E599" s="504" t="n"/>
      <c r="F599" s="504" t="n"/>
      <c r="G599" s="504" t="n"/>
    </row>
    <row r="600">
      <c r="A600" s="504" t="n"/>
      <c r="B600" s="504" t="n"/>
      <c r="C600" s="504" t="n"/>
      <c r="D600" s="504" t="n"/>
      <c r="E600" s="504" t="n"/>
      <c r="F600" s="504" t="n"/>
      <c r="G600" s="504" t="n"/>
    </row>
    <row r="601">
      <c r="A601" s="504" t="n"/>
      <c r="B601" s="504" t="n"/>
      <c r="C601" s="504" t="n"/>
      <c r="D601" s="504" t="n"/>
      <c r="E601" s="504" t="n"/>
      <c r="F601" s="504" t="n"/>
      <c r="G601" s="504" t="n"/>
    </row>
    <row r="602">
      <c r="A602" s="504" t="n"/>
      <c r="B602" s="504" t="n"/>
      <c r="C602" s="504" t="n"/>
      <c r="D602" s="504" t="n"/>
      <c r="E602" s="504" t="n"/>
      <c r="F602" s="504" t="n"/>
      <c r="G602" s="504" t="n"/>
    </row>
    <row r="603">
      <c r="A603" s="504" t="n"/>
      <c r="B603" s="504" t="n"/>
      <c r="C603" s="504" t="n"/>
      <c r="D603" s="504" t="n"/>
      <c r="E603" s="504" t="n"/>
      <c r="F603" s="504" t="n"/>
      <c r="G603" s="504" t="n"/>
    </row>
    <row r="604">
      <c r="A604" s="504" t="n"/>
      <c r="B604" s="504" t="n"/>
      <c r="C604" s="504" t="n"/>
      <c r="D604" s="504" t="n"/>
      <c r="E604" s="504" t="n"/>
      <c r="F604" s="504" t="n"/>
      <c r="G604" s="504" t="n"/>
    </row>
    <row r="605">
      <c r="A605" s="504" t="n"/>
      <c r="B605" s="504" t="n"/>
      <c r="C605" s="504" t="n"/>
      <c r="D605" s="504" t="n"/>
      <c r="E605" s="504" t="n"/>
      <c r="F605" s="504" t="n"/>
      <c r="G605" s="504" t="n"/>
    </row>
    <row r="606">
      <c r="A606" s="504" t="n"/>
      <c r="B606" s="504" t="n"/>
      <c r="C606" s="504" t="n"/>
      <c r="D606" s="504" t="n"/>
      <c r="E606" s="504" t="n"/>
      <c r="F606" s="504" t="n"/>
      <c r="G606" s="504" t="n"/>
    </row>
    <row r="607">
      <c r="A607" s="504" t="n"/>
      <c r="B607" s="504" t="n"/>
      <c r="C607" s="504" t="n"/>
      <c r="D607" s="504" t="n"/>
      <c r="E607" s="504" t="n"/>
      <c r="F607" s="504" t="n"/>
      <c r="G607" s="504" t="n"/>
    </row>
    <row r="608">
      <c r="A608" s="504" t="n"/>
      <c r="B608" s="504" t="n"/>
      <c r="C608" s="504" t="n"/>
      <c r="D608" s="504" t="n"/>
      <c r="E608" s="504" t="n"/>
      <c r="F608" s="504" t="n"/>
      <c r="G608" s="504" t="n"/>
    </row>
    <row r="609">
      <c r="A609" s="504" t="n"/>
      <c r="B609" s="504" t="n"/>
      <c r="C609" s="504" t="n"/>
      <c r="D609" s="504" t="n"/>
      <c r="E609" s="504" t="n"/>
      <c r="F609" s="504" t="n"/>
      <c r="G609" s="504" t="n"/>
    </row>
    <row r="610">
      <c r="A610" s="504" t="n"/>
      <c r="B610" s="504" t="n"/>
      <c r="C610" s="504" t="n"/>
      <c r="D610" s="504" t="n"/>
      <c r="E610" s="504" t="n"/>
      <c r="F610" s="504" t="n"/>
      <c r="G610" s="504" t="n"/>
    </row>
    <row r="611">
      <c r="A611" s="504" t="n"/>
      <c r="B611" s="504" t="n"/>
      <c r="C611" s="504" t="n"/>
      <c r="D611" s="504" t="n"/>
      <c r="E611" s="504" t="n"/>
      <c r="F611" s="504" t="n"/>
      <c r="G611" s="504" t="n"/>
    </row>
    <row r="612">
      <c r="A612" s="504" t="n"/>
      <c r="B612" s="504" t="n"/>
      <c r="C612" s="504" t="n"/>
      <c r="D612" s="504" t="n"/>
      <c r="E612" s="504" t="n"/>
      <c r="F612" s="504" t="n"/>
      <c r="G612" s="504" t="n"/>
    </row>
    <row r="613">
      <c r="A613" s="504" t="n"/>
      <c r="B613" s="504" t="n"/>
      <c r="C613" s="504" t="n"/>
      <c r="D613" s="504" t="n"/>
      <c r="E613" s="504" t="n"/>
      <c r="F613" s="504" t="n"/>
      <c r="G613" s="504" t="n"/>
    </row>
    <row r="614">
      <c r="A614" s="504" t="n"/>
      <c r="B614" s="504" t="n"/>
      <c r="C614" s="504" t="n"/>
      <c r="D614" s="504" t="n"/>
      <c r="E614" s="504" t="n"/>
      <c r="F614" s="504" t="n"/>
      <c r="G614" s="504" t="n"/>
    </row>
    <row r="615">
      <c r="A615" s="504" t="n"/>
      <c r="B615" s="504" t="n"/>
      <c r="C615" s="504" t="n"/>
      <c r="D615" s="504" t="n"/>
      <c r="E615" s="504" t="n"/>
      <c r="F615" s="504" t="n"/>
      <c r="G615" s="504" t="n"/>
    </row>
    <row r="616">
      <c r="A616" s="504" t="n"/>
      <c r="B616" s="504" t="n"/>
      <c r="C616" s="504" t="n"/>
      <c r="D616" s="504" t="n"/>
      <c r="E616" s="504" t="n"/>
      <c r="F616" s="504" t="n"/>
      <c r="G616" s="504" t="n"/>
    </row>
    <row r="617">
      <c r="A617" s="504" t="n"/>
      <c r="B617" s="504" t="n"/>
      <c r="C617" s="504" t="n"/>
      <c r="D617" s="504" t="n"/>
      <c r="E617" s="504" t="n"/>
      <c r="F617" s="504" t="n"/>
      <c r="G617" s="504" t="n"/>
    </row>
    <row r="618">
      <c r="A618" s="504" t="n"/>
      <c r="B618" s="504" t="n"/>
      <c r="C618" s="504" t="n"/>
      <c r="D618" s="504" t="n"/>
      <c r="E618" s="504" t="n"/>
      <c r="F618" s="504" t="n"/>
      <c r="G618" s="504" t="n"/>
    </row>
    <row r="619">
      <c r="A619" s="504" t="n"/>
      <c r="B619" s="504" t="n"/>
      <c r="C619" s="504" t="n"/>
      <c r="D619" s="504" t="n"/>
      <c r="E619" s="504" t="n"/>
      <c r="F619" s="504" t="n"/>
      <c r="G619" s="504" t="n"/>
    </row>
    <row r="620">
      <c r="A620" s="504" t="n"/>
      <c r="B620" s="504" t="n"/>
      <c r="C620" s="504" t="n"/>
      <c r="D620" s="504" t="n"/>
      <c r="E620" s="504" t="n"/>
      <c r="F620" s="504" t="n"/>
      <c r="G620" s="504" t="n"/>
    </row>
    <row r="621">
      <c r="A621" s="504" t="n"/>
      <c r="B621" s="504" t="n"/>
      <c r="C621" s="504" t="n"/>
      <c r="D621" s="504" t="n"/>
      <c r="E621" s="504" t="n"/>
      <c r="F621" s="504" t="n"/>
      <c r="G621" s="504" t="n"/>
    </row>
    <row r="622">
      <c r="A622" s="504" t="n"/>
      <c r="B622" s="504" t="n"/>
      <c r="C622" s="504" t="n"/>
      <c r="D622" s="504" t="n"/>
      <c r="E622" s="504" t="n"/>
      <c r="F622" s="504" t="n"/>
      <c r="G622" s="504" t="n"/>
    </row>
    <row r="623">
      <c r="A623" s="504" t="n"/>
      <c r="B623" s="504" t="n"/>
      <c r="C623" s="504" t="n"/>
      <c r="D623" s="504" t="n"/>
      <c r="E623" s="504" t="n"/>
      <c r="F623" s="504" t="n"/>
      <c r="G623" s="504" t="n"/>
    </row>
    <row r="624">
      <c r="A624" s="504" t="n"/>
      <c r="B624" s="504" t="n"/>
      <c r="C624" s="504" t="n"/>
      <c r="D624" s="504" t="n"/>
      <c r="E624" s="504" t="n"/>
      <c r="F624" s="504" t="n"/>
      <c r="G624" s="504" t="n"/>
    </row>
    <row r="625">
      <c r="A625" s="504" t="n"/>
      <c r="B625" s="504" t="n"/>
      <c r="C625" s="504" t="n"/>
      <c r="D625" s="504" t="n"/>
      <c r="E625" s="504" t="n"/>
      <c r="F625" s="504" t="n"/>
      <c r="G625" s="504" t="n"/>
    </row>
    <row r="626">
      <c r="A626" s="504" t="n"/>
      <c r="B626" s="504" t="n"/>
      <c r="C626" s="504" t="n"/>
      <c r="D626" s="504" t="n"/>
      <c r="E626" s="504" t="n"/>
      <c r="F626" s="504" t="n"/>
      <c r="G626" s="504" t="n"/>
    </row>
    <row r="627">
      <c r="A627" s="504" t="n"/>
      <c r="B627" s="504" t="n"/>
      <c r="C627" s="504" t="n"/>
      <c r="D627" s="504" t="n"/>
      <c r="E627" s="504" t="n"/>
      <c r="F627" s="504" t="n"/>
      <c r="G627" s="504" t="n"/>
    </row>
    <row r="628">
      <c r="A628" s="504" t="n"/>
      <c r="B628" s="504" t="n"/>
      <c r="C628" s="504" t="n"/>
      <c r="D628" s="504" t="n"/>
      <c r="E628" s="504" t="n"/>
      <c r="F628" s="504" t="n"/>
      <c r="G628" s="504" t="n"/>
    </row>
    <row r="629">
      <c r="A629" s="504" t="n"/>
      <c r="B629" s="504" t="n"/>
      <c r="C629" s="504" t="n"/>
      <c r="D629" s="504" t="n"/>
      <c r="E629" s="504" t="n"/>
      <c r="F629" s="504" t="n"/>
      <c r="G629" s="504" t="n"/>
    </row>
    <row r="630">
      <c r="A630" s="504" t="n"/>
      <c r="B630" s="504" t="n"/>
      <c r="C630" s="504" t="n"/>
      <c r="D630" s="504" t="n"/>
      <c r="E630" s="504" t="n"/>
      <c r="F630" s="504" t="n"/>
      <c r="G630" s="504" t="n"/>
    </row>
    <row r="631">
      <c r="A631" s="504" t="n"/>
      <c r="B631" s="504" t="n"/>
      <c r="C631" s="504" t="n"/>
      <c r="D631" s="504" t="n"/>
      <c r="E631" s="504" t="n"/>
      <c r="F631" s="504" t="n"/>
      <c r="G631" s="504" t="n"/>
    </row>
    <row r="632">
      <c r="A632" s="504" t="n"/>
      <c r="B632" s="504" t="n"/>
      <c r="C632" s="504" t="n"/>
      <c r="D632" s="504" t="n"/>
      <c r="E632" s="504" t="n"/>
      <c r="F632" s="504" t="n"/>
      <c r="G632" s="504" t="n"/>
    </row>
    <row r="633">
      <c r="A633" s="504" t="n"/>
      <c r="B633" s="504" t="n"/>
      <c r="C633" s="504" t="n"/>
      <c r="D633" s="504" t="n"/>
      <c r="E633" s="504" t="n"/>
      <c r="F633" s="504" t="n"/>
      <c r="G633" s="504" t="n"/>
    </row>
    <row r="634">
      <c r="A634" s="504" t="n"/>
      <c r="B634" s="504" t="n"/>
      <c r="C634" s="504" t="n"/>
      <c r="D634" s="504" t="n"/>
      <c r="E634" s="504" t="n"/>
      <c r="F634" s="504" t="n"/>
      <c r="G634" s="504" t="n"/>
    </row>
    <row r="635">
      <c r="A635" s="504" t="n"/>
      <c r="B635" s="504" t="n"/>
      <c r="C635" s="504" t="n"/>
      <c r="D635" s="504" t="n"/>
      <c r="E635" s="504" t="n"/>
      <c r="F635" s="504" t="n"/>
      <c r="G635" s="504" t="n"/>
    </row>
    <row r="636">
      <c r="A636" s="504" t="n"/>
      <c r="B636" s="504" t="n"/>
      <c r="C636" s="504" t="n"/>
      <c r="D636" s="504" t="n"/>
      <c r="E636" s="504" t="n"/>
      <c r="F636" s="504" t="n"/>
      <c r="G636" s="504" t="n"/>
    </row>
    <row r="637">
      <c r="A637" s="504" t="n"/>
      <c r="B637" s="504" t="n"/>
      <c r="C637" s="504" t="n"/>
      <c r="D637" s="504" t="n"/>
      <c r="E637" s="504" t="n"/>
      <c r="F637" s="504" t="n"/>
      <c r="G637" s="504" t="n"/>
    </row>
    <row r="638">
      <c r="A638" s="504" t="n"/>
      <c r="B638" s="504" t="n"/>
      <c r="C638" s="504" t="n"/>
      <c r="D638" s="504" t="n"/>
      <c r="E638" s="504" t="n"/>
      <c r="F638" s="504" t="n"/>
      <c r="G638" s="504" t="n"/>
    </row>
    <row r="639">
      <c r="A639" s="504" t="n"/>
      <c r="B639" s="504" t="n"/>
      <c r="C639" s="504" t="n"/>
      <c r="D639" s="504" t="n"/>
      <c r="E639" s="504" t="n"/>
      <c r="F639" s="504" t="n"/>
      <c r="G639" s="504" t="n"/>
    </row>
    <row r="640">
      <c r="A640" s="504" t="n"/>
      <c r="B640" s="504" t="n"/>
      <c r="C640" s="504" t="n"/>
      <c r="D640" s="504" t="n"/>
      <c r="E640" s="504" t="n"/>
      <c r="F640" s="504" t="n"/>
      <c r="G640" s="504" t="n"/>
    </row>
    <row r="641">
      <c r="A641" s="504" t="n"/>
      <c r="B641" s="504" t="n"/>
      <c r="C641" s="504" t="n"/>
      <c r="D641" s="504" t="n"/>
      <c r="E641" s="504" t="n"/>
      <c r="F641" s="504" t="n"/>
      <c r="G641" s="504" t="n"/>
    </row>
    <row r="642">
      <c r="A642" s="504" t="n"/>
      <c r="B642" s="504" t="n"/>
      <c r="C642" s="504" t="n"/>
      <c r="D642" s="504" t="n"/>
      <c r="E642" s="504" t="n"/>
      <c r="F642" s="504" t="n"/>
      <c r="G642" s="504" t="n"/>
    </row>
    <row r="643">
      <c r="A643" s="504" t="n"/>
      <c r="B643" s="504" t="n"/>
      <c r="C643" s="504" t="n"/>
      <c r="D643" s="504" t="n"/>
      <c r="E643" s="504" t="n"/>
      <c r="F643" s="504" t="n"/>
      <c r="G643" s="504" t="n"/>
    </row>
    <row r="644">
      <c r="A644" s="504" t="n"/>
      <c r="B644" s="504" t="n"/>
      <c r="C644" s="504" t="n"/>
      <c r="D644" s="504" t="n"/>
      <c r="E644" s="504" t="n"/>
      <c r="F644" s="504" t="n"/>
      <c r="G644" s="504" t="n"/>
    </row>
    <row r="645">
      <c r="A645" s="504" t="n"/>
      <c r="B645" s="504" t="n"/>
      <c r="C645" s="504" t="n"/>
      <c r="D645" s="504" t="n"/>
      <c r="E645" s="504" t="n"/>
      <c r="F645" s="504" t="n"/>
      <c r="G645" s="504" t="n"/>
    </row>
    <row r="646">
      <c r="A646" s="504" t="n"/>
      <c r="B646" s="504" t="n"/>
      <c r="C646" s="504" t="n"/>
      <c r="D646" s="504" t="n"/>
      <c r="E646" s="504" t="n"/>
      <c r="F646" s="504" t="n"/>
      <c r="G646" s="504" t="n"/>
    </row>
    <row r="647">
      <c r="A647" s="504" t="n"/>
      <c r="B647" s="504" t="n"/>
      <c r="C647" s="504" t="n"/>
      <c r="D647" s="504" t="n"/>
      <c r="E647" s="504" t="n"/>
      <c r="F647" s="504" t="n"/>
      <c r="G647" s="504" t="n"/>
    </row>
    <row r="648">
      <c r="A648" s="504" t="n"/>
      <c r="B648" s="504" t="n"/>
      <c r="C648" s="504" t="n"/>
      <c r="D648" s="504" t="n"/>
      <c r="E648" s="504" t="n"/>
      <c r="F648" s="504" t="n"/>
      <c r="G648" s="504" t="n"/>
    </row>
    <row r="649">
      <c r="A649" s="504" t="n"/>
      <c r="B649" s="504" t="n"/>
      <c r="C649" s="504" t="n"/>
      <c r="D649" s="504" t="n"/>
      <c r="E649" s="504" t="n"/>
      <c r="F649" s="504" t="n"/>
      <c r="G649" s="504" t="n"/>
    </row>
    <row r="650">
      <c r="A650" s="504" t="n"/>
      <c r="B650" s="504" t="n"/>
      <c r="C650" s="504" t="n"/>
      <c r="D650" s="504" t="n"/>
      <c r="E650" s="504" t="n"/>
      <c r="F650" s="504" t="n"/>
      <c r="G650" s="504" t="n"/>
    </row>
    <row r="651">
      <c r="A651" s="504" t="n"/>
      <c r="B651" s="504" t="n"/>
      <c r="C651" s="504" t="n"/>
      <c r="D651" s="504" t="n"/>
      <c r="E651" s="504" t="n"/>
      <c r="F651" s="504" t="n"/>
      <c r="G651" s="504" t="n"/>
    </row>
    <row r="652">
      <c r="A652" s="504" t="n"/>
      <c r="B652" s="504" t="n"/>
      <c r="C652" s="504" t="n"/>
      <c r="D652" s="504" t="n"/>
      <c r="E652" s="504" t="n"/>
      <c r="F652" s="504" t="n"/>
      <c r="G652" s="504" t="n"/>
    </row>
    <row r="653">
      <c r="A653" s="504" t="n"/>
      <c r="B653" s="504" t="n"/>
      <c r="C653" s="504" t="n"/>
      <c r="D653" s="504" t="n"/>
      <c r="E653" s="504" t="n"/>
      <c r="F653" s="504" t="n"/>
      <c r="G653" s="504" t="n"/>
    </row>
    <row r="654">
      <c r="A654" s="504" t="n"/>
      <c r="B654" s="504" t="n"/>
      <c r="C654" s="504" t="n"/>
      <c r="D654" s="504" t="n"/>
      <c r="E654" s="504" t="n"/>
      <c r="F654" s="504" t="n"/>
      <c r="G654" s="504" t="n"/>
    </row>
    <row r="655">
      <c r="A655" s="504" t="n"/>
      <c r="B655" s="504" t="n"/>
      <c r="C655" s="504" t="n"/>
      <c r="D655" s="504" t="n"/>
      <c r="E655" s="504" t="n"/>
      <c r="F655" s="504" t="n"/>
      <c r="G655" s="504" t="n"/>
    </row>
    <row r="656">
      <c r="A656" s="504" t="n"/>
      <c r="B656" s="504" t="n"/>
      <c r="C656" s="504" t="n"/>
      <c r="D656" s="504" t="n"/>
      <c r="E656" s="504" t="n"/>
      <c r="F656" s="504" t="n"/>
      <c r="G656" s="504" t="n"/>
    </row>
    <row r="657">
      <c r="A657" s="504" t="n"/>
      <c r="B657" s="504" t="n"/>
      <c r="C657" s="504" t="n"/>
      <c r="D657" s="504" t="n"/>
      <c r="E657" s="504" t="n"/>
      <c r="F657" s="504" t="n"/>
      <c r="G657" s="504" t="n"/>
    </row>
    <row r="658">
      <c r="A658" s="504" t="n"/>
      <c r="B658" s="504" t="n"/>
      <c r="C658" s="504" t="n"/>
      <c r="D658" s="504" t="n"/>
      <c r="E658" s="504" t="n"/>
      <c r="F658" s="504" t="n"/>
      <c r="G658" s="504" t="n"/>
    </row>
    <row r="659">
      <c r="A659" s="504" t="n"/>
      <c r="B659" s="504" t="n"/>
      <c r="C659" s="504" t="n"/>
      <c r="D659" s="504" t="n"/>
      <c r="E659" s="504" t="n"/>
      <c r="F659" s="504" t="n"/>
      <c r="G659" s="504" t="n"/>
    </row>
    <row r="660">
      <c r="A660" s="504" t="n"/>
      <c r="B660" s="504" t="n"/>
      <c r="C660" s="504" t="n"/>
      <c r="D660" s="504" t="n"/>
      <c r="E660" s="504" t="n"/>
      <c r="F660" s="504" t="n"/>
      <c r="G660" s="504" t="n"/>
    </row>
    <row r="661">
      <c r="A661" s="504" t="n"/>
      <c r="B661" s="504" t="n"/>
      <c r="C661" s="504" t="n"/>
      <c r="D661" s="504" t="n"/>
      <c r="E661" s="504" t="n"/>
      <c r="F661" s="504" t="n"/>
      <c r="G661" s="504" t="n"/>
    </row>
    <row r="662">
      <c r="A662" s="504" t="n"/>
      <c r="B662" s="504" t="n"/>
      <c r="C662" s="504" t="n"/>
      <c r="D662" s="504" t="n"/>
      <c r="E662" s="504" t="n"/>
      <c r="F662" s="504" t="n"/>
      <c r="G662" s="504" t="n"/>
    </row>
    <row r="663">
      <c r="A663" s="504" t="n"/>
      <c r="B663" s="504" t="n"/>
      <c r="C663" s="504" t="n"/>
      <c r="D663" s="504" t="n"/>
      <c r="E663" s="504" t="n"/>
      <c r="F663" s="504" t="n"/>
      <c r="G663" s="504" t="n"/>
    </row>
    <row r="664">
      <c r="A664" s="504" t="n"/>
      <c r="B664" s="504" t="n"/>
      <c r="C664" s="504" t="n"/>
      <c r="D664" s="504" t="n"/>
      <c r="E664" s="504" t="n"/>
      <c r="F664" s="504" t="n"/>
      <c r="G664" s="504" t="n"/>
    </row>
    <row r="665">
      <c r="A665" s="504" t="n"/>
      <c r="B665" s="504" t="n"/>
      <c r="C665" s="504" t="n"/>
      <c r="D665" s="504" t="n"/>
      <c r="E665" s="504" t="n"/>
      <c r="F665" s="504" t="n"/>
      <c r="G665" s="504" t="n"/>
    </row>
    <row r="666">
      <c r="A666" s="504" t="n"/>
      <c r="B666" s="504" t="n"/>
      <c r="C666" s="504" t="n"/>
      <c r="D666" s="504" t="n"/>
      <c r="E666" s="504" t="n"/>
      <c r="F666" s="504" t="n"/>
      <c r="G666" s="504" t="n"/>
    </row>
    <row r="667">
      <c r="A667" s="504" t="n"/>
      <c r="B667" s="504" t="n"/>
      <c r="C667" s="504" t="n"/>
      <c r="D667" s="504" t="n"/>
      <c r="E667" s="504" t="n"/>
      <c r="F667" s="504" t="n"/>
      <c r="G667" s="504" t="n"/>
    </row>
    <row r="668">
      <c r="A668" s="504" t="n"/>
      <c r="B668" s="504" t="n"/>
      <c r="C668" s="504" t="n"/>
      <c r="D668" s="504" t="n"/>
      <c r="E668" s="504" t="n"/>
      <c r="F668" s="504" t="n"/>
      <c r="G668" s="504" t="n"/>
    </row>
    <row r="669">
      <c r="A669" s="504" t="n"/>
      <c r="B669" s="504" t="n"/>
      <c r="C669" s="504" t="n"/>
      <c r="D669" s="504" t="n"/>
      <c r="E669" s="504" t="n"/>
      <c r="F669" s="504" t="n"/>
      <c r="G669" s="504" t="n"/>
    </row>
    <row r="670">
      <c r="A670" s="504" t="n"/>
      <c r="B670" s="504" t="n"/>
      <c r="C670" s="504" t="n"/>
      <c r="D670" s="504" t="n"/>
      <c r="E670" s="504" t="n"/>
      <c r="F670" s="504" t="n"/>
      <c r="G670" s="504" t="n"/>
    </row>
    <row r="671">
      <c r="A671" s="504" t="n"/>
      <c r="B671" s="504" t="n"/>
      <c r="C671" s="504" t="n"/>
      <c r="D671" s="504" t="n"/>
      <c r="E671" s="504" t="n"/>
      <c r="F671" s="504" t="n"/>
      <c r="G671" s="504" t="n"/>
    </row>
    <row r="672">
      <c r="A672" s="504" t="n"/>
      <c r="B672" s="504" t="n"/>
      <c r="C672" s="504" t="n"/>
      <c r="D672" s="504" t="n"/>
      <c r="E672" s="504" t="n"/>
      <c r="F672" s="504" t="n"/>
      <c r="G672" s="504" t="n"/>
    </row>
    <row r="673">
      <c r="A673" s="504" t="n"/>
      <c r="B673" s="504" t="n"/>
      <c r="C673" s="504" t="n"/>
      <c r="D673" s="504" t="n"/>
      <c r="E673" s="504" t="n"/>
      <c r="F673" s="504" t="n"/>
      <c r="G673" s="504" t="n"/>
    </row>
    <row r="674">
      <c r="A674" s="504" t="n"/>
      <c r="B674" s="504" t="n"/>
      <c r="C674" s="504" t="n"/>
      <c r="D674" s="504" t="n"/>
      <c r="E674" s="504" t="n"/>
      <c r="F674" s="504" t="n"/>
      <c r="G674" s="504" t="n"/>
    </row>
    <row r="675">
      <c r="A675" s="504" t="n"/>
      <c r="B675" s="504" t="n"/>
      <c r="C675" s="504" t="n"/>
      <c r="D675" s="504" t="n"/>
      <c r="E675" s="504" t="n"/>
      <c r="F675" s="504" t="n"/>
      <c r="G675" s="504" t="n"/>
    </row>
    <row r="676">
      <c r="A676" s="504" t="n"/>
      <c r="B676" s="504" t="n"/>
      <c r="C676" s="504" t="n"/>
      <c r="D676" s="504" t="n"/>
      <c r="E676" s="504" t="n"/>
      <c r="F676" s="504" t="n"/>
      <c r="G676" s="504" t="n"/>
    </row>
    <row r="677">
      <c r="A677" s="504" t="n"/>
      <c r="B677" s="504" t="n"/>
      <c r="C677" s="504" t="n"/>
      <c r="D677" s="504" t="n"/>
      <c r="E677" s="504" t="n"/>
      <c r="F677" s="504" t="n"/>
      <c r="G677" s="504" t="n"/>
    </row>
    <row r="678">
      <c r="A678" s="504" t="n"/>
      <c r="B678" s="504" t="n"/>
      <c r="C678" s="504" t="n"/>
      <c r="D678" s="504" t="n"/>
      <c r="E678" s="504" t="n"/>
      <c r="F678" s="504" t="n"/>
      <c r="G678" s="504" t="n"/>
    </row>
    <row r="679">
      <c r="A679" s="504" t="n"/>
      <c r="B679" s="504" t="n"/>
      <c r="C679" s="504" t="n"/>
      <c r="D679" s="504" t="n"/>
      <c r="E679" s="504" t="n"/>
      <c r="F679" s="504" t="n"/>
      <c r="G679" s="504" t="n"/>
    </row>
    <row r="680">
      <c r="A680" s="504" t="n"/>
      <c r="B680" s="504" t="n"/>
      <c r="C680" s="504" t="n"/>
      <c r="D680" s="504" t="n"/>
      <c r="E680" s="504" t="n"/>
      <c r="F680" s="504" t="n"/>
      <c r="G680" s="504" t="n"/>
    </row>
    <row r="681">
      <c r="A681" s="504" t="n"/>
      <c r="B681" s="504" t="n"/>
      <c r="C681" s="504" t="n"/>
      <c r="D681" s="504" t="n"/>
      <c r="E681" s="504" t="n"/>
      <c r="F681" s="504" t="n"/>
      <c r="G681" s="504" t="n"/>
    </row>
    <row r="682">
      <c r="A682" s="504" t="n"/>
      <c r="B682" s="504" t="n"/>
      <c r="C682" s="504" t="n"/>
      <c r="D682" s="504" t="n"/>
      <c r="E682" s="504" t="n"/>
      <c r="F682" s="504" t="n"/>
      <c r="G682" s="504" t="n"/>
    </row>
    <row r="683">
      <c r="A683" s="504" t="n"/>
      <c r="B683" s="504" t="n"/>
      <c r="C683" s="504" t="n"/>
      <c r="D683" s="504" t="n"/>
      <c r="E683" s="504" t="n"/>
      <c r="F683" s="504" t="n"/>
      <c r="G683" s="504" t="n"/>
    </row>
    <row r="684">
      <c r="A684" s="504" t="n"/>
      <c r="B684" s="504" t="n"/>
      <c r="C684" s="504" t="n"/>
      <c r="D684" s="504" t="n"/>
      <c r="E684" s="504" t="n"/>
      <c r="F684" s="504" t="n"/>
      <c r="G684" s="504" t="n"/>
    </row>
    <row r="685">
      <c r="A685" s="504" t="n"/>
      <c r="B685" s="504" t="n"/>
      <c r="C685" s="504" t="n"/>
      <c r="D685" s="504" t="n"/>
      <c r="E685" s="504" t="n"/>
      <c r="F685" s="504" t="n"/>
      <c r="G685" s="504" t="n"/>
    </row>
    <row r="686">
      <c r="A686" s="504" t="n"/>
      <c r="B686" s="504" t="n"/>
      <c r="C686" s="504" t="n"/>
      <c r="D686" s="504" t="n"/>
      <c r="E686" s="504" t="n"/>
      <c r="F686" s="504" t="n"/>
      <c r="G686" s="504" t="n"/>
    </row>
    <row r="687">
      <c r="A687" s="504" t="n"/>
      <c r="B687" s="504" t="n"/>
      <c r="C687" s="504" t="n"/>
      <c r="D687" s="504" t="n"/>
      <c r="E687" s="504" t="n"/>
      <c r="F687" s="504" t="n"/>
      <c r="G687" s="504" t="n"/>
    </row>
    <row r="688">
      <c r="A688" s="504" t="n"/>
      <c r="B688" s="504" t="n"/>
      <c r="C688" s="504" t="n"/>
      <c r="D688" s="504" t="n"/>
      <c r="E688" s="504" t="n"/>
      <c r="F688" s="504" t="n"/>
      <c r="G688" s="504" t="n"/>
    </row>
    <row r="689">
      <c r="A689" s="504" t="n"/>
      <c r="B689" s="504" t="n"/>
      <c r="C689" s="504" t="n"/>
      <c r="D689" s="504" t="n"/>
      <c r="E689" s="504" t="n"/>
      <c r="F689" s="504" t="n"/>
      <c r="G689" s="504" t="n"/>
    </row>
    <row r="690">
      <c r="A690" s="504" t="n"/>
      <c r="B690" s="504" t="n"/>
      <c r="C690" s="504" t="n"/>
      <c r="D690" s="504" t="n"/>
      <c r="E690" s="504" t="n"/>
      <c r="F690" s="504" t="n"/>
      <c r="G690" s="504" t="n"/>
    </row>
    <row r="691">
      <c r="A691" s="504" t="n"/>
      <c r="B691" s="504" t="n"/>
      <c r="C691" s="504" t="n"/>
      <c r="D691" s="504" t="n"/>
      <c r="E691" s="504" t="n"/>
      <c r="F691" s="504" t="n"/>
      <c r="G691" s="504" t="n"/>
    </row>
    <row r="692">
      <c r="A692" s="504" t="n"/>
      <c r="B692" s="504" t="n"/>
      <c r="C692" s="504" t="n"/>
      <c r="D692" s="504" t="n"/>
      <c r="E692" s="504" t="n"/>
      <c r="F692" s="504" t="n"/>
      <c r="G692" s="504" t="n"/>
    </row>
    <row r="693">
      <c r="A693" s="504" t="n"/>
      <c r="B693" s="504" t="n"/>
      <c r="C693" s="504" t="n"/>
      <c r="D693" s="504" t="n"/>
      <c r="E693" s="504" t="n"/>
      <c r="F693" s="504" t="n"/>
      <c r="G693" s="504" t="n"/>
    </row>
    <row r="694">
      <c r="A694" s="504" t="n"/>
      <c r="B694" s="504" t="n"/>
      <c r="C694" s="504" t="n"/>
      <c r="D694" s="504" t="n"/>
      <c r="E694" s="504" t="n"/>
      <c r="F694" s="504" t="n"/>
      <c r="G694" s="504" t="n"/>
    </row>
    <row r="695">
      <c r="A695" s="504" t="n"/>
      <c r="B695" s="504" t="n"/>
      <c r="C695" s="504" t="n"/>
      <c r="D695" s="504" t="n"/>
      <c r="E695" s="504" t="n"/>
      <c r="F695" s="504" t="n"/>
      <c r="G695" s="504" t="n"/>
    </row>
    <row r="696">
      <c r="A696" s="504" t="n"/>
      <c r="B696" s="504" t="n"/>
      <c r="C696" s="504" t="n"/>
      <c r="D696" s="504" t="n"/>
      <c r="E696" s="504" t="n"/>
      <c r="F696" s="504" t="n"/>
      <c r="G696" s="504" t="n"/>
    </row>
    <row r="697">
      <c r="A697" s="504" t="n"/>
      <c r="B697" s="504" t="n"/>
      <c r="C697" s="504" t="n"/>
      <c r="D697" s="504" t="n"/>
      <c r="E697" s="504" t="n"/>
      <c r="F697" s="504" t="n"/>
      <c r="G697" s="504" t="n"/>
    </row>
    <row r="698">
      <c r="A698" s="504" t="n"/>
      <c r="B698" s="504" t="n"/>
      <c r="C698" s="504" t="n"/>
      <c r="D698" s="504" t="n"/>
      <c r="E698" s="504" t="n"/>
      <c r="F698" s="504" t="n"/>
      <c r="G698" s="504" t="n"/>
    </row>
    <row r="699">
      <c r="A699" s="504" t="n"/>
      <c r="B699" s="504" t="n"/>
      <c r="C699" s="504" t="n"/>
      <c r="D699" s="504" t="n"/>
      <c r="E699" s="504" t="n"/>
      <c r="F699" s="504" t="n"/>
      <c r="G699" s="504" t="n"/>
    </row>
    <row r="700">
      <c r="A700" s="504" t="n"/>
      <c r="B700" s="504" t="n"/>
      <c r="C700" s="504" t="n"/>
      <c r="D700" s="504" t="n"/>
      <c r="E700" s="504" t="n"/>
      <c r="F700" s="504" t="n"/>
      <c r="G700" s="504" t="n"/>
    </row>
    <row r="701">
      <c r="A701" s="504" t="n"/>
      <c r="B701" s="504" t="n"/>
      <c r="C701" s="504" t="n"/>
      <c r="D701" s="504" t="n"/>
      <c r="E701" s="504" t="n"/>
      <c r="F701" s="504" t="n"/>
      <c r="G701" s="504" t="n"/>
    </row>
    <row r="702">
      <c r="A702" s="504" t="n"/>
      <c r="B702" s="504" t="n"/>
      <c r="C702" s="504" t="n"/>
      <c r="D702" s="504" t="n"/>
      <c r="E702" s="504" t="n"/>
      <c r="F702" s="504" t="n"/>
      <c r="G702" s="504" t="n"/>
    </row>
    <row r="703">
      <c r="A703" s="504" t="n"/>
      <c r="B703" s="504" t="n"/>
      <c r="C703" s="504" t="n"/>
      <c r="D703" s="504" t="n"/>
      <c r="E703" s="504" t="n"/>
      <c r="F703" s="504" t="n"/>
      <c r="G703" s="504" t="n"/>
    </row>
    <row r="704">
      <c r="A704" s="504" t="n"/>
      <c r="B704" s="504" t="n"/>
      <c r="C704" s="504" t="n"/>
      <c r="D704" s="504" t="n"/>
      <c r="E704" s="504" t="n"/>
      <c r="F704" s="504" t="n"/>
      <c r="G704" s="504" t="n"/>
    </row>
    <row r="705">
      <c r="A705" s="504" t="n"/>
      <c r="B705" s="504" t="n"/>
      <c r="C705" s="504" t="n"/>
      <c r="D705" s="504" t="n"/>
      <c r="E705" s="504" t="n"/>
      <c r="F705" s="504" t="n"/>
      <c r="G705" s="504" t="n"/>
    </row>
    <row r="706">
      <c r="A706" s="504" t="n"/>
      <c r="B706" s="504" t="n"/>
      <c r="C706" s="504" t="n"/>
      <c r="D706" s="504" t="n"/>
      <c r="E706" s="504" t="n"/>
      <c r="F706" s="504" t="n"/>
      <c r="G706" s="504" t="n"/>
    </row>
    <row r="707">
      <c r="A707" s="504" t="n"/>
      <c r="B707" s="504" t="n"/>
      <c r="C707" s="504" t="n"/>
      <c r="D707" s="504" t="n"/>
      <c r="E707" s="504" t="n"/>
      <c r="F707" s="504" t="n"/>
      <c r="G707" s="504" t="n"/>
    </row>
    <row r="708">
      <c r="A708" s="504" t="n"/>
      <c r="B708" s="504" t="n"/>
      <c r="C708" s="504" t="n"/>
      <c r="D708" s="504" t="n"/>
      <c r="E708" s="504" t="n"/>
      <c r="F708" s="504" t="n"/>
      <c r="G708" s="504" t="n"/>
    </row>
    <row r="709">
      <c r="A709" s="504" t="n"/>
      <c r="B709" s="504" t="n"/>
      <c r="C709" s="504" t="n"/>
      <c r="D709" s="504" t="n"/>
      <c r="E709" s="504" t="n"/>
      <c r="F709" s="504" t="n"/>
      <c r="G709" s="504" t="n"/>
    </row>
    <row r="710">
      <c r="A710" s="504" t="n"/>
      <c r="B710" s="504" t="n"/>
      <c r="C710" s="504" t="n"/>
      <c r="D710" s="504" t="n"/>
      <c r="E710" s="504" t="n"/>
      <c r="F710" s="504" t="n"/>
      <c r="G710" s="504" t="n"/>
    </row>
    <row r="711">
      <c r="A711" s="504" t="n"/>
      <c r="B711" s="504" t="n"/>
      <c r="C711" s="504" t="n"/>
      <c r="D711" s="504" t="n"/>
      <c r="E711" s="504" t="n"/>
      <c r="F711" s="504" t="n"/>
      <c r="G711" s="504" t="n"/>
    </row>
    <row r="712">
      <c r="A712" s="504" t="n"/>
      <c r="B712" s="504" t="n"/>
      <c r="C712" s="504" t="n"/>
      <c r="D712" s="504" t="n"/>
      <c r="E712" s="504" t="n"/>
      <c r="F712" s="504" t="n"/>
      <c r="G712" s="504" t="n"/>
    </row>
    <row r="713">
      <c r="A713" s="504" t="n"/>
      <c r="B713" s="504" t="n"/>
      <c r="C713" s="504" t="n"/>
      <c r="D713" s="504" t="n"/>
      <c r="E713" s="504" t="n"/>
      <c r="F713" s="504" t="n"/>
      <c r="G713" s="504" t="n"/>
    </row>
    <row r="714">
      <c r="A714" s="504" t="n"/>
      <c r="B714" s="504" t="n"/>
      <c r="C714" s="504" t="n"/>
      <c r="D714" s="504" t="n"/>
      <c r="E714" s="504" t="n"/>
      <c r="F714" s="504" t="n"/>
      <c r="G714" s="504" t="n"/>
    </row>
    <row r="715">
      <c r="A715" s="504" t="n"/>
      <c r="B715" s="504" t="n"/>
      <c r="C715" s="504" t="n"/>
      <c r="D715" s="504" t="n"/>
      <c r="E715" s="504" t="n"/>
      <c r="F715" s="504" t="n"/>
      <c r="G715" s="504" t="n"/>
    </row>
    <row r="716">
      <c r="A716" s="504" t="n"/>
      <c r="B716" s="504" t="n"/>
      <c r="C716" s="504" t="n"/>
      <c r="D716" s="504" t="n"/>
      <c r="E716" s="504" t="n"/>
      <c r="F716" s="504" t="n"/>
      <c r="G716" s="504" t="n"/>
    </row>
    <row r="717">
      <c r="A717" s="504" t="n"/>
      <c r="B717" s="504" t="n"/>
      <c r="C717" s="504" t="n"/>
      <c r="D717" s="504" t="n"/>
      <c r="E717" s="504" t="n"/>
      <c r="F717" s="504" t="n"/>
      <c r="G717" s="504" t="n"/>
    </row>
    <row r="718">
      <c r="A718" s="504" t="n"/>
      <c r="B718" s="504" t="n"/>
      <c r="C718" s="504" t="n"/>
      <c r="D718" s="504" t="n"/>
      <c r="E718" s="504" t="n"/>
      <c r="F718" s="504" t="n"/>
      <c r="G718" s="504" t="n"/>
    </row>
    <row r="719">
      <c r="A719" s="504" t="n"/>
      <c r="B719" s="504" t="n"/>
      <c r="C719" s="504" t="n"/>
      <c r="D719" s="504" t="n"/>
      <c r="E719" s="504" t="n"/>
      <c r="F719" s="504" t="n"/>
      <c r="G719" s="504" t="n"/>
    </row>
    <row r="720">
      <c r="A720" s="504" t="n"/>
      <c r="B720" s="504" t="n"/>
      <c r="C720" s="504" t="n"/>
      <c r="D720" s="504" t="n"/>
      <c r="E720" s="504" t="n"/>
      <c r="F720" s="504" t="n"/>
      <c r="G720" s="504" t="n"/>
    </row>
    <row r="721">
      <c r="A721" s="504" t="n"/>
      <c r="B721" s="504" t="n"/>
      <c r="C721" s="504" t="n"/>
      <c r="D721" s="504" t="n"/>
      <c r="E721" s="504" t="n"/>
      <c r="F721" s="504" t="n"/>
      <c r="G721" s="504" t="n"/>
    </row>
    <row r="722">
      <c r="A722" s="504" t="n"/>
      <c r="B722" s="504" t="n"/>
      <c r="C722" s="504" t="n"/>
      <c r="D722" s="504" t="n"/>
      <c r="E722" s="504" t="n"/>
      <c r="F722" s="504" t="n"/>
      <c r="G722" s="504" t="n"/>
    </row>
    <row r="723">
      <c r="A723" s="504" t="n"/>
      <c r="B723" s="504" t="n"/>
      <c r="C723" s="504" t="n"/>
      <c r="D723" s="504" t="n"/>
      <c r="E723" s="504" t="n"/>
      <c r="F723" s="504" t="n"/>
      <c r="G723" s="504" t="n"/>
    </row>
    <row r="724">
      <c r="A724" s="504" t="n"/>
      <c r="B724" s="504" t="n"/>
      <c r="C724" s="504" t="n"/>
      <c r="D724" s="504" t="n"/>
      <c r="E724" s="504" t="n"/>
      <c r="F724" s="504" t="n"/>
      <c r="G724" s="504" t="n"/>
    </row>
    <row r="725">
      <c r="A725" s="504" t="n"/>
      <c r="B725" s="504" t="n"/>
      <c r="C725" s="504" t="n"/>
      <c r="D725" s="504" t="n"/>
      <c r="E725" s="504" t="n"/>
      <c r="F725" s="504" t="n"/>
      <c r="G725" s="504" t="n"/>
    </row>
    <row r="726">
      <c r="A726" s="504" t="n"/>
      <c r="B726" s="504" t="n"/>
      <c r="C726" s="504" t="n"/>
      <c r="D726" s="504" t="n"/>
      <c r="E726" s="504" t="n"/>
      <c r="F726" s="504" t="n"/>
      <c r="G726" s="504" t="n"/>
    </row>
    <row r="727">
      <c r="A727" s="504" t="n"/>
      <c r="B727" s="504" t="n"/>
      <c r="C727" s="504" t="n"/>
      <c r="D727" s="504" t="n"/>
      <c r="E727" s="504" t="n"/>
      <c r="F727" s="504" t="n"/>
      <c r="G727" s="504" t="n"/>
    </row>
    <row r="728">
      <c r="A728" s="504" t="n"/>
      <c r="B728" s="504" t="n"/>
      <c r="C728" s="504" t="n"/>
      <c r="D728" s="504" t="n"/>
      <c r="E728" s="504" t="n"/>
      <c r="F728" s="504" t="n"/>
      <c r="G728" s="504" t="n"/>
    </row>
    <row r="729">
      <c r="A729" s="504" t="n"/>
      <c r="B729" s="504" t="n"/>
      <c r="C729" s="504" t="n"/>
      <c r="D729" s="504" t="n"/>
      <c r="E729" s="504" t="n"/>
      <c r="F729" s="504" t="n"/>
      <c r="G729" s="504" t="n"/>
    </row>
    <row r="730">
      <c r="A730" s="504" t="n"/>
      <c r="B730" s="504" t="n"/>
      <c r="C730" s="504" t="n"/>
      <c r="D730" s="504" t="n"/>
      <c r="E730" s="504" t="n"/>
      <c r="F730" s="504" t="n"/>
      <c r="G730" s="504" t="n"/>
    </row>
    <row r="731">
      <c r="A731" s="504" t="n"/>
      <c r="B731" s="504" t="n"/>
      <c r="C731" s="504" t="n"/>
      <c r="D731" s="504" t="n"/>
      <c r="E731" s="504" t="n"/>
      <c r="F731" s="504" t="n"/>
      <c r="G731" s="504" t="n"/>
    </row>
    <row r="732">
      <c r="A732" s="504" t="n"/>
      <c r="B732" s="504" t="n"/>
      <c r="C732" s="504" t="n"/>
      <c r="D732" s="504" t="n"/>
      <c r="E732" s="504" t="n"/>
      <c r="F732" s="504" t="n"/>
      <c r="G732" s="504" t="n"/>
    </row>
    <row r="733">
      <c r="A733" s="504" t="n"/>
      <c r="B733" s="504" t="n"/>
      <c r="C733" s="504" t="n"/>
      <c r="D733" s="504" t="n"/>
      <c r="E733" s="504" t="n"/>
      <c r="F733" s="504" t="n"/>
      <c r="G733" s="504" t="n"/>
    </row>
    <row r="734">
      <c r="A734" s="504" t="n"/>
      <c r="B734" s="504" t="n"/>
      <c r="C734" s="504" t="n"/>
      <c r="D734" s="504" t="n"/>
      <c r="E734" s="504" t="n"/>
      <c r="F734" s="504" t="n"/>
      <c r="G734" s="504" t="n"/>
    </row>
    <row r="735">
      <c r="A735" s="504" t="n"/>
      <c r="B735" s="504" t="n"/>
      <c r="C735" s="504" t="n"/>
      <c r="D735" s="504" t="n"/>
      <c r="E735" s="504" t="n"/>
      <c r="F735" s="504" t="n"/>
      <c r="G735" s="504" t="n"/>
    </row>
    <row r="736">
      <c r="A736" s="504" t="n"/>
      <c r="B736" s="504" t="n"/>
      <c r="C736" s="504" t="n"/>
      <c r="D736" s="504" t="n"/>
      <c r="E736" s="504" t="n"/>
      <c r="F736" s="504" t="n"/>
      <c r="G736" s="504" t="n"/>
    </row>
    <row r="737">
      <c r="A737" s="504" t="n"/>
      <c r="B737" s="504" t="n"/>
      <c r="C737" s="504" t="n"/>
      <c r="D737" s="504" t="n"/>
      <c r="E737" s="504" t="n"/>
      <c r="F737" s="504" t="n"/>
      <c r="G737" s="504" t="n"/>
    </row>
    <row r="738">
      <c r="A738" s="504" t="n"/>
      <c r="B738" s="504" t="n"/>
      <c r="C738" s="504" t="n"/>
      <c r="D738" s="504" t="n"/>
      <c r="E738" s="504" t="n"/>
      <c r="F738" s="504" t="n"/>
      <c r="G738" s="504" t="n"/>
    </row>
    <row r="739">
      <c r="A739" s="504" t="n"/>
      <c r="B739" s="504" t="n"/>
      <c r="C739" s="504" t="n"/>
      <c r="D739" s="504" t="n"/>
      <c r="E739" s="504" t="n"/>
      <c r="F739" s="504" t="n"/>
      <c r="G739" s="504" t="n"/>
    </row>
    <row r="740">
      <c r="A740" s="504" t="n"/>
      <c r="B740" s="504" t="n"/>
      <c r="C740" s="504" t="n"/>
      <c r="D740" s="504" t="n"/>
      <c r="E740" s="504" t="n"/>
      <c r="F740" s="504" t="n"/>
      <c r="G740" s="504" t="n"/>
    </row>
    <row r="741">
      <c r="A741" s="504" t="n"/>
      <c r="B741" s="504" t="n"/>
      <c r="C741" s="504" t="n"/>
      <c r="D741" s="504" t="n"/>
      <c r="E741" s="504" t="n"/>
      <c r="F741" s="504" t="n"/>
      <c r="G741" s="504" t="n"/>
    </row>
    <row r="742">
      <c r="A742" s="504" t="n"/>
      <c r="B742" s="504" t="n"/>
      <c r="C742" s="504" t="n"/>
      <c r="D742" s="504" t="n"/>
      <c r="E742" s="504" t="n"/>
      <c r="F742" s="504" t="n"/>
      <c r="G742" s="504" t="n"/>
    </row>
    <row r="743">
      <c r="A743" s="504" t="n"/>
      <c r="B743" s="504" t="n"/>
      <c r="C743" s="504" t="n"/>
      <c r="D743" s="504" t="n"/>
      <c r="E743" s="504" t="n"/>
      <c r="F743" s="504" t="n"/>
      <c r="G743" s="504" t="n"/>
    </row>
    <row r="744">
      <c r="A744" s="504" t="n"/>
      <c r="B744" s="504" t="n"/>
      <c r="C744" s="504" t="n"/>
      <c r="D744" s="504" t="n"/>
      <c r="E744" s="504" t="n"/>
      <c r="F744" s="504" t="n"/>
      <c r="G744" s="504" t="n"/>
    </row>
    <row r="745">
      <c r="A745" s="504" t="n"/>
      <c r="B745" s="504" t="n"/>
      <c r="C745" s="504" t="n"/>
      <c r="D745" s="504" t="n"/>
      <c r="E745" s="504" t="n"/>
      <c r="F745" s="504" t="n"/>
      <c r="G745" s="504" t="n"/>
    </row>
    <row r="746">
      <c r="A746" s="504" t="n"/>
      <c r="B746" s="504" t="n"/>
      <c r="C746" s="504" t="n"/>
      <c r="D746" s="504" t="n"/>
      <c r="E746" s="504" t="n"/>
      <c r="F746" s="504" t="n"/>
      <c r="G746" s="504" t="n"/>
    </row>
    <row r="747">
      <c r="A747" s="504" t="n"/>
      <c r="B747" s="504" t="n"/>
      <c r="C747" s="504" t="n"/>
      <c r="D747" s="504" t="n"/>
      <c r="E747" s="504" t="n"/>
      <c r="F747" s="504" t="n"/>
      <c r="G747" s="504" t="n"/>
    </row>
    <row r="748">
      <c r="A748" s="504" t="n"/>
      <c r="B748" s="504" t="n"/>
      <c r="C748" s="504" t="n"/>
      <c r="D748" s="504" t="n"/>
      <c r="E748" s="504" t="n"/>
      <c r="F748" s="504" t="n"/>
      <c r="G748" s="504" t="n"/>
    </row>
    <row r="749">
      <c r="A749" s="504" t="n"/>
      <c r="B749" s="504" t="n"/>
      <c r="C749" s="504" t="n"/>
      <c r="D749" s="504" t="n"/>
      <c r="E749" s="504" t="n"/>
      <c r="F749" s="504" t="n"/>
      <c r="G749" s="504" t="n"/>
    </row>
    <row r="750">
      <c r="A750" s="504" t="n"/>
      <c r="B750" s="504" t="n"/>
      <c r="C750" s="504" t="n"/>
      <c r="D750" s="504" t="n"/>
      <c r="E750" s="504" t="n"/>
      <c r="F750" s="504" t="n"/>
      <c r="G750" s="504" t="n"/>
    </row>
    <row r="751">
      <c r="A751" s="504" t="n"/>
      <c r="B751" s="504" t="n"/>
      <c r="C751" s="504" t="n"/>
      <c r="D751" s="504" t="n"/>
      <c r="E751" s="504" t="n"/>
      <c r="F751" s="504" t="n"/>
      <c r="G751" s="504" t="n"/>
    </row>
    <row r="752">
      <c r="A752" s="504" t="n"/>
      <c r="B752" s="504" t="n"/>
      <c r="C752" s="504" t="n"/>
      <c r="D752" s="504" t="n"/>
      <c r="E752" s="504" t="n"/>
      <c r="F752" s="504" t="n"/>
      <c r="G752" s="504" t="n"/>
    </row>
    <row r="753">
      <c r="A753" s="504" t="n"/>
      <c r="B753" s="504" t="n"/>
      <c r="C753" s="504" t="n"/>
      <c r="D753" s="504" t="n"/>
      <c r="E753" s="504" t="n"/>
      <c r="F753" s="504" t="n"/>
      <c r="G753" s="504" t="n"/>
    </row>
    <row r="754">
      <c r="A754" s="504" t="n"/>
      <c r="B754" s="504" t="n"/>
      <c r="C754" s="504" t="n"/>
      <c r="D754" s="504" t="n"/>
      <c r="E754" s="504" t="n"/>
      <c r="F754" s="504" t="n"/>
      <c r="G754" s="504" t="n"/>
    </row>
    <row r="755">
      <c r="A755" s="504" t="n"/>
      <c r="B755" s="504" t="n"/>
      <c r="C755" s="504" t="n"/>
      <c r="D755" s="504" t="n"/>
      <c r="E755" s="504" t="n"/>
      <c r="F755" s="504" t="n"/>
      <c r="G755" s="504" t="n"/>
    </row>
    <row r="756">
      <c r="A756" s="504" t="n"/>
      <c r="B756" s="504" t="n"/>
      <c r="C756" s="504" t="n"/>
      <c r="D756" s="504" t="n"/>
      <c r="E756" s="504" t="n"/>
      <c r="F756" s="504" t="n"/>
      <c r="G756" s="504" t="n"/>
    </row>
    <row r="757">
      <c r="A757" s="504" t="n"/>
      <c r="B757" s="504" t="n"/>
      <c r="C757" s="504" t="n"/>
      <c r="D757" s="504" t="n"/>
      <c r="E757" s="504" t="n"/>
      <c r="F757" s="504" t="n"/>
      <c r="G757" s="504" t="n"/>
    </row>
    <row r="758">
      <c r="A758" s="504" t="n"/>
      <c r="B758" s="504" t="n"/>
      <c r="C758" s="504" t="n"/>
      <c r="D758" s="504" t="n"/>
      <c r="E758" s="504" t="n"/>
      <c r="F758" s="504" t="n"/>
      <c r="G758" s="504" t="n"/>
    </row>
    <row r="759">
      <c r="A759" s="504" t="n"/>
      <c r="B759" s="504" t="n"/>
      <c r="C759" s="504" t="n"/>
      <c r="D759" s="504" t="n"/>
      <c r="E759" s="504" t="n"/>
      <c r="F759" s="504" t="n"/>
      <c r="G759" s="504" t="n"/>
    </row>
    <row r="760">
      <c r="A760" s="504" t="n"/>
      <c r="B760" s="504" t="n"/>
      <c r="C760" s="504" t="n"/>
      <c r="D760" s="504" t="n"/>
      <c r="E760" s="504" t="n"/>
      <c r="F760" s="504" t="n"/>
      <c r="G760" s="504" t="n"/>
    </row>
    <row r="761">
      <c r="A761" s="504" t="n"/>
      <c r="B761" s="504" t="n"/>
      <c r="C761" s="504" t="n"/>
      <c r="D761" s="504" t="n"/>
      <c r="E761" s="504" t="n"/>
      <c r="F761" s="504" t="n"/>
      <c r="G761" s="504" t="n"/>
    </row>
    <row r="762">
      <c r="A762" s="504" t="n"/>
      <c r="B762" s="504" t="n"/>
      <c r="C762" s="504" t="n"/>
      <c r="D762" s="504" t="n"/>
      <c r="E762" s="504" t="n"/>
      <c r="F762" s="504" t="n"/>
      <c r="G762" s="504" t="n"/>
    </row>
    <row r="763">
      <c r="A763" s="504" t="n"/>
      <c r="B763" s="504" t="n"/>
      <c r="C763" s="504" t="n"/>
      <c r="D763" s="504" t="n"/>
      <c r="E763" s="504" t="n"/>
      <c r="F763" s="504" t="n"/>
      <c r="G763" s="504" t="n"/>
    </row>
    <row r="764">
      <c r="A764" s="504" t="n"/>
      <c r="B764" s="504" t="n"/>
      <c r="C764" s="504" t="n"/>
      <c r="D764" s="504" t="n"/>
      <c r="E764" s="504" t="n"/>
      <c r="F764" s="504" t="n"/>
      <c r="G764" s="504" t="n"/>
    </row>
    <row r="765">
      <c r="A765" s="504" t="n"/>
      <c r="B765" s="504" t="n"/>
      <c r="C765" s="504" t="n"/>
      <c r="D765" s="504" t="n"/>
      <c r="E765" s="504" t="n"/>
      <c r="F765" s="504" t="n"/>
      <c r="G765" s="504" t="n"/>
    </row>
    <row r="766">
      <c r="A766" s="504" t="n"/>
      <c r="B766" s="504" t="n"/>
      <c r="C766" s="504" t="n"/>
      <c r="D766" s="504" t="n"/>
      <c r="E766" s="504" t="n"/>
      <c r="F766" s="504" t="n"/>
      <c r="G766" s="504" t="n"/>
    </row>
    <row r="767">
      <c r="A767" s="504" t="n"/>
      <c r="B767" s="504" t="n"/>
      <c r="C767" s="504" t="n"/>
      <c r="D767" s="504" t="n"/>
      <c r="E767" s="504" t="n"/>
      <c r="F767" s="504" t="n"/>
      <c r="G767" s="504" t="n"/>
    </row>
    <row r="768">
      <c r="A768" s="504" t="n"/>
      <c r="B768" s="504" t="n"/>
      <c r="C768" s="504" t="n"/>
      <c r="D768" s="504" t="n"/>
      <c r="E768" s="504" t="n"/>
      <c r="F768" s="504" t="n"/>
      <c r="G768" s="504" t="n"/>
    </row>
    <row r="769">
      <c r="A769" s="504" t="n"/>
      <c r="B769" s="504" t="n"/>
      <c r="C769" s="504" t="n"/>
      <c r="D769" s="504" t="n"/>
      <c r="E769" s="504" t="n"/>
      <c r="F769" s="504" t="n"/>
      <c r="G769" s="504" t="n"/>
    </row>
    <row r="770">
      <c r="A770" s="504" t="n"/>
      <c r="B770" s="504" t="n"/>
      <c r="C770" s="504" t="n"/>
      <c r="D770" s="504" t="n"/>
      <c r="E770" s="504" t="n"/>
      <c r="F770" s="504" t="n"/>
      <c r="G770" s="504" t="n"/>
    </row>
    <row r="771">
      <c r="A771" s="504" t="n"/>
      <c r="B771" s="504" t="n"/>
      <c r="C771" s="504" t="n"/>
      <c r="D771" s="504" t="n"/>
      <c r="E771" s="504" t="n"/>
      <c r="F771" s="504" t="n"/>
      <c r="G771" s="504" t="n"/>
    </row>
    <row r="772">
      <c r="A772" s="504" t="n"/>
      <c r="B772" s="504" t="n"/>
      <c r="C772" s="504" t="n"/>
      <c r="D772" s="504" t="n"/>
      <c r="E772" s="504" t="n"/>
      <c r="F772" s="504" t="n"/>
      <c r="G772" s="504" t="n"/>
    </row>
    <row r="773">
      <c r="A773" s="504" t="n"/>
      <c r="B773" s="504" t="n"/>
      <c r="C773" s="504" t="n"/>
      <c r="D773" s="504" t="n"/>
      <c r="E773" s="504" t="n"/>
      <c r="F773" s="504" t="n"/>
      <c r="G773" s="504" t="n"/>
    </row>
    <row r="774">
      <c r="A774" s="504" t="n"/>
      <c r="B774" s="504" t="n"/>
      <c r="C774" s="504" t="n"/>
      <c r="D774" s="504" t="n"/>
      <c r="E774" s="504" t="n"/>
      <c r="F774" s="504" t="n"/>
      <c r="G774" s="504" t="n"/>
    </row>
    <row r="775">
      <c r="A775" s="504" t="n"/>
      <c r="B775" s="504" t="n"/>
      <c r="C775" s="504" t="n"/>
      <c r="D775" s="504" t="n"/>
      <c r="E775" s="504" t="n"/>
      <c r="F775" s="504" t="n"/>
      <c r="G775" s="504" t="n"/>
    </row>
    <row r="776">
      <c r="A776" s="504" t="n"/>
      <c r="B776" s="504" t="n"/>
      <c r="C776" s="504" t="n"/>
      <c r="D776" s="504" t="n"/>
      <c r="E776" s="504" t="n"/>
      <c r="F776" s="504" t="n"/>
      <c r="G776" s="504" t="n"/>
    </row>
    <row r="777">
      <c r="A777" s="504" t="n"/>
      <c r="B777" s="504" t="n"/>
      <c r="C777" s="504" t="n"/>
      <c r="D777" s="504" t="n"/>
      <c r="E777" s="504" t="n"/>
      <c r="F777" s="504" t="n"/>
      <c r="G777" s="504" t="n"/>
    </row>
    <row r="778">
      <c r="A778" s="504" t="n"/>
      <c r="B778" s="504" t="n"/>
      <c r="C778" s="504" t="n"/>
      <c r="D778" s="504" t="n"/>
      <c r="E778" s="504" t="n"/>
      <c r="F778" s="504" t="n"/>
      <c r="G778" s="504" t="n"/>
    </row>
    <row r="779">
      <c r="A779" s="504" t="n"/>
      <c r="B779" s="504" t="n"/>
      <c r="C779" s="504" t="n"/>
      <c r="D779" s="504" t="n"/>
      <c r="E779" s="504" t="n"/>
      <c r="F779" s="504" t="n"/>
      <c r="G779" s="504" t="n"/>
    </row>
    <row r="780">
      <c r="A780" s="504" t="n"/>
      <c r="B780" s="504" t="n"/>
      <c r="C780" s="504" t="n"/>
      <c r="D780" s="504" t="n"/>
      <c r="E780" s="504" t="n"/>
      <c r="F780" s="504" t="n"/>
      <c r="G780" s="504" t="n"/>
    </row>
    <row r="781">
      <c r="A781" s="504" t="n"/>
      <c r="B781" s="504" t="n"/>
      <c r="C781" s="504" t="n"/>
      <c r="D781" s="504" t="n"/>
      <c r="E781" s="504" t="n"/>
      <c r="F781" s="504" t="n"/>
      <c r="G781" s="504" t="n"/>
    </row>
    <row r="782">
      <c r="A782" s="504" t="n"/>
      <c r="B782" s="504" t="n"/>
      <c r="C782" s="504" t="n"/>
      <c r="D782" s="504" t="n"/>
      <c r="E782" s="504" t="n"/>
      <c r="F782" s="504" t="n"/>
      <c r="G782" s="504" t="n"/>
    </row>
    <row r="783">
      <c r="A783" s="504" t="n"/>
      <c r="B783" s="504" t="n"/>
      <c r="C783" s="504" t="n"/>
      <c r="D783" s="504" t="n"/>
      <c r="E783" s="504" t="n"/>
      <c r="F783" s="504" t="n"/>
      <c r="G783" s="504" t="n"/>
    </row>
    <row r="784">
      <c r="A784" s="504" t="n"/>
      <c r="B784" s="504" t="n"/>
      <c r="C784" s="504" t="n"/>
      <c r="D784" s="504" t="n"/>
      <c r="E784" s="504" t="n"/>
      <c r="F784" s="504" t="n"/>
      <c r="G784" s="504" t="n"/>
    </row>
    <row r="785">
      <c r="A785" s="504" t="n"/>
      <c r="B785" s="504" t="n"/>
      <c r="C785" s="504" t="n"/>
      <c r="D785" s="504" t="n"/>
      <c r="E785" s="504" t="n"/>
      <c r="F785" s="504" t="n"/>
      <c r="G785" s="504" t="n"/>
    </row>
    <row r="786">
      <c r="A786" s="504" t="n"/>
      <c r="B786" s="504" t="n"/>
      <c r="C786" s="504" t="n"/>
      <c r="D786" s="504" t="n"/>
      <c r="E786" s="504" t="n"/>
      <c r="F786" s="504" t="n"/>
      <c r="G786" s="504" t="n"/>
    </row>
    <row r="787">
      <c r="A787" s="504" t="n"/>
      <c r="B787" s="504" t="n"/>
      <c r="C787" s="504" t="n"/>
      <c r="D787" s="504" t="n"/>
      <c r="E787" s="504" t="n"/>
      <c r="F787" s="504" t="n"/>
      <c r="G787" s="504" t="n"/>
    </row>
    <row r="788">
      <c r="A788" s="504" t="n"/>
      <c r="B788" s="504" t="n"/>
      <c r="C788" s="504" t="n"/>
      <c r="D788" s="504" t="n"/>
      <c r="E788" s="504" t="n"/>
      <c r="F788" s="504" t="n"/>
      <c r="G788" s="504" t="n"/>
    </row>
    <row r="789">
      <c r="A789" s="504" t="n"/>
      <c r="B789" s="504" t="n"/>
      <c r="C789" s="504" t="n"/>
      <c r="D789" s="504" t="n"/>
      <c r="E789" s="504" t="n"/>
      <c r="F789" s="504" t="n"/>
      <c r="G789" s="504" t="n"/>
    </row>
    <row r="790">
      <c r="A790" s="504" t="n"/>
      <c r="B790" s="504" t="n"/>
      <c r="C790" s="504" t="n"/>
      <c r="D790" s="504" t="n"/>
      <c r="E790" s="504" t="n"/>
      <c r="F790" s="504" t="n"/>
      <c r="G790" s="504" t="n"/>
    </row>
    <row r="791">
      <c r="A791" s="504" t="n"/>
      <c r="B791" s="504" t="n"/>
      <c r="C791" s="504" t="n"/>
      <c r="D791" s="504" t="n"/>
      <c r="E791" s="504" t="n"/>
      <c r="F791" s="504" t="n"/>
      <c r="G791" s="504" t="n"/>
    </row>
    <row r="792">
      <c r="A792" s="504" t="n"/>
      <c r="B792" s="504" t="n"/>
      <c r="C792" s="504" t="n"/>
      <c r="D792" s="504" t="n"/>
      <c r="E792" s="504" t="n"/>
      <c r="F792" s="504" t="n"/>
      <c r="G792" s="504" t="n"/>
    </row>
    <row r="793">
      <c r="A793" s="504" t="n"/>
      <c r="B793" s="504" t="n"/>
      <c r="C793" s="504" t="n"/>
      <c r="D793" s="504" t="n"/>
      <c r="E793" s="504" t="n"/>
      <c r="F793" s="504" t="n"/>
      <c r="G793" s="504" t="n"/>
    </row>
    <row r="794">
      <c r="A794" s="504" t="n"/>
      <c r="B794" s="504" t="n"/>
      <c r="C794" s="504" t="n"/>
      <c r="D794" s="504" t="n"/>
      <c r="E794" s="504" t="n"/>
      <c r="F794" s="504" t="n"/>
      <c r="G794" s="504" t="n"/>
    </row>
    <row r="795">
      <c r="A795" s="504" t="n"/>
      <c r="B795" s="504" t="n"/>
      <c r="C795" s="504" t="n"/>
      <c r="D795" s="504" t="n"/>
      <c r="E795" s="504" t="n"/>
      <c r="F795" s="504" t="n"/>
      <c r="G795" s="504" t="n"/>
    </row>
    <row r="796">
      <c r="A796" s="504" t="n"/>
      <c r="B796" s="504" t="n"/>
      <c r="C796" s="504" t="n"/>
      <c r="D796" s="504" t="n"/>
      <c r="E796" s="504" t="n"/>
      <c r="F796" s="504" t="n"/>
      <c r="G796" s="504" t="n"/>
    </row>
    <row r="797">
      <c r="A797" s="504" t="n"/>
      <c r="B797" s="504" t="n"/>
      <c r="C797" s="504" t="n"/>
      <c r="D797" s="504" t="n"/>
      <c r="E797" s="504" t="n"/>
      <c r="F797" s="504" t="n"/>
      <c r="G797" s="504" t="n"/>
    </row>
    <row r="798">
      <c r="A798" s="504" t="n"/>
      <c r="B798" s="504" t="n"/>
      <c r="C798" s="504" t="n"/>
      <c r="D798" s="504" t="n"/>
      <c r="E798" s="504" t="n"/>
      <c r="F798" s="504" t="n"/>
      <c r="G798" s="504" t="n"/>
    </row>
    <row r="799">
      <c r="A799" s="504" t="n"/>
      <c r="B799" s="504" t="n"/>
      <c r="C799" s="504" t="n"/>
      <c r="D799" s="504" t="n"/>
      <c r="E799" s="504" t="n"/>
      <c r="F799" s="504" t="n"/>
      <c r="G799" s="504" t="n"/>
    </row>
    <row r="800">
      <c r="A800" s="504" t="n"/>
      <c r="B800" s="504" t="n"/>
      <c r="C800" s="504" t="n"/>
      <c r="D800" s="504" t="n"/>
      <c r="E800" s="504" t="n"/>
      <c r="F800" s="504" t="n"/>
      <c r="G800" s="504" t="n"/>
    </row>
    <row r="801">
      <c r="A801" s="504" t="n"/>
      <c r="B801" s="504" t="n"/>
      <c r="C801" s="504" t="n"/>
      <c r="D801" s="504" t="n"/>
      <c r="E801" s="504" t="n"/>
      <c r="F801" s="504" t="n"/>
      <c r="G801" s="504" t="n"/>
    </row>
    <row r="802">
      <c r="A802" s="504" t="n"/>
      <c r="B802" s="504" t="n"/>
      <c r="C802" s="504" t="n"/>
      <c r="D802" s="504" t="n"/>
      <c r="E802" s="504" t="n"/>
      <c r="F802" s="504" t="n"/>
      <c r="G802" s="504" t="n"/>
    </row>
    <row r="803">
      <c r="A803" s="504" t="n"/>
      <c r="B803" s="504" t="n"/>
      <c r="C803" s="504" t="n"/>
      <c r="D803" s="504" t="n"/>
      <c r="E803" s="504" t="n"/>
      <c r="F803" s="504" t="n"/>
      <c r="G803" s="504" t="n"/>
    </row>
    <row r="804">
      <c r="A804" s="504" t="n"/>
      <c r="B804" s="504" t="n"/>
      <c r="C804" s="504" t="n"/>
      <c r="D804" s="504" t="n"/>
      <c r="E804" s="504" t="n"/>
      <c r="F804" s="504" t="n"/>
      <c r="G804" s="504" t="n"/>
    </row>
    <row r="805">
      <c r="A805" s="504" t="n"/>
      <c r="B805" s="504" t="n"/>
      <c r="C805" s="504" t="n"/>
      <c r="D805" s="504" t="n"/>
      <c r="E805" s="504" t="n"/>
      <c r="F805" s="504" t="n"/>
      <c r="G805" s="504" t="n"/>
    </row>
    <row r="806">
      <c r="A806" s="504" t="n"/>
      <c r="B806" s="504" t="n"/>
      <c r="C806" s="504" t="n"/>
      <c r="D806" s="504" t="n"/>
      <c r="E806" s="504" t="n"/>
      <c r="F806" s="504" t="n"/>
      <c r="G806" s="504" t="n"/>
    </row>
    <row r="807">
      <c r="A807" s="504" t="n"/>
      <c r="B807" s="504" t="n"/>
      <c r="C807" s="504" t="n"/>
      <c r="D807" s="504" t="n"/>
      <c r="E807" s="504" t="n"/>
      <c r="F807" s="504" t="n"/>
      <c r="G807" s="504" t="n"/>
    </row>
    <row r="808">
      <c r="A808" s="504" t="n"/>
      <c r="B808" s="504" t="n"/>
      <c r="C808" s="504" t="n"/>
      <c r="D808" s="504" t="n"/>
      <c r="E808" s="504" t="n"/>
      <c r="F808" s="504" t="n"/>
      <c r="G808" s="504" t="n"/>
    </row>
    <row r="809">
      <c r="A809" s="504" t="n"/>
      <c r="B809" s="504" t="n"/>
      <c r="C809" s="504" t="n"/>
      <c r="D809" s="504" t="n"/>
      <c r="E809" s="504" t="n"/>
      <c r="F809" s="504" t="n"/>
      <c r="G809" s="504" t="n"/>
    </row>
    <row r="810">
      <c r="A810" s="504" t="n"/>
      <c r="B810" s="504" t="n"/>
      <c r="C810" s="504" t="n"/>
      <c r="D810" s="504" t="n"/>
      <c r="E810" s="504" t="n"/>
      <c r="F810" s="504" t="n"/>
      <c r="G810" s="504" t="n"/>
    </row>
    <row r="811">
      <c r="A811" s="504" t="n"/>
      <c r="B811" s="504" t="n"/>
      <c r="C811" s="504" t="n"/>
      <c r="D811" s="504" t="n"/>
      <c r="E811" s="504" t="n"/>
      <c r="F811" s="504" t="n"/>
      <c r="G811" s="504" t="n"/>
    </row>
    <row r="812">
      <c r="A812" s="504" t="n"/>
      <c r="B812" s="504" t="n"/>
      <c r="C812" s="504" t="n"/>
      <c r="D812" s="504" t="n"/>
      <c r="E812" s="504" t="n"/>
      <c r="F812" s="504" t="n"/>
      <c r="G812" s="504" t="n"/>
    </row>
    <row r="813">
      <c r="A813" s="504" t="n"/>
      <c r="B813" s="504" t="n"/>
      <c r="C813" s="504" t="n"/>
      <c r="D813" s="504" t="n"/>
      <c r="E813" s="504" t="n"/>
      <c r="F813" s="504" t="n"/>
      <c r="G813" s="504" t="n"/>
    </row>
    <row r="814">
      <c r="A814" s="504" t="n"/>
      <c r="B814" s="504" t="n"/>
      <c r="C814" s="504" t="n"/>
      <c r="D814" s="504" t="n"/>
      <c r="E814" s="504" t="n"/>
      <c r="F814" s="504" t="n"/>
      <c r="G814" s="504" t="n"/>
    </row>
    <row r="815">
      <c r="A815" s="504" t="n"/>
      <c r="B815" s="504" t="n"/>
      <c r="C815" s="504" t="n"/>
      <c r="D815" s="504" t="n"/>
      <c r="E815" s="504" t="n"/>
      <c r="F815" s="504" t="n"/>
      <c r="G815" s="504" t="n"/>
    </row>
    <row r="816">
      <c r="A816" s="504" t="n"/>
      <c r="B816" s="504" t="n"/>
      <c r="C816" s="504" t="n"/>
      <c r="D816" s="504" t="n"/>
      <c r="E816" s="504" t="n"/>
      <c r="F816" s="504" t="n"/>
      <c r="G816" s="504" t="n"/>
    </row>
    <row r="817">
      <c r="A817" s="504" t="n"/>
      <c r="B817" s="504" t="n"/>
      <c r="C817" s="504" t="n"/>
      <c r="D817" s="504" t="n"/>
      <c r="E817" s="504" t="n"/>
      <c r="F817" s="504" t="n"/>
      <c r="G817" s="504" t="n"/>
    </row>
    <row r="818">
      <c r="A818" s="504" t="n"/>
      <c r="B818" s="504" t="n"/>
      <c r="C818" s="504" t="n"/>
      <c r="D818" s="504" t="n"/>
      <c r="E818" s="504" t="n"/>
      <c r="F818" s="504" t="n"/>
      <c r="G818" s="504" t="n"/>
    </row>
    <row r="819">
      <c r="A819" s="504" t="n"/>
      <c r="B819" s="504" t="n"/>
      <c r="C819" s="504" t="n"/>
      <c r="D819" s="504" t="n"/>
      <c r="E819" s="504" t="n"/>
      <c r="F819" s="504" t="n"/>
      <c r="G819" s="504" t="n"/>
    </row>
    <row r="820">
      <c r="A820" s="504" t="n"/>
      <c r="B820" s="504" t="n"/>
      <c r="C820" s="504" t="n"/>
      <c r="D820" s="504" t="n"/>
      <c r="E820" s="504" t="n"/>
      <c r="F820" s="504" t="n"/>
      <c r="G820" s="504" t="n"/>
    </row>
    <row r="821">
      <c r="A821" s="504" t="n"/>
      <c r="B821" s="504" t="n"/>
      <c r="C821" s="504" t="n"/>
      <c r="D821" s="504" t="n"/>
      <c r="E821" s="504" t="n"/>
      <c r="F821" s="504" t="n"/>
      <c r="G821" s="504" t="n"/>
    </row>
    <row r="822">
      <c r="A822" s="504" t="n"/>
      <c r="B822" s="504" t="n"/>
      <c r="C822" s="504" t="n"/>
      <c r="D822" s="504" t="n"/>
      <c r="E822" s="504" t="n"/>
      <c r="F822" s="504" t="n"/>
      <c r="G822" s="504" t="n"/>
    </row>
    <row r="823">
      <c r="A823" s="504" t="n"/>
      <c r="B823" s="504" t="n"/>
      <c r="C823" s="504" t="n"/>
      <c r="D823" s="504" t="n"/>
      <c r="E823" s="504" t="n"/>
      <c r="F823" s="504" t="n"/>
      <c r="G823" s="504" t="n"/>
    </row>
    <row r="824">
      <c r="A824" s="504" t="n"/>
      <c r="B824" s="504" t="n"/>
      <c r="C824" s="504" t="n"/>
      <c r="D824" s="504" t="n"/>
      <c r="E824" s="504" t="n"/>
      <c r="F824" s="504" t="n"/>
      <c r="G824" s="504" t="n"/>
    </row>
    <row r="825">
      <c r="A825" s="504" t="n"/>
      <c r="B825" s="504" t="n"/>
      <c r="C825" s="504" t="n"/>
      <c r="D825" s="504" t="n"/>
      <c r="E825" s="504" t="n"/>
      <c r="F825" s="504" t="n"/>
      <c r="G825" s="504" t="n"/>
    </row>
    <row r="826">
      <c r="A826" s="504" t="n"/>
      <c r="B826" s="504" t="n"/>
      <c r="C826" s="504" t="n"/>
      <c r="D826" s="504" t="n"/>
      <c r="E826" s="504" t="n"/>
      <c r="F826" s="504" t="n"/>
      <c r="G826" s="504" t="n"/>
    </row>
    <row r="827">
      <c r="A827" s="504" t="n"/>
      <c r="B827" s="504" t="n"/>
      <c r="C827" s="504" t="n"/>
      <c r="D827" s="504" t="n"/>
      <c r="E827" s="504" t="n"/>
      <c r="F827" s="504" t="n"/>
      <c r="G827" s="504" t="n"/>
    </row>
    <row r="828">
      <c r="A828" s="504" t="n"/>
      <c r="B828" s="504" t="n"/>
      <c r="C828" s="504" t="n"/>
      <c r="D828" s="504" t="n"/>
      <c r="E828" s="504" t="n"/>
      <c r="F828" s="504" t="n"/>
      <c r="G828" s="504" t="n"/>
    </row>
    <row r="829">
      <c r="A829" s="504" t="n"/>
      <c r="B829" s="504" t="n"/>
      <c r="C829" s="504" t="n"/>
      <c r="D829" s="504" t="n"/>
      <c r="E829" s="504" t="n"/>
      <c r="F829" s="504" t="n"/>
      <c r="G829" s="504" t="n"/>
    </row>
    <row r="830">
      <c r="A830" s="504" t="n"/>
      <c r="B830" s="504" t="n"/>
      <c r="C830" s="504" t="n"/>
      <c r="D830" s="504" t="n"/>
      <c r="E830" s="504" t="n"/>
      <c r="F830" s="504" t="n"/>
      <c r="G830" s="504" t="n"/>
    </row>
    <row r="831">
      <c r="A831" s="504" t="n"/>
      <c r="B831" s="504" t="n"/>
      <c r="C831" s="504" t="n"/>
      <c r="D831" s="504" t="n"/>
      <c r="E831" s="504" t="n"/>
      <c r="F831" s="504" t="n"/>
      <c r="G831" s="504" t="n"/>
    </row>
    <row r="832">
      <c r="A832" s="504" t="n"/>
      <c r="B832" s="504" t="n"/>
      <c r="C832" s="504" t="n"/>
      <c r="D832" s="504" t="n"/>
      <c r="E832" s="504" t="n"/>
      <c r="F832" s="504" t="n"/>
      <c r="G832" s="504" t="n"/>
    </row>
    <row r="833">
      <c r="A833" s="504" t="n"/>
      <c r="B833" s="504" t="n"/>
      <c r="C833" s="504" t="n"/>
      <c r="D833" s="504" t="n"/>
      <c r="E833" s="504" t="n"/>
      <c r="F833" s="504" t="n"/>
      <c r="G833" s="504" t="n"/>
    </row>
    <row r="834">
      <c r="A834" s="504" t="n"/>
      <c r="B834" s="504" t="n"/>
      <c r="C834" s="504" t="n"/>
      <c r="D834" s="504" t="n"/>
      <c r="E834" s="504" t="n"/>
      <c r="F834" s="504" t="n"/>
      <c r="G834" s="504" t="n"/>
    </row>
    <row r="835">
      <c r="A835" s="504" t="n"/>
      <c r="B835" s="504" t="n"/>
      <c r="C835" s="504" t="n"/>
      <c r="D835" s="504" t="n"/>
      <c r="E835" s="504" t="n"/>
      <c r="F835" s="504" t="n"/>
      <c r="G835" s="504" t="n"/>
    </row>
    <row r="836">
      <c r="A836" s="504" t="n"/>
      <c r="B836" s="504" t="n"/>
      <c r="C836" s="504" t="n"/>
      <c r="D836" s="504" t="n"/>
      <c r="E836" s="504" t="n"/>
      <c r="F836" s="504" t="n"/>
      <c r="G836" s="504" t="n"/>
    </row>
    <row r="837">
      <c r="A837" s="504" t="n"/>
      <c r="B837" s="504" t="n"/>
      <c r="C837" s="504" t="n"/>
      <c r="D837" s="504" t="n"/>
      <c r="E837" s="504" t="n"/>
      <c r="F837" s="504" t="n"/>
      <c r="G837" s="504" t="n"/>
    </row>
    <row r="838">
      <c r="A838" s="504" t="n"/>
      <c r="B838" s="504" t="n"/>
      <c r="C838" s="504" t="n"/>
      <c r="D838" s="504" t="n"/>
      <c r="E838" s="504" t="n"/>
      <c r="F838" s="504" t="n"/>
      <c r="G838" s="504" t="n"/>
    </row>
    <row r="839">
      <c r="A839" s="504" t="n"/>
      <c r="B839" s="504" t="n"/>
      <c r="C839" s="504" t="n"/>
      <c r="D839" s="504" t="n"/>
      <c r="E839" s="504" t="n"/>
      <c r="F839" s="504" t="n"/>
      <c r="G839" s="504" t="n"/>
    </row>
    <row r="840">
      <c r="A840" s="504" t="n"/>
      <c r="B840" s="504" t="n"/>
      <c r="C840" s="504" t="n"/>
      <c r="D840" s="504" t="n"/>
      <c r="E840" s="504" t="n"/>
      <c r="F840" s="504" t="n"/>
      <c r="G840" s="504" t="n"/>
    </row>
    <row r="841">
      <c r="A841" s="504" t="n"/>
      <c r="B841" s="504" t="n"/>
      <c r="C841" s="504" t="n"/>
      <c r="D841" s="504" t="n"/>
      <c r="E841" s="504" t="n"/>
      <c r="F841" s="504" t="n"/>
      <c r="G841" s="504" t="n"/>
    </row>
    <row r="842">
      <c r="A842" s="504" t="n"/>
      <c r="B842" s="504" t="n"/>
      <c r="C842" s="504" t="n"/>
      <c r="D842" s="504" t="n"/>
      <c r="E842" s="504" t="n"/>
      <c r="F842" s="504" t="n"/>
      <c r="G842" s="504" t="n"/>
    </row>
    <row r="843">
      <c r="A843" s="504" t="n"/>
      <c r="B843" s="504" t="n"/>
      <c r="C843" s="504" t="n"/>
      <c r="D843" s="504" t="n"/>
      <c r="E843" s="504" t="n"/>
      <c r="F843" s="504" t="n"/>
      <c r="G843" s="504" t="n"/>
    </row>
    <row r="844">
      <c r="A844" s="504" t="n"/>
      <c r="B844" s="504" t="n"/>
      <c r="C844" s="504" t="n"/>
      <c r="D844" s="504" t="n"/>
      <c r="E844" s="504" t="n"/>
      <c r="F844" s="504" t="n"/>
      <c r="G844" s="504" t="n"/>
    </row>
    <row r="845">
      <c r="A845" s="504" t="n"/>
      <c r="B845" s="504" t="n"/>
      <c r="C845" s="504" t="n"/>
      <c r="D845" s="504" t="n"/>
      <c r="E845" s="504" t="n"/>
      <c r="F845" s="504" t="n"/>
      <c r="G845" s="504" t="n"/>
    </row>
    <row r="846">
      <c r="A846" s="504" t="n"/>
      <c r="B846" s="504" t="n"/>
      <c r="C846" s="504" t="n"/>
      <c r="D846" s="504" t="n"/>
      <c r="E846" s="504" t="n"/>
      <c r="F846" s="504" t="n"/>
      <c r="G846" s="504" t="n"/>
    </row>
    <row r="847">
      <c r="A847" s="504" t="n"/>
      <c r="B847" s="504" t="n"/>
      <c r="C847" s="504" t="n"/>
      <c r="D847" s="504" t="n"/>
      <c r="E847" s="504" t="n"/>
      <c r="F847" s="504" t="n"/>
      <c r="G847" s="504" t="n"/>
    </row>
    <row r="848">
      <c r="A848" s="504" t="n"/>
      <c r="B848" s="504" t="n"/>
      <c r="C848" s="504" t="n"/>
      <c r="D848" s="504" t="n"/>
      <c r="E848" s="504" t="n"/>
      <c r="F848" s="504" t="n"/>
      <c r="G848" s="504" t="n"/>
    </row>
    <row r="849">
      <c r="A849" s="504" t="n"/>
      <c r="B849" s="504" t="n"/>
      <c r="C849" s="504" t="n"/>
      <c r="D849" s="504" t="n"/>
      <c r="E849" s="504" t="n"/>
      <c r="F849" s="504" t="n"/>
      <c r="G849" s="504" t="n"/>
    </row>
    <row r="850">
      <c r="A850" s="504" t="n"/>
      <c r="B850" s="504" t="n"/>
      <c r="C850" s="504" t="n"/>
      <c r="D850" s="504" t="n"/>
      <c r="E850" s="504" t="n"/>
      <c r="F850" s="504" t="n"/>
      <c r="G850" s="504" t="n"/>
    </row>
    <row r="851">
      <c r="A851" s="504" t="n"/>
      <c r="B851" s="504" t="n"/>
      <c r="C851" s="504" t="n"/>
      <c r="D851" s="504" t="n"/>
      <c r="E851" s="504" t="n"/>
      <c r="F851" s="504" t="n"/>
      <c r="G851" s="504" t="n"/>
    </row>
    <row r="852">
      <c r="A852" s="504" t="n"/>
      <c r="B852" s="504" t="n"/>
      <c r="C852" s="504" t="n"/>
      <c r="D852" s="504" t="n"/>
      <c r="E852" s="504" t="n"/>
      <c r="F852" s="504" t="n"/>
      <c r="G852" s="504" t="n"/>
    </row>
    <row r="853">
      <c r="A853" s="504" t="n"/>
      <c r="B853" s="504" t="n"/>
      <c r="C853" s="504" t="n"/>
      <c r="D853" s="504" t="n"/>
      <c r="E853" s="504" t="n"/>
      <c r="F853" s="504" t="n"/>
      <c r="G853" s="504" t="n"/>
    </row>
    <row r="854">
      <c r="A854" s="504" t="n"/>
      <c r="B854" s="504" t="n"/>
      <c r="C854" s="504" t="n"/>
      <c r="D854" s="504" t="n"/>
      <c r="E854" s="504" t="n"/>
      <c r="F854" s="504" t="n"/>
      <c r="G854" s="504" t="n"/>
    </row>
    <row r="855">
      <c r="A855" s="504" t="n"/>
      <c r="B855" s="504" t="n"/>
      <c r="C855" s="504" t="n"/>
      <c r="D855" s="504" t="n"/>
      <c r="E855" s="504" t="n"/>
      <c r="F855" s="504" t="n"/>
      <c r="G855" s="504" t="n"/>
    </row>
    <row r="856">
      <c r="A856" s="504" t="n"/>
      <c r="B856" s="504" t="n"/>
      <c r="C856" s="504" t="n"/>
      <c r="D856" s="504" t="n"/>
      <c r="E856" s="504" t="n"/>
      <c r="F856" s="504" t="n"/>
      <c r="G856" s="504" t="n"/>
    </row>
    <row r="857">
      <c r="A857" s="504" t="n"/>
      <c r="B857" s="504" t="n"/>
      <c r="C857" s="504" t="n"/>
      <c r="D857" s="504" t="n"/>
      <c r="E857" s="504" t="n"/>
      <c r="F857" s="504" t="n"/>
      <c r="G857" s="504" t="n"/>
    </row>
    <row r="858">
      <c r="A858" s="504" t="n"/>
      <c r="B858" s="504" t="n"/>
      <c r="C858" s="504" t="n"/>
      <c r="D858" s="504" t="n"/>
      <c r="E858" s="504" t="n"/>
      <c r="F858" s="504" t="n"/>
      <c r="G858" s="504" t="n"/>
    </row>
    <row r="859">
      <c r="A859" s="504" t="n"/>
      <c r="B859" s="504" t="n"/>
      <c r="C859" s="504" t="n"/>
      <c r="D859" s="504" t="n"/>
      <c r="E859" s="504" t="n"/>
      <c r="F859" s="504" t="n"/>
      <c r="G859" s="504" t="n"/>
    </row>
    <row r="860">
      <c r="A860" s="504" t="n"/>
      <c r="B860" s="504" t="n"/>
      <c r="C860" s="504" t="n"/>
      <c r="D860" s="504" t="n"/>
      <c r="E860" s="504" t="n"/>
      <c r="F860" s="504" t="n"/>
      <c r="G860" s="504" t="n"/>
    </row>
    <row r="861">
      <c r="A861" s="504" t="n"/>
      <c r="B861" s="504" t="n"/>
      <c r="C861" s="504" t="n"/>
      <c r="D861" s="504" t="n"/>
      <c r="E861" s="504" t="n"/>
      <c r="F861" s="504" t="n"/>
      <c r="G861" s="504" t="n"/>
    </row>
    <row r="862">
      <c r="A862" s="504" t="n"/>
      <c r="B862" s="504" t="n"/>
      <c r="C862" s="504" t="n"/>
      <c r="D862" s="504" t="n"/>
      <c r="E862" s="504" t="n"/>
      <c r="F862" s="504" t="n"/>
      <c r="G862" s="504" t="n"/>
    </row>
    <row r="863">
      <c r="A863" s="504" t="n"/>
      <c r="B863" s="504" t="n"/>
      <c r="C863" s="504" t="n"/>
      <c r="D863" s="504" t="n"/>
      <c r="E863" s="504" t="n"/>
      <c r="F863" s="504" t="n"/>
      <c r="G863" s="504" t="n"/>
    </row>
    <row r="864">
      <c r="A864" s="504" t="n"/>
      <c r="B864" s="504" t="n"/>
      <c r="C864" s="504" t="n"/>
      <c r="D864" s="504" t="n"/>
      <c r="E864" s="504" t="n"/>
      <c r="F864" s="504" t="n"/>
      <c r="G864" s="504" t="n"/>
    </row>
    <row r="865">
      <c r="A865" s="504" t="n"/>
      <c r="B865" s="504" t="n"/>
      <c r="C865" s="504" t="n"/>
      <c r="D865" s="504" t="n"/>
      <c r="E865" s="504" t="n"/>
      <c r="F865" s="504" t="n"/>
      <c r="G865" s="504" t="n"/>
    </row>
    <row r="866">
      <c r="A866" s="504" t="n"/>
      <c r="B866" s="504" t="n"/>
      <c r="C866" s="504" t="n"/>
      <c r="D866" s="504" t="n"/>
      <c r="E866" s="504" t="n"/>
      <c r="F866" s="504" t="n"/>
      <c r="G866" s="504" t="n"/>
    </row>
    <row r="867">
      <c r="A867" s="504" t="n"/>
      <c r="B867" s="504" t="n"/>
      <c r="C867" s="504" t="n"/>
      <c r="D867" s="504" t="n"/>
      <c r="E867" s="504" t="n"/>
      <c r="F867" s="504" t="n"/>
      <c r="G867" s="504" t="n"/>
    </row>
    <row r="868">
      <c r="A868" s="504" t="n"/>
      <c r="B868" s="504" t="n"/>
      <c r="C868" s="504" t="n"/>
      <c r="D868" s="504" t="n"/>
      <c r="E868" s="504" t="n"/>
      <c r="F868" s="504" t="n"/>
      <c r="G868" s="504" t="n"/>
    </row>
    <row r="869">
      <c r="A869" s="504" t="n"/>
      <c r="B869" s="504" t="n"/>
      <c r="C869" s="504" t="n"/>
      <c r="D869" s="504" t="n"/>
      <c r="E869" s="504" t="n"/>
      <c r="F869" s="504" t="n"/>
      <c r="G869" s="504" t="n"/>
    </row>
    <row r="870">
      <c r="A870" s="504" t="n"/>
      <c r="B870" s="504" t="n"/>
      <c r="C870" s="504" t="n"/>
      <c r="D870" s="504" t="n"/>
      <c r="E870" s="504" t="n"/>
      <c r="F870" s="504" t="n"/>
      <c r="G870" s="504" t="n"/>
    </row>
    <row r="871">
      <c r="A871" s="504" t="n"/>
      <c r="B871" s="504" t="n"/>
      <c r="C871" s="504" t="n"/>
      <c r="D871" s="504" t="n"/>
      <c r="E871" s="504" t="n"/>
      <c r="F871" s="504" t="n"/>
      <c r="G871" s="504" t="n"/>
    </row>
    <row r="872">
      <c r="A872" s="504" t="n"/>
      <c r="B872" s="504" t="n"/>
      <c r="C872" s="504" t="n"/>
      <c r="D872" s="504" t="n"/>
      <c r="E872" s="504" t="n"/>
      <c r="F872" s="504" t="n"/>
      <c r="G872" s="504" t="n"/>
    </row>
    <row r="873">
      <c r="A873" s="504" t="n"/>
      <c r="B873" s="504" t="n"/>
      <c r="C873" s="504" t="n"/>
      <c r="D873" s="504" t="n"/>
      <c r="E873" s="504" t="n"/>
      <c r="F873" s="504" t="n"/>
      <c r="G873" s="504" t="n"/>
    </row>
    <row r="874">
      <c r="A874" s="504" t="n"/>
      <c r="B874" s="504" t="n"/>
      <c r="C874" s="504" t="n"/>
      <c r="D874" s="504" t="n"/>
      <c r="E874" s="504" t="n"/>
      <c r="F874" s="504" t="n"/>
      <c r="G874" s="504" t="n"/>
    </row>
    <row r="875">
      <c r="A875" s="504" t="n"/>
      <c r="B875" s="504" t="n"/>
      <c r="C875" s="504" t="n"/>
      <c r="D875" s="504" t="n"/>
      <c r="E875" s="504" t="n"/>
      <c r="F875" s="504" t="n"/>
      <c r="G875" s="504" t="n"/>
    </row>
    <row r="876">
      <c r="A876" s="504" t="n"/>
      <c r="B876" s="504" t="n"/>
      <c r="C876" s="504" t="n"/>
      <c r="D876" s="504" t="n"/>
      <c r="E876" s="504" t="n"/>
      <c r="F876" s="504" t="n"/>
      <c r="G876" s="504" t="n"/>
    </row>
    <row r="877">
      <c r="A877" s="504" t="n"/>
      <c r="B877" s="504" t="n"/>
      <c r="C877" s="504" t="n"/>
      <c r="D877" s="504" t="n"/>
      <c r="E877" s="504" t="n"/>
      <c r="F877" s="504" t="n"/>
      <c r="G877" s="504" t="n"/>
    </row>
    <row r="878">
      <c r="A878" s="504" t="n"/>
      <c r="B878" s="504" t="n"/>
      <c r="C878" s="504" t="n"/>
      <c r="D878" s="504" t="n"/>
      <c r="E878" s="504" t="n"/>
      <c r="F878" s="504" t="n"/>
      <c r="G878" s="504" t="n"/>
    </row>
    <row r="879">
      <c r="A879" s="504" t="n"/>
      <c r="B879" s="504" t="n"/>
      <c r="C879" s="504" t="n"/>
      <c r="D879" s="504" t="n"/>
      <c r="E879" s="504" t="n"/>
      <c r="F879" s="504" t="n"/>
      <c r="G879" s="504" t="n"/>
    </row>
    <row r="880">
      <c r="A880" s="504" t="n"/>
      <c r="B880" s="504" t="n"/>
      <c r="C880" s="504" t="n"/>
      <c r="D880" s="504" t="n"/>
      <c r="E880" s="504" t="n"/>
      <c r="F880" s="504" t="n"/>
      <c r="G880" s="504" t="n"/>
    </row>
    <row r="881">
      <c r="A881" s="504" t="n"/>
      <c r="B881" s="504" t="n"/>
      <c r="C881" s="504" t="n"/>
      <c r="D881" s="504" t="n"/>
      <c r="E881" s="504" t="n"/>
      <c r="F881" s="504" t="n"/>
      <c r="G881" s="504" t="n"/>
    </row>
    <row r="882">
      <c r="A882" s="504" t="n"/>
      <c r="B882" s="504" t="n"/>
      <c r="C882" s="504" t="n"/>
      <c r="D882" s="504" t="n"/>
      <c r="E882" s="504" t="n"/>
      <c r="F882" s="504" t="n"/>
      <c r="G882" s="504" t="n"/>
    </row>
    <row r="883">
      <c r="A883" s="504" t="n"/>
      <c r="B883" s="504" t="n"/>
      <c r="C883" s="504" t="n"/>
      <c r="D883" s="504" t="n"/>
      <c r="E883" s="504" t="n"/>
      <c r="F883" s="504" t="n"/>
      <c r="G883" s="504" t="n"/>
    </row>
    <row r="884">
      <c r="A884" s="504" t="n"/>
      <c r="B884" s="504" t="n"/>
      <c r="C884" s="504" t="n"/>
      <c r="D884" s="504" t="n"/>
      <c r="E884" s="504" t="n"/>
      <c r="F884" s="504" t="n"/>
      <c r="G884" s="504" t="n"/>
    </row>
    <row r="885">
      <c r="A885" s="504" t="n"/>
      <c r="B885" s="504" t="n"/>
      <c r="C885" s="504" t="n"/>
      <c r="D885" s="504" t="n"/>
      <c r="E885" s="504" t="n"/>
      <c r="F885" s="504" t="n"/>
      <c r="G885" s="504" t="n"/>
    </row>
    <row r="886">
      <c r="A886" s="504" t="n"/>
      <c r="B886" s="504" t="n"/>
      <c r="C886" s="504" t="n"/>
      <c r="D886" s="504" t="n"/>
      <c r="E886" s="504" t="n"/>
      <c r="F886" s="504" t="n"/>
      <c r="G886" s="504" t="n"/>
    </row>
    <row r="887">
      <c r="A887" s="504" t="n"/>
      <c r="B887" s="504" t="n"/>
      <c r="C887" s="504" t="n"/>
      <c r="D887" s="504" t="n"/>
      <c r="E887" s="504" t="n"/>
      <c r="F887" s="504" t="n"/>
      <c r="G887" s="504" t="n"/>
    </row>
    <row r="888">
      <c r="A888" s="504" t="n"/>
      <c r="B888" s="504" t="n"/>
      <c r="C888" s="504" t="n"/>
      <c r="D888" s="504" t="n"/>
      <c r="E888" s="504" t="n"/>
      <c r="F888" s="504" t="n"/>
      <c r="G888" s="504" t="n"/>
    </row>
    <row r="889">
      <c r="A889" s="504" t="n"/>
      <c r="B889" s="504" t="n"/>
      <c r="C889" s="504" t="n"/>
      <c r="D889" s="504" t="n"/>
      <c r="E889" s="504" t="n"/>
      <c r="F889" s="504" t="n"/>
      <c r="G889" s="504" t="n"/>
    </row>
    <row r="890">
      <c r="A890" s="504" t="n"/>
      <c r="B890" s="504" t="n"/>
      <c r="C890" s="504" t="n"/>
      <c r="D890" s="504" t="n"/>
      <c r="E890" s="504" t="n"/>
      <c r="F890" s="504" t="n"/>
      <c r="G890" s="504" t="n"/>
    </row>
    <row r="891">
      <c r="A891" s="504" t="n"/>
      <c r="B891" s="504" t="n"/>
      <c r="C891" s="504" t="n"/>
      <c r="D891" s="504" t="n"/>
      <c r="E891" s="504" t="n"/>
      <c r="F891" s="504" t="n"/>
      <c r="G891" s="504" t="n"/>
    </row>
    <row r="892">
      <c r="A892" s="504" t="n"/>
      <c r="B892" s="504" t="n"/>
      <c r="C892" s="504" t="n"/>
      <c r="D892" s="504" t="n"/>
      <c r="E892" s="504" t="n"/>
      <c r="F892" s="504" t="n"/>
      <c r="G892" s="504" t="n"/>
    </row>
    <row r="893">
      <c r="A893" s="504" t="n"/>
      <c r="B893" s="504" t="n"/>
      <c r="C893" s="504" t="n"/>
      <c r="D893" s="504" t="n"/>
      <c r="E893" s="504" t="n"/>
      <c r="F893" s="504" t="n"/>
      <c r="G893" s="504" t="n"/>
    </row>
    <row r="894">
      <c r="A894" s="504" t="n"/>
      <c r="B894" s="504" t="n"/>
      <c r="C894" s="504" t="n"/>
      <c r="D894" s="504" t="n"/>
      <c r="E894" s="504" t="n"/>
      <c r="F894" s="504" t="n"/>
      <c r="G894" s="504" t="n"/>
    </row>
    <row r="895">
      <c r="A895" s="504" t="n"/>
      <c r="B895" s="504" t="n"/>
      <c r="C895" s="504" t="n"/>
      <c r="D895" s="504" t="n"/>
      <c r="E895" s="504" t="n"/>
      <c r="F895" s="504" t="n"/>
      <c r="G895" s="504" t="n"/>
    </row>
    <row r="896">
      <c r="A896" s="504" t="n"/>
      <c r="B896" s="504" t="n"/>
      <c r="C896" s="504" t="n"/>
      <c r="D896" s="504" t="n"/>
      <c r="E896" s="504" t="n"/>
      <c r="F896" s="504" t="n"/>
      <c r="G896" s="504" t="n"/>
    </row>
    <row r="897">
      <c r="A897" s="504" t="n"/>
      <c r="B897" s="504" t="n"/>
      <c r="C897" s="504" t="n"/>
      <c r="D897" s="504" t="n"/>
      <c r="E897" s="504" t="n"/>
      <c r="F897" s="504" t="n"/>
      <c r="G897" s="504" t="n"/>
    </row>
    <row r="898">
      <c r="A898" s="504" t="n"/>
      <c r="B898" s="504" t="n"/>
      <c r="C898" s="504" t="n"/>
      <c r="D898" s="504" t="n"/>
      <c r="E898" s="504" t="n"/>
      <c r="F898" s="504" t="n"/>
      <c r="G898" s="504" t="n"/>
    </row>
    <row r="899">
      <c r="A899" s="504" t="n"/>
      <c r="B899" s="504" t="n"/>
      <c r="C899" s="504" t="n"/>
      <c r="D899" s="504" t="n"/>
      <c r="E899" s="504" t="n"/>
      <c r="F899" s="504" t="n"/>
      <c r="G899" s="504" t="n"/>
    </row>
    <row r="900">
      <c r="A900" s="504" t="n"/>
      <c r="B900" s="504" t="n"/>
      <c r="C900" s="504" t="n"/>
      <c r="D900" s="504" t="n"/>
      <c r="E900" s="504" t="n"/>
      <c r="F900" s="504" t="n"/>
      <c r="G900" s="504" t="n"/>
    </row>
    <row r="901">
      <c r="A901" s="504" t="n"/>
      <c r="B901" s="504" t="n"/>
      <c r="C901" s="504" t="n"/>
      <c r="D901" s="504" t="n"/>
      <c r="E901" s="504" t="n"/>
      <c r="F901" s="504" t="n"/>
      <c r="G901" s="504" t="n"/>
    </row>
    <row r="902">
      <c r="A902" s="504" t="n"/>
      <c r="B902" s="504" t="n"/>
      <c r="C902" s="504" t="n"/>
      <c r="D902" s="504" t="n"/>
      <c r="E902" s="504" t="n"/>
      <c r="F902" s="504" t="n"/>
      <c r="G902" s="504" t="n"/>
    </row>
    <row r="903">
      <c r="A903" s="504" t="n"/>
      <c r="B903" s="504" t="n"/>
      <c r="C903" s="504" t="n"/>
      <c r="D903" s="504" t="n"/>
      <c r="E903" s="504" t="n"/>
      <c r="F903" s="504" t="n"/>
      <c r="G903" s="504" t="n"/>
    </row>
    <row r="904">
      <c r="A904" s="504" t="n"/>
      <c r="B904" s="504" t="n"/>
      <c r="C904" s="504" t="n"/>
      <c r="D904" s="504" t="n"/>
      <c r="E904" s="504" t="n"/>
      <c r="F904" s="504" t="n"/>
      <c r="G904" s="504" t="n"/>
    </row>
    <row r="905">
      <c r="A905" s="504" t="n"/>
      <c r="B905" s="504" t="n"/>
      <c r="C905" s="504" t="n"/>
      <c r="D905" s="504" t="n"/>
      <c r="E905" s="504" t="n"/>
      <c r="F905" s="504" t="n"/>
      <c r="G905" s="504" t="n"/>
    </row>
    <row r="906">
      <c r="A906" s="504" t="n"/>
      <c r="B906" s="504" t="n"/>
      <c r="C906" s="504" t="n"/>
      <c r="D906" s="504" t="n"/>
      <c r="E906" s="504" t="n"/>
      <c r="F906" s="504" t="n"/>
      <c r="G906" s="504" t="n"/>
    </row>
    <row r="907">
      <c r="A907" s="504" t="n"/>
      <c r="B907" s="504" t="n"/>
      <c r="C907" s="504" t="n"/>
      <c r="D907" s="504" t="n"/>
      <c r="E907" s="504" t="n"/>
      <c r="F907" s="504" t="n"/>
      <c r="G907" s="504" t="n"/>
    </row>
    <row r="908">
      <c r="A908" s="504" t="n"/>
      <c r="B908" s="504" t="n"/>
      <c r="C908" s="504" t="n"/>
      <c r="D908" s="504" t="n"/>
      <c r="E908" s="504" t="n"/>
      <c r="F908" s="504" t="n"/>
      <c r="G908" s="504" t="n"/>
    </row>
    <row r="909">
      <c r="A909" s="504" t="n"/>
      <c r="B909" s="504" t="n"/>
      <c r="C909" s="504" t="n"/>
      <c r="D909" s="504" t="n"/>
      <c r="E909" s="504" t="n"/>
      <c r="F909" s="504" t="n"/>
      <c r="G909" s="504" t="n"/>
    </row>
    <row r="910">
      <c r="A910" s="504" t="n"/>
      <c r="B910" s="504" t="n"/>
      <c r="C910" s="504" t="n"/>
      <c r="D910" s="504" t="n"/>
      <c r="E910" s="504" t="n"/>
      <c r="F910" s="504" t="n"/>
      <c r="G910" s="504" t="n"/>
    </row>
    <row r="911">
      <c r="A911" s="504" t="n"/>
      <c r="B911" s="504" t="n"/>
      <c r="C911" s="504" t="n"/>
      <c r="D911" s="504" t="n"/>
      <c r="E911" s="504" t="n"/>
      <c r="F911" s="504" t="n"/>
      <c r="G911" s="504" t="n"/>
    </row>
    <row r="912">
      <c r="A912" s="504" t="n"/>
      <c r="B912" s="504" t="n"/>
      <c r="C912" s="504" t="n"/>
      <c r="D912" s="504" t="n"/>
      <c r="E912" s="504" t="n"/>
      <c r="F912" s="504" t="n"/>
      <c r="G912" s="504" t="n"/>
    </row>
    <row r="913">
      <c r="A913" s="504" t="n"/>
      <c r="B913" s="504" t="n"/>
      <c r="C913" s="504" t="n"/>
      <c r="D913" s="504" t="n"/>
      <c r="E913" s="504" t="n"/>
      <c r="F913" s="504" t="n"/>
      <c r="G913" s="504" t="n"/>
    </row>
    <row r="914">
      <c r="A914" s="504" t="n"/>
      <c r="B914" s="504" t="n"/>
      <c r="C914" s="504" t="n"/>
      <c r="D914" s="504" t="n"/>
      <c r="E914" s="504" t="n"/>
      <c r="F914" s="504" t="n"/>
      <c r="G914" s="504" t="n"/>
    </row>
    <row r="915">
      <c r="A915" s="504" t="n"/>
      <c r="B915" s="504" t="n"/>
      <c r="C915" s="504" t="n"/>
      <c r="D915" s="504" t="n"/>
      <c r="E915" s="504" t="n"/>
      <c r="F915" s="504" t="n"/>
      <c r="G915" s="504" t="n"/>
    </row>
    <row r="916">
      <c r="A916" s="504" t="n"/>
      <c r="B916" s="504" t="n"/>
      <c r="C916" s="504" t="n"/>
      <c r="D916" s="504" t="n"/>
      <c r="E916" s="504" t="n"/>
      <c r="F916" s="504" t="n"/>
      <c r="G916" s="504" t="n"/>
    </row>
    <row r="917">
      <c r="A917" s="504" t="n"/>
      <c r="B917" s="504" t="n"/>
      <c r="C917" s="504" t="n"/>
      <c r="D917" s="504" t="n"/>
      <c r="E917" s="504" t="n"/>
      <c r="F917" s="504" t="n"/>
      <c r="G917" s="504" t="n"/>
    </row>
    <row r="918">
      <c r="A918" s="504" t="n"/>
      <c r="B918" s="504" t="n"/>
      <c r="C918" s="504" t="n"/>
      <c r="D918" s="504" t="n"/>
      <c r="E918" s="504" t="n"/>
      <c r="F918" s="504" t="n"/>
      <c r="G918" s="504" t="n"/>
    </row>
    <row r="919">
      <c r="A919" s="504" t="n"/>
      <c r="B919" s="504" t="n"/>
      <c r="C919" s="504" t="n"/>
      <c r="D919" s="504" t="n"/>
      <c r="E919" s="504" t="n"/>
      <c r="F919" s="504" t="n"/>
      <c r="G919" s="504" t="n"/>
    </row>
    <row r="920">
      <c r="A920" s="504" t="n"/>
      <c r="B920" s="504" t="n"/>
      <c r="C920" s="504" t="n"/>
      <c r="D920" s="504" t="n"/>
      <c r="E920" s="504" t="n"/>
      <c r="F920" s="504" t="n"/>
      <c r="G920" s="504" t="n"/>
    </row>
    <row r="921">
      <c r="A921" s="504" t="n"/>
      <c r="B921" s="504" t="n"/>
      <c r="C921" s="504" t="n"/>
      <c r="D921" s="504" t="n"/>
      <c r="E921" s="504" t="n"/>
      <c r="F921" s="504" t="n"/>
      <c r="G921" s="504" t="n"/>
    </row>
    <row r="922">
      <c r="A922" s="504" t="n"/>
      <c r="B922" s="504" t="n"/>
      <c r="C922" s="504" t="n"/>
      <c r="D922" s="504" t="n"/>
      <c r="E922" s="504" t="n"/>
      <c r="F922" s="504" t="n"/>
      <c r="G922" s="504" t="n"/>
    </row>
    <row r="923">
      <c r="A923" s="504" t="n"/>
      <c r="B923" s="504" t="n"/>
      <c r="C923" s="504" t="n"/>
      <c r="D923" s="504" t="n"/>
      <c r="E923" s="504" t="n"/>
      <c r="F923" s="504" t="n"/>
      <c r="G923" s="504" t="n"/>
    </row>
    <row r="924">
      <c r="A924" s="504" t="n"/>
      <c r="B924" s="504" t="n"/>
      <c r="C924" s="504" t="n"/>
      <c r="D924" s="504" t="n"/>
      <c r="E924" s="504" t="n"/>
      <c r="F924" s="504" t="n"/>
      <c r="G924" s="504" t="n"/>
    </row>
    <row r="925">
      <c r="A925" s="504" t="n"/>
      <c r="B925" s="504" t="n"/>
      <c r="C925" s="504" t="n"/>
      <c r="D925" s="504" t="n"/>
      <c r="E925" s="504" t="n"/>
      <c r="F925" s="504" t="n"/>
      <c r="G925" s="504" t="n"/>
    </row>
    <row r="926">
      <c r="A926" s="504" t="n"/>
      <c r="B926" s="504" t="n"/>
      <c r="C926" s="504" t="n"/>
      <c r="D926" s="504" t="n"/>
      <c r="E926" s="504" t="n"/>
      <c r="F926" s="504" t="n"/>
      <c r="G926" s="504" t="n"/>
    </row>
    <row r="927">
      <c r="A927" s="504" t="n"/>
      <c r="B927" s="504" t="n"/>
      <c r="C927" s="504" t="n"/>
      <c r="D927" s="504" t="n"/>
      <c r="E927" s="504" t="n"/>
      <c r="F927" s="504" t="n"/>
      <c r="G927" s="504" t="n"/>
    </row>
    <row r="928">
      <c r="A928" s="504" t="n"/>
      <c r="B928" s="504" t="n"/>
      <c r="C928" s="504" t="n"/>
      <c r="D928" s="504" t="n"/>
      <c r="E928" s="504" t="n"/>
      <c r="F928" s="504" t="n"/>
      <c r="G928" s="504" t="n"/>
    </row>
    <row r="929">
      <c r="A929" s="504" t="n"/>
      <c r="B929" s="504" t="n"/>
      <c r="C929" s="504" t="n"/>
      <c r="D929" s="504" t="n"/>
      <c r="E929" s="504" t="n"/>
      <c r="F929" s="504" t="n"/>
      <c r="G929" s="504" t="n"/>
    </row>
    <row r="930">
      <c r="A930" s="504" t="n"/>
      <c r="B930" s="504" t="n"/>
      <c r="C930" s="504" t="n"/>
      <c r="D930" s="504" t="n"/>
      <c r="E930" s="504" t="n"/>
      <c r="F930" s="504" t="n"/>
      <c r="G930" s="504" t="n"/>
    </row>
    <row r="931">
      <c r="A931" s="504" t="n"/>
      <c r="B931" s="504" t="n"/>
      <c r="C931" s="504" t="n"/>
      <c r="D931" s="504" t="n"/>
      <c r="E931" s="504" t="n"/>
      <c r="F931" s="504" t="n"/>
      <c r="G931" s="504" t="n"/>
    </row>
    <row r="932">
      <c r="A932" s="504" t="n"/>
      <c r="B932" s="504" t="n"/>
      <c r="C932" s="504" t="n"/>
      <c r="D932" s="504" t="n"/>
      <c r="E932" s="504" t="n"/>
      <c r="F932" s="504" t="n"/>
      <c r="G932" s="504" t="n"/>
    </row>
    <row r="933">
      <c r="A933" s="504" t="n"/>
      <c r="B933" s="504" t="n"/>
      <c r="C933" s="504" t="n"/>
      <c r="D933" s="504" t="n"/>
      <c r="E933" s="504" t="n"/>
      <c r="F933" s="504" t="n"/>
      <c r="G933" s="504" t="n"/>
    </row>
    <row r="934">
      <c r="A934" s="504" t="n"/>
      <c r="B934" s="504" t="n"/>
      <c r="C934" s="504" t="n"/>
      <c r="D934" s="504" t="n"/>
      <c r="E934" s="504" t="n"/>
      <c r="F934" s="504" t="n"/>
      <c r="G934" s="504" t="n"/>
    </row>
    <row r="935">
      <c r="A935" s="504" t="n"/>
      <c r="B935" s="504" t="n"/>
      <c r="C935" s="504" t="n"/>
      <c r="D935" s="504" t="n"/>
      <c r="E935" s="504" t="n"/>
      <c r="F935" s="504" t="n"/>
      <c r="G935" s="504" t="n"/>
    </row>
    <row r="936">
      <c r="A936" s="504" t="n"/>
      <c r="B936" s="504" t="n"/>
      <c r="C936" s="504" t="n"/>
      <c r="D936" s="504" t="n"/>
      <c r="E936" s="504" t="n"/>
      <c r="F936" s="504" t="n"/>
      <c r="G936" s="504" t="n"/>
    </row>
    <row r="937">
      <c r="A937" s="504" t="n"/>
      <c r="B937" s="504" t="n"/>
      <c r="C937" s="504" t="n"/>
      <c r="D937" s="504" t="n"/>
      <c r="E937" s="504" t="n"/>
      <c r="F937" s="504" t="n"/>
      <c r="G937" s="504" t="n"/>
    </row>
    <row r="938">
      <c r="A938" s="504" t="n"/>
      <c r="B938" s="504" t="n"/>
      <c r="C938" s="504" t="n"/>
      <c r="D938" s="504" t="n"/>
      <c r="E938" s="504" t="n"/>
      <c r="F938" s="504" t="n"/>
      <c r="G938" s="504" t="n"/>
    </row>
    <row r="939">
      <c r="A939" s="504" t="n"/>
      <c r="B939" s="504" t="n"/>
      <c r="C939" s="504" t="n"/>
      <c r="D939" s="504" t="n"/>
      <c r="E939" s="504" t="n"/>
      <c r="F939" s="504" t="n"/>
      <c r="G939" s="504" t="n"/>
    </row>
    <row r="940">
      <c r="A940" s="504" t="n"/>
      <c r="B940" s="504" t="n"/>
      <c r="C940" s="504" t="n"/>
      <c r="D940" s="504" t="n"/>
      <c r="E940" s="504" t="n"/>
      <c r="F940" s="504" t="n"/>
      <c r="G940" s="504" t="n"/>
    </row>
    <row r="941">
      <c r="A941" s="504" t="n"/>
      <c r="B941" s="504" t="n"/>
      <c r="C941" s="504" t="n"/>
      <c r="D941" s="504" t="n"/>
      <c r="E941" s="504" t="n"/>
      <c r="F941" s="504" t="n"/>
      <c r="G941" s="504" t="n"/>
    </row>
    <row r="942">
      <c r="A942" s="504" t="n"/>
      <c r="B942" s="504" t="n"/>
      <c r="C942" s="504" t="n"/>
      <c r="D942" s="504" t="n"/>
      <c r="E942" s="504" t="n"/>
      <c r="F942" s="504" t="n"/>
      <c r="G942" s="504" t="n"/>
    </row>
    <row r="943">
      <c r="A943" s="504" t="n"/>
      <c r="B943" s="504" t="n"/>
      <c r="C943" s="504" t="n"/>
      <c r="D943" s="504" t="n"/>
      <c r="E943" s="504" t="n"/>
      <c r="F943" s="504" t="n"/>
      <c r="G943" s="504" t="n"/>
    </row>
    <row r="944">
      <c r="A944" s="504" t="n"/>
      <c r="B944" s="504" t="n"/>
      <c r="C944" s="504" t="n"/>
      <c r="D944" s="504" t="n"/>
      <c r="E944" s="504" t="n"/>
      <c r="F944" s="504" t="n"/>
      <c r="G944" s="504" t="n"/>
    </row>
    <row r="945">
      <c r="A945" s="504" t="n"/>
      <c r="B945" s="504" t="n"/>
      <c r="C945" s="504" t="n"/>
      <c r="D945" s="504" t="n"/>
      <c r="E945" s="504" t="n"/>
      <c r="F945" s="504" t="n"/>
      <c r="G945" s="504" t="n"/>
    </row>
    <row r="946">
      <c r="A946" s="504" t="n"/>
      <c r="B946" s="504" t="n"/>
      <c r="C946" s="504" t="n"/>
      <c r="D946" s="504" t="n"/>
      <c r="E946" s="504" t="n"/>
      <c r="F946" s="504" t="n"/>
      <c r="G946" s="504" t="n"/>
    </row>
    <row r="947">
      <c r="A947" s="504" t="n"/>
      <c r="B947" s="504" t="n"/>
      <c r="C947" s="504" t="n"/>
      <c r="D947" s="504" t="n"/>
      <c r="E947" s="504" t="n"/>
      <c r="F947" s="504" t="n"/>
      <c r="G947" s="504" t="n"/>
    </row>
    <row r="948">
      <c r="A948" s="504" t="n"/>
      <c r="B948" s="504" t="n"/>
      <c r="C948" s="504" t="n"/>
      <c r="D948" s="504" t="n"/>
      <c r="E948" s="504" t="n"/>
      <c r="F948" s="504" t="n"/>
      <c r="G948" s="504" t="n"/>
    </row>
    <row r="949">
      <c r="A949" s="504" t="n"/>
      <c r="B949" s="504" t="n"/>
      <c r="C949" s="504" t="n"/>
      <c r="D949" s="504" t="n"/>
      <c r="E949" s="504" t="n"/>
      <c r="F949" s="504" t="n"/>
      <c r="G949" s="504" t="n"/>
    </row>
    <row r="950">
      <c r="A950" s="504" t="n"/>
      <c r="B950" s="504" t="n"/>
      <c r="C950" s="504" t="n"/>
      <c r="D950" s="504" t="n"/>
      <c r="E950" s="504" t="n"/>
      <c r="F950" s="504" t="n"/>
      <c r="G950" s="504" t="n"/>
    </row>
    <row r="951">
      <c r="A951" s="504" t="n"/>
      <c r="B951" s="504" t="n"/>
      <c r="C951" s="504" t="n"/>
      <c r="D951" s="504" t="n"/>
      <c r="E951" s="504" t="n"/>
      <c r="F951" s="504" t="n"/>
      <c r="G951" s="504" t="n"/>
    </row>
    <row r="952">
      <c r="A952" s="504" t="n"/>
      <c r="B952" s="504" t="n"/>
      <c r="C952" s="504" t="n"/>
      <c r="D952" s="504" t="n"/>
      <c r="E952" s="504" t="n"/>
      <c r="F952" s="504" t="n"/>
      <c r="G952" s="504" t="n"/>
    </row>
    <row r="953">
      <c r="A953" s="504" t="n"/>
      <c r="B953" s="504" t="n"/>
      <c r="C953" s="504" t="n"/>
      <c r="D953" s="504" t="n"/>
      <c r="E953" s="504" t="n"/>
      <c r="F953" s="504" t="n"/>
      <c r="G953" s="504" t="n"/>
    </row>
    <row r="954">
      <c r="A954" s="504" t="n"/>
      <c r="B954" s="504" t="n"/>
      <c r="C954" s="504" t="n"/>
      <c r="D954" s="504" t="n"/>
      <c r="E954" s="504" t="n"/>
      <c r="F954" s="504" t="n"/>
      <c r="G954" s="504" t="n"/>
    </row>
    <row r="955">
      <c r="A955" s="504" t="n"/>
      <c r="B955" s="504" t="n"/>
      <c r="C955" s="504" t="n"/>
      <c r="D955" s="504" t="n"/>
      <c r="E955" s="504" t="n"/>
      <c r="F955" s="504" t="n"/>
      <c r="G955" s="504" t="n"/>
    </row>
    <row r="956">
      <c r="A956" s="504" t="n"/>
      <c r="B956" s="504" t="n"/>
      <c r="C956" s="504" t="n"/>
      <c r="D956" s="504" t="n"/>
      <c r="E956" s="504" t="n"/>
      <c r="F956" s="504" t="n"/>
      <c r="G956" s="504" t="n"/>
    </row>
    <row r="957">
      <c r="A957" s="504" t="n"/>
      <c r="B957" s="504" t="n"/>
      <c r="C957" s="504" t="n"/>
      <c r="D957" s="504" t="n"/>
      <c r="E957" s="504" t="n"/>
      <c r="F957" s="504" t="n"/>
      <c r="G957" s="504" t="n"/>
    </row>
    <row r="958">
      <c r="A958" s="504" t="n"/>
      <c r="B958" s="504" t="n"/>
      <c r="C958" s="504" t="n"/>
      <c r="D958" s="504" t="n"/>
      <c r="E958" s="504" t="n"/>
      <c r="F958" s="504" t="n"/>
      <c r="G958" s="504" t="n"/>
    </row>
    <row r="959">
      <c r="A959" s="504" t="n"/>
      <c r="B959" s="504" t="n"/>
      <c r="C959" s="504" t="n"/>
      <c r="D959" s="504" t="n"/>
      <c r="E959" s="504" t="n"/>
      <c r="F959" s="504" t="n"/>
      <c r="G959" s="504" t="n"/>
    </row>
    <row r="960">
      <c r="A960" s="504" t="n"/>
      <c r="B960" s="504" t="n"/>
      <c r="C960" s="504" t="n"/>
      <c r="D960" s="504" t="n"/>
      <c r="E960" s="504" t="n"/>
      <c r="F960" s="504" t="n"/>
      <c r="G960" s="504" t="n"/>
    </row>
    <row r="961">
      <c r="A961" s="504" t="n"/>
      <c r="B961" s="504" t="n"/>
      <c r="C961" s="504" t="n"/>
      <c r="D961" s="504" t="n"/>
      <c r="E961" s="504" t="n"/>
      <c r="F961" s="504" t="n"/>
      <c r="G961" s="504" t="n"/>
    </row>
    <row r="962">
      <c r="A962" s="504" t="n"/>
      <c r="B962" s="504" t="n"/>
      <c r="C962" s="504" t="n"/>
      <c r="D962" s="504" t="n"/>
      <c r="E962" s="504" t="n"/>
      <c r="F962" s="504" t="n"/>
      <c r="G962" s="504" t="n"/>
    </row>
    <row r="963">
      <c r="A963" s="504" t="n"/>
      <c r="B963" s="504" t="n"/>
      <c r="C963" s="504" t="n"/>
      <c r="D963" s="504" t="n"/>
      <c r="E963" s="504" t="n"/>
      <c r="F963" s="504" t="n"/>
      <c r="G963" s="504" t="n"/>
    </row>
    <row r="964">
      <c r="A964" s="504" t="n"/>
      <c r="B964" s="504" t="n"/>
      <c r="C964" s="504" t="n"/>
      <c r="D964" s="504" t="n"/>
      <c r="E964" s="504" t="n"/>
      <c r="F964" s="504" t="n"/>
      <c r="G964" s="504" t="n"/>
    </row>
    <row r="965">
      <c r="A965" s="504" t="n"/>
      <c r="B965" s="504" t="n"/>
      <c r="C965" s="504" t="n"/>
      <c r="D965" s="504" t="n"/>
      <c r="E965" s="504" t="n"/>
      <c r="F965" s="504" t="n"/>
      <c r="G965" s="504" t="n"/>
    </row>
    <row r="966">
      <c r="A966" s="504" t="n"/>
      <c r="B966" s="504" t="n"/>
      <c r="C966" s="504" t="n"/>
      <c r="D966" s="504" t="n"/>
      <c r="E966" s="504" t="n"/>
      <c r="F966" s="504" t="n"/>
      <c r="G966" s="504" t="n"/>
    </row>
    <row r="967">
      <c r="A967" s="504" t="n"/>
      <c r="B967" s="504" t="n"/>
      <c r="C967" s="504" t="n"/>
      <c r="D967" s="504" t="n"/>
      <c r="E967" s="504" t="n"/>
      <c r="F967" s="504" t="n"/>
      <c r="G967" s="504" t="n"/>
    </row>
    <row r="968">
      <c r="A968" s="504" t="n"/>
      <c r="B968" s="504" t="n"/>
      <c r="C968" s="504" t="n"/>
      <c r="D968" s="504" t="n"/>
      <c r="E968" s="504" t="n"/>
      <c r="F968" s="504" t="n"/>
      <c r="G968" s="504" t="n"/>
    </row>
    <row r="969">
      <c r="A969" s="504" t="n"/>
      <c r="B969" s="504" t="n"/>
      <c r="C969" s="504" t="n"/>
      <c r="D969" s="504" t="n"/>
      <c r="E969" s="504" t="n"/>
      <c r="F969" s="504" t="n"/>
      <c r="G969" s="504" t="n"/>
    </row>
    <row r="970">
      <c r="A970" s="504" t="n"/>
      <c r="B970" s="504" t="n"/>
      <c r="C970" s="504" t="n"/>
      <c r="D970" s="504" t="n"/>
      <c r="E970" s="504" t="n"/>
      <c r="F970" s="504" t="n"/>
      <c r="G970" s="504" t="n"/>
    </row>
    <row r="971">
      <c r="A971" s="504" t="n"/>
      <c r="B971" s="504" t="n"/>
      <c r="C971" s="504" t="n"/>
      <c r="D971" s="504" t="n"/>
      <c r="E971" s="504" t="n"/>
      <c r="F971" s="504" t="n"/>
      <c r="G971" s="504" t="n"/>
    </row>
    <row r="972">
      <c r="A972" s="504" t="n"/>
      <c r="B972" s="504" t="n"/>
      <c r="C972" s="504" t="n"/>
      <c r="D972" s="504" t="n"/>
      <c r="E972" s="504" t="n"/>
      <c r="F972" s="504" t="n"/>
      <c r="G972" s="504" t="n"/>
    </row>
    <row r="973">
      <c r="A973" s="504" t="n"/>
      <c r="B973" s="504" t="n"/>
      <c r="C973" s="504" t="n"/>
      <c r="D973" s="504" t="n"/>
      <c r="E973" s="504" t="n"/>
      <c r="F973" s="504" t="n"/>
      <c r="G973" s="504" t="n"/>
    </row>
    <row r="974">
      <c r="A974" s="504" t="n"/>
      <c r="B974" s="504" t="n"/>
      <c r="C974" s="504" t="n"/>
      <c r="D974" s="504" t="n"/>
      <c r="E974" s="504" t="n"/>
      <c r="F974" s="504" t="n"/>
      <c r="G974" s="504" t="n"/>
    </row>
    <row r="975">
      <c r="A975" s="504" t="n"/>
      <c r="B975" s="504" t="n"/>
      <c r="C975" s="504" t="n"/>
      <c r="D975" s="504" t="n"/>
      <c r="E975" s="504" t="n"/>
      <c r="F975" s="504" t="n"/>
      <c r="G975" s="504" t="n"/>
    </row>
    <row r="976">
      <c r="A976" s="504" t="n"/>
      <c r="B976" s="504" t="n"/>
      <c r="C976" s="504" t="n"/>
      <c r="D976" s="504" t="n"/>
      <c r="E976" s="504" t="n"/>
      <c r="F976" s="504" t="n"/>
      <c r="G976" s="504" t="n"/>
    </row>
    <row r="977">
      <c r="A977" s="504" t="n"/>
      <c r="B977" s="504" t="n"/>
      <c r="C977" s="504" t="n"/>
      <c r="D977" s="504" t="n"/>
      <c r="E977" s="504" t="n"/>
      <c r="F977" s="504" t="n"/>
      <c r="G977" s="504" t="n"/>
    </row>
    <row r="978">
      <c r="A978" s="504" t="n"/>
      <c r="B978" s="504" t="n"/>
      <c r="C978" s="504" t="n"/>
      <c r="D978" s="504" t="n"/>
      <c r="E978" s="504" t="n"/>
      <c r="F978" s="504" t="n"/>
      <c r="G978" s="504" t="n"/>
    </row>
    <row r="979">
      <c r="A979" s="504" t="n"/>
      <c r="B979" s="504" t="n"/>
      <c r="C979" s="504" t="n"/>
      <c r="D979" s="504" t="n"/>
      <c r="E979" s="504" t="n"/>
      <c r="F979" s="504" t="n"/>
      <c r="G979" s="504" t="n"/>
    </row>
    <row r="980">
      <c r="A980" s="504" t="n"/>
      <c r="B980" s="504" t="n"/>
      <c r="C980" s="504" t="n"/>
      <c r="D980" s="504" t="n"/>
      <c r="E980" s="504" t="n"/>
      <c r="F980" s="504" t="n"/>
      <c r="G980" s="504" t="n"/>
    </row>
    <row r="981">
      <c r="A981" s="504" t="n"/>
      <c r="B981" s="504" t="n"/>
      <c r="C981" s="504" t="n"/>
      <c r="D981" s="504" t="n"/>
      <c r="E981" s="504" t="n"/>
      <c r="F981" s="504" t="n"/>
      <c r="G981" s="504" t="n"/>
    </row>
    <row r="982">
      <c r="A982" s="504" t="n"/>
      <c r="B982" s="504" t="n"/>
      <c r="C982" s="504" t="n"/>
      <c r="D982" s="504" t="n"/>
      <c r="E982" s="504" t="n"/>
      <c r="F982" s="504" t="n"/>
      <c r="G982" s="504" t="n"/>
    </row>
    <row r="983">
      <c r="A983" s="504" t="n"/>
      <c r="B983" s="504" t="n"/>
      <c r="C983" s="504" t="n"/>
      <c r="D983" s="504" t="n"/>
      <c r="E983" s="504" t="n"/>
      <c r="F983" s="504" t="n"/>
      <c r="G983" s="504" t="n"/>
    </row>
    <row r="984">
      <c r="A984" s="504" t="n"/>
      <c r="B984" s="504" t="n"/>
      <c r="C984" s="504" t="n"/>
      <c r="D984" s="504" t="n"/>
      <c r="E984" s="504" t="n"/>
      <c r="F984" s="504" t="n"/>
      <c r="G984" s="504" t="n"/>
    </row>
    <row r="985">
      <c r="A985" s="504" t="n"/>
      <c r="B985" s="504" t="n"/>
      <c r="C985" s="504" t="n"/>
      <c r="D985" s="504" t="n"/>
      <c r="E985" s="504" t="n"/>
      <c r="F985" s="504" t="n"/>
      <c r="G985" s="504" t="n"/>
    </row>
    <row r="986">
      <c r="A986" s="504" t="n"/>
      <c r="B986" s="504" t="n"/>
      <c r="C986" s="504" t="n"/>
      <c r="D986" s="504" t="n"/>
      <c r="E986" s="504" t="n"/>
      <c r="F986" s="504" t="n"/>
      <c r="G986" s="504" t="n"/>
    </row>
    <row r="987">
      <c r="A987" s="504" t="n"/>
      <c r="B987" s="504" t="n"/>
      <c r="C987" s="504" t="n"/>
      <c r="D987" s="504" t="n"/>
      <c r="E987" s="504" t="n"/>
      <c r="F987" s="504" t="n"/>
      <c r="G987" s="504" t="n"/>
    </row>
    <row r="988">
      <c r="A988" s="504" t="n"/>
      <c r="B988" s="504" t="n"/>
      <c r="C988" s="504" t="n"/>
      <c r="D988" s="504" t="n"/>
      <c r="E988" s="504" t="n"/>
      <c r="F988" s="504" t="n"/>
      <c r="G988" s="504" t="n"/>
    </row>
    <row r="989">
      <c r="A989" s="504" t="n"/>
      <c r="B989" s="504" t="n"/>
      <c r="C989" s="504" t="n"/>
      <c r="D989" s="504" t="n"/>
      <c r="E989" s="504" t="n"/>
      <c r="F989" s="504" t="n"/>
      <c r="G989" s="504" t="n"/>
    </row>
    <row r="990">
      <c r="A990" s="504" t="n"/>
      <c r="B990" s="504" t="n"/>
      <c r="C990" s="504" t="n"/>
      <c r="D990" s="504" t="n"/>
      <c r="E990" s="504" t="n"/>
      <c r="F990" s="504" t="n"/>
      <c r="G990" s="504" t="n"/>
    </row>
    <row r="991">
      <c r="A991" s="504" t="n"/>
      <c r="B991" s="504" t="n"/>
      <c r="C991" s="504" t="n"/>
      <c r="D991" s="504" t="n"/>
      <c r="E991" s="504" t="n"/>
      <c r="F991" s="504" t="n"/>
      <c r="G991" s="504" t="n"/>
    </row>
    <row r="992">
      <c r="A992" s="504" t="n"/>
      <c r="B992" s="504" t="n"/>
      <c r="C992" s="504" t="n"/>
      <c r="D992" s="504" t="n"/>
      <c r="E992" s="504" t="n"/>
      <c r="F992" s="504" t="n"/>
      <c r="G992" s="504" t="n"/>
    </row>
    <row r="993">
      <c r="A993" s="504" t="n"/>
      <c r="B993" s="504" t="n"/>
      <c r="C993" s="504" t="n"/>
      <c r="D993" s="504" t="n"/>
      <c r="E993" s="504" t="n"/>
      <c r="F993" s="504" t="n"/>
      <c r="G993" s="504" t="n"/>
    </row>
    <row r="994">
      <c r="A994" s="504" t="n"/>
      <c r="B994" s="504" t="n"/>
      <c r="C994" s="504" t="n"/>
      <c r="D994" s="504" t="n"/>
      <c r="E994" s="504" t="n"/>
      <c r="F994" s="504" t="n"/>
      <c r="G994" s="504" t="n"/>
    </row>
    <row r="995">
      <c r="A995" s="504" t="n"/>
      <c r="B995" s="504" t="n"/>
      <c r="C995" s="504" t="n"/>
      <c r="D995" s="504" t="n"/>
      <c r="E995" s="504" t="n"/>
      <c r="F995" s="504" t="n"/>
      <c r="G995" s="504" t="n"/>
    </row>
    <row r="996">
      <c r="A996" s="504" t="n"/>
      <c r="B996" s="504" t="n"/>
      <c r="C996" s="504" t="n"/>
      <c r="D996" s="504" t="n"/>
      <c r="E996" s="504" t="n"/>
      <c r="F996" s="504" t="n"/>
      <c r="G996" s="504" t="n"/>
    </row>
    <row r="997">
      <c r="A997" s="504" t="n"/>
      <c r="B997" s="504" t="n"/>
      <c r="C997" s="504" t="n"/>
      <c r="D997" s="504" t="n"/>
      <c r="E997" s="504" t="n"/>
      <c r="F997" s="504" t="n"/>
      <c r="G997" s="504" t="n"/>
    </row>
    <row r="998">
      <c r="A998" s="504" t="n"/>
      <c r="B998" s="504" t="n"/>
      <c r="C998" s="504" t="n"/>
      <c r="D998" s="504" t="n"/>
      <c r="E998" s="504" t="n"/>
      <c r="F998" s="504" t="n"/>
      <c r="G998" s="504" t="n"/>
    </row>
    <row r="999">
      <c r="A999" s="504" t="n"/>
      <c r="B999" s="504" t="n"/>
      <c r="C999" s="504" t="n"/>
      <c r="D999" s="504" t="n"/>
      <c r="E999" s="504" t="n"/>
      <c r="F999" s="504" t="n"/>
      <c r="G999" s="504" t="n"/>
    </row>
    <row r="1000">
      <c r="A1000" s="504" t="n"/>
      <c r="B1000" s="504" t="n"/>
      <c r="C1000" s="504" t="n"/>
      <c r="D1000" s="504" t="n"/>
      <c r="E1000" s="504" t="n"/>
      <c r="F1000" s="504" t="n"/>
      <c r="G1000" s="50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505" t="inlineStr">
        <is>
          <t>issue_id</t>
        </is>
      </c>
      <c r="B1" s="505" t="inlineStr">
        <is>
          <t>severity</t>
        </is>
      </c>
      <c r="C1" s="505" t="inlineStr">
        <is>
          <t>rule_id</t>
        </is>
      </c>
      <c r="D1" s="505" t="inlineStr">
        <is>
          <t>issue_type</t>
        </is>
      </c>
      <c r="E1" s="505" t="inlineStr">
        <is>
          <t>section</t>
        </is>
      </c>
      <c r="F1" s="505" t="inlineStr">
        <is>
          <t>root_cause</t>
        </is>
      </c>
      <c r="G1" s="505" t="inlineStr">
        <is>
          <t>message</t>
        </is>
      </c>
      <c r="H1" s="505" t="inlineStr">
        <is>
          <t>suggested_action</t>
        </is>
      </c>
      <c r="I1" s="505" t="inlineStr">
        <is>
          <t>occurrence_count</t>
        </is>
      </c>
      <c r="J1" s="505" t="inlineStr">
        <is>
          <t>visibility_disposition</t>
        </is>
      </c>
      <c r="K1" s="505" t="inlineStr">
        <is>
          <t>promotion_blocking</t>
        </is>
      </c>
      <c r="L1" s="505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505" t="inlineStr">
        <is>
          <t>issue_id</t>
        </is>
      </c>
      <c r="B1" s="505" t="inlineStr">
        <is>
          <t>severity</t>
        </is>
      </c>
      <c r="C1" s="505" t="inlineStr">
        <is>
          <t>rule_id</t>
        </is>
      </c>
      <c r="D1" s="505" t="inlineStr">
        <is>
          <t>section</t>
        </is>
      </c>
      <c r="E1" s="505" t="inlineStr">
        <is>
          <t>normalized_path</t>
        </is>
      </c>
      <c r="F1" s="505" t="inlineStr">
        <is>
          <t>business_row_key</t>
        </is>
      </c>
      <c r="G1" s="505" t="inlineStr">
        <is>
          <t>message</t>
        </is>
      </c>
      <c r="H1" s="505" t="inlineStr">
        <is>
          <t>suggested_action</t>
        </is>
      </c>
      <c r="I1" s="505" t="inlineStr">
        <is>
          <t>occurrence_count</t>
        </is>
      </c>
      <c r="J1" s="505" t="inlineStr">
        <is>
          <t>promotion_blocking</t>
        </is>
      </c>
      <c r="K1" s="505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505" t="inlineStr">
        <is>
          <t>rule_id</t>
        </is>
      </c>
      <c r="B1" s="505" t="inlineStr">
        <is>
          <t>status</t>
        </is>
      </c>
      <c r="C1" s="505" t="inlineStr">
        <is>
          <t>unique_issue_count</t>
        </is>
      </c>
      <c r="D1" s="505" t="inlineStr">
        <is>
          <t>occurrence_count</t>
        </is>
      </c>
      <c r="E1" s="505" t="inlineStr">
        <is>
          <t>blocking_count</t>
        </is>
      </c>
      <c r="F1" s="505" t="inlineStr">
        <is>
          <t>actionable_count</t>
        </is>
      </c>
      <c r="G1" s="505" t="inlineStr">
        <is>
          <t>affected_sections</t>
        </is>
      </c>
      <c r="H1" s="505" t="inlineStr">
        <is>
          <t>interpretation</t>
        </is>
      </c>
      <c r="I1" s="505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