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QA_Log" sheetId="8" state="visible" r:id="rId8"/>
    <sheet xmlns:r="http://schemas.openxmlformats.org/officeDocument/2006/relationships" name="Needs_Review" sheetId="9" state="visible" r:id="rId9"/>
    <sheet xmlns:r="http://schemas.openxmlformats.org/officeDocument/2006/relationships" name="QA_Checks" sheetId="10" state="visible" r:id="rId10"/>
    <sheet xmlns:r="http://schemas.openxmlformats.org/officeDocument/2006/relationships" name="REPORT_IS_Q" sheetId="11" state="hidden" r:id="rId11"/>
    <sheet xmlns:r="http://schemas.openxmlformats.org/officeDocument/2006/relationships" name="REPORT_BS_Q" sheetId="12" state="hidden" r:id="rId12"/>
    <sheet xmlns:r="http://schemas.openxmlformats.org/officeDocument/2006/relationships" name="REPORT_CF_Q" sheetId="13" state="hidden" r:id="rId13"/>
    <sheet xmlns:r="http://schemas.openxmlformats.org/officeDocument/2006/relationships" name="Quarter_Notes" sheetId="14" state="hidden" r:id="rId14"/>
    <sheet xmlns:r="http://schemas.openxmlformats.org/officeDocument/2006/relationships" name="Quarter_Notes_Evidence" sheetId="15" state="hidden" r:id="rId15"/>
    <sheet xmlns:r="http://schemas.openxmlformats.org/officeDocument/2006/relationships" name="Quarter_Narrative_Data" sheetId="16" state="hidden" r:id="rId16"/>
    <sheet xmlns:r="http://schemas.openxmlformats.org/officeDocument/2006/relationships" name="Valuation_Summary" sheetId="17" state="hidden" r:id="rId17"/>
    <sheet xmlns:r="http://schemas.openxmlformats.org/officeDocument/2006/relationships" name="Promise_Evidence" sheetId="18" state="hidden" r:id="rId18"/>
    <sheet xmlns:r="http://schemas.openxmlformats.org/officeDocument/2006/relationships" name="Promise_Progress" sheetId="19" state="hidden" r:id="rId19"/>
    <sheet xmlns:r="http://schemas.openxmlformats.org/officeDocument/2006/relationships" name="Guidance_Normalized" sheetId="20" state="hidden" r:id="rId20"/>
    <sheet xmlns:r="http://schemas.openxmlformats.org/officeDocument/2006/relationships" name="History_Q" sheetId="21" state="hidden" r:id="rId21"/>
    <sheet xmlns:r="http://schemas.openxmlformats.org/officeDocument/2006/relationships" name="operating_drivers_raw" sheetId="22" state="hidden" r:id="rId22"/>
    <sheet xmlns:r="http://schemas.openxmlformats.org/officeDocument/2006/relationships" name="DATA_Period_Index" sheetId="23" state="hidden" r:id="rId23"/>
    <sheet xmlns:r="http://schemas.openxmlformats.org/officeDocument/2006/relationships" name="Hidden_Value_Flags" sheetId="24" state="hidden" r:id="rId24"/>
    <sheet xmlns:r="http://schemas.openxmlformats.org/officeDocument/2006/relationships" name="Hidden_Value_Audit" sheetId="25" state="hidden" r:id="rId25"/>
    <sheet xmlns:r="http://schemas.openxmlformats.org/officeDocument/2006/relationships" name="Hidden_Value_Recompute" sheetId="26" state="hidden" r:id="rId26"/>
    <sheet xmlns:r="http://schemas.openxmlformats.org/officeDocument/2006/relationships" name="Hidden_Value_Base" sheetId="27" state="hidden" r:id="rId27"/>
    <sheet xmlns:r="http://schemas.openxmlformats.org/officeDocument/2006/relationships" name="Revolver_History" sheetId="28" state="hidden" r:id="rId28"/>
    <sheet xmlns:r="http://schemas.openxmlformats.org/officeDocument/2006/relationships" name="Debt_Tranches_Latest" sheetId="29" state="hidden" r:id="rId29"/>
    <sheet xmlns:r="http://schemas.openxmlformats.org/officeDocument/2006/relationships" name="Debt_Profile" sheetId="30" state="hidden" r:id="rId30"/>
    <sheet xmlns:r="http://schemas.openxmlformats.org/officeDocument/2006/relationships" name="Debt_Credit_Notes" sheetId="31" state="hidden" r:id="rId31"/>
    <sheet xmlns:r="http://schemas.openxmlformats.org/officeDocument/2006/relationships" name="Leverage_Liquidity" sheetId="32" state="hidden" r:id="rId32"/>
    <sheet xmlns:r="http://schemas.openxmlformats.org/officeDocument/2006/relationships" name="NonGAAP_Credibility" sheetId="33" state="hidden" r:id="rId33"/>
    <sheet xmlns:r="http://schemas.openxmlformats.org/officeDocument/2006/relationships" name="Adjusted_Metrics" sheetId="34" state="hidden" r:id="rId34"/>
    <sheet xmlns:r="http://schemas.openxmlformats.org/officeDocument/2006/relationships" name="NonGAAP_Bridge" sheetId="35" state="hidden" r:id="rId35"/>
    <sheet xmlns:r="http://schemas.openxmlformats.org/officeDocument/2006/relationships" name="{ticker}_Investment_Case_Data" sheetId="36" state="hidden" r:id="rId36"/>
    <sheet xmlns:r="http://schemas.openxmlformats.org/officeDocument/2006/relationships" name="Scenario_Bridge_Tax_Treatment" sheetId="37" state="hidden" r:id="rId37"/>
    <sheet xmlns:r="http://schemas.openxmlformats.org/officeDocument/2006/relationships" name="Scenario_Driver_Assumptions" sheetId="38" state="hidden" r:id="rId38"/>
    <sheet xmlns:r="http://schemas.openxmlformats.org/officeDocument/2006/relationships" name="Debt_Maturity_Ladder" sheetId="39" state="hidden" r:id="rId39"/>
    <sheet xmlns:r="http://schemas.openxmlformats.org/officeDocument/2006/relationships" name="Debt_Buckets" sheetId="40" state="hidden" r:id="rId40"/>
    <sheet xmlns:r="http://schemas.openxmlformats.org/officeDocument/2006/relationships" name="Debt_Recon" sheetId="41" state="hidden" r:id="rId41"/>
    <sheet xmlns:r="http://schemas.openxmlformats.org/officeDocument/2006/relationships" name="Debt_Tranches_Q" sheetId="42" state="hidden" r:id="rId42"/>
    <sheet xmlns:r="http://schemas.openxmlformats.org/officeDocument/2006/relationships" name="Valuation_Grid" sheetId="43" state="hidden" r:id="rId43"/>
    <sheet xmlns:r="http://schemas.openxmlformats.org/officeDocument/2006/relationships" name="Promise_Tracker" sheetId="44" state="hidden" r:id="rId44"/>
    <sheet xmlns:r="http://schemas.openxmlformats.org/officeDocument/2006/relationships" name="Adjustments_Breakdown" sheetId="45" state="hidden" r:id="rId45"/>
    <sheet xmlns:r="http://schemas.openxmlformats.org/officeDocument/2006/relationships" name="OCR_Text_Log" sheetId="46" state="hidden" r:id="rId46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rows">'Valuation'!$O$9</definedName>
    <definedName name="valuation_guidance_status_rows">'Valuation'!$AA$9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ic_bull_base_bear_rows">'Scenario_Driver_Assumptions'!$A$2</definedName>
    <definedName name="ic_scenario_bridge_rows">'{ticker}_Investment_Case_Data'!$A$2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hidden_value_base_rows">'Hidden_Value_Base'!$A$2</definedName>
    <definedName name="hidden_value_audit_rows">'Hidden_Value_Audit'!$A$2</definedName>
    <definedName name="hidden_value_recompute_rows">'Hidden_Value_Recompute'!$A$2</definedName>
    <definedName name="hidden_value_flags_rows">'Hidden_Value_Flags'!$A$2</definedName>
    <definedName name="hidden_value_valuation_rows">'Valuation'!$A$139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valuation_input_net_income_ttm">'Valuation'!$D$217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  <definedName name="ResolvedRevenueGrowth_Bear">'Valuation_Summary'!$H$2</definedName>
    <definedName name="ResolvedRevenueGrowth_Base">'Valuation_Summary'!$I$2</definedName>
    <definedName name="ResolvedRevenueGrowth_Bull">'Valuation_Summary'!$J$2</definedName>
    <definedName name="ResolvedRevenueGrowth_Custom">'Valuation_Summary'!$K$2</definedName>
    <definedName name="NetIncome_TTM">'Valuation'!$D$217</definedName>
    <definedName name="Target_EV_Revenue">'Valuation'!$D$218</definedName>
    <definedName name="Target_PE">'Valuation'!$D$219</definedName>
    <definedName name="DCF_Horizon">'Valuation'!$D$220</definedName>
    <definedName name="DCF_FCFF">'Valuation'!$J$218</definedName>
    <definedName name="DCF_Growth">'Valuation'!$J$219</definedName>
    <definedName name="DCF_TerminalGrowth">'Valuation'!$J$220</definedName>
    <definedName name="DCF_WACC">'Valuation'!$J$221</definedName>
    <definedName name="DCF_EV">'Valuation'!$J$222</definedName>
    <definedName name="DCF_ImpliedPrice">'Valuation'!$J$223</definedName>
    <definedName name="ScenarioProfile">'Valuation'!$E$236</definedName>
    <definedName name="ScenarioHorizon">'Valuation'!$J$236</definedName>
    <definedName name="ScenarioGrowth">'Valuation'!$E$237</definedName>
    <definedName name="ScenarioBaseMargin">'Valuation'!$E$238</definedName>
    <definedName name="ScenarioAdjustedMargin">'Valuation'!$E$239</definedName>
    <definedName name="ScenarioTaxRate">'Valuation'!$E$240</definedName>
    <definedName name="ScenarioPreTaxBridge">'Valuation'!$D$247</definedName>
    <definedName name="ScenarioTaxTreatment">'Valuation'!$E$247</definedName>
    <definedName name="ScenarioCashInterestChange">'Valuation'!$D$248</definedName>
    <definedName name="ScenarioInterestTaxTreatment">'Valuation'!$E$248</definedName>
    <definedName name="ScenarioCapexChange">'Valuation'!$D$249</definedName>
    <definedName name="ScenarioWCAdjustment">'Valuation'!$D$250</definedName>
    <definedName name="ScenarioBuybackCash">'Valuation'!$D$253</definedName>
    <definedName name="ScenarioBuybackPrice">'Valuation'!$D$254</definedName>
    <definedName name="ScenarioShareIssuance">'Valuation'!$D$255</definedName>
    <definedName name="ScenarioDebtPaydown">'Valuation'!$D$256</definedName>
    <definedName name="ScenarioRevenue">'Valuation'!$E$241</definedName>
    <definedName name="ScenarioBaseEBITDA">'Valuation'!$E$242</definedName>
    <definedName name="ScenarioAdjustedEBITDA">'Valuation'!$E$243</definedName>
    <definedName name="ScenarioFCF">'Valuation'!$E$244</definedName>
    <definedName name="ScenarioShares">'Valuation'!$E$259</definedName>
    <definedName name="ScenarioNetDebt">'Valuation'!$E$260</definedName>
    <definedName name="ScenarioEPS">'Valuation'!$E$261</definedName>
    <definedName name="ScenarioEV">'Valuation'!$J$259</definedName>
    <definedName name="ScenarioEquityValue">'Valuation'!$J$260</definedName>
    <definedName name="ScenarioImpliedPrice">'Valuation'!$J$261</definedName>
    <definedName name="ScenarioUpside">'Valuation'!$N$259</definedName>
    <definedName name="ScenarioPE">'Valuation'!$N$260</definedName>
    <definedName name="ScenarioFCFYield">'Valuation'!$N$261</definedName>
    <definedName name="ScenarioEVRevenue">'Valuation'!$R$259</definedName>
    <definedName name="ScenarioEVBaseEBITDA">'Valuation'!$R$260</definedName>
    <definedName name="ScenarioEVAdjustedEBITDA">'Valuation'!$R$261</definedName>
    <definedName name="HV_Base_MetricKey">'Hidden_Value_Base'!$A$2:$A$5001</definedName>
    <definedName name="HV_Base_Value">'Hidden_Value_Base'!$C$2:$C$5001</definedName>
    <definedName name="HV_Base_Status">'Hidden_Value_Base'!$I$2:$I$5001</definedName>
    <definedName name="HV_Recompute_CandidateKey">'Hidden_Value_Recompute'!$AF$2:$AF$8</definedName>
    <definedName name="HV_Recompute_RowParity">'Hidden_Value_Recompute'!$AD$2:$AD$92</definedName>
    <definedName name="HV_Recompute_CandidateParity">'Hidden_Value_Recompute'!$AX$2:$AX$8</definedName>
    <definedName name="HV_Flags_CandidateKey">'Hidden_Value_Flags'!$B$2:$B$8</definedName>
    <definedName name="HV_Flags_Score">'Hidden_Value_Flags'!$E$2:$E$8</definedName>
    <definedName name="HV_Flags_State">'Hidden_Value_Flags'!$G$2:$G$8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1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[Red]-#,##0.0"/>
    <numFmt numFmtId="178" formatCode="0.0%;[Red]-0.0%"/>
    <numFmt numFmtId="179" formatCode="0.00x;[Red]-0.00x"/>
    <numFmt numFmtId="180" formatCode="0.000;[Red]-0.000"/>
    <numFmt numFmtId="181" formatCode="$0.00;[Red]-$0.00"/>
    <numFmt numFmtId="182" formatCode="$#,##0.00;[Red]-$#,##0.00"/>
    <numFmt numFmtId="183" formatCode="#,##0.000;[Red]-#,##0.000"/>
    <numFmt numFmtId="184" formatCode="0.0000000000"/>
  </numFmts>
  <fonts count="47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  <font>
      <name val="Aptos"/>
      <b val="1"/>
      <color rgb="00FFFFFF"/>
      <sz val="10"/>
    </font>
  </fonts>
  <fills count="33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12" fillId="5" borderId="19" applyAlignment="1" pivotButton="0" quotePrefix="0" xfId="0">
      <alignment horizontal="left" vertical="center" wrapText="1"/>
    </xf>
    <xf numFmtId="177" fontId="17" fillId="0" borderId="0" pivotButton="0" quotePrefix="0" xfId="0"/>
    <xf numFmtId="178" fontId="17" fillId="0" borderId="0" pivotButton="0" quotePrefix="0" xfId="0"/>
    <xf numFmtId="0" fontId="12" fillId="0" borderId="19" applyAlignment="1" pivotButton="0" quotePrefix="0" xfId="0">
      <alignment horizontal="left" vertical="center"/>
    </xf>
    <xf numFmtId="0" fontId="45" fillId="11" borderId="19" applyAlignment="1" pivotButton="0" quotePrefix="0" xfId="0">
      <alignment horizontal="left" vertical="center" wrapText="1"/>
    </xf>
    <xf numFmtId="165" fontId="45" fillId="11" borderId="19" applyAlignment="1" pivotButton="0" quotePrefix="0" xfId="0">
      <alignment horizontal="left" vertical="center" wrapText="1"/>
    </xf>
    <xf numFmtId="169" fontId="14" fillId="0" borderId="19" applyAlignment="1" pivotButton="0" quotePrefix="0" xfId="0">
      <alignment horizontal="left" vertical="center"/>
    </xf>
    <xf numFmtId="170" fontId="14" fillId="0" borderId="19" applyAlignment="1" pivotButton="0" quotePrefix="0" xfId="0">
      <alignment horizontal="left" vertical="center"/>
    </xf>
    <xf numFmtId="171" fontId="15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2" fontId="14" fillId="19" borderId="19" applyAlignment="1" pivotButton="0" quotePrefix="0" xfId="0">
      <alignment horizontal="left" vertical="center"/>
    </xf>
    <xf numFmtId="182" fontId="14" fillId="16" borderId="19" applyAlignment="1" pivotButton="0" quotePrefix="0" xfId="0">
      <alignment horizontal="left" vertical="center"/>
    </xf>
    <xf numFmtId="179" fontId="17" fillId="0" borderId="0" pivotButton="0" quotePrefix="0" xfId="0"/>
    <xf numFmtId="180" fontId="17" fillId="0" borderId="0" pivotButton="0" quotePrefix="0" xfId="0"/>
    <xf numFmtId="181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/>
    </xf>
    <xf numFmtId="0" fontId="17" fillId="0" borderId="9" applyAlignment="1" pivotButton="0" quotePrefix="0" xfId="0">
      <alignment horizontal="left" vertical="center" wrapText="1"/>
    </xf>
    <xf numFmtId="0" fontId="17" fillId="0" borderId="9" applyAlignment="1" pivotButton="0" quotePrefix="0" xfId="0">
      <alignment horizontal="right" vertical="center"/>
    </xf>
    <xf numFmtId="0" fontId="17" fillId="0" borderId="9" applyAlignment="1" pivotButton="0" quotePrefix="0" xfId="0">
      <alignment horizontal="left" vertical="center"/>
    </xf>
    <xf numFmtId="0" fontId="12" fillId="5" borderId="9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left" vertical="center" wrapText="1"/>
    </xf>
    <xf numFmtId="0" fontId="12" fillId="5" borderId="46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center" vertical="center"/>
    </xf>
    <xf numFmtId="0" fontId="45" fillId="11" borderId="46" applyAlignment="1" pivotButton="0" quotePrefix="0" xfId="0">
      <alignment horizontal="center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182" fontId="17" fillId="0" borderId="0" pivotButton="0" quotePrefix="0" xfId="0"/>
    <xf numFmtId="166" fontId="18" fillId="0" borderId="0" applyAlignment="1" applyProtection="1" pivotButton="0" quotePrefix="0" xfId="0">
      <alignment horizontal="center" vertical="bottom"/>
      <protection locked="0" hidden="0"/>
    </xf>
    <xf numFmtId="166" fontId="18" fillId="15" borderId="0" applyAlignment="1" applyProtection="1" pivotButton="0" quotePrefix="0" xfId="0">
      <alignment horizontal="center" vertical="bottom"/>
      <protection locked="0" hidden="0"/>
    </xf>
    <xf numFmtId="182" fontId="17" fillId="0" borderId="0" applyAlignment="1" pivotButton="0" quotePrefix="0" xfId="0">
      <alignment horizontal="right" vertical="bottom"/>
    </xf>
    <xf numFmtId="182" fontId="17" fillId="15" borderId="10" applyAlignment="1" pivotButton="0" quotePrefix="0" xfId="0">
      <alignment horizontal="right" vertical="bottom"/>
    </xf>
    <xf numFmtId="182" fontId="17" fillId="15" borderId="11" applyAlignment="1" pivotButton="0" quotePrefix="0" xfId="0">
      <alignment horizontal="right" vertical="bottom"/>
    </xf>
    <xf numFmtId="182" fontId="17" fillId="15" borderId="12" applyAlignment="1" pivotButton="0" quotePrefix="0" xfId="0">
      <alignment horizontal="right" vertical="bottom"/>
    </xf>
    <xf numFmtId="182" fontId="17" fillId="15" borderId="13" applyAlignment="1" pivotButton="0" quotePrefix="0" xfId="0">
      <alignment horizontal="right" vertical="bottom"/>
    </xf>
    <xf numFmtId="182" fontId="17" fillId="15" borderId="14" applyAlignment="1" pivotButton="0" quotePrefix="0" xfId="0">
      <alignment horizontal="right" vertical="bottom"/>
    </xf>
    <xf numFmtId="182" fontId="17" fillId="15" borderId="15" applyAlignment="1" pivotButton="0" quotePrefix="0" xfId="0">
      <alignment horizontal="right" vertical="bottom"/>
    </xf>
    <xf numFmtId="182" fontId="17" fillId="15" borderId="16" applyAlignment="1" pivotButton="0" quotePrefix="0" xfId="0">
      <alignment horizontal="right" vertical="bottom"/>
    </xf>
    <xf numFmtId="182" fontId="17" fillId="15" borderId="17" applyAlignment="1" pivotButton="0" quotePrefix="0" xfId="0">
      <alignment horizontal="right" vertical="bottom"/>
    </xf>
    <xf numFmtId="182" fontId="17" fillId="15" borderId="18" applyAlignment="1" pivotButton="0" quotePrefix="0" xfId="0">
      <alignment horizontal="right" vertical="bottom"/>
    </xf>
    <xf numFmtId="166" fontId="18" fillId="0" borderId="27" applyAlignment="1" applyProtection="1" pivotButton="0" quotePrefix="0" xfId="0">
      <alignment horizontal="center" vertical="bottom"/>
      <protection locked="0" hidden="0"/>
    </xf>
    <xf numFmtId="182" fontId="17" fillId="0" borderId="27" applyAlignment="1" pivotButton="0" quotePrefix="0" xfId="0">
      <alignment horizontal="right" vertical="bottom"/>
    </xf>
    <xf numFmtId="0" fontId="17" fillId="14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9" fontId="0" fillId="0" borderId="0" pivotButton="0" quotePrefix="0" xfId="0"/>
    <xf numFmtId="166" fontId="0" fillId="0" borderId="0" pivotButton="0" quotePrefix="0" xfId="0"/>
    <xf numFmtId="170" fontId="17" fillId="0" borderId="0" pivotButton="0" quotePrefix="0" xfId="0"/>
    <xf numFmtId="0" fontId="12" fillId="0" borderId="0" applyAlignment="1" pivotButton="0" quotePrefix="0" xfId="0">
      <alignment horizontal="left" vertical="top" wrapText="1"/>
    </xf>
    <xf numFmtId="0" fontId="17" fillId="0" borderId="47" applyAlignment="1" applyProtection="1" pivotButton="0" quotePrefix="0" xfId="0">
      <alignment horizontal="left" vertical="top" wrapText="1"/>
      <protection locked="0" hidden="0"/>
    </xf>
    <xf numFmtId="183" fontId="17" fillId="0" borderId="0" pivotButton="0" quotePrefix="0" xfId="0"/>
    <xf numFmtId="177" fontId="0" fillId="0" borderId="0" pivotButton="0" quotePrefix="0" xfId="0"/>
    <xf numFmtId="181" fontId="17" fillId="0" borderId="27" pivotButton="0" quotePrefix="0" xfId="0"/>
    <xf numFmtId="182" fontId="0" fillId="0" borderId="0" pivotButton="0" quotePrefix="0" xfId="0"/>
    <xf numFmtId="169" fontId="22" fillId="19" borderId="2" applyAlignment="1" pivotButton="0" quotePrefix="0" xfId="0">
      <alignment horizontal="right"/>
    </xf>
    <xf numFmtId="177" fontId="22" fillId="19" borderId="2" applyAlignment="1" pivotButton="0" quotePrefix="0" xfId="0">
      <alignment horizontal="right"/>
    </xf>
    <xf numFmtId="178" fontId="22" fillId="19" borderId="2" applyAlignment="1" pivotButton="0" quotePrefix="0" xfId="0">
      <alignment horizontal="right"/>
    </xf>
    <xf numFmtId="175" fontId="22" fillId="19" borderId="2" applyAlignment="1" pivotButton="0" quotePrefix="0" xfId="0">
      <alignment horizontal="right"/>
    </xf>
    <xf numFmtId="0" fontId="0" fillId="19" borderId="2" pivotButton="0" quotePrefix="0" xfId="0"/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183" fontId="14" fillId="19" borderId="19" applyAlignment="1" pivotButton="0" quotePrefix="0" xfId="0">
      <alignment horizontal="left" vertical="center"/>
    </xf>
    <xf numFmtId="171" fontId="14" fillId="16" borderId="19" applyAlignment="1" applyProtection="1" pivotButton="0" quotePrefix="0" xfId="0">
      <alignment horizontal="left" vertical="center"/>
      <protection locked="0" hidden="0"/>
    </xf>
    <xf numFmtId="171" fontId="14" fillId="19" borderId="19" applyAlignment="1" applyProtection="1" pivotButton="0" quotePrefix="0" xfId="0">
      <alignment horizontal="left" vertical="center"/>
      <protection locked="0" hidden="0"/>
    </xf>
    <xf numFmtId="166" fontId="14" fillId="16" borderId="19" applyAlignment="1" applyProtection="1" pivotButton="0" quotePrefix="0" xfId="0">
      <alignment horizontal="left" vertical="center"/>
      <protection locked="0" hidden="0"/>
    </xf>
    <xf numFmtId="166" fontId="14" fillId="19" borderId="19" applyAlignment="1" applyProtection="1" pivotButton="0" quotePrefix="0" xfId="0">
      <alignment horizontal="left" vertical="center"/>
      <protection locked="0" hidden="0"/>
    </xf>
    <xf numFmtId="169" fontId="14" fillId="19" borderId="19" applyAlignment="1" applyProtection="1" pivotButton="0" quotePrefix="0" xfId="0">
      <alignment horizontal="left" vertical="center"/>
      <protection locked="0" hidden="0"/>
    </xf>
    <xf numFmtId="169" fontId="14" fillId="16" borderId="19" applyAlignment="1" applyProtection="1" pivotButton="0" quotePrefix="0" xfId="0">
      <alignment horizontal="left" vertical="center"/>
      <protection locked="0" hidden="0"/>
    </xf>
    <xf numFmtId="1" fontId="14" fillId="19" borderId="19" applyAlignment="1" applyProtection="1" pivotButton="0" quotePrefix="0" xfId="0">
      <alignment horizontal="left" vertical="center"/>
      <protection locked="0" hidden="0"/>
    </xf>
    <xf numFmtId="1" fontId="14" fillId="16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/>
      <protection locked="0" hidden="0"/>
    </xf>
    <xf numFmtId="0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/>
      <protection locked="0" hidden="0"/>
    </xf>
    <xf numFmtId="0" fontId="14" fillId="16" borderId="19" applyAlignment="1" applyProtection="1" pivotButton="0" quotePrefix="0" xfId="0">
      <alignment horizontal="left" vertical="center" wrapText="1"/>
      <protection locked="0" hidden="0"/>
    </xf>
    <xf numFmtId="166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 wrapText="1"/>
      <protection locked="0" hidden="0"/>
    </xf>
    <xf numFmtId="181" fontId="14" fillId="16" borderId="19" applyAlignment="1" pivotButton="0" quotePrefix="0" xfId="0">
      <alignment horizontal="left" vertical="center"/>
    </xf>
    <xf numFmtId="181" fontId="0" fillId="0" borderId="0" pivotButton="0" quotePrefix="0" xfId="0"/>
    <xf numFmtId="182" fontId="14" fillId="16" borderId="19" applyAlignment="1" pivotButton="0" quotePrefix="0" xfId="0">
      <alignment horizontal="left" vertical="center" wrapText="1"/>
    </xf>
    <xf numFmtId="177" fontId="14" fillId="19" borderId="19" applyAlignment="1" pivotButton="0" quotePrefix="0" xfId="0">
      <alignment horizontal="left" vertical="center" wrapText="1"/>
    </xf>
    <xf numFmtId="177" fontId="14" fillId="16" borderId="19" applyAlignment="1" pivotButton="0" quotePrefix="0" xfId="0">
      <alignment horizontal="left" vertical="center" wrapText="1"/>
    </xf>
    <xf numFmtId="178" fontId="0" fillId="0" borderId="0" pivotButton="0" quotePrefix="0" xfId="0"/>
    <xf numFmtId="183" fontId="14" fillId="16" borderId="19" applyAlignment="1" pivotButton="0" quotePrefix="0" xfId="0">
      <alignment horizontal="left" vertical="center"/>
    </xf>
    <xf numFmtId="178" fontId="14" fillId="16" borderId="19" applyAlignment="1" pivotButton="0" quotePrefix="0" xfId="0">
      <alignment horizontal="left" vertical="center"/>
    </xf>
    <xf numFmtId="181" fontId="14" fillId="19" borderId="19" applyAlignment="1" pivotButton="0" quotePrefix="0" xfId="0">
      <alignment horizontal="left" vertical="center"/>
    </xf>
    <xf numFmtId="178" fontId="14" fillId="19" borderId="19" applyAlignment="1" pivotButton="0" quotePrefix="0" xfId="0">
      <alignment horizontal="left" vertical="center"/>
    </xf>
    <xf numFmtId="170" fontId="14" fillId="16" borderId="19" applyAlignment="1" applyProtection="1" pivotButton="0" quotePrefix="0" xfId="0">
      <alignment horizontal="left" vertical="center"/>
      <protection locked="0" hidden="0"/>
    </xf>
    <xf numFmtId="170" fontId="14" fillId="19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 wrapText="1"/>
      <protection locked="0" hidden="0"/>
    </xf>
    <xf numFmtId="182" fontId="14" fillId="19" borderId="19" applyAlignment="1" pivotButton="0" quotePrefix="0" xfId="0">
      <alignment horizontal="left" vertical="center" wrapText="1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46" fillId="21" borderId="0" applyAlignment="1" pivotButton="0" quotePrefix="0" xfId="0">
      <alignment horizontal="left" vertical="center"/>
    </xf>
    <xf numFmtId="174" fontId="0" fillId="0" borderId="0" pivotButton="0" quotePrefix="0" xfId="0"/>
    <xf numFmtId="183" fontId="0" fillId="0" borderId="0" pivotButton="0" quotePrefix="0" xfId="0"/>
    <xf numFmtId="1" fontId="0" fillId="0" borderId="0" pivotButton="0" quotePrefix="0" xfId="0"/>
    <xf numFmtId="184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14" t="n"/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18" t="n"/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18" t="n"/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17" t="n"/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EPS YoY Δ (latest vs LY quarter)</t>
        </is>
      </c>
      <c r="B33" s="14" t="n"/>
      <c r="C33" s="15" t="inlineStr">
        <is>
          <t>$/share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n"/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n"/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17" t="n"/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18" t="n"/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n"/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n"/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21" t="n"/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n"/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16" t="n"/>
      <c r="E44" s="16" t="n"/>
      <c r="F44" s="16" t="n"/>
    </row>
    <row r="45" ht="22" customHeight="1">
      <c r="A45" s="9" t="inlineStr">
        <is>
          <t>Total liquidity</t>
        </is>
      </c>
      <c r="B45" s="17" t="n"/>
      <c r="C45" s="11" t="inlineStr">
        <is>
          <t>$m</t>
        </is>
      </c>
      <c r="D45" s="44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7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7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2" t="inlineStr">
        <is>
          <t>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5" t="inlineStr">
        <is>
          <t>Metric</t>
        </is>
      </c>
      <c r="P8" s="46" t="n"/>
      <c r="Q8" s="45" t="inlineStr">
        <is>
          <t>Stated in</t>
        </is>
      </c>
      <c r="R8" s="45" t="inlineStr">
        <is>
          <t>Applies to</t>
        </is>
      </c>
      <c r="S8" s="45" t="inlineStr">
        <is>
          <t>Guidance</t>
        </is>
      </c>
      <c r="T8" s="47" t="n"/>
      <c r="U8" s="47" t="n"/>
      <c r="V8" s="47" t="n"/>
      <c r="W8" s="47" t="n"/>
      <c r="X8" s="47" t="n"/>
      <c r="Y8" s="47" t="n"/>
      <c r="Z8" s="46" t="n"/>
      <c r="AA8" s="45" t="inlineStr">
        <is>
          <t>Trend / realized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7" t="n"/>
      <c r="X9" s="47" t="n"/>
      <c r="Y9" s="47" t="n"/>
      <c r="Z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43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43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43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43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43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43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43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43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43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43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43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43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7" t="n"/>
      <c r="X10" s="47" t="n"/>
      <c r="Y10" s="47" t="n"/>
      <c r="Z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44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44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44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44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44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44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44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44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44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44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44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44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7" t="n"/>
      <c r="X11" s="47" t="n"/>
      <c r="Y11" s="47" t="n"/>
      <c r="Z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7" t="n"/>
      <c r="X12" s="47" t="n"/>
      <c r="Y12" s="47" t="n"/>
      <c r="Z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44">
        <f>IF(OR(B262="",B9="",B9=0),"",B262/B9)</f>
        <v/>
      </c>
      <c r="C13" s="444">
        <f>IF(OR(C262="",C9="",C9=0),"",C262/C9)</f>
        <v/>
      </c>
      <c r="D13" s="444">
        <f>IF(OR(D262="",D9="",D9=0),"",D262/D9)</f>
        <v/>
      </c>
      <c r="E13" s="444">
        <f>IF(OR(E262="",E9="",E9=0),"",E262/E9)</f>
        <v/>
      </c>
      <c r="F13" s="444">
        <f>IF(OR(F262="",F9="",F9=0),"",F262/F9)</f>
        <v/>
      </c>
      <c r="G13" s="444">
        <f>IF(OR(G262="",G9="",G9=0),"",G262/G9)</f>
        <v/>
      </c>
      <c r="H13" s="444">
        <f>IF(OR(H262="",H9="",H9=0),"",H262/H9)</f>
        <v/>
      </c>
      <c r="I13" s="444">
        <f>IF(OR(I262="",I9="",I9=0),"",I262/I9)</f>
        <v/>
      </c>
      <c r="J13" s="444">
        <f>IF(OR(J262="",J9="",J9=0),"",J262/J9)</f>
        <v/>
      </c>
      <c r="K13" s="444">
        <f>IF(OR(K262="",K9="",K9=0),"",K262/K9)</f>
        <v/>
      </c>
      <c r="L13" s="444">
        <f>IF(OR(L262="",L9="",L9=0),"",L262/L9)</f>
        <v/>
      </c>
      <c r="M13" s="444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7" t="n"/>
      <c r="X13" s="47" t="n"/>
      <c r="Y13" s="47" t="n"/>
      <c r="Z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44">
        <f>IF(OR(B32="",B9="",B9=0),"",B32/B9)</f>
        <v/>
      </c>
      <c r="C14" s="444">
        <f>IF(OR(C32="",C9="",C9=0),"",C32/C9)</f>
        <v/>
      </c>
      <c r="D14" s="444">
        <f>IF(OR(D32="",D9="",D9=0),"",D32/D9)</f>
        <v/>
      </c>
      <c r="E14" s="444">
        <f>IF(OR(E32="",E9="",E9=0),"",E32/E9)</f>
        <v/>
      </c>
      <c r="F14" s="444">
        <f>IF(OR(F32="",F9="",F9=0),"",F32/F9)</f>
        <v/>
      </c>
      <c r="G14" s="444">
        <f>IF(OR(G32="",G9="",G9=0),"",G32/G9)</f>
        <v/>
      </c>
      <c r="H14" s="444">
        <f>IF(OR(H32="",H9="",H9=0),"",H32/H9)</f>
        <v/>
      </c>
      <c r="I14" s="444">
        <f>IF(OR(I32="",I9="",I9=0),"",I32/I9)</f>
        <v/>
      </c>
      <c r="J14" s="444">
        <f>IF(OR(J32="",J9="",J9=0),"",J32/J9)</f>
        <v/>
      </c>
      <c r="K14" s="444">
        <f>IF(OR(K32="",K9="",K9=0),"",K32/K9)</f>
        <v/>
      </c>
      <c r="L14" s="444">
        <f>IF(OR(L32="",L9="",L9=0),"",L32/L9)</f>
        <v/>
      </c>
      <c r="M14" s="444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7" t="n"/>
      <c r="X14" s="47" t="n"/>
      <c r="Y14" s="47" t="n"/>
      <c r="Z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44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44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44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44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44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44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44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44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44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44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44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44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7" t="n"/>
      <c r="X15" s="47" t="n"/>
      <c r="Y15" s="47" t="n"/>
      <c r="Z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7" t="n"/>
      <c r="X16" s="47" t="n"/>
      <c r="Y16" s="47" t="n"/>
      <c r="Z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7" t="n"/>
      <c r="X17" s="47" t="n"/>
      <c r="Y17" s="47" t="n"/>
      <c r="Z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7" t="n"/>
      <c r="X18" s="47" t="n"/>
      <c r="Y18" s="47" t="n"/>
      <c r="Z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44">
        <f>IF(OR(B18="",B9="",B9=0),"",B18/B9)</f>
        <v/>
      </c>
      <c r="C19" s="444">
        <f>IF(OR(C18="",C9="",C9=0),"",C18/C9)</f>
        <v/>
      </c>
      <c r="D19" s="444">
        <f>IF(OR(D18="",D9="",D9=0),"",D18/D9)</f>
        <v/>
      </c>
      <c r="E19" s="444">
        <f>IF(OR(E18="",E9="",E9=0),"",E18/E9)</f>
        <v/>
      </c>
      <c r="F19" s="444">
        <f>IF(OR(F18="",F9="",F9=0),"",F18/F9)</f>
        <v/>
      </c>
      <c r="G19" s="444">
        <f>IF(OR(G18="",G9="",G9=0),"",G18/G9)</f>
        <v/>
      </c>
      <c r="H19" s="444">
        <f>IF(OR(H18="",H9="",H9=0),"",H18/H9)</f>
        <v/>
      </c>
      <c r="I19" s="444">
        <f>IF(OR(I18="",I9="",I9=0),"",I18/I9)</f>
        <v/>
      </c>
      <c r="J19" s="444">
        <f>IF(OR(J18="",J9="",J9=0),"",J18/J9)</f>
        <v/>
      </c>
      <c r="K19" s="444">
        <f>IF(OR(K18="",K9="",K9=0),"",K18/K9)</f>
        <v/>
      </c>
      <c r="L19" s="444">
        <f>IF(OR(L18="",L9="",L9=0),"",L18/L9)</f>
        <v/>
      </c>
      <c r="M19" s="444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7" t="n"/>
      <c r="X19" s="47" t="n"/>
      <c r="Y19" s="47" t="n"/>
      <c r="Z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44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44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44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44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44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44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44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44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44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44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44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44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7" t="n"/>
      <c r="X20" s="47" t="n"/>
      <c r="Y20" s="47" t="n"/>
      <c r="Z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43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43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43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43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43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43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43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43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43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43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43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43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7" t="n"/>
      <c r="X21" s="47" t="n"/>
      <c r="Y21" s="47" t="n"/>
      <c r="Z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44">
        <f>IF(OR(B21="",B10="",B10=0),"",B21/B10)</f>
        <v/>
      </c>
      <c r="C22" s="444">
        <f>IF(OR(C21="",C10="",C10=0),"",C21/C10)</f>
        <v/>
      </c>
      <c r="D22" s="444">
        <f>IF(OR(D21="",D10="",D10=0),"",D21/D10)</f>
        <v/>
      </c>
      <c r="E22" s="444">
        <f>IF(OR(E21="",E10="",E10=0),"",E21/E10)</f>
        <v/>
      </c>
      <c r="F22" s="444">
        <f>IF(OR(F21="",F10="",F10=0),"",F21/F10)</f>
        <v/>
      </c>
      <c r="G22" s="444">
        <f>IF(OR(G21="",G10="",G10=0),"",G21/G10)</f>
        <v/>
      </c>
      <c r="H22" s="444">
        <f>IF(OR(H21="",H10="",H10=0),"",H21/H10)</f>
        <v/>
      </c>
      <c r="I22" s="444">
        <f>IF(OR(I21="",I10="",I10=0),"",I21/I10)</f>
        <v/>
      </c>
      <c r="J22" s="444">
        <f>IF(OR(J21="",J10="",J10=0),"",J21/J10)</f>
        <v/>
      </c>
      <c r="K22" s="444">
        <f>IF(OR(K21="",K10="",K10=0),"",K21/K10)</f>
        <v/>
      </c>
      <c r="L22" s="444">
        <f>IF(OR(L21="",L10="",L10=0),"",L21/L10)</f>
        <v/>
      </c>
      <c r="M22" s="444">
        <f>IF(OR(M21="",M10="",M10=0),"",M21/M10)</f>
        <v/>
      </c>
      <c r="N22" s="22" t="n"/>
      <c r="O22" s="53" t="n"/>
      <c r="P22" s="46" t="n"/>
      <c r="Q22" s="53" t="n"/>
      <c r="R22" s="53" t="n"/>
      <c r="S22" s="53" t="n"/>
      <c r="T22" s="47" t="n"/>
      <c r="U22" s="47" t="n"/>
      <c r="V22" s="47" t="n"/>
      <c r="W22" s="47" t="n"/>
      <c r="X22" s="47" t="n"/>
      <c r="Y22" s="47" t="n"/>
      <c r="Z22" s="46" t="n"/>
      <c r="AA22" s="53" t="n"/>
      <c r="AB22" s="47" t="n"/>
      <c r="AC22" s="46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O23" s="52" t="n"/>
      <c r="P23" s="46" t="n"/>
      <c r="Q23" s="52" t="n"/>
      <c r="R23" s="52" t="n"/>
      <c r="S23" s="52" t="n"/>
      <c r="T23" s="47" t="n"/>
      <c r="U23" s="47" t="n"/>
      <c r="V23" s="47" t="n"/>
      <c r="W23" s="47" t="n"/>
      <c r="X23" s="47" t="n"/>
      <c r="Y23" s="47" t="n"/>
      <c r="Z23" s="46" t="n"/>
      <c r="AA23" s="52" t="n"/>
      <c r="AB23" s="47" t="n"/>
      <c r="AC23" s="46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62" t="n"/>
      <c r="C24" s="62" t="n"/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22" t="n"/>
      <c r="O24" s="53" t="n"/>
      <c r="P24" s="46" t="n"/>
      <c r="Q24" s="53" t="n"/>
      <c r="R24" s="53" t="n"/>
      <c r="S24" s="53" t="n"/>
      <c r="T24" s="47" t="n"/>
      <c r="U24" s="47" t="n"/>
      <c r="V24" s="47" t="n"/>
      <c r="W24" s="47" t="n"/>
      <c r="X24" s="47" t="n"/>
      <c r="Y24" s="47" t="n"/>
      <c r="Z24" s="46" t="n"/>
      <c r="AA24" s="53" t="n"/>
      <c r="AB24" s="47" t="n"/>
      <c r="AC24" s="46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43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_xlfn.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43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_xlfn.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43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_xlfn.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43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_xlfn.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43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_xlfn.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43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_xlfn.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43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_xlfn.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43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_xlfn.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43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_xlfn.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43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_xlfn.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43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_xlfn.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43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_xlfn.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O25" s="52" t="n"/>
      <c r="P25" s="46" t="n"/>
      <c r="Q25" s="52" t="n"/>
      <c r="R25" s="52" t="n"/>
      <c r="S25" s="52" t="n"/>
      <c r="T25" s="47" t="n"/>
      <c r="U25" s="47" t="n"/>
      <c r="V25" s="47" t="n"/>
      <c r="W25" s="47" t="n"/>
      <c r="X25" s="47" t="n"/>
      <c r="Y25" s="47" t="n"/>
      <c r="Z25" s="46" t="n"/>
      <c r="AA25" s="52" t="n"/>
      <c r="AB25" s="47" t="n"/>
      <c r="AC25" s="46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43">
        <f>IF(OR(B24="",B18=""),"",B24-B18)</f>
        <v/>
      </c>
      <c r="C26" s="443">
        <f>IF(OR(C24="",C18=""),"",C24-C18)</f>
        <v/>
      </c>
      <c r="D26" s="443">
        <f>IF(OR(D24="",D18=""),"",D24-D18)</f>
        <v/>
      </c>
      <c r="E26" s="443">
        <f>IF(OR(E24="",E18=""),"",E24-E18)</f>
        <v/>
      </c>
      <c r="F26" s="443">
        <f>IF(OR(F24="",F18=""),"",F24-F18)</f>
        <v/>
      </c>
      <c r="G26" s="443">
        <f>IF(OR(G24="",G18=""),"",G24-G18)</f>
        <v/>
      </c>
      <c r="H26" s="443">
        <f>IF(OR(H24="",H18=""),"",H24-H18)</f>
        <v/>
      </c>
      <c r="I26" s="443">
        <f>IF(OR(I24="",I18=""),"",I24-I18)</f>
        <v/>
      </c>
      <c r="J26" s="443">
        <f>IF(OR(J24="",J18=""),"",J24-J18)</f>
        <v/>
      </c>
      <c r="K26" s="443">
        <f>IF(OR(K24="",K18=""),"",K24-K18)</f>
        <v/>
      </c>
      <c r="L26" s="443">
        <f>IF(OR(L24="",L18=""),"",L24-L18)</f>
        <v/>
      </c>
      <c r="M26" s="443">
        <f>IF(OR(M24="",M18=""),"",M24-M18)</f>
        <v/>
      </c>
      <c r="N26" s="22" t="n"/>
      <c r="O26" s="63" t="n"/>
      <c r="P26" s="64" t="n"/>
      <c r="Q26" s="64" t="n"/>
      <c r="R26" s="63" t="n"/>
      <c r="S26" s="64" t="n"/>
      <c r="T26" s="64" t="n"/>
      <c r="U26" s="63" t="n"/>
      <c r="V26" s="64" t="n"/>
      <c r="W26" s="64" t="n"/>
      <c r="X26" s="64" t="n"/>
      <c r="Y26" s="64" t="n"/>
      <c r="Z26" s="64" t="n"/>
      <c r="AA26" s="63" t="n"/>
      <c r="AB26" s="64" t="n"/>
      <c r="AC26" s="64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44">
        <f>IF(OR(B24="",B9="",B9=0),"",B24/B9)</f>
        <v/>
      </c>
      <c r="C27" s="444">
        <f>IF(OR(C24="",C9="",C9=0),"",C24/C9)</f>
        <v/>
      </c>
      <c r="D27" s="444">
        <f>IF(OR(D24="",D9="",D9=0),"",D24/D9)</f>
        <v/>
      </c>
      <c r="E27" s="444">
        <f>IF(OR(E24="",E9="",E9=0),"",E24/E9)</f>
        <v/>
      </c>
      <c r="F27" s="444">
        <f>IF(OR(F24="",F9="",F9=0),"",F24/F9)</f>
        <v/>
      </c>
      <c r="G27" s="444">
        <f>IF(OR(G24="",G9="",G9=0),"",G24/G9)</f>
        <v/>
      </c>
      <c r="H27" s="444">
        <f>IF(OR(H24="",H9="",H9=0),"",H24/H9)</f>
        <v/>
      </c>
      <c r="I27" s="444">
        <f>IF(OR(I24="",I9="",I9=0),"",I24/I9)</f>
        <v/>
      </c>
      <c r="J27" s="444">
        <f>IF(OR(J24="",J9="",J9=0),"",J24/J9)</f>
        <v/>
      </c>
      <c r="K27" s="444">
        <f>IF(OR(K24="",K9="",K9=0),"",K24/K9)</f>
        <v/>
      </c>
      <c r="L27" s="444">
        <f>IF(OR(L24="",L9="",L9=0),"",L24/L9)</f>
        <v/>
      </c>
      <c r="M27" s="444">
        <f>IF(OR(M24="",M9="",M9=0),"",M24/M9)</f>
        <v/>
      </c>
      <c r="N27" s="22" t="n"/>
      <c r="O27" s="445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44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44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44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44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44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44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44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44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44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44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44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44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6" t="inlineStr">
        <is>
          <t>Metric</t>
        </is>
      </c>
      <c r="P28" s="46" t="n"/>
      <c r="Q28" s="446" t="inlineStr">
        <is>
          <t>Stated in</t>
        </is>
      </c>
      <c r="R28" s="446" t="inlineStr">
        <is>
          <t>Applies to</t>
        </is>
      </c>
      <c r="S28" s="446" t="inlineStr">
        <is>
          <t>Guidance</t>
        </is>
      </c>
      <c r="T28" s="47" t="n"/>
      <c r="U28" s="47" t="n"/>
      <c r="V28" s="47" t="n"/>
      <c r="W28" s="47" t="n"/>
      <c r="X28" s="47" t="n"/>
      <c r="Y28" s="47" t="n"/>
      <c r="Z28" s="46" t="n"/>
      <c r="AA28" s="446" t="inlineStr">
        <is>
          <t>Trend / realized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44">
        <f>IF(OR(B25="",B10="",B10=0),"",B25/B10)</f>
        <v/>
      </c>
      <c r="C29" s="444">
        <f>IF(OR(C25="",C10="",C10=0),"",C25/C10)</f>
        <v/>
      </c>
      <c r="D29" s="444">
        <f>IF(OR(D25="",D10="",D10=0),"",D25/D10)</f>
        <v/>
      </c>
      <c r="E29" s="444">
        <f>IF(OR(E25="",E10="",E10=0),"",E25/E10)</f>
        <v/>
      </c>
      <c r="F29" s="444">
        <f>IF(OR(F25="",F10="",F10=0),"",F25/F10)</f>
        <v/>
      </c>
      <c r="G29" s="444">
        <f>IF(OR(G25="",G10="",G10=0),"",G25/G10)</f>
        <v/>
      </c>
      <c r="H29" s="444">
        <f>IF(OR(H25="",H10="",H10=0),"",H25/H10)</f>
        <v/>
      </c>
      <c r="I29" s="444">
        <f>IF(OR(I25="",I10="",I10=0),"",I25/I10)</f>
        <v/>
      </c>
      <c r="J29" s="444">
        <f>IF(OR(J25="",J10="",J10=0),"",J25/J10)</f>
        <v/>
      </c>
      <c r="K29" s="444">
        <f>IF(OR(K25="",K10="",K10=0),"",K25/K10)</f>
        <v/>
      </c>
      <c r="L29" s="444">
        <f>IF(OR(L25="",L10="",L10=0),"",L25/L10)</f>
        <v/>
      </c>
      <c r="M29" s="444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7" t="n"/>
      <c r="X29" s="47" t="n"/>
      <c r="Y29" s="47" t="n"/>
      <c r="Z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7" t="n"/>
      <c r="X30" s="47" t="n"/>
      <c r="Y30" s="47" t="n"/>
      <c r="Z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7" t="n"/>
      <c r="X31" s="47" t="n"/>
      <c r="Y31" s="47" t="n"/>
      <c r="Z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62" t="n"/>
      <c r="C32" s="62" t="n"/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7" t="n"/>
      <c r="X32" s="47" t="n"/>
      <c r="Y32" s="47" t="n"/>
      <c r="Z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44">
        <f>IF(OR(B32="",B9="",B9=0),"",B32/B9)</f>
        <v/>
      </c>
      <c r="C33" s="444">
        <f>IF(OR(C32="",C9="",C9=0),"",C32/C9)</f>
        <v/>
      </c>
      <c r="D33" s="444">
        <f>IF(OR(D32="",D9="",D9=0),"",D32/D9)</f>
        <v/>
      </c>
      <c r="E33" s="444">
        <f>IF(OR(E32="",E9="",E9=0),"",E32/E9)</f>
        <v/>
      </c>
      <c r="F33" s="444">
        <f>IF(OR(F32="",F9="",F9=0),"",F32/F9)</f>
        <v/>
      </c>
      <c r="G33" s="444">
        <f>IF(OR(G32="",G9="",G9=0),"",G32/G9)</f>
        <v/>
      </c>
      <c r="H33" s="444">
        <f>IF(OR(H32="",H9="",H9=0),"",H32/H9)</f>
        <v/>
      </c>
      <c r="I33" s="444">
        <f>IF(OR(I32="",I9="",I9=0),"",I32/I9)</f>
        <v/>
      </c>
      <c r="J33" s="444">
        <f>IF(OR(J32="",J9="",J9=0),"",J32/J9)</f>
        <v/>
      </c>
      <c r="K33" s="444">
        <f>IF(OR(K32="",K9="",K9=0),"",K32/K9)</f>
        <v/>
      </c>
      <c r="L33" s="444">
        <f>IF(OR(L32="",L9="",L9=0),"",L32/L9)</f>
        <v/>
      </c>
      <c r="M33" s="444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7" t="n"/>
      <c r="X33" s="47" t="n"/>
      <c r="Y33" s="47" t="n"/>
      <c r="Z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43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43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43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43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43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43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43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43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43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43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43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43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7" t="n"/>
      <c r="X34" s="47" t="n"/>
      <c r="Y34" s="47" t="n"/>
      <c r="Z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44">
        <f>IF(OR(B34="",B10="",B10=0),"",B34/B10)</f>
        <v/>
      </c>
      <c r="C35" s="444">
        <f>IF(OR(C34="",C10="",C10=0),"",C34/C10)</f>
        <v/>
      </c>
      <c r="D35" s="444">
        <f>IF(OR(D34="",D10="",D10=0),"",D34/D10)</f>
        <v/>
      </c>
      <c r="E35" s="444">
        <f>IF(OR(E34="",E10="",E10=0),"",E34/E10)</f>
        <v/>
      </c>
      <c r="F35" s="444">
        <f>IF(OR(F34="",F10="",F10=0),"",F34/F10)</f>
        <v/>
      </c>
      <c r="G35" s="444">
        <f>IF(OR(G34="",G10="",G10=0),"",G34/G10)</f>
        <v/>
      </c>
      <c r="H35" s="444">
        <f>IF(OR(H34="",H10="",H10=0),"",H34/H10)</f>
        <v/>
      </c>
      <c r="I35" s="444">
        <f>IF(OR(I34="",I10="",I10=0),"",I34/I10)</f>
        <v/>
      </c>
      <c r="J35" s="444">
        <f>IF(OR(J34="",J10="",J10=0),"",J34/J10)</f>
        <v/>
      </c>
      <c r="K35" s="444">
        <f>IF(OR(K34="",K10="",K10=0),"",K34/K10)</f>
        <v/>
      </c>
      <c r="L35" s="444">
        <f>IF(OR(L34="",L10="",L10=0),"",L34/L10)</f>
        <v/>
      </c>
      <c r="M35" s="444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7" t="n"/>
      <c r="X35" s="47" t="n"/>
      <c r="Y35" s="47" t="n"/>
      <c r="Z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62" t="n"/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44">
        <f>IF(OR(B36="",B9="",B9=0),"",B36/B9)</f>
        <v/>
      </c>
      <c r="C37" s="444">
        <f>IF(OR(C36="",C9="",C9=0),"",C36/C9)</f>
        <v/>
      </c>
      <c r="D37" s="444">
        <f>IF(OR(D36="",D9="",D9=0),"",D36/D9)</f>
        <v/>
      </c>
      <c r="E37" s="444">
        <f>IF(OR(E36="",E9="",E9=0),"",E36/E9)</f>
        <v/>
      </c>
      <c r="F37" s="444">
        <f>IF(OR(F36="",F9="",F9=0),"",F36/F9)</f>
        <v/>
      </c>
      <c r="G37" s="444">
        <f>IF(OR(G36="",G9="",G9=0),"",G36/G9)</f>
        <v/>
      </c>
      <c r="H37" s="444">
        <f>IF(OR(H36="",H9="",H9=0),"",H36/H9)</f>
        <v/>
      </c>
      <c r="I37" s="444">
        <f>IF(OR(I36="",I9="",I9=0),"",I36/I9)</f>
        <v/>
      </c>
      <c r="J37" s="444">
        <f>IF(OR(J36="",J9="",J9=0),"",J36/J9)</f>
        <v/>
      </c>
      <c r="K37" s="444">
        <f>IF(OR(K36="",K9="",K9=0),"",K36/K9)</f>
        <v/>
      </c>
      <c r="L37" s="444">
        <f>IF(OR(L36="",L9="",L9=0),"",L36/L9)</f>
        <v/>
      </c>
      <c r="M37" s="444">
        <f>IF(OR(M36="",M9="",M9=0),"",M36/M9)</f>
        <v/>
      </c>
      <c r="N37" s="22" t="n"/>
      <c r="O37" s="442" t="inlineStr">
        <is>
          <t>Operating Drivers</t>
        </is>
      </c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6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44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44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44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44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44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44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44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44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44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44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44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44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O38" s="446" t="inlineStr">
        <is>
          <t>Driver group</t>
        </is>
      </c>
      <c r="P38" s="47" t="n"/>
      <c r="Q38" s="46" t="n"/>
      <c r="R38" s="446" t="inlineStr">
        <is>
          <t>Driver</t>
        </is>
      </c>
      <c r="S38" s="47" t="n"/>
      <c r="T38" s="46" t="n"/>
      <c r="U38" s="447" t="inlineStr">
        <is>
          <t>Why it matters</t>
        </is>
      </c>
      <c r="V38" s="47" t="n"/>
      <c r="W38" s="47" t="n"/>
      <c r="X38" s="47" t="n"/>
      <c r="Y38" s="47" t="n"/>
      <c r="Z38" s="46" t="n"/>
      <c r="AA38" s="446" t="inlineStr">
        <is>
          <t>Source/type</t>
        </is>
      </c>
      <c r="AB38" s="47" t="n"/>
      <c r="AC38" s="46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43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_xlfn.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_xlfn.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43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_xlfn.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_xlfn.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43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_xlfn.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_xlfn.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43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_xlfn.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_xlfn.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43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_xlfn.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_xlfn.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43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_xlfn.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_xlfn.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43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_xlfn.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_xlfn.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43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_xlfn.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_xlfn.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43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_xlfn.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_xlfn.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43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_xlfn.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_xlfn.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43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_xlfn.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_xlfn.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43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_xlfn.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_xlfn.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O39" s="52" t="n"/>
      <c r="P39" s="47" t="n"/>
      <c r="Q39" s="46" t="n"/>
      <c r="R39" s="67" t="n"/>
      <c r="S39" s="47" t="n"/>
      <c r="T39" s="46" t="n"/>
      <c r="U39" s="52" t="n"/>
      <c r="V39" s="47" t="n"/>
      <c r="W39" s="47" t="n"/>
      <c r="X39" s="47" t="n"/>
      <c r="Y39" s="47" t="n"/>
      <c r="Z39" s="46" t="n"/>
      <c r="AA39" s="52" t="n"/>
      <c r="AB39" s="47" t="n"/>
      <c r="AC39" s="46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44">
        <f>IF(OR(B39="",B10="",B10=0),"",B39/B10)</f>
        <v/>
      </c>
      <c r="C40" s="444">
        <f>IF(OR(C39="",C10="",C10=0),"",C39/C10)</f>
        <v/>
      </c>
      <c r="D40" s="444">
        <f>IF(OR(D39="",D10="",D10=0),"",D39/D10)</f>
        <v/>
      </c>
      <c r="E40" s="444">
        <f>IF(OR(E39="",E10="",E10=0),"",E39/E10)</f>
        <v/>
      </c>
      <c r="F40" s="444">
        <f>IF(OR(F39="",F10="",F10=0),"",F39/F10)</f>
        <v/>
      </c>
      <c r="G40" s="444">
        <f>IF(OR(G39="",G10="",G10=0),"",G39/G10)</f>
        <v/>
      </c>
      <c r="H40" s="444">
        <f>IF(OR(H39="",H10="",H10=0),"",H39/H10)</f>
        <v/>
      </c>
      <c r="I40" s="444">
        <f>IF(OR(I39="",I10="",I10=0),"",I39/I10)</f>
        <v/>
      </c>
      <c r="J40" s="444">
        <f>IF(OR(J39="",J10="",J10=0),"",J39/J10)</f>
        <v/>
      </c>
      <c r="K40" s="444">
        <f>IF(OR(K39="",K10="",K10=0),"",K39/K10)</f>
        <v/>
      </c>
      <c r="L40" s="444">
        <f>IF(OR(L39="",L10="",L10=0),"",L39/L10)</f>
        <v/>
      </c>
      <c r="M40" s="444">
        <f>IF(OR(M39="",M10="",M10=0),"",M39/M10)</f>
        <v/>
      </c>
      <c r="N40" s="22" t="n"/>
      <c r="O40" s="53" t="n"/>
      <c r="P40" s="47" t="n"/>
      <c r="Q40" s="46" t="n"/>
      <c r="R40" s="68" t="n"/>
      <c r="S40" s="47" t="n"/>
      <c r="T40" s="46" t="n"/>
      <c r="U40" s="69" t="n"/>
      <c r="V40" s="47" t="n"/>
      <c r="W40" s="47" t="n"/>
      <c r="X40" s="47" t="n"/>
      <c r="Y40" s="47" t="n"/>
      <c r="Z40" s="46" t="n"/>
      <c r="AA40" s="53" t="n"/>
      <c r="AB40" s="47" t="n"/>
      <c r="AC40" s="46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O41" s="52" t="n"/>
      <c r="P41" s="47" t="n"/>
      <c r="Q41" s="46" t="n"/>
      <c r="R41" s="67" t="n"/>
      <c r="S41" s="47" t="n"/>
      <c r="T41" s="46" t="n"/>
      <c r="U41" s="70" t="n"/>
      <c r="V41" s="47" t="n"/>
      <c r="W41" s="47" t="n"/>
      <c r="X41" s="47" t="n"/>
      <c r="Y41" s="47" t="n"/>
      <c r="Z41" s="46" t="n"/>
      <c r="AA41" s="52" t="n"/>
      <c r="AB41" s="47" t="n"/>
      <c r="AC41" s="46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O42" s="53" t="n"/>
      <c r="P42" s="47" t="n"/>
      <c r="Q42" s="46" t="n"/>
      <c r="R42" s="68" t="n"/>
      <c r="S42" s="47" t="n"/>
      <c r="T42" s="46" t="n"/>
      <c r="U42" s="69" t="n"/>
      <c r="V42" s="47" t="n"/>
      <c r="W42" s="47" t="n"/>
      <c r="X42" s="47" t="n"/>
      <c r="Y42" s="47" t="n"/>
      <c r="Z42" s="46" t="n"/>
      <c r="AA42" s="53" t="n"/>
      <c r="AB42" s="47" t="n"/>
      <c r="AC42" s="46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62" t="n"/>
      <c r="C43" s="62" t="n"/>
      <c r="D43" s="62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22" t="n"/>
      <c r="O43" s="52" t="n"/>
      <c r="P43" s="47" t="n"/>
      <c r="Q43" s="46" t="n"/>
      <c r="R43" s="67" t="n"/>
      <c r="S43" s="47" t="n"/>
      <c r="T43" s="46" t="n"/>
      <c r="U43" s="70" t="n"/>
      <c r="V43" s="47" t="n"/>
      <c r="W43" s="47" t="n"/>
      <c r="X43" s="47" t="n"/>
      <c r="Y43" s="47" t="n"/>
      <c r="Z43" s="46" t="n"/>
      <c r="AA43" s="52" t="n"/>
      <c r="AB43" s="47" t="n"/>
      <c r="AC43" s="46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62" t="n"/>
      <c r="C44" s="62" t="n"/>
      <c r="D44" s="62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22" t="n"/>
      <c r="O44" s="53" t="n"/>
      <c r="P44" s="47" t="n"/>
      <c r="Q44" s="46" t="n"/>
      <c r="R44" s="68" t="n"/>
      <c r="S44" s="47" t="n"/>
      <c r="T44" s="46" t="n"/>
      <c r="U44" s="69" t="n"/>
      <c r="V44" s="47" t="n"/>
      <c r="W44" s="47" t="n"/>
      <c r="X44" s="47" t="n"/>
      <c r="Y44" s="47" t="n"/>
      <c r="Z44" s="46" t="n"/>
      <c r="AA44" s="53" t="n"/>
      <c r="AB44" s="47" t="n"/>
      <c r="AC44" s="46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44">
        <f>IF(OR(B44="",B9="",B9=0),"",B44/B9)</f>
        <v/>
      </c>
      <c r="C45" s="444">
        <f>IF(OR(C44="",C9="",C9=0),"",C44/C9)</f>
        <v/>
      </c>
      <c r="D45" s="444">
        <f>IF(OR(D44="",D9="",D9=0),"",D44/D9)</f>
        <v/>
      </c>
      <c r="E45" s="444">
        <f>IF(OR(E44="",E9="",E9=0),"",E44/E9)</f>
        <v/>
      </c>
      <c r="F45" s="444">
        <f>IF(OR(F44="",F9="",F9=0),"",F44/F9)</f>
        <v/>
      </c>
      <c r="G45" s="444">
        <f>IF(OR(G44="",G9="",G9=0),"",G44/G9)</f>
        <v/>
      </c>
      <c r="H45" s="444">
        <f>IF(OR(H44="",H9="",H9=0),"",H44/H9)</f>
        <v/>
      </c>
      <c r="I45" s="444">
        <f>IF(OR(I44="",I9="",I9=0),"",I44/I9)</f>
        <v/>
      </c>
      <c r="J45" s="444">
        <f>IF(OR(J44="",J9="",J9=0),"",J44/J9)</f>
        <v/>
      </c>
      <c r="K45" s="444">
        <f>IF(OR(K44="",K9="",K9=0),"",K44/K9)</f>
        <v/>
      </c>
      <c r="L45" s="444">
        <f>IF(OR(L44="",L9="",L9=0),"",L44/L9)</f>
        <v/>
      </c>
      <c r="M45" s="444">
        <f>IF(OR(M44="",M9="",M9=0),"",M44/M9)</f>
        <v/>
      </c>
      <c r="N45" s="22" t="n"/>
      <c r="O45" s="52" t="n"/>
      <c r="P45" s="47" t="n"/>
      <c r="Q45" s="46" t="n"/>
      <c r="R45" s="67" t="n"/>
      <c r="S45" s="47" t="n"/>
      <c r="T45" s="46" t="n"/>
      <c r="U45" s="52" t="n"/>
      <c r="V45" s="47" t="n"/>
      <c r="W45" s="47" t="n"/>
      <c r="X45" s="47" t="n"/>
      <c r="Y45" s="47" t="n"/>
      <c r="Z45" s="46" t="n"/>
      <c r="AA45" s="52" t="n"/>
      <c r="AB45" s="47" t="n"/>
      <c r="AC45" s="46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44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44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44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44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44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44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44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44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44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44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44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44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O46" s="53" t="n"/>
      <c r="P46" s="47" t="n"/>
      <c r="Q46" s="46" t="n"/>
      <c r="R46" s="68" t="n"/>
      <c r="S46" s="47" t="n"/>
      <c r="T46" s="46" t="n"/>
      <c r="U46" s="349" t="n"/>
      <c r="V46" s="47" t="n"/>
      <c r="W46" s="47" t="n"/>
      <c r="X46" s="47" t="n"/>
      <c r="Y46" s="47" t="n"/>
      <c r="Z46" s="46" t="n"/>
      <c r="AA46" s="53" t="n"/>
      <c r="AB46" s="47" t="n"/>
      <c r="AC46" s="46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43">
        <f>IF(OR(B43="",B44=""),"",B43-B44)</f>
        <v/>
      </c>
      <c r="C47" s="443">
        <f>IF(OR(C43="",C44=""),"",C43-C44)</f>
        <v/>
      </c>
      <c r="D47" s="443">
        <f>IF(OR(D43="",D44=""),"",D43-D44)</f>
        <v/>
      </c>
      <c r="E47" s="443">
        <f>IF(OR(E43="",E44=""),"",E43-E44)</f>
        <v/>
      </c>
      <c r="F47" s="443">
        <f>IF(OR(F43="",F44=""),"",F43-F44)</f>
        <v/>
      </c>
      <c r="G47" s="443">
        <f>IF(OR(G43="",G44=""),"",G43-G44)</f>
        <v/>
      </c>
      <c r="H47" s="443">
        <f>IF(OR(H43="",H44=""),"",H43-H44)</f>
        <v/>
      </c>
      <c r="I47" s="443">
        <f>IF(OR(I43="",I44=""),"",I43-I44)</f>
        <v/>
      </c>
      <c r="J47" s="443">
        <f>IF(OR(J43="",J44=""),"",J43-J44)</f>
        <v/>
      </c>
      <c r="K47" s="443">
        <f>IF(OR(K43="",K44=""),"",K43-K44)</f>
        <v/>
      </c>
      <c r="L47" s="443">
        <f>IF(OR(L43="",L44=""),"",L43-L44)</f>
        <v/>
      </c>
      <c r="M47" s="443">
        <f>IF(OR(M43="",M44=""),"",M43-M44)</f>
        <v/>
      </c>
      <c r="N47" s="22" t="n"/>
      <c r="O47" s="63" t="n"/>
      <c r="P47" s="64" t="n"/>
      <c r="Q47" s="64" t="n"/>
      <c r="R47" s="64" t="n"/>
      <c r="S47" s="64" t="n"/>
      <c r="T47" s="64" t="n"/>
      <c r="U47" s="350" t="n"/>
      <c r="V47" s="64" t="n"/>
      <c r="W47" s="64" t="n"/>
      <c r="X47" s="63" t="n"/>
      <c r="Y47" s="64" t="n"/>
      <c r="Z47" s="64" t="n"/>
      <c r="AA47" s="64" t="n"/>
      <c r="AB47" s="64" t="n"/>
      <c r="AC47" s="64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43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43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43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43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43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43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43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43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43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43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43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43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2" t="inlineStr">
        <is>
          <t>Thesis Bridge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43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43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43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43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43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43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43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43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43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43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43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43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6" t="inlineStr">
        <is>
          <t>Quick valuation bridge; no market price required.</t>
        </is>
      </c>
      <c r="P49" s="47" t="n"/>
      <c r="Q49" s="47" t="n"/>
      <c r="R49" s="47" t="n"/>
      <c r="S49" s="47" t="n"/>
      <c r="T49" s="46" t="n"/>
      <c r="U49" s="52" t="inlineStr"/>
      <c r="V49" s="47" t="n"/>
      <c r="W49" s="46" t="n"/>
      <c r="X49" s="52" t="inlineStr"/>
      <c r="Y49" s="47" t="n"/>
      <c r="Z49" s="47" t="n"/>
      <c r="AA49" s="47" t="n"/>
      <c r="AB49" s="47" t="n"/>
      <c r="AC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43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43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43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43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43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43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43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43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43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43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43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43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6" t="inlineStr">
        <is>
          <t>Bridge item</t>
        </is>
      </c>
      <c r="P50" s="47" t="n"/>
      <c r="Q50" s="47" t="n"/>
      <c r="R50" s="47" t="n"/>
      <c r="S50" s="47" t="n"/>
      <c r="T50" s="46" t="n"/>
      <c r="U50" s="446" t="inlineStr">
        <is>
          <t>Value</t>
        </is>
      </c>
      <c r="V50" s="47" t="n"/>
      <c r="W50" s="46" t="n"/>
      <c r="X50" s="446" t="inlineStr">
        <is>
          <t>Notes</t>
        </is>
      </c>
      <c r="Y50" s="47" t="n"/>
      <c r="Z50" s="47" t="n"/>
      <c r="AA50" s="47" t="n"/>
      <c r="AB50" s="47" t="n"/>
      <c r="AC50" s="46" t="n"/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7" t="n"/>
      <c r="Q51" s="47" t="n"/>
      <c r="R51" s="47" t="n"/>
      <c r="S51" s="47" t="n"/>
      <c r="T51" s="46" t="n"/>
      <c r="U51" s="448" t="n"/>
      <c r="V51" s="47" t="n"/>
      <c r="W51" s="46" t="n"/>
      <c r="X51" s="52" t="n"/>
      <c r="Y51" s="47" t="n"/>
      <c r="Z51" s="47" t="n"/>
      <c r="AA51" s="47" t="n"/>
      <c r="AB51" s="47" t="n"/>
      <c r="AC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7" t="n"/>
      <c r="Q52" s="47" t="n"/>
      <c r="R52" s="47" t="n"/>
      <c r="S52" s="47" t="n"/>
      <c r="T52" s="46" t="n"/>
      <c r="U52" s="352" t="n"/>
      <c r="V52" s="47" t="n"/>
      <c r="W52" s="46" t="n"/>
      <c r="X52" s="53" t="n"/>
      <c r="Y52" s="47" t="n"/>
      <c r="Z52" s="47" t="n"/>
      <c r="AA52" s="47" t="n"/>
      <c r="AB52" s="47" t="n"/>
      <c r="AC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7" t="n"/>
      <c r="Q53" s="47" t="n"/>
      <c r="R53" s="47" t="n"/>
      <c r="S53" s="47" t="n"/>
      <c r="T53" s="46" t="n"/>
      <c r="U53" s="448" t="n"/>
      <c r="V53" s="47" t="n"/>
      <c r="W53" s="46" t="n"/>
      <c r="X53" s="52" t="n"/>
      <c r="Y53" s="47" t="n"/>
      <c r="Z53" s="47" t="n"/>
      <c r="AA53" s="47" t="n"/>
      <c r="AB53" s="47" t="n"/>
      <c r="AC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7" t="n"/>
      <c r="Q54" s="47" t="n"/>
      <c r="R54" s="47" t="n"/>
      <c r="S54" s="47" t="n"/>
      <c r="T54" s="46" t="n"/>
      <c r="U54" s="352" t="n"/>
      <c r="V54" s="47" t="n"/>
      <c r="W54" s="46" t="n"/>
      <c r="X54" s="53" t="n"/>
      <c r="Y54" s="47" t="n"/>
      <c r="Z54" s="47" t="n"/>
      <c r="AA54" s="47" t="n"/>
      <c r="AB54" s="47" t="n"/>
      <c r="AC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7" t="n"/>
      <c r="Q55" s="47" t="n"/>
      <c r="R55" s="47" t="n"/>
      <c r="S55" s="47" t="n"/>
      <c r="T55" s="46" t="n"/>
      <c r="U55" s="449" t="n"/>
      <c r="V55" s="47" t="n"/>
      <c r="W55" s="46" t="n"/>
      <c r="X55" s="52" t="n"/>
      <c r="Y55" s="47" t="n"/>
      <c r="Z55" s="47" t="n"/>
      <c r="AA55" s="47" t="n"/>
      <c r="AB55" s="47" t="n"/>
      <c r="AC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7" t="n"/>
      <c r="Q56" s="47" t="n"/>
      <c r="R56" s="47" t="n"/>
      <c r="S56" s="47" t="n"/>
      <c r="T56" s="46" t="n"/>
      <c r="U56" s="450" t="n"/>
      <c r="V56" s="47" t="n"/>
      <c r="W56" s="46" t="n"/>
      <c r="X56" s="53" t="n"/>
      <c r="Y56" s="47" t="n"/>
      <c r="Z56" s="47" t="n"/>
      <c r="AA56" s="47" t="n"/>
      <c r="AB56" s="47" t="n"/>
      <c r="AC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44">
        <f>IF(OR(B47="",B9="",B9=0),"",B47/B9)</f>
        <v/>
      </c>
      <c r="C57" s="444">
        <f>IF(OR(C47="",C9="",C9=0),"",C47/C9)</f>
        <v/>
      </c>
      <c r="D57" s="444">
        <f>IF(OR(D47="",D9="",D9=0),"",D47/D9)</f>
        <v/>
      </c>
      <c r="E57" s="444">
        <f>IF(OR(E47="",E9="",E9=0),"",E47/E9)</f>
        <v/>
      </c>
      <c r="F57" s="444">
        <f>IF(OR(F47="",F9="",F9=0),"",F47/F9)</f>
        <v/>
      </c>
      <c r="G57" s="444">
        <f>IF(OR(G47="",G9="",G9=0),"",G47/G9)</f>
        <v/>
      </c>
      <c r="H57" s="444">
        <f>IF(OR(H47="",H9="",H9=0),"",H47/H9)</f>
        <v/>
      </c>
      <c r="I57" s="444">
        <f>IF(OR(I47="",I9="",I9=0),"",I47/I9)</f>
        <v/>
      </c>
      <c r="J57" s="444">
        <f>IF(OR(J47="",J9="",J9=0),"",J47/J9)</f>
        <v/>
      </c>
      <c r="K57" s="444">
        <f>IF(OR(K47="",K9="",K9=0),"",K47/K9)</f>
        <v/>
      </c>
      <c r="L57" s="444">
        <f>IF(OR(L47="",L9="",L9=0),"",L47/L9)</f>
        <v/>
      </c>
      <c r="M57" s="444">
        <f>IF(OR(M47="",M9="",M9=0),"",M47/M9)</f>
        <v/>
      </c>
      <c r="N57" s="22" t="n"/>
      <c r="O57" s="52" t="n"/>
      <c r="P57" s="47" t="n"/>
      <c r="Q57" s="47" t="n"/>
      <c r="R57" s="47" t="n"/>
      <c r="S57" s="47" t="n"/>
      <c r="T57" s="46" t="n"/>
      <c r="U57" s="450" t="n"/>
      <c r="V57" s="47" t="n"/>
      <c r="W57" s="46" t="n"/>
      <c r="X57" s="52" t="n"/>
      <c r="Y57" s="47" t="n"/>
      <c r="Z57" s="47" t="n"/>
      <c r="AA57" s="47" t="n"/>
      <c r="AB57" s="47" t="n"/>
      <c r="AC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44">
        <f>IF(OR(B49="",B10="",B10=0),"",B49/B10)</f>
        <v/>
      </c>
      <c r="C58" s="444">
        <f>IF(OR(C49="",C10="",C10=0),"",C49/C10)</f>
        <v/>
      </c>
      <c r="D58" s="444">
        <f>IF(OR(D49="",D10="",D10=0),"",D49/D10)</f>
        <v/>
      </c>
      <c r="E58" s="444">
        <f>IF(OR(E49="",E10="",E10=0),"",E49/E10)</f>
        <v/>
      </c>
      <c r="F58" s="444">
        <f>IF(OR(F49="",F10="",F10=0),"",F49/F10)</f>
        <v/>
      </c>
      <c r="G58" s="444">
        <f>IF(OR(G49="",G10="",G10=0),"",G49/G10)</f>
        <v/>
      </c>
      <c r="H58" s="444">
        <f>IF(OR(H49="",H10="",H10=0),"",H49/H10)</f>
        <v/>
      </c>
      <c r="I58" s="444">
        <f>IF(OR(I49="",I10="",I10=0),"",I49/I10)</f>
        <v/>
      </c>
      <c r="J58" s="444">
        <f>IF(OR(J49="",J10="",J10=0),"",J49/J10)</f>
        <v/>
      </c>
      <c r="K58" s="444">
        <f>IF(OR(K49="",K10="",K10=0),"",K49/K10)</f>
        <v/>
      </c>
      <c r="L58" s="444">
        <f>IF(OR(L49="",L10="",L10=0),"",L49/L10)</f>
        <v/>
      </c>
      <c r="M58" s="444">
        <f>IF(OR(M49="",M10="",M10=0),"",M49/M10)</f>
        <v/>
      </c>
      <c r="N58" s="22" t="n"/>
      <c r="O58" s="53" t="n"/>
      <c r="P58" s="47" t="n"/>
      <c r="Q58" s="47" t="n"/>
      <c r="R58" s="47" t="n"/>
      <c r="S58" s="47" t="n"/>
      <c r="T58" s="46" t="n"/>
      <c r="U58" s="451" t="n"/>
      <c r="V58" s="47" t="n"/>
      <c r="W58" s="46" t="n"/>
      <c r="X58" s="53" t="n"/>
      <c r="Y58" s="47" t="n"/>
      <c r="Z58" s="47" t="n"/>
      <c r="AA58" s="47" t="n"/>
      <c r="AB58" s="47" t="n"/>
      <c r="AC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62" t="n"/>
      <c r="C59" s="62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2" t="n"/>
      <c r="M59" s="62" t="n"/>
      <c r="N59" s="22" t="n"/>
      <c r="O59" s="52" t="n"/>
      <c r="P59" s="47" t="n"/>
      <c r="Q59" s="47" t="n"/>
      <c r="R59" s="47" t="n"/>
      <c r="S59" s="47" t="n"/>
      <c r="T59" s="46" t="n"/>
      <c r="U59" s="448" t="n"/>
      <c r="V59" s="47" t="n"/>
      <c r="W59" s="46" t="n"/>
      <c r="X59" s="52" t="n"/>
      <c r="Y59" s="47" t="n"/>
      <c r="Z59" s="47" t="n"/>
      <c r="AA59" s="47" t="n"/>
      <c r="AB59" s="47" t="n"/>
      <c r="AC59" s="46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n"/>
      <c r="P60" s="47" t="n"/>
      <c r="Q60" s="47" t="n"/>
      <c r="R60" s="47" t="n"/>
      <c r="S60" s="47" t="n"/>
      <c r="T60" s="46" t="n"/>
      <c r="U60" s="451" t="n"/>
      <c r="V60" s="47" t="n"/>
      <c r="W60" s="46" t="n"/>
      <c r="X60" s="53" t="n"/>
      <c r="Y60" s="47" t="n"/>
      <c r="Z60" s="47" t="n"/>
      <c r="AA60" s="47" t="n"/>
      <c r="AB60" s="47" t="n"/>
      <c r="AC60" s="46" t="n"/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n"/>
      <c r="P61" s="47" t="n"/>
      <c r="Q61" s="47" t="n"/>
      <c r="R61" s="47" t="n"/>
      <c r="S61" s="47" t="n"/>
      <c r="T61" s="46" t="n"/>
      <c r="U61" s="452" t="n"/>
      <c r="V61" s="47" t="n"/>
      <c r="W61" s="46" t="n"/>
      <c r="X61" s="52" t="n"/>
      <c r="Y61" s="47" t="n"/>
      <c r="Z61" s="47" t="n"/>
      <c r="AA61" s="47" t="n"/>
      <c r="AB61" s="47" t="n"/>
      <c r="AC61" s="46" t="n"/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62" t="n"/>
      <c r="C62" s="62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22" t="n"/>
      <c r="O62" s="53" t="n"/>
      <c r="P62" s="47" t="n"/>
      <c r="Q62" s="47" t="n"/>
      <c r="R62" s="47" t="n"/>
      <c r="S62" s="47" t="n"/>
      <c r="T62" s="46" t="n"/>
      <c r="U62" s="453" t="n"/>
      <c r="V62" s="47" t="n"/>
      <c r="W62" s="46" t="n"/>
      <c r="X62" s="53" t="n"/>
      <c r="Y62" s="47" t="n"/>
      <c r="Z62" s="47" t="n"/>
      <c r="AA62" s="47" t="n"/>
      <c r="AB62" s="47" t="n"/>
      <c r="AC62" s="46" t="n"/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43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_xlfn.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43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_xlfn.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43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_xlfn.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43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_xlfn.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43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_xlfn.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43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_xlfn.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43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_xlfn.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43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_xlfn.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43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_xlfn.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43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_xlfn.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43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_xlfn.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43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_xlfn.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6" t="inlineStr">
        <is>
          <t>Output</t>
        </is>
      </c>
      <c r="P63" s="47" t="n"/>
      <c r="Q63" s="47" t="n"/>
      <c r="R63" s="47" t="n"/>
      <c r="S63" s="47" t="n"/>
      <c r="T63" s="46" t="n"/>
      <c r="U63" s="446" t="inlineStr">
        <is>
          <t>Value</t>
        </is>
      </c>
      <c r="V63" s="47" t="n"/>
      <c r="W63" s="46" t="n"/>
      <c r="X63" s="446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43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_xlfn.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43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_xlfn.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43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_xlfn.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43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_xlfn.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43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_xlfn.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43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_xlfn.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43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_xlfn.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43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_xlfn.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43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_xlfn.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43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_xlfn.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43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_xlfn.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43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_xlfn.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4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43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43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43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43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43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43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43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43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43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43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43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43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5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43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_xlfn.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43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_xlfn.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43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_xlfn.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43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_xlfn.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43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_xlfn.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43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_xlfn.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43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_xlfn.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43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_xlfn.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43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_xlfn.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43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_xlfn.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43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_xlfn.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43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_xlfn.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4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43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_xlfn.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43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_xlfn.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43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_xlfn.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43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_xlfn.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43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_xlfn.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43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_xlfn.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43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_xlfn.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43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_xlfn.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43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_xlfn.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43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_xlfn.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43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_xlfn.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43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_xlfn.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5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4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5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62" t="n"/>
      <c r="C70" s="62" t="n"/>
      <c r="D70" s="62" t="n"/>
      <c r="E70" s="62" t="n"/>
      <c r="F70" s="62" t="n"/>
      <c r="G70" s="62" t="n"/>
      <c r="H70" s="62" t="n"/>
      <c r="I70" s="62" t="n"/>
      <c r="J70" s="62" t="n"/>
      <c r="K70" s="62" t="n"/>
      <c r="L70" s="62" t="n"/>
      <c r="M70" s="62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4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62" t="n"/>
      <c r="C71" s="62" t="n"/>
      <c r="D71" s="62" t="n"/>
      <c r="E71" s="62" t="n"/>
      <c r="F71" s="62" t="n"/>
      <c r="G71" s="62" t="n"/>
      <c r="H71" s="62" t="n"/>
      <c r="I71" s="62" t="n"/>
      <c r="J71" s="62" t="n"/>
      <c r="K71" s="62" t="n"/>
      <c r="L71" s="62" t="n"/>
      <c r="M71" s="62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62" t="n"/>
      <c r="C72" s="62" t="n"/>
      <c r="D72" s="62" t="n"/>
      <c r="E72" s="62" t="n"/>
      <c r="F72" s="62" t="n"/>
      <c r="G72" s="62" t="n"/>
      <c r="H72" s="62" t="n"/>
      <c r="I72" s="62" t="n"/>
      <c r="J72" s="62" t="n"/>
      <c r="K72" s="62" t="n"/>
      <c r="L72" s="62" t="n"/>
      <c r="M72" s="62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454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43">
        <f>IF(OR(B72="",B70=""),"",B72-B70)</f>
        <v/>
      </c>
      <c r="C73" s="443">
        <f>IF(OR(C72="",C70=""),"",C72-C70)</f>
        <v/>
      </c>
      <c r="D73" s="443">
        <f>IF(OR(D72="",D70=""),"",D72-D70)</f>
        <v/>
      </c>
      <c r="E73" s="443">
        <f>IF(OR(E72="",E70=""),"",E72-E70)</f>
        <v/>
      </c>
      <c r="F73" s="443">
        <f>IF(OR(F72="",F70=""),"",F72-F70)</f>
        <v/>
      </c>
      <c r="G73" s="443">
        <f>IF(OR(G72="",G70=""),"",G72-G70)</f>
        <v/>
      </c>
      <c r="H73" s="443">
        <f>IF(OR(H72="",H70=""),"",H72-H70)</f>
        <v/>
      </c>
      <c r="I73" s="443">
        <f>IF(OR(I72="",I70=""),"",I72-I70)</f>
        <v/>
      </c>
      <c r="J73" s="443">
        <f>IF(OR(J72="",J70=""),"",J72-J70)</f>
        <v/>
      </c>
      <c r="K73" s="443">
        <f>IF(OR(K72="",K70=""),"",K72-K70)</f>
        <v/>
      </c>
      <c r="L73" s="443">
        <f>IF(OR(L72="",L70=""),"",L72-L70)</f>
        <v/>
      </c>
      <c r="M73" s="443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6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43">
        <f>""</f>
        <v/>
      </c>
      <c r="C74" s="443">
        <f>IF(OR(C73="",B73=""),"",C73-B73)</f>
        <v/>
      </c>
      <c r="D74" s="443">
        <f>IF(OR(D73="",C73=""),"",D73-C73)</f>
        <v/>
      </c>
      <c r="E74" s="443">
        <f>IF(OR(E73="",D73=""),"",E73-D73)</f>
        <v/>
      </c>
      <c r="F74" s="443">
        <f>IF(OR(F73="",E73=""),"",F73-E73)</f>
        <v/>
      </c>
      <c r="G74" s="443">
        <f>IF(OR(G73="",F73=""),"",G73-F73)</f>
        <v/>
      </c>
      <c r="H74" s="443">
        <f>IF(OR(H73="",G73=""),"",H73-G73)</f>
        <v/>
      </c>
      <c r="I74" s="443">
        <f>IF(OR(I73="",H73=""),"",I73-H73)</f>
        <v/>
      </c>
      <c r="J74" s="443">
        <f>IF(OR(J73="",I73=""),"",J73-I73)</f>
        <v/>
      </c>
      <c r="K74" s="443">
        <f>IF(OR(K73="",J73=""),"",K73-J73)</f>
        <v/>
      </c>
      <c r="L74" s="443">
        <f>IF(OR(L73="",K73=""),"",L73-K73)</f>
        <v/>
      </c>
      <c r="M74" s="443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57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43">
        <f>""</f>
        <v/>
      </c>
      <c r="C75" s="443">
        <f>""</f>
        <v/>
      </c>
      <c r="D75" s="443">
        <f>""</f>
        <v/>
      </c>
      <c r="E75" s="443">
        <f>""</f>
        <v/>
      </c>
      <c r="F75" s="443">
        <f>IF(OR(F73="",B73=""),"",F73-B73)</f>
        <v/>
      </c>
      <c r="G75" s="443">
        <f>IF(OR(G73="",C73=""),"",G73-C73)</f>
        <v/>
      </c>
      <c r="H75" s="443">
        <f>IF(OR(H73="",D73=""),"",H73-D73)</f>
        <v/>
      </c>
      <c r="I75" s="443">
        <f>IF(OR(I73="",E73=""),"",I73-E73)</f>
        <v/>
      </c>
      <c r="J75" s="443">
        <f>IF(OR(J73="",F73=""),"",J73-F73)</f>
        <v/>
      </c>
      <c r="K75" s="443">
        <f>IF(OR(K73="",G73=""),"",K73-G73)</f>
        <v/>
      </c>
      <c r="L75" s="443">
        <f>IF(OR(L73="",H73=""),"",L73-H73)</f>
        <v/>
      </c>
      <c r="M75" s="443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6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43">
        <f>IF(B73="","",-B73)</f>
        <v/>
      </c>
      <c r="C77" s="443">
        <f>IF(C73="","",-C73)</f>
        <v/>
      </c>
      <c r="D77" s="443">
        <f>IF(D73="","",-D73)</f>
        <v/>
      </c>
      <c r="E77" s="443">
        <f>IF(E73="","",-E73)</f>
        <v/>
      </c>
      <c r="F77" s="443">
        <f>IF(F73="","",-F73)</f>
        <v/>
      </c>
      <c r="G77" s="443">
        <f>IF(G73="","",-G73)</f>
        <v/>
      </c>
      <c r="H77" s="443">
        <f>IF(H73="","",-H73)</f>
        <v/>
      </c>
      <c r="I77" s="443">
        <f>IF(I73="","",-I73)</f>
        <v/>
      </c>
      <c r="J77" s="443">
        <f>IF(J73="","",-J73)</f>
        <v/>
      </c>
      <c r="K77" s="443">
        <f>IF(K73="","",-K73)</f>
        <v/>
      </c>
      <c r="L77" s="443">
        <f>IF(L73="","",-L73)</f>
        <v/>
      </c>
      <c r="M77" s="443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43">
        <f>IF(OR(B70="",B71="",B72=""),"",B70+B71-B72)</f>
        <v/>
      </c>
      <c r="C78" s="443">
        <f>IF(OR(C70="",C71="",C72=""),"",C70+C71-C72)</f>
        <v/>
      </c>
      <c r="D78" s="443">
        <f>IF(OR(D70="",D71="",D72=""),"",D70+D71-D72)</f>
        <v/>
      </c>
      <c r="E78" s="443">
        <f>IF(OR(E70="",E71="",E72=""),"",E70+E71-E72)</f>
        <v/>
      </c>
      <c r="F78" s="443">
        <f>IF(OR(F70="",F71="",F72=""),"",F70+F71-F72)</f>
        <v/>
      </c>
      <c r="G78" s="443">
        <f>IF(OR(G70="",G71="",G72=""),"",G70+G71-G72)</f>
        <v/>
      </c>
      <c r="H78" s="443">
        <f>IF(OR(H70="",H71="",H72=""),"",H70+H71-H72)</f>
        <v/>
      </c>
      <c r="I78" s="443">
        <f>IF(OR(I70="",I71="",I72=""),"",I70+I71-I72)</f>
        <v/>
      </c>
      <c r="J78" s="443">
        <f>IF(OR(J70="",J71="",J72=""),"",J70+J71-J72)</f>
        <v/>
      </c>
      <c r="K78" s="443">
        <f>IF(OR(K70="",K71="",K72=""),"",K70+K71-K72)</f>
        <v/>
      </c>
      <c r="L78" s="443">
        <f>IF(OR(L70="",L71="",L72=""),"",L70+L71-L72)</f>
        <v/>
      </c>
      <c r="M78" s="443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62" t="n"/>
      <c r="C79" s="62" t="n"/>
      <c r="D79" s="62" t="n"/>
      <c r="E79" s="62" t="n"/>
      <c r="F79" s="62" t="n"/>
      <c r="G79" s="62" t="n"/>
      <c r="H79" s="62" t="n"/>
      <c r="I79" s="62" t="n"/>
      <c r="J79" s="62" t="n"/>
      <c r="K79" s="62" t="n"/>
      <c r="L79" s="62" t="n"/>
      <c r="M79" s="62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43">
        <f>IF(OR(B70="",B72="",B79=""),"",B72+B79-B70)</f>
        <v/>
      </c>
      <c r="C80" s="443">
        <f>IF(OR(C70="",C72="",C79=""),"",C72+C79-C70)</f>
        <v/>
      </c>
      <c r="D80" s="443">
        <f>IF(OR(D70="",D72="",D79=""),"",D72+D79-D70)</f>
        <v/>
      </c>
      <c r="E80" s="443">
        <f>IF(OR(E70="",E72="",E79=""),"",E72+E79-E70)</f>
        <v/>
      </c>
      <c r="F80" s="443">
        <f>IF(OR(F70="",F72="",F79=""),"",F72+F79-F70)</f>
        <v/>
      </c>
      <c r="G80" s="443">
        <f>IF(OR(G70="",G72="",G79=""),"",G72+G79-G70)</f>
        <v/>
      </c>
      <c r="H80" s="443">
        <f>IF(OR(H70="",H72="",H79=""),"",H72+H79-H70)</f>
        <v/>
      </c>
      <c r="I80" s="443">
        <f>IF(OR(I70="",I72="",I79=""),"",I72+I79-I70)</f>
        <v/>
      </c>
      <c r="J80" s="443">
        <f>IF(OR(J70="",J72="",J79=""),"",J72+J79-J70)</f>
        <v/>
      </c>
      <c r="K80" s="443">
        <f>IF(OR(K70="",K72="",K79=""),"",K72+K79-K70)</f>
        <v/>
      </c>
      <c r="L80" s="443">
        <f>IF(OR(L70="",L72="",L79=""),"",L72+L79-L70)</f>
        <v/>
      </c>
      <c r="M80" s="443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43">
        <f>IF(OR(B70="",B71="",B72="",B79=""),"",B72+B79-B70-B71)</f>
        <v/>
      </c>
      <c r="C81" s="443">
        <f>IF(OR(C70="",C71="",C72="",C79=""),"",C72+C79-C70-C71)</f>
        <v/>
      </c>
      <c r="D81" s="443">
        <f>IF(OR(D70="",D71="",D72="",D79=""),"",D72+D79-D70-D71)</f>
        <v/>
      </c>
      <c r="E81" s="443">
        <f>IF(OR(E70="",E71="",E72="",E79=""),"",E72+E79-E70-E71)</f>
        <v/>
      </c>
      <c r="F81" s="443">
        <f>IF(OR(F70="",F71="",F72="",F79=""),"",F72+F79-F70-F71)</f>
        <v/>
      </c>
      <c r="G81" s="443">
        <f>IF(OR(G70="",G71="",G72="",G79=""),"",G72+G79-G70-G71)</f>
        <v/>
      </c>
      <c r="H81" s="443">
        <f>IF(OR(H70="",H71="",H72="",H79=""),"",H72+H79-H70-H71)</f>
        <v/>
      </c>
      <c r="I81" s="443">
        <f>IF(OR(I70="",I71="",I72="",I79=""),"",I72+I79-I70-I71)</f>
        <v/>
      </c>
      <c r="J81" s="443">
        <f>IF(OR(J70="",J71="",J72="",J79=""),"",J72+J79-J70-J71)</f>
        <v/>
      </c>
      <c r="K81" s="443">
        <f>IF(OR(K70="",K71="",K72="",K79=""),"",K72+K79-K70-K71)</f>
        <v/>
      </c>
      <c r="L81" s="443">
        <f>IF(OR(L70="",L71="",L72="",L79=""),"",L72+L79-L70-L71)</f>
        <v/>
      </c>
      <c r="M81" s="443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62" t="n"/>
      <c r="C82" s="62" t="n"/>
      <c r="D82" s="62" t="n"/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43">
        <f>IF(B21="","",B21)</f>
        <v/>
      </c>
      <c r="C84" s="443">
        <f>IF(C21="","",C21)</f>
        <v/>
      </c>
      <c r="D84" s="443">
        <f>IF(D21="","",D21)</f>
        <v/>
      </c>
      <c r="E84" s="443">
        <f>IF(E21="","",E21)</f>
        <v/>
      </c>
      <c r="F84" s="443">
        <f>IF(F21="","",F21)</f>
        <v/>
      </c>
      <c r="G84" s="443">
        <f>IF(G21="","",G21)</f>
        <v/>
      </c>
      <c r="H84" s="443">
        <f>IF(H21="","",H21)</f>
        <v/>
      </c>
      <c r="I84" s="443">
        <f>IF(I21="","",I21)</f>
        <v/>
      </c>
      <c r="J84" s="443">
        <f>IF(J21="","",J21)</f>
        <v/>
      </c>
      <c r="K84" s="443">
        <f>IF(K21="","",K21)</f>
        <v/>
      </c>
      <c r="L84" s="443">
        <f>IF(L21="","",L21)</f>
        <v/>
      </c>
      <c r="M84" s="443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43">
        <f>IF(B25="","",B25)</f>
        <v/>
      </c>
      <c r="C85" s="443">
        <f>IF(C25="","",C25)</f>
        <v/>
      </c>
      <c r="D85" s="443">
        <f>IF(D25="","",D25)</f>
        <v/>
      </c>
      <c r="E85" s="443">
        <f>IF(E25="","",E25)</f>
        <v/>
      </c>
      <c r="F85" s="443">
        <f>IF(F25="","",F25)</f>
        <v/>
      </c>
      <c r="G85" s="443">
        <f>IF(G25="","",G25)</f>
        <v/>
      </c>
      <c r="H85" s="443">
        <f>IF(H25="","",H25)</f>
        <v/>
      </c>
      <c r="I85" s="443">
        <f>IF(I25="","",I25)</f>
        <v/>
      </c>
      <c r="J85" s="443">
        <f>IF(J25="","",J25)</f>
        <v/>
      </c>
      <c r="K85" s="443">
        <f>IF(K25="","",K25)</f>
        <v/>
      </c>
      <c r="L85" s="443">
        <f>IF(L25="","",L25)</f>
        <v/>
      </c>
      <c r="M85" s="443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58">
        <f>IF(OR(B73="",B84="",B84=0),"",B73/B84)</f>
        <v/>
      </c>
      <c r="C86" s="458">
        <f>IF(OR(C73="",C84="",C84=0),"",C73/C84)</f>
        <v/>
      </c>
      <c r="D86" s="458">
        <f>IF(OR(D73="",D84="",D84=0),"",D73/D84)</f>
        <v/>
      </c>
      <c r="E86" s="458">
        <f>IF(OR(E73="",E84="",E84=0),"",E73/E84)</f>
        <v/>
      </c>
      <c r="F86" s="458">
        <f>IF(OR(F73="",F84="",F84=0),"",F73/F84)</f>
        <v/>
      </c>
      <c r="G86" s="458">
        <f>IF(OR(G73="",G84="",G84=0),"",G73/G84)</f>
        <v/>
      </c>
      <c r="H86" s="458">
        <f>IF(OR(H73="",H84="",H84=0),"",H73/H84)</f>
        <v/>
      </c>
      <c r="I86" s="458">
        <f>IF(OR(I73="",I84="",I84=0),"",I73/I84)</f>
        <v/>
      </c>
      <c r="J86" s="458">
        <f>IF(OR(J73="",J84="",J84=0),"",J73/J84)</f>
        <v/>
      </c>
      <c r="K86" s="458">
        <f>IF(OR(K73="",K84="",K84=0),"",K73/K84)</f>
        <v/>
      </c>
      <c r="L86" s="458">
        <f>IF(OR(L73="",L84="",L84=0),"",L73/L84)</f>
        <v/>
      </c>
      <c r="M86" s="458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58">
        <f>IF(OR(B73="",B85="",B85=0),"",B73/B85)</f>
        <v/>
      </c>
      <c r="C87" s="458">
        <f>IF(OR(C73="",C85="",C85=0),"",C73/C85)</f>
        <v/>
      </c>
      <c r="D87" s="458">
        <f>IF(OR(D73="",D85="",D85=0),"",D73/D85)</f>
        <v/>
      </c>
      <c r="E87" s="458">
        <f>IF(OR(E73="",E85="",E85=0),"",E73/E85)</f>
        <v/>
      </c>
      <c r="F87" s="458">
        <f>IF(OR(F73="",F85="",F85=0),"",F73/F85)</f>
        <v/>
      </c>
      <c r="G87" s="458">
        <f>IF(OR(G73="",G85="",G85=0),"",G73/G85)</f>
        <v/>
      </c>
      <c r="H87" s="458">
        <f>IF(OR(H73="",H85="",H85=0),"",H73/H85)</f>
        <v/>
      </c>
      <c r="I87" s="458">
        <f>IF(OR(I73="",I85="",I85=0),"",I73/I85)</f>
        <v/>
      </c>
      <c r="J87" s="458">
        <f>IF(OR(J73="",J85="",J85=0),"",J73/J85)</f>
        <v/>
      </c>
      <c r="K87" s="458">
        <f>IF(OR(K73="",K85="",K85=0),"",K73/K85)</f>
        <v/>
      </c>
      <c r="L87" s="458">
        <f>IF(OR(L73="",L85="",L85=0),"",L73/L85)</f>
        <v/>
      </c>
      <c r="M87" s="458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58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_xlfn.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58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_xlfn.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58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_xlfn.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58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_xlfn.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58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_xlfn.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58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_xlfn.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58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_xlfn.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58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_xlfn.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58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_xlfn.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58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_xlfn.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58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_xlfn.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58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_xlfn.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58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_xlfn.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58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_xlfn.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58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_xlfn.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58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_xlfn.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58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_xlfn.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58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_xlfn.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58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_xlfn.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58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_xlfn.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58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_xlfn.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58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_xlfn.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58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_xlfn.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58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_xlfn.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44">
        <f>IF(OR(B49="",B21="",B21=0),"",B49/B21)</f>
        <v/>
      </c>
      <c r="C90" s="444">
        <f>IF(OR(C49="",C21="",C21=0),"",C49/C21)</f>
        <v/>
      </c>
      <c r="D90" s="444">
        <f>IF(OR(D49="",D21="",D21=0),"",D49/D21)</f>
        <v/>
      </c>
      <c r="E90" s="444">
        <f>IF(OR(E49="",E21="",E21=0),"",E49/E21)</f>
        <v/>
      </c>
      <c r="F90" s="444">
        <f>IF(OR(F49="",F21="",F21=0),"",F49/F21)</f>
        <v/>
      </c>
      <c r="G90" s="444">
        <f>IF(OR(G49="",G21="",G21=0),"",G49/G21)</f>
        <v/>
      </c>
      <c r="H90" s="444">
        <f>IF(OR(H49="",H21="",H21=0),"",H49/H21)</f>
        <v/>
      </c>
      <c r="I90" s="444">
        <f>IF(OR(I49="",I21="",I21=0),"",I49/I21)</f>
        <v/>
      </c>
      <c r="J90" s="444">
        <f>IF(OR(J49="",J21="",J21=0),"",J49/J21)</f>
        <v/>
      </c>
      <c r="K90" s="444">
        <f>IF(OR(K49="",K21="",K21=0),"",K49/K21)</f>
        <v/>
      </c>
      <c r="L90" s="444">
        <f>IF(OR(L49="",L21="",L21=0),"",L49/L21)</f>
        <v/>
      </c>
      <c r="M90" s="444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62" t="n"/>
      <c r="C95" s="62" t="n"/>
      <c r="D95" s="62" t="n"/>
      <c r="E95" s="62" t="n"/>
      <c r="F95" s="62" t="n"/>
      <c r="G95" s="62" t="n"/>
      <c r="H95" s="62" t="n"/>
      <c r="I95" s="62" t="n"/>
      <c r="J95" s="62" t="n"/>
      <c r="K95" s="62" t="n"/>
      <c r="L95" s="62" t="n"/>
      <c r="M95" s="62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62" t="n"/>
      <c r="C102" s="62" t="n"/>
      <c r="D102" s="62" t="n"/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62" t="n"/>
      <c r="C103" s="62" t="n"/>
      <c r="D103" s="62" t="n"/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59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59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59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59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59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59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59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59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59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59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59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59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59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59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59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59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59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59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59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59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59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59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59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59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62" t="n"/>
      <c r="C107" s="62" t="n"/>
      <c r="D107" s="62" t="n"/>
      <c r="E107" s="62" t="n"/>
      <c r="F107" s="62" t="n"/>
      <c r="G107" s="62" t="n"/>
      <c r="H107" s="62" t="n"/>
      <c r="I107" s="62" t="n"/>
      <c r="J107" s="62" t="n"/>
      <c r="K107" s="62" t="n"/>
      <c r="L107" s="62" t="n"/>
      <c r="M107" s="62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44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44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44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44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44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44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44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44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44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44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44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44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0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_xlfn.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_xlfn.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0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_xlfn.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_xlfn.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0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_xlfn.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_xlfn.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0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_xlfn.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_xlfn.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0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_xlfn.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_xlfn.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0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_xlfn.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_xlfn.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0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_xlfn.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_xlfn.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0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_xlfn.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_xlfn.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0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_xlfn.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_xlfn.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0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_xlfn.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_xlfn.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0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_xlfn.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_xlfn.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0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_xlfn.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_xlfn.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62" t="n"/>
      <c r="C110" s="62" t="n"/>
      <c r="D110" s="62" t="n"/>
      <c r="E110" s="62" t="n"/>
      <c r="F110" s="62" t="n"/>
      <c r="G110" s="62" t="n"/>
      <c r="H110" s="62" t="n"/>
      <c r="I110" s="62" t="n"/>
      <c r="J110" s="62" t="n"/>
      <c r="K110" s="62" t="n"/>
      <c r="L110" s="62" t="n"/>
      <c r="M110" s="62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0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_xlfn.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0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_xlfn.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0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_xlfn.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0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_xlfn.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0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_xlfn.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0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_xlfn.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0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_xlfn.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0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_xlfn.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0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_xlfn.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0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_xlfn.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0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_xlfn.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0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_xlfn.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0">
        <f>IF(OR(B268="",B103="",B103=0),"",B268/B103)</f>
        <v/>
      </c>
      <c r="C113" s="460">
        <f>IF(OR(C268="",C103="",C103=0),"",C268/C103)</f>
        <v/>
      </c>
      <c r="D113" s="460">
        <f>IF(OR(D268="",D103="",D103=0),"",D268/D103)</f>
        <v/>
      </c>
      <c r="E113" s="460">
        <f>IF(OR(E268="",E103="",E103=0),"",E268/E103)</f>
        <v/>
      </c>
      <c r="F113" s="460">
        <f>IF(OR(F268="",F103="",F103=0),"",F268/F103)</f>
        <v/>
      </c>
      <c r="G113" s="460">
        <f>IF(OR(G268="",G103="",G103=0),"",G268/G103)</f>
        <v/>
      </c>
      <c r="H113" s="460">
        <f>IF(OR(H268="",H103="",H103=0),"",H268/H103)</f>
        <v/>
      </c>
      <c r="I113" s="460">
        <f>IF(OR(I268="",I103="",I103=0),"",I268/I103)</f>
        <v/>
      </c>
      <c r="J113" s="460">
        <f>IF(OR(J268="",J103="",J103=0),"",J268/J103)</f>
        <v/>
      </c>
      <c r="K113" s="460">
        <f>IF(OR(K268="",K103="",K103=0),"",K268/K103)</f>
        <v/>
      </c>
      <c r="L113" s="460">
        <f>IF(OR(L268="",L103="",L103=0),"",L268/L103)</f>
        <v/>
      </c>
      <c r="M113" s="460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0">
        <f>IF(OR(B268="",B269="",B270="",B103="",B103=0),"",(B268-B269-B270)/B103)</f>
        <v/>
      </c>
      <c r="C114" s="460">
        <f>IF(OR(C268="",C269="",C270="",C103="",C103=0),"",(C268-C269-C270)/C103)</f>
        <v/>
      </c>
      <c r="D114" s="460">
        <f>IF(OR(D268="",D269="",D270="",D103="",D103=0),"",(D268-D269-D270)/D103)</f>
        <v/>
      </c>
      <c r="E114" s="460">
        <f>IF(OR(E268="",E269="",E270="",E103="",E103=0),"",(E268-E269-E270)/E103)</f>
        <v/>
      </c>
      <c r="F114" s="460">
        <f>IF(OR(F268="",F269="",F270="",F103="",F103=0),"",(F268-F269-F270)/F103)</f>
        <v/>
      </c>
      <c r="G114" s="460">
        <f>IF(OR(G268="",G269="",G270="",G103="",G103=0),"",(G268-G269-G270)/G103)</f>
        <v/>
      </c>
      <c r="H114" s="460">
        <f>IF(OR(H268="",H269="",H270="",H103="",H103=0),"",(H268-H269-H270)/H103)</f>
        <v/>
      </c>
      <c r="I114" s="460">
        <f>IF(OR(I268="",I269="",I270="",I103="",I103=0),"",(I268-I269-I270)/I103)</f>
        <v/>
      </c>
      <c r="J114" s="460">
        <f>IF(OR(J268="",J269="",J270="",J103="",J103=0),"",(J268-J269-J270)/J103)</f>
        <v/>
      </c>
      <c r="K114" s="460">
        <f>IF(OR(K268="",K269="",K270="",K103="",K103=0),"",(K268-K269-K270)/K103)</f>
        <v/>
      </c>
      <c r="L114" s="460">
        <f>IF(OR(L268="",L269="",L270="",L103="",L103=0),"",(L268-L269-L270)/L103)</f>
        <v/>
      </c>
      <c r="M114" s="460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0">
        <f>IF(OR(B49="",B102="",B102=0),"",B49/B102)</f>
        <v/>
      </c>
      <c r="C115" s="460">
        <f>IF(OR(C49="",C102="",C102=0),"",C49/C102)</f>
        <v/>
      </c>
      <c r="D115" s="460">
        <f>IF(OR(D49="",D102="",D102=0),"",D49/D102)</f>
        <v/>
      </c>
      <c r="E115" s="460">
        <f>IF(OR(E49="",E102="",E102=0),"",E49/E102)</f>
        <v/>
      </c>
      <c r="F115" s="460">
        <f>IF(OR(F49="",F102="",F102=0),"",F49/F102)</f>
        <v/>
      </c>
      <c r="G115" s="460">
        <f>IF(OR(G49="",G102="",G102=0),"",G49/G102)</f>
        <v/>
      </c>
      <c r="H115" s="460">
        <f>IF(OR(H49="",H102="",H102=0),"",H49/H102)</f>
        <v/>
      </c>
      <c r="I115" s="460">
        <f>IF(OR(I49="",I102="",I102=0),"",I49/I102)</f>
        <v/>
      </c>
      <c r="J115" s="460">
        <f>IF(OR(J49="",J102="",J102=0),"",J49/J102)</f>
        <v/>
      </c>
      <c r="K115" s="460">
        <f>IF(OR(K49="",K102="",K102=0),"",K49/K102)</f>
        <v/>
      </c>
      <c r="L115" s="460">
        <f>IF(OR(L49="",L102="",L102=0),"",L49/L102)</f>
        <v/>
      </c>
      <c r="M115" s="460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1" t="inlineStr">
        <is>
          <t>Debt Detail (latest)</t>
        </is>
      </c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91" t="inlineStr">
        <is>
          <t>Year/Label</t>
        </is>
      </c>
      <c r="B123" s="462" t="inlineStr">
        <is>
          <t>Principal due ($m)</t>
        </is>
      </c>
      <c r="C123" s="462" t="inlineStr">
        <is>
          <t>Rate type</t>
        </is>
      </c>
      <c r="D123" s="462" t="inlineStr">
        <is>
          <t>Coupon/Spread %</t>
        </is>
      </c>
      <c r="F123" s="462" t="inlineStr">
        <is>
          <t>Maturity</t>
        </is>
      </c>
      <c r="G123" s="462" t="inlineStr">
        <is>
          <t>Conversion price</t>
        </is>
      </c>
      <c r="I123" s="462" t="inlineStr">
        <is>
          <t>Added shares on full conversion (m)</t>
        </is>
      </c>
      <c r="L123" s="462" t="inlineStr">
        <is>
          <t>Concurrent repurchased shares (m)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1" t="inlineStr">
        <is>
          <t>Hidden value flags</t>
        </is>
      </c>
      <c r="N137" s="463" t="inlineStr">
        <is>
          <t>Signal state counts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Triggered signal</t>
        </is>
      </c>
      <c r="B138" s="464" t="inlineStr">
        <is>
          <t>Summary</t>
        </is>
      </c>
      <c r="C138" s="464" t="inlineStr"/>
      <c r="D138" s="464" t="inlineStr"/>
      <c r="E138" s="464" t="inlineStr"/>
      <c r="F138" s="464" t="inlineStr">
        <is>
          <t>Score</t>
        </is>
      </c>
      <c r="G138" s="464" t="inlineStr">
        <is>
          <t>State</t>
        </is>
      </c>
      <c r="H138" s="464" t="inlineStr">
        <is>
          <t>As of period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State</t>
        </is>
      </c>
      <c r="O138" s="104" t="n"/>
      <c r="P138" s="104" t="n"/>
      <c r="Q138" s="105" t="n"/>
      <c r="R138" s="100" t="inlineStr">
        <is>
          <t>Count</t>
        </is>
      </c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28" customHeight="1">
      <c r="A139" s="102" t="n"/>
      <c r="B139" s="107" t="n"/>
      <c r="C139" s="104" t="n"/>
      <c r="D139" s="104" t="n"/>
      <c r="E139" s="105" t="n"/>
      <c r="F139" s="465" t="n"/>
      <c r="G139" s="466" t="n"/>
      <c r="H139" s="466" t="n"/>
      <c r="I139" s="104" t="n"/>
      <c r="J139" s="104" t="n"/>
      <c r="K139" s="104" t="n"/>
      <c r="L139" s="104" t="n"/>
      <c r="M139" s="105" t="n"/>
      <c r="N139" s="98" t="inlineStr">
        <is>
          <t>Triggered</t>
        </is>
      </c>
      <c r="O139" s="104" t="n"/>
      <c r="P139" s="104" t="n"/>
      <c r="Q139" s="105" t="n"/>
      <c r="R139" s="100">
        <f>IF(COUNTA('Hidden_Value_Audit'!$A$2:$A$8)=0,"",COUNTIF('Hidden_Value_Audit'!$R$2:$R$8,"triggered"))</f>
        <v/>
      </c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</row>
    <row r="140" ht="28" customHeight="1">
      <c r="A140" s="28" t="n"/>
      <c r="B140" s="467" t="n"/>
      <c r="C140" s="28" t="n"/>
      <c r="D140" s="28" t="n"/>
      <c r="E140" s="28" t="n"/>
      <c r="F140" s="468" t="n"/>
      <c r="G140" s="469" t="n"/>
      <c r="H140" s="469" t="n"/>
      <c r="I140" s="28" t="n"/>
      <c r="J140" s="28" t="n"/>
      <c r="K140" s="28" t="n"/>
      <c r="L140" s="28" t="n"/>
      <c r="M140" s="28" t="n"/>
      <c r="N140" s="98" t="inlineStr">
        <is>
          <t>Near miss</t>
        </is>
      </c>
      <c r="O140" s="104" t="n"/>
      <c r="P140" s="104" t="n"/>
      <c r="Q140" s="105" t="n"/>
      <c r="R140" s="100">
        <f>IF(COUNTA('Hidden_Value_Audit'!$A$2:$A$8)=0,"",COUNTIF('Hidden_Value_Audit'!$R$2:$R$8,"near_miss"))</f>
        <v/>
      </c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28" customHeight="1">
      <c r="A141" s="28" t="n"/>
      <c r="B141" s="467" t="n"/>
      <c r="C141" s="28" t="n"/>
      <c r="D141" s="28" t="n"/>
      <c r="E141" s="28" t="n"/>
      <c r="F141" s="468" t="n"/>
      <c r="G141" s="469" t="n"/>
      <c r="H141" s="469" t="n"/>
      <c r="I141" s="28" t="n"/>
      <c r="J141" s="28" t="n"/>
      <c r="K141" s="28" t="n"/>
      <c r="L141" s="28" t="n"/>
      <c r="M141" s="28" t="n"/>
      <c r="N141" s="98" t="inlineStr">
        <is>
          <t>Not triggered</t>
        </is>
      </c>
      <c r="O141" s="104" t="n"/>
      <c r="P141" s="104" t="n"/>
      <c r="Q141" s="105" t="n"/>
      <c r="R141" s="100">
        <f>IF(COUNTA('Hidden_Value_Audit'!$A$2:$A$8)=0,"",COUNTIF('Hidden_Value_Audit'!$R$2:$R$8,"not_triggered"))</f>
        <v/>
      </c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28" customHeight="1">
      <c r="A142" s="28" t="n"/>
      <c r="B142" s="467" t="n"/>
      <c r="C142" s="28" t="n"/>
      <c r="D142" s="28" t="n"/>
      <c r="E142" s="28" t="n"/>
      <c r="F142" s="468" t="n"/>
      <c r="G142" s="469" t="n"/>
      <c r="H142" s="469" t="n"/>
      <c r="I142" s="28" t="n"/>
      <c r="J142" s="28" t="n"/>
      <c r="K142" s="28" t="n"/>
      <c r="L142" s="28" t="n"/>
      <c r="M142" s="28" t="n"/>
      <c r="N142" s="98" t="inlineStr">
        <is>
          <t>Insufficient evidence</t>
        </is>
      </c>
      <c r="O142" s="104" t="n"/>
      <c r="P142" s="104" t="n"/>
      <c r="Q142" s="105" t="n"/>
      <c r="R142" s="100">
        <f>IF(COUNTA('Hidden_Value_Audit'!$A$2:$A$8)=0,"",COUNTIF('Hidden_Value_Audit'!$R$2:$R$8,"insufficient_evidence"))</f>
        <v/>
      </c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28" customHeight="1">
      <c r="A143" s="28" t="n"/>
      <c r="B143" s="467" t="n"/>
      <c r="C143" s="28" t="n"/>
      <c r="D143" s="28" t="n"/>
      <c r="E143" s="28" t="n"/>
      <c r="F143" s="468" t="n"/>
      <c r="G143" s="469" t="n"/>
      <c r="H143" s="469" t="n"/>
      <c r="I143" s="28" t="n"/>
      <c r="J143" s="28" t="n"/>
      <c r="K143" s="28" t="n"/>
      <c r="L143" s="28" t="n"/>
      <c r="M143" s="28" t="n"/>
      <c r="N143" s="98" t="inlineStr">
        <is>
          <t>Unavailable / invalid</t>
        </is>
      </c>
      <c r="O143" s="104" t="n"/>
      <c r="P143" s="104" t="n"/>
      <c r="Q143" s="105" t="n"/>
      <c r="R143" s="100">
        <f>IF(COUNTA('Hidden_Value_Audit'!$A$2:$A$8)=0,"",COUNTIF('Hidden_Value_Audit'!$R$2:$R$8,"unavailable")+COUNTIF('Hidden_Value_Audit'!$R$2:$R$8,"invalid_input"))</f>
        <v/>
      </c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t="19.5" customHeight="1">
      <c r="A145" s="461" t="inlineStr">
        <is>
          <t>Operating signals</t>
        </is>
      </c>
      <c r="B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t="19.5" customHeight="1">
      <c r="A146" s="108" t="inlineStr">
        <is>
          <t>Signal 1</t>
        </is>
      </c>
      <c r="B146" s="101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t="19.5" customHeight="1">
      <c r="A147" s="108" t="inlineStr">
        <is>
          <t>Signal 2</t>
        </is>
      </c>
      <c r="B147" s="101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t="19.5" customHeight="1">
      <c r="A148" s="108" t="inlineStr">
        <is>
          <t>Signal 3</t>
        </is>
      </c>
      <c r="B148" s="101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t="19.5" customHeight="1">
      <c r="A149" s="108" t="inlineStr">
        <is>
          <t>Signal 4</t>
        </is>
      </c>
      <c r="B149" s="101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t="19.5" customHeight="1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t="19.5" customHeight="1">
      <c r="A151" s="461" t="inlineStr">
        <is>
          <t>Capital return</t>
        </is>
      </c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19.5" customHeight="1">
      <c r="A152" s="108" t="inlineStr">
        <is>
          <t>Buybacks (shares)</t>
        </is>
      </c>
      <c r="B152" s="101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19.5" customHeight="1">
      <c r="A153" s="108" t="inlineStr">
        <is>
          <t>Buybacks note</t>
        </is>
      </c>
      <c r="B153" s="101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19.5" customHeight="1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19.5" customHeight="1">
      <c r="A155" s="108" t="inlineStr">
        <is>
          <t>Dividends ($/share)</t>
        </is>
      </c>
      <c r="B155" s="101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19.5" customHeight="1">
      <c r="A156" s="108" t="inlineStr">
        <is>
          <t>Dividends note</t>
        </is>
      </c>
      <c r="B156" s="101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19.5" customHeight="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19.5" customHeight="1">
      <c r="A158" s="470" t="inlineStr">
        <is>
          <t>Trend/Δ (last 4Q)</t>
        </is>
      </c>
      <c r="B158" s="110" t="n"/>
      <c r="C158" s="110" t="n"/>
      <c r="D158" s="110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19.5" customHeight="1">
      <c r="A159" s="111" t="inlineStr">
        <is>
          <t>Metric</t>
        </is>
      </c>
      <c r="B159" s="471" t="inlineStr">
        <is>
          <t>Δ</t>
        </is>
      </c>
      <c r="C159" s="471" t="inlineStr">
        <is>
          <t>Direction</t>
        </is>
      </c>
      <c r="D159" s="471" t="inlineStr">
        <is>
          <t>As-of</t>
        </is>
      </c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19.5" customHeight="1">
      <c r="A160" s="28" t="inlineStr">
        <is>
          <t>Revenue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19.5" customHeight="1">
      <c r="A161" s="28" t="inlineStr">
        <is>
          <t>Gross margin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19.5" customHeight="1">
      <c r="A162" s="28" t="inlineStr">
        <is>
          <t>Operating margin</t>
        </is>
      </c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19.5" customHeight="1">
      <c r="A163" s="28" t="inlineStr">
        <is>
          <t>Net margin</t>
        </is>
      </c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19.5" customHeight="1">
      <c r="A164" s="28" t="inlineStr">
        <is>
          <t>FCF TTM (YoY)</t>
        </is>
      </c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19.5" customHeight="1">
      <c r="A165" s="28" t="inlineStr">
        <is>
          <t>Net debt (YoY Δ)</t>
        </is>
      </c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19.5" customHeight="1">
      <c r="A166" s="28" t="inlineStr">
        <is>
          <t>Shares out (YoY)</t>
        </is>
      </c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19.5" customHeight="1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19.5" customHeight="1">
      <c r="A168" s="472" t="inlineStr">
        <is>
          <t>Red/Green Flags</t>
        </is>
      </c>
      <c r="J168" s="28" t="n"/>
      <c r="K168" s="28" t="n"/>
      <c r="L168" s="28" t="n"/>
      <c r="M168" s="28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t="19.5" customHeight="1">
      <c r="A169" s="473" t="inlineStr">
        <is>
          <t>Flag</t>
        </is>
      </c>
      <c r="B169" s="473" t="inlineStr">
        <is>
          <t>Status</t>
        </is>
      </c>
      <c r="C169" s="474" t="inlineStr">
        <is>
          <t>Evidence</t>
        </is>
      </c>
      <c r="I169" s="473" t="inlineStr">
        <is>
          <t>As-of</t>
        </is>
      </c>
      <c r="J169" s="28" t="n"/>
      <c r="K169" s="28" t="n"/>
      <c r="L169" s="28" t="n"/>
      <c r="M169" s="28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t="19.5" customHeight="1">
      <c r="A170" s="28" t="inlineStr">
        <is>
          <t>Red: Revenue up but CFO down (YoY)</t>
        </is>
      </c>
      <c r="B170" s="28" t="n"/>
      <c r="C170" s="362" t="n"/>
      <c r="I170" s="28" t="n"/>
      <c r="J170" s="28" t="n"/>
      <c r="K170" s="28" t="n"/>
      <c r="L170" s="28" t="n"/>
      <c r="M170" s="28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t="19.5" customHeight="1">
      <c r="A171" s="28" t="inlineStr">
        <is>
          <t>Red: Earnings quality CFO/NI (TTM)</t>
        </is>
      </c>
      <c r="B171" s="28" t="n"/>
      <c r="C171" s="362" t="n"/>
      <c r="I171" s="28" t="n"/>
      <c r="J171" s="28" t="n"/>
      <c r="K171" s="28" t="n"/>
      <c r="L171" s="28" t="n"/>
      <c r="M171" s="28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t="19.5" customHeight="1">
      <c r="A172" s="28" t="inlineStr">
        <is>
          <t>Red: AR growing faster than revenue (YoY)</t>
        </is>
      </c>
      <c r="B172" s="28" t="n"/>
      <c r="C172" s="362" t="n"/>
      <c r="I172" s="28" t="n"/>
      <c r="J172" s="28" t="n"/>
      <c r="K172" s="28" t="n"/>
      <c r="L172" s="28" t="n"/>
      <c r="M172" s="28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t="19.5" customHeight="1">
      <c r="A173" s="28" t="inlineStr">
        <is>
          <t>Red: Inventory build without revenue growth</t>
        </is>
      </c>
      <c r="B173" s="28" t="n"/>
      <c r="C173" s="362" t="n"/>
      <c r="I173" s="28" t="n"/>
      <c r="J173" s="28" t="n"/>
      <c r="K173" s="28" t="n"/>
      <c r="L173" s="28" t="n"/>
      <c r="M173" s="28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t="19.5" customHeight="1">
      <c r="A174" s="28" t="inlineStr">
        <is>
          <t>Red: Debt growing faster than revenue (YoY)</t>
        </is>
      </c>
      <c r="B174" s="28" t="n"/>
      <c r="C174" s="362" t="n"/>
      <c r="I174" s="28" t="n"/>
      <c r="J174" s="28" t="n"/>
      <c r="K174" s="28" t="n"/>
      <c r="L174" s="28" t="n"/>
      <c r="M174" s="28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t="19.5" customHeight="1">
      <c r="A175" s="28" t="inlineStr">
        <is>
          <t>Red: Leverage rising (YoY Δ)</t>
        </is>
      </c>
      <c r="B175" s="28" t="n"/>
      <c r="C175" s="362" t="n"/>
      <c r="I175" s="28" t="n"/>
      <c r="J175" s="28" t="n"/>
      <c r="K175" s="28" t="n"/>
      <c r="L175" s="28" t="n"/>
      <c r="M175" s="28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t="19.5" customHeight="1">
      <c r="A176" s="28" t="inlineStr">
        <is>
          <t>Red: Interest coverage low (cash)</t>
        </is>
      </c>
      <c r="B176" s="28" t="n"/>
      <c r="C176" s="362" t="n"/>
      <c r="I176" s="28" t="n"/>
      <c r="J176" s="28" t="n"/>
      <c r="K176" s="28" t="n"/>
      <c r="L176" s="28" t="n"/>
      <c r="M176" s="28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t="19.5" customHeight="1">
      <c r="A177" s="28" t="inlineStr">
        <is>
          <t>Red: FCF negative while EBITDA positive (TTM)</t>
        </is>
      </c>
      <c r="B177" s="28" t="n"/>
      <c r="C177" s="362" t="n"/>
      <c r="I177" s="28" t="n"/>
      <c r="J177" s="28" t="n"/>
      <c r="K177" s="28" t="n"/>
      <c r="L177" s="28" t="n"/>
      <c r="M177" s="28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t="19.5" customHeight="1">
      <c r="A178" s="28" t="inlineStr">
        <is>
          <t>Watch: Buybacks exceeded FCF</t>
        </is>
      </c>
      <c r="B178" s="28" t="n"/>
      <c r="C178" s="362" t="n"/>
      <c r="I178" s="28" t="n"/>
      <c r="J178" s="28" t="n"/>
      <c r="K178" s="28" t="n"/>
      <c r="L178" s="28" t="n"/>
      <c r="M178" s="28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t="19.5" customHeight="1">
      <c r="A179" s="28" t="inlineStr">
        <is>
          <t>Red: Goodwill heavy</t>
        </is>
      </c>
      <c r="B179" s="28" t="n"/>
      <c r="C179" s="362" t="n"/>
      <c r="I179" s="28" t="n"/>
      <c r="J179" s="28" t="n"/>
      <c r="K179" s="28" t="n"/>
      <c r="L179" s="28" t="n"/>
      <c r="M179" s="28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t="19.5" customHeight="1">
      <c r="A180" s="28" t="inlineStr">
        <is>
          <t>Red: Share dilution (YoY)</t>
        </is>
      </c>
      <c r="B180" s="28" t="n"/>
      <c r="C180" s="362" t="n"/>
      <c r="I180" s="28" t="n"/>
      <c r="J180" s="28" t="n"/>
      <c r="K180" s="28" t="n"/>
      <c r="L180" s="28" t="n"/>
      <c r="M180" s="28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t="19.5" customHeight="1">
      <c r="A181" s="28" t="inlineStr">
        <is>
          <t>Red: Pension obligations pressure</t>
        </is>
      </c>
      <c r="B181" s="28" t="n"/>
      <c r="C181" s="362" t="n"/>
      <c r="I181" s="28" t="n"/>
      <c r="J181" s="28" t="n"/>
      <c r="K181" s="28" t="n"/>
      <c r="L181" s="28" t="n"/>
      <c r="M181" s="28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t="19.5" customHeight="1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t="19.5" customHeight="1">
      <c r="A183" s="28" t="inlineStr">
        <is>
          <t>Green: Operating margin trend QoQ</t>
        </is>
      </c>
      <c r="B183" s="28" t="n"/>
      <c r="C183" s="362" t="n"/>
      <c r="I183" s="28" t="n"/>
      <c r="J183" s="28" t="n"/>
      <c r="K183" s="28" t="n"/>
      <c r="L183" s="28" t="n"/>
      <c r="M183" s="28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t="19.5" customHeight="1">
      <c r="A184" s="28" t="inlineStr">
        <is>
          <t>Green: FCF TTM growth (YoY)</t>
        </is>
      </c>
      <c r="B184" s="28" t="n"/>
      <c r="C184" s="362" t="n"/>
      <c r="I184" s="28" t="n"/>
      <c r="J184" s="28" t="n"/>
      <c r="K184" s="28" t="n"/>
      <c r="L184" s="28" t="n"/>
      <c r="M184" s="28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t="19.5" customHeight="1">
      <c r="A185" s="28" t="inlineStr">
        <is>
          <t>Green: Net debt decreasing (YoY)</t>
        </is>
      </c>
      <c r="B185" s="28" t="n"/>
      <c r="C185" s="362" t="n"/>
      <c r="I185" s="28" t="n"/>
      <c r="J185" s="28" t="n"/>
      <c r="K185" s="28" t="n"/>
      <c r="L185" s="28" t="n"/>
      <c r="M185" s="28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t="19.5" customHeight="1">
      <c r="A186" s="28" t="inlineStr">
        <is>
          <t>Green: Interest coverage improving (YoY)</t>
        </is>
      </c>
      <c r="B186" s="28" t="n"/>
      <c r="C186" s="362" t="n"/>
      <c r="I186" s="28" t="n"/>
      <c r="J186" s="28" t="n"/>
      <c r="K186" s="28" t="n"/>
      <c r="L186" s="28" t="n"/>
      <c r="M186" s="28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t="19.5" customHeight="1">
      <c r="A187" s="28" t="inlineStr">
        <is>
          <t>Green: Shares outstanding decreasing (YoY)</t>
        </is>
      </c>
      <c r="B187" s="28" t="n"/>
      <c r="C187" s="362" t="n"/>
      <c r="I187" s="28" t="n"/>
      <c r="J187" s="28" t="n"/>
      <c r="K187" s="28" t="n"/>
      <c r="L187" s="28" t="n"/>
      <c r="M187" s="28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t="19.5" customHeight="1">
      <c r="A188" s="28" t="inlineStr">
        <is>
          <t>Green: Liquidity improving (YoY)</t>
        </is>
      </c>
      <c r="B188" s="28" t="n"/>
      <c r="C188" s="362" t="n"/>
      <c r="I188" s="28" t="n"/>
      <c r="J188" s="28" t="n"/>
      <c r="K188" s="28" t="n"/>
      <c r="L188" s="28" t="n"/>
      <c r="M188" s="28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75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76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77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12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77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62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62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62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77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62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62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62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77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62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62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77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62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77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62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77">
        <f>IF(OR(Target_EV_Yield="",Target_EV_Yield&lt;=0,Target_EV_Yield&gt;1,FCFF_Proxy_TTM="",NetDebt="",IF(PerShareMode="Outstanding",Shares,IF(PerShareMode="Diluted",SharesDiluted,""))="",IF(PerShareMode="Outstanding",Shares,IF(PerShareMode="Diluted",SharesDiluted,""))=0),"",(FCFF_Proxy_TTM/Target_EV_Yield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62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62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78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78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79" t="n"/>
      <c r="E210" s="124" t="inlineStr">
        <is>
          <t>User</t>
        </is>
      </c>
      <c r="F210" s="368" t="inlineStr">
        <is>
          <t>Enter a decimal percentage (for example, 10%); values above 100% are invalid.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62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62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79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80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80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1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inlineStr">
        <is>
          <t>Net income TTM ($m)</t>
        </is>
      </c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inlineStr">
        <is>
          <t>Target EV/Revenue (x)</t>
        </is>
      </c>
      <c r="C218" s="22" t="n"/>
      <c r="D218" s="482" t="n"/>
      <c r="E218" s="22" t="n"/>
      <c r="F218" s="22" t="n"/>
      <c r="G218" s="48" t="inlineStr">
        <is>
          <t>Starting FCFF ($m)</t>
        </is>
      </c>
      <c r="J218" s="480" t="n"/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inlineStr">
        <is>
          <t>Target P/E (x)</t>
        </is>
      </c>
      <c r="C219" s="22" t="n"/>
      <c r="D219" s="482" t="n"/>
      <c r="E219" s="22" t="n"/>
      <c r="F219" s="22" t="n"/>
      <c r="G219" s="48" t="inlineStr">
        <is>
          <t>Growth (projection period)</t>
        </is>
      </c>
      <c r="J219" s="479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443">
        <f>IF(DCF_EV="","",DCF_EV)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inlineStr">
        <is>
          <t>DCF horizon (years)</t>
        </is>
      </c>
      <c r="C220" s="22" t="n"/>
      <c r="D220" s="482" t="n"/>
      <c r="E220" s="22" t="n"/>
      <c r="F220" s="22" t="n"/>
      <c r="G220" s="48" t="inlineStr">
        <is>
          <t>Terminal growth</t>
        </is>
      </c>
      <c r="J220" s="479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IF(DCF_WACC="","",DCF_WACC)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</t>
        </is>
      </c>
      <c r="J221" s="479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IF(DCF_TerminalGrowth="","",DCF_TerminalGrowth)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443">
        <f>IF(OR(DCF_FCFF="",DCF_FCFF&lt;=0,DCF_Growth="",DCF_TerminalGrowth="",DCF_WACC="",DCF_Horizon="",DCF_Horizon&lt;1,DCF_WACC&lt;=DCF_Growth,DCF_WACC&lt;=DCF_TerminalGrowth),"",DCF_FCFF*(1+DCF_Growth)/(DCF_WACC-DCF_Growth)*(1-((1+DCF_Growth)/(1+DCF_WACC))^DCF_Horizon)+DCF_FCFF*(1+DCF_Growth)^DCF_Horizon*(1+DCF_TerminalGrowth)/(DCF_WACC-DCF_TerminalGrowth)/(1+DCF_WACC)^DCF_Horizon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483">
        <f>IF(OR(DCF_EV="",NetDebt="",IF(PerShareMode="Outstanding",Shares,IF(PerShareMode="Diluted",SharesDiluted,""))="",IF(PerShareMode="Outstanding",Shares,IF(PerShareMode="Diluted",SharesDiluted,""))&lt;=0),"",(DCF_EV-NetDebt)/IF(PerShareMode="Outstanding",Shares,IF(PerShareMode="Diluted",SharesDiluted,"")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/ terminal growth</t>
        </is>
      </c>
      <c r="H226" s="484" t="n"/>
      <c r="I226" s="485" t="n"/>
      <c r="J226" s="485" t="n"/>
      <c r="K226" s="485" t="n"/>
      <c r="L226" s="484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484" t="n"/>
      <c r="H227" s="486">
        <f>IF(OR(DCF_FCFF="",DCF_FCFF&lt;=0,DCF_Growth="",DCF_Horizon="",DCF_Horizon&lt;1,$G$227="",$H$226="",$G$227&lt;=DCF_Growth,$G$227&lt;=$H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H$226)/($G$227-$H$226)/(1+$G$227)^DCF_Horizon-NetDebt)/IF(PerShareMode="Outstanding",Shares,IF(PerShareMode="Diluted",SharesDiluted,"")))</f>
        <v/>
      </c>
      <c r="I227" s="486">
        <f>IF(OR(DCF_FCFF="",DCF_FCFF&lt;=0,DCF_Growth="",DCF_Horizon="",DCF_Horizon&lt;1,$G$227="",$I$226="",$G$227&lt;=DCF_Growth,$G$227&lt;=$I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I$226)/($G$227-$I$226)/(1+$G$227)^DCF_Horizon-NetDebt)/IF(PerShareMode="Outstanding",Shares,IF(PerShareMode="Diluted",SharesDiluted,"")))</f>
        <v/>
      </c>
      <c r="J227" s="486">
        <f>IF(OR(DCF_FCFF="",DCF_FCFF&lt;=0,DCF_Growth="",DCF_Horizon="",DCF_Horizon&lt;1,$G$227="",$J$226="",$G$227&lt;=DCF_Growth,$G$227&lt;=$J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J$226)/($G$227-$J$226)/(1+$G$227)^DCF_Horizon-NetDebt)/IF(PerShareMode="Outstanding",Shares,IF(PerShareMode="Diluted",SharesDiluted,"")))</f>
        <v/>
      </c>
      <c r="K227" s="486">
        <f>IF(OR(DCF_FCFF="",DCF_FCFF&lt;=0,DCF_Growth="",DCF_Horizon="",DCF_Horizon&lt;1,$G$227="",$K$226="",$G$227&lt;=DCF_Growth,$G$227&lt;=$K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K$226)/($G$227-$K$226)/(1+$G$227)^DCF_Horizon-NetDebt)/IF(PerShareMode="Outstanding",Shares,IF(PerShareMode="Diluted",SharesDiluted,"")))</f>
        <v/>
      </c>
      <c r="L227" s="486">
        <f>IF(OR(DCF_FCFF="",DCF_FCFF&lt;=0,DCF_Growth="",DCF_Horizon="",DCF_Horizon&lt;1,$G$227="",$L$226="",$G$227&lt;=DCF_Growth,$G$227&lt;=$L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L$226)/($G$227-$L$226)/(1+$G$227)^DCF_Horizon-NetDebt)/IF(PerShareMode="Outstanding",Shares,IF(PerShareMode="Diluted",SharesDiluted,""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485" t="n"/>
      <c r="H228" s="486">
        <f>IF(OR(DCF_FCFF="",DCF_FCFF&lt;=0,DCF_Growth="",DCF_Horizon="",DCF_Horizon&lt;1,$G$228="",$H$226="",$G$228&lt;=DCF_Growth,$G$228&lt;=$H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H$226)/($G$228-$H$226)/(1+$G$228)^DCF_Horizon-NetDebt)/IF(PerShareMode="Outstanding",Shares,IF(PerShareMode="Diluted",SharesDiluted,"")))</f>
        <v/>
      </c>
      <c r="I228" s="487">
        <f>IF(OR(DCF_FCFF="",DCF_FCFF&lt;=0,DCF_Growth="",DCF_Horizon="",DCF_Horizon&lt;1,$G$228="",$I$226="",$G$228&lt;=DCF_Growth,$G$228&lt;=$I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I$226)/($G$228-$I$226)/(1+$G$228)^DCF_Horizon-NetDebt)/IF(PerShareMode="Outstanding",Shares,IF(PerShareMode="Diluted",SharesDiluted,"")))</f>
        <v/>
      </c>
      <c r="J228" s="488">
        <f>IF(OR(DCF_FCFF="",DCF_FCFF&lt;=0,DCF_Growth="",DCF_Horizon="",DCF_Horizon&lt;1,$G$228="",$J$226="",$G$228&lt;=DCF_Growth,$G$228&lt;=$J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J$226)/($G$228-$J$226)/(1+$G$228)^DCF_Horizon-NetDebt)/IF(PerShareMode="Outstanding",Shares,IF(PerShareMode="Diluted",SharesDiluted,"")))</f>
        <v/>
      </c>
      <c r="K228" s="489">
        <f>IF(OR(DCF_FCFF="",DCF_FCFF&lt;=0,DCF_Growth="",DCF_Horizon="",DCF_Horizon&lt;1,$G$228="",$K$226="",$G$228&lt;=DCF_Growth,$G$228&lt;=$K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K$226)/($G$228-$K$226)/(1+$G$228)^DCF_Horizon-NetDebt)/IF(PerShareMode="Outstanding",Shares,IF(PerShareMode="Diluted",SharesDiluted,"")))</f>
        <v/>
      </c>
      <c r="L228" s="486">
        <f>IF(OR(DCF_FCFF="",DCF_FCFF&lt;=0,DCF_Growth="",DCF_Horizon="",DCF_Horizon&lt;1,$G$228="",$L$226="",$G$228&lt;=DCF_Growth,$G$228&lt;=$L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L$226)/($G$228-$L$226)/(1+$G$228)^DCF_Horizon-NetDebt)/IF(PerShareMode="Outstanding",Shares,IF(PerShareMode="Diluted",SharesDiluted,""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485" t="n"/>
      <c r="H229" s="486">
        <f>IF(OR(DCF_FCFF="",DCF_FCFF&lt;=0,DCF_Growth="",DCF_Horizon="",DCF_Horizon&lt;1,$G$229="",$H$226="",$G$229&lt;=DCF_Growth,$G$229&lt;=$H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H$226)/($G$229-$H$226)/(1+$G$229)^DCF_Horizon-NetDebt)/IF(PerShareMode="Outstanding",Shares,IF(PerShareMode="Diluted",SharesDiluted,"")))</f>
        <v/>
      </c>
      <c r="I229" s="490">
        <f>IF(OR(DCF_FCFF="",DCF_FCFF&lt;=0,DCF_Growth="",DCF_Horizon="",DCF_Horizon&lt;1,$G$229="",$I$226="",$G$229&lt;=DCF_Growth,$G$229&lt;=$I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I$226)/($G$229-$I$226)/(1+$G$229)^DCF_Horizon-NetDebt)/IF(PerShareMode="Outstanding",Shares,IF(PerShareMode="Diluted",SharesDiluted,"")))</f>
        <v/>
      </c>
      <c r="J229" s="491">
        <f>IF(OR(DCF_FCFF="",DCF_FCFF&lt;=0,DCF_Growth="",DCF_Horizon="",DCF_Horizon&lt;1,$G$229="",$J$226="",$G$229&lt;=DCF_Growth,$G$229&lt;=$J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J$226)/($G$229-$J$226)/(1+$G$229)^DCF_Horizon-NetDebt)/IF(PerShareMode="Outstanding",Shares,IF(PerShareMode="Diluted",SharesDiluted,"")))</f>
        <v/>
      </c>
      <c r="K229" s="492">
        <f>IF(OR(DCF_FCFF="",DCF_FCFF&lt;=0,DCF_Growth="",DCF_Horizon="",DCF_Horizon&lt;1,$G$229="",$K$226="",$G$229&lt;=DCF_Growth,$G$229&lt;=$K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K$226)/($G$229-$K$226)/(1+$G$229)^DCF_Horizon-NetDebt)/IF(PerShareMode="Outstanding",Shares,IF(PerShareMode="Diluted",SharesDiluted,"")))</f>
        <v/>
      </c>
      <c r="L229" s="486">
        <f>IF(OR(DCF_FCFF="",DCF_FCFF&lt;=0,DCF_Growth="",DCF_Horizon="",DCF_Horizon&lt;1,$G$229="",$L$226="",$G$229&lt;=DCF_Growth,$G$229&lt;=$L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L$226)/($G$229-$L$226)/(1+$G$229)^DCF_Horizon-NetDebt)/IF(PerShareMode="Outstanding",Shares,IF(PerShareMode="Diluted",SharesDiluted,""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485" t="n"/>
      <c r="H230" s="486">
        <f>IF(OR(DCF_FCFF="",DCF_FCFF&lt;=0,DCF_Growth="",DCF_Horizon="",DCF_Horizon&lt;1,$G$230="",$H$226="",$G$230&lt;=DCF_Growth,$G$230&lt;=$H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H$226)/($G$230-$H$226)/(1+$G$230)^DCF_Horizon-NetDebt)/IF(PerShareMode="Outstanding",Shares,IF(PerShareMode="Diluted",SharesDiluted,"")))</f>
        <v/>
      </c>
      <c r="I230" s="490">
        <f>IF(OR(DCF_FCFF="",DCF_FCFF&lt;=0,DCF_Growth="",DCF_Horizon="",DCF_Horizon&lt;1,$G$230="",$I$226="",$G$230&lt;=DCF_Growth,$G$230&lt;=$I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I$226)/($G$230-$I$226)/(1+$G$230)^DCF_Horizon-NetDebt)/IF(PerShareMode="Outstanding",Shares,IF(PerShareMode="Diluted",SharesDiluted,"")))</f>
        <v/>
      </c>
      <c r="J230" s="491">
        <f>IF(OR(DCF_FCFF="",DCF_FCFF&lt;=0,DCF_Growth="",DCF_Horizon="",DCF_Horizon&lt;1,$G$230="",$J$226="",$G$230&lt;=DCF_Growth,$G$230&lt;=$J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J$226)/($G$230-$J$226)/(1+$G$230)^DCF_Horizon-NetDebt)/IF(PerShareMode="Outstanding",Shares,IF(PerShareMode="Diluted",SharesDiluted,"")))</f>
        <v/>
      </c>
      <c r="K230" s="492">
        <f>IF(OR(DCF_FCFF="",DCF_FCFF&lt;=0,DCF_Growth="",DCF_Horizon="",DCF_Horizon&lt;1,$G$230="",$K$226="",$G$230&lt;=DCF_Growth,$G$230&lt;=$K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K$226)/($G$230-$K$226)/(1+$G$230)^DCF_Horizon-NetDebt)/IF(PerShareMode="Outstanding",Shares,IF(PerShareMode="Diluted",SharesDiluted,"")))</f>
        <v/>
      </c>
      <c r="L230" s="486">
        <f>IF(OR(DCF_FCFF="",DCF_FCFF&lt;=0,DCF_Growth="",DCF_Horizon="",DCF_Horizon&lt;1,$G$230="",$L$226="",$G$230&lt;=DCF_Growth,$G$230&lt;=$L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L$226)/($G$230-$L$226)/(1+$G$230)^DCF_Horizon-NetDebt)/IF(PerShareMode="Outstanding",Shares,IF(PerShareMode="Diluted",SharesDiluted,""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485" t="n"/>
      <c r="H231" s="486">
        <f>IF(OR(DCF_FCFF="",DCF_FCFF&lt;=0,DCF_Growth="",DCF_Horizon="",DCF_Horizon&lt;1,$G$231="",$H$226="",$G$231&lt;=DCF_Growth,$G$231&lt;=$H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H$226)/($G$231-$H$226)/(1+$G$231)^DCF_Horizon-NetDebt)/IF(PerShareMode="Outstanding",Shares,IF(PerShareMode="Diluted",SharesDiluted,"")))</f>
        <v/>
      </c>
      <c r="I231" s="490">
        <f>IF(OR(DCF_FCFF="",DCF_FCFF&lt;=0,DCF_Growth="",DCF_Horizon="",DCF_Horizon&lt;1,$G$231="",$I$226="",$G$231&lt;=DCF_Growth,$G$231&lt;=$I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I$226)/($G$231-$I$226)/(1+$G$231)^DCF_Horizon-NetDebt)/IF(PerShareMode="Outstanding",Shares,IF(PerShareMode="Diluted",SharesDiluted,"")))</f>
        <v/>
      </c>
      <c r="J231" s="491">
        <f>IF(OR(DCF_FCFF="",DCF_FCFF&lt;=0,DCF_Growth="",DCF_Horizon="",DCF_Horizon&lt;1,$G$231="",$J$226="",$G$231&lt;=DCF_Growth,$G$231&lt;=$J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J$226)/($G$231-$J$226)/(1+$G$231)^DCF_Horizon-NetDebt)/IF(PerShareMode="Outstanding",Shares,IF(PerShareMode="Diluted",SharesDiluted,"")))</f>
        <v/>
      </c>
      <c r="K231" s="492">
        <f>IF(OR(DCF_FCFF="",DCF_FCFF&lt;=0,DCF_Growth="",DCF_Horizon="",DCF_Horizon&lt;1,$G$231="",$K$226="",$G$231&lt;=DCF_Growth,$G$231&lt;=$K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K$226)/($G$231-$K$226)/(1+$G$231)^DCF_Horizon-NetDebt)/IF(PerShareMode="Outstanding",Shares,IF(PerShareMode="Diluted",SharesDiluted,"")))</f>
        <v/>
      </c>
      <c r="L231" s="486">
        <f>IF(OR(DCF_FCFF="",DCF_FCFF&lt;=0,DCF_Growth="",DCF_Horizon="",DCF_Horizon&lt;1,$G$231="",$L$226="",$G$231&lt;=DCF_Growth,$G$231&lt;=$L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L$226)/($G$231-$L$226)/(1+$G$231)^DCF_Horizon-NetDebt)/IF(PerShareMode="Outstanding",Shares,IF(PerShareMode="Diluted",SharesDiluted,""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485" t="n"/>
      <c r="H232" s="486">
        <f>IF(OR(DCF_FCFF="",DCF_FCFF&lt;=0,DCF_Growth="",DCF_Horizon="",DCF_Horizon&lt;1,$G$232="",$H$226="",$G$232&lt;=DCF_Growth,$G$232&lt;=$H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H$226)/($G$232-$H$226)/(1+$G$232)^DCF_Horizon-NetDebt)/IF(PerShareMode="Outstanding",Shares,IF(PerShareMode="Diluted",SharesDiluted,"")))</f>
        <v/>
      </c>
      <c r="I232" s="493">
        <f>IF(OR(DCF_FCFF="",DCF_FCFF&lt;=0,DCF_Growth="",DCF_Horizon="",DCF_Horizon&lt;1,$G$232="",$I$226="",$G$232&lt;=DCF_Growth,$G$232&lt;=$I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I$226)/($G$232-$I$226)/(1+$G$232)^DCF_Horizon-NetDebt)/IF(PerShareMode="Outstanding",Shares,IF(PerShareMode="Diluted",SharesDiluted,"")))</f>
        <v/>
      </c>
      <c r="J232" s="494">
        <f>IF(OR(DCF_FCFF="",DCF_FCFF&lt;=0,DCF_Growth="",DCF_Horizon="",DCF_Horizon&lt;1,$G$232="",$J$226="",$G$232&lt;=DCF_Growth,$G$232&lt;=$J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J$226)/($G$232-$J$226)/(1+$G$232)^DCF_Horizon-NetDebt)/IF(PerShareMode="Outstanding",Shares,IF(PerShareMode="Diluted",SharesDiluted,"")))</f>
        <v/>
      </c>
      <c r="K232" s="495">
        <f>IF(OR(DCF_FCFF="",DCF_FCFF&lt;=0,DCF_Growth="",DCF_Horizon="",DCF_Horizon&lt;1,$G$232="",$K$226="",$G$232&lt;=DCF_Growth,$G$232&lt;=$K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K$226)/($G$232-$K$226)/(1+$G$232)^DCF_Horizon-NetDebt)/IF(PerShareMode="Outstanding",Shares,IF(PerShareMode="Diluted",SharesDiluted,"")))</f>
        <v/>
      </c>
      <c r="L232" s="486">
        <f>IF(OR(DCF_FCFF="",DCF_FCFF&lt;=0,DCF_Growth="",DCF_Horizon="",DCF_Horizon&lt;1,$G$232="",$L$226="",$G$232&lt;=DCF_Growth,$G$232&lt;=$L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L$226)/($G$232-$L$226)/(1+$G$232)^DCF_Horizon-NetDebt)/IF(PerShareMode="Outstanding",Shares,IF(PerShareMode="Diluted",SharesDiluted,""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484" t="n"/>
      <c r="H233" s="486">
        <f>IF(OR(DCF_FCFF="",DCF_FCFF&lt;=0,DCF_Growth="",DCF_Horizon="",DCF_Horizon&lt;1,$G$233="",$H$226="",$G$233&lt;=DCF_Growth,$G$233&lt;=$H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H$226)/($G$233-$H$226)/(1+$G$233)^DCF_Horizon-NetDebt)/IF(PerShareMode="Outstanding",Shares,IF(PerShareMode="Diluted",SharesDiluted,"")))</f>
        <v/>
      </c>
      <c r="I233" s="486">
        <f>IF(OR(DCF_FCFF="",DCF_FCFF&lt;=0,DCF_Growth="",DCF_Horizon="",DCF_Horizon&lt;1,$G$233="",$I$226="",$G$233&lt;=DCF_Growth,$G$233&lt;=$I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I$226)/($G$233-$I$226)/(1+$G$233)^DCF_Horizon-NetDebt)/IF(PerShareMode="Outstanding",Shares,IF(PerShareMode="Diluted",SharesDiluted,"")))</f>
        <v/>
      </c>
      <c r="J233" s="486">
        <f>IF(OR(DCF_FCFF="",DCF_FCFF&lt;=0,DCF_Growth="",DCF_Horizon="",DCF_Horizon&lt;1,$G$233="",$J$226="",$G$233&lt;=DCF_Growth,$G$233&lt;=$J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J$226)/($G$233-$J$226)/(1+$G$233)^DCF_Horizon-NetDebt)/IF(PerShareMode="Outstanding",Shares,IF(PerShareMode="Diluted",SharesDiluted,"")))</f>
        <v/>
      </c>
      <c r="K233" s="486">
        <f>IF(OR(DCF_FCFF="",DCF_FCFF&lt;=0,DCF_Growth="",DCF_Horizon="",DCF_Horizon&lt;1,$G$233="",$K$226="",$G$233&lt;=DCF_Growth,$G$233&lt;=$K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K$226)/($G$233-$K$226)/(1+$G$233)^DCF_Horizon-NetDebt)/IF(PerShareMode="Outstanding",Shares,IF(PerShareMode="Diluted",SharesDiluted,"")))</f>
        <v/>
      </c>
      <c r="L233" s="486">
        <f>IF(OR(DCF_FCFF="",DCF_FCFF&lt;=0,DCF_Growth="",DCF_Horizon="",DCF_Horizon&lt;1,$G$233="",$L$226="",$G$233&lt;=DCF_Growth,$G$233&lt;=$L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L$226)/($G$233-$L$226)/(1+$G$233)^DCF_Horizon-NetDebt)/IF(PerShareMode="Outstanding",Shares,IF(PerShareMode="Diluted",SharesDiluted,""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496" t="n"/>
      <c r="H234" s="497">
        <f>IF(OR(DCF_FCFF="",DCF_FCFF&lt;=0,DCF_Growth="",DCF_Horizon="",DCF_Horizon&lt;1,$G$234="",$H$226="",$G$234&lt;=DCF_Growth,$G$234&lt;=$H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H$226)/($G$234-$H$226)/(1+$G$234)^DCF_Horizon-NetDebt)/IF(PerShareMode="Outstanding",Shares,IF(PerShareMode="Diluted",SharesDiluted,"")))</f>
        <v/>
      </c>
      <c r="I234" s="497">
        <f>IF(OR(DCF_FCFF="",DCF_FCFF&lt;=0,DCF_Growth="",DCF_Horizon="",DCF_Horizon&lt;1,$G$234="",$I$226="",$G$234&lt;=DCF_Growth,$G$234&lt;=$I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I$226)/($G$234-$I$226)/(1+$G$234)^DCF_Horizon-NetDebt)/IF(PerShareMode="Outstanding",Shares,IF(PerShareMode="Diluted",SharesDiluted,"")))</f>
        <v/>
      </c>
      <c r="J234" s="497">
        <f>IF(OR(DCF_FCFF="",DCF_FCFF&lt;=0,DCF_Growth="",DCF_Horizon="",DCF_Horizon&lt;1,$G$234="",$J$226="",$G$234&lt;=DCF_Growth,$G$234&lt;=$J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J$226)/($G$234-$J$226)/(1+$G$234)^DCF_Horizon-NetDebt)/IF(PerShareMode="Outstanding",Shares,IF(PerShareMode="Diluted",SharesDiluted,"")))</f>
        <v/>
      </c>
      <c r="K234" s="497">
        <f>IF(OR(DCF_FCFF="",DCF_FCFF&lt;=0,DCF_Growth="",DCF_Horizon="",DCF_Horizon&lt;1,$G$234="",$K$226="",$G$234&lt;=DCF_Growth,$G$234&lt;=$K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K$226)/($G$234-$K$226)/(1+$G$234)^DCF_Horizon-NetDebt)/IF(PerShareMode="Outstanding",Shares,IF(PerShareMode="Diluted",SharesDiluted,"")))</f>
        <v/>
      </c>
      <c r="L234" s="497">
        <f>IF(OR(DCF_FCFF="",DCF_FCFF&lt;=0,DCF_Growth="",DCF_Horizon="",DCF_Horizon&lt;1,$G$234="",$L$226="",$G$234&lt;=DCF_Growth,$G$234&lt;=$L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L$226)/($G$234-$L$226)/(1+$G$234)^DCF_Horizon-NetDebt)/IF(PerShareMode="Outstanding",Shares,IF(PerShareMode="Diluted",SharesDiluted,""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Scenario economics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label</t>
        </is>
      </c>
      <c r="E236" s="498" t="n"/>
      <c r="F236" s="368">
        <f>IF(ScenarioProfile="","",IF(OR(ScenarioHorizon="",ResolvedRevenueGrowth_Custom="",ScenarioBaseMargin="",ScenarioAdjustedMargin="",ScenarioTaxRate="",ScenarioPreTaxBridge="",ScenarioTaxTreatment="",ScenarioCashInterestChange="",ScenarioInterestTaxTreatment="",ScenarioCapexChange="",ScenarioWCAdjustment="",ScenarioBuybackCash="",ScenarioShareIssuance="",ScenarioDebtPaydown="",Revenue_TTM="",FCF_TTM="",NetIncome_TTM="",NetDebt="",IF(PerShareMode="Outstanding",Shares,IF(PerShareMode="Diluted",SharesDiluted,""))="",AND(ScenarioBuybackCash&lt;&gt;0,OR(ScenarioBuybackPrice="",ScenarioBuybackPrice&lt;=0))),"Incomplete","Ready"))</f>
        <v/>
      </c>
      <c r="H236" t="inlineStr">
        <is>
          <t>Scenario horizon</t>
        </is>
      </c>
      <c r="J236" s="499" t="n"/>
      <c r="L236" s="125" t="inlineStr">
        <is>
          <t>Market cap ($m)</t>
        </is>
      </c>
      <c r="N236" s="500">
        <f>IF(OR(Price="",IF(PerShareMode="Outstanding",Shares,IF(PerShareMode="Diluted",SharesDiluted,""))=""),"",Price*IF(PerShareMode="Outstanding",Shares,IF(PerShareMode="Diluted",SharesDiluted,"")))</f>
        <v/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Revenue growth</t>
        </is>
      </c>
      <c r="E237" s="479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Enterprise value ($m)</t>
        </is>
      </c>
      <c r="N237" s="500">
        <f>IF(OR(N236="",NetDebt=""),"",N236+NetDebt)</f>
        <v/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Base EBITDA margin</t>
        </is>
      </c>
      <c r="E238" s="479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revenue @ target EV/Revenue ($m)</t>
        </is>
      </c>
      <c r="N238" s="500">
        <f>IF(OR(N237="",Target_EV_Revenue="",Target_EV_Revenue&lt;=0),"",N237/Target_EV_Revenue)</f>
        <v/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Adjusted EBITDA margin</t>
        </is>
      </c>
      <c r="E239" s="480" t="n"/>
      <c r="F239" s="368" t="inlineStr">
        <is>
          <t>Manual refinancing normalization assumption.</t>
        </is>
      </c>
      <c r="K239" s="364" t="n"/>
      <c r="L239" s="125" t="inlineStr">
        <is>
          <t>Required adjusted EBITDA @ target multiple ($m)</t>
        </is>
      </c>
      <c r="N239" s="500">
        <f>IF(OR(N237="",Target_EV_AdjEBITDA="",Target_EV_AdjEBITDA&lt;=0),"",N237/Target_EV_AdjEBITDA)</f>
        <v/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Tax rate</t>
        </is>
      </c>
      <c r="E240" s="480" t="n"/>
      <c r="F240" s="368" t="inlineStr">
        <is>
          <t>Manual share-count continuation assumption.</t>
        </is>
      </c>
      <c r="K240" s="364" t="n"/>
      <c r="L240" s="125" t="inlineStr">
        <is>
          <t>Implied adjusted EBITDA margin</t>
        </is>
      </c>
      <c r="N240" s="501">
        <f>IF(OR(N238="",N239="",N238=0),"",N239/N238)</f>
        <v/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revenue ($m)</t>
        </is>
      </c>
      <c r="E241" s="443">
        <f>IF(OR(Revenue_TTM="",ResolvedRevenueGrowth_Custom=""),"",Revenue_TTM*(1+ResolvedRevenueGrowth_Custom))</f>
        <v/>
      </c>
      <c r="F241" s="368" t="inlineStr">
        <is>
          <t>Scenario revenue × scenario margin.</t>
        </is>
      </c>
      <c r="K241" s="364" t="n"/>
      <c r="L241" s="125" t="inlineStr">
        <is>
          <t>Implied revenue growth</t>
        </is>
      </c>
      <c r="N241" s="501">
        <f>IF(OR(N238="",Revenue_TTM="",Revenue_TTM=0),"",N238/Revenue_TTM-1)</f>
        <v/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EBITDA (base, $m)</t>
        </is>
      </c>
      <c r="E242" s="443">
        <f>IF(OR(ScenarioRevenue="",ScenarioBaseMargin=""),"",ScenarioRevenue*ScenarioBaseMargin)</f>
        <v/>
      </c>
      <c r="F242" s="368" t="inlineStr">
        <is>
          <t>Owner earnings bridge adjusted by scenario EBITDA and refinancing.</t>
        </is>
      </c>
      <c r="K242" s="364" t="n"/>
      <c r="L242" s="22" t="inlineStr">
        <is>
          <t>Required FCFF @ target yield ($m)</t>
        </is>
      </c>
      <c r="M242" s="22" t="n"/>
      <c r="N242" s="477">
        <f>IF(OR(N237="",Target_EV_Yield="",Target_EV_Yield&lt;=0),"",N237*Target_EV_Yield)</f>
        <v/>
      </c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Scenario adjusted EBITDA ($m)</t>
        </is>
      </c>
      <c r="E243" s="443">
        <f>IF(OR(ScenarioRevenue="",ScenarioAdjustedMargin=""),"",ScenarioRevenue*ScenarioAdjustedMargin)</f>
        <v/>
      </c>
      <c r="F243" s="368" t="inlineStr">
        <is>
          <t>Scenario per-share value with quality-adjusted EV/Adj multiple.</t>
        </is>
      </c>
      <c r="K243" s="364" t="n"/>
      <c r="L243" s="22" t="inlineStr">
        <is>
          <t>Required EPS @ target P/E ($/share)</t>
        </is>
      </c>
      <c r="M243" s="22" t="n"/>
      <c r="N243" s="502">
        <f>IF(OR(Price="",Target_PE="",Target_PE&lt;=0),"",Price/Target_PE)</f>
        <v/>
      </c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Scenario FCF ($m)</t>
        </is>
      </c>
      <c r="E244" s="443">
        <f>IF(OR(FCF_TTM="",ScenarioPreTaxBridge="",ScenarioTaxTreatment="",ScenarioTaxRate="",ScenarioCashInterestChange="",ScenarioInterestTaxTreatment="",ScenarioCapexChange="",ScenarioWCAdjustment=""),"",FCF_TTM+IF(ScenarioTaxTreatment="taxable",ScenarioPreTaxBridge*(1-ScenarioTaxRate),IF(OR(ScenarioTaxTreatment="non_taxable",ScenarioTaxTreatment="non_taxable_credit",ScenarioTaxTreatment="cash_only",ScenarioTaxTreatment="no_eps_impact"),ScenarioPreTaxBridge,IF(OR(ScenarioTaxTreatment="cash_only",ScenarioTaxTreatment="no_eps_impact"),ScenarioPreTaxBridge,"")))-IF(ScenarioInterestTaxTreatment="taxable",ScenarioCashInterestChange*(1-ScenarioTaxRate),IF(ScenarioInterestTaxTreatment="non_taxable",ScenarioCashInterestChange,""))-ScenarioCapexChange+ScenarioWCAdjustment)</f>
        <v/>
      </c>
      <c r="F244" s="368" t="inlineStr">
        <is>
          <t>Scenario per-share value with quality-adjusted owner-earnings yield.</t>
        </is>
      </c>
      <c r="K244" s="364" t="n"/>
      <c r="L244" s="22" t="inlineStr">
        <is>
          <t>Implied terminal growth (perpetuity)</t>
        </is>
      </c>
      <c r="M244" s="22" t="n"/>
      <c r="N244" s="59">
        <f>IF(OR(NOT(ISNUMBER(N237)),NOT(ISNUMBER(DCF_WACC)),NOT(ISNUMBER(DCF_FCFF)),N237&lt;=0,DCF_WACC&lt;=0),"",IF(N237+DCF_FCFF=0,"",(N237*DCF_WACC-DCF_FCFF)/(N237+DCF_FCFF)))</f>
        <v/>
      </c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Explicit scenario bridge inputs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503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Pre-tax earnings bridge ($m)</t>
        </is>
      </c>
      <c r="D247" s="504" t="n"/>
      <c r="E247" s="499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Cash-interest change ($m)</t>
        </is>
      </c>
      <c r="D248" s="504" t="n"/>
      <c r="E248" s="499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Capex change ($m, positive outflow)</t>
        </is>
      </c>
      <c r="D249" s="504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Working-capital adjustment ($m, positive source)</t>
        </is>
      </c>
      <c r="D250" s="504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Capital allocation inputs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Buyback cash ($m)</t>
        </is>
      </c>
      <c r="D253" s="499" t="n"/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Buyback execution price ($/share)</t>
        </is>
      </c>
      <c r="D254" s="499" t="n"/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Share issuance (m shares)</t>
        </is>
      </c>
      <c r="D255" s="499" t="n"/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Debt paydown ($m)</t>
        </is>
      </c>
      <c r="D256" s="499" t="n"/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Scenario outputs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Scenario shares (m)</t>
        </is>
      </c>
      <c r="E259" s="505">
        <f>IF(OR(IF(PerShareMode="Outstanding",Shares,IF(PerShareMode="Diluted",SharesDiluted,""))="",ScenarioBuybackCash="",ScenarioShareIssuance="",AND(ScenarioBuybackCash&lt;&gt;0,OR(ScenarioBuybackPrice="",ScenarioBuybackPrice&lt;=0))),"",IF(IF(PerShareMode="Outstanding",Shares,IF(PerShareMode="Diluted",SharesDiluted,""))-IF(ScenarioBuybackCash=0,0,ScenarioBuybackCash/ScenarioBuybackPrice)+ScenarioShareIssuance&lt;=0,"",IF(PerShareMode="Outstanding",Shares,IF(PerShareMode="Diluted",SharesDiluted,""))-IF(ScenarioBuybackCash=0,0,ScenarioBuybackCash/ScenarioBuybackPrice)+ScenarioShareIssuance))</f>
        <v/>
      </c>
      <c r="F259" s="368" t="inlineStr">
        <is>
          <t>Multiple adjusted for balance-sheet optionality toggle.</t>
        </is>
      </c>
      <c r="H259" t="inlineStr">
        <is>
          <t>Scenario enterprise value ($m)</t>
        </is>
      </c>
      <c r="J259" s="506">
        <f>IF(OR(Target_EV_AdjEBITDA="",ScenarioAdjustedEBITDA=""),"",Target_EV_AdjEBITDA*ScenarioAdjustedEBITDA)</f>
        <v/>
      </c>
      <c r="L259" s="22" t="n"/>
      <c r="M259" s="22" t="inlineStr">
        <is>
          <t>Upside / downside</t>
        </is>
      </c>
      <c r="N259" s="444">
        <f>IF(OR(ScenarioImpliedPrice="",Price="",Price&lt;=0),"",ScenarioImpliedPrice/Price-1)</f>
        <v/>
      </c>
      <c r="O259" s="22" t="n"/>
      <c r="P259" s="22" t="n"/>
      <c r="Q259" s="22" t="inlineStr">
        <is>
          <t>Scenario EV/Revenue</t>
        </is>
      </c>
      <c r="R259" s="359">
        <f>IF(OR(ScenarioEV="",ScenarioRevenue="",ScenarioRevenue=0),"",ScenarioEV/ScenarioRevenue)</f>
        <v/>
      </c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Scenario net debt ($m)</t>
        </is>
      </c>
      <c r="E260" s="443">
        <f>IF(OR(NetDebt="",ScenarioBuybackCash="",ScenarioDebtPaydown=""),"",NetDebt+ScenarioBuybackCash-ScenarioDebtPaydown)</f>
        <v/>
      </c>
      <c r="F260" s="368" t="inlineStr">
        <is>
          <t>Cross-check multiple adjusted for balance-sheet optionality toggle.</t>
        </is>
      </c>
      <c r="H260" t="inlineStr">
        <is>
          <t>Scenario equity value ($m)</t>
        </is>
      </c>
      <c r="J260" s="506">
        <f>IF(OR(ScenarioEV="",ScenarioNetDebt=""),"",ScenarioEV-ScenarioNetDebt)</f>
        <v/>
      </c>
      <c r="L260" s="22" t="n"/>
      <c r="M260" s="22" t="inlineStr">
        <is>
          <t>Scenario P/E</t>
        </is>
      </c>
      <c r="N260" s="359">
        <f>IF(OR(ScenarioImpliedPrice="",ScenarioEPS="",ScenarioEPS=0),"",ScenarioImpliedPrice/ScenarioEPS)</f>
        <v/>
      </c>
      <c r="O260" s="22" t="n"/>
      <c r="P260" s="22" t="n"/>
      <c r="Q260" s="22" t="inlineStr">
        <is>
          <t>Scenario EV/EBITDA (base)</t>
        </is>
      </c>
      <c r="R260" s="359">
        <f>IF(OR(ScenarioEV="",ScenarioBaseEBITDA="",ScenarioBaseEBITDA=0),"",ScenarioEV/ScenarioBaseEBITDA)</f>
        <v/>
      </c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Scenario EPS ($/share)</t>
        </is>
      </c>
      <c r="C261" s="371" t="n"/>
      <c r="D261" s="371" t="n"/>
      <c r="E261" s="507">
        <f>IF(OR(NetIncome_TTM="",ScenarioShares="",ScenarioShares&lt;=0,ScenarioPreTaxBridge="",ScenarioTaxTreatment="",ScenarioTaxRate="",ScenarioCashInterestChange="",ScenarioInterestTaxTreatment=""),"",(NetIncome_TTM+IF(ScenarioTaxTreatment="taxable",ScenarioPreTaxBridge*(1-ScenarioTaxRate),IF(OR(ScenarioTaxTreatment="non_taxable",ScenarioTaxTreatment="non_taxable_credit"),ScenarioPreTaxBridge,IF(OR(ScenarioTaxTreatment="cash_only",ScenarioTaxTreatment="no_eps_impact"),0,"")))-IF(ScenarioInterestTaxTreatment="taxable",ScenarioCashInterestChange*(1-ScenarioTaxRate),IF(ScenarioInterestTaxTreatment="non_taxable",ScenarioCashInterestChange,"")))/ScenarioShares)</f>
        <v/>
      </c>
      <c r="F261" s="372" t="inlineStr">
        <is>
          <t>Yield uplift from regulatory/non-GAAP/customer-concentration toggles.</t>
        </is>
      </c>
      <c r="H261" t="inlineStr">
        <is>
          <t>Scenario implied price ($/share)</t>
        </is>
      </c>
      <c r="J261" s="508">
        <f>IF(OR(ScenarioEquityValue="",ScenarioShares="",ScenarioShares&lt;=0),"",ScenarioEquityValue/ScenarioShares)</f>
        <v/>
      </c>
      <c r="L261" s="22" t="n"/>
      <c r="M261" s="22" t="inlineStr">
        <is>
          <t>Scenario FCF yield</t>
        </is>
      </c>
      <c r="N261" s="59">
        <f>IF(OR(NOT(ISNUMBER(ScenarioFCF)),NOT(ISNUMBER(ScenarioImpliedPrice)),NOT(ISNUMBER(ScenarioShares)),ScenarioImpliedPrice&lt;=0,ScenarioShares&lt;=0),"",ScenarioFCF/(ScenarioImpliedPrice*ScenarioShares))</f>
        <v/>
      </c>
      <c r="O261" s="22" t="n"/>
      <c r="P261" s="22" t="n"/>
      <c r="Q261" s="22" t="inlineStr">
        <is>
          <t>Scenario EV/Adjusted EBITDA</t>
        </is>
      </c>
      <c r="R261" s="359">
        <f>IF(OR(ScenarioEV="",ScenarioAdjustedEBITDA="",ScenarioAdjustedEBITDA=0),"",ScenarioEV/ScenarioAdjustedEBITDA)</f>
        <v/>
      </c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506" t="n"/>
      <c r="C262" s="506" t="n"/>
      <c r="D262" s="506" t="n"/>
      <c r="E262" s="506" t="n"/>
      <c r="F262" s="506" t="n"/>
      <c r="G262" s="506" t="n"/>
      <c r="H262" s="506" t="n"/>
      <c r="I262" s="506" t="n"/>
      <c r="J262" s="506" t="n"/>
      <c r="K262" s="506" t="n"/>
      <c r="L262" s="506" t="n"/>
      <c r="M262" s="506" t="n"/>
    </row>
    <row r="263" hidden="1">
      <c r="A263" t="inlineStr">
        <is>
          <t>Formula input: interest_expense</t>
        </is>
      </c>
      <c r="B263" s="506" t="n"/>
      <c r="C263" s="506" t="n"/>
      <c r="D263" s="506" t="n"/>
      <c r="E263" s="506" t="n"/>
      <c r="F263" s="506" t="n"/>
      <c r="G263" s="506" t="n"/>
      <c r="H263" s="506" t="n"/>
      <c r="I263" s="506" t="n"/>
      <c r="J263" s="506" t="n"/>
      <c r="K263" s="506" t="n"/>
      <c r="L263" s="506" t="n"/>
      <c r="M263" s="506" t="n"/>
    </row>
    <row r="264" hidden="1">
      <c r="A264" t="inlineStr">
        <is>
          <t>Formula input: dividends_cash</t>
        </is>
      </c>
      <c r="B264" s="506" t="n"/>
      <c r="C264" s="506" t="n"/>
      <c r="D264" s="506" t="n"/>
      <c r="E264" s="506" t="n"/>
      <c r="F264" s="506" t="n"/>
      <c r="G264" s="506" t="n"/>
      <c r="H264" s="506" t="n"/>
      <c r="I264" s="506" t="n"/>
      <c r="J264" s="506" t="n"/>
      <c r="K264" s="506" t="n"/>
      <c r="L264" s="506" t="n"/>
      <c r="M264" s="506" t="n"/>
    </row>
    <row r="265" hidden="1">
      <c r="A265" t="inlineStr">
        <is>
          <t>Formula input: acquisitions_cash</t>
        </is>
      </c>
      <c r="B265" s="506" t="n"/>
      <c r="C265" s="506" t="n"/>
      <c r="D265" s="506" t="n"/>
      <c r="E265" s="506" t="n"/>
      <c r="F265" s="506" t="n"/>
      <c r="G265" s="506" t="n"/>
      <c r="H265" s="506" t="n"/>
      <c r="I265" s="506" t="n"/>
      <c r="J265" s="506" t="n"/>
      <c r="K265" s="506" t="n"/>
      <c r="L265" s="506" t="n"/>
      <c r="M265" s="506" t="n"/>
    </row>
    <row r="266" hidden="1">
      <c r="A266" t="inlineStr">
        <is>
          <t>Formula input: debt_repayment</t>
        </is>
      </c>
      <c r="B266" s="506" t="n"/>
      <c r="C266" s="506" t="n"/>
      <c r="D266" s="506" t="n"/>
      <c r="E266" s="506" t="n"/>
      <c r="F266" s="506" t="n"/>
      <c r="G266" s="506" t="n"/>
      <c r="H266" s="506" t="n"/>
      <c r="I266" s="506" t="n"/>
      <c r="J266" s="506" t="n"/>
      <c r="K266" s="506" t="n"/>
      <c r="L266" s="506" t="n"/>
      <c r="M266" s="506" t="n"/>
    </row>
    <row r="267" hidden="1">
      <c r="A267" t="inlineStr">
        <is>
          <t>Formula input: debt_issuance</t>
        </is>
      </c>
      <c r="B267" s="506" t="n"/>
      <c r="C267" s="506" t="n"/>
      <c r="D267" s="506" t="n"/>
      <c r="E267" s="506" t="n"/>
      <c r="F267" s="506" t="n"/>
      <c r="G267" s="506" t="n"/>
      <c r="H267" s="506" t="n"/>
      <c r="I267" s="506" t="n"/>
      <c r="J267" s="506" t="n"/>
      <c r="K267" s="506" t="n"/>
      <c r="L267" s="506" t="n"/>
      <c r="M267" s="506" t="n"/>
    </row>
    <row r="268" hidden="1">
      <c r="A268" t="inlineStr">
        <is>
          <t>Formula input: total_equity</t>
        </is>
      </c>
      <c r="B268" s="506" t="n"/>
      <c r="C268" s="506" t="n"/>
      <c r="D268" s="506" t="n"/>
      <c r="E268" s="506" t="n"/>
      <c r="F268" s="506" t="n"/>
      <c r="G268" s="506" t="n"/>
      <c r="H268" s="506" t="n"/>
      <c r="I268" s="506" t="n"/>
      <c r="J268" s="506" t="n"/>
      <c r="K268" s="506" t="n"/>
      <c r="L268" s="506" t="n"/>
      <c r="M268" s="506" t="n"/>
    </row>
    <row r="269" hidden="1">
      <c r="A269" t="inlineStr">
        <is>
          <t>Formula input: goodwill</t>
        </is>
      </c>
      <c r="B269" s="506" t="n"/>
      <c r="C269" s="506" t="n"/>
      <c r="D269" s="506" t="n"/>
      <c r="E269" s="506" t="n"/>
      <c r="F269" s="506" t="n"/>
      <c r="G269" s="506" t="n"/>
      <c r="H269" s="506" t="n"/>
      <c r="I269" s="506" t="n"/>
      <c r="J269" s="506" t="n"/>
      <c r="K269" s="506" t="n"/>
      <c r="L269" s="506" t="n"/>
      <c r="M269" s="506" t="n"/>
    </row>
    <row r="270" hidden="1">
      <c r="A270" t="inlineStr">
        <is>
          <t>Formula input: intangibles</t>
        </is>
      </c>
      <c r="B270" s="506" t="n"/>
      <c r="C270" s="506" t="n"/>
      <c r="D270" s="506" t="n"/>
      <c r="E270" s="506" t="n"/>
      <c r="F270" s="506" t="n"/>
      <c r="G270" s="506" t="n"/>
      <c r="H270" s="506" t="n"/>
      <c r="I270" s="506" t="n"/>
      <c r="J270" s="506" t="n"/>
      <c r="K270" s="506" t="n"/>
      <c r="L270" s="506" t="n"/>
      <c r="M270" s="506" t="n"/>
    </row>
    <row r="271" hidden="1">
      <c r="A271" t="inlineStr">
        <is>
          <t>Formula output: operating_cash_flow_ttm</t>
        </is>
      </c>
      <c r="B271" s="50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50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50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50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50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50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50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50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50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50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50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50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395">
    <mergeCell ref="O49:T49"/>
    <mergeCell ref="C183:H183"/>
    <mergeCell ref="S25:Z25"/>
    <mergeCell ref="B139:E139"/>
    <mergeCell ref="O207:S207"/>
    <mergeCell ref="X55:AC55"/>
    <mergeCell ref="O50:T50"/>
    <mergeCell ref="X73:AC73"/>
    <mergeCell ref="A31:M31"/>
    <mergeCell ref="O200:S200"/>
    <mergeCell ref="U58:W58"/>
    <mergeCell ref="O32:P32"/>
    <mergeCell ref="U39:Z39"/>
    <mergeCell ref="O52:T52"/>
    <mergeCell ref="B241:D241"/>
    <mergeCell ref="S28:Z28"/>
    <mergeCell ref="O202:S202"/>
    <mergeCell ref="U73:W73"/>
    <mergeCell ref="B205:C205"/>
    <mergeCell ref="F237:K237"/>
    <mergeCell ref="B242:D242"/>
    <mergeCell ref="X66:AC66"/>
    <mergeCell ref="C184:H184"/>
    <mergeCell ref="U247:W247"/>
    <mergeCell ref="C171:H171"/>
    <mergeCell ref="A42:M42"/>
    <mergeCell ref="B146:K146"/>
    <mergeCell ref="B200:C200"/>
    <mergeCell ref="O63:T63"/>
    <mergeCell ref="C173:H173"/>
    <mergeCell ref="O195:S195"/>
    <mergeCell ref="Q238:U238"/>
    <mergeCell ref="O74:T74"/>
    <mergeCell ref="O55:T55"/>
    <mergeCell ref="L123:N123"/>
    <mergeCell ref="B195:C195"/>
    <mergeCell ref="O46:Q46"/>
    <mergeCell ref="O27:AC27"/>
    <mergeCell ref="B239:D239"/>
    <mergeCell ref="AA12:AC12"/>
    <mergeCell ref="F194:J194"/>
    <mergeCell ref="B5:M5"/>
    <mergeCell ref="AA14:AC14"/>
    <mergeCell ref="S34:Z34"/>
    <mergeCell ref="C186:H186"/>
    <mergeCell ref="B235:K235"/>
    <mergeCell ref="A137:M137"/>
    <mergeCell ref="AA43:AC43"/>
    <mergeCell ref="S30:Z30"/>
    <mergeCell ref="O53:T53"/>
    <mergeCell ref="B213:C213"/>
    <mergeCell ref="S29:Z29"/>
    <mergeCell ref="U74:W74"/>
    <mergeCell ref="O208:S208"/>
    <mergeCell ref="B244:D244"/>
    <mergeCell ref="A76:M76"/>
    <mergeCell ref="S31:Z31"/>
    <mergeCell ref="O41:Q41"/>
    <mergeCell ref="F238:K238"/>
    <mergeCell ref="F205:J205"/>
    <mergeCell ref="B208:C208"/>
    <mergeCell ref="S247:T247"/>
    <mergeCell ref="O43:Q43"/>
    <mergeCell ref="F240:K240"/>
    <mergeCell ref="AA25:AC25"/>
    <mergeCell ref="B210:C210"/>
    <mergeCell ref="I123:K123"/>
    <mergeCell ref="B260:D260"/>
    <mergeCell ref="C181:H181"/>
    <mergeCell ref="O58:T58"/>
    <mergeCell ref="B156:K156"/>
    <mergeCell ref="X69:AC69"/>
    <mergeCell ref="C174:H174"/>
    <mergeCell ref="O73:T73"/>
    <mergeCell ref="B155:K155"/>
    <mergeCell ref="B149:K149"/>
    <mergeCell ref="F200:J200"/>
    <mergeCell ref="O66:T66"/>
    <mergeCell ref="S24:Z24"/>
    <mergeCell ref="O68:T68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O59:T59"/>
    <mergeCell ref="X247:AA247"/>
    <mergeCell ref="F213:J213"/>
    <mergeCell ref="O61:T61"/>
    <mergeCell ref="O48:AC48"/>
    <mergeCell ref="F215:J215"/>
    <mergeCell ref="H138:I138"/>
    <mergeCell ref="K205:M205"/>
    <mergeCell ref="B261:D261"/>
    <mergeCell ref="AA28:AC28"/>
    <mergeCell ref="F210:J210"/>
    <mergeCell ref="A3:M3"/>
    <mergeCell ref="B207:C207"/>
    <mergeCell ref="AA30:AC30"/>
    <mergeCell ref="A97:M97"/>
    <mergeCell ref="Q239:U239"/>
    <mergeCell ref="X49:AC49"/>
    <mergeCell ref="U72:W72"/>
    <mergeCell ref="F201:J201"/>
    <mergeCell ref="X63:AC63"/>
    <mergeCell ref="F203:J203"/>
    <mergeCell ref="O16:P16"/>
    <mergeCell ref="N141:Q141"/>
    <mergeCell ref="Q236:U236"/>
    <mergeCell ref="U63:W63"/>
    <mergeCell ref="K197:M197"/>
    <mergeCell ref="U50:W50"/>
    <mergeCell ref="K201:M201"/>
    <mergeCell ref="O17:P17"/>
    <mergeCell ref="O11:P11"/>
    <mergeCell ref="Q237:U237"/>
    <mergeCell ref="X52:AC52"/>
    <mergeCell ref="B197:C197"/>
    <mergeCell ref="F216:J216"/>
    <mergeCell ref="AA34:AC34"/>
    <mergeCell ref="B259:D259"/>
    <mergeCell ref="X53:AC53"/>
    <mergeCell ref="F193:J193"/>
    <mergeCell ref="S8:Z8"/>
    <mergeCell ref="U42:Z42"/>
    <mergeCell ref="AA31:AC31"/>
    <mergeCell ref="K210:M210"/>
    <mergeCell ref="U55:W55"/>
    <mergeCell ref="Q240:U240"/>
    <mergeCell ref="O38:Q38"/>
    <mergeCell ref="K193:M193"/>
    <mergeCell ref="R39:T39"/>
    <mergeCell ref="N137:R137"/>
    <mergeCell ref="O37:AC37"/>
    <mergeCell ref="Q222:R222"/>
    <mergeCell ref="C172:H172"/>
    <mergeCell ref="O194:S194"/>
    <mergeCell ref="F206:J206"/>
    <mergeCell ref="K209:M209"/>
    <mergeCell ref="K203:M203"/>
    <mergeCell ref="A116:M116"/>
    <mergeCell ref="O19:P19"/>
    <mergeCell ref="B194:C194"/>
    <mergeCell ref="K217:O217"/>
    <mergeCell ref="A17:M17"/>
    <mergeCell ref="S21:Z21"/>
    <mergeCell ref="U66:W66"/>
    <mergeCell ref="U53:W53"/>
    <mergeCell ref="N142:Q142"/>
    <mergeCell ref="K204:M204"/>
    <mergeCell ref="U68:W68"/>
    <mergeCell ref="O20:P20"/>
    <mergeCell ref="O22:P22"/>
    <mergeCell ref="X59:AC59"/>
    <mergeCell ref="O205:S205"/>
    <mergeCell ref="S10:Z10"/>
    <mergeCell ref="C179:H179"/>
    <mergeCell ref="A12:M12"/>
    <mergeCell ref="B216:C216"/>
    <mergeCell ref="U45:Z45"/>
    <mergeCell ref="A106:M106"/>
    <mergeCell ref="F212:J212"/>
    <mergeCell ref="O33:P33"/>
    <mergeCell ref="U56:W56"/>
    <mergeCell ref="X74:AC74"/>
    <mergeCell ref="X68:AC68"/>
    <mergeCell ref="F214:J214"/>
    <mergeCell ref="O51:T51"/>
    <mergeCell ref="X51:AC51"/>
    <mergeCell ref="S23:Z23"/>
    <mergeCell ref="O197:S197"/>
    <mergeCell ref="U67:W67"/>
    <mergeCell ref="K206:M206"/>
    <mergeCell ref="O201:S201"/>
    <mergeCell ref="B237:D237"/>
    <mergeCell ref="A69:M69"/>
    <mergeCell ref="K220:O220"/>
    <mergeCell ref="U69:W69"/>
    <mergeCell ref="Q247:R247"/>
    <mergeCell ref="B201:C201"/>
    <mergeCell ref="K222:O222"/>
    <mergeCell ref="X67:AC67"/>
    <mergeCell ref="X61:AC61"/>
    <mergeCell ref="K221:O221"/>
    <mergeCell ref="B203:C203"/>
    <mergeCell ref="K223:O223"/>
    <mergeCell ref="X62:AC62"/>
    <mergeCell ref="C180:H180"/>
    <mergeCell ref="O44:Q44"/>
    <mergeCell ref="O69:T69"/>
    <mergeCell ref="B215:C215"/>
    <mergeCell ref="X64:AC64"/>
    <mergeCell ref="R42:T42"/>
    <mergeCell ref="O210:S210"/>
    <mergeCell ref="F243:K243"/>
    <mergeCell ref="S17:Z17"/>
    <mergeCell ref="C169:H169"/>
    <mergeCell ref="U62:W62"/>
    <mergeCell ref="AA46:AC46"/>
    <mergeCell ref="S11:Z11"/>
    <mergeCell ref="G225:L225"/>
    <mergeCell ref="O64:T64"/>
    <mergeCell ref="O35:P35"/>
    <mergeCell ref="U64:W64"/>
    <mergeCell ref="O193:S193"/>
    <mergeCell ref="A51:M51"/>
    <mergeCell ref="R46:T46"/>
    <mergeCell ref="U51:W51"/>
    <mergeCell ref="O72:T72"/>
    <mergeCell ref="AA8:AC8"/>
    <mergeCell ref="G123:H123"/>
    <mergeCell ref="AA10:AC10"/>
    <mergeCell ref="C187:H187"/>
    <mergeCell ref="O209:S209"/>
    <mergeCell ref="O203:S203"/>
    <mergeCell ref="S32:Z32"/>
    <mergeCell ref="AA39:AC39"/>
    <mergeCell ref="B209:C209"/>
    <mergeCell ref="O54:T54"/>
    <mergeCell ref="U75:W75"/>
    <mergeCell ref="O204:S204"/>
    <mergeCell ref="F208:J208"/>
    <mergeCell ref="O29:P29"/>
    <mergeCell ref="O31:P31"/>
    <mergeCell ref="AA21:AC21"/>
    <mergeCell ref="X72:AC72"/>
    <mergeCell ref="O67:T67"/>
    <mergeCell ref="AA32:AC32"/>
    <mergeCell ref="A61:M61"/>
    <mergeCell ref="S19:Z19"/>
    <mergeCell ref="AA23:AC23"/>
    <mergeCell ref="B152:K152"/>
    <mergeCell ref="C185:H185"/>
    <mergeCell ref="S20:Z20"/>
    <mergeCell ref="U65:W65"/>
    <mergeCell ref="A56:M56"/>
    <mergeCell ref="B258:K258"/>
    <mergeCell ref="B147:K147"/>
    <mergeCell ref="S22:Z22"/>
    <mergeCell ref="F196:J196"/>
    <mergeCell ref="B199:C199"/>
    <mergeCell ref="O9:P9"/>
    <mergeCell ref="B243:D243"/>
    <mergeCell ref="C188:H188"/>
    <mergeCell ref="O62:T62"/>
    <mergeCell ref="O56:T56"/>
    <mergeCell ref="AA18:AC18"/>
    <mergeCell ref="O206:S206"/>
    <mergeCell ref="B252:E252"/>
    <mergeCell ref="AA11:AC11"/>
    <mergeCell ref="F209:J209"/>
    <mergeCell ref="O57:T57"/>
    <mergeCell ref="S33:Z33"/>
    <mergeCell ref="AA29:AC29"/>
    <mergeCell ref="F211:J211"/>
    <mergeCell ref="R44:T44"/>
    <mergeCell ref="S35:Z35"/>
    <mergeCell ref="AA44:AC44"/>
    <mergeCell ref="AA24:AC24"/>
    <mergeCell ref="C176:H176"/>
    <mergeCell ref="O75:T75"/>
    <mergeCell ref="A91:M91"/>
    <mergeCell ref="G217:J217"/>
    <mergeCell ref="C178:H178"/>
    <mergeCell ref="B153:K153"/>
    <mergeCell ref="F204:J204"/>
    <mergeCell ref="F198:J198"/>
    <mergeCell ref="O70:T70"/>
    <mergeCell ref="AA42:AC42"/>
    <mergeCell ref="L246:AA246"/>
    <mergeCell ref="AA17:AC17"/>
    <mergeCell ref="F199:J199"/>
    <mergeCell ref="K196:M196"/>
    <mergeCell ref="U44:Z44"/>
    <mergeCell ref="O12:P12"/>
    <mergeCell ref="L248:AA248"/>
    <mergeCell ref="AA19:AC19"/>
    <mergeCell ref="U59:W59"/>
    <mergeCell ref="B148:K148"/>
    <mergeCell ref="K198:M198"/>
    <mergeCell ref="O14:P14"/>
    <mergeCell ref="U61:W61"/>
    <mergeCell ref="O13:P13"/>
    <mergeCell ref="O15:P15"/>
    <mergeCell ref="B193:C193"/>
    <mergeCell ref="R45:T45"/>
    <mergeCell ref="B192:S192"/>
    <mergeCell ref="O25:P25"/>
    <mergeCell ref="U38:Z38"/>
    <mergeCell ref="B211:C211"/>
    <mergeCell ref="U40:Z40"/>
    <mergeCell ref="O7:AC7"/>
    <mergeCell ref="O8:P8"/>
    <mergeCell ref="Q241:U241"/>
    <mergeCell ref="R38:T38"/>
    <mergeCell ref="U49:W49"/>
    <mergeCell ref="A101:M101"/>
    <mergeCell ref="O39:Q39"/>
    <mergeCell ref="F207:J207"/>
    <mergeCell ref="R40:T40"/>
    <mergeCell ref="B212:C212"/>
    <mergeCell ref="B206:C206"/>
    <mergeCell ref="S16:Z16"/>
    <mergeCell ref="AA45:AC45"/>
    <mergeCell ref="AA20:AC20"/>
    <mergeCell ref="F202:J202"/>
    <mergeCell ref="K199:M199"/>
    <mergeCell ref="A112:M112"/>
    <mergeCell ref="S18:Z18"/>
    <mergeCell ref="AA35:AC35"/>
    <mergeCell ref="N139:Q139"/>
    <mergeCell ref="K207:M207"/>
    <mergeCell ref="U54:W54"/>
    <mergeCell ref="N138:Q138"/>
    <mergeCell ref="H139:M139"/>
    <mergeCell ref="K200:M200"/>
    <mergeCell ref="X54:AC54"/>
    <mergeCell ref="O21:P21"/>
    <mergeCell ref="B196:C196"/>
    <mergeCell ref="N140:Q140"/>
    <mergeCell ref="K202:M202"/>
    <mergeCell ref="F241:K241"/>
    <mergeCell ref="X56:AC56"/>
    <mergeCell ref="S9:Z9"/>
    <mergeCell ref="L235:U235"/>
    <mergeCell ref="AA38:AC38"/>
    <mergeCell ref="U46:Z46"/>
    <mergeCell ref="AA40:AC40"/>
    <mergeCell ref="X57:AC57"/>
    <mergeCell ref="A168:I168"/>
    <mergeCell ref="AA33:AC33"/>
    <mergeCell ref="C177:H177"/>
    <mergeCell ref="A8:M8"/>
    <mergeCell ref="O34:P34"/>
    <mergeCell ref="O28:P28"/>
    <mergeCell ref="S12:Z12"/>
    <mergeCell ref="U41:Z41"/>
    <mergeCell ref="U57:W57"/>
    <mergeCell ref="B214:C214"/>
    <mergeCell ref="K195:M195"/>
    <mergeCell ref="O30:P30"/>
    <mergeCell ref="U43:Z43"/>
    <mergeCell ref="R41:T41"/>
    <mergeCell ref="O42:Q42"/>
    <mergeCell ref="U52:W52"/>
    <mergeCell ref="X75:AC75"/>
    <mergeCell ref="R43:T43"/>
    <mergeCell ref="O60:T60"/>
    <mergeCell ref="O196:S196"/>
    <mergeCell ref="O198:S198"/>
    <mergeCell ref="X70:AC70"/>
    <mergeCell ref="C175:H175"/>
    <mergeCell ref="B204:C204"/>
    <mergeCell ref="O23:P23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B202:C202"/>
    <mergeCell ref="O24:P24"/>
    <mergeCell ref="O18:P18"/>
    <mergeCell ref="X65:AC65"/>
    <mergeCell ref="F244:K244"/>
    <mergeCell ref="AA41:AC41"/>
    <mergeCell ref="AA16:AC16"/>
    <mergeCell ref="K219:O219"/>
    <mergeCell ref="X58:AC58"/>
    <mergeCell ref="O40:Q40"/>
    <mergeCell ref="X50:AC50"/>
    <mergeCell ref="S14:Z14"/>
    <mergeCell ref="A83:M83"/>
    <mergeCell ref="X60:AC60"/>
    <mergeCell ref="F239:K239"/>
    <mergeCell ref="S13:Z13"/>
    <mergeCell ref="C170:H170"/>
    <mergeCell ref="N143:Q143"/>
    <mergeCell ref="U60:W60"/>
    <mergeCell ref="S15:Z15"/>
    <mergeCell ref="AA22:AC22"/>
    <mergeCell ref="P217:S217"/>
    <mergeCell ref="P234:Q234"/>
    <mergeCell ref="B236:D236"/>
    <mergeCell ref="AA9:AC9"/>
    <mergeCell ref="O45:Q45"/>
    <mergeCell ref="D123:E123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dataValidations count="26">
    <dataValidation sqref="D19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08:D20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D213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14" showDropDown="0" showInputMessage="0" showErrorMessage="1" allowBlank="1" errorTitle="Invalid scenario input" error="Enter a value compatible with the declared scenario contract." type="custom" errorStyle="stop">
      <formula1>=OR(D214="",ISNUMBER(D214))</formula1>
    </dataValidation>
    <dataValidation sqref="D215" showDropDown="0" showInputMessage="0" showErrorMessage="1" allowBlank="1" errorTitle="Invalid scenario input" error="Enter a value compatible with the declared scenario contract." type="custom" errorStyle="stop">
      <formula1>=OR(D215="",ISNUMBER(D215))</formula1>
    </dataValidation>
    <dataValidation sqref="D216" showDropDown="0" showInputMessage="0" showErrorMessage="1" allowBlank="1" errorTitle="Invalid scenario input" error="Enter a value compatible with the declared scenario contract." type="list" errorStyle="stop">
      <formula1>"Outstanding,Diluted"</formula1>
    </dataValidation>
    <dataValidation sqref="D218:D21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20" showDropDown="0" showInputMessage="0" showErrorMessage="1" allowBlank="1" errorTitle="Invalid scenario input" error="Enter a value compatible with the declared scenario contract." type="whole" errorStyle="stop" operator="between">
      <formula1>1</formula1>
      <formula2>20</formula2>
    </dataValidation>
    <dataValidation sqref="J218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J219:J22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J221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H226:L2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G227:G234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E236" showDropDown="0" showInputMessage="0" showErrorMessage="1" allowBlank="1" errorTitle="Invalid scenario input" error="Enter a value compatible with the declared scenario contract." type="list" errorStyle="stop">
      <formula1>"Bear,Base,Bull,Custom"</formula1>
    </dataValidation>
    <dataValidation sqref="E237:E23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24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J236" showDropDown="0" showInputMessage="0" showErrorMessage="1" allowBlank="1" errorTitle="Invalid scenario input" error="Enter a value compatible with the declared scenario contract." type="custom" errorStyle="stop">
      <formula1>=OR(J236="",AND(LEFT(J236,2)="FY",LEN(J236)=6,ISNUMBER(VALUE(RIGHT(J236,4)))),AND(LEN(J236)=7,MID(J236,5,2)="-Q",ISNUMBER(VALUE(LEFT(J236,4))),VALUE(RIGHT(J236,1))&gt;=1,VALUE(RIGHT(J236,1))&lt;=4))</formula1>
    </dataValidation>
    <dataValidation sqref="D247" showDropDown="0" showInputMessage="0" showErrorMessage="1" allowBlank="1" errorTitle="Invalid scenario input" error="Enter a value compatible with the declared scenario contract." type="custom" errorStyle="stop">
      <formula1>=OR(D247="",ISNUMBER(D247))</formula1>
    </dataValidation>
    <dataValidation sqref="E247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D248" showDropDown="0" showInputMessage="0" showErrorMessage="1" allowBlank="1" errorTitle="Invalid scenario input" error="Enter a value compatible with the declared scenario contract." type="custom" errorStyle="stop">
      <formula1>=OR(D248="",ISNUMBER(D248))</formula1>
    </dataValidation>
    <dataValidation sqref="E248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D249:D250" showDropDown="0" showInputMessage="0" showErrorMessage="1" allowBlank="1" errorTitle="Invalid scenario input" error="Enter a value compatible with the declared scenario contract." type="custom" errorStyle="stop">
      <formula1>=OR(D249="",ISNUMBER(D249))</formula1>
    </dataValidation>
    <dataValidation sqref="D253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D25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55:D256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</t>
        </is>
      </c>
      <c r="B9" s="509" t="n"/>
      <c r="C9" s="509" t="n"/>
      <c r="D9" s="509" t="n"/>
      <c r="E9" s="509" t="n"/>
      <c r="F9" s="509" t="n"/>
      <c r="G9" s="509" t="n"/>
      <c r="H9" s="509" t="n"/>
      <c r="I9" s="509" t="n"/>
      <c r="J9" s="509" t="n"/>
      <c r="K9" s="509" t="n"/>
      <c r="L9" s="509" t="n"/>
      <c r="M9" s="509" t="n"/>
    </row>
    <row r="10" ht="18" customHeight="1">
      <c r="A10" s="179" t="inlineStr">
        <is>
          <t>Restricted cash</t>
        </is>
      </c>
      <c r="B10" s="509" t="n"/>
      <c r="C10" s="509" t="n"/>
      <c r="D10" s="509" t="n"/>
      <c r="E10" s="509" t="n"/>
      <c r="F10" s="509" t="n"/>
      <c r="G10" s="509" t="n"/>
      <c r="H10" s="509" t="n"/>
      <c r="I10" s="509" t="n"/>
      <c r="J10" s="509" t="n"/>
      <c r="K10" s="509" t="n"/>
      <c r="L10" s="509" t="n"/>
      <c r="M10" s="509" t="n"/>
    </row>
    <row r="11" ht="18" customHeight="1">
      <c r="A11" s="179" t="inlineStr">
        <is>
          <t>Total cash + restricted cash</t>
        </is>
      </c>
      <c r="B11" s="510">
        <f>IF(OR(B9="",B10=""),"",B9+B10)</f>
        <v/>
      </c>
      <c r="C11" s="510">
        <f>IF(OR(C9="",C10=""),"",C9+C10)</f>
        <v/>
      </c>
      <c r="D11" s="510">
        <f>IF(OR(D9="",D10=""),"",D9+D10)</f>
        <v/>
      </c>
      <c r="E11" s="510">
        <f>IF(OR(E9="",E10=""),"",E9+E10)</f>
        <v/>
      </c>
      <c r="F11" s="510">
        <f>IF(OR(F9="",F10=""),"",F9+F10)</f>
        <v/>
      </c>
      <c r="G11" s="510">
        <f>IF(OR(G9="",G10=""),"",G9+G10)</f>
        <v/>
      </c>
      <c r="H11" s="510">
        <f>IF(OR(H9="",H10=""),"",H9+H10)</f>
        <v/>
      </c>
      <c r="I11" s="510">
        <f>IF(OR(I9="",I10=""),"",I9+I10)</f>
        <v/>
      </c>
      <c r="J11" s="510">
        <f>IF(OR(J9="",J10=""),"",J9+J10)</f>
        <v/>
      </c>
      <c r="K11" s="510">
        <f>IF(OR(K9="",K10=""),"",K9+K10)</f>
        <v/>
      </c>
      <c r="L11" s="510">
        <f>IF(OR(L9="",L10=""),"",L9+L10)</f>
        <v/>
      </c>
      <c r="M11" s="510">
        <f>IF(OR(M9="",M10=""),"",M9+M10)</f>
        <v/>
      </c>
    </row>
    <row r="12" ht="18" customHeight="1">
      <c r="A12" s="179" t="inlineStr">
        <is>
          <t>Δ Cash QoQ ($m)</t>
        </is>
      </c>
      <c r="B12" s="510">
        <f>""</f>
        <v/>
      </c>
      <c r="C12" s="510">
        <f>IF(OR(C9="",B9=""),"",C9-B9)</f>
        <v/>
      </c>
      <c r="D12" s="510">
        <f>IF(OR(D9="",C9=""),"",D9-C9)</f>
        <v/>
      </c>
      <c r="E12" s="510">
        <f>IF(OR(E9="",D9=""),"",E9-D9)</f>
        <v/>
      </c>
      <c r="F12" s="510">
        <f>IF(OR(F9="",E9=""),"",F9-E9)</f>
        <v/>
      </c>
      <c r="G12" s="510">
        <f>IF(OR(G9="",F9=""),"",G9-F9)</f>
        <v/>
      </c>
      <c r="H12" s="510">
        <f>IF(OR(H9="",G9=""),"",H9-G9)</f>
        <v/>
      </c>
      <c r="I12" s="510">
        <f>IF(OR(I9="",H9=""),"",I9-H9)</f>
        <v/>
      </c>
      <c r="J12" s="510">
        <f>IF(OR(J9="",I9=""),"",J9-I9)</f>
        <v/>
      </c>
      <c r="K12" s="510">
        <f>IF(OR(K9="",J9=""),"",K9-J9)</f>
        <v/>
      </c>
      <c r="L12" s="510">
        <f>IF(OR(L9="",K9=""),"",L9-K9)</f>
        <v/>
      </c>
      <c r="M12" s="510">
        <f>IF(OR(M9="",L9=""),"",M9-L9)</f>
        <v/>
      </c>
    </row>
    <row r="13" ht="18" customHeight="1">
      <c r="A13" s="179" t="inlineStr">
        <is>
          <t>Short-term investments / marketable securities</t>
        </is>
      </c>
      <c r="B13" s="509" t="n"/>
      <c r="C13" s="509" t="n"/>
      <c r="D13" s="509" t="n"/>
      <c r="E13" s="509" t="n"/>
      <c r="F13" s="509" t="n"/>
      <c r="G13" s="509" t="n"/>
      <c r="H13" s="509" t="n"/>
      <c r="I13" s="509" t="n"/>
      <c r="J13" s="509" t="n"/>
      <c r="K13" s="509" t="n"/>
      <c r="L13" s="509" t="n"/>
      <c r="M13" s="509" t="n"/>
    </row>
    <row r="14" ht="18" customHeight="1">
      <c r="A14" s="179" t="inlineStr">
        <is>
          <t>Accounts receivable (net)</t>
        </is>
      </c>
      <c r="B14" s="509" t="n"/>
      <c r="C14" s="509" t="n"/>
      <c r="D14" s="509" t="n"/>
      <c r="E14" s="509" t="n"/>
      <c r="F14" s="509" t="n"/>
      <c r="G14" s="509" t="n"/>
      <c r="H14" s="509" t="n"/>
      <c r="I14" s="509" t="n"/>
      <c r="J14" s="509" t="n"/>
      <c r="K14" s="509" t="n"/>
      <c r="L14" s="509" t="n"/>
      <c r="M14" s="509" t="n"/>
    </row>
    <row r="15" ht="18" customHeight="1">
      <c r="A15" s="179" t="inlineStr">
        <is>
          <t>Inventory</t>
        </is>
      </c>
      <c r="B15" s="509" t="n"/>
      <c r="C15" s="509" t="n"/>
      <c r="D15" s="509" t="n"/>
      <c r="E15" s="509" t="n"/>
      <c r="F15" s="509" t="n"/>
      <c r="G15" s="509" t="n"/>
      <c r="H15" s="509" t="n"/>
      <c r="I15" s="509" t="n"/>
      <c r="J15" s="509" t="n"/>
      <c r="K15" s="509" t="n"/>
      <c r="L15" s="509" t="n"/>
      <c r="M15" s="509" t="n"/>
    </row>
    <row r="16" ht="18" customHeight="1">
      <c r="A16" s="179" t="inlineStr">
        <is>
          <t>Derivative financial instruments (asset)</t>
        </is>
      </c>
      <c r="B16" s="509" t="n"/>
      <c r="C16" s="509" t="n"/>
      <c r="D16" s="509" t="n"/>
      <c r="E16" s="509" t="n"/>
      <c r="F16" s="509" t="n"/>
      <c r="G16" s="509" t="n"/>
      <c r="H16" s="509" t="n"/>
      <c r="I16" s="509" t="n"/>
      <c r="J16" s="509" t="n"/>
      <c r="K16" s="509" t="n"/>
      <c r="L16" s="509" t="n"/>
      <c r="M16" s="509" t="n"/>
    </row>
    <row r="17" ht="18" customHeight="1">
      <c r="A17" s="179" t="inlineStr">
        <is>
          <t>Prepaid &amp; other current assets</t>
        </is>
      </c>
      <c r="B17" s="509" t="n"/>
      <c r="C17" s="509" t="n"/>
      <c r="D17" s="509" t="n"/>
      <c r="E17" s="509" t="n"/>
      <c r="F17" s="509" t="n"/>
      <c r="G17" s="509" t="n"/>
      <c r="H17" s="509" t="n"/>
      <c r="I17" s="509" t="n"/>
      <c r="J17" s="509" t="n"/>
      <c r="K17" s="509" t="n"/>
      <c r="L17" s="509" t="n"/>
      <c r="M17" s="509" t="n"/>
    </row>
    <row r="18" ht="18" customHeight="1">
      <c r="A18" s="179" t="inlineStr">
        <is>
          <t>Total current assets</t>
        </is>
      </c>
      <c r="B18" s="509" t="n"/>
      <c r="C18" s="509" t="n"/>
      <c r="D18" s="509" t="n"/>
      <c r="E18" s="509" t="n"/>
      <c r="F18" s="509" t="n"/>
      <c r="G18" s="509" t="n"/>
      <c r="H18" s="509" t="n"/>
      <c r="I18" s="509" t="n"/>
      <c r="J18" s="509" t="n"/>
      <c r="K18" s="509" t="n"/>
      <c r="L18" s="509" t="n"/>
      <c r="M18" s="509" t="n"/>
    </row>
    <row r="19" ht="18" customHeight="1">
      <c r="A19" s="179" t="inlineStr">
        <is>
          <t>Property, plant &amp; equipment (net)</t>
        </is>
      </c>
      <c r="B19" s="509" t="n"/>
      <c r="C19" s="509" t="n"/>
      <c r="D19" s="509" t="n"/>
      <c r="E19" s="509" t="n"/>
      <c r="F19" s="509" t="n"/>
      <c r="G19" s="509" t="n"/>
      <c r="H19" s="509" t="n"/>
      <c r="I19" s="509" t="n"/>
      <c r="J19" s="509" t="n"/>
      <c r="K19" s="509" t="n"/>
      <c r="L19" s="509" t="n"/>
      <c r="M19" s="509" t="n"/>
    </row>
    <row r="20" ht="18" customHeight="1">
      <c r="A20" s="179" t="inlineStr">
        <is>
          <t>Operating lease right-of-use assets</t>
        </is>
      </c>
      <c r="B20" s="509" t="n"/>
      <c r="C20" s="509" t="n"/>
      <c r="D20" s="509" t="n"/>
      <c r="E20" s="509" t="n"/>
      <c r="F20" s="509" t="n"/>
      <c r="G20" s="509" t="n"/>
      <c r="H20" s="509" t="n"/>
      <c r="I20" s="509" t="n"/>
      <c r="J20" s="509" t="n"/>
      <c r="K20" s="509" t="n"/>
      <c r="L20" s="509" t="n"/>
      <c r="M20" s="509" t="n"/>
    </row>
    <row r="21" ht="18" customHeight="1">
      <c r="A21" s="179" t="inlineStr">
        <is>
          <t>Deferred income taxes, net</t>
        </is>
      </c>
      <c r="B21" s="509" t="n"/>
      <c r="C21" s="509" t="n"/>
      <c r="D21" s="509" t="n"/>
      <c r="E21" s="509" t="n"/>
      <c r="F21" s="509" t="n"/>
      <c r="G21" s="509" t="n"/>
      <c r="H21" s="509" t="n"/>
      <c r="I21" s="509" t="n"/>
      <c r="J21" s="509" t="n"/>
      <c r="K21" s="509" t="n"/>
      <c r="L21" s="509" t="n"/>
      <c r="M21" s="509" t="n"/>
    </row>
    <row r="22" ht="18" customHeight="1">
      <c r="A22" s="179" t="inlineStr">
        <is>
          <t>Goodwill</t>
        </is>
      </c>
      <c r="B22" s="509" t="n"/>
      <c r="C22" s="509" t="n"/>
      <c r="D22" s="509" t="n"/>
      <c r="E22" s="509" t="n"/>
      <c r="F22" s="509" t="n"/>
      <c r="G22" s="509" t="n"/>
      <c r="H22" s="509" t="n"/>
      <c r="I22" s="509" t="n"/>
      <c r="J22" s="509" t="n"/>
      <c r="K22" s="509" t="n"/>
      <c r="L22" s="509" t="n"/>
      <c r="M22" s="509" t="n"/>
    </row>
    <row r="23" ht="18" customHeight="1">
      <c r="A23" s="179" t="inlineStr">
        <is>
          <t>Intangibles (net)</t>
        </is>
      </c>
      <c r="B23" s="509" t="n"/>
      <c r="C23" s="509" t="n"/>
      <c r="D23" s="509" t="n"/>
      <c r="E23" s="509" t="n"/>
      <c r="F23" s="509" t="n"/>
      <c r="G23" s="509" t="n"/>
      <c r="H23" s="509" t="n"/>
      <c r="I23" s="509" t="n"/>
      <c r="J23" s="509" t="n"/>
      <c r="K23" s="509" t="n"/>
      <c r="L23" s="509" t="n"/>
      <c r="M23" s="509" t="n"/>
    </row>
    <row r="24" ht="18" customHeight="1">
      <c r="A24" s="179" t="inlineStr">
        <is>
          <t>Other long-term assets</t>
        </is>
      </c>
      <c r="B24" s="509" t="n"/>
      <c r="C24" s="509" t="n"/>
      <c r="D24" s="509" t="n"/>
      <c r="E24" s="509" t="n"/>
      <c r="F24" s="509" t="n"/>
      <c r="G24" s="509" t="n"/>
      <c r="H24" s="509" t="n"/>
      <c r="I24" s="509" t="n"/>
      <c r="J24" s="509" t="n"/>
      <c r="K24" s="509" t="n"/>
      <c r="L24" s="509" t="n"/>
      <c r="M24" s="509" t="n"/>
    </row>
    <row r="25" ht="18" customHeight="1">
      <c r="A25" s="179" t="inlineStr">
        <is>
          <t>Total assets</t>
        </is>
      </c>
      <c r="B25" s="509" t="n"/>
      <c r="C25" s="509" t="n"/>
      <c r="D25" s="509" t="n"/>
      <c r="E25" s="509" t="n"/>
      <c r="F25" s="509" t="n"/>
      <c r="G25" s="509" t="n"/>
      <c r="H25" s="509" t="n"/>
      <c r="I25" s="509" t="n"/>
      <c r="J25" s="509" t="n"/>
      <c r="K25" s="509" t="n"/>
      <c r="L25" s="509" t="n"/>
      <c r="M25" s="509" t="n"/>
    </row>
    <row r="26" ht="18" customHeight="1">
      <c r="A26" s="179" t="inlineStr">
        <is>
          <t>Goodwill % of assets</t>
        </is>
      </c>
      <c r="B26" s="511">
        <f>IF(OR(B22="",B25="",B25=0),"",B22/B25)</f>
        <v/>
      </c>
      <c r="C26" s="511">
        <f>IF(OR(C22="",C25="",C25=0),"",C22/C25)</f>
        <v/>
      </c>
      <c r="D26" s="511">
        <f>IF(OR(D22="",D25="",D25=0),"",D22/D25)</f>
        <v/>
      </c>
      <c r="E26" s="511">
        <f>IF(OR(E22="",E25="",E25=0),"",E22/E25)</f>
        <v/>
      </c>
      <c r="F26" s="511">
        <f>IF(OR(F22="",F25="",F25=0),"",F22/F25)</f>
        <v/>
      </c>
      <c r="G26" s="511">
        <f>IF(OR(G22="",G25="",G25=0),"",G22/G25)</f>
        <v/>
      </c>
      <c r="H26" s="511">
        <f>IF(OR(H22="",H25="",H25=0),"",H22/H25)</f>
        <v/>
      </c>
      <c r="I26" s="511">
        <f>IF(OR(I22="",I25="",I25=0),"",I22/I25)</f>
        <v/>
      </c>
      <c r="J26" s="511">
        <f>IF(OR(J22="",J25="",J25=0),"",J22/J25)</f>
        <v/>
      </c>
      <c r="K26" s="511">
        <f>IF(OR(K22="",K25="",K25=0),"",K22/K25)</f>
        <v/>
      </c>
      <c r="L26" s="511">
        <f>IF(OR(L22="",L25="",L25=0),"",L22/L25)</f>
        <v/>
      </c>
      <c r="M26" s="511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</t>
        </is>
      </c>
      <c r="B28" s="509" t="n"/>
      <c r="C28" s="509" t="n"/>
      <c r="D28" s="509" t="n"/>
      <c r="E28" s="509" t="n"/>
      <c r="F28" s="509" t="n"/>
      <c r="G28" s="509" t="n"/>
      <c r="H28" s="509" t="n"/>
      <c r="I28" s="509" t="n"/>
      <c r="J28" s="509" t="n"/>
      <c r="K28" s="509" t="n"/>
      <c r="L28" s="509" t="n"/>
      <c r="M28" s="509" t="n"/>
    </row>
    <row r="29" ht="18" customHeight="1">
      <c r="A29" s="179" t="inlineStr">
        <is>
          <t>Accrued liabilities</t>
        </is>
      </c>
      <c r="B29" s="509" t="n"/>
      <c r="C29" s="509" t="n"/>
      <c r="D29" s="509" t="n"/>
      <c r="E29" s="509" t="n"/>
      <c r="F29" s="509" t="n"/>
      <c r="G29" s="509" t="n"/>
      <c r="H29" s="509" t="n"/>
      <c r="I29" s="509" t="n"/>
      <c r="J29" s="509" t="n"/>
      <c r="K29" s="509" t="n"/>
      <c r="L29" s="509" t="n"/>
      <c r="M29" s="509" t="n"/>
    </row>
    <row r="30" ht="18" customHeight="1">
      <c r="A30" s="179" t="inlineStr">
        <is>
          <t>Deferred revenue / customer deposits</t>
        </is>
      </c>
      <c r="B30" s="509" t="n"/>
      <c r="C30" s="509" t="n"/>
      <c r="D30" s="509" t="n"/>
      <c r="E30" s="509" t="n"/>
      <c r="F30" s="509" t="n"/>
      <c r="G30" s="509" t="n"/>
      <c r="H30" s="509" t="n"/>
      <c r="I30" s="509" t="n"/>
      <c r="J30" s="509" t="n"/>
      <c r="K30" s="509" t="n"/>
      <c r="L30" s="509" t="n"/>
      <c r="M30" s="509" t="n"/>
    </row>
    <row r="31" ht="18" customHeight="1">
      <c r="A31" s="179" t="inlineStr">
        <is>
          <t>Derivative financial instruments (liability)</t>
        </is>
      </c>
      <c r="B31" s="509" t="n"/>
      <c r="C31" s="509" t="n"/>
      <c r="D31" s="509" t="n"/>
      <c r="E31" s="509" t="n"/>
      <c r="F31" s="509" t="n"/>
      <c r="G31" s="509" t="n"/>
      <c r="H31" s="509" t="n"/>
      <c r="I31" s="509" t="n"/>
      <c r="J31" s="509" t="n"/>
      <c r="K31" s="509" t="n"/>
      <c r="L31" s="509" t="n"/>
      <c r="M31" s="509" t="n"/>
    </row>
    <row r="32" ht="18" customHeight="1">
      <c r="A32" s="179" t="inlineStr">
        <is>
          <t>Short-term borrowings</t>
        </is>
      </c>
      <c r="B32" s="509" t="n"/>
      <c r="C32" s="509" t="n"/>
      <c r="D32" s="509" t="n"/>
      <c r="E32" s="509" t="n"/>
      <c r="F32" s="509" t="n"/>
      <c r="G32" s="509" t="n"/>
      <c r="H32" s="509" t="n"/>
      <c r="I32" s="509" t="n"/>
      <c r="J32" s="509" t="n"/>
      <c r="K32" s="509" t="n"/>
      <c r="L32" s="509" t="n"/>
      <c r="M32" s="509" t="n"/>
    </row>
    <row r="33" ht="18" customHeight="1">
      <c r="A33" s="179" t="inlineStr">
        <is>
          <t>Current maturities of long-term debt</t>
        </is>
      </c>
      <c r="B33" s="509" t="n"/>
      <c r="C33" s="509" t="n"/>
      <c r="D33" s="509" t="n"/>
      <c r="E33" s="509" t="n"/>
      <c r="F33" s="509" t="n"/>
      <c r="G33" s="509" t="n"/>
      <c r="H33" s="509" t="n"/>
      <c r="I33" s="509" t="n"/>
      <c r="J33" s="509" t="n"/>
      <c r="K33" s="509" t="n"/>
      <c r="L33" s="509" t="n"/>
      <c r="M33" s="509" t="n"/>
    </row>
    <row r="34" ht="18" customHeight="1">
      <c r="A34" s="179" t="inlineStr">
        <is>
          <t>Operating lease current liabilities</t>
        </is>
      </c>
      <c r="B34" s="509" t="n"/>
      <c r="C34" s="509" t="n"/>
      <c r="D34" s="509" t="n"/>
      <c r="E34" s="509" t="n"/>
      <c r="F34" s="509" t="n"/>
      <c r="G34" s="509" t="n"/>
      <c r="H34" s="509" t="n"/>
      <c r="I34" s="509" t="n"/>
      <c r="J34" s="509" t="n"/>
      <c r="K34" s="509" t="n"/>
      <c r="L34" s="509" t="n"/>
      <c r="M34" s="509" t="n"/>
    </row>
    <row r="35" ht="18" customHeight="1">
      <c r="A35" s="179" t="inlineStr">
        <is>
          <t>Total current liabilities</t>
        </is>
      </c>
      <c r="B35" s="509" t="n"/>
      <c r="C35" s="509" t="n"/>
      <c r="D35" s="509" t="n"/>
      <c r="E35" s="509" t="n"/>
      <c r="F35" s="509" t="n"/>
      <c r="G35" s="509" t="n"/>
      <c r="H35" s="509" t="n"/>
      <c r="I35" s="509" t="n"/>
      <c r="J35" s="509" t="n"/>
      <c r="K35" s="509" t="n"/>
      <c r="L35" s="509" t="n"/>
      <c r="M35" s="509" t="n"/>
    </row>
    <row r="36" ht="18" customHeight="1">
      <c r="A36" s="179" t="inlineStr">
        <is>
          <t>Net working capital</t>
        </is>
      </c>
      <c r="B36" s="510">
        <f>IF(OR(B18="",B35=""),"",B18-B35)</f>
        <v/>
      </c>
      <c r="C36" s="510">
        <f>IF(OR(C18="",C35=""),"",C18-C35)</f>
        <v/>
      </c>
      <c r="D36" s="510">
        <f>IF(OR(D18="",D35=""),"",D18-D35)</f>
        <v/>
      </c>
      <c r="E36" s="510">
        <f>IF(OR(E18="",E35=""),"",E18-E35)</f>
        <v/>
      </c>
      <c r="F36" s="510">
        <f>IF(OR(F18="",F35=""),"",F18-F35)</f>
        <v/>
      </c>
      <c r="G36" s="510">
        <f>IF(OR(G18="",G35=""),"",G18-G35)</f>
        <v/>
      </c>
      <c r="H36" s="510">
        <f>IF(OR(H18="",H35=""),"",H18-H35)</f>
        <v/>
      </c>
      <c r="I36" s="510">
        <f>IF(OR(I18="",I35=""),"",I18-I35)</f>
        <v/>
      </c>
      <c r="J36" s="510">
        <f>IF(OR(J18="",J35=""),"",J18-J35)</f>
        <v/>
      </c>
      <c r="K36" s="510">
        <f>IF(OR(K18="",K35=""),"",K18-K35)</f>
        <v/>
      </c>
      <c r="L36" s="510">
        <f>IF(OR(L18="",L35=""),"",L18-L35)</f>
        <v/>
      </c>
      <c r="M36" s="510">
        <f>IF(OR(M18="",M35=""),"",M18-M35)</f>
        <v/>
      </c>
    </row>
    <row r="37" ht="18" customHeight="1">
      <c r="A37" s="179" t="inlineStr">
        <is>
          <t>Δ NWC QoQ</t>
        </is>
      </c>
      <c r="B37" s="510">
        <f>""</f>
        <v/>
      </c>
      <c r="C37" s="510">
        <f>IF(OR(C36="",B36=""),"",C36-B36)</f>
        <v/>
      </c>
      <c r="D37" s="510">
        <f>IF(OR(D36="",C36=""),"",D36-C36)</f>
        <v/>
      </c>
      <c r="E37" s="510">
        <f>IF(OR(E36="",D36=""),"",E36-D36)</f>
        <v/>
      </c>
      <c r="F37" s="510">
        <f>IF(OR(F36="",E36=""),"",F36-E36)</f>
        <v/>
      </c>
      <c r="G37" s="510">
        <f>IF(OR(G36="",F36=""),"",G36-F36)</f>
        <v/>
      </c>
      <c r="H37" s="510">
        <f>IF(OR(H36="",G36=""),"",H36-G36)</f>
        <v/>
      </c>
      <c r="I37" s="510">
        <f>IF(OR(I36="",H36=""),"",I36-H36)</f>
        <v/>
      </c>
      <c r="J37" s="510">
        <f>IF(OR(J36="",I36=""),"",J36-I36)</f>
        <v/>
      </c>
      <c r="K37" s="510">
        <f>IF(OR(K36="",J36=""),"",K36-J36)</f>
        <v/>
      </c>
      <c r="L37" s="510">
        <f>IF(OR(L36="",K36=""),"",L36-K36)</f>
        <v/>
      </c>
      <c r="M37" s="510">
        <f>IF(OR(M36="",L36=""),"",M36-L36)</f>
        <v/>
      </c>
    </row>
    <row r="38" ht="18" customHeight="1">
      <c r="A38" s="179" t="inlineStr">
        <is>
          <t>Current ratio</t>
        </is>
      </c>
      <c r="B38" s="511">
        <f>IF(OR(B18="",B35="",B35=0),"",B18/B35)</f>
        <v/>
      </c>
      <c r="C38" s="511">
        <f>IF(OR(C18="",C35="",C35=0),"",C18/C35)</f>
        <v/>
      </c>
      <c r="D38" s="511">
        <f>IF(OR(D18="",D35="",D35=0),"",D18/D35)</f>
        <v/>
      </c>
      <c r="E38" s="511">
        <f>IF(OR(E18="",E35="",E35=0),"",E18/E35)</f>
        <v/>
      </c>
      <c r="F38" s="511">
        <f>IF(OR(F18="",F35="",F35=0),"",F18/F35)</f>
        <v/>
      </c>
      <c r="G38" s="511">
        <f>IF(OR(G18="",G35="",G35=0),"",G18/G35)</f>
        <v/>
      </c>
      <c r="H38" s="511">
        <f>IF(OR(H18="",H35="",H35=0),"",H18/H35)</f>
        <v/>
      </c>
      <c r="I38" s="511">
        <f>IF(OR(I18="",I35="",I35=0),"",I18/I35)</f>
        <v/>
      </c>
      <c r="J38" s="511">
        <f>IF(OR(J18="",J35="",J35=0),"",J18/J35)</f>
        <v/>
      </c>
      <c r="K38" s="511">
        <f>IF(OR(K18="",K35="",K35=0),"",K18/K35)</f>
        <v/>
      </c>
      <c r="L38" s="511">
        <f>IF(OR(L18="",L35="",L35=0),"",L18/L35)</f>
        <v/>
      </c>
      <c r="M38" s="511">
        <f>IF(OR(M18="",M35="",M35=0),"",M18/M35)</f>
        <v/>
      </c>
    </row>
    <row r="39" ht="18" customHeight="1">
      <c r="A39" s="179" t="inlineStr">
        <is>
          <t>Quick ratio</t>
        </is>
      </c>
      <c r="B39" s="511">
        <f>IF(OR(B18="",B15="",B35="",B35=0),"",(B18-B15)/B35)</f>
        <v/>
      </c>
      <c r="C39" s="511">
        <f>IF(OR(C18="",C15="",C35="",C35=0),"",(C18-C15)/C35)</f>
        <v/>
      </c>
      <c r="D39" s="511">
        <f>IF(OR(D18="",D15="",D35="",D35=0),"",(D18-D15)/D35)</f>
        <v/>
      </c>
      <c r="E39" s="511">
        <f>IF(OR(E18="",E15="",E35="",E35=0),"",(E18-E15)/E35)</f>
        <v/>
      </c>
      <c r="F39" s="511">
        <f>IF(OR(F18="",F15="",F35="",F35=0),"",(F18-F15)/F35)</f>
        <v/>
      </c>
      <c r="G39" s="511">
        <f>IF(OR(G18="",G15="",G35="",G35=0),"",(G18-G15)/G35)</f>
        <v/>
      </c>
      <c r="H39" s="511">
        <f>IF(OR(H18="",H15="",H35="",H35=0),"",(H18-H15)/H35)</f>
        <v/>
      </c>
      <c r="I39" s="511">
        <f>IF(OR(I18="",I15="",I35="",I35=0),"",(I18-I15)/I35)</f>
        <v/>
      </c>
      <c r="J39" s="511">
        <f>IF(OR(J18="",J15="",J35="",J35=0),"",(J18-J15)/J35)</f>
        <v/>
      </c>
      <c r="K39" s="511">
        <f>IF(OR(K18="",K15="",K35="",K35=0),"",(K18-K15)/K35)</f>
        <v/>
      </c>
      <c r="L39" s="511">
        <f>IF(OR(L18="",L15="",L35="",L35=0),"",(L18-L15)/L35)</f>
        <v/>
      </c>
      <c r="M39" s="511">
        <f>IF(OR(M18="",M15="",M35="",M35=0),"",(M18-M15)/M35)</f>
        <v/>
      </c>
    </row>
    <row r="40" ht="18" customHeight="1">
      <c r="A40" s="179" t="inlineStr">
        <is>
          <t>Debt (core borrowings)</t>
        </is>
      </c>
      <c r="B40" s="509" t="n"/>
      <c r="C40" s="509" t="n"/>
      <c r="D40" s="509" t="n"/>
      <c r="E40" s="509" t="n"/>
      <c r="F40" s="509" t="n"/>
      <c r="G40" s="509" t="n"/>
      <c r="H40" s="509" t="n"/>
      <c r="I40" s="509" t="n"/>
      <c r="J40" s="509" t="n"/>
      <c r="K40" s="509" t="n"/>
      <c r="L40" s="509" t="n"/>
      <c r="M40" s="509" t="n"/>
    </row>
    <row r="41" ht="18" customHeight="1">
      <c r="A41" s="179" t="inlineStr">
        <is>
          <t>Δ Total debt QoQ ($m)</t>
        </is>
      </c>
      <c r="B41" s="510">
        <f>""</f>
        <v/>
      </c>
      <c r="C41" s="510">
        <f>IF(OR(C40="",B40=""),"",C40-B40)</f>
        <v/>
      </c>
      <c r="D41" s="510">
        <f>IF(OR(D40="",C40=""),"",D40-C40)</f>
        <v/>
      </c>
      <c r="E41" s="510">
        <f>IF(OR(E40="",D40=""),"",E40-D40)</f>
        <v/>
      </c>
      <c r="F41" s="510">
        <f>IF(OR(F40="",E40=""),"",F40-E40)</f>
        <v/>
      </c>
      <c r="G41" s="510">
        <f>IF(OR(G40="",F40=""),"",G40-F40)</f>
        <v/>
      </c>
      <c r="H41" s="510">
        <f>IF(OR(H40="",G40=""),"",H40-G40)</f>
        <v/>
      </c>
      <c r="I41" s="510">
        <f>IF(OR(I40="",H40=""),"",I40-H40)</f>
        <v/>
      </c>
      <c r="J41" s="510">
        <f>IF(OR(J40="",I40=""),"",J40-I40)</f>
        <v/>
      </c>
      <c r="K41" s="510">
        <f>IF(OR(K40="",J40=""),"",K40-J40)</f>
        <v/>
      </c>
      <c r="L41" s="510">
        <f>IF(OR(L40="",K40=""),"",L40-K40)</f>
        <v/>
      </c>
      <c r="M41" s="510">
        <f>IF(OR(M40="",L40=""),"",M40-L40)</f>
        <v/>
      </c>
    </row>
    <row r="42" ht="18" customHeight="1">
      <c r="A42" s="179" t="inlineStr">
        <is>
          <t>Operating lease long-term liabilities</t>
        </is>
      </c>
      <c r="B42" s="509" t="n"/>
      <c r="C42" s="509" t="n"/>
      <c r="D42" s="509" t="n"/>
      <c r="E42" s="509" t="n"/>
      <c r="F42" s="509" t="n"/>
      <c r="G42" s="509" t="n"/>
      <c r="H42" s="509" t="n"/>
      <c r="I42" s="509" t="n"/>
      <c r="J42" s="509" t="n"/>
      <c r="K42" s="509" t="n"/>
      <c r="L42" s="509" t="n"/>
      <c r="M42" s="509" t="n"/>
    </row>
    <row r="43" ht="18" customHeight="1">
      <c r="A43" s="179" t="inlineStr">
        <is>
          <t>Pension / OPEB obligation (net)</t>
        </is>
      </c>
      <c r="B43" s="509" t="n"/>
      <c r="C43" s="509" t="n"/>
      <c r="D43" s="509" t="n"/>
      <c r="E43" s="509" t="n"/>
      <c r="F43" s="509" t="n"/>
      <c r="G43" s="509" t="n"/>
      <c r="H43" s="509" t="n"/>
      <c r="I43" s="509" t="n"/>
      <c r="J43" s="509" t="n"/>
      <c r="K43" s="509" t="n"/>
      <c r="L43" s="509" t="n"/>
      <c r="M43" s="509" t="n"/>
    </row>
    <row r="44" ht="18" customHeight="1">
      <c r="A44" s="179" t="inlineStr">
        <is>
          <t>Other long-term liabilities</t>
        </is>
      </c>
      <c r="B44" s="509" t="n"/>
      <c r="C44" s="509" t="n"/>
      <c r="D44" s="509" t="n"/>
      <c r="E44" s="509" t="n"/>
      <c r="F44" s="509" t="n"/>
      <c r="G44" s="509" t="n"/>
      <c r="H44" s="509" t="n"/>
      <c r="I44" s="509" t="n"/>
      <c r="J44" s="509" t="n"/>
      <c r="K44" s="509" t="n"/>
      <c r="L44" s="509" t="n"/>
      <c r="M44" s="509" t="n"/>
    </row>
    <row r="45" ht="18" customHeight="1">
      <c r="A45" s="179" t="inlineStr">
        <is>
          <t>Total liabilities</t>
        </is>
      </c>
      <c r="B45" s="509" t="n"/>
      <c r="C45" s="509" t="n"/>
      <c r="D45" s="509" t="n"/>
      <c r="E45" s="509" t="n"/>
      <c r="F45" s="509" t="n"/>
      <c r="G45" s="509" t="n"/>
      <c r="H45" s="509" t="n"/>
      <c r="I45" s="509" t="n"/>
      <c r="J45" s="509" t="n"/>
      <c r="K45" s="509" t="n"/>
      <c r="L45" s="509" t="n"/>
      <c r="M45" s="509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</t>
        </is>
      </c>
      <c r="B47" s="509" t="n"/>
      <c r="C47" s="509" t="n"/>
      <c r="D47" s="509" t="n"/>
      <c r="E47" s="509" t="n"/>
      <c r="F47" s="509" t="n"/>
      <c r="G47" s="509" t="n"/>
      <c r="H47" s="509" t="n"/>
      <c r="I47" s="509" t="n"/>
      <c r="J47" s="509" t="n"/>
      <c r="K47" s="509" t="n"/>
      <c r="L47" s="509" t="n"/>
      <c r="M47" s="509" t="n"/>
    </row>
    <row r="48" ht="18" customHeight="1">
      <c r="A48" s="179" t="inlineStr">
        <is>
          <t>Shares outstanding (m)</t>
        </is>
      </c>
      <c r="B48" s="512" t="n"/>
      <c r="C48" s="512" t="n"/>
      <c r="D48" s="512" t="n"/>
      <c r="E48" s="512" t="n"/>
      <c r="F48" s="512" t="n"/>
      <c r="G48" s="512" t="n"/>
      <c r="H48" s="512" t="n"/>
      <c r="I48" s="512" t="n"/>
      <c r="J48" s="512" t="n"/>
      <c r="K48" s="512" t="n"/>
      <c r="L48" s="512" t="n"/>
      <c r="M48" s="512" t="n"/>
    </row>
    <row r="49" ht="18" customHeight="1">
      <c r="A49" s="179" t="inlineStr">
        <is>
          <t>Shares diluted (m)</t>
        </is>
      </c>
      <c r="B49" s="512" t="n"/>
      <c r="C49" s="512" t="n"/>
      <c r="D49" s="512" t="n"/>
      <c r="E49" s="512" t="n"/>
      <c r="F49" s="512" t="n"/>
      <c r="G49" s="512" t="n"/>
      <c r="H49" s="512" t="n"/>
      <c r="I49" s="512" t="n"/>
      <c r="J49" s="512" t="n"/>
      <c r="K49" s="512" t="n"/>
      <c r="L49" s="512" t="n"/>
      <c r="M49" s="512" t="n"/>
    </row>
    <row r="50" ht="18" customHeight="1">
      <c r="A50" s="177" t="n"/>
      <c r="B50" s="513" t="n"/>
      <c r="C50" s="513" t="n"/>
      <c r="D50" s="513" t="n"/>
      <c r="E50" s="513" t="n"/>
      <c r="F50" s="513" t="n"/>
      <c r="G50" s="513" t="n"/>
      <c r="H50" s="513" t="n"/>
      <c r="I50" s="513" t="n"/>
      <c r="J50" s="513" t="n"/>
      <c r="K50" s="513" t="n"/>
      <c r="L50" s="513" t="n"/>
      <c r="M50" s="513" t="n"/>
    </row>
    <row r="51" ht="18" customHeight="1">
      <c r="A51" s="179" t="inlineStr">
        <is>
          <t>Inventory YoY</t>
        </is>
      </c>
      <c r="B51" s="511">
        <f>""</f>
        <v/>
      </c>
      <c r="C51" s="511">
        <f>""</f>
        <v/>
      </c>
      <c r="D51" s="511">
        <f>""</f>
        <v/>
      </c>
      <c r="E51" s="511">
        <f>""</f>
        <v/>
      </c>
      <c r="F51" s="511">
        <f>IF(OR(B15="",F15="",B15=0),"",F15/B15-1)</f>
        <v/>
      </c>
      <c r="G51" s="511">
        <f>IF(OR(C15="",G15="",C15=0),"",G15/C15-1)</f>
        <v/>
      </c>
      <c r="H51" s="511">
        <f>IF(OR(D15="",H15="",D15=0),"",H15/D15-1)</f>
        <v/>
      </c>
      <c r="I51" s="511">
        <f>IF(OR(E15="",I15="",E15=0),"",I15/E15-1)</f>
        <v/>
      </c>
      <c r="J51" s="511">
        <f>IF(OR(F15="",J15="",F15=0),"",J15/F15-1)</f>
        <v/>
      </c>
      <c r="K51" s="511">
        <f>IF(OR(G15="",K15="",G15=0),"",K15/G15-1)</f>
        <v/>
      </c>
      <c r="L51" s="511">
        <f>IF(OR(H15="",L15="",H15=0),"",L15/H15-1)</f>
        <v/>
      </c>
      <c r="M51" s="511">
        <f>IF(OR(I15="",M15="",I15=0),"",M15/I15-1)</f>
        <v/>
      </c>
    </row>
    <row r="52" ht="18" customHeight="1">
      <c r="A52" s="179" t="inlineStr">
        <is>
          <t>Sales YoY</t>
        </is>
      </c>
      <c r="B52" s="511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511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511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511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511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511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511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511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511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511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511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511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less sales YoY</t>
        </is>
      </c>
      <c r="B53" s="511">
        <f>IF(OR(B51="",B52=""),"",B51-B52)</f>
        <v/>
      </c>
      <c r="C53" s="511">
        <f>IF(OR(C51="",C52=""),"",C51-C52)</f>
        <v/>
      </c>
      <c r="D53" s="511">
        <f>IF(OR(D51="",D52=""),"",D51-D52)</f>
        <v/>
      </c>
      <c r="E53" s="511">
        <f>IF(OR(E51="",E52=""),"",E51-E52)</f>
        <v/>
      </c>
      <c r="F53" s="511">
        <f>IF(OR(F51="",F52=""),"",F51-F52)</f>
        <v/>
      </c>
      <c r="G53" s="511">
        <f>IF(OR(G51="",G52=""),"",G51-G52)</f>
        <v/>
      </c>
      <c r="H53" s="511">
        <f>IF(OR(H51="",H52=""),"",H51-H52)</f>
        <v/>
      </c>
      <c r="I53" s="511">
        <f>IF(OR(I51="",I52=""),"",I51-I52)</f>
        <v/>
      </c>
      <c r="J53" s="511">
        <f>IF(OR(J51="",J52=""),"",J51-J52)</f>
        <v/>
      </c>
      <c r="K53" s="511">
        <f>IF(OR(K51="",K52=""),"",K51-K52)</f>
        <v/>
      </c>
      <c r="L53" s="511">
        <f>IF(OR(L51="",L52=""),"",L51-L52)</f>
        <v/>
      </c>
      <c r="M53" s="511">
        <f>IF(OR(M51="",M52=""),"",M51-M52)</f>
        <v/>
      </c>
    </row>
    <row r="54" ht="18" customHeight="1">
      <c r="A54" s="179" t="inlineStr">
        <is>
          <t>Net cash</t>
        </is>
      </c>
      <c r="B54" s="510">
        <f>IF(OR(B9="",B13="",B40=""),"",B9+B13-B40)</f>
        <v/>
      </c>
      <c r="C54" s="510">
        <f>IF(OR(C9="",C13="",C40=""),"",C9+C13-C40)</f>
        <v/>
      </c>
      <c r="D54" s="510">
        <f>IF(OR(D9="",D13="",D40=""),"",D9+D13-D40)</f>
        <v/>
      </c>
      <c r="E54" s="510">
        <f>IF(OR(E9="",E13="",E40=""),"",E9+E13-E40)</f>
        <v/>
      </c>
      <c r="F54" s="510">
        <f>IF(OR(F9="",F13="",F40=""),"",F9+F13-F40)</f>
        <v/>
      </c>
      <c r="G54" s="510">
        <f>IF(OR(G9="",G13="",G40=""),"",G9+G13-G40)</f>
        <v/>
      </c>
      <c r="H54" s="510">
        <f>IF(OR(H9="",H13="",H40=""),"",H9+H13-H40)</f>
        <v/>
      </c>
      <c r="I54" s="510">
        <f>IF(OR(I9="",I13="",I40=""),"",I9+I13-I40)</f>
        <v/>
      </c>
      <c r="J54" s="510">
        <f>IF(OR(J9="",J13="",J40=""),"",J9+J13-J40)</f>
        <v/>
      </c>
      <c r="K54" s="510">
        <f>IF(OR(K9="",K13="",K40=""),"",K9+K13-K40)</f>
        <v/>
      </c>
      <c r="L54" s="510">
        <f>IF(OR(L9="",L13="",L40=""),"",L9+L13-L40)</f>
        <v/>
      </c>
      <c r="M54" s="510">
        <f>IF(OR(M9="",M13="",M40=""),"",M9+M13-M40)</f>
        <v/>
      </c>
    </row>
    <row r="55" ht="18" customHeight="1">
      <c r="A55" s="179" t="inlineStr">
        <is>
          <t>Total lease liabilities</t>
        </is>
      </c>
      <c r="B55" s="510">
        <f>IF(OR(B34="",B42=""),"",B34+B42)</f>
        <v/>
      </c>
      <c r="C55" s="510">
        <f>IF(OR(C34="",C42=""),"",C34+C42)</f>
        <v/>
      </c>
      <c r="D55" s="510">
        <f>IF(OR(D34="",D42=""),"",D34+D42)</f>
        <v/>
      </c>
      <c r="E55" s="510">
        <f>IF(OR(E34="",E42=""),"",E34+E42)</f>
        <v/>
      </c>
      <c r="F55" s="510">
        <f>IF(OR(F34="",F42=""),"",F34+F42)</f>
        <v/>
      </c>
      <c r="G55" s="510">
        <f>IF(OR(G34="",G42=""),"",G34+G42)</f>
        <v/>
      </c>
      <c r="H55" s="510">
        <f>IF(OR(H34="",H42=""),"",H34+H42)</f>
        <v/>
      </c>
      <c r="I55" s="510">
        <f>IF(OR(I34="",I42=""),"",I34+I42)</f>
        <v/>
      </c>
      <c r="J55" s="510">
        <f>IF(OR(J34="",J42=""),"",J34+J42)</f>
        <v/>
      </c>
      <c r="K55" s="510">
        <f>IF(OR(K34="",K42=""),"",K34+K42)</f>
        <v/>
      </c>
      <c r="L55" s="510">
        <f>IF(OR(L34="",L42=""),"",L34+L42)</f>
        <v/>
      </c>
      <c r="M55" s="510">
        <f>IF(OR(M34="",M42=""),"",M34+M42)</f>
        <v/>
      </c>
    </row>
    <row r="56" ht="18" customHeight="1">
      <c r="A56" s="179" t="inlineStr">
        <is>
          <t>Diluted shares YoY</t>
        </is>
      </c>
      <c r="B56" s="511">
        <f>""</f>
        <v/>
      </c>
      <c r="C56" s="511">
        <f>""</f>
        <v/>
      </c>
      <c r="D56" s="511">
        <f>""</f>
        <v/>
      </c>
      <c r="E56" s="511">
        <f>""</f>
        <v/>
      </c>
      <c r="F56" s="511">
        <f>IF(OR(B49="",F49="",B49=0),"",F49/B49-1)</f>
        <v/>
      </c>
      <c r="G56" s="511">
        <f>IF(OR(C49="",G49="",C49=0),"",G49/C49-1)</f>
        <v/>
      </c>
      <c r="H56" s="511">
        <f>IF(OR(D49="",H49="",D49=0),"",H49/D49-1)</f>
        <v/>
      </c>
      <c r="I56" s="511">
        <f>IF(OR(E49="",I49="",E49=0),"",I49/E49-1)</f>
        <v/>
      </c>
      <c r="J56" s="511">
        <f>IF(OR(F49="",J49="",F49=0),"",J49/F49-1)</f>
        <v/>
      </c>
      <c r="K56" s="511">
        <f>IF(OR(G49="",K49="",G49=0),"",K49/G49-1)</f>
        <v/>
      </c>
      <c r="L56" s="511">
        <f>IF(OR(H49="",L49="",H49=0),"",L49/H49-1)</f>
        <v/>
      </c>
      <c r="M56" s="511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4">
    <mergeCell ref="B6:M6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514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515" t="n"/>
      <c r="J40" s="515" t="n"/>
      <c r="K40" s="515" t="n"/>
      <c r="L40" s="515" t="n"/>
      <c r="M40" s="515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/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Typed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 / assumption</t>
        </is>
      </c>
      <c r="B14" s="296" t="inlineStr">
        <is>
          <t>Bear</t>
        </is>
      </c>
      <c r="C14" s="296" t="inlineStr">
        <is>
          <t>Base</t>
        </is>
      </c>
      <c r="D14" s="296" t="inlineStr">
        <is>
          <t>Bull</t>
        </is>
      </c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457">
        <f>IF(Price="","",Price)</f>
        <v/>
      </c>
      <c r="C15" s="457">
        <f>IF(Price="","",Price)</f>
        <v/>
      </c>
      <c r="D15" s="457">
        <f>IF(Price="","",Price)</f>
        <v/>
      </c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Base shares (selected denominator)</t>
        </is>
      </c>
      <c r="B16" s="516">
        <f>IF(IF(PerShareMode="Outstanding",Shares,IF(PerShareMode="Diluted",SharesDiluted,""))="","",IF(PerShareMode="Outstanding",Shares,IF(PerShareMode="Diluted",SharesDiluted,"")))</f>
        <v/>
      </c>
      <c r="C16" s="516">
        <f>IF(IF(PerShareMode="Outstanding",Shares,IF(PerShareMode="Diluted",SharesDiluted,""))="","",IF(PerShareMode="Outstanding",Shares,IF(PerShareMode="Diluted",SharesDiluted,"")))</f>
        <v/>
      </c>
      <c r="D16" s="516">
        <f>IF(IF(PerShareMode="Outstanding",Shares,IF(PerShareMode="Diluted",SharesDiluted,""))="","",IF(PerShareMode="Outstanding",Shares,IF(PerShareMode="Diluted",SharesDiluted,"")))</f>
        <v/>
      </c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</t>
        </is>
      </c>
      <c r="B17" s="454">
        <f>IF(NetDebt="","",NetDebt)</f>
        <v/>
      </c>
      <c r="C17" s="454">
        <f>IF(NetDebt="","",NetDebt)</f>
        <v/>
      </c>
      <c r="D17" s="454">
        <f>IF(NetDebt="","",NetDebt)</f>
        <v/>
      </c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Revenue TTM</t>
        </is>
      </c>
      <c r="B18" s="455">
        <f>IF(Revenue_TTM="","",Revenue_TTM)</f>
        <v/>
      </c>
      <c r="C18" s="455">
        <f>IF(Revenue_TTM="","",Revenue_TTM)</f>
        <v/>
      </c>
      <c r="D18" s="455">
        <f>IF(Revenue_TTM="","",Revenue_TTM)</f>
        <v/>
      </c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Net income TTM</t>
        </is>
      </c>
      <c r="B19" s="454">
        <f>IF(NetIncome_TTM="","",NetIncome_TTM)</f>
        <v/>
      </c>
      <c r="C19" s="454">
        <f>IF(NetIncome_TTM="","",NetIncome_TTM)</f>
        <v/>
      </c>
      <c r="D19" s="454">
        <f>IF(NetIncome_TTM="","",NetIncome_TTM)</f>
        <v/>
      </c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EBITDA (base, TTM)</t>
        </is>
      </c>
      <c r="B20" s="455">
        <f>IF(Base_EBITDA="","",Base_EBITDA)</f>
        <v/>
      </c>
      <c r="C20" s="455">
        <f>IF(Base_EBITDA="","",Base_EBITDA)</f>
        <v/>
      </c>
      <c r="D20" s="455">
        <f>IF(Base_EBITDA="","",Base_EBITDA)</f>
        <v/>
      </c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Adjusted EBITDA (TTM)</t>
        </is>
      </c>
      <c r="B21" s="454">
        <f>IF(Adj_EBITDA="","",Adj_EBITDA)</f>
        <v/>
      </c>
      <c r="C21" s="454">
        <f>IF(Adj_EBITDA="","",Adj_EBITDA)</f>
        <v/>
      </c>
      <c r="D21" s="454">
        <f>IF(Adj_EBITDA="","",Adj_EBITDA)</f>
        <v/>
      </c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FCF TTM</t>
        </is>
      </c>
      <c r="B22" s="455">
        <f>IF(FCF_TTM="","",FCF_TTM)</f>
        <v/>
      </c>
      <c r="C22" s="455">
        <f>IF(FCF_TTM="","",FCF_TTM)</f>
        <v/>
      </c>
      <c r="D22" s="455">
        <f>IF(FCF_TTM="","",FCF_TTM)</f>
        <v/>
      </c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Fiscal horizon</t>
        </is>
      </c>
      <c r="B23" s="517" t="n"/>
      <c r="C23" s="517" t="n"/>
      <c r="D23" s="517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Revenue growth</t>
        </is>
      </c>
      <c r="B24" s="518" t="n"/>
      <c r="C24" s="518" t="n"/>
      <c r="D24" s="518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Base EBITDA margin</t>
        </is>
      </c>
      <c r="B25" s="519" t="n"/>
      <c r="C25" s="519" t="n"/>
      <c r="D25" s="519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Adjusted EBITDA margin</t>
        </is>
      </c>
      <c r="B26" s="520" t="n"/>
      <c r="C26" s="520" t="n"/>
      <c r="D26" s="520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Pre-tax earnings bridge ($m)</t>
        </is>
      </c>
      <c r="B27" s="519" t="n"/>
      <c r="C27" s="519" t="n"/>
      <c r="D27" s="519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Tax rate</t>
        </is>
      </c>
      <c r="B28" s="521" t="n"/>
      <c r="C28" s="521" t="n"/>
      <c r="D28" s="521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Earnings-bridge tax treatment</t>
        </is>
      </c>
      <c r="B29" s="522" t="n"/>
      <c r="C29" s="522" t="n"/>
      <c r="D29" s="522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inlineStr">
        <is>
          <t>Cash-interest change ($m)</t>
        </is>
      </c>
      <c r="B30" s="523" t="n"/>
      <c r="C30" s="523" t="n"/>
      <c r="D30" s="523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inlineStr">
        <is>
          <t>Cash-interest tax treatment</t>
        </is>
      </c>
      <c r="B31" s="524" t="n"/>
      <c r="C31" s="524" t="n"/>
      <c r="D31" s="524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inlineStr">
        <is>
          <t>Capex change ($m, positive outflow)</t>
        </is>
      </c>
      <c r="B32" s="523" t="n"/>
      <c r="C32" s="523" t="n"/>
      <c r="D32" s="523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inlineStr">
        <is>
          <t>Working-capital adjustment ($m, positive source)</t>
        </is>
      </c>
      <c r="B33" s="524" t="n"/>
      <c r="C33" s="524" t="n"/>
      <c r="D33" s="524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Buyback cash ($m)</t>
        </is>
      </c>
      <c r="B34" s="520" t="n"/>
      <c r="C34" s="520" t="n"/>
      <c r="D34" s="520" t="n"/>
      <c r="E34" s="270" t="n"/>
      <c r="F34" s="276" t="n"/>
      <c r="G34" s="270" t="n"/>
      <c r="H34" s="68" t="n"/>
      <c r="I34" s="47" t="n"/>
      <c r="J34" s="46" t="n"/>
    </row>
    <row r="35" ht="21" customHeight="1">
      <c r="A35" t="inlineStr">
        <is>
          <t>Buyback execution price ($/share)</t>
        </is>
      </c>
      <c r="B35" s="499" t="n"/>
      <c r="C35" s="499" t="n"/>
      <c r="D35" s="499" t="n"/>
    </row>
    <row r="36" ht="21" customHeight="1">
      <c r="A36" s="254" t="inlineStr">
        <is>
          <t>Share issuance (m shares)</t>
        </is>
      </c>
      <c r="B36" s="499" t="n"/>
      <c r="C36" s="499" t="n"/>
      <c r="D36" s="499" t="n"/>
    </row>
    <row r="37" ht="21" customHeight="1">
      <c r="A37" s="296" t="inlineStr">
        <is>
          <t>Debt paydown ($m)</t>
        </is>
      </c>
      <c r="B37" s="525" t="n"/>
      <c r="C37" s="525" t="n"/>
      <c r="D37" s="525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Target EV/Adjusted EBITDA (x)</t>
        </is>
      </c>
      <c r="B38" s="526" t="n"/>
      <c r="C38" s="527" t="n"/>
      <c r="D38" s="527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Target EV/EBITDA (base, x)</t>
        </is>
      </c>
      <c r="B39" s="499" t="n"/>
      <c r="C39" s="499" t="n"/>
      <c r="D39" s="499" t="n"/>
    </row>
    <row r="40" ht="21" customHeight="1">
      <c r="A40" s="67" t="inlineStr">
        <is>
          <t>Target EV/Revenue (x)</t>
        </is>
      </c>
      <c r="B40" s="528" t="n"/>
      <c r="C40" s="522" t="n"/>
      <c r="D40" s="529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inlineStr">
        <is>
          <t>Target P/E (x)</t>
        </is>
      </c>
      <c r="B41" s="530" t="n"/>
      <c r="C41" s="521" t="n"/>
      <c r="D41" s="529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Target FCF yield</t>
        </is>
      </c>
      <c r="B42" s="499" t="n"/>
      <c r="C42" s="499" t="n"/>
      <c r="D42" s="499" t="n"/>
    </row>
    <row r="43" ht="21" customHeight="1">
      <c r="A43" s="67" t="n"/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n"/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n"/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Typed 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Only explicit typed assumptions affect scenario economics; source guidance remains separate until selected.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output</t>
        </is>
      </c>
      <c r="B49" s="296" t="inlineStr">
        <is>
          <t>Bear</t>
        </is>
      </c>
      <c r="C49" s="296" t="inlineStr">
        <is>
          <t>Base</t>
        </is>
      </c>
      <c r="D49" s="296" t="inlineStr">
        <is>
          <t>Bull</t>
        </is>
      </c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After-tax earnings bridge ($m)</t>
        </is>
      </c>
      <c r="B50" s="454">
        <f>IF(OR(B27="",B28="",B29=""),"",IF(B29="taxable",B27*(1-B28),IF(OR(B29="non_taxable",B29="non_taxable_credit"),B27,IF(OR(B29="cash_only",B29="no_eps_impact"),0,""))))</f>
        <v/>
      </c>
      <c r="C50" s="454">
        <f>IF(OR(C27="",C28="",C29=""),"",IF(C29="taxable",C27*(1-C28),IF(OR(C29="non_taxable",C29="non_taxable_credit"),C27,IF(OR(C29="cash_only",C29="no_eps_impact"),0,""))))</f>
        <v/>
      </c>
      <c r="D50" s="454">
        <f>IF(OR(D27="",D28="",D29=""),"",IF(D29="taxable",D27*(1-D28),IF(OR(D29="non_taxable",D29="non_taxable_credit"),D27,IF(OR(D29="cash_only",D29="no_eps_impact"),0,""))))</f>
        <v/>
      </c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After-tax cash-interest change ($m)</t>
        </is>
      </c>
      <c r="B51" s="455">
        <f>IF(OR(B28="",B30="",B31=""),"",IF(B31="taxable",B30*(1-B28),IF(B31="non_taxable",B30,"")))</f>
        <v/>
      </c>
      <c r="C51" s="455">
        <f>IF(OR(C28="",C30="",C31=""),"",IF(C31="taxable",C30*(1-C28),IF(C31="non_taxable",C30,"")))</f>
        <v/>
      </c>
      <c r="D51" s="455">
        <f>IF(OR(D28="",D30="",D31=""),"",IF(D31="taxable",D30*(1-D28),IF(D31="non_taxable",D30,"")))</f>
        <v/>
      </c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Net FCF bridge ($m)</t>
        </is>
      </c>
      <c r="B52" s="454">
        <f>IF(OR(B27="",B28="",B29="",B30="",B31="",B32="",B33=""),"",IF(B29="taxable",B27*(1-B28),IF(OR(B29="non_taxable",B29="non_taxable_credit",B29="cash_only",B29="no_eps_impact"),B27,IF(OR(B29="cash_only",B29="no_eps_impact"),B27,"")))-IF(B31="taxable",B30*(1-B28),IF(B31="non_taxable",B30,""))-B32+B33)</f>
        <v/>
      </c>
      <c r="C52" s="454">
        <f>IF(OR(C27="",C28="",C29="",C30="",C31="",C32="",C33=""),"",IF(C29="taxable",C27*(1-C28),IF(OR(C29="non_taxable",C29="non_taxable_credit",C29="cash_only",C29="no_eps_impact"),C27,IF(OR(C29="cash_only",C29="no_eps_impact"),C27,"")))-IF(C31="taxable",C30*(1-C28),IF(C31="non_taxable",C30,""))-C32+C33)</f>
        <v/>
      </c>
      <c r="D52" s="454">
        <f>IF(OR(D27="",D28="",D29="",D30="",D31="",D32="",D33=""),"",IF(D29="taxable",D27*(1-D28),IF(OR(D29="non_taxable",D29="non_taxable_credit",D29="cash_only",D29="no_eps_impact"),D27,IF(OR(D29="cash_only",D29="no_eps_impact"),D27,"")))-IF(D31="taxable",D30*(1-D28),IF(D31="non_taxable",D30,""))-D32+D33)</f>
        <v/>
      </c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Net share-count change (m)</t>
        </is>
      </c>
      <c r="B53" s="516">
        <f>IF(OR(B34="",B36="",AND(B34&lt;&gt;0,OR(B35="",B35&lt;=0))),"",-IF(B34=0,0,B34/B35)+B36)</f>
        <v/>
      </c>
      <c r="C53" s="516">
        <f>IF(OR(C34="",C36="",AND(C34&lt;&gt;0,OR(C35="",C35&lt;=0))),"",-IF(C34=0,0,C34/C35)+C36)</f>
        <v/>
      </c>
      <c r="D53" s="516">
        <f>IF(OR(D34="",D36="",AND(D34&lt;&gt;0,OR(D35="",D35&lt;=0))),"",-IF(D34=0,0,D34/D35)+D36)</f>
        <v/>
      </c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Scenario output</t>
        </is>
      </c>
      <c r="B55" s="259" t="inlineStr">
        <is>
          <t>Bear</t>
        </is>
      </c>
      <c r="C55" t="inlineStr">
        <is>
          <t>Base</t>
        </is>
      </c>
      <c r="D55" s="259" t="inlineStr">
        <is>
          <t>Bull</t>
        </is>
      </c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Scenario EPS ($/share)</t>
        </is>
      </c>
      <c r="B56" s="531">
        <f>IF(F85="","",F85)</f>
        <v/>
      </c>
      <c r="C56" s="532">
        <f>IF(F86="","",F86)</f>
        <v/>
      </c>
      <c r="D56" s="531">
        <f>IF(F87="","",F87)</f>
        <v/>
      </c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Scenario adjusted EBITDA ($m)</t>
        </is>
      </c>
      <c r="B57" s="455">
        <f>IF(D85="","",D85)</f>
        <v/>
      </c>
      <c r="C57" s="506">
        <f>IF(D86="","",D86)</f>
        <v/>
      </c>
      <c r="D57" s="455">
        <f>IF(D87="","",D87)</f>
        <v/>
      </c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Scenario FCF ($m)</t>
        </is>
      </c>
      <c r="B58" s="454">
        <f>IF(E85="","",E85)</f>
        <v/>
      </c>
      <c r="C58" s="506">
        <f>IF(E86="","",E86)</f>
        <v/>
      </c>
      <c r="D58" s="454">
        <f>IF(E87="","",E87)</f>
        <v/>
      </c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</t>
        </is>
      </c>
      <c r="B62" s="533">
        <f>IF(Price="","",Price)</f>
        <v/>
      </c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Market capitalization ($m)</t>
        </is>
      </c>
      <c r="B63" s="534">
        <f>IF('Valuation'!N236="","",'Valuation'!N236)</f>
        <v/>
      </c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Enterprise value ($m)</t>
        </is>
      </c>
      <c r="B64" s="535">
        <f>IF('Valuation'!N237="","",'Valuation'!N237)</f>
        <v/>
      </c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Required revenue @ target EV/Revenue ($m)</t>
        </is>
      </c>
      <c r="B65" s="534">
        <f>IF('Valuation'!N238="","",'Valuation'!N238)</f>
        <v/>
      </c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Required adjusted EBITDA @ target multiple ($m)</t>
        </is>
      </c>
      <c r="B66" s="535">
        <f>IF('Valuation'!N239="","",'Valuation'!N239)</f>
        <v/>
      </c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Required FCFF @ target yield ($m)</t>
        </is>
      </c>
      <c r="B67" s="534">
        <f>IF('Valuation'!N242="","",'Valuation'!N242)</f>
        <v/>
      </c>
      <c r="E67" s="68" t="n"/>
      <c r="F67" s="47" t="n"/>
      <c r="G67" s="47" t="n"/>
      <c r="H67" s="47" t="n"/>
      <c r="I67" s="47" t="n"/>
      <c r="J67" s="46" t="n"/>
    </row>
    <row r="68" ht="21" customHeight="1">
      <c r="A68" t="inlineStr">
        <is>
          <t>Implied terminal growth (perpetuity)</t>
        </is>
      </c>
      <c r="B68" s="536">
        <f>IF(ISNUMBER('Valuation'!N244),'Valuation'!N244,"")</f>
        <v/>
      </c>
    </row>
    <row r="69" ht="21" customHeight="1">
      <c r="A69" s="254" t="n"/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n"/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n"/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n"/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n"/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n"/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n"/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n"/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n"/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inlineStr">
        <is>
          <t>Revenue</t>
        </is>
      </c>
      <c r="C84" t="inlineStr">
        <is>
          <t>Base EBITDA</t>
        </is>
      </c>
      <c r="D84" s="296" t="inlineStr">
        <is>
          <t>Adjusted EBITDA</t>
        </is>
      </c>
      <c r="E84" s="296" t="inlineStr">
        <is>
          <t>FCF</t>
        </is>
      </c>
      <c r="F84" s="296" t="inlineStr">
        <is>
          <t>EPS</t>
        </is>
      </c>
      <c r="G84" s="296" t="inlineStr">
        <is>
          <t>Shares</t>
        </is>
      </c>
      <c r="H84" s="296" t="inlineStr">
        <is>
          <t>Net debt</t>
        </is>
      </c>
      <c r="I84" s="296" t="inlineStr">
        <is>
          <t>Implied price</t>
        </is>
      </c>
      <c r="J84" s="296" t="inlineStr">
        <is>
          <t>Upside / downside</t>
        </is>
      </c>
    </row>
    <row r="85" ht="30" customHeight="1">
      <c r="A85" s="52" t="inlineStr">
        <is>
          <t>Bear</t>
        </is>
      </c>
      <c r="B85" s="535">
        <f>IF(OR(B18="",ResolvedRevenueGrowth_Bear=""),"",B18*(1+ResolvedRevenueGrowth_Bear))</f>
        <v/>
      </c>
      <c r="C85" s="506">
        <f>IF(OR(B85="",B25=""),"",B85*B25)</f>
        <v/>
      </c>
      <c r="D85" s="454">
        <f>IF(OR(B85="",B26=""),"",B85*B26)</f>
        <v/>
      </c>
      <c r="E85" s="454">
        <f>IF(OR(B22="",B52=""),"",B22+B52)</f>
        <v/>
      </c>
      <c r="F85" s="531">
        <f>IF(OR(B19="",B50="",B51="",G85="",G85&lt;=0),"",(B19+B50-B51)/G85)</f>
        <v/>
      </c>
      <c r="G85" s="537">
        <f>IF(OR(B16="",B53=""),"",IF(B16+B53&lt;=0,"",B16+B53))</f>
        <v/>
      </c>
      <c r="H85" s="454">
        <f>IF(OR(B17="",B34="",B37=""),"",B17+B34-B37)</f>
        <v/>
      </c>
      <c r="I85" s="457">
        <f>IF(OR(D85="",B38="",H85="",G85="",G85&lt;=0),"",(D85*B38-H85)/G85)</f>
        <v/>
      </c>
      <c r="J85" s="538">
        <f>IF(OR(I85="",B15="",B15&lt;=0),"",I85/B15-1)</f>
        <v/>
      </c>
    </row>
    <row r="86" ht="30" customHeight="1">
      <c r="A86" s="53" t="inlineStr">
        <is>
          <t>Base</t>
        </is>
      </c>
      <c r="B86" s="534">
        <f>IF(OR(C18="",ResolvedRevenueGrowth_Base=""),"",C18*(1+ResolvedRevenueGrowth_Base))</f>
        <v/>
      </c>
      <c r="C86" s="506">
        <f>IF(OR(B86="",C25=""),"",B86*C25)</f>
        <v/>
      </c>
      <c r="D86" s="455">
        <f>IF(OR(B86="",C26=""),"",B86*C26)</f>
        <v/>
      </c>
      <c r="E86" s="455">
        <f>IF(OR(C22="",C52=""),"",C22+C52)</f>
        <v/>
      </c>
      <c r="F86" s="539">
        <f>IF(OR(C19="",C50="",C51="",G86="",G86&lt;=0),"",(C19+C50-C51)/G86)</f>
        <v/>
      </c>
      <c r="G86" s="516">
        <f>IF(OR(C16="",C53=""),"",IF(C16+C53&lt;=0,"",C16+C53))</f>
        <v/>
      </c>
      <c r="H86" s="455">
        <f>IF(OR(C17="",C34="",C37=""),"",C17+C34-C37)</f>
        <v/>
      </c>
      <c r="I86" s="456">
        <f>IF(OR(D86="",C38="",H86="",G86="",G86&lt;=0),"",(D86*C38-H86)/G86)</f>
        <v/>
      </c>
      <c r="J86" s="540">
        <f>IF(OR(I86="",C15="",C15&lt;=0),"",I86/C15-1)</f>
        <v/>
      </c>
    </row>
    <row r="87" ht="30" customHeight="1">
      <c r="A87" s="52" t="inlineStr">
        <is>
          <t>Bull</t>
        </is>
      </c>
      <c r="B87" s="535">
        <f>IF(OR(D18="",ResolvedRevenueGrowth_Bull=""),"",D18*(1+ResolvedRevenueGrowth_Bull))</f>
        <v/>
      </c>
      <c r="C87" s="506">
        <f>IF(OR(B87="",D25=""),"",B87*D25)</f>
        <v/>
      </c>
      <c r="D87" s="454">
        <f>IF(OR(B87="",D26=""),"",B87*D26)</f>
        <v/>
      </c>
      <c r="E87" s="454">
        <f>IF(OR(D22="",D52=""),"",D22+D52)</f>
        <v/>
      </c>
      <c r="F87" s="531">
        <f>IF(OR(D19="",D50="",D51="",G87="",G87&lt;=0),"",(D19+D50-D51)/G87)</f>
        <v/>
      </c>
      <c r="G87" s="537">
        <f>IF(OR(D16="",D53=""),"",IF(D16+D53&lt;=0,"",D16+D53))</f>
        <v/>
      </c>
      <c r="H87" s="454">
        <f>IF(OR(D17="",D34="",D37=""),"",D17+D34-D37)</f>
        <v/>
      </c>
      <c r="I87" s="457">
        <f>IF(OR(D87="",D38="",H87="",G87="",G87&lt;=0),"",(D87*D38-H87)/G87)</f>
        <v/>
      </c>
      <c r="J87" s="538">
        <f>IF(OR(I87="",D15="",D15&lt;=0),"",I87/D15-1)</f>
        <v/>
      </c>
    </row>
    <row r="88" ht="13.5" customHeight="1">
      <c r="A88" s="256" t="n"/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n"/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n"/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n"/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n"/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n"/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n"/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n"/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n"/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n"/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n"/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n"/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n"/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n"/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n"/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n"/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n"/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n"/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n"/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n"/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n"/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n"/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n"/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n"/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n"/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n"/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n"/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n"/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n"/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n"/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n"/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n"/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n"/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n"/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n"/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n"/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n"/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n"/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n"/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n"/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n"/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n"/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n"/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n"/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n"/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n"/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n"/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n"/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n"/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n"/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n"/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n"/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n"/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n"/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n"/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n"/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P/E Sensitivity ($/share)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 / P-E multiple</t>
        </is>
      </c>
      <c r="B160" s="525" t="n"/>
      <c r="C160" s="525" t="n"/>
      <c r="D160" s="525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541" t="n"/>
      <c r="B161" s="457">
        <f>IF(OR($A161="",B$160=""),"",$A161*B$160)</f>
        <v/>
      </c>
      <c r="C161" s="457">
        <f>IF(OR($A161="",C$160=""),"",$A161*C$160)</f>
        <v/>
      </c>
      <c r="D161" s="457">
        <f>IF(OR($A161="",D$160=""),"",$A161*D$160)</f>
        <v/>
      </c>
      <c r="E161" s="353" t="n"/>
      <c r="F161" s="52" t="n"/>
      <c r="G161" s="52" t="n"/>
      <c r="H161" s="52" t="n"/>
      <c r="I161" s="52" t="n"/>
      <c r="J161" s="52" t="n"/>
    </row>
    <row r="162" ht="21" customHeight="1">
      <c r="A162" s="542" t="n"/>
      <c r="B162" s="456">
        <f>IF(OR($A162="",B$160=""),"",$A162*B$160)</f>
        <v/>
      </c>
      <c r="C162" s="456">
        <f>IF(OR($A162="",C$160=""),"",$A162*C$160)</f>
        <v/>
      </c>
      <c r="D162" s="456">
        <f>IF(OR($A162="",D$160=""),"",$A162*D$160)</f>
        <v/>
      </c>
      <c r="E162" s="358" t="n"/>
      <c r="F162" s="53" t="n"/>
      <c r="G162" s="53" t="n"/>
      <c r="H162" s="53" t="n"/>
      <c r="I162" s="53" t="n"/>
      <c r="J162" s="53" t="n"/>
    </row>
    <row r="163" ht="21" customHeight="1">
      <c r="A163" s="541" t="n"/>
      <c r="B163" s="457">
        <f>IF(OR($A163="",B$160=""),"",$A163*B$160)</f>
        <v/>
      </c>
      <c r="C163" s="457">
        <f>IF(OR($A163="",C$160=""),"",$A163*C$160)</f>
        <v/>
      </c>
      <c r="D163" s="457">
        <f>IF(OR($A163="",D$160=""),"",$A163*D$160)</f>
        <v/>
      </c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n"/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n"/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n"/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n"/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EV/Adjusted EBITDA Sensitivity ($/share)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Adjusted EBITDA / multiple</t>
        </is>
      </c>
      <c r="B171" s="525" t="n"/>
      <c r="C171" s="525" t="n"/>
      <c r="D171" s="525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517" t="n"/>
      <c r="B172" s="457">
        <f>IF(OR($A172="",B$171="",NetDebt="",IF(PerShareMode="Outstanding",Shares,IF(PerShareMode="Diluted",SharesDiluted,""))="",IF(PerShareMode="Outstanding",Shares,IF(PerShareMode="Diluted",SharesDiluted,""))&lt;=0),"",($A172*B$171-NetDebt)/IF(PerShareMode="Outstanding",Shares,IF(PerShareMode="Diluted",SharesDiluted,"")))</f>
        <v/>
      </c>
      <c r="C172" s="457">
        <f>IF(OR($A172="",C$171="",NetDebt="",IF(PerShareMode="Outstanding",Shares,IF(PerShareMode="Diluted",SharesDiluted,""))="",IF(PerShareMode="Outstanding",Shares,IF(PerShareMode="Diluted",SharesDiluted,""))&lt;=0),"",($A172*C$171-NetDebt)/IF(PerShareMode="Outstanding",Shares,IF(PerShareMode="Diluted",SharesDiluted,"")))</f>
        <v/>
      </c>
      <c r="D172" s="457">
        <f>IF(OR($A172="",D$171="",NetDebt="",IF(PerShareMode="Outstanding",Shares,IF(PerShareMode="Diluted",SharesDiluted,""))="",IF(PerShareMode="Outstanding",Shares,IF(PerShareMode="Diluted",SharesDiluted,""))&lt;=0),"",($A172*D$171-NetDebt)/IF(PerShareMode="Outstanding",Shares,IF(PerShareMode="Diluted",SharesDiluted,"")))</f>
        <v/>
      </c>
      <c r="E172" s="67" t="n"/>
      <c r="F172" s="47" t="n"/>
      <c r="G172" s="47" t="n"/>
      <c r="H172" s="47" t="n"/>
      <c r="I172" s="47" t="n"/>
      <c r="J172" s="46" t="n"/>
    </row>
    <row r="173" ht="21" customHeight="1">
      <c r="A173" s="518" t="n"/>
      <c r="B173" s="456">
        <f>IF(OR($A173="",B$171="",NetDebt="",IF(PerShareMode="Outstanding",Shares,IF(PerShareMode="Diluted",SharesDiluted,""))="",IF(PerShareMode="Outstanding",Shares,IF(PerShareMode="Diluted",SharesDiluted,""))&lt;=0),"",($A173*B$171-NetDebt)/IF(PerShareMode="Outstanding",Shares,IF(PerShareMode="Diluted",SharesDiluted,"")))</f>
        <v/>
      </c>
      <c r="C173" s="456">
        <f>IF(OR($A173="",C$171="",NetDebt="",IF(PerShareMode="Outstanding",Shares,IF(PerShareMode="Diluted",SharesDiluted,""))="",IF(PerShareMode="Outstanding",Shares,IF(PerShareMode="Diluted",SharesDiluted,""))&lt;=0),"",($A173*C$171-NetDebt)/IF(PerShareMode="Outstanding",Shares,IF(PerShareMode="Diluted",SharesDiluted,"")))</f>
        <v/>
      </c>
      <c r="D173" s="456">
        <f>IF(OR($A173="",D$171="",NetDebt="",IF(PerShareMode="Outstanding",Shares,IF(PerShareMode="Diluted",SharesDiluted,""))="",IF(PerShareMode="Outstanding",Shares,IF(PerShareMode="Diluted",SharesDiluted,""))&lt;=0),"",($A173*D$171-NetDebt)/IF(PerShareMode="Outstanding",Shares,IF(PerShareMode="Diluted",SharesDiluted,"")))</f>
        <v/>
      </c>
      <c r="E173" s="68" t="n"/>
      <c r="F173" s="47" t="n"/>
      <c r="G173" s="47" t="n"/>
      <c r="H173" s="47" t="n"/>
      <c r="I173" s="47" t="n"/>
      <c r="J173" s="46" t="n"/>
    </row>
    <row r="174" ht="21" customHeight="1">
      <c r="A174" s="517" t="n"/>
      <c r="B174" s="457">
        <f>IF(OR($A174="",B$171="",NetDebt="",IF(PerShareMode="Outstanding",Shares,IF(PerShareMode="Diluted",SharesDiluted,""))="",IF(PerShareMode="Outstanding",Shares,IF(PerShareMode="Diluted",SharesDiluted,""))&lt;=0),"",($A174*B$171-NetDebt)/IF(PerShareMode="Outstanding",Shares,IF(PerShareMode="Diluted",SharesDiluted,"")))</f>
        <v/>
      </c>
      <c r="C174" s="457">
        <f>IF(OR($A174="",C$171="",NetDebt="",IF(PerShareMode="Outstanding",Shares,IF(PerShareMode="Diluted",SharesDiluted,""))="",IF(PerShareMode="Outstanding",Shares,IF(PerShareMode="Diluted",SharesDiluted,""))&lt;=0),"",($A174*C$171-NetDebt)/IF(PerShareMode="Outstanding",Shares,IF(PerShareMode="Diluted",SharesDiluted,"")))</f>
        <v/>
      </c>
      <c r="D174" s="457">
        <f>IF(OR($A174="",D$171="",NetDebt="",IF(PerShareMode="Outstanding",Shares,IF(PerShareMode="Diluted",SharesDiluted,""))="",IF(PerShareMode="Outstanding",Shares,IF(PerShareMode="Diluted",SharesDiluted,""))&lt;=0),"",($A174*D$171-NetDebt)/IF(PerShareMode="Outstanding",Shares,IF(PerShareMode="Diluted",SharesDiluted,"")))</f>
        <v/>
      </c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Sensitivity ($/share)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FCF / yield</t>
        </is>
      </c>
      <c r="B177" s="525" t="n"/>
      <c r="C177" s="525" t="n"/>
      <c r="D177" s="543" t="n"/>
    </row>
    <row r="178" ht="21" customHeight="1">
      <c r="A178" s="519" t="n"/>
      <c r="B178" s="457">
        <f>IF(OR($A178="",B$177="",B$177&lt;=0,IF(PerShareMode="Outstanding",Shares,IF(PerShareMode="Diluted",SharesDiluted,""))="",IF(PerShareMode="Outstanding",Shares,IF(PerShareMode="Diluted",SharesDiluted,""))&lt;=0),"",$A178/B$177/IF(PerShareMode="Outstanding",Shares,IF(PerShareMode="Diluted",SharesDiluted,"")))</f>
        <v/>
      </c>
      <c r="C178" s="457">
        <f>IF(OR($A178="",C$177="",C$177&lt;=0,IF(PerShareMode="Outstanding",Shares,IF(PerShareMode="Diluted",SharesDiluted,""))="",IF(PerShareMode="Outstanding",Shares,IF(PerShareMode="Diluted",SharesDiluted,""))&lt;=0),"",$A178/C$177/IF(PerShareMode="Outstanding",Shares,IF(PerShareMode="Diluted",SharesDiluted,"")))</f>
        <v/>
      </c>
      <c r="D178" s="533">
        <f>IF(OR($A178="",D$177="",D$177&lt;=0,IF(PerShareMode="Outstanding",Shares,IF(PerShareMode="Diluted",SharesDiluted,""))="",IF(PerShareMode="Outstanding",Shares,IF(PerShareMode="Diluted",SharesDiluted,""))&lt;=0),"",$A178/D$177/IF(PerShareMode="Outstanding",Shares,IF(PerShareMode="Diluted",SharesDiluted,"")))</f>
        <v/>
      </c>
    </row>
    <row r="179" ht="21" customHeight="1">
      <c r="A179" s="520" t="n"/>
      <c r="B179" s="456">
        <f>IF(OR($A179="",B$177="",B$177&lt;=0,IF(PerShareMode="Outstanding",Shares,IF(PerShareMode="Diluted",SharesDiluted,""))="",IF(PerShareMode="Outstanding",Shares,IF(PerShareMode="Diluted",SharesDiluted,""))&lt;=0),"",$A179/B$177/IF(PerShareMode="Outstanding",Shares,IF(PerShareMode="Diluted",SharesDiluted,"")))</f>
        <v/>
      </c>
      <c r="C179" s="456">
        <f>IF(OR($A179="",C$177="",C$177&lt;=0,IF(PerShareMode="Outstanding",Shares,IF(PerShareMode="Diluted",SharesDiluted,""))="",IF(PerShareMode="Outstanding",Shares,IF(PerShareMode="Diluted",SharesDiluted,""))&lt;=0),"",$A179/C$177/IF(PerShareMode="Outstanding",Shares,IF(PerShareMode="Diluted",SharesDiluted,"")))</f>
        <v/>
      </c>
      <c r="D179" s="544">
        <f>IF(OR($A179="",D$177="",D$177&lt;=0,IF(PerShareMode="Outstanding",Shares,IF(PerShareMode="Diluted",SharesDiluted,""))="",IF(PerShareMode="Outstanding",Shares,IF(PerShareMode="Diluted",SharesDiluted,""))&lt;=0),"",$A179/D$177/IF(PerShareMode="Outstanding",Shares,IF(PerShareMode="Diluted",SharesDiluted,"")))</f>
        <v/>
      </c>
    </row>
    <row r="180" ht="21" customHeight="1">
      <c r="A180" s="519" t="n"/>
      <c r="B180" s="457">
        <f>IF(OR($A180="",B$177="",B$177&lt;=0,IF(PerShareMode="Outstanding",Shares,IF(PerShareMode="Diluted",SharesDiluted,""))="",IF(PerShareMode="Outstanding",Shares,IF(PerShareMode="Diluted",SharesDiluted,""))&lt;=0),"",$A180/B$177/IF(PerShareMode="Outstanding",Shares,IF(PerShareMode="Diluted",SharesDiluted,"")))</f>
        <v/>
      </c>
      <c r="C180" s="457">
        <f>IF(OR($A180="",C$177="",C$177&lt;=0,IF(PerShareMode="Outstanding",Shares,IF(PerShareMode="Diluted",SharesDiluted,""))="",IF(PerShareMode="Outstanding",Shares,IF(PerShareMode="Diluted",SharesDiluted,""))&lt;=0),"",$A180/C$177/IF(PerShareMode="Outstanding",Shares,IF(PerShareMode="Diluted",SharesDiluted,"")))</f>
        <v/>
      </c>
      <c r="D180" s="533">
        <f>IF(OR($A180="",D$177="",D$177&lt;=0,IF(PerShareMode="Outstanding",Shares,IF(PerShareMode="Diluted",SharesDiluted,""))="",IF(PerShareMode="Outstanding",Shares,IF(PerShareMode="Diluted",SharesDiluted,""))&lt;=0),"",$A180/D$177/IF(PerShareMode="Outstanding",Shares,IF(PerShareMode="Diluted",SharesDiluted,"")))</f>
        <v/>
      </c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inlineStr">
        <is>
          <t>Total comp</t>
        </is>
      </c>
      <c r="C183" s="296" t="inlineStr">
        <is>
          <t>2Y stack</t>
        </is>
      </c>
      <c r="D183" s="296" t="n"/>
      <c r="E183" s="296" t="n"/>
      <c r="F183" s="296" t="n"/>
      <c r="G183" s="296" t="n"/>
      <c r="H183" s="296" t="n"/>
      <c r="I183" s="259" t="inlineStr">
        <is>
          <t>Read</t>
        </is>
      </c>
      <c r="J183" s="47" t="n"/>
      <c r="K183" s="46" t="n"/>
    </row>
    <row r="184" ht="21" customHeight="1">
      <c r="A184" s="52" t="n"/>
      <c r="B184" s="52" t="inlineStr">
        <is>
          <t>+22%</t>
        </is>
      </c>
      <c r="C184" s="52" t="inlineStr">
        <is>
          <t>+25%</t>
        </is>
      </c>
      <c r="D184" s="52" t="inlineStr">
        <is>
          <t>+29%</t>
        </is>
      </c>
      <c r="E184" s="52" t="inlineStr">
        <is>
          <t>+13%</t>
        </is>
      </c>
      <c r="F184" s="52" t="inlineStr">
        <is>
          <t>+23%</t>
        </is>
      </c>
      <c r="G184" s="52" t="inlineStr">
        <is>
          <t>+19%</t>
        </is>
      </c>
      <c r="H184" s="52" t="inlineStr">
        <is>
          <t>+10%</t>
        </is>
      </c>
      <c r="I184" s="67" t="inlineStr">
        <is>
          <t>Strong two-year stack; watch lapping risk.</t>
        </is>
      </c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n"/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n"/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n"/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n"/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n"/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n"/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n"/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n"/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n"/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n"/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n"/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n"/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n"/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n"/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70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H17:J17"/>
    <mergeCell ref="F217:J217"/>
    <mergeCell ref="D231:G231"/>
    <mergeCell ref="B123:E123"/>
    <mergeCell ref="B78:J78"/>
    <mergeCell ref="C206:J206"/>
    <mergeCell ref="B221:E221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A151:K151"/>
    <mergeCell ref="I187:K187"/>
    <mergeCell ref="F56:G56"/>
    <mergeCell ref="H29:J29"/>
    <mergeCell ref="F116:K116"/>
    <mergeCell ref="D114:E114"/>
    <mergeCell ref="I44:J44"/>
    <mergeCell ref="B209:J209"/>
    <mergeCell ref="F92:J92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A72:J72"/>
    <mergeCell ref="B96:C96"/>
    <mergeCell ref="I190:K190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C134:J134"/>
    <mergeCell ref="D116:E116"/>
    <mergeCell ref="F152:K152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H50:J50"/>
    <mergeCell ref="B157:E157"/>
    <mergeCell ref="I183:K183"/>
    <mergeCell ref="E67:J67"/>
    <mergeCell ref="B199:J199"/>
    <mergeCell ref="H55:J5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H233:J233"/>
    <mergeCell ref="F155:K155"/>
    <mergeCell ref="B111:C111"/>
    <mergeCell ref="B218:E218"/>
    <mergeCell ref="B229:C229"/>
    <mergeCell ref="B145:C145"/>
    <mergeCell ref="F213:J213"/>
    <mergeCell ref="A48:J48"/>
    <mergeCell ref="F94:J94"/>
    <mergeCell ref="F111:K111"/>
    <mergeCell ref="B125:E125"/>
    <mergeCell ref="C202:J202"/>
    <mergeCell ref="C129:J129"/>
    <mergeCell ref="A1:J1"/>
    <mergeCell ref="D233:G233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dataValidations count="19">
    <dataValidation sqref="B23:D23" showDropDown="0" showInputMessage="0" showErrorMessage="1" allowBlank="1" errorTitle="Invalid scenario input" error="Enter a value compatible with the declared scenario contract." type="custom" errorStyle="stop">
      <formula1>=OR(B23="",AND(LEFT(B23,2)="FY",LEN(B23)=6,ISNUMBER(VALUE(RIGHT(B23,4)))))</formula1>
    </dataValidation>
    <dataValidation sqref="B24:D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B27:D27" showDropDown="0" showInputMessage="0" showErrorMessage="1" allowBlank="1" errorTitle="Invalid scenario input" error="Enter a value compatible with the declared scenario contract." type="custom" errorStyle="stop">
      <formula1>=OR(B27="",ISNUMBER(B27))</formula1>
    </dataValidation>
    <dataValidation sqref="B28:D28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B29:D29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B30:D30" showDropDown="0" showInputMessage="0" showErrorMessage="1" allowBlank="1" errorTitle="Invalid scenario input" error="Enter a value compatible with the declared scenario contract." type="custom" errorStyle="stop">
      <formula1>=OR(B30="",ISNUMBER(B30))</formula1>
    </dataValidation>
    <dataValidation sqref="B31:D31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B32:D33" showDropDown="0" showInputMessage="0" showErrorMessage="1" allowBlank="1" errorTitle="Invalid scenario input" error="Enter a value compatible with the declared scenario contract." type="custom" errorStyle="stop">
      <formula1>=OR(B32="",ISNUMBER(B32))</formula1>
    </dataValidation>
    <dataValidation sqref="B34:D34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5:D35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36:D37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8:D4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42:D42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B160:D16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A161:A163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1:D17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A172:A17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7:D177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A178:A18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545" t="n"/>
      <c r="D5" s="308" t="n"/>
      <c r="E5" s="308" t="n"/>
      <c r="F5" s="308" t="n"/>
      <c r="G5" s="545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46" t="n"/>
      <c r="D6" s="308" t="n"/>
      <c r="E6" s="308" t="n"/>
      <c r="F6" s="308" t="n"/>
      <c r="G6" s="546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545" t="n"/>
      <c r="D7" s="308" t="n"/>
      <c r="E7" s="308" t="n"/>
      <c r="F7" s="308" t="n"/>
      <c r="G7" s="545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46" t="n"/>
      <c r="D8" s="308" t="n"/>
      <c r="E8" s="308" t="n"/>
      <c r="F8" s="308" t="n"/>
      <c r="G8" s="546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545" t="n"/>
      <c r="D9" s="308" t="n"/>
      <c r="E9" s="308" t="n"/>
      <c r="F9" s="308" t="n"/>
      <c r="G9" s="545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547" t="n"/>
      <c r="I13" s="545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547" t="n"/>
      <c r="I14" s="546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547" t="n"/>
      <c r="I15" s="545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547" t="n"/>
      <c r="I16" s="546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547" t="n"/>
      <c r="I17" s="545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547" t="n"/>
      <c r="I18" s="546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547" t="n"/>
      <c r="I19" s="545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547" t="n"/>
      <c r="I20" s="546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547" t="n"/>
      <c r="I24" s="545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547" t="n"/>
      <c r="I25" s="546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547" t="n"/>
      <c r="I26" s="545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547" t="n"/>
      <c r="I30" s="545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547" t="n"/>
      <c r="I31" s="546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547" t="n"/>
      <c r="I35" s="545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545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46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545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46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545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46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545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46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545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46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545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46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545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46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545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46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545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47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47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47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47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47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47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47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47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47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47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47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47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47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47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47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47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47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47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47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47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47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48" t="inlineStr">
        <is>
          <t>issue_id</t>
        </is>
      </c>
      <c r="B1" s="548" t="inlineStr">
        <is>
          <t>severity</t>
        </is>
      </c>
      <c r="C1" s="548" t="inlineStr">
        <is>
          <t>rule_id</t>
        </is>
      </c>
      <c r="D1" s="548" t="inlineStr">
        <is>
          <t>issue_type</t>
        </is>
      </c>
      <c r="E1" s="548" t="inlineStr">
        <is>
          <t>section</t>
        </is>
      </c>
      <c r="F1" s="548" t="inlineStr">
        <is>
          <t>root_cause</t>
        </is>
      </c>
      <c r="G1" s="548" t="inlineStr">
        <is>
          <t>message</t>
        </is>
      </c>
      <c r="H1" s="548" t="inlineStr">
        <is>
          <t>suggested_action</t>
        </is>
      </c>
      <c r="I1" s="548" t="inlineStr">
        <is>
          <t>occurrence_count</t>
        </is>
      </c>
      <c r="J1" s="548" t="inlineStr">
        <is>
          <t>visibility_disposition</t>
        </is>
      </c>
      <c r="K1" s="548" t="inlineStr">
        <is>
          <t>promotion_blocking</t>
        </is>
      </c>
      <c r="L1" s="548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48" t="inlineStr">
        <is>
          <t>issue_id</t>
        </is>
      </c>
      <c r="B1" s="548" t="inlineStr">
        <is>
          <t>severity</t>
        </is>
      </c>
      <c r="C1" s="548" t="inlineStr">
        <is>
          <t>rule_id</t>
        </is>
      </c>
      <c r="D1" s="548" t="inlineStr">
        <is>
          <t>section</t>
        </is>
      </c>
      <c r="E1" s="548" t="inlineStr">
        <is>
          <t>normalized_path</t>
        </is>
      </c>
      <c r="F1" s="548" t="inlineStr">
        <is>
          <t>business_row_key</t>
        </is>
      </c>
      <c r="G1" s="548" t="inlineStr">
        <is>
          <t>message</t>
        </is>
      </c>
      <c r="H1" s="548" t="inlineStr">
        <is>
          <t>suggested_action</t>
        </is>
      </c>
      <c r="I1" s="548" t="inlineStr">
        <is>
          <t>occurrence_count</t>
        </is>
      </c>
      <c r="J1" s="548" t="inlineStr">
        <is>
          <t>promotion_blocking</t>
        </is>
      </c>
      <c r="K1" s="548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48" t="inlineStr">
        <is>
          <t>rule_id</t>
        </is>
      </c>
      <c r="B1" s="548" t="inlineStr">
        <is>
          <t>status</t>
        </is>
      </c>
      <c r="C1" s="548" t="inlineStr">
        <is>
          <t>unique_issue_count</t>
        </is>
      </c>
      <c r="D1" s="548" t="inlineStr">
        <is>
          <t>occurrence_count</t>
        </is>
      </c>
      <c r="E1" s="548" t="inlineStr">
        <is>
          <t>blocking_count</t>
        </is>
      </c>
      <c r="F1" s="548" t="inlineStr">
        <is>
          <t>actionable_count</t>
        </is>
      </c>
      <c r="G1" s="548" t="inlineStr">
        <is>
          <t>affected_sections</t>
        </is>
      </c>
      <c r="H1" s="548" t="inlineStr">
        <is>
          <t>interpretation</t>
        </is>
      </c>
      <c r="I1" s="548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9" t="inlineStr">
        <is>
          <t>period</t>
        </is>
      </c>
      <c r="B1" s="549" t="inlineStr">
        <is>
          <t>metric</t>
        </is>
      </c>
      <c r="C1" s="549" t="inlineStr">
        <is>
          <t>value</t>
        </is>
      </c>
      <c r="D1" s="549" t="inlineStr">
        <is>
          <t>unit</t>
        </is>
      </c>
      <c r="E1" s="549" t="inlineStr">
        <is>
          <t>source_ref</t>
        </is>
      </c>
      <c r="F1" s="549" t="inlineStr">
        <is>
          <t>status</t>
        </is>
      </c>
      <c r="G1" s="549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9" t="inlineStr">
        <is>
          <t>period</t>
        </is>
      </c>
      <c r="B1" s="549" t="inlineStr">
        <is>
          <t>metric</t>
        </is>
      </c>
      <c r="C1" s="549" t="inlineStr">
        <is>
          <t>value</t>
        </is>
      </c>
      <c r="D1" s="549" t="inlineStr">
        <is>
          <t>unit</t>
        </is>
      </c>
      <c r="E1" s="549" t="inlineStr">
        <is>
          <t>source_ref</t>
        </is>
      </c>
      <c r="F1" s="549" t="inlineStr">
        <is>
          <t>status</t>
        </is>
      </c>
      <c r="G1" s="549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9" t="inlineStr">
        <is>
          <t>period</t>
        </is>
      </c>
      <c r="B1" s="549" t="inlineStr">
        <is>
          <t>metric</t>
        </is>
      </c>
      <c r="C1" s="549" t="inlineStr">
        <is>
          <t>value</t>
        </is>
      </c>
      <c r="D1" s="549" t="inlineStr">
        <is>
          <t>unit</t>
        </is>
      </c>
      <c r="E1" s="549" t="inlineStr">
        <is>
          <t>source_ref</t>
        </is>
      </c>
      <c r="F1" s="549" t="inlineStr">
        <is>
          <t>status</t>
        </is>
      </c>
      <c r="G1" s="549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9" t="inlineStr">
        <is>
          <t>period</t>
        </is>
      </c>
      <c r="B1" s="549" t="inlineStr">
        <is>
          <t>theme</t>
        </is>
      </c>
      <c r="C1" s="549" t="inlineStr">
        <is>
          <t>metric</t>
        </is>
      </c>
      <c r="D1" s="549" t="inlineStr">
        <is>
          <t>note</t>
        </is>
      </c>
      <c r="E1" s="549" t="inlineStr">
        <is>
          <t>source_ref</t>
        </is>
      </c>
      <c r="F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9" t="inlineStr">
        <is>
          <t>evidence_key</t>
        </is>
      </c>
      <c r="B1" s="549" t="inlineStr">
        <is>
          <t>period</t>
        </is>
      </c>
      <c r="C1" s="549" t="inlineStr">
        <is>
          <t>topic</t>
        </is>
      </c>
      <c r="D1" s="549" t="inlineStr">
        <is>
          <t>text</t>
        </is>
      </c>
      <c r="E1" s="549" t="inlineStr">
        <is>
          <t>source_ref</t>
        </is>
      </c>
      <c r="F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9" t="inlineStr">
        <is>
          <t>period</t>
        </is>
      </c>
      <c r="B1" s="549" t="inlineStr">
        <is>
          <t>topic</t>
        </is>
      </c>
      <c r="C1" s="549" t="inlineStr">
        <is>
          <t>narrative_type</t>
        </is>
      </c>
      <c r="D1" s="549" t="inlineStr">
        <is>
          <t>text</t>
        </is>
      </c>
      <c r="E1" s="549" t="inlineStr">
        <is>
          <t>source_ref</t>
        </is>
      </c>
      <c r="F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30" customWidth="1" min="8" max="8"/>
    <col width="30" customWidth="1" min="9" max="9"/>
    <col width="30" customWidth="1" min="10" max="10"/>
    <col width="32" customWidth="1" min="11" max="11"/>
  </cols>
  <sheetData>
    <row r="1" ht="20" customHeight="1">
      <c r="A1" s="549" t="inlineStr">
        <is>
          <t>metric</t>
        </is>
      </c>
      <c r="B1" s="549" t="inlineStr">
        <is>
          <t>value</t>
        </is>
      </c>
      <c r="C1" s="549" t="inlineStr">
        <is>
          <t>unit</t>
        </is>
      </c>
      <c r="D1" s="549" t="inlineStr">
        <is>
          <t>as_of</t>
        </is>
      </c>
      <c r="E1" s="549" t="inlineStr">
        <is>
          <t>lineage_ref</t>
        </is>
      </c>
      <c r="F1" s="549" t="inlineStr">
        <is>
          <t>status</t>
        </is>
      </c>
      <c r="G1" s="549" t="inlineStr">
        <is>
          <t>definition</t>
        </is>
      </c>
      <c r="H1" s="549" t="inlineStr">
        <is>
          <t>resolved_revenue_growth_bear</t>
        </is>
      </c>
      <c r="I1" s="549" t="inlineStr">
        <is>
          <t>resolved_revenue_growth_base</t>
        </is>
      </c>
      <c r="J1" s="549" t="inlineStr">
        <is>
          <t>resolved_revenue_growth_bull</t>
        </is>
      </c>
      <c r="K1" s="549" t="inlineStr">
        <is>
          <t>resolved_revenue_growth_custom</t>
        </is>
      </c>
    </row>
    <row r="2">
      <c r="A2" t="inlineStr">
        <is>
          <t>price</t>
        </is>
      </c>
      <c r="B2" s="508">
        <f>IF(Price="","",Price)</f>
        <v/>
      </c>
      <c r="C2" t="inlineStr">
        <is>
          <t>$/share</t>
        </is>
      </c>
      <c r="D2">
        <f>IF(AsOfQuarter="","",AsOfQuarter)</f>
        <v/>
      </c>
      <c r="E2" t="inlineStr">
        <is>
          <t>formula:Price</t>
        </is>
      </c>
      <c r="F2">
        <f>IF(B2="","unavailable","calculated")</f>
        <v/>
      </c>
      <c r="G2" t="inlineStr">
        <is>
          <t>Observed or explicit user price.</t>
        </is>
      </c>
      <c r="H2" s="536">
        <f>_xlfn.LET(_xlpm.scenarioKey,"bear",_xlpm.userGrowth,'{ticker}_Investment_Case'!$B$24,_xlpm.scenarioHorizon,'{ticker}_Investment_Case'!$B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I2" s="536">
        <f>_xlfn.LET(_xlpm.scenarioKey,"base",_xlpm.userGrowth,'{ticker}_Investment_Case'!$C$24,_xlpm.scenarioHorizon,'{ticker}_Investment_Case'!$C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J2" s="536">
        <f>_xlfn.LET(_xlpm.scenarioKey,"bull",_xlpm.userGrowth,'{ticker}_Investment_Case'!$D$24,_xlpm.scenarioHorizon,'{ticker}_Investment_Case'!$D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K2" s="536">
        <f>_xlfn.LET(_xlpm.scenarioKey,"custom",_xlpm.userGrowth,ScenarioGrowth,_xlpm.scenarioHorizon,ScenarioHorizon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</row>
    <row r="3">
      <c r="A3" t="inlineStr">
        <is>
          <t>market_cap</t>
        </is>
      </c>
      <c r="B3" s="506">
        <f>IF(MarketCap="","",MarketCap)</f>
        <v/>
      </c>
      <c r="C3" t="inlineStr">
        <is>
          <t>$m</t>
        </is>
      </c>
      <c r="D3">
        <f>IF(AsOfQuarter="","",AsOfQuarter)</f>
        <v/>
      </c>
      <c r="E3" t="inlineStr">
        <is>
          <t>formula:MarketCap</t>
        </is>
      </c>
      <c r="F3">
        <f>IF(B3="","unavailable","calculated")</f>
        <v/>
      </c>
      <c r="G3" t="inlineStr">
        <is>
          <t>Price multiplied by the selected share denominator.</t>
        </is>
      </c>
    </row>
    <row r="4">
      <c r="A4" t="inlineStr">
        <is>
          <t>enterprise_value</t>
        </is>
      </c>
      <c r="B4" s="506">
        <f>IF(EV="","",EV)</f>
        <v/>
      </c>
      <c r="C4" t="inlineStr">
        <is>
          <t>$m</t>
        </is>
      </c>
      <c r="D4">
        <f>IF(AsOfQuarter="","",AsOfQuarter)</f>
        <v/>
      </c>
      <c r="E4" t="inlineStr">
        <is>
          <t>formula:EV</t>
        </is>
      </c>
      <c r="F4">
        <f>IF(B4="","unavailable","calculated")</f>
        <v/>
      </c>
      <c r="G4" t="inlineStr">
        <is>
          <t>Market capitalization plus available net debt.</t>
        </is>
      </c>
    </row>
    <row r="5">
      <c r="A5" t="inlineStr">
        <is>
          <t>implied_ev_adjusted_ebitda</t>
        </is>
      </c>
      <c r="B5" s="550">
        <f>IF(Implied_EV_AdjEBITDA="","",Implied_EV_AdjEBITDA)</f>
        <v/>
      </c>
      <c r="C5" t="inlineStr">
        <is>
          <t>x</t>
        </is>
      </c>
      <c r="D5">
        <f>IF(AsOfQuarter="","",AsOfQuarter)</f>
        <v/>
      </c>
      <c r="E5" t="inlineStr">
        <is>
          <t>formula:Implied_EV_AdjEBITDA</t>
        </is>
      </c>
      <c r="F5">
        <f>IF(B5="","unavailable","calculated")</f>
        <v/>
      </c>
      <c r="G5" t="inlineStr">
        <is>
          <t>Enterprise value divided by adjusted EBITDA TTM.</t>
        </is>
      </c>
    </row>
    <row r="6">
      <c r="A6" t="inlineStr">
        <is>
          <t>implied_ev_base_ebitda</t>
        </is>
      </c>
      <c r="B6" s="550">
        <f>IF(Implied_EV_EBITDA="","",Implied_EV_EBITDA)</f>
        <v/>
      </c>
      <c r="C6" t="inlineStr">
        <is>
          <t>x</t>
        </is>
      </c>
      <c r="D6">
        <f>IF(AsOfQuarter="","",AsOfQuarter)</f>
        <v/>
      </c>
      <c r="E6" t="inlineStr">
        <is>
          <t>formula:Implied_EV_EBITDA</t>
        </is>
      </c>
      <c r="F6">
        <f>IF(B6="","unavailable","calculated")</f>
        <v/>
      </c>
      <c r="G6" t="inlineStr">
        <is>
          <t>Enterprise value divided by base EBITDA TTM.</t>
        </is>
      </c>
    </row>
    <row r="7">
      <c r="A7" t="inlineStr">
        <is>
          <t>implied_ev_revenue</t>
        </is>
      </c>
      <c r="B7" s="550">
        <f>IF('Valuation'!N208="","",'Valuation'!N208)</f>
        <v/>
      </c>
      <c r="C7" t="inlineStr">
        <is>
          <t>x</t>
        </is>
      </c>
      <c r="D7">
        <f>IF(AsOfQuarter="","",AsOfQuarter)</f>
        <v/>
      </c>
      <c r="E7" t="inlineStr">
        <is>
          <t>formula:'Valuation'!N208</t>
        </is>
      </c>
      <c r="F7">
        <f>IF(B7="","unavailable","calculated")</f>
        <v/>
      </c>
      <c r="G7" t="inlineStr">
        <is>
          <t>Enterprise value divided by revenue TTM.</t>
        </is>
      </c>
    </row>
    <row r="8">
      <c r="A8" t="inlineStr">
        <is>
          <t>equity_fcf_yield</t>
        </is>
      </c>
      <c r="B8" s="501">
        <f>IF(Equity_FCF_Yield="","",Equity_FCF_Yield)</f>
        <v/>
      </c>
      <c r="C8" t="inlineStr">
        <is>
          <t>%</t>
        </is>
      </c>
      <c r="D8">
        <f>IF(AsOfQuarter="","",AsOfQuarter)</f>
        <v/>
      </c>
      <c r="E8" t="inlineStr">
        <is>
          <t>formula:Equity_FCF_Yield</t>
        </is>
      </c>
      <c r="F8">
        <f>IF(B8="","unavailable","calculated")</f>
        <v/>
      </c>
      <c r="G8" t="inlineStr">
        <is>
          <t>FCF TTM divided by market capitalization.</t>
        </is>
      </c>
    </row>
    <row r="9">
      <c r="A9" t="inlineStr">
        <is>
          <t>dcf_enterprise_value</t>
        </is>
      </c>
      <c r="B9" s="506">
        <f>IF(DCF_EV="","",DCF_EV)</f>
        <v/>
      </c>
      <c r="C9" t="inlineStr">
        <is>
          <t>$m</t>
        </is>
      </c>
      <c r="D9">
        <f>IF(AsOfQuarter="","",AsOfQuarter)</f>
        <v/>
      </c>
      <c r="E9" t="inlineStr">
        <is>
          <t>formula:DCF_EV</t>
        </is>
      </c>
      <c r="F9">
        <f>IF(B9="","unavailable","calculated")</f>
        <v/>
      </c>
      <c r="G9" t="inlineStr">
        <is>
          <t>DCF enterprise value from explicit user assumptions.</t>
        </is>
      </c>
    </row>
    <row r="10">
      <c r="A10" t="inlineStr">
        <is>
          <t>dcf_implied_price</t>
        </is>
      </c>
      <c r="B10" s="508">
        <f>IF(DCF_ImpliedPrice="","",DCF_ImpliedPrice)</f>
        <v/>
      </c>
      <c r="C10" t="inlineStr">
        <is>
          <t>$/share</t>
        </is>
      </c>
      <c r="D10">
        <f>IF(AsOfQuarter="","",AsOfQuarter)</f>
        <v/>
      </c>
      <c r="E10" t="inlineStr">
        <is>
          <t>formula:DCF_ImpliedPrice</t>
        </is>
      </c>
      <c r="F10">
        <f>IF(B10="","unavailable","calculated")</f>
        <v/>
      </c>
      <c r="G10" t="inlineStr">
        <is>
          <t>DCF equity value divided by the selected share denominator.</t>
        </is>
      </c>
    </row>
    <row r="11">
      <c r="A11" t="inlineStr">
        <is>
          <t>scenario_revenue</t>
        </is>
      </c>
      <c r="B11" s="506">
        <f>IF(ScenarioRevenue="","",ScenarioRevenue)</f>
        <v/>
      </c>
      <c r="C11" t="inlineStr">
        <is>
          <t>$m</t>
        </is>
      </c>
      <c r="D11">
        <f>IF(AsOfQuarter="","",AsOfQuarter)</f>
        <v/>
      </c>
      <c r="E11" t="inlineStr">
        <is>
          <t>formula:ScenarioRevenue</t>
        </is>
      </c>
      <c r="F11">
        <f>IF(B11="","unavailable","calculated")</f>
        <v/>
      </c>
      <c r="G11" t="inlineStr">
        <is>
          <t>Revenue under the selected typed scenario.</t>
        </is>
      </c>
    </row>
    <row r="12">
      <c r="A12" t="inlineStr">
        <is>
          <t>scenario_base_ebitda</t>
        </is>
      </c>
      <c r="B12" s="506">
        <f>IF(ScenarioBaseEBITDA="","",ScenarioBaseEBITDA)</f>
        <v/>
      </c>
      <c r="C12" t="inlineStr">
        <is>
          <t>$m</t>
        </is>
      </c>
      <c r="D12">
        <f>IF(AsOfQuarter="","",AsOfQuarter)</f>
        <v/>
      </c>
      <c r="E12" t="inlineStr">
        <is>
          <t>formula:ScenarioBaseEBITDA</t>
        </is>
      </c>
      <c r="F12">
        <f>IF(B12="","unavailable","calculated")</f>
        <v/>
      </c>
      <c r="G12" t="inlineStr">
        <is>
          <t>Base EBITDA under the selected typed scenario.</t>
        </is>
      </c>
    </row>
    <row r="13">
      <c r="A13" t="inlineStr">
        <is>
          <t>scenario_adjusted_ebitda</t>
        </is>
      </c>
      <c r="B13" s="506">
        <f>IF(ScenarioAdjustedEBITDA="","",ScenarioAdjustedEBITDA)</f>
        <v/>
      </c>
      <c r="C13" t="inlineStr">
        <is>
          <t>$m</t>
        </is>
      </c>
      <c r="D13">
        <f>IF(AsOfQuarter="","",AsOfQuarter)</f>
        <v/>
      </c>
      <c r="E13" t="inlineStr">
        <is>
          <t>formula:ScenarioAdjustedEBITDA</t>
        </is>
      </c>
      <c r="F13">
        <f>IF(B13="","unavailable","calculated")</f>
        <v/>
      </c>
      <c r="G13" t="inlineStr">
        <is>
          <t>Adjusted EBITDA under the selected typed scenario.</t>
        </is>
      </c>
    </row>
    <row r="14">
      <c r="A14" t="inlineStr">
        <is>
          <t>scenario_fcf</t>
        </is>
      </c>
      <c r="B14" s="506">
        <f>IF(ScenarioFCF="","",ScenarioFCF)</f>
        <v/>
      </c>
      <c r="C14" t="inlineStr">
        <is>
          <t>$m</t>
        </is>
      </c>
      <c r="D14">
        <f>IF(AsOfQuarter="","",AsOfQuarter)</f>
        <v/>
      </c>
      <c r="E14" t="inlineStr">
        <is>
          <t>formula:ScenarioFCF</t>
        </is>
      </c>
      <c r="F14">
        <f>IF(B14="","unavailable","calculated")</f>
        <v/>
      </c>
      <c r="G14" t="inlineStr">
        <is>
          <t>FCF under explicit bridge and cash classifications.</t>
        </is>
      </c>
    </row>
    <row r="15">
      <c r="A15" t="inlineStr">
        <is>
          <t>scenario_shares</t>
        </is>
      </c>
      <c r="B15" s="551">
        <f>IF(ScenarioShares="","",ScenarioShares)</f>
        <v/>
      </c>
      <c r="C15" t="inlineStr">
        <is>
          <t>m shares</t>
        </is>
      </c>
      <c r="D15">
        <f>IF(AsOfQuarter="","",AsOfQuarter)</f>
        <v/>
      </c>
      <c r="E15" t="inlineStr">
        <is>
          <t>formula:ScenarioShares</t>
        </is>
      </c>
      <c r="F15">
        <f>IF(B15="","unavailable","calculated")</f>
        <v/>
      </c>
      <c r="G15" t="inlineStr">
        <is>
          <t>Selected base shares less repurchased shares plus issuance.</t>
        </is>
      </c>
    </row>
    <row r="16">
      <c r="A16" t="inlineStr">
        <is>
          <t>scenario_net_debt</t>
        </is>
      </c>
      <c r="B16" s="506">
        <f>IF(ScenarioNetDebt="","",ScenarioNetDebt)</f>
        <v/>
      </c>
      <c r="C16" t="inlineStr">
        <is>
          <t>$m</t>
        </is>
      </c>
      <c r="D16">
        <f>IF(AsOfQuarter="","",AsOfQuarter)</f>
        <v/>
      </c>
      <c r="E16" t="inlineStr">
        <is>
          <t>formula:ScenarioNetDebt</t>
        </is>
      </c>
      <c r="F16">
        <f>IF(B16="","unavailable","calculated")</f>
        <v/>
      </c>
      <c r="G16" t="inlineStr">
        <is>
          <t>Available net debt plus buyback cash less debt paydown.</t>
        </is>
      </c>
    </row>
    <row r="17">
      <c r="A17" t="inlineStr">
        <is>
          <t>scenario_eps</t>
        </is>
      </c>
      <c r="B17" s="532">
        <f>IF(ScenarioEPS="","",ScenarioEPS)</f>
        <v/>
      </c>
      <c r="C17" t="inlineStr">
        <is>
          <t>$/share</t>
        </is>
      </c>
      <c r="D17">
        <f>IF(AsOfQuarter="","",AsOfQuarter)</f>
        <v/>
      </c>
      <c r="E17" t="inlineStr">
        <is>
          <t>formula:ScenarioEPS</t>
        </is>
      </c>
      <c r="F17">
        <f>IF(B17="","unavailable","calculated")</f>
        <v/>
      </c>
      <c r="G17" t="inlineStr">
        <is>
          <t>Scenario net income divided by scenario shares.</t>
        </is>
      </c>
    </row>
    <row r="18">
      <c r="A18" t="inlineStr">
        <is>
          <t>scenario_enterprise_value</t>
        </is>
      </c>
      <c r="B18" s="506">
        <f>IF(ScenarioEV="","",ScenarioEV)</f>
        <v/>
      </c>
      <c r="C18" t="inlineStr">
        <is>
          <t>$m</t>
        </is>
      </c>
      <c r="D18">
        <f>IF(AsOfQuarter="","",AsOfQuarter)</f>
        <v/>
      </c>
      <c r="E18" t="inlineStr">
        <is>
          <t>formula:ScenarioEV</t>
        </is>
      </c>
      <c r="F18">
        <f>IF(B18="","unavailable","calculated")</f>
        <v/>
      </c>
      <c r="G18" t="inlineStr">
        <is>
          <t>Scenario adjusted EBITDA multiplied by the explicit target multiple.</t>
        </is>
      </c>
    </row>
    <row r="19">
      <c r="A19" t="inlineStr">
        <is>
          <t>scenario_implied_price</t>
        </is>
      </c>
      <c r="B19" s="508">
        <f>IF(ScenarioImpliedPrice="","",ScenarioImpliedPrice)</f>
        <v/>
      </c>
      <c r="C19" t="inlineStr">
        <is>
          <t>$/share</t>
        </is>
      </c>
      <c r="D19">
        <f>IF(AsOfQuarter="","",AsOfQuarter)</f>
        <v/>
      </c>
      <c r="E19" t="inlineStr">
        <is>
          <t>formula:ScenarioImpliedPrice</t>
        </is>
      </c>
      <c r="F19">
        <f>IF(B19="","unavailable","calculated")</f>
        <v/>
      </c>
      <c r="G19" t="inlineStr">
        <is>
          <t>Scenario equity value divided by scenario shares.</t>
        </is>
      </c>
    </row>
    <row r="20">
      <c r="A20" t="inlineStr">
        <is>
          <t>scenario_upside</t>
        </is>
      </c>
      <c r="B20" s="536">
        <f>IF(ScenarioUpside="","",ScenarioUpside)</f>
        <v/>
      </c>
      <c r="C20" t="inlineStr">
        <is>
          <t>%</t>
        </is>
      </c>
      <c r="D20">
        <f>IF(AsOfQuarter="","",AsOfQuarter)</f>
        <v/>
      </c>
      <c r="E20" t="inlineStr">
        <is>
          <t>formula:ScenarioUpside</t>
        </is>
      </c>
      <c r="F20">
        <f>IF(B20="","unavailable","calculated")</f>
        <v/>
      </c>
      <c r="G20" t="inlineStr">
        <is>
          <t>Scenario implied price relative to current price.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9" t="inlineStr">
        <is>
          <t>promise_key</t>
        </is>
      </c>
      <c r="B1" s="549" t="inlineStr">
        <is>
          <t>period</t>
        </is>
      </c>
      <c r="C1" s="549" t="inlineStr">
        <is>
          <t>metric</t>
        </is>
      </c>
      <c r="D1" s="549" t="inlineStr">
        <is>
          <t>evidence</t>
        </is>
      </c>
      <c r="E1" s="549" t="inlineStr">
        <is>
          <t>source_ref</t>
        </is>
      </c>
      <c r="F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9" t="inlineStr">
        <is>
          <t>period</t>
        </is>
      </c>
      <c r="B1" s="549" t="inlineStr">
        <is>
          <t>metric</t>
        </is>
      </c>
      <c r="C1" s="549" t="inlineStr">
        <is>
          <t>previous_guide</t>
        </is>
      </c>
      <c r="D1" s="549" t="inlineStr">
        <is>
          <t>current_guide</t>
        </is>
      </c>
      <c r="E1" s="549" t="inlineStr">
        <is>
          <t>actual</t>
        </is>
      </c>
      <c r="F1" s="549" t="inlineStr">
        <is>
          <t>status</t>
        </is>
      </c>
      <c r="G1" s="549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9" t="inlineStr">
        <is>
          <t>metric</t>
        </is>
      </c>
      <c r="B1" s="549" t="inlineStr">
        <is>
          <t>horizon</t>
        </is>
      </c>
      <c r="C1" s="549" t="inlineStr">
        <is>
          <t>period</t>
        </is>
      </c>
      <c r="D1" s="549" t="inlineStr">
        <is>
          <t>value</t>
        </is>
      </c>
      <c r="E1" s="549" t="inlineStr">
        <is>
          <t>unit</t>
        </is>
      </c>
      <c r="F1" s="549" t="inlineStr">
        <is>
          <t>status</t>
        </is>
      </c>
      <c r="G1" s="549" t="inlineStr">
        <is>
          <t>source_ref</t>
        </is>
      </c>
      <c r="H1" s="549" t="inlineStr">
        <is>
          <t>notes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9" t="inlineStr">
        <is>
          <t>period</t>
        </is>
      </c>
      <c r="B1" s="549" t="inlineStr">
        <is>
          <t>period_ordinal</t>
        </is>
      </c>
      <c r="C1" s="549" t="inlineStr">
        <is>
          <t>metric</t>
        </is>
      </c>
      <c r="D1" s="549" t="inlineStr">
        <is>
          <t>value</t>
        </is>
      </c>
      <c r="E1" s="549" t="inlineStr">
        <is>
          <t>unit</t>
        </is>
      </c>
      <c r="F1" s="549" t="inlineStr">
        <is>
          <t>source_ref</t>
        </is>
      </c>
      <c r="G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9" t="inlineStr">
        <is>
          <t>period</t>
        </is>
      </c>
      <c r="B1" s="549" t="inlineStr">
        <is>
          <t>topic</t>
        </is>
      </c>
      <c r="C1" s="549" t="inlineStr">
        <is>
          <t>metric</t>
        </is>
      </c>
      <c r="D1" s="549" t="inlineStr">
        <is>
          <t>value</t>
        </is>
      </c>
      <c r="E1" s="549" t="inlineStr">
        <is>
          <t>unit</t>
        </is>
      </c>
      <c r="F1" s="549" t="inlineStr">
        <is>
          <t>source_ref</t>
        </is>
      </c>
      <c r="G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</cols>
  <sheetData>
    <row r="1" ht="20" customHeight="1">
      <c r="A1" s="549" t="inlineStr">
        <is>
          <t>period</t>
        </is>
      </c>
      <c r="B1" s="549" t="inlineStr">
        <is>
          <t>period_ordinal</t>
        </is>
      </c>
      <c r="C1" s="549" t="inlineStr">
        <is>
          <t>period_type</t>
        </is>
      </c>
      <c r="D1" s="549" t="inlineStr">
        <is>
          <t>fiscal_year</t>
        </is>
      </c>
      <c r="E1" s="549" t="inlineStr">
        <is>
          <t>fiscal_quarter</t>
        </is>
      </c>
      <c r="F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3" customWidth="1" min="12" max="12"/>
    <col width="12" customWidth="1" min="13" max="13"/>
  </cols>
  <sheetData>
    <row r="1" ht="20" customHeight="1">
      <c r="A1" s="549" t="inlineStr">
        <is>
          <t>display_rank</t>
        </is>
      </c>
      <c r="B1" s="549" t="inlineStr">
        <is>
          <t>candidate_key</t>
        </is>
      </c>
      <c r="C1" s="549" t="inlineStr">
        <is>
          <t>signal_id</t>
        </is>
      </c>
      <c r="D1" s="549" t="inlineStr">
        <is>
          <t>display_name</t>
        </is>
      </c>
      <c r="E1" s="549" t="inlineStr">
        <is>
          <t>score</t>
        </is>
      </c>
      <c r="F1" s="549" t="inlineStr">
        <is>
          <t>triggered</t>
        </is>
      </c>
      <c r="G1" s="549" t="inlineStr">
        <is>
          <t>state</t>
        </is>
      </c>
      <c r="H1" s="549" t="inlineStr">
        <is>
          <t>severity</t>
        </is>
      </c>
      <c r="I1" s="549" t="inlineStr">
        <is>
          <t>as_of_period</t>
        </is>
      </c>
      <c r="J1" s="549" t="inlineStr">
        <is>
          <t>reason</t>
        </is>
      </c>
      <c r="K1" s="549" t="inlineStr">
        <is>
          <t>evidence_ids</t>
        </is>
      </c>
      <c r="L1" s="549" t="inlineStr">
        <is>
          <t>source_refs</t>
        </is>
      </c>
      <c r="M1" s="549" t="inlineStr">
        <is>
          <t>audit_id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20" customWidth="1" min="7" max="7"/>
    <col width="16" customWidth="1" min="8" max="8"/>
    <col width="28" customWidth="1" min="9" max="9"/>
    <col width="19" customWidth="1" min="10" max="10"/>
    <col width="12" customWidth="1" min="11" max="11"/>
    <col width="12" customWidth="1" min="12" max="12"/>
    <col width="14" customWidth="1" min="13" max="13"/>
    <col width="13" customWidth="1" min="14" max="14"/>
    <col width="22" customWidth="1" min="15" max="15"/>
    <col width="23" customWidth="1" min="16" max="16"/>
    <col width="17" customWidth="1" min="17" max="17"/>
    <col width="18" customWidth="1" min="18" max="18"/>
    <col width="22" customWidth="1" min="19" max="19"/>
    <col width="18" customWidth="1" min="20" max="20"/>
    <col width="15" customWidth="1" min="21" max="21"/>
    <col width="20" customWidth="1" min="22" max="22"/>
  </cols>
  <sheetData>
    <row r="1" ht="20" customHeight="1">
      <c r="A1" s="549" t="inlineStr">
        <is>
          <t>candidate_key</t>
        </is>
      </c>
      <c r="B1" s="549" t="inlineStr">
        <is>
          <t>signal_id</t>
        </is>
      </c>
      <c r="C1" s="549" t="inlineStr">
        <is>
          <t>display_name</t>
        </is>
      </c>
      <c r="D1" s="549" t="inlineStr">
        <is>
          <t>profile_id</t>
        </is>
      </c>
      <c r="E1" s="549" t="inlineStr">
        <is>
          <t>as_of_period</t>
        </is>
      </c>
      <c r="F1" s="549" t="inlineStr">
        <is>
          <t>expected_state</t>
        </is>
      </c>
      <c r="G1" s="549" t="inlineStr">
        <is>
          <t>expected_triggered</t>
        </is>
      </c>
      <c r="H1" s="549" t="inlineStr">
        <is>
          <t>expected_score</t>
        </is>
      </c>
      <c r="I1" s="549" t="inlineStr">
        <is>
          <t>expected_score_denominator</t>
        </is>
      </c>
      <c r="J1" s="549" t="inlineStr">
        <is>
          <t>expected_severity</t>
        </is>
      </c>
      <c r="K1" s="549" t="inlineStr">
        <is>
          <t>priority</t>
        </is>
      </c>
      <c r="L1" s="549" t="inlineStr">
        <is>
          <t>reasons</t>
        </is>
      </c>
      <c r="M1" s="549" t="inlineStr">
        <is>
          <t>evidence_ids</t>
        </is>
      </c>
      <c r="N1" s="549" t="inlineStr">
        <is>
          <t>source_refs</t>
        </is>
      </c>
      <c r="O1" s="549" t="inlineStr">
        <is>
          <t>resolved_metric_keys</t>
        </is>
      </c>
      <c r="P1" s="549" t="inlineStr">
        <is>
          <t>recompute_record_keys</t>
        </is>
      </c>
      <c r="Q1" s="549" t="inlineStr">
        <is>
          <t>module_eligible</t>
        </is>
      </c>
      <c r="R1" s="549" t="inlineStr">
        <is>
          <t>recomputed_state</t>
        </is>
      </c>
      <c r="S1" s="549" t="inlineStr">
        <is>
          <t>recomputed_triggered</t>
        </is>
      </c>
      <c r="T1" s="549" t="inlineStr">
        <is>
          <t>recomputed_score</t>
        </is>
      </c>
      <c r="U1" s="549" t="inlineStr">
        <is>
          <t>parity_status</t>
        </is>
      </c>
      <c r="V1" s="549" t="inlineStr">
        <is>
          <t>discrepancy_reason</t>
        </is>
      </c>
    </row>
    <row r="2">
      <c r="R2">
        <f>IF($A2="","",IFERROR(INDEX('Hidden_Value_Recompute'!$AV$2:$AV$8,MATCH($A2,'Hidden_Value_Recompute'!$AF$2:$AF$8,0)),""))</f>
        <v/>
      </c>
      <c r="S2">
        <f>IF($A2="","",IFERROR(INDEX('Hidden_Value_Recompute'!$AW$2:$AW$8,MATCH($A2,'Hidden_Value_Recompute'!$AF$2:$AF$8,0)),""))</f>
        <v/>
      </c>
      <c r="T2" s="552">
        <f>IF($A2="","",IFERROR(INDEX('Hidden_Value_Recompute'!$AU$2:$AU$8,MATCH($A2,'Hidden_Value_Recompute'!$AF$2:$AF$8,0)),""))</f>
        <v/>
      </c>
      <c r="U2">
        <f>IF($A2="","",IFERROR(INDEX('Hidden_Value_Recompute'!$AX$2:$AX$8,MATCH($A2,'Hidden_Value_Recompute'!$AF$2:$AF$8,0)),"FAIL"))</f>
        <v/>
      </c>
      <c r="V2">
        <f>IF($A2="","",IF($U2="PASS","","hidden_value_recompute_mismatch"))</f>
        <v/>
      </c>
    </row>
    <row r="3">
      <c r="R3">
        <f>IF($A3="","",IFERROR(INDEX('Hidden_Value_Recompute'!$AV$2:$AV$8,MATCH($A3,'Hidden_Value_Recompute'!$AF$2:$AF$8,0)),""))</f>
        <v/>
      </c>
      <c r="S3">
        <f>IF($A3="","",IFERROR(INDEX('Hidden_Value_Recompute'!$AW$2:$AW$8,MATCH($A3,'Hidden_Value_Recompute'!$AF$2:$AF$8,0)),""))</f>
        <v/>
      </c>
      <c r="T3" s="552">
        <f>IF($A3="","",IFERROR(INDEX('Hidden_Value_Recompute'!$AU$2:$AU$8,MATCH($A3,'Hidden_Value_Recompute'!$AF$2:$AF$8,0)),""))</f>
        <v/>
      </c>
      <c r="U3">
        <f>IF($A3="","",IFERROR(INDEX('Hidden_Value_Recompute'!$AX$2:$AX$8,MATCH($A3,'Hidden_Value_Recompute'!$AF$2:$AF$8,0)),"FAIL"))</f>
        <v/>
      </c>
      <c r="V3">
        <f>IF($A3="","",IF($U3="PASS","","hidden_value_recompute_mismatch"))</f>
        <v/>
      </c>
    </row>
    <row r="4">
      <c r="R4">
        <f>IF($A4="","",IFERROR(INDEX('Hidden_Value_Recompute'!$AV$2:$AV$8,MATCH($A4,'Hidden_Value_Recompute'!$AF$2:$AF$8,0)),""))</f>
        <v/>
      </c>
      <c r="S4">
        <f>IF($A4="","",IFERROR(INDEX('Hidden_Value_Recompute'!$AW$2:$AW$8,MATCH($A4,'Hidden_Value_Recompute'!$AF$2:$AF$8,0)),""))</f>
        <v/>
      </c>
      <c r="T4" s="552">
        <f>IF($A4="","",IFERROR(INDEX('Hidden_Value_Recompute'!$AU$2:$AU$8,MATCH($A4,'Hidden_Value_Recompute'!$AF$2:$AF$8,0)),""))</f>
        <v/>
      </c>
      <c r="U4">
        <f>IF($A4="","",IFERROR(INDEX('Hidden_Value_Recompute'!$AX$2:$AX$8,MATCH($A4,'Hidden_Value_Recompute'!$AF$2:$AF$8,0)),"FAIL"))</f>
        <v/>
      </c>
      <c r="V4">
        <f>IF($A4="","",IF($U4="PASS","","hidden_value_recompute_mismatch"))</f>
        <v/>
      </c>
    </row>
    <row r="5">
      <c r="R5">
        <f>IF($A5="","",IFERROR(INDEX('Hidden_Value_Recompute'!$AV$2:$AV$8,MATCH($A5,'Hidden_Value_Recompute'!$AF$2:$AF$8,0)),""))</f>
        <v/>
      </c>
      <c r="S5">
        <f>IF($A5="","",IFERROR(INDEX('Hidden_Value_Recompute'!$AW$2:$AW$8,MATCH($A5,'Hidden_Value_Recompute'!$AF$2:$AF$8,0)),""))</f>
        <v/>
      </c>
      <c r="T5" s="552">
        <f>IF($A5="","",IFERROR(INDEX('Hidden_Value_Recompute'!$AU$2:$AU$8,MATCH($A5,'Hidden_Value_Recompute'!$AF$2:$AF$8,0)),""))</f>
        <v/>
      </c>
      <c r="U5">
        <f>IF($A5="","",IFERROR(INDEX('Hidden_Value_Recompute'!$AX$2:$AX$8,MATCH($A5,'Hidden_Value_Recompute'!$AF$2:$AF$8,0)),"FAIL"))</f>
        <v/>
      </c>
      <c r="V5">
        <f>IF($A5="","",IF($U5="PASS","","hidden_value_recompute_mismatch"))</f>
        <v/>
      </c>
    </row>
    <row r="6">
      <c r="R6">
        <f>IF($A6="","",IFERROR(INDEX('Hidden_Value_Recompute'!$AV$2:$AV$8,MATCH($A6,'Hidden_Value_Recompute'!$AF$2:$AF$8,0)),""))</f>
        <v/>
      </c>
      <c r="S6">
        <f>IF($A6="","",IFERROR(INDEX('Hidden_Value_Recompute'!$AW$2:$AW$8,MATCH($A6,'Hidden_Value_Recompute'!$AF$2:$AF$8,0)),""))</f>
        <v/>
      </c>
      <c r="T6" s="552">
        <f>IF($A6="","",IFERROR(INDEX('Hidden_Value_Recompute'!$AU$2:$AU$8,MATCH($A6,'Hidden_Value_Recompute'!$AF$2:$AF$8,0)),""))</f>
        <v/>
      </c>
      <c r="U6">
        <f>IF($A6="","",IFERROR(INDEX('Hidden_Value_Recompute'!$AX$2:$AX$8,MATCH($A6,'Hidden_Value_Recompute'!$AF$2:$AF$8,0)),"FAIL"))</f>
        <v/>
      </c>
      <c r="V6">
        <f>IF($A6="","",IF($U6="PASS","","hidden_value_recompute_mismatch"))</f>
        <v/>
      </c>
    </row>
    <row r="7">
      <c r="R7">
        <f>IF($A7="","",IFERROR(INDEX('Hidden_Value_Recompute'!$AV$2:$AV$8,MATCH($A7,'Hidden_Value_Recompute'!$AF$2:$AF$8,0)),""))</f>
        <v/>
      </c>
      <c r="S7">
        <f>IF($A7="","",IFERROR(INDEX('Hidden_Value_Recompute'!$AW$2:$AW$8,MATCH($A7,'Hidden_Value_Recompute'!$AF$2:$AF$8,0)),""))</f>
        <v/>
      </c>
      <c r="T7" s="552">
        <f>IF($A7="","",IFERROR(INDEX('Hidden_Value_Recompute'!$AU$2:$AU$8,MATCH($A7,'Hidden_Value_Recompute'!$AF$2:$AF$8,0)),""))</f>
        <v/>
      </c>
      <c r="U7">
        <f>IF($A7="","",IFERROR(INDEX('Hidden_Value_Recompute'!$AX$2:$AX$8,MATCH($A7,'Hidden_Value_Recompute'!$AF$2:$AF$8,0)),"FAIL"))</f>
        <v/>
      </c>
      <c r="V7">
        <f>IF($A7="","",IF($U7="PASS","","hidden_value_recompute_mismatch"))</f>
        <v/>
      </c>
    </row>
    <row r="8">
      <c r="R8">
        <f>IF($A8="","",IFERROR(INDEX('Hidden_Value_Recompute'!$AV$2:$AV$8,MATCH($A8,'Hidden_Value_Recompute'!$AF$2:$AF$8,0)),""))</f>
        <v/>
      </c>
      <c r="S8">
        <f>IF($A8="","",IFERROR(INDEX('Hidden_Value_Recompute'!$AW$2:$AW$8,MATCH($A8,'Hidden_Value_Recompute'!$AF$2:$AF$8,0)),""))</f>
        <v/>
      </c>
      <c r="T8" s="552">
        <f>IF($A8="","",IFERROR(INDEX('Hidden_Value_Recompute'!$AU$2:$AU$8,MATCH($A8,'Hidden_Value_Recompute'!$AF$2:$AF$8,0)),""))</f>
        <v/>
      </c>
      <c r="U8">
        <f>IF($A8="","",IFERROR(INDEX('Hidden_Value_Recompute'!$AX$2:$AX$8,MATCH($A8,'Hidden_Value_Recompute'!$AF$2:$AF$8,0)),"FAIL"))</f>
        <v/>
      </c>
      <c r="V8">
        <f>IF($A8="","",IF($U8="PASS","","hidden_value_recompute_mismatch"))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X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  <col width="12" customWidth="1" min="10" max="10"/>
    <col width="20" customWidth="1" min="11" max="11"/>
    <col width="12" customWidth="1" min="12" max="12"/>
    <col width="25" customWidth="1" min="13" max="13"/>
    <col width="25" customWidth="1" min="14" max="14"/>
    <col width="20" customWidth="1" min="15" max="15"/>
    <col width="20" customWidth="1" min="16" max="16"/>
    <col width="16" customWidth="1" min="17" max="17"/>
    <col width="21" customWidth="1" min="18" max="18"/>
    <col width="17" customWidth="1" min="19" max="19"/>
    <col width="26" customWidth="1" min="20" max="20"/>
    <col width="27" customWidth="1" min="21" max="21"/>
    <col width="25" customWidth="1" min="22" max="22"/>
    <col width="17" customWidth="1" min="23" max="23"/>
    <col width="18" customWidth="1" min="24" max="24"/>
    <col width="16" customWidth="1" min="25" max="25"/>
    <col width="19" customWidth="1" min="26" max="26"/>
    <col width="28" customWidth="1" min="27" max="27"/>
    <col width="29" customWidth="1" min="28" max="28"/>
    <col width="27" customWidth="1" min="29" max="29"/>
    <col width="12" customWidth="1" min="30" max="30"/>
    <col width="12" customWidth="1" min="31" max="31"/>
    <col width="23" customWidth="1" min="32" max="32"/>
    <col width="19" customWidth="1" min="33" max="33"/>
    <col width="18" customWidth="1" min="34" max="34"/>
    <col width="14" customWidth="1" min="35" max="35"/>
    <col width="16" customWidth="1" min="36" max="36"/>
    <col width="28" customWidth="1" min="37" max="37"/>
    <col width="31" customWidth="1" min="38" max="38"/>
    <col width="16" customWidth="1" min="39" max="39"/>
    <col width="20" customWidth="1" min="40" max="40"/>
    <col width="16" customWidth="1" min="41" max="41"/>
    <col width="28" customWidth="1" min="42" max="42"/>
    <col width="24" customWidth="1" min="43" max="43"/>
    <col width="20" customWidth="1" min="44" max="44"/>
    <col width="22" customWidth="1" min="45" max="45"/>
    <col width="30" customWidth="1" min="46" max="46"/>
    <col width="18" customWidth="1" min="47" max="47"/>
    <col width="18" customWidth="1" min="48" max="48"/>
    <col width="22" customWidth="1" min="49" max="49"/>
    <col width="18" customWidth="1" min="50" max="50"/>
  </cols>
  <sheetData>
    <row r="1" ht="20" customHeight="1">
      <c r="A1" s="549" t="inlineStr">
        <is>
          <t>record_key</t>
        </is>
      </c>
      <c r="B1" s="549" t="inlineStr">
        <is>
          <t>candidate_key</t>
        </is>
      </c>
      <c r="C1" s="549" t="inlineStr">
        <is>
          <t>signal_id</t>
        </is>
      </c>
      <c r="D1" s="549" t="inlineStr">
        <is>
          <t>record_type</t>
        </is>
      </c>
      <c r="E1" s="549" t="inlineStr">
        <is>
          <t>stage</t>
        </is>
      </c>
      <c r="F1" s="549" t="inlineStr">
        <is>
          <t>item_id</t>
        </is>
      </c>
      <c r="G1" s="549" t="inlineStr">
        <is>
          <t>metric_key</t>
        </is>
      </c>
      <c r="H1" s="549" t="inlineStr">
        <is>
          <t>operator</t>
        </is>
      </c>
      <c r="I1" s="549" t="inlineStr">
        <is>
          <t>right_metric_key</t>
        </is>
      </c>
      <c r="J1" s="549" t="inlineStr">
        <is>
          <t>threshold</t>
        </is>
      </c>
      <c r="K1" s="549" t="inlineStr">
        <is>
          <t>required_component</t>
        </is>
      </c>
      <c r="L1" s="549" t="inlineStr">
        <is>
          <t>weight</t>
        </is>
      </c>
      <c r="M1" s="549" t="inlineStr">
        <is>
          <t>normalization_direction</t>
        </is>
      </c>
      <c r="N1" s="549" t="inlineStr">
        <is>
          <t>normalization_threshold</t>
        </is>
      </c>
      <c r="O1" s="549" t="inlineStr">
        <is>
          <t>normalization_span</t>
        </is>
      </c>
      <c r="P1" s="549" t="inlineStr">
        <is>
          <t>normalization_base</t>
        </is>
      </c>
      <c r="Q1" s="549" t="inlineStr">
        <is>
          <t>expected_value</t>
        </is>
      </c>
      <c r="R1" s="549" t="inlineStr">
        <is>
          <t>expected_comparison</t>
        </is>
      </c>
      <c r="S1" s="549" t="inlineStr">
        <is>
          <t>expected_passed</t>
        </is>
      </c>
      <c r="T1" s="549" t="inlineStr">
        <is>
          <t>expected_included_weight</t>
        </is>
      </c>
      <c r="U1" s="549" t="inlineStr">
        <is>
          <t>expected_normalized_score</t>
        </is>
      </c>
      <c r="V1" s="549" t="inlineStr">
        <is>
          <t>expected_weighted_score</t>
        </is>
      </c>
      <c r="W1" s="549" t="inlineStr">
        <is>
          <t>expected_status</t>
        </is>
      </c>
      <c r="X1" s="549" t="inlineStr">
        <is>
          <t>recomputed_value</t>
        </is>
      </c>
      <c r="Y1" s="549" t="inlineStr">
        <is>
          <t>recomputed_aux</t>
        </is>
      </c>
      <c r="Z1" s="549" t="inlineStr">
        <is>
          <t>recomputed_result</t>
        </is>
      </c>
      <c r="AA1" s="549" t="inlineStr">
        <is>
          <t>recomputed_included_weight</t>
        </is>
      </c>
      <c r="AB1" s="549" t="inlineStr">
        <is>
          <t>recomputed_normalized_score</t>
        </is>
      </c>
      <c r="AC1" s="549" t="inlineStr">
        <is>
          <t>recomputed_weighted_score</t>
        </is>
      </c>
      <c r="AD1" s="549" t="inlineStr">
        <is>
          <t>row_parity</t>
        </is>
      </c>
      <c r="AE1" s="549" t="inlineStr">
        <is>
          <t>reserved</t>
        </is>
      </c>
      <c r="AF1" s="549" t="inlineStr">
        <is>
          <t>summary_candidate_key</t>
        </is>
      </c>
      <c r="AG1" s="549" t="inlineStr">
        <is>
          <t>summary_signal_id</t>
        </is>
      </c>
      <c r="AH1" s="549" t="inlineStr">
        <is>
          <t>eligibility_mode</t>
        </is>
      </c>
      <c r="AI1" s="549" t="inlineStr">
        <is>
          <t>trigger_mode</t>
        </is>
      </c>
      <c r="AJ1" s="549" t="inlineStr">
        <is>
          <t>near_miss_mode</t>
        </is>
      </c>
      <c r="AK1" s="549" t="inlineStr">
        <is>
          <t>minimum_trigger_predicates</t>
        </is>
      </c>
      <c r="AL1" s="549" t="inlineStr">
        <is>
          <t>reweight_available_components</t>
        </is>
      </c>
      <c r="AM1" s="549" t="inlineStr">
        <is>
          <t>expected_state</t>
        </is>
      </c>
      <c r="AN1" s="549" t="inlineStr">
        <is>
          <t>expected_triggered</t>
        </is>
      </c>
      <c r="AO1" s="549" t="inlineStr">
        <is>
          <t>expected_score</t>
        </is>
      </c>
      <c r="AP1" s="549" t="inlineStr">
        <is>
          <t>expected_score_denominator</t>
        </is>
      </c>
      <c r="AQ1" s="549" t="inlineStr">
        <is>
          <t>recomputed_eligibility</t>
        </is>
      </c>
      <c r="AR1" s="549" t="inlineStr">
        <is>
          <t>recomputed_trigger</t>
        </is>
      </c>
      <c r="AS1" s="549" t="inlineStr">
        <is>
          <t>recomputed_near_miss</t>
        </is>
      </c>
      <c r="AT1" s="549" t="inlineStr">
        <is>
          <t>recomputed_score_denominator</t>
        </is>
      </c>
      <c r="AU1" s="549" t="inlineStr">
        <is>
          <t>recomputed_score</t>
        </is>
      </c>
      <c r="AV1" s="549" t="inlineStr">
        <is>
          <t>recomputed_state</t>
        </is>
      </c>
      <c r="AW1" s="549" t="inlineStr">
        <is>
          <t>recomputed_triggered</t>
        </is>
      </c>
      <c r="AX1" s="549" t="inlineStr">
        <is>
          <t>candidate_parity</t>
        </is>
      </c>
    </row>
    <row r="2">
      <c r="X2" s="553">
        <f>IF(OR(IFERROR(INDEX(HV_Base_Status,MATCH($G2,HV_Base_MetricKey,0)),"")="source_backed",IFERROR(INDEX(HV_Base_Status,MATCH($G2,HV_Base_MetricKey,0)),"")="formula_calculated",IFERROR(INDEX(HV_Base_Status,MATCH($G2,HV_Base_MetricKey,0)),"")="derived_calculated"),IFERROR(INDEX(HV_Base_Value,MATCH($G2,HV_Base_MetricKey,0)),""),"")</f>
        <v/>
      </c>
      <c r="Y2">
        <f>IFERROR(INDEX(HV_Base_Status,MATCH($G2,HV_Base_MetricKey,0)),"")</f>
        <v/>
      </c>
      <c r="Z2">
        <f>IF($G2="","",AND(ISNUMBER($X2),OR($Y2="source_backed",$Y2="formula_calculated",$Y2="derived_calculated")))</f>
        <v/>
      </c>
      <c r="AA2">
        <f>""</f>
        <v/>
      </c>
      <c r="AB2">
        <f>""</f>
        <v/>
      </c>
      <c r="AC2">
        <f>""</f>
        <v/>
      </c>
      <c r="AD2">
        <f>IF(AND(IF(OR($X2="",$Q2=""),AND($X2="",$Q2=""),IF(AND(ISNUMBER($X2),ISNUMBER($Q2)),ABS($X2-$Q2)&lt;=1E-10,$X2=$Q2)),IF(OR($Y2="",$W2=""),AND($Y2="",$W2=""),IF(AND(ISNUMBER($Y2),ISNUMBER($W2)),ABS($Y2-$W2)&lt;=1E-10,$Y2=$W2)),IF(OR($Z2="",$S2=""),AND($Z2="",$S2=""),IF(AND(ISNUMBER($Z2),ISNUMBER($S2)),ABS($Z2-$S2)&lt;=1E-10,$Z2=$S2))),"PASS","FAIL")</f>
        <v/>
      </c>
      <c r="AF2">
        <f>IF('Hidden_Value_Audit'!A2="","",'Hidden_Value_Audit'!A2)</f>
        <v/>
      </c>
      <c r="AG2">
        <f>IF($AF2="","","A")</f>
        <v/>
      </c>
      <c r="AH2">
        <f>IF($AF2="","","all")</f>
        <v/>
      </c>
      <c r="AI2">
        <f>IF($AF2="","","all")</f>
        <v/>
      </c>
      <c r="AJ2">
        <f>IF($AF2="","","all")</f>
        <v/>
      </c>
      <c r="AK2">
        <f>IF($AF2="","",2)</f>
        <v/>
      </c>
      <c r="AL2">
        <f>IF($AF2="","",FALSE)</f>
        <v/>
      </c>
      <c r="AM2">
        <f>IF($AF2="","",'Hidden_Value_Audit'!F2)</f>
        <v/>
      </c>
      <c r="AN2">
        <f>IF($AF2="","",'Hidden_Value_Audit'!G2)</f>
        <v/>
      </c>
      <c r="AO2">
        <f>IF('Hidden_Value_Audit'!H2="","",'Hidden_Value_Audit'!H2)</f>
        <v/>
      </c>
      <c r="AP2">
        <f>IF($AF2="","",'Hidden_Value_Audit'!I2)</f>
        <v/>
      </c>
      <c r="AQ2">
        <f>IF($AF2="","",IF($AH2="all",AND(COUNTIFS($B$2:$B$92,$AF2,$D$2:$D$92,"predicate",$E$2:$E$92,"eligibility")&gt;0,COUNTIFS($B$2:$B$92,$AF2,$D$2:$D$92,"predicate",$E$2:$E$92,"eligibility",$Z$2:$Z$92,TRUE)=COUNTIFS($B$2:$B$92,$AF2,$D$2:$D$92,"predicate",$E$2:$E$92,"eligibility")),COUNTIFS($B$2:$B$92,$AF2,$D$2:$D$92,"predicate",$E$2:$E$92,"eligibility",$Z$2:$Z$92,TRUE)&gt;0))</f>
        <v/>
      </c>
      <c r="AR2">
        <f>IF($AF2="","",IF($AI2="all",AND(COUNTIFS($B$2:$B$92,$AF2,$D$2:$D$92,"predicate",$E$2:$E$92,"trigger")&gt;0,COUNTIFS($B$2:$B$92,$AF2,$D$2:$D$92,"predicate",$E$2:$E$92,"trigger",$Z$2:$Z$92,TRUE)=COUNTIFS($B$2:$B$92,$AF2,$D$2:$D$92,"predicate",$E$2:$E$92,"trigger")),COUNTIFS($B$2:$B$92,$AF2,$D$2:$D$92,"predicate",$E$2:$E$92,"trigger",$Z$2:$Z$92,TRUE)&gt;0))</f>
        <v/>
      </c>
      <c r="AS2">
        <f>IF($AF2="","",AND(IF($AJ2="all",AND(COUNTIFS($B$2:$B$92,$AF2,$D$2:$D$92,"predicate",$E$2:$E$92,"near_miss")&gt;0,COUNTIFS($B$2:$B$92,$AF2,$D$2:$D$92,"predicate",$E$2:$E$92,"near_miss",$Z$2:$Z$92,TRUE)=COUNTIFS($B$2:$B$92,$AF2,$D$2:$D$92,"predicate",$E$2:$E$92,"near_miss")),COUNTIFS($B$2:$B$92,$AF2,$D$2:$D$92,"predicate",$E$2:$E$92,"near_miss",$Z$2:$Z$92,TRUE)&gt;0),COUNTIFS($B$2:$B$92,$AF2,$D$2:$D$92,"predicate",$E$2:$E$92,"trigger",$Z$2:$Z$92,TRUE)&gt;=$AK2))</f>
        <v/>
      </c>
      <c r="AT2" s="553">
        <f>IF($AF2="","",SUMIFS($AA$2:$AA$92,$B$2:$B$92,$AF2,$D$2:$D$92,"score_component"))</f>
        <v/>
      </c>
      <c r="AU2" s="552">
        <f>IF($AF2="","",IF(OR(COUNTIFS($B$2:$B$92,$AF2,$D$2:$D$92,"score_component",$K$2:$K$92,TRUE,$Z$2:$Z$92,FALSE)&gt;0,$AT2&lt;=0,AND(NOT($AL2),ABS($AT2-100)&gt;1E-10)),"",IF(ABS(MAX(0,MIN(100,SUMIFS($AC$2:$AC$92,$B$2:$B$92,$AF2,$D$2:$D$92,"score_component")*100/$AT2))-INT(MAX(0,MIN(100,SUMIFS($AC$2:$AC$92,$B$2:$B$92,$AF2,$D$2:$D$92,"score_component")*100/$AT2)))-0.5)&lt;=1E-12,IF(MOD(INT(MAX(0,MIN(100,SUMIFS($AC$2:$AC$92,$B$2:$B$92,$AF2,$D$2:$D$92,"score_component")*100/$AT2))),2)=0,INT(MAX(0,MIN(100,SUMIFS($AC$2:$AC$92,$B$2:$B$92,$AF2,$D$2:$D$92,"score_component")*100/$AT2))),INT(MAX(0,MIN(100,SUMIFS($AC$2:$AC$92,$B$2:$B$92,$AF2,$D$2:$D$92,"score_component")*100/$AT2)))+1),ROUND(MAX(0,MIN(100,SUMIFS($AC$2:$AC$92,$B$2:$B$92,$AF2,$D$2:$D$92,"score_component")*100/$AT2)),0))))</f>
        <v/>
      </c>
      <c r="AV2">
        <f>IF($AF2="","",IF(NOT('Hidden_Value_Audit'!$Q2),"unavailable",IF(COUNTIFS($B$2:$B$92,$AF2,$D$2:$D$92,"required_metric",$Y$2:$Y$92,"invalid_input")&gt;0,"invalid_input",IF(COUNTIFS($B$2:$B$92,$AF2,$D$2:$D$92,"required_metric",$Y$2:$Y$92,"insufficient_evidence")&gt;0,"insufficient_evidence",IF(COUNTIFS($B$2:$B$92,$AF2,$D$2:$D$92,"required_metric",$Z$2:$Z$92,FALSE)&gt;0,"unavailable",IF(NOT($AQ2),"not_triggered",IF(COUNTIFS($B$2:$B$92,$AF2,$D$2:$D$92,"predicate",$E$2:$E$92,"trigger",$Z$2:$Z$92,"&lt;&gt;")=0,"insufficient_evidence",IF(AND($AR2,$AU2=""),"insufficient_evidence",IF($AR2,"triggered",IF($AS2,"near_miss","not_triggered"))))))))))</f>
        <v/>
      </c>
      <c r="AW2">
        <f>IF($AF2="","",$AV2="triggered")</f>
        <v/>
      </c>
      <c r="AX2">
        <f>IF($AF2="","",IF(AND(IF(OR($AV2="",$AM2=""),AND($AV2="",$AM2=""),IF(AND(ISNUMBER($AV2),ISNUMBER($AM2)),ABS($AV2-$AM2)&lt;=1E-10,$AV2=$AM2)),IF(OR($AW2="",$AN2=""),AND($AW2="",$AN2=""),IF(AND(ISNUMBER($AW2),ISNUMBER($AN2)),ABS($AW2-$AN2)&lt;=1E-10,$AW2=$AN2)),IF(OR($AU2="",$AO2=""),AND($AU2="",$AO2=""),IF(AND(ISNUMBER($AU2),ISNUMBER($AO2)),ABS($AU2-$AO2)&lt;=1E-10,$AU2=$AO2)),IF(OR($AT2="",$AP2=""),AND($AT2="",$AP2=""),IF(AND(ISNUMBER($AT2),ISNUMBER($AP2)),ABS($AT2-$AP2)&lt;=1E-10,$AT2=$AP2)),(COUNTIFS($B$2:$B$92,$AF2,$AD$2:$AD$92,"&lt;&gt;PASS")=0)),"PASS","FAIL"))</f>
        <v/>
      </c>
    </row>
    <row r="3">
      <c r="X3" s="553">
        <f>IF(OR(IFERROR(INDEX(HV_Base_Status,MATCH($G3,HV_Base_MetricKey,0)),"")="source_backed",IFERROR(INDEX(HV_Base_Status,MATCH($G3,HV_Base_MetricKey,0)),"")="formula_calculated",IFERROR(INDEX(HV_Base_Status,MATCH($G3,HV_Base_MetricKey,0)),"")="derived_calculated"),IFERROR(INDEX(HV_Base_Value,MATCH($G3,HV_Base_MetricKey,0)),""),"")</f>
        <v/>
      </c>
      <c r="Y3">
        <f>IFERROR(INDEX(HV_Base_Status,MATCH($G3,HV_Base_MetricKey,0)),"")</f>
        <v/>
      </c>
      <c r="Z3">
        <f>IF($G3="","",AND(ISNUMBER($X3),OR($Y3="source_backed",$Y3="formula_calculated",$Y3="derived_calculated")))</f>
        <v/>
      </c>
      <c r="AA3">
        <f>""</f>
        <v/>
      </c>
      <c r="AB3">
        <f>""</f>
        <v/>
      </c>
      <c r="AC3">
        <f>""</f>
        <v/>
      </c>
      <c r="AD3">
        <f>IF(AND(IF(OR($X3="",$Q3=""),AND($X3="",$Q3=""),IF(AND(ISNUMBER($X3),ISNUMBER($Q3)),ABS($X3-$Q3)&lt;=1E-10,$X3=$Q3)),IF(OR($Y3="",$W3=""),AND($Y3="",$W3=""),IF(AND(ISNUMBER($Y3),ISNUMBER($W3)),ABS($Y3-$W3)&lt;=1E-10,$Y3=$W3)),IF(OR($Z3="",$S3=""),AND($Z3="",$S3=""),IF(AND(ISNUMBER($Z3),ISNUMBER($S3)),ABS($Z3-$S3)&lt;=1E-10,$Z3=$S3))),"PASS","FAIL")</f>
        <v/>
      </c>
      <c r="AF3">
        <f>IF('Hidden_Value_Audit'!A3="","",'Hidden_Value_Audit'!A3)</f>
        <v/>
      </c>
      <c r="AG3">
        <f>IF($AF3="","","B")</f>
        <v/>
      </c>
      <c r="AH3">
        <f>IF($AF3="","","all")</f>
        <v/>
      </c>
      <c r="AI3">
        <f>IF($AF3="","","all")</f>
        <v/>
      </c>
      <c r="AJ3">
        <f>IF($AF3="","","all")</f>
        <v/>
      </c>
      <c r="AK3">
        <f>IF($AF3="","",0)</f>
        <v/>
      </c>
      <c r="AL3">
        <f>IF($AF3="","",FALSE)</f>
        <v/>
      </c>
      <c r="AM3">
        <f>IF($AF3="","",'Hidden_Value_Audit'!F3)</f>
        <v/>
      </c>
      <c r="AN3">
        <f>IF($AF3="","",'Hidden_Value_Audit'!G3)</f>
        <v/>
      </c>
      <c r="AO3">
        <f>IF('Hidden_Value_Audit'!H3="","",'Hidden_Value_Audit'!H3)</f>
        <v/>
      </c>
      <c r="AP3">
        <f>IF($AF3="","",'Hidden_Value_Audit'!I3)</f>
        <v/>
      </c>
      <c r="AQ3">
        <f>IF($AF3="","",IF($AH3="all",AND(COUNTIFS($B$2:$B$92,$AF3,$D$2:$D$92,"predicate",$E$2:$E$92,"eligibility")&gt;0,COUNTIFS($B$2:$B$92,$AF3,$D$2:$D$92,"predicate",$E$2:$E$92,"eligibility",$Z$2:$Z$92,TRUE)=COUNTIFS($B$2:$B$92,$AF3,$D$2:$D$92,"predicate",$E$2:$E$92,"eligibility")),COUNTIFS($B$2:$B$92,$AF3,$D$2:$D$92,"predicate",$E$2:$E$92,"eligibility",$Z$2:$Z$92,TRUE)&gt;0))</f>
        <v/>
      </c>
      <c r="AR3">
        <f>IF($AF3="","",IF($AI3="all",AND(COUNTIFS($B$2:$B$92,$AF3,$D$2:$D$92,"predicate",$E$2:$E$92,"trigger")&gt;0,COUNTIFS($B$2:$B$92,$AF3,$D$2:$D$92,"predicate",$E$2:$E$92,"trigger",$Z$2:$Z$92,TRUE)=COUNTIFS($B$2:$B$92,$AF3,$D$2:$D$92,"predicate",$E$2:$E$92,"trigger")),COUNTIFS($B$2:$B$92,$AF3,$D$2:$D$92,"predicate",$E$2:$E$92,"trigger",$Z$2:$Z$92,TRUE)&gt;0))</f>
        <v/>
      </c>
      <c r="AS3">
        <f>IF($AF3="","",AND(IF($AJ3="all",AND(COUNTIFS($B$2:$B$92,$AF3,$D$2:$D$92,"predicate",$E$2:$E$92,"near_miss")&gt;0,COUNTIFS($B$2:$B$92,$AF3,$D$2:$D$92,"predicate",$E$2:$E$92,"near_miss",$Z$2:$Z$92,TRUE)=COUNTIFS($B$2:$B$92,$AF3,$D$2:$D$92,"predicate",$E$2:$E$92,"near_miss")),COUNTIFS($B$2:$B$92,$AF3,$D$2:$D$92,"predicate",$E$2:$E$92,"near_miss",$Z$2:$Z$92,TRUE)&gt;0),COUNTIFS($B$2:$B$92,$AF3,$D$2:$D$92,"predicate",$E$2:$E$92,"trigger",$Z$2:$Z$92,TRUE)&gt;=$AK3))</f>
        <v/>
      </c>
      <c r="AT3" s="553">
        <f>IF($AF3="","",SUMIFS($AA$2:$AA$92,$B$2:$B$92,$AF3,$D$2:$D$92,"score_component"))</f>
        <v/>
      </c>
      <c r="AU3" s="552">
        <f>IF($AF3="","",IF(OR(COUNTIFS($B$2:$B$92,$AF3,$D$2:$D$92,"score_component",$K$2:$K$92,TRUE,$Z$2:$Z$92,FALSE)&gt;0,$AT3&lt;=0,AND(NOT($AL3),ABS($AT3-100)&gt;1E-10)),"",IF(ABS(MAX(0,MIN(100,SUMIFS($AC$2:$AC$92,$B$2:$B$92,$AF3,$D$2:$D$92,"score_component")*100/$AT3))-INT(MAX(0,MIN(100,SUMIFS($AC$2:$AC$92,$B$2:$B$92,$AF3,$D$2:$D$92,"score_component")*100/$AT3)))-0.5)&lt;=1E-12,IF(MOD(INT(MAX(0,MIN(100,SUMIFS($AC$2:$AC$92,$B$2:$B$92,$AF3,$D$2:$D$92,"score_component")*100/$AT3))),2)=0,INT(MAX(0,MIN(100,SUMIFS($AC$2:$AC$92,$B$2:$B$92,$AF3,$D$2:$D$92,"score_component")*100/$AT3))),INT(MAX(0,MIN(100,SUMIFS($AC$2:$AC$92,$B$2:$B$92,$AF3,$D$2:$D$92,"score_component")*100/$AT3)))+1),ROUND(MAX(0,MIN(100,SUMIFS($AC$2:$AC$92,$B$2:$B$92,$AF3,$D$2:$D$92,"score_component")*100/$AT3)),0))))</f>
        <v/>
      </c>
      <c r="AV3">
        <f>IF($AF3="","",IF(NOT('Hidden_Value_Audit'!$Q3),"unavailable",IF(COUNTIFS($B$2:$B$92,$AF3,$D$2:$D$92,"required_metric",$Y$2:$Y$92,"invalid_input")&gt;0,"invalid_input",IF(COUNTIFS($B$2:$B$92,$AF3,$D$2:$D$92,"required_metric",$Y$2:$Y$92,"insufficient_evidence")&gt;0,"insufficient_evidence",IF(COUNTIFS($B$2:$B$92,$AF3,$D$2:$D$92,"required_metric",$Z$2:$Z$92,FALSE)&gt;0,"unavailable",IF(NOT($AQ3),"not_triggered",IF(COUNTIFS($B$2:$B$92,$AF3,$D$2:$D$92,"predicate",$E$2:$E$92,"trigger",$Z$2:$Z$92,"&lt;&gt;")=0,"insufficient_evidence",IF(AND($AR3,$AU3=""),"insufficient_evidence",IF($AR3,"triggered",IF($AS3,"near_miss","not_triggered"))))))))))</f>
        <v/>
      </c>
      <c r="AW3">
        <f>IF($AF3="","",$AV3="triggered")</f>
        <v/>
      </c>
      <c r="AX3">
        <f>IF($AF3="","",IF(AND(IF(OR($AV3="",$AM3=""),AND($AV3="",$AM3=""),IF(AND(ISNUMBER($AV3),ISNUMBER($AM3)),ABS($AV3-$AM3)&lt;=1E-10,$AV3=$AM3)),IF(OR($AW3="",$AN3=""),AND($AW3="",$AN3=""),IF(AND(ISNUMBER($AW3),ISNUMBER($AN3)),ABS($AW3-$AN3)&lt;=1E-10,$AW3=$AN3)),IF(OR($AU3="",$AO3=""),AND($AU3="",$AO3=""),IF(AND(ISNUMBER($AU3),ISNUMBER($AO3)),ABS($AU3-$AO3)&lt;=1E-10,$AU3=$AO3)),IF(OR($AT3="",$AP3=""),AND($AT3="",$AP3=""),IF(AND(ISNUMBER($AT3),ISNUMBER($AP3)),ABS($AT3-$AP3)&lt;=1E-10,$AT3=$AP3)),(COUNTIFS($B$2:$B$92,$AF3,$AD$2:$AD$92,"&lt;&gt;PASS")=0)),"PASS","FAIL"))</f>
        <v/>
      </c>
    </row>
    <row r="4">
      <c r="X4" s="553">
        <f>IF(OR(IFERROR(INDEX(HV_Base_Status,MATCH($G4,HV_Base_MetricKey,0)),"")="source_backed",IFERROR(INDEX(HV_Base_Status,MATCH($G4,HV_Base_MetricKey,0)),"")="formula_calculated",IFERROR(INDEX(HV_Base_Status,MATCH($G4,HV_Base_MetricKey,0)),"")="derived_calculated"),IFERROR(INDEX(HV_Base_Value,MATCH($G4,HV_Base_MetricKey,0)),""),"")</f>
        <v/>
      </c>
      <c r="Y4">
        <f>IFERROR(INDEX(HV_Base_Status,MATCH($G4,HV_Base_MetricKey,0)),"")</f>
        <v/>
      </c>
      <c r="Z4">
        <f>IF($G4="","",AND(ISNUMBER($X4),OR($Y4="source_backed",$Y4="formula_calculated",$Y4="derived_calculated")))</f>
        <v/>
      </c>
      <c r="AA4">
        <f>""</f>
        <v/>
      </c>
      <c r="AB4">
        <f>""</f>
        <v/>
      </c>
      <c r="AC4">
        <f>""</f>
        <v/>
      </c>
      <c r="AD4">
        <f>IF(AND(IF(OR($X4="",$Q4=""),AND($X4="",$Q4=""),IF(AND(ISNUMBER($X4),ISNUMBER($Q4)),ABS($X4-$Q4)&lt;=1E-10,$X4=$Q4)),IF(OR($Y4="",$W4=""),AND($Y4="",$W4=""),IF(AND(ISNUMBER($Y4),ISNUMBER($W4)),ABS($Y4-$W4)&lt;=1E-10,$Y4=$W4)),IF(OR($Z4="",$S4=""),AND($Z4="",$S4=""),IF(AND(ISNUMBER($Z4),ISNUMBER($S4)),ABS($Z4-$S4)&lt;=1E-10,$Z4=$S4))),"PASS","FAIL")</f>
        <v/>
      </c>
      <c r="AF4">
        <f>IF('Hidden_Value_Audit'!A4="","",'Hidden_Value_Audit'!A4)</f>
        <v/>
      </c>
      <c r="AG4">
        <f>IF($AF4="","","C")</f>
        <v/>
      </c>
      <c r="AH4">
        <f>IF($AF4="","","all")</f>
        <v/>
      </c>
      <c r="AI4">
        <f>IF($AF4="","","all")</f>
        <v/>
      </c>
      <c r="AJ4">
        <f>IF($AF4="","","all")</f>
        <v/>
      </c>
      <c r="AK4">
        <f>IF($AF4="","",0)</f>
        <v/>
      </c>
      <c r="AL4">
        <f>IF($AF4="","",FALSE)</f>
        <v/>
      </c>
      <c r="AM4">
        <f>IF($AF4="","",'Hidden_Value_Audit'!F4)</f>
        <v/>
      </c>
      <c r="AN4">
        <f>IF($AF4="","",'Hidden_Value_Audit'!G4)</f>
        <v/>
      </c>
      <c r="AO4">
        <f>IF('Hidden_Value_Audit'!H4="","",'Hidden_Value_Audit'!H4)</f>
        <v/>
      </c>
      <c r="AP4">
        <f>IF($AF4="","",'Hidden_Value_Audit'!I4)</f>
        <v/>
      </c>
      <c r="AQ4">
        <f>IF($AF4="","",IF($AH4="all",AND(COUNTIFS($B$2:$B$92,$AF4,$D$2:$D$92,"predicate",$E$2:$E$92,"eligibility")&gt;0,COUNTIFS($B$2:$B$92,$AF4,$D$2:$D$92,"predicate",$E$2:$E$92,"eligibility",$Z$2:$Z$92,TRUE)=COUNTIFS($B$2:$B$92,$AF4,$D$2:$D$92,"predicate",$E$2:$E$92,"eligibility")),COUNTIFS($B$2:$B$92,$AF4,$D$2:$D$92,"predicate",$E$2:$E$92,"eligibility",$Z$2:$Z$92,TRUE)&gt;0))</f>
        <v/>
      </c>
      <c r="AR4">
        <f>IF($AF4="","",IF($AI4="all",AND(COUNTIFS($B$2:$B$92,$AF4,$D$2:$D$92,"predicate",$E$2:$E$92,"trigger")&gt;0,COUNTIFS($B$2:$B$92,$AF4,$D$2:$D$92,"predicate",$E$2:$E$92,"trigger",$Z$2:$Z$92,TRUE)=COUNTIFS($B$2:$B$92,$AF4,$D$2:$D$92,"predicate",$E$2:$E$92,"trigger")),COUNTIFS($B$2:$B$92,$AF4,$D$2:$D$92,"predicate",$E$2:$E$92,"trigger",$Z$2:$Z$92,TRUE)&gt;0))</f>
        <v/>
      </c>
      <c r="AS4">
        <f>IF($AF4="","",AND(IF($AJ4="all",AND(COUNTIFS($B$2:$B$92,$AF4,$D$2:$D$92,"predicate",$E$2:$E$92,"near_miss")&gt;0,COUNTIFS($B$2:$B$92,$AF4,$D$2:$D$92,"predicate",$E$2:$E$92,"near_miss",$Z$2:$Z$92,TRUE)=COUNTIFS($B$2:$B$92,$AF4,$D$2:$D$92,"predicate",$E$2:$E$92,"near_miss")),COUNTIFS($B$2:$B$92,$AF4,$D$2:$D$92,"predicate",$E$2:$E$92,"near_miss",$Z$2:$Z$92,TRUE)&gt;0),COUNTIFS($B$2:$B$92,$AF4,$D$2:$D$92,"predicate",$E$2:$E$92,"trigger",$Z$2:$Z$92,TRUE)&gt;=$AK4))</f>
        <v/>
      </c>
      <c r="AT4" s="553">
        <f>IF($AF4="","",SUMIFS($AA$2:$AA$92,$B$2:$B$92,$AF4,$D$2:$D$92,"score_component"))</f>
        <v/>
      </c>
      <c r="AU4" s="552">
        <f>IF($AF4="","",IF(OR(COUNTIFS($B$2:$B$92,$AF4,$D$2:$D$92,"score_component",$K$2:$K$92,TRUE,$Z$2:$Z$92,FALSE)&gt;0,$AT4&lt;=0,AND(NOT($AL4),ABS($AT4-100)&gt;1E-10)),"",IF(ABS(MAX(0,MIN(100,SUMIFS($AC$2:$AC$92,$B$2:$B$92,$AF4,$D$2:$D$92,"score_component")*100/$AT4))-INT(MAX(0,MIN(100,SUMIFS($AC$2:$AC$92,$B$2:$B$92,$AF4,$D$2:$D$92,"score_component")*100/$AT4)))-0.5)&lt;=1E-12,IF(MOD(INT(MAX(0,MIN(100,SUMIFS($AC$2:$AC$92,$B$2:$B$92,$AF4,$D$2:$D$92,"score_component")*100/$AT4))),2)=0,INT(MAX(0,MIN(100,SUMIFS($AC$2:$AC$92,$B$2:$B$92,$AF4,$D$2:$D$92,"score_component")*100/$AT4))),INT(MAX(0,MIN(100,SUMIFS($AC$2:$AC$92,$B$2:$B$92,$AF4,$D$2:$D$92,"score_component")*100/$AT4)))+1),ROUND(MAX(0,MIN(100,SUMIFS($AC$2:$AC$92,$B$2:$B$92,$AF4,$D$2:$D$92,"score_component")*100/$AT4)),0))))</f>
        <v/>
      </c>
      <c r="AV4">
        <f>IF($AF4="","",IF(NOT('Hidden_Value_Audit'!$Q4),"unavailable",IF(COUNTIFS($B$2:$B$92,$AF4,$D$2:$D$92,"required_metric",$Y$2:$Y$92,"invalid_input")&gt;0,"invalid_input",IF(COUNTIFS($B$2:$B$92,$AF4,$D$2:$D$92,"required_metric",$Y$2:$Y$92,"insufficient_evidence")&gt;0,"insufficient_evidence",IF(COUNTIFS($B$2:$B$92,$AF4,$D$2:$D$92,"required_metric",$Z$2:$Z$92,FALSE)&gt;0,"unavailable",IF(NOT($AQ4),"not_triggered",IF(COUNTIFS($B$2:$B$92,$AF4,$D$2:$D$92,"predicate",$E$2:$E$92,"trigger",$Z$2:$Z$92,"&lt;&gt;")=0,"insufficient_evidence",IF(AND($AR4,$AU4=""),"insufficient_evidence",IF($AR4,"triggered",IF($AS4,"near_miss","not_triggered"))))))))))</f>
        <v/>
      </c>
      <c r="AW4">
        <f>IF($AF4="","",$AV4="triggered")</f>
        <v/>
      </c>
      <c r="AX4">
        <f>IF($AF4="","",IF(AND(IF(OR($AV4="",$AM4=""),AND($AV4="",$AM4=""),IF(AND(ISNUMBER($AV4),ISNUMBER($AM4)),ABS($AV4-$AM4)&lt;=1E-10,$AV4=$AM4)),IF(OR($AW4="",$AN4=""),AND($AW4="",$AN4=""),IF(AND(ISNUMBER($AW4),ISNUMBER($AN4)),ABS($AW4-$AN4)&lt;=1E-10,$AW4=$AN4)),IF(OR($AU4="",$AO4=""),AND($AU4="",$AO4=""),IF(AND(ISNUMBER($AU4),ISNUMBER($AO4)),ABS($AU4-$AO4)&lt;=1E-10,$AU4=$AO4)),IF(OR($AT4="",$AP4=""),AND($AT4="",$AP4=""),IF(AND(ISNUMBER($AT4),ISNUMBER($AP4)),ABS($AT4-$AP4)&lt;=1E-10,$AT4=$AP4)),(COUNTIFS($B$2:$B$92,$AF4,$AD$2:$AD$92,"&lt;&gt;PASS")=0)),"PASS","FAIL"))</f>
        <v/>
      </c>
    </row>
    <row r="5">
      <c r="X5" s="553">
        <f>IF(OR(IFERROR(INDEX(HV_Base_Status,MATCH($G5,HV_Base_MetricKey,0)),"")="source_backed",IFERROR(INDEX(HV_Base_Status,MATCH($G5,HV_Base_MetricKey,0)),"")="formula_calculated",IFERROR(INDEX(HV_Base_Status,MATCH($G5,HV_Base_MetricKey,0)),"")="derived_calculated"),IFERROR(INDEX(HV_Base_Value,MATCH($G5,HV_Base_MetricKey,0)),""),"")</f>
        <v/>
      </c>
      <c r="Y5">
        <f>IFERROR(INDEX(HV_Base_Status,MATCH($G5,HV_Base_MetricKey,0)),"")</f>
        <v/>
      </c>
      <c r="Z5">
        <f>IF($G5="","",AND(ISNUMBER($X5),OR($Y5="source_backed",$Y5="formula_calculated",$Y5="derived_calculated")))</f>
        <v/>
      </c>
      <c r="AA5">
        <f>""</f>
        <v/>
      </c>
      <c r="AB5">
        <f>""</f>
        <v/>
      </c>
      <c r="AC5">
        <f>""</f>
        <v/>
      </c>
      <c r="AD5">
        <f>IF(AND(IF(OR($X5="",$Q5=""),AND($X5="",$Q5=""),IF(AND(ISNUMBER($X5),ISNUMBER($Q5)),ABS($X5-$Q5)&lt;=1E-10,$X5=$Q5)),IF(OR($Y5="",$W5=""),AND($Y5="",$W5=""),IF(AND(ISNUMBER($Y5),ISNUMBER($W5)),ABS($Y5-$W5)&lt;=1E-10,$Y5=$W5)),IF(OR($Z5="",$S5=""),AND($Z5="",$S5=""),IF(AND(ISNUMBER($Z5),ISNUMBER($S5)),ABS($Z5-$S5)&lt;=1E-10,$Z5=$S5))),"PASS","FAIL")</f>
        <v/>
      </c>
      <c r="AF5">
        <f>IF('Hidden_Value_Audit'!A5="","",'Hidden_Value_Audit'!A5)</f>
        <v/>
      </c>
      <c r="AG5">
        <f>IF($AF5="","","D")</f>
        <v/>
      </c>
      <c r="AH5">
        <f>IF($AF5="","","all")</f>
        <v/>
      </c>
      <c r="AI5">
        <f>IF($AF5="","","all")</f>
        <v/>
      </c>
      <c r="AJ5">
        <f>IF($AF5="","","all")</f>
        <v/>
      </c>
      <c r="AK5">
        <f>IF($AF5="","",0)</f>
        <v/>
      </c>
      <c r="AL5">
        <f>IF($AF5="","",FALSE)</f>
        <v/>
      </c>
      <c r="AM5">
        <f>IF($AF5="","",'Hidden_Value_Audit'!F5)</f>
        <v/>
      </c>
      <c r="AN5">
        <f>IF($AF5="","",'Hidden_Value_Audit'!G5)</f>
        <v/>
      </c>
      <c r="AO5">
        <f>IF('Hidden_Value_Audit'!H5="","",'Hidden_Value_Audit'!H5)</f>
        <v/>
      </c>
      <c r="AP5">
        <f>IF($AF5="","",'Hidden_Value_Audit'!I5)</f>
        <v/>
      </c>
      <c r="AQ5">
        <f>IF($AF5="","",IF($AH5="all",AND(COUNTIFS($B$2:$B$92,$AF5,$D$2:$D$92,"predicate",$E$2:$E$92,"eligibility")&gt;0,COUNTIFS($B$2:$B$92,$AF5,$D$2:$D$92,"predicate",$E$2:$E$92,"eligibility",$Z$2:$Z$92,TRUE)=COUNTIFS($B$2:$B$92,$AF5,$D$2:$D$92,"predicate",$E$2:$E$92,"eligibility")),COUNTIFS($B$2:$B$92,$AF5,$D$2:$D$92,"predicate",$E$2:$E$92,"eligibility",$Z$2:$Z$92,TRUE)&gt;0))</f>
        <v/>
      </c>
      <c r="AR5">
        <f>IF($AF5="","",IF($AI5="all",AND(COUNTIFS($B$2:$B$92,$AF5,$D$2:$D$92,"predicate",$E$2:$E$92,"trigger")&gt;0,COUNTIFS($B$2:$B$92,$AF5,$D$2:$D$92,"predicate",$E$2:$E$92,"trigger",$Z$2:$Z$92,TRUE)=COUNTIFS($B$2:$B$92,$AF5,$D$2:$D$92,"predicate",$E$2:$E$92,"trigger")),COUNTIFS($B$2:$B$92,$AF5,$D$2:$D$92,"predicate",$E$2:$E$92,"trigger",$Z$2:$Z$92,TRUE)&gt;0))</f>
        <v/>
      </c>
      <c r="AS5">
        <f>IF($AF5="","",AND(IF($AJ5="all",AND(COUNTIFS($B$2:$B$92,$AF5,$D$2:$D$92,"predicate",$E$2:$E$92,"near_miss")&gt;0,COUNTIFS($B$2:$B$92,$AF5,$D$2:$D$92,"predicate",$E$2:$E$92,"near_miss",$Z$2:$Z$92,TRUE)=COUNTIFS($B$2:$B$92,$AF5,$D$2:$D$92,"predicate",$E$2:$E$92,"near_miss")),COUNTIFS($B$2:$B$92,$AF5,$D$2:$D$92,"predicate",$E$2:$E$92,"near_miss",$Z$2:$Z$92,TRUE)&gt;0),COUNTIFS($B$2:$B$92,$AF5,$D$2:$D$92,"predicate",$E$2:$E$92,"trigger",$Z$2:$Z$92,TRUE)&gt;=$AK5))</f>
        <v/>
      </c>
      <c r="AT5" s="553">
        <f>IF($AF5="","",SUMIFS($AA$2:$AA$92,$B$2:$B$92,$AF5,$D$2:$D$92,"score_component"))</f>
        <v/>
      </c>
      <c r="AU5" s="552">
        <f>IF($AF5="","",IF(OR(COUNTIFS($B$2:$B$92,$AF5,$D$2:$D$92,"score_component",$K$2:$K$92,TRUE,$Z$2:$Z$92,FALSE)&gt;0,$AT5&lt;=0,AND(NOT($AL5),ABS($AT5-100)&gt;1E-10)),"",IF(ABS(MAX(0,MIN(100,SUMIFS($AC$2:$AC$92,$B$2:$B$92,$AF5,$D$2:$D$92,"score_component")*100/$AT5))-INT(MAX(0,MIN(100,SUMIFS($AC$2:$AC$92,$B$2:$B$92,$AF5,$D$2:$D$92,"score_component")*100/$AT5)))-0.5)&lt;=1E-12,IF(MOD(INT(MAX(0,MIN(100,SUMIFS($AC$2:$AC$92,$B$2:$B$92,$AF5,$D$2:$D$92,"score_component")*100/$AT5))),2)=0,INT(MAX(0,MIN(100,SUMIFS($AC$2:$AC$92,$B$2:$B$92,$AF5,$D$2:$D$92,"score_component")*100/$AT5))),INT(MAX(0,MIN(100,SUMIFS($AC$2:$AC$92,$B$2:$B$92,$AF5,$D$2:$D$92,"score_component")*100/$AT5)))+1),ROUND(MAX(0,MIN(100,SUMIFS($AC$2:$AC$92,$B$2:$B$92,$AF5,$D$2:$D$92,"score_component")*100/$AT5)),0))))</f>
        <v/>
      </c>
      <c r="AV5">
        <f>IF($AF5="","",IF(NOT('Hidden_Value_Audit'!$Q5),"unavailable",IF(COUNTIFS($B$2:$B$92,$AF5,$D$2:$D$92,"required_metric",$Y$2:$Y$92,"invalid_input")&gt;0,"invalid_input",IF(COUNTIFS($B$2:$B$92,$AF5,$D$2:$D$92,"required_metric",$Y$2:$Y$92,"insufficient_evidence")&gt;0,"insufficient_evidence",IF(COUNTIFS($B$2:$B$92,$AF5,$D$2:$D$92,"required_metric",$Z$2:$Z$92,FALSE)&gt;0,"unavailable",IF(NOT($AQ5),"not_triggered",IF(COUNTIFS($B$2:$B$92,$AF5,$D$2:$D$92,"predicate",$E$2:$E$92,"trigger",$Z$2:$Z$92,"&lt;&gt;")=0,"insufficient_evidence",IF(AND($AR5,$AU5=""),"insufficient_evidence",IF($AR5,"triggered",IF($AS5,"near_miss","not_triggered"))))))))))</f>
        <v/>
      </c>
      <c r="AW5">
        <f>IF($AF5="","",$AV5="triggered")</f>
        <v/>
      </c>
      <c r="AX5">
        <f>IF($AF5="","",IF(AND(IF(OR($AV5="",$AM5=""),AND($AV5="",$AM5=""),IF(AND(ISNUMBER($AV5),ISNUMBER($AM5)),ABS($AV5-$AM5)&lt;=1E-10,$AV5=$AM5)),IF(OR($AW5="",$AN5=""),AND($AW5="",$AN5=""),IF(AND(ISNUMBER($AW5),ISNUMBER($AN5)),ABS($AW5-$AN5)&lt;=1E-10,$AW5=$AN5)),IF(OR($AU5="",$AO5=""),AND($AU5="",$AO5=""),IF(AND(ISNUMBER($AU5),ISNUMBER($AO5)),ABS($AU5-$AO5)&lt;=1E-10,$AU5=$AO5)),IF(OR($AT5="",$AP5=""),AND($AT5="",$AP5=""),IF(AND(ISNUMBER($AT5),ISNUMBER($AP5)),ABS($AT5-$AP5)&lt;=1E-10,$AT5=$AP5)),(COUNTIFS($B$2:$B$92,$AF5,$AD$2:$AD$92,"&lt;&gt;PASS")=0)),"PASS","FAIL"))</f>
        <v/>
      </c>
    </row>
    <row r="6">
      <c r="X6" s="553">
        <f>IF(OR(IFERROR(INDEX(HV_Base_Status,MATCH($G6,HV_Base_MetricKey,0)),"")="source_backed",IFERROR(INDEX(HV_Base_Status,MATCH($G6,HV_Base_MetricKey,0)),"")="formula_calculated",IFERROR(INDEX(HV_Base_Status,MATCH($G6,HV_Base_MetricKey,0)),"")="derived_calculated"),IFERROR(INDEX(HV_Base_Value,MATCH($G6,HV_Base_MetricKey,0)),""),"")</f>
        <v/>
      </c>
      <c r="Y6">
        <f>IFERROR(INDEX(HV_Base_Status,MATCH($G6,HV_Base_MetricKey,0)),"")</f>
        <v/>
      </c>
      <c r="Z6">
        <f>IF($G6="","",AND(ISNUMBER($X6),OR($Y6="source_backed",$Y6="formula_calculated",$Y6="derived_calculated")))</f>
        <v/>
      </c>
      <c r="AA6">
        <f>""</f>
        <v/>
      </c>
      <c r="AB6">
        <f>""</f>
        <v/>
      </c>
      <c r="AC6">
        <f>""</f>
        <v/>
      </c>
      <c r="AD6">
        <f>IF(AND(IF(OR($X6="",$Q6=""),AND($X6="",$Q6=""),IF(AND(ISNUMBER($X6),ISNUMBER($Q6)),ABS($X6-$Q6)&lt;=1E-10,$X6=$Q6)),IF(OR($Y6="",$W6=""),AND($Y6="",$W6=""),IF(AND(ISNUMBER($Y6),ISNUMBER($W6)),ABS($Y6-$W6)&lt;=1E-10,$Y6=$W6)),IF(OR($Z6="",$S6=""),AND($Z6="",$S6=""),IF(AND(ISNUMBER($Z6),ISNUMBER($S6)),ABS($Z6-$S6)&lt;=1E-10,$Z6=$S6))),"PASS","FAIL")</f>
        <v/>
      </c>
      <c r="AF6">
        <f>IF('Hidden_Value_Audit'!A6="","",'Hidden_Value_Audit'!A6)</f>
        <v/>
      </c>
      <c r="AG6">
        <f>IF($AF6="","","E")</f>
        <v/>
      </c>
      <c r="AH6">
        <f>IF($AF6="","","all")</f>
        <v/>
      </c>
      <c r="AI6">
        <f>IF($AF6="","","all")</f>
        <v/>
      </c>
      <c r="AJ6">
        <f>IF($AF6="","","all")</f>
        <v/>
      </c>
      <c r="AK6">
        <f>IF($AF6="","",0)</f>
        <v/>
      </c>
      <c r="AL6">
        <f>IF($AF6="","",FALSE)</f>
        <v/>
      </c>
      <c r="AM6">
        <f>IF($AF6="","",'Hidden_Value_Audit'!F6)</f>
        <v/>
      </c>
      <c r="AN6">
        <f>IF($AF6="","",'Hidden_Value_Audit'!G6)</f>
        <v/>
      </c>
      <c r="AO6">
        <f>IF('Hidden_Value_Audit'!H6="","",'Hidden_Value_Audit'!H6)</f>
        <v/>
      </c>
      <c r="AP6">
        <f>IF($AF6="","",'Hidden_Value_Audit'!I6)</f>
        <v/>
      </c>
      <c r="AQ6">
        <f>IF($AF6="","",IF($AH6="all",AND(COUNTIFS($B$2:$B$92,$AF6,$D$2:$D$92,"predicate",$E$2:$E$92,"eligibility")&gt;0,COUNTIFS($B$2:$B$92,$AF6,$D$2:$D$92,"predicate",$E$2:$E$92,"eligibility",$Z$2:$Z$92,TRUE)=COUNTIFS($B$2:$B$92,$AF6,$D$2:$D$92,"predicate",$E$2:$E$92,"eligibility")),COUNTIFS($B$2:$B$92,$AF6,$D$2:$D$92,"predicate",$E$2:$E$92,"eligibility",$Z$2:$Z$92,TRUE)&gt;0))</f>
        <v/>
      </c>
      <c r="AR6">
        <f>IF($AF6="","",IF($AI6="all",AND(COUNTIFS($B$2:$B$92,$AF6,$D$2:$D$92,"predicate",$E$2:$E$92,"trigger")&gt;0,COUNTIFS($B$2:$B$92,$AF6,$D$2:$D$92,"predicate",$E$2:$E$92,"trigger",$Z$2:$Z$92,TRUE)=COUNTIFS($B$2:$B$92,$AF6,$D$2:$D$92,"predicate",$E$2:$E$92,"trigger")),COUNTIFS($B$2:$B$92,$AF6,$D$2:$D$92,"predicate",$E$2:$E$92,"trigger",$Z$2:$Z$92,TRUE)&gt;0))</f>
        <v/>
      </c>
      <c r="AS6">
        <f>IF($AF6="","",AND(IF($AJ6="all",AND(COUNTIFS($B$2:$B$92,$AF6,$D$2:$D$92,"predicate",$E$2:$E$92,"near_miss")&gt;0,COUNTIFS($B$2:$B$92,$AF6,$D$2:$D$92,"predicate",$E$2:$E$92,"near_miss",$Z$2:$Z$92,TRUE)=COUNTIFS($B$2:$B$92,$AF6,$D$2:$D$92,"predicate",$E$2:$E$92,"near_miss")),COUNTIFS($B$2:$B$92,$AF6,$D$2:$D$92,"predicate",$E$2:$E$92,"near_miss",$Z$2:$Z$92,TRUE)&gt;0),COUNTIFS($B$2:$B$92,$AF6,$D$2:$D$92,"predicate",$E$2:$E$92,"trigger",$Z$2:$Z$92,TRUE)&gt;=$AK6))</f>
        <v/>
      </c>
      <c r="AT6" s="553">
        <f>IF($AF6="","",SUMIFS($AA$2:$AA$92,$B$2:$B$92,$AF6,$D$2:$D$92,"score_component"))</f>
        <v/>
      </c>
      <c r="AU6" s="552">
        <f>IF($AF6="","",IF(OR(COUNTIFS($B$2:$B$92,$AF6,$D$2:$D$92,"score_component",$K$2:$K$92,TRUE,$Z$2:$Z$92,FALSE)&gt;0,$AT6&lt;=0,AND(NOT($AL6),ABS($AT6-100)&gt;1E-10)),"",IF(ABS(MAX(0,MIN(100,SUMIFS($AC$2:$AC$92,$B$2:$B$92,$AF6,$D$2:$D$92,"score_component")*100/$AT6))-INT(MAX(0,MIN(100,SUMIFS($AC$2:$AC$92,$B$2:$B$92,$AF6,$D$2:$D$92,"score_component")*100/$AT6)))-0.5)&lt;=1E-12,IF(MOD(INT(MAX(0,MIN(100,SUMIFS($AC$2:$AC$92,$B$2:$B$92,$AF6,$D$2:$D$92,"score_component")*100/$AT6))),2)=0,INT(MAX(0,MIN(100,SUMIFS($AC$2:$AC$92,$B$2:$B$92,$AF6,$D$2:$D$92,"score_component")*100/$AT6))),INT(MAX(0,MIN(100,SUMIFS($AC$2:$AC$92,$B$2:$B$92,$AF6,$D$2:$D$92,"score_component")*100/$AT6)))+1),ROUND(MAX(0,MIN(100,SUMIFS($AC$2:$AC$92,$B$2:$B$92,$AF6,$D$2:$D$92,"score_component")*100/$AT6)),0))))</f>
        <v/>
      </c>
      <c r="AV6">
        <f>IF($AF6="","",IF(NOT('Hidden_Value_Audit'!$Q6),"unavailable",IF(COUNTIFS($B$2:$B$92,$AF6,$D$2:$D$92,"required_metric",$Y$2:$Y$92,"invalid_input")&gt;0,"invalid_input",IF(COUNTIFS($B$2:$B$92,$AF6,$D$2:$D$92,"required_metric",$Y$2:$Y$92,"insufficient_evidence")&gt;0,"insufficient_evidence",IF(COUNTIFS($B$2:$B$92,$AF6,$D$2:$D$92,"required_metric",$Z$2:$Z$92,FALSE)&gt;0,"unavailable",IF(NOT($AQ6),"not_triggered",IF(COUNTIFS($B$2:$B$92,$AF6,$D$2:$D$92,"predicate",$E$2:$E$92,"trigger",$Z$2:$Z$92,"&lt;&gt;")=0,"insufficient_evidence",IF(AND($AR6,$AU6=""),"insufficient_evidence",IF($AR6,"triggered",IF($AS6,"near_miss","not_triggered"))))))))))</f>
        <v/>
      </c>
      <c r="AW6">
        <f>IF($AF6="","",$AV6="triggered")</f>
        <v/>
      </c>
      <c r="AX6">
        <f>IF($AF6="","",IF(AND(IF(OR($AV6="",$AM6=""),AND($AV6="",$AM6=""),IF(AND(ISNUMBER($AV6),ISNUMBER($AM6)),ABS($AV6-$AM6)&lt;=1E-10,$AV6=$AM6)),IF(OR($AW6="",$AN6=""),AND($AW6="",$AN6=""),IF(AND(ISNUMBER($AW6),ISNUMBER($AN6)),ABS($AW6-$AN6)&lt;=1E-10,$AW6=$AN6)),IF(OR($AU6="",$AO6=""),AND($AU6="",$AO6=""),IF(AND(ISNUMBER($AU6),ISNUMBER($AO6)),ABS($AU6-$AO6)&lt;=1E-10,$AU6=$AO6)),IF(OR($AT6="",$AP6=""),AND($AT6="",$AP6=""),IF(AND(ISNUMBER($AT6),ISNUMBER($AP6)),ABS($AT6-$AP6)&lt;=1E-10,$AT6=$AP6)),(COUNTIFS($B$2:$B$92,$AF6,$AD$2:$AD$92,"&lt;&gt;PASS")=0)),"PASS","FAIL"))</f>
        <v/>
      </c>
    </row>
    <row r="7">
      <c r="X7" s="553">
        <f>IF(OR(IFERROR(INDEX(HV_Base_Status,MATCH($G7,HV_Base_MetricKey,0)),"")="source_backed",IFERROR(INDEX(HV_Base_Status,MATCH($G7,HV_Base_MetricKey,0)),"")="formula_calculated",IFERROR(INDEX(HV_Base_Status,MATCH($G7,HV_Base_MetricKey,0)),"")="derived_calculated"),IFERROR(INDEX(HV_Base_Value,MATCH($G7,HV_Base_MetricKey,0)),""),"")</f>
        <v/>
      </c>
      <c r="Y7">
        <f>IFERROR(INDEX(HV_Base_Status,MATCH($G7,HV_Base_MetricKey,0)),"")</f>
        <v/>
      </c>
      <c r="Z7">
        <f>IF($G7="","",AND(ISNUMBER($X7),OR($Y7="source_backed",$Y7="formula_calculated",$Y7="derived_calculated")))</f>
        <v/>
      </c>
      <c r="AA7">
        <f>""</f>
        <v/>
      </c>
      <c r="AB7">
        <f>""</f>
        <v/>
      </c>
      <c r="AC7">
        <f>""</f>
        <v/>
      </c>
      <c r="AD7">
        <f>IF(AND(IF(OR($X7="",$Q7=""),AND($X7="",$Q7=""),IF(AND(ISNUMBER($X7),ISNUMBER($Q7)),ABS($X7-$Q7)&lt;=1E-10,$X7=$Q7)),IF(OR($Y7="",$W7=""),AND($Y7="",$W7=""),IF(AND(ISNUMBER($Y7),ISNUMBER($W7)),ABS($Y7-$W7)&lt;=1E-10,$Y7=$W7)),IF(OR($Z7="",$S7=""),AND($Z7="",$S7=""),IF(AND(ISNUMBER($Z7),ISNUMBER($S7)),ABS($Z7-$S7)&lt;=1E-10,$Z7=$S7))),"PASS","FAIL")</f>
        <v/>
      </c>
      <c r="AF7">
        <f>IF('Hidden_Value_Audit'!A7="","",'Hidden_Value_Audit'!A7)</f>
        <v/>
      </c>
      <c r="AG7">
        <f>IF($AF7="","","F")</f>
        <v/>
      </c>
      <c r="AH7">
        <f>IF($AF7="","","all")</f>
        <v/>
      </c>
      <c r="AI7">
        <f>IF($AF7="","","all")</f>
        <v/>
      </c>
      <c r="AJ7">
        <f>IF($AF7="","","all")</f>
        <v/>
      </c>
      <c r="AK7">
        <f>IF($AF7="","",0)</f>
        <v/>
      </c>
      <c r="AL7">
        <f>IF($AF7="","",TRUE)</f>
        <v/>
      </c>
      <c r="AM7">
        <f>IF($AF7="","",'Hidden_Value_Audit'!F7)</f>
        <v/>
      </c>
      <c r="AN7">
        <f>IF($AF7="","",'Hidden_Value_Audit'!G7)</f>
        <v/>
      </c>
      <c r="AO7">
        <f>IF('Hidden_Value_Audit'!H7="","",'Hidden_Value_Audit'!H7)</f>
        <v/>
      </c>
      <c r="AP7">
        <f>IF($AF7="","",'Hidden_Value_Audit'!I7)</f>
        <v/>
      </c>
      <c r="AQ7">
        <f>IF($AF7="","",IF($AH7="all",AND(COUNTIFS($B$2:$B$92,$AF7,$D$2:$D$92,"predicate",$E$2:$E$92,"eligibility")&gt;0,COUNTIFS($B$2:$B$92,$AF7,$D$2:$D$92,"predicate",$E$2:$E$92,"eligibility",$Z$2:$Z$92,TRUE)=COUNTIFS($B$2:$B$92,$AF7,$D$2:$D$92,"predicate",$E$2:$E$92,"eligibility")),COUNTIFS($B$2:$B$92,$AF7,$D$2:$D$92,"predicate",$E$2:$E$92,"eligibility",$Z$2:$Z$92,TRUE)&gt;0))</f>
        <v/>
      </c>
      <c r="AR7">
        <f>IF($AF7="","",IF($AI7="all",AND(COUNTIFS($B$2:$B$92,$AF7,$D$2:$D$92,"predicate",$E$2:$E$92,"trigger")&gt;0,COUNTIFS($B$2:$B$92,$AF7,$D$2:$D$92,"predicate",$E$2:$E$92,"trigger",$Z$2:$Z$92,TRUE)=COUNTIFS($B$2:$B$92,$AF7,$D$2:$D$92,"predicate",$E$2:$E$92,"trigger")),COUNTIFS($B$2:$B$92,$AF7,$D$2:$D$92,"predicate",$E$2:$E$92,"trigger",$Z$2:$Z$92,TRUE)&gt;0))</f>
        <v/>
      </c>
      <c r="AS7">
        <f>IF($AF7="","",AND(IF($AJ7="all",AND(COUNTIFS($B$2:$B$92,$AF7,$D$2:$D$92,"predicate",$E$2:$E$92,"near_miss")&gt;0,COUNTIFS($B$2:$B$92,$AF7,$D$2:$D$92,"predicate",$E$2:$E$92,"near_miss",$Z$2:$Z$92,TRUE)=COUNTIFS($B$2:$B$92,$AF7,$D$2:$D$92,"predicate",$E$2:$E$92,"near_miss")),COUNTIFS($B$2:$B$92,$AF7,$D$2:$D$92,"predicate",$E$2:$E$92,"near_miss",$Z$2:$Z$92,TRUE)&gt;0),COUNTIFS($B$2:$B$92,$AF7,$D$2:$D$92,"predicate",$E$2:$E$92,"trigger",$Z$2:$Z$92,TRUE)&gt;=$AK7))</f>
        <v/>
      </c>
      <c r="AT7" s="553">
        <f>IF($AF7="","",SUMIFS($AA$2:$AA$92,$B$2:$B$92,$AF7,$D$2:$D$92,"score_component"))</f>
        <v/>
      </c>
      <c r="AU7" s="552">
        <f>IF($AF7="","",IF(OR(COUNTIFS($B$2:$B$92,$AF7,$D$2:$D$92,"score_component",$K$2:$K$92,TRUE,$Z$2:$Z$92,FALSE)&gt;0,$AT7&lt;=0,AND(NOT($AL7),ABS($AT7-100)&gt;1E-10)),"",IF(ABS(MAX(0,MIN(100,SUMIFS($AC$2:$AC$92,$B$2:$B$92,$AF7,$D$2:$D$92,"score_component")*100/$AT7))-INT(MAX(0,MIN(100,SUMIFS($AC$2:$AC$92,$B$2:$B$92,$AF7,$D$2:$D$92,"score_component")*100/$AT7)))-0.5)&lt;=1E-12,IF(MOD(INT(MAX(0,MIN(100,SUMIFS($AC$2:$AC$92,$B$2:$B$92,$AF7,$D$2:$D$92,"score_component")*100/$AT7))),2)=0,INT(MAX(0,MIN(100,SUMIFS($AC$2:$AC$92,$B$2:$B$92,$AF7,$D$2:$D$92,"score_component")*100/$AT7))),INT(MAX(0,MIN(100,SUMIFS($AC$2:$AC$92,$B$2:$B$92,$AF7,$D$2:$D$92,"score_component")*100/$AT7)))+1),ROUND(MAX(0,MIN(100,SUMIFS($AC$2:$AC$92,$B$2:$B$92,$AF7,$D$2:$D$92,"score_component")*100/$AT7)),0))))</f>
        <v/>
      </c>
      <c r="AV7">
        <f>IF($AF7="","",IF(NOT('Hidden_Value_Audit'!$Q7),"unavailable",IF(COUNTIFS($B$2:$B$92,$AF7,$D$2:$D$92,"required_metric",$Y$2:$Y$92,"invalid_input")&gt;0,"invalid_input",IF(COUNTIFS($B$2:$B$92,$AF7,$D$2:$D$92,"required_metric",$Y$2:$Y$92,"insufficient_evidence")&gt;0,"insufficient_evidence",IF(COUNTIFS($B$2:$B$92,$AF7,$D$2:$D$92,"required_metric",$Z$2:$Z$92,FALSE)&gt;0,"unavailable",IF(NOT($AQ7),"not_triggered",IF(COUNTIFS($B$2:$B$92,$AF7,$D$2:$D$92,"predicate",$E$2:$E$92,"trigger",$Z$2:$Z$92,"&lt;&gt;")=0,"insufficient_evidence",IF(AND($AR7,$AU7=""),"insufficient_evidence",IF($AR7,"triggered",IF($AS7,"near_miss","not_triggered"))))))))))</f>
        <v/>
      </c>
      <c r="AW7">
        <f>IF($AF7="","",$AV7="triggered")</f>
        <v/>
      </c>
      <c r="AX7">
        <f>IF($AF7="","",IF(AND(IF(OR($AV7="",$AM7=""),AND($AV7="",$AM7=""),IF(AND(ISNUMBER($AV7),ISNUMBER($AM7)),ABS($AV7-$AM7)&lt;=1E-10,$AV7=$AM7)),IF(OR($AW7="",$AN7=""),AND($AW7="",$AN7=""),IF(AND(ISNUMBER($AW7),ISNUMBER($AN7)),ABS($AW7-$AN7)&lt;=1E-10,$AW7=$AN7)),IF(OR($AU7="",$AO7=""),AND($AU7="",$AO7=""),IF(AND(ISNUMBER($AU7),ISNUMBER($AO7)),ABS($AU7-$AO7)&lt;=1E-10,$AU7=$AO7)),IF(OR($AT7="",$AP7=""),AND($AT7="",$AP7=""),IF(AND(ISNUMBER($AT7),ISNUMBER($AP7)),ABS($AT7-$AP7)&lt;=1E-10,$AT7=$AP7)),(COUNTIFS($B$2:$B$92,$AF7,$AD$2:$AD$92,"&lt;&gt;PASS")=0)),"PASS","FAIL"))</f>
        <v/>
      </c>
    </row>
    <row r="8">
      <c r="X8" s="553">
        <f>IF(IFERROR(INDEX('Hidden_Value_Audit'!$Q$2:$Q$8,MATCH($B8,'Hidden_Value_Audit'!$A$2:$A$8,0)),FALSE),IF(OR(IFERROR(INDEX(HV_Base_Status,MATCH($G8,HV_Base_MetricKey,0)),"")="source_backed",IFERROR(INDEX(HV_Base_Status,MATCH($G8,HV_Base_MetricKey,0)),"")="formula_calculated",IFERROR(INDEX(HV_Base_Status,MATCH($G8,HV_Base_MetricKey,0)),"")="derived_calculated"),IFERROR(INDEX(HV_Base_Value,MATCH($G8,HV_Base_MetricKey,0)),""),""),"")</f>
        <v/>
      </c>
      <c r="Y8" s="553">
        <f>IF(NOT(IFERROR(INDEX('Hidden_Value_Audit'!$Q$2:$Q$8,MATCH($B8,'Hidden_Value_Audit'!$A$2:$A$8,0)),FALSE)),"",IF($I8&lt;&gt;"",IF(OR(IFERROR(INDEX(HV_Base_Status,MATCH($I8,HV_Base_MetricKey,0)),"")="source_backed",IFERROR(INDEX(HV_Base_Status,MATCH($I8,HV_Base_MetricKey,0)),"")="formula_calculated",IFERROR(INDEX(HV_Base_Status,MATCH($I8,HV_Base_MetricKey,0)),"")="derived_calculated"),IFERROR(INDEX(HV_Base_Value,MATCH($I8,HV_Base_MetricKey,0)),""),""),IF($J8="","",$J8)))</f>
        <v/>
      </c>
      <c r="Z8">
        <f>IF(OR($X8="",$Y8=""),"",IF($H8="gt",$X8&gt;$Y8,IF($H8="gte",$X8&gt;=$Y8,IF($H8="lt",$X8&lt;$Y8,IF($H8="lte",$X8&lt;=$Y8,IF($H8="eq",$X8=$Y8,FALSE))))))</f>
        <v/>
      </c>
      <c r="AA8">
        <f>""</f>
        <v/>
      </c>
      <c r="AB8">
        <f>""</f>
        <v/>
      </c>
      <c r="AC8">
        <f>""</f>
        <v/>
      </c>
      <c r="AD8">
        <f>IF(AND(IF(OR($X8="",$Q8=""),AND($X8="",$Q8=""),IF(AND(ISNUMBER($X8),ISNUMBER($Q8)),ABS($X8-$Q8)&lt;=1E-10,$X8=$Q8)),IF(OR($Y8="",$R8=""),AND($Y8="",$R8=""),IF(AND(ISNUMBER($Y8),ISNUMBER($R8)),ABS($Y8-$R8)&lt;=1E-10,$Y8=$R8)),IF(OR($Z8="",$S8=""),AND($Z8="",$S8=""),IF(AND(ISNUMBER($Z8),ISNUMBER($S8)),ABS($Z8-$S8)&lt;=1E-10,$Z8=$S8)),(IF(NOT(IFERROR(INDEX('Hidden_Value_Audit'!$Q$2:$Q$8,MATCH($B8,'Hidden_Value_Audit'!$A$2:$A$8,0)),FALSE)),"module_or_profile_pack_disabled",IF($Z8="","predicate_input_unavailable",IF($Z8,"passed","failed")))=$W8)),"PASS","FAIL")</f>
        <v/>
      </c>
      <c r="AF8">
        <f>IF('Hidden_Value_Audit'!A8="","",'Hidden_Value_Audit'!A8)</f>
        <v/>
      </c>
      <c r="AG8">
        <f>IF($AF8="","","G")</f>
        <v/>
      </c>
      <c r="AH8">
        <f>IF($AF8="","","all")</f>
        <v/>
      </c>
      <c r="AI8">
        <f>IF($AF8="","","any")</f>
        <v/>
      </c>
      <c r="AJ8">
        <f>IF($AF8="","","all")</f>
        <v/>
      </c>
      <c r="AK8">
        <f>IF($AF8="","",0)</f>
        <v/>
      </c>
      <c r="AL8">
        <f>IF($AF8="","",TRUE)</f>
        <v/>
      </c>
      <c r="AM8">
        <f>IF($AF8="","",'Hidden_Value_Audit'!F8)</f>
        <v/>
      </c>
      <c r="AN8">
        <f>IF($AF8="","",'Hidden_Value_Audit'!G8)</f>
        <v/>
      </c>
      <c r="AO8">
        <f>IF('Hidden_Value_Audit'!H8="","",'Hidden_Value_Audit'!H8)</f>
        <v/>
      </c>
      <c r="AP8">
        <f>IF($AF8="","",'Hidden_Value_Audit'!I8)</f>
        <v/>
      </c>
      <c r="AQ8">
        <f>IF($AF8="","",IF($AH8="all",AND(COUNTIFS($B$2:$B$92,$AF8,$D$2:$D$92,"predicate",$E$2:$E$92,"eligibility")&gt;0,COUNTIFS($B$2:$B$92,$AF8,$D$2:$D$92,"predicate",$E$2:$E$92,"eligibility",$Z$2:$Z$92,TRUE)=COUNTIFS($B$2:$B$92,$AF8,$D$2:$D$92,"predicate",$E$2:$E$92,"eligibility")),COUNTIFS($B$2:$B$92,$AF8,$D$2:$D$92,"predicate",$E$2:$E$92,"eligibility",$Z$2:$Z$92,TRUE)&gt;0))</f>
        <v/>
      </c>
      <c r="AR8">
        <f>IF($AF8="","",IF($AI8="all",AND(COUNTIFS($B$2:$B$92,$AF8,$D$2:$D$92,"predicate",$E$2:$E$92,"trigger")&gt;0,COUNTIFS($B$2:$B$92,$AF8,$D$2:$D$92,"predicate",$E$2:$E$92,"trigger",$Z$2:$Z$92,TRUE)=COUNTIFS($B$2:$B$92,$AF8,$D$2:$D$92,"predicate",$E$2:$E$92,"trigger")),COUNTIFS($B$2:$B$92,$AF8,$D$2:$D$92,"predicate",$E$2:$E$92,"trigger",$Z$2:$Z$92,TRUE)&gt;0))</f>
        <v/>
      </c>
      <c r="AS8">
        <f>IF($AF8="","",AND(IF($AJ8="all",AND(COUNTIFS($B$2:$B$92,$AF8,$D$2:$D$92,"predicate",$E$2:$E$92,"near_miss")&gt;0,COUNTIFS($B$2:$B$92,$AF8,$D$2:$D$92,"predicate",$E$2:$E$92,"near_miss",$Z$2:$Z$92,TRUE)=COUNTIFS($B$2:$B$92,$AF8,$D$2:$D$92,"predicate",$E$2:$E$92,"near_miss")),COUNTIFS($B$2:$B$92,$AF8,$D$2:$D$92,"predicate",$E$2:$E$92,"near_miss",$Z$2:$Z$92,TRUE)&gt;0),COUNTIFS($B$2:$B$92,$AF8,$D$2:$D$92,"predicate",$E$2:$E$92,"trigger",$Z$2:$Z$92,TRUE)&gt;=$AK8))</f>
        <v/>
      </c>
      <c r="AT8" s="553">
        <f>IF($AF8="","",SUMIFS($AA$2:$AA$92,$B$2:$B$92,$AF8,$D$2:$D$92,"score_component"))</f>
        <v/>
      </c>
      <c r="AU8" s="552">
        <f>IF($AF8="","",IF(OR(COUNTIFS($B$2:$B$92,$AF8,$D$2:$D$92,"score_component",$K$2:$K$92,TRUE,$Z$2:$Z$92,FALSE)&gt;0,$AT8&lt;=0,AND(NOT($AL8),ABS($AT8-100)&gt;1E-10)),"",IF(ABS(MAX(0,MIN(100,SUMIFS($AC$2:$AC$92,$B$2:$B$92,$AF8,$D$2:$D$92,"score_component")*100/$AT8))-INT(MAX(0,MIN(100,SUMIFS($AC$2:$AC$92,$B$2:$B$92,$AF8,$D$2:$D$92,"score_component")*100/$AT8)))-0.5)&lt;=1E-12,IF(MOD(INT(MAX(0,MIN(100,SUMIFS($AC$2:$AC$92,$B$2:$B$92,$AF8,$D$2:$D$92,"score_component")*100/$AT8))),2)=0,INT(MAX(0,MIN(100,SUMIFS($AC$2:$AC$92,$B$2:$B$92,$AF8,$D$2:$D$92,"score_component")*100/$AT8))),INT(MAX(0,MIN(100,SUMIFS($AC$2:$AC$92,$B$2:$B$92,$AF8,$D$2:$D$92,"score_component")*100/$AT8)))+1),ROUND(MAX(0,MIN(100,SUMIFS($AC$2:$AC$92,$B$2:$B$92,$AF8,$D$2:$D$92,"score_component")*100/$AT8)),0))))</f>
        <v/>
      </c>
      <c r="AV8">
        <f>IF($AF8="","",IF(NOT('Hidden_Value_Audit'!$Q8),"unavailable",IF(COUNTIFS($B$2:$B$92,$AF8,$D$2:$D$92,"required_metric",$Y$2:$Y$92,"invalid_input")&gt;0,"invalid_input",IF(COUNTIFS($B$2:$B$92,$AF8,$D$2:$D$92,"required_metric",$Y$2:$Y$92,"insufficient_evidence")&gt;0,"insufficient_evidence",IF(COUNTIFS($B$2:$B$92,$AF8,$D$2:$D$92,"required_metric",$Z$2:$Z$92,FALSE)&gt;0,"unavailable",IF(NOT($AQ8),"not_triggered",IF(COUNTIFS($B$2:$B$92,$AF8,$D$2:$D$92,"predicate",$E$2:$E$92,"trigger",$Z$2:$Z$92,"&lt;&gt;")=0,"insufficient_evidence",IF(AND($AR8,$AU8=""),"insufficient_evidence",IF($AR8,"triggered",IF($AS8,"near_miss","not_triggered"))))))))))</f>
        <v/>
      </c>
      <c r="AW8">
        <f>IF($AF8="","",$AV8="triggered")</f>
        <v/>
      </c>
      <c r="AX8">
        <f>IF($AF8="","",IF(AND(IF(OR($AV8="",$AM8=""),AND($AV8="",$AM8=""),IF(AND(ISNUMBER($AV8),ISNUMBER($AM8)),ABS($AV8-$AM8)&lt;=1E-10,$AV8=$AM8)),IF(OR($AW8="",$AN8=""),AND($AW8="",$AN8=""),IF(AND(ISNUMBER($AW8),ISNUMBER($AN8)),ABS($AW8-$AN8)&lt;=1E-10,$AW8=$AN8)),IF(OR($AU8="",$AO8=""),AND($AU8="",$AO8=""),IF(AND(ISNUMBER($AU8),ISNUMBER($AO8)),ABS($AU8-$AO8)&lt;=1E-10,$AU8=$AO8)),IF(OR($AT8="",$AP8=""),AND($AT8="",$AP8=""),IF(AND(ISNUMBER($AT8),ISNUMBER($AP8)),ABS($AT8-$AP8)&lt;=1E-10,$AT8=$AP8)),(COUNTIFS($B$2:$B$92,$AF8,$AD$2:$AD$92,"&lt;&gt;PASS")=0)),"PASS","FAIL"))</f>
        <v/>
      </c>
    </row>
    <row r="9">
      <c r="X9" s="553">
        <f>IF(IFERROR(INDEX('Hidden_Value_Audit'!$Q$2:$Q$8,MATCH($B9,'Hidden_Value_Audit'!$A$2:$A$8,0)),FALSE),IF(OR(IFERROR(INDEX(HV_Base_Status,MATCH($G9,HV_Base_MetricKey,0)),"")="source_backed",IFERROR(INDEX(HV_Base_Status,MATCH($G9,HV_Base_MetricKey,0)),"")="formula_calculated",IFERROR(INDEX(HV_Base_Status,MATCH($G9,HV_Base_MetricKey,0)),"")="derived_calculated"),IFERROR(INDEX(HV_Base_Value,MATCH($G9,HV_Base_MetricKey,0)),""),""),"")</f>
        <v/>
      </c>
      <c r="Y9" s="553">
        <f>IF(NOT(IFERROR(INDEX('Hidden_Value_Audit'!$Q$2:$Q$8,MATCH($B9,'Hidden_Value_Audit'!$A$2:$A$8,0)),FALSE)),"",IF($I9&lt;&gt;"",IF(OR(IFERROR(INDEX(HV_Base_Status,MATCH($I9,HV_Base_MetricKey,0)),"")="source_backed",IFERROR(INDEX(HV_Base_Status,MATCH($I9,HV_Base_MetricKey,0)),"")="formula_calculated",IFERROR(INDEX(HV_Base_Status,MATCH($I9,HV_Base_MetricKey,0)),"")="derived_calculated"),IFERROR(INDEX(HV_Base_Value,MATCH($I9,HV_Base_MetricKey,0)),""),""),IF($J9="","",$J9)))</f>
        <v/>
      </c>
      <c r="Z9">
        <f>IF(OR($X9="",$Y9=""),"",IF($H9="gt",$X9&gt;$Y9,IF($H9="gte",$X9&gt;=$Y9,IF($H9="lt",$X9&lt;$Y9,IF($H9="lte",$X9&lt;=$Y9,IF($H9="eq",$X9=$Y9,FALSE))))))</f>
        <v/>
      </c>
      <c r="AA9">
        <f>""</f>
        <v/>
      </c>
      <c r="AB9">
        <f>""</f>
        <v/>
      </c>
      <c r="AC9">
        <f>""</f>
        <v/>
      </c>
      <c r="AD9">
        <f>IF(AND(IF(OR($X9="",$Q9=""),AND($X9="",$Q9=""),IF(AND(ISNUMBER($X9),ISNUMBER($Q9)),ABS($X9-$Q9)&lt;=1E-10,$X9=$Q9)),IF(OR($Y9="",$R9=""),AND($Y9="",$R9=""),IF(AND(ISNUMBER($Y9),ISNUMBER($R9)),ABS($Y9-$R9)&lt;=1E-10,$Y9=$R9)),IF(OR($Z9="",$S9=""),AND($Z9="",$S9=""),IF(AND(ISNUMBER($Z9),ISNUMBER($S9)),ABS($Z9-$S9)&lt;=1E-10,$Z9=$S9)),(IF(NOT(IFERROR(INDEX('Hidden_Value_Audit'!$Q$2:$Q$8,MATCH($B9,'Hidden_Value_Audit'!$A$2:$A$8,0)),FALSE)),"module_or_profile_pack_disabled",IF($Z9="","predicate_input_unavailable",IF($Z9,"passed","failed")))=$W9)),"PASS","FAIL")</f>
        <v/>
      </c>
    </row>
    <row r="10">
      <c r="X10" s="553">
        <f>IF(IFERROR(INDEX('Hidden_Value_Audit'!$Q$2:$Q$8,MATCH($B10,'Hidden_Value_Audit'!$A$2:$A$8,0)),FALSE),IF(OR(IFERROR(INDEX(HV_Base_Status,MATCH($G10,HV_Base_MetricKey,0)),"")="source_backed",IFERROR(INDEX(HV_Base_Status,MATCH($G10,HV_Base_MetricKey,0)),"")="formula_calculated",IFERROR(INDEX(HV_Base_Status,MATCH($G10,HV_Base_MetricKey,0)),"")="derived_calculated"),IFERROR(INDEX(HV_Base_Value,MATCH($G10,HV_Base_MetricKey,0)),""),""),"")</f>
        <v/>
      </c>
      <c r="Y10" s="553">
        <f>IF(NOT(IFERROR(INDEX('Hidden_Value_Audit'!$Q$2:$Q$8,MATCH($B10,'Hidden_Value_Audit'!$A$2:$A$8,0)),FALSE)),"",IF($I10&lt;&gt;"",IF(OR(IFERROR(INDEX(HV_Base_Status,MATCH($I10,HV_Base_MetricKey,0)),"")="source_backed",IFERROR(INDEX(HV_Base_Status,MATCH($I10,HV_Base_MetricKey,0)),"")="formula_calculated",IFERROR(INDEX(HV_Base_Status,MATCH($I10,HV_Base_MetricKey,0)),"")="derived_calculated"),IFERROR(INDEX(HV_Base_Value,MATCH($I10,HV_Base_MetricKey,0)),""),""),IF($J10="","",$J10)))</f>
        <v/>
      </c>
      <c r="Z10">
        <f>IF(OR($X10="",$Y10=""),"",IF($H10="gt",$X10&gt;$Y10,IF($H10="gte",$X10&gt;=$Y10,IF($H10="lt",$X10&lt;$Y10,IF($H10="lte",$X10&lt;=$Y10,IF($H10="eq",$X10=$Y10,FALSE))))))</f>
        <v/>
      </c>
      <c r="AA10">
        <f>""</f>
        <v/>
      </c>
      <c r="AB10">
        <f>""</f>
        <v/>
      </c>
      <c r="AC10">
        <f>""</f>
        <v/>
      </c>
      <c r="AD10">
        <f>IF(AND(IF(OR($X10="",$Q10=""),AND($X10="",$Q10=""),IF(AND(ISNUMBER($X10),ISNUMBER($Q10)),ABS($X10-$Q10)&lt;=1E-10,$X10=$Q10)),IF(OR($Y10="",$R10=""),AND($Y10="",$R10=""),IF(AND(ISNUMBER($Y10),ISNUMBER($R10)),ABS($Y10-$R10)&lt;=1E-10,$Y10=$R10)),IF(OR($Z10="",$S10=""),AND($Z10="",$S10=""),IF(AND(ISNUMBER($Z10),ISNUMBER($S10)),ABS($Z10-$S10)&lt;=1E-10,$Z10=$S10)),(IF(NOT(IFERROR(INDEX('Hidden_Value_Audit'!$Q$2:$Q$8,MATCH($B10,'Hidden_Value_Audit'!$A$2:$A$8,0)),FALSE)),"module_or_profile_pack_disabled",IF($Z10="","predicate_input_unavailable",IF($Z10,"passed","failed")))=$W10)),"PASS","FAIL")</f>
        <v/>
      </c>
    </row>
    <row r="11">
      <c r="X11" s="553">
        <f>IF(IFERROR(INDEX('Hidden_Value_Audit'!$Q$2:$Q$8,MATCH($B11,'Hidden_Value_Audit'!$A$2:$A$8,0)),FALSE),IF(OR(IFERROR(INDEX(HV_Base_Status,MATCH($G11,HV_Base_MetricKey,0)),"")="source_backed",IFERROR(INDEX(HV_Base_Status,MATCH($G11,HV_Base_MetricKey,0)),"")="formula_calculated",IFERROR(INDEX(HV_Base_Status,MATCH($G11,HV_Base_MetricKey,0)),"")="derived_calculated"),IFERROR(INDEX(HV_Base_Value,MATCH($G11,HV_Base_MetricKey,0)),""),""),"")</f>
        <v/>
      </c>
      <c r="Y11" s="553">
        <f>IF(NOT(IFERROR(INDEX('Hidden_Value_Audit'!$Q$2:$Q$8,MATCH($B11,'Hidden_Value_Audit'!$A$2:$A$8,0)),FALSE)),"",IF($I11&lt;&gt;"",IF(OR(IFERROR(INDEX(HV_Base_Status,MATCH($I11,HV_Base_MetricKey,0)),"")="source_backed",IFERROR(INDEX(HV_Base_Status,MATCH($I11,HV_Base_MetricKey,0)),"")="formula_calculated",IFERROR(INDEX(HV_Base_Status,MATCH($I11,HV_Base_MetricKey,0)),"")="derived_calculated"),IFERROR(INDEX(HV_Base_Value,MATCH($I11,HV_Base_MetricKey,0)),""),""),IF($J11="","",$J11)))</f>
        <v/>
      </c>
      <c r="Z11">
        <f>IF(OR($X11="",$Y11=""),"",IF($H11="gt",$X11&gt;$Y11,IF($H11="gte",$X11&gt;=$Y11,IF($H11="lt",$X11&lt;$Y11,IF($H11="lte",$X11&lt;=$Y11,IF($H11="eq",$X11=$Y11,FALSE))))))</f>
        <v/>
      </c>
      <c r="AA11">
        <f>""</f>
        <v/>
      </c>
      <c r="AB11">
        <f>""</f>
        <v/>
      </c>
      <c r="AC11">
        <f>""</f>
        <v/>
      </c>
      <c r="AD11">
        <f>IF(AND(IF(OR($X11="",$Q11=""),AND($X11="",$Q11=""),IF(AND(ISNUMBER($X11),ISNUMBER($Q11)),ABS($X11-$Q11)&lt;=1E-10,$X11=$Q11)),IF(OR($Y11="",$R11=""),AND($Y11="",$R11=""),IF(AND(ISNUMBER($Y11),ISNUMBER($R11)),ABS($Y11-$R11)&lt;=1E-10,$Y11=$R11)),IF(OR($Z11="",$S11=""),AND($Z11="",$S11=""),IF(AND(ISNUMBER($Z11),ISNUMBER($S11)),ABS($Z11-$S11)&lt;=1E-10,$Z11=$S11)),(IF(NOT(IFERROR(INDEX('Hidden_Value_Audit'!$Q$2:$Q$8,MATCH($B11,'Hidden_Value_Audit'!$A$2:$A$8,0)),FALSE)),"module_or_profile_pack_disabled",IF($Z11="","predicate_input_unavailable",IF($Z11,"passed","failed")))=$W11)),"PASS","FAIL")</f>
        <v/>
      </c>
    </row>
    <row r="12">
      <c r="X12" s="553">
        <f>IF(IFERROR(INDEX('Hidden_Value_Audit'!$Q$2:$Q$8,MATCH($B12,'Hidden_Value_Audit'!$A$2:$A$8,0)),FALSE),IF(OR(IFERROR(INDEX(HV_Base_Status,MATCH($G12,HV_Base_MetricKey,0)),"")="source_backed",IFERROR(INDEX(HV_Base_Status,MATCH($G12,HV_Base_MetricKey,0)),"")="formula_calculated",IFERROR(INDEX(HV_Base_Status,MATCH($G12,HV_Base_MetricKey,0)),"")="derived_calculated"),IFERROR(INDEX(HV_Base_Value,MATCH($G12,HV_Base_MetricKey,0)),""),""),"")</f>
        <v/>
      </c>
      <c r="Y12" s="553">
        <f>IF(NOT(IFERROR(INDEX('Hidden_Value_Audit'!$Q$2:$Q$8,MATCH($B12,'Hidden_Value_Audit'!$A$2:$A$8,0)),FALSE)),"",IF($I12&lt;&gt;"",IF(OR(IFERROR(INDEX(HV_Base_Status,MATCH($I12,HV_Base_MetricKey,0)),"")="source_backed",IFERROR(INDEX(HV_Base_Status,MATCH($I12,HV_Base_MetricKey,0)),"")="formula_calculated",IFERROR(INDEX(HV_Base_Status,MATCH($I12,HV_Base_MetricKey,0)),"")="derived_calculated"),IFERROR(INDEX(HV_Base_Value,MATCH($I12,HV_Base_MetricKey,0)),""),""),IF($J12="","",$J12)))</f>
        <v/>
      </c>
      <c r="Z12">
        <f>IF(OR($X12="",$Y12=""),"",IF($H12="gt",$X12&gt;$Y12,IF($H12="gte",$X12&gt;=$Y12,IF($H12="lt",$X12&lt;$Y12,IF($H12="lte",$X12&lt;=$Y12,IF($H12="eq",$X12=$Y12,FALSE))))))</f>
        <v/>
      </c>
      <c r="AA12">
        <f>""</f>
        <v/>
      </c>
      <c r="AB12">
        <f>""</f>
        <v/>
      </c>
      <c r="AC12">
        <f>""</f>
        <v/>
      </c>
      <c r="AD12">
        <f>IF(AND(IF(OR($X12="",$Q12=""),AND($X12="",$Q12=""),IF(AND(ISNUMBER($X12),ISNUMBER($Q12)),ABS($X12-$Q12)&lt;=1E-10,$X12=$Q12)),IF(OR($Y12="",$R12=""),AND($Y12="",$R12=""),IF(AND(ISNUMBER($Y12),ISNUMBER($R12)),ABS($Y12-$R12)&lt;=1E-10,$Y12=$R12)),IF(OR($Z12="",$S12=""),AND($Z12="",$S12=""),IF(AND(ISNUMBER($Z12),ISNUMBER($S12)),ABS($Z12-$S12)&lt;=1E-10,$Z12=$S12)),(IF(NOT(IFERROR(INDEX('Hidden_Value_Audit'!$Q$2:$Q$8,MATCH($B12,'Hidden_Value_Audit'!$A$2:$A$8,0)),FALSE)),"module_or_profile_pack_disabled",IF($Z12="","predicate_input_unavailable",IF($Z12,"passed","failed")))=$W12)),"PASS","FAIL")</f>
        <v/>
      </c>
    </row>
    <row r="13">
      <c r="X13" s="553">
        <f>IF(IFERROR(INDEX('Hidden_Value_Audit'!$Q$2:$Q$8,MATCH($B13,'Hidden_Value_Audit'!$A$2:$A$8,0)),FALSE),IF(OR(IFERROR(INDEX(HV_Base_Status,MATCH($G13,HV_Base_MetricKey,0)),"")="source_backed",IFERROR(INDEX(HV_Base_Status,MATCH($G13,HV_Base_MetricKey,0)),"")="formula_calculated",IFERROR(INDEX(HV_Base_Status,MATCH($G13,HV_Base_MetricKey,0)),"")="derived_calculated"),IFERROR(INDEX(HV_Base_Value,MATCH($G13,HV_Base_MetricKey,0)),""),""),"")</f>
        <v/>
      </c>
      <c r="Y13" s="553">
        <f>IF(NOT(IFERROR(INDEX('Hidden_Value_Audit'!$Q$2:$Q$8,MATCH($B13,'Hidden_Value_Audit'!$A$2:$A$8,0)),FALSE)),"",IF($I13&lt;&gt;"",IF(OR(IFERROR(INDEX(HV_Base_Status,MATCH($I13,HV_Base_MetricKey,0)),"")="source_backed",IFERROR(INDEX(HV_Base_Status,MATCH($I13,HV_Base_MetricKey,0)),"")="formula_calculated",IFERROR(INDEX(HV_Base_Status,MATCH($I13,HV_Base_MetricKey,0)),"")="derived_calculated"),IFERROR(INDEX(HV_Base_Value,MATCH($I13,HV_Base_MetricKey,0)),""),""),IF($J13="","",$J13)))</f>
        <v/>
      </c>
      <c r="Z13">
        <f>IF(OR($X13="",$Y13=""),"",IF($H13="gt",$X13&gt;$Y13,IF($H13="gte",$X13&gt;=$Y13,IF($H13="lt",$X13&lt;$Y13,IF($H13="lte",$X13&lt;=$Y13,IF($H13="eq",$X13=$Y13,FALSE))))))</f>
        <v/>
      </c>
      <c r="AA13">
        <f>""</f>
        <v/>
      </c>
      <c r="AB13">
        <f>""</f>
        <v/>
      </c>
      <c r="AC13">
        <f>""</f>
        <v/>
      </c>
      <c r="AD13">
        <f>IF(AND(IF(OR($X13="",$Q13=""),AND($X13="",$Q13=""),IF(AND(ISNUMBER($X13),ISNUMBER($Q13)),ABS($X13-$Q13)&lt;=1E-10,$X13=$Q13)),IF(OR($Y13="",$R13=""),AND($Y13="",$R13=""),IF(AND(ISNUMBER($Y13),ISNUMBER($R13)),ABS($Y13-$R13)&lt;=1E-10,$Y13=$R13)),IF(OR($Z13="",$S13=""),AND($Z13="",$S13=""),IF(AND(ISNUMBER($Z13),ISNUMBER($S13)),ABS($Z13-$S13)&lt;=1E-10,$Z13=$S13)),(IF(NOT(IFERROR(INDEX('Hidden_Value_Audit'!$Q$2:$Q$8,MATCH($B13,'Hidden_Value_Audit'!$A$2:$A$8,0)),FALSE)),"module_or_profile_pack_disabled",IF($Z13="","predicate_input_unavailable",IF($Z13,"passed","failed")))=$W13)),"PASS","FAIL")</f>
        <v/>
      </c>
    </row>
    <row r="14">
      <c r="X14" s="553">
        <f>IF(IFERROR(INDEX('Hidden_Value_Audit'!$Q$2:$Q$8,MATCH($B14,'Hidden_Value_Audit'!$A$2:$A$8,0)),FALSE),IF(OR(IFERROR(INDEX(HV_Base_Status,MATCH($G14,HV_Base_MetricKey,0)),"")="source_backed",IFERROR(INDEX(HV_Base_Status,MATCH($G14,HV_Base_MetricKey,0)),"")="formula_calculated",IFERROR(INDEX(HV_Base_Status,MATCH($G14,HV_Base_MetricKey,0)),"")="derived_calculated"),IFERROR(INDEX(HV_Base_Value,MATCH($G14,HV_Base_MetricKey,0)),""),""),"")</f>
        <v/>
      </c>
      <c r="Y14" s="553">
        <f>IF(NOT(IFERROR(INDEX('Hidden_Value_Audit'!$Q$2:$Q$8,MATCH($B14,'Hidden_Value_Audit'!$A$2:$A$8,0)),FALSE)),"",IF($I14&lt;&gt;"",IF(OR(IFERROR(INDEX(HV_Base_Status,MATCH($I14,HV_Base_MetricKey,0)),"")="source_backed",IFERROR(INDEX(HV_Base_Status,MATCH($I14,HV_Base_MetricKey,0)),"")="formula_calculated",IFERROR(INDEX(HV_Base_Status,MATCH($I14,HV_Base_MetricKey,0)),"")="derived_calculated"),IFERROR(INDEX(HV_Base_Value,MATCH($I14,HV_Base_MetricKey,0)),""),""),IF($J14="","",$J14)))</f>
        <v/>
      </c>
      <c r="Z14">
        <f>IF(OR($X14="",$Y14=""),"",IF($H14="gt",$X14&gt;$Y14,IF($H14="gte",$X14&gt;=$Y14,IF($H14="lt",$X14&lt;$Y14,IF($H14="lte",$X14&lt;=$Y14,IF($H14="eq",$X14=$Y14,FALSE))))))</f>
        <v/>
      </c>
      <c r="AA14">
        <f>""</f>
        <v/>
      </c>
      <c r="AB14">
        <f>""</f>
        <v/>
      </c>
      <c r="AC14">
        <f>""</f>
        <v/>
      </c>
      <c r="AD14">
        <f>IF(AND(IF(OR($X14="",$Q14=""),AND($X14="",$Q14=""),IF(AND(ISNUMBER($X14),ISNUMBER($Q14)),ABS($X14-$Q14)&lt;=1E-10,$X14=$Q14)),IF(OR($Y14="",$R14=""),AND($Y14="",$R14=""),IF(AND(ISNUMBER($Y14),ISNUMBER($R14)),ABS($Y14-$R14)&lt;=1E-10,$Y14=$R14)),IF(OR($Z14="",$S14=""),AND($Z14="",$S14=""),IF(AND(ISNUMBER($Z14),ISNUMBER($S14)),ABS($Z14-$S14)&lt;=1E-10,$Z14=$S14)),(IF(NOT(IFERROR(INDEX('Hidden_Value_Audit'!$Q$2:$Q$8,MATCH($B14,'Hidden_Value_Audit'!$A$2:$A$8,0)),FALSE)),"module_or_profile_pack_disabled",IF($Z14="","predicate_input_unavailable",IF($Z14,"passed","failed")))=$W14)),"PASS","FAIL")</f>
        <v/>
      </c>
    </row>
    <row r="15">
      <c r="X15" s="553">
        <f>IF(IFERROR(INDEX('Hidden_Value_Audit'!$Q$2:$Q$8,MATCH($B15,'Hidden_Value_Audit'!$A$2:$A$8,0)),FALSE),IF(OR(IFERROR(INDEX(HV_Base_Status,MATCH($G15,HV_Base_MetricKey,0)),"")="source_backed",IFERROR(INDEX(HV_Base_Status,MATCH($G15,HV_Base_MetricKey,0)),"")="formula_calculated",IFERROR(INDEX(HV_Base_Status,MATCH($G15,HV_Base_MetricKey,0)),"")="derived_calculated"),IFERROR(INDEX(HV_Base_Value,MATCH($G15,HV_Base_MetricKey,0)),""),""),"")</f>
        <v/>
      </c>
      <c r="Y15" s="553">
        <f>IF(NOT(IFERROR(INDEX('Hidden_Value_Audit'!$Q$2:$Q$8,MATCH($B15,'Hidden_Value_Audit'!$A$2:$A$8,0)),FALSE)),"",IF($I15&lt;&gt;"",IF(OR(IFERROR(INDEX(HV_Base_Status,MATCH($I15,HV_Base_MetricKey,0)),"")="source_backed",IFERROR(INDEX(HV_Base_Status,MATCH($I15,HV_Base_MetricKey,0)),"")="formula_calculated",IFERROR(INDEX(HV_Base_Status,MATCH($I15,HV_Base_MetricKey,0)),"")="derived_calculated"),IFERROR(INDEX(HV_Base_Value,MATCH($I15,HV_Base_MetricKey,0)),""),""),IF($J15="","",$J15)))</f>
        <v/>
      </c>
      <c r="Z15">
        <f>IF(OR($X15="",$Y15=""),"",IF($H15="gt",$X15&gt;$Y15,IF($H15="gte",$X15&gt;=$Y15,IF($H15="lt",$X15&lt;$Y15,IF($H15="lte",$X15&lt;=$Y15,IF($H15="eq",$X15=$Y15,FALSE))))))</f>
        <v/>
      </c>
      <c r="AA15">
        <f>""</f>
        <v/>
      </c>
      <c r="AB15">
        <f>""</f>
        <v/>
      </c>
      <c r="AC15">
        <f>""</f>
        <v/>
      </c>
      <c r="AD15">
        <f>IF(AND(IF(OR($X15="",$Q15=""),AND($X15="",$Q15=""),IF(AND(ISNUMBER($X15),ISNUMBER($Q15)),ABS($X15-$Q15)&lt;=1E-10,$X15=$Q15)),IF(OR($Y15="",$R15=""),AND($Y15="",$R15=""),IF(AND(ISNUMBER($Y15),ISNUMBER($R15)),ABS($Y15-$R15)&lt;=1E-10,$Y15=$R15)),IF(OR($Z15="",$S15=""),AND($Z15="",$S15=""),IF(AND(ISNUMBER($Z15),ISNUMBER($S15)),ABS($Z15-$S15)&lt;=1E-10,$Z15=$S15)),(IF(NOT(IFERROR(INDEX('Hidden_Value_Audit'!$Q$2:$Q$8,MATCH($B15,'Hidden_Value_Audit'!$A$2:$A$8,0)),FALSE)),"module_or_profile_pack_disabled",IF($Z15="","predicate_input_unavailable",IF($Z15,"passed","failed")))=$W15)),"PASS","FAIL")</f>
        <v/>
      </c>
    </row>
    <row r="16">
      <c r="X16" s="553">
        <f>IF(IFERROR(INDEX('Hidden_Value_Audit'!$Q$2:$Q$8,MATCH($B16,'Hidden_Value_Audit'!$A$2:$A$8,0)),FALSE),IF(OR(IFERROR(INDEX(HV_Base_Status,MATCH($G16,HV_Base_MetricKey,0)),"")="source_backed",IFERROR(INDEX(HV_Base_Status,MATCH($G16,HV_Base_MetricKey,0)),"")="formula_calculated",IFERROR(INDEX(HV_Base_Status,MATCH($G16,HV_Base_MetricKey,0)),"")="derived_calculated"),IFERROR(INDEX(HV_Base_Value,MATCH($G16,HV_Base_MetricKey,0)),""),""),"")</f>
        <v/>
      </c>
      <c r="Y16">
        <f>IF(IFERROR(INDEX('Hidden_Value_Audit'!$Q$2:$Q$8,MATCH($B16,'Hidden_Value_Audit'!$A$2:$A$8,0)),FALSE),IFERROR(INDEX(HV_Base_Status,MATCH($G16,HV_Base_MetricKey,0)),""),"unavailable")</f>
        <v/>
      </c>
      <c r="Z16">
        <f>IF(NOT(IFERROR(INDEX('Hidden_Value_Audit'!$Q$2:$Q$8,MATCH($B16,'Hidden_Value_Audit'!$A$2:$A$8,0)),FALSE)),FALSE,AND(ISNUMBER($X16),OR($Y16="source_backed",$Y16="formula_calculated",$Y16="derived_calculated")))</f>
        <v/>
      </c>
      <c r="AA16" s="553">
        <f>IF($Z16,$L16,0)</f>
        <v/>
      </c>
      <c r="AB16" s="553">
        <f>IF(NOT($Z16),"",IF(OR(NOT(ISNUMBER($N16)),NOT(ISNUMBER($O16)),$O16&lt;=0,NOT(ISNUMBER($P16)),AND($M16&lt;&gt;"higher",$M16&lt;&gt;"lower")),"",MAX(0,MIN(1,IF($M16="lower",($N16-$X16)/$O16+$P16,($X16-$N16)/$O16+$P16)))))</f>
        <v/>
      </c>
      <c r="AC16" s="553">
        <f>IF($AB16="","",$AB16*$AA16)</f>
        <v/>
      </c>
      <c r="AD16">
        <f>IF(AND(IF(OR($X16="",$Q16=""),AND($X16="",$Q16=""),IF(AND(ISNUMBER($X16),ISNUMBER($Q16)),ABS($X16-$Q16)&lt;=1E-10,$X16=$Q16)),IF(OR($AA16="",$T16=""),AND($AA16="",$T16=""),IF(AND(ISNUMBER($AA16),ISNUMBER($T16)),ABS($AA16-$T16)&lt;=1E-10,$AA16=$T16)),IF(OR($AB16="",$U16=""),AND($AB16="",$U16=""),IF(AND(ISNUMBER($AB16),ISNUMBER($U16)),ABS($AB16-$U16)&lt;=1E-10,$AB16=$U16)),IF(OR($AC16="",$V16=""),AND($AC16="",$V16=""),IF(AND(ISNUMBER($AC16),ISNUMBER($V16)),ABS($AC16-$V16)&lt;=1E-10,$AC16=$V16)),(IF($Z16,"calculated","unavailable")=$W16)),"PASS","FAIL")</f>
        <v/>
      </c>
    </row>
    <row r="17">
      <c r="X17" s="553">
        <f>IF(IFERROR(INDEX('Hidden_Value_Audit'!$Q$2:$Q$8,MATCH($B17,'Hidden_Value_Audit'!$A$2:$A$8,0)),FALSE),IF(OR(IFERROR(INDEX(HV_Base_Status,MATCH($G17,HV_Base_MetricKey,0)),"")="source_backed",IFERROR(INDEX(HV_Base_Status,MATCH($G17,HV_Base_MetricKey,0)),"")="formula_calculated",IFERROR(INDEX(HV_Base_Status,MATCH($G17,HV_Base_MetricKey,0)),"")="derived_calculated"),IFERROR(INDEX(HV_Base_Value,MATCH($G17,HV_Base_MetricKey,0)),""),""),"")</f>
        <v/>
      </c>
      <c r="Y17">
        <f>IF(IFERROR(INDEX('Hidden_Value_Audit'!$Q$2:$Q$8,MATCH($B17,'Hidden_Value_Audit'!$A$2:$A$8,0)),FALSE),IFERROR(INDEX(HV_Base_Status,MATCH($G17,HV_Base_MetricKey,0)),""),"unavailable")</f>
        <v/>
      </c>
      <c r="Z17">
        <f>IF(NOT(IFERROR(INDEX('Hidden_Value_Audit'!$Q$2:$Q$8,MATCH($B17,'Hidden_Value_Audit'!$A$2:$A$8,0)),FALSE)),FALSE,AND(ISNUMBER($X17),OR($Y17="source_backed",$Y17="formula_calculated",$Y17="derived_calculated")))</f>
        <v/>
      </c>
      <c r="AA17" s="553">
        <f>IF($Z17,$L17,0)</f>
        <v/>
      </c>
      <c r="AB17" s="553">
        <f>IF(NOT($Z17),"",IF(OR(NOT(ISNUMBER($N17)),NOT(ISNUMBER($O17)),$O17&lt;=0,NOT(ISNUMBER($P17)),AND($M17&lt;&gt;"higher",$M17&lt;&gt;"lower")),"",MAX(0,MIN(1,IF($M17="lower",($N17-$X17)/$O17+$P17,($X17-$N17)/$O17+$P17)))))</f>
        <v/>
      </c>
      <c r="AC17" s="553">
        <f>IF($AB17="","",$AB17*$AA17)</f>
        <v/>
      </c>
      <c r="AD17">
        <f>IF(AND(IF(OR($X17="",$Q17=""),AND($X17="",$Q17=""),IF(AND(ISNUMBER($X17),ISNUMBER($Q17)),ABS($X17-$Q17)&lt;=1E-10,$X17=$Q17)),IF(OR($AA17="",$T17=""),AND($AA17="",$T17=""),IF(AND(ISNUMBER($AA17),ISNUMBER($T17)),ABS($AA17-$T17)&lt;=1E-10,$AA17=$T17)),IF(OR($AB17="",$U17=""),AND($AB17="",$U17=""),IF(AND(ISNUMBER($AB17),ISNUMBER($U17)),ABS($AB17-$U17)&lt;=1E-10,$AB17=$U17)),IF(OR($AC17="",$V17=""),AND($AC17="",$V17=""),IF(AND(ISNUMBER($AC17),ISNUMBER($V17)),ABS($AC17-$V17)&lt;=1E-10,$AC17=$V17)),(IF($Z17,"calculated","unavailable")=$W17)),"PASS","FAIL")</f>
        <v/>
      </c>
    </row>
    <row r="18">
      <c r="X18" s="553">
        <f>IF(IFERROR(INDEX('Hidden_Value_Audit'!$Q$2:$Q$8,MATCH($B18,'Hidden_Value_Audit'!$A$2:$A$8,0)),FALSE),IF(OR(IFERROR(INDEX(HV_Base_Status,MATCH($G18,HV_Base_MetricKey,0)),"")="source_backed",IFERROR(INDEX(HV_Base_Status,MATCH($G18,HV_Base_MetricKey,0)),"")="formula_calculated",IFERROR(INDEX(HV_Base_Status,MATCH($G18,HV_Base_MetricKey,0)),"")="derived_calculated"),IFERROR(INDEX(HV_Base_Value,MATCH($G18,HV_Base_MetricKey,0)),""),""),"")</f>
        <v/>
      </c>
      <c r="Y18">
        <f>IF(IFERROR(INDEX('Hidden_Value_Audit'!$Q$2:$Q$8,MATCH($B18,'Hidden_Value_Audit'!$A$2:$A$8,0)),FALSE),IFERROR(INDEX(HV_Base_Status,MATCH($G18,HV_Base_MetricKey,0)),""),"unavailable")</f>
        <v/>
      </c>
      <c r="Z18">
        <f>IF(NOT(IFERROR(INDEX('Hidden_Value_Audit'!$Q$2:$Q$8,MATCH($B18,'Hidden_Value_Audit'!$A$2:$A$8,0)),FALSE)),FALSE,AND(ISNUMBER($X18),OR($Y18="source_backed",$Y18="formula_calculated",$Y18="derived_calculated")))</f>
        <v/>
      </c>
      <c r="AA18" s="553">
        <f>IF($Z18,$L18,0)</f>
        <v/>
      </c>
      <c r="AB18" s="553">
        <f>IF(NOT($Z18),"",IF(OR(NOT(ISNUMBER($N18)),NOT(ISNUMBER($O18)),$O18&lt;=0,NOT(ISNUMBER($P18)),AND($M18&lt;&gt;"higher",$M18&lt;&gt;"lower")),"",MAX(0,MIN(1,IF($M18="lower",($N18-$X18)/$O18+$P18,($X18-$N18)/$O18+$P18)))))</f>
        <v/>
      </c>
      <c r="AC18" s="553">
        <f>IF($AB18="","",$AB18*$AA18)</f>
        <v/>
      </c>
      <c r="AD18">
        <f>IF(AND(IF(OR($X18="",$Q18=""),AND($X18="",$Q18=""),IF(AND(ISNUMBER($X18),ISNUMBER($Q18)),ABS($X18-$Q18)&lt;=1E-10,$X18=$Q18)),IF(OR($AA18="",$T18=""),AND($AA18="",$T18=""),IF(AND(ISNUMBER($AA18),ISNUMBER($T18)),ABS($AA18-$T18)&lt;=1E-10,$AA18=$T18)),IF(OR($AB18="",$U18=""),AND($AB18="",$U18=""),IF(AND(ISNUMBER($AB18),ISNUMBER($U18)),ABS($AB18-$U18)&lt;=1E-10,$AB18=$U18)),IF(OR($AC18="",$V18=""),AND($AC18="",$V18=""),IF(AND(ISNUMBER($AC18),ISNUMBER($V18)),ABS($AC18-$V18)&lt;=1E-10,$AC18=$V18)),(IF($Z18,"calculated","unavailable")=$W18)),"PASS","FAIL")</f>
        <v/>
      </c>
    </row>
    <row r="19">
      <c r="X19" s="553">
        <f>IF(OR(IFERROR(INDEX(HV_Base_Status,MATCH($G19,HV_Base_MetricKey,0)),"")="source_backed",IFERROR(INDEX(HV_Base_Status,MATCH($G19,HV_Base_MetricKey,0)),"")="formula_calculated",IFERROR(INDEX(HV_Base_Status,MATCH($G19,HV_Base_MetricKey,0)),"")="derived_calculated"),IFERROR(INDEX(HV_Base_Value,MATCH($G19,HV_Base_MetricKey,0)),""),"")</f>
        <v/>
      </c>
      <c r="Y19">
        <f>IFERROR(INDEX(HV_Base_Status,MATCH($G19,HV_Base_MetricKey,0)),"")</f>
        <v/>
      </c>
      <c r="Z19">
        <f>IF($G19="","",AND(ISNUMBER($X19),OR($Y19="source_backed",$Y19="formula_calculated",$Y19="derived_calculated")))</f>
        <v/>
      </c>
      <c r="AA19">
        <f>""</f>
        <v/>
      </c>
      <c r="AB19">
        <f>""</f>
        <v/>
      </c>
      <c r="AC19">
        <f>""</f>
        <v/>
      </c>
      <c r="AD19">
        <f>IF(AND(IF(OR($X19="",$Q19=""),AND($X19="",$Q19=""),IF(AND(ISNUMBER($X19),ISNUMBER($Q19)),ABS($X19-$Q19)&lt;=1E-10,$X19=$Q19)),IF(OR($Y19="",$W19=""),AND($Y19="",$W19=""),IF(AND(ISNUMBER($Y19),ISNUMBER($W19)),ABS($Y19-$W19)&lt;=1E-10,$Y19=$W19)),IF(OR($Z19="",$S19=""),AND($Z19="",$S19=""),IF(AND(ISNUMBER($Z19),ISNUMBER($S19)),ABS($Z19-$S19)&lt;=1E-10,$Z19=$S19))),"PASS","FAIL")</f>
        <v/>
      </c>
    </row>
    <row r="20">
      <c r="X20" s="553">
        <f>IF(OR(IFERROR(INDEX(HV_Base_Status,MATCH($G20,HV_Base_MetricKey,0)),"")="source_backed",IFERROR(INDEX(HV_Base_Status,MATCH($G20,HV_Base_MetricKey,0)),"")="formula_calculated",IFERROR(INDEX(HV_Base_Status,MATCH($G20,HV_Base_MetricKey,0)),"")="derived_calculated"),IFERROR(INDEX(HV_Base_Value,MATCH($G20,HV_Base_MetricKey,0)),""),"")</f>
        <v/>
      </c>
      <c r="Y20">
        <f>IFERROR(INDEX(HV_Base_Status,MATCH($G20,HV_Base_MetricKey,0)),"")</f>
        <v/>
      </c>
      <c r="Z20">
        <f>IF($G20="","",AND(ISNUMBER($X20),OR($Y20="source_backed",$Y20="formula_calculated",$Y20="derived_calculated")))</f>
        <v/>
      </c>
      <c r="AA20">
        <f>""</f>
        <v/>
      </c>
      <c r="AB20">
        <f>""</f>
        <v/>
      </c>
      <c r="AC20">
        <f>""</f>
        <v/>
      </c>
      <c r="AD20">
        <f>IF(AND(IF(OR($X20="",$Q20=""),AND($X20="",$Q20=""),IF(AND(ISNUMBER($X20),ISNUMBER($Q20)),ABS($X20-$Q20)&lt;=1E-10,$X20=$Q20)),IF(OR($Y20="",$W20=""),AND($Y20="",$W20=""),IF(AND(ISNUMBER($Y20),ISNUMBER($W20)),ABS($Y20-$W20)&lt;=1E-10,$Y20=$W20)),IF(OR($Z20="",$S20=""),AND($Z20="",$S20=""),IF(AND(ISNUMBER($Z20),ISNUMBER($S20)),ABS($Z20-$S20)&lt;=1E-10,$Z20=$S20))),"PASS","FAIL")</f>
        <v/>
      </c>
    </row>
    <row r="21">
      <c r="X21" s="553">
        <f>IF(OR(IFERROR(INDEX(HV_Base_Status,MATCH($G21,HV_Base_MetricKey,0)),"")="source_backed",IFERROR(INDEX(HV_Base_Status,MATCH($G21,HV_Base_MetricKey,0)),"")="formula_calculated",IFERROR(INDEX(HV_Base_Status,MATCH($G21,HV_Base_MetricKey,0)),"")="derived_calculated"),IFERROR(INDEX(HV_Base_Value,MATCH($G21,HV_Base_MetricKey,0)),""),"")</f>
        <v/>
      </c>
      <c r="Y21">
        <f>IFERROR(INDEX(HV_Base_Status,MATCH($G21,HV_Base_MetricKey,0)),"")</f>
        <v/>
      </c>
      <c r="Z21">
        <f>IF($G21="","",AND(ISNUMBER($X21),OR($Y21="source_backed",$Y21="formula_calculated",$Y21="derived_calculated")))</f>
        <v/>
      </c>
      <c r="AA21">
        <f>""</f>
        <v/>
      </c>
      <c r="AB21">
        <f>""</f>
        <v/>
      </c>
      <c r="AC21">
        <f>""</f>
        <v/>
      </c>
      <c r="AD21">
        <f>IF(AND(IF(OR($X21="",$Q21=""),AND($X21="",$Q21=""),IF(AND(ISNUMBER($X21),ISNUMBER($Q21)),ABS($X21-$Q21)&lt;=1E-10,$X21=$Q21)),IF(OR($Y21="",$W21=""),AND($Y21="",$W21=""),IF(AND(ISNUMBER($Y21),ISNUMBER($W21)),ABS($Y21-$W21)&lt;=1E-10,$Y21=$W21)),IF(OR($Z21="",$S21=""),AND($Z21="",$S21=""),IF(AND(ISNUMBER($Z21),ISNUMBER($S21)),ABS($Z21-$S21)&lt;=1E-10,$Z21=$S21))),"PASS","FAIL")</f>
        <v/>
      </c>
    </row>
    <row r="22">
      <c r="X22" s="553">
        <f>IF(OR(IFERROR(INDEX(HV_Base_Status,MATCH($G22,HV_Base_MetricKey,0)),"")="source_backed",IFERROR(INDEX(HV_Base_Status,MATCH($G22,HV_Base_MetricKey,0)),"")="formula_calculated",IFERROR(INDEX(HV_Base_Status,MATCH($G22,HV_Base_MetricKey,0)),"")="derived_calculated"),IFERROR(INDEX(HV_Base_Value,MATCH($G22,HV_Base_MetricKey,0)),""),"")</f>
        <v/>
      </c>
      <c r="Y22">
        <f>IFERROR(INDEX(HV_Base_Status,MATCH($G22,HV_Base_MetricKey,0)),"")</f>
        <v/>
      </c>
      <c r="Z22">
        <f>IF($G22="","",AND(ISNUMBER($X22),OR($Y22="source_backed",$Y22="formula_calculated",$Y22="derived_calculated")))</f>
        <v/>
      </c>
      <c r="AA22">
        <f>""</f>
        <v/>
      </c>
      <c r="AB22">
        <f>""</f>
        <v/>
      </c>
      <c r="AC22">
        <f>""</f>
        <v/>
      </c>
      <c r="AD22">
        <f>IF(AND(IF(OR($X22="",$Q22=""),AND($X22="",$Q22=""),IF(AND(ISNUMBER($X22),ISNUMBER($Q22)),ABS($X22-$Q22)&lt;=1E-10,$X22=$Q22)),IF(OR($Y22="",$W22=""),AND($Y22="",$W22=""),IF(AND(ISNUMBER($Y22),ISNUMBER($W22)),ABS($Y22-$W22)&lt;=1E-10,$Y22=$W22)),IF(OR($Z22="",$S22=""),AND($Z22="",$S22=""),IF(AND(ISNUMBER($Z22),ISNUMBER($S22)),ABS($Z22-$S22)&lt;=1E-10,$Z22=$S22))),"PASS","FAIL")</f>
        <v/>
      </c>
    </row>
    <row r="23">
      <c r="X23" s="553">
        <f>IF(OR(IFERROR(INDEX(HV_Base_Status,MATCH($G23,HV_Base_MetricKey,0)),"")="source_backed",IFERROR(INDEX(HV_Base_Status,MATCH($G23,HV_Base_MetricKey,0)),"")="formula_calculated",IFERROR(INDEX(HV_Base_Status,MATCH($G23,HV_Base_MetricKey,0)),"")="derived_calculated"),IFERROR(INDEX(HV_Base_Value,MATCH($G23,HV_Base_MetricKey,0)),""),"")</f>
        <v/>
      </c>
      <c r="Y23">
        <f>IFERROR(INDEX(HV_Base_Status,MATCH($G23,HV_Base_MetricKey,0)),"")</f>
        <v/>
      </c>
      <c r="Z23">
        <f>IF($G23="","",AND(ISNUMBER($X23),OR($Y23="source_backed",$Y23="formula_calculated",$Y23="derived_calculated")))</f>
        <v/>
      </c>
      <c r="AA23">
        <f>""</f>
        <v/>
      </c>
      <c r="AB23">
        <f>""</f>
        <v/>
      </c>
      <c r="AC23">
        <f>""</f>
        <v/>
      </c>
      <c r="AD23">
        <f>IF(AND(IF(OR($X23="",$Q23=""),AND($X23="",$Q23=""),IF(AND(ISNUMBER($X23),ISNUMBER($Q23)),ABS($X23-$Q23)&lt;=1E-10,$X23=$Q23)),IF(OR($Y23="",$W23=""),AND($Y23="",$W23=""),IF(AND(ISNUMBER($Y23),ISNUMBER($W23)),ABS($Y23-$W23)&lt;=1E-10,$Y23=$W23)),IF(OR($Z23="",$S23=""),AND($Z23="",$S23=""),IF(AND(ISNUMBER($Z23),ISNUMBER($S23)),ABS($Z23-$S23)&lt;=1E-10,$Z23=$S23))),"PASS","FAIL")</f>
        <v/>
      </c>
    </row>
    <row r="24">
      <c r="X24" s="553">
        <f>IF(IFERROR(INDEX('Hidden_Value_Audit'!$Q$2:$Q$8,MATCH($B24,'Hidden_Value_Audit'!$A$2:$A$8,0)),FALSE),IF(OR(IFERROR(INDEX(HV_Base_Status,MATCH($G24,HV_Base_MetricKey,0)),"")="source_backed",IFERROR(INDEX(HV_Base_Status,MATCH($G24,HV_Base_MetricKey,0)),"")="formula_calculated",IFERROR(INDEX(HV_Base_Status,MATCH($G24,HV_Base_MetricKey,0)),"")="derived_calculated"),IFERROR(INDEX(HV_Base_Value,MATCH($G24,HV_Base_MetricKey,0)),""),""),"")</f>
        <v/>
      </c>
      <c r="Y24" s="553">
        <f>IF(NOT(IFERROR(INDEX('Hidden_Value_Audit'!$Q$2:$Q$8,MATCH($B24,'Hidden_Value_Audit'!$A$2:$A$8,0)),FALSE)),"",IF($I24&lt;&gt;"",IF(OR(IFERROR(INDEX(HV_Base_Status,MATCH($I24,HV_Base_MetricKey,0)),"")="source_backed",IFERROR(INDEX(HV_Base_Status,MATCH($I24,HV_Base_MetricKey,0)),"")="formula_calculated",IFERROR(INDEX(HV_Base_Status,MATCH($I24,HV_Base_MetricKey,0)),"")="derived_calculated"),IFERROR(INDEX(HV_Base_Value,MATCH($I24,HV_Base_MetricKey,0)),""),""),IF($J24="","",$J24)))</f>
        <v/>
      </c>
      <c r="Z24">
        <f>IF(OR($X24="",$Y24=""),"",IF($H24="gt",$X24&gt;$Y24,IF($H24="gte",$X24&gt;=$Y24,IF($H24="lt",$X24&lt;$Y24,IF($H24="lte",$X24&lt;=$Y24,IF($H24="eq",$X24=$Y24,FALSE))))))</f>
        <v/>
      </c>
      <c r="AA24">
        <f>""</f>
        <v/>
      </c>
      <c r="AB24">
        <f>""</f>
        <v/>
      </c>
      <c r="AC24">
        <f>""</f>
        <v/>
      </c>
      <c r="AD24">
        <f>IF(AND(IF(OR($X24="",$Q24=""),AND($X24="",$Q24=""),IF(AND(ISNUMBER($X24),ISNUMBER($Q24)),ABS($X24-$Q24)&lt;=1E-10,$X24=$Q24)),IF(OR($Y24="",$R24=""),AND($Y24="",$R24=""),IF(AND(ISNUMBER($Y24),ISNUMBER($R24)),ABS($Y24-$R24)&lt;=1E-10,$Y24=$R24)),IF(OR($Z24="",$S24=""),AND($Z24="",$S24=""),IF(AND(ISNUMBER($Z24),ISNUMBER($S24)),ABS($Z24-$S24)&lt;=1E-10,$Z24=$S24)),(IF(NOT(IFERROR(INDEX('Hidden_Value_Audit'!$Q$2:$Q$8,MATCH($B24,'Hidden_Value_Audit'!$A$2:$A$8,0)),FALSE)),"module_or_profile_pack_disabled",IF($Z24="","predicate_input_unavailable",IF($Z24,"passed","failed")))=$W24)),"PASS","FAIL")</f>
        <v/>
      </c>
    </row>
    <row r="25">
      <c r="X25" s="553">
        <f>IF(IFERROR(INDEX('Hidden_Value_Audit'!$Q$2:$Q$8,MATCH($B25,'Hidden_Value_Audit'!$A$2:$A$8,0)),FALSE),IF(OR(IFERROR(INDEX(HV_Base_Status,MATCH($G25,HV_Base_MetricKey,0)),"")="source_backed",IFERROR(INDEX(HV_Base_Status,MATCH($G25,HV_Base_MetricKey,0)),"")="formula_calculated",IFERROR(INDEX(HV_Base_Status,MATCH($G25,HV_Base_MetricKey,0)),"")="derived_calculated"),IFERROR(INDEX(HV_Base_Value,MATCH($G25,HV_Base_MetricKey,0)),""),""),"")</f>
        <v/>
      </c>
      <c r="Y25" s="553">
        <f>IF(NOT(IFERROR(INDEX('Hidden_Value_Audit'!$Q$2:$Q$8,MATCH($B25,'Hidden_Value_Audit'!$A$2:$A$8,0)),FALSE)),"",IF($I25&lt;&gt;"",IF(OR(IFERROR(INDEX(HV_Base_Status,MATCH($I25,HV_Base_MetricKey,0)),"")="source_backed",IFERROR(INDEX(HV_Base_Status,MATCH($I25,HV_Base_MetricKey,0)),"")="formula_calculated",IFERROR(INDEX(HV_Base_Status,MATCH($I25,HV_Base_MetricKey,0)),"")="derived_calculated"),IFERROR(INDEX(HV_Base_Value,MATCH($I25,HV_Base_MetricKey,0)),""),""),IF($J25="","",$J25)))</f>
        <v/>
      </c>
      <c r="Z25">
        <f>IF(OR($X25="",$Y25=""),"",IF($H25="gt",$X25&gt;$Y25,IF($H25="gte",$X25&gt;=$Y25,IF($H25="lt",$X25&lt;$Y25,IF($H25="lte",$X25&lt;=$Y25,IF($H25="eq",$X25=$Y25,FALSE))))))</f>
        <v/>
      </c>
      <c r="AA25">
        <f>""</f>
        <v/>
      </c>
      <c r="AB25">
        <f>""</f>
        <v/>
      </c>
      <c r="AC25">
        <f>""</f>
        <v/>
      </c>
      <c r="AD25">
        <f>IF(AND(IF(OR($X25="",$Q25=""),AND($X25="",$Q25=""),IF(AND(ISNUMBER($X25),ISNUMBER($Q25)),ABS($X25-$Q25)&lt;=1E-10,$X25=$Q25)),IF(OR($Y25="",$R25=""),AND($Y25="",$R25=""),IF(AND(ISNUMBER($Y25),ISNUMBER($R25)),ABS($Y25-$R25)&lt;=1E-10,$Y25=$R25)),IF(OR($Z25="",$S25=""),AND($Z25="",$S25=""),IF(AND(ISNUMBER($Z25),ISNUMBER($S25)),ABS($Z25-$S25)&lt;=1E-10,$Z25=$S25)),(IF(NOT(IFERROR(INDEX('Hidden_Value_Audit'!$Q$2:$Q$8,MATCH($B25,'Hidden_Value_Audit'!$A$2:$A$8,0)),FALSE)),"module_or_profile_pack_disabled",IF($Z25="","predicate_input_unavailable",IF($Z25,"passed","failed")))=$W25)),"PASS","FAIL")</f>
        <v/>
      </c>
    </row>
    <row r="26">
      <c r="X26" s="553">
        <f>IF(IFERROR(INDEX('Hidden_Value_Audit'!$Q$2:$Q$8,MATCH($B26,'Hidden_Value_Audit'!$A$2:$A$8,0)),FALSE),IF(OR(IFERROR(INDEX(HV_Base_Status,MATCH($G26,HV_Base_MetricKey,0)),"")="source_backed",IFERROR(INDEX(HV_Base_Status,MATCH($G26,HV_Base_MetricKey,0)),"")="formula_calculated",IFERROR(INDEX(HV_Base_Status,MATCH($G26,HV_Base_MetricKey,0)),"")="derived_calculated"),IFERROR(INDEX(HV_Base_Value,MATCH($G26,HV_Base_MetricKey,0)),""),""),"")</f>
        <v/>
      </c>
      <c r="Y26" s="553">
        <f>IF(NOT(IFERROR(INDEX('Hidden_Value_Audit'!$Q$2:$Q$8,MATCH($B26,'Hidden_Value_Audit'!$A$2:$A$8,0)),FALSE)),"",IF($I26&lt;&gt;"",IF(OR(IFERROR(INDEX(HV_Base_Status,MATCH($I26,HV_Base_MetricKey,0)),"")="source_backed",IFERROR(INDEX(HV_Base_Status,MATCH($I26,HV_Base_MetricKey,0)),"")="formula_calculated",IFERROR(INDEX(HV_Base_Status,MATCH($I26,HV_Base_MetricKey,0)),"")="derived_calculated"),IFERROR(INDEX(HV_Base_Value,MATCH($I26,HV_Base_MetricKey,0)),""),""),IF($J26="","",$J26)))</f>
        <v/>
      </c>
      <c r="Z26">
        <f>IF(OR($X26="",$Y26=""),"",IF($H26="gt",$X26&gt;$Y26,IF($H26="gte",$X26&gt;=$Y26,IF($H26="lt",$X26&lt;$Y26,IF($H26="lte",$X26&lt;=$Y26,IF($H26="eq",$X26=$Y26,FALSE))))))</f>
        <v/>
      </c>
      <c r="AA26">
        <f>""</f>
        <v/>
      </c>
      <c r="AB26">
        <f>""</f>
        <v/>
      </c>
      <c r="AC26">
        <f>""</f>
        <v/>
      </c>
      <c r="AD26">
        <f>IF(AND(IF(OR($X26="",$Q26=""),AND($X26="",$Q26=""),IF(AND(ISNUMBER($X26),ISNUMBER($Q26)),ABS($X26-$Q26)&lt;=1E-10,$X26=$Q26)),IF(OR($Y26="",$R26=""),AND($Y26="",$R26=""),IF(AND(ISNUMBER($Y26),ISNUMBER($R26)),ABS($Y26-$R26)&lt;=1E-10,$Y26=$R26)),IF(OR($Z26="",$S26=""),AND($Z26="",$S26=""),IF(AND(ISNUMBER($Z26),ISNUMBER($S26)),ABS($Z26-$S26)&lt;=1E-10,$Z26=$S26)),(IF(NOT(IFERROR(INDEX('Hidden_Value_Audit'!$Q$2:$Q$8,MATCH($B26,'Hidden_Value_Audit'!$A$2:$A$8,0)),FALSE)),"module_or_profile_pack_disabled",IF($Z26="","predicate_input_unavailable",IF($Z26,"passed","failed")))=$W26)),"PASS","FAIL")</f>
        <v/>
      </c>
    </row>
    <row r="27">
      <c r="X27" s="553">
        <f>IF(IFERROR(INDEX('Hidden_Value_Audit'!$Q$2:$Q$8,MATCH($B27,'Hidden_Value_Audit'!$A$2:$A$8,0)),FALSE),IF(OR(IFERROR(INDEX(HV_Base_Status,MATCH($G27,HV_Base_MetricKey,0)),"")="source_backed",IFERROR(INDEX(HV_Base_Status,MATCH($G27,HV_Base_MetricKey,0)),"")="formula_calculated",IFERROR(INDEX(HV_Base_Status,MATCH($G27,HV_Base_MetricKey,0)),"")="derived_calculated"),IFERROR(INDEX(HV_Base_Value,MATCH($G27,HV_Base_MetricKey,0)),""),""),"")</f>
        <v/>
      </c>
      <c r="Y27" s="553">
        <f>IF(NOT(IFERROR(INDEX('Hidden_Value_Audit'!$Q$2:$Q$8,MATCH($B27,'Hidden_Value_Audit'!$A$2:$A$8,0)),FALSE)),"",IF($I27&lt;&gt;"",IF(OR(IFERROR(INDEX(HV_Base_Status,MATCH($I27,HV_Base_MetricKey,0)),"")="source_backed",IFERROR(INDEX(HV_Base_Status,MATCH($I27,HV_Base_MetricKey,0)),"")="formula_calculated",IFERROR(INDEX(HV_Base_Status,MATCH($I27,HV_Base_MetricKey,0)),"")="derived_calculated"),IFERROR(INDEX(HV_Base_Value,MATCH($I27,HV_Base_MetricKey,0)),""),""),IF($J27="","",$J27)))</f>
        <v/>
      </c>
      <c r="Z27">
        <f>IF(OR($X27="",$Y27=""),"",IF($H27="gt",$X27&gt;$Y27,IF($H27="gte",$X27&gt;=$Y27,IF($H27="lt",$X27&lt;$Y27,IF($H27="lte",$X27&lt;=$Y27,IF($H27="eq",$X27=$Y27,FALSE))))))</f>
        <v/>
      </c>
      <c r="AA27">
        <f>""</f>
        <v/>
      </c>
      <c r="AB27">
        <f>""</f>
        <v/>
      </c>
      <c r="AC27">
        <f>""</f>
        <v/>
      </c>
      <c r="AD27">
        <f>IF(AND(IF(OR($X27="",$Q27=""),AND($X27="",$Q27=""),IF(AND(ISNUMBER($X27),ISNUMBER($Q27)),ABS($X27-$Q27)&lt;=1E-10,$X27=$Q27)),IF(OR($Y27="",$R27=""),AND($Y27="",$R27=""),IF(AND(ISNUMBER($Y27),ISNUMBER($R27)),ABS($Y27-$R27)&lt;=1E-10,$Y27=$R27)),IF(OR($Z27="",$S27=""),AND($Z27="",$S27=""),IF(AND(ISNUMBER($Z27),ISNUMBER($S27)),ABS($Z27-$S27)&lt;=1E-10,$Z27=$S27)),(IF(NOT(IFERROR(INDEX('Hidden_Value_Audit'!$Q$2:$Q$8,MATCH($B27,'Hidden_Value_Audit'!$A$2:$A$8,0)),FALSE)),"module_or_profile_pack_disabled",IF($Z27="","predicate_input_unavailable",IF($Z27,"passed","failed")))=$W27)),"PASS","FAIL")</f>
        <v/>
      </c>
    </row>
    <row r="28">
      <c r="X28" s="553">
        <f>IF(IFERROR(INDEX('Hidden_Value_Audit'!$Q$2:$Q$8,MATCH($B28,'Hidden_Value_Audit'!$A$2:$A$8,0)),FALSE),IF(OR(IFERROR(INDEX(HV_Base_Status,MATCH($G28,HV_Base_MetricKey,0)),"")="source_backed",IFERROR(INDEX(HV_Base_Status,MATCH($G28,HV_Base_MetricKey,0)),"")="formula_calculated",IFERROR(INDEX(HV_Base_Status,MATCH($G28,HV_Base_MetricKey,0)),"")="derived_calculated"),IFERROR(INDEX(HV_Base_Value,MATCH($G28,HV_Base_MetricKey,0)),""),""),"")</f>
        <v/>
      </c>
      <c r="Y28" s="553">
        <f>IF(NOT(IFERROR(INDEX('Hidden_Value_Audit'!$Q$2:$Q$8,MATCH($B28,'Hidden_Value_Audit'!$A$2:$A$8,0)),FALSE)),"",IF($I28&lt;&gt;"",IF(OR(IFERROR(INDEX(HV_Base_Status,MATCH($I28,HV_Base_MetricKey,0)),"")="source_backed",IFERROR(INDEX(HV_Base_Status,MATCH($I28,HV_Base_MetricKey,0)),"")="formula_calculated",IFERROR(INDEX(HV_Base_Status,MATCH($I28,HV_Base_MetricKey,0)),"")="derived_calculated"),IFERROR(INDEX(HV_Base_Value,MATCH($I28,HV_Base_MetricKey,0)),""),""),IF($J28="","",$J28)))</f>
        <v/>
      </c>
      <c r="Z28">
        <f>IF(OR($X28="",$Y28=""),"",IF($H28="gt",$X28&gt;$Y28,IF($H28="gte",$X28&gt;=$Y28,IF($H28="lt",$X28&lt;$Y28,IF($H28="lte",$X28&lt;=$Y28,IF($H28="eq",$X28=$Y28,FALSE))))))</f>
        <v/>
      </c>
      <c r="AA28">
        <f>""</f>
        <v/>
      </c>
      <c r="AB28">
        <f>""</f>
        <v/>
      </c>
      <c r="AC28">
        <f>""</f>
        <v/>
      </c>
      <c r="AD28">
        <f>IF(AND(IF(OR($X28="",$Q28=""),AND($X28="",$Q28=""),IF(AND(ISNUMBER($X28),ISNUMBER($Q28)),ABS($X28-$Q28)&lt;=1E-10,$X28=$Q28)),IF(OR($Y28="",$R28=""),AND($Y28="",$R28=""),IF(AND(ISNUMBER($Y28),ISNUMBER($R28)),ABS($Y28-$R28)&lt;=1E-10,$Y28=$R28)),IF(OR($Z28="",$S28=""),AND($Z28="",$S28=""),IF(AND(ISNUMBER($Z28),ISNUMBER($S28)),ABS($Z28-$S28)&lt;=1E-10,$Z28=$S28)),(IF(NOT(IFERROR(INDEX('Hidden_Value_Audit'!$Q$2:$Q$8,MATCH($B28,'Hidden_Value_Audit'!$A$2:$A$8,0)),FALSE)),"module_or_profile_pack_disabled",IF($Z28="","predicate_input_unavailable",IF($Z28,"passed","failed")))=$W28)),"PASS","FAIL")</f>
        <v/>
      </c>
    </row>
    <row r="29">
      <c r="X29" s="553">
        <f>IF(IFERROR(INDEX('Hidden_Value_Audit'!$Q$2:$Q$8,MATCH($B29,'Hidden_Value_Audit'!$A$2:$A$8,0)),FALSE),IF(OR(IFERROR(INDEX(HV_Base_Status,MATCH($G29,HV_Base_MetricKey,0)),"")="source_backed",IFERROR(INDEX(HV_Base_Status,MATCH($G29,HV_Base_MetricKey,0)),"")="formula_calculated",IFERROR(INDEX(HV_Base_Status,MATCH($G29,HV_Base_MetricKey,0)),"")="derived_calculated"),IFERROR(INDEX(HV_Base_Value,MATCH($G29,HV_Base_MetricKey,0)),""),""),"")</f>
        <v/>
      </c>
      <c r="Y29" s="553">
        <f>IF(NOT(IFERROR(INDEX('Hidden_Value_Audit'!$Q$2:$Q$8,MATCH($B29,'Hidden_Value_Audit'!$A$2:$A$8,0)),FALSE)),"",IF($I29&lt;&gt;"",IF(OR(IFERROR(INDEX(HV_Base_Status,MATCH($I29,HV_Base_MetricKey,0)),"")="source_backed",IFERROR(INDEX(HV_Base_Status,MATCH($I29,HV_Base_MetricKey,0)),"")="formula_calculated",IFERROR(INDEX(HV_Base_Status,MATCH($I29,HV_Base_MetricKey,0)),"")="derived_calculated"),IFERROR(INDEX(HV_Base_Value,MATCH($I29,HV_Base_MetricKey,0)),""),""),IF($J29="","",$J29)))</f>
        <v/>
      </c>
      <c r="Z29">
        <f>IF(OR($X29="",$Y29=""),"",IF($H29="gt",$X29&gt;$Y29,IF($H29="gte",$X29&gt;=$Y29,IF($H29="lt",$X29&lt;$Y29,IF($H29="lte",$X29&lt;=$Y29,IF($H29="eq",$X29=$Y29,FALSE))))))</f>
        <v/>
      </c>
      <c r="AA29">
        <f>""</f>
        <v/>
      </c>
      <c r="AB29">
        <f>""</f>
        <v/>
      </c>
      <c r="AC29">
        <f>""</f>
        <v/>
      </c>
      <c r="AD29">
        <f>IF(AND(IF(OR($X29="",$Q29=""),AND($X29="",$Q29=""),IF(AND(ISNUMBER($X29),ISNUMBER($Q29)),ABS($X29-$Q29)&lt;=1E-10,$X29=$Q29)),IF(OR($Y29="",$R29=""),AND($Y29="",$R29=""),IF(AND(ISNUMBER($Y29),ISNUMBER($R29)),ABS($Y29-$R29)&lt;=1E-10,$Y29=$R29)),IF(OR($Z29="",$S29=""),AND($Z29="",$S29=""),IF(AND(ISNUMBER($Z29),ISNUMBER($S29)),ABS($Z29-$S29)&lt;=1E-10,$Z29=$S29)),(IF(NOT(IFERROR(INDEX('Hidden_Value_Audit'!$Q$2:$Q$8,MATCH($B29,'Hidden_Value_Audit'!$A$2:$A$8,0)),FALSE)),"module_or_profile_pack_disabled",IF($Z29="","predicate_input_unavailable",IF($Z29,"passed","failed")))=$W29)),"PASS","FAIL")</f>
        <v/>
      </c>
    </row>
    <row r="30">
      <c r="X30" s="553">
        <f>IF(IFERROR(INDEX('Hidden_Value_Audit'!$Q$2:$Q$8,MATCH($B30,'Hidden_Value_Audit'!$A$2:$A$8,0)),FALSE),IF(OR(IFERROR(INDEX(HV_Base_Status,MATCH($G30,HV_Base_MetricKey,0)),"")="source_backed",IFERROR(INDEX(HV_Base_Status,MATCH($G30,HV_Base_MetricKey,0)),"")="formula_calculated",IFERROR(INDEX(HV_Base_Status,MATCH($G30,HV_Base_MetricKey,0)),"")="derived_calculated"),IFERROR(INDEX(HV_Base_Value,MATCH($G30,HV_Base_MetricKey,0)),""),""),"")</f>
        <v/>
      </c>
      <c r="Y30" s="553">
        <f>IF(NOT(IFERROR(INDEX('Hidden_Value_Audit'!$Q$2:$Q$8,MATCH($B30,'Hidden_Value_Audit'!$A$2:$A$8,0)),FALSE)),"",IF($I30&lt;&gt;"",IF(OR(IFERROR(INDEX(HV_Base_Status,MATCH($I30,HV_Base_MetricKey,0)),"")="source_backed",IFERROR(INDEX(HV_Base_Status,MATCH($I30,HV_Base_MetricKey,0)),"")="formula_calculated",IFERROR(INDEX(HV_Base_Status,MATCH($I30,HV_Base_MetricKey,0)),"")="derived_calculated"),IFERROR(INDEX(HV_Base_Value,MATCH($I30,HV_Base_MetricKey,0)),""),""),IF($J30="","",$J30)))</f>
        <v/>
      </c>
      <c r="Z30">
        <f>IF(OR($X30="",$Y30=""),"",IF($H30="gt",$X30&gt;$Y30,IF($H30="gte",$X30&gt;=$Y30,IF($H30="lt",$X30&lt;$Y30,IF($H30="lte",$X30&lt;=$Y30,IF($H30="eq",$X30=$Y30,FALSE))))))</f>
        <v/>
      </c>
      <c r="AA30">
        <f>""</f>
        <v/>
      </c>
      <c r="AB30">
        <f>""</f>
        <v/>
      </c>
      <c r="AC30">
        <f>""</f>
        <v/>
      </c>
      <c r="AD30">
        <f>IF(AND(IF(OR($X30="",$Q30=""),AND($X30="",$Q30=""),IF(AND(ISNUMBER($X30),ISNUMBER($Q30)),ABS($X30-$Q30)&lt;=1E-10,$X30=$Q30)),IF(OR($Y30="",$R30=""),AND($Y30="",$R30=""),IF(AND(ISNUMBER($Y30),ISNUMBER($R30)),ABS($Y30-$R30)&lt;=1E-10,$Y30=$R30)),IF(OR($Z30="",$S30=""),AND($Z30="",$S30=""),IF(AND(ISNUMBER($Z30),ISNUMBER($S30)),ABS($Z30-$S30)&lt;=1E-10,$Z30=$S30)),(IF(NOT(IFERROR(INDEX('Hidden_Value_Audit'!$Q$2:$Q$8,MATCH($B30,'Hidden_Value_Audit'!$A$2:$A$8,0)),FALSE)),"module_or_profile_pack_disabled",IF($Z30="","predicate_input_unavailable",IF($Z30,"passed","failed")))=$W30)),"PASS","FAIL")</f>
        <v/>
      </c>
    </row>
    <row r="31">
      <c r="X31" s="553">
        <f>IF(IFERROR(INDEX('Hidden_Value_Audit'!$Q$2:$Q$8,MATCH($B31,'Hidden_Value_Audit'!$A$2:$A$8,0)),FALSE),IF(OR(IFERROR(INDEX(HV_Base_Status,MATCH($G31,HV_Base_MetricKey,0)),"")="source_backed",IFERROR(INDEX(HV_Base_Status,MATCH($G31,HV_Base_MetricKey,0)),"")="formula_calculated",IFERROR(INDEX(HV_Base_Status,MATCH($G31,HV_Base_MetricKey,0)),"")="derived_calculated"),IFERROR(INDEX(HV_Base_Value,MATCH($G31,HV_Base_MetricKey,0)),""),""),"")</f>
        <v/>
      </c>
      <c r="Y31" s="553">
        <f>IF(NOT(IFERROR(INDEX('Hidden_Value_Audit'!$Q$2:$Q$8,MATCH($B31,'Hidden_Value_Audit'!$A$2:$A$8,0)),FALSE)),"",IF($I31&lt;&gt;"",IF(OR(IFERROR(INDEX(HV_Base_Status,MATCH($I31,HV_Base_MetricKey,0)),"")="source_backed",IFERROR(INDEX(HV_Base_Status,MATCH($I31,HV_Base_MetricKey,0)),"")="formula_calculated",IFERROR(INDEX(HV_Base_Status,MATCH($I31,HV_Base_MetricKey,0)),"")="derived_calculated"),IFERROR(INDEX(HV_Base_Value,MATCH($I31,HV_Base_MetricKey,0)),""),""),IF($J31="","",$J31)))</f>
        <v/>
      </c>
      <c r="Z31">
        <f>IF(OR($X31="",$Y31=""),"",IF($H31="gt",$X31&gt;$Y31,IF($H31="gte",$X31&gt;=$Y31,IF($H31="lt",$X31&lt;$Y31,IF($H31="lte",$X31&lt;=$Y31,IF($H31="eq",$X31=$Y31,FALSE))))))</f>
        <v/>
      </c>
      <c r="AA31">
        <f>""</f>
        <v/>
      </c>
      <c r="AB31">
        <f>""</f>
        <v/>
      </c>
      <c r="AC31">
        <f>""</f>
        <v/>
      </c>
      <c r="AD31">
        <f>IF(AND(IF(OR($X31="",$Q31=""),AND($X31="",$Q31=""),IF(AND(ISNUMBER($X31),ISNUMBER($Q31)),ABS($X31-$Q31)&lt;=1E-10,$X31=$Q31)),IF(OR($Y31="",$R31=""),AND($Y31="",$R31=""),IF(AND(ISNUMBER($Y31),ISNUMBER($R31)),ABS($Y31-$R31)&lt;=1E-10,$Y31=$R31)),IF(OR($Z31="",$S31=""),AND($Z31="",$S31=""),IF(AND(ISNUMBER($Z31),ISNUMBER($S31)),ABS($Z31-$S31)&lt;=1E-10,$Z31=$S31)),(IF(NOT(IFERROR(INDEX('Hidden_Value_Audit'!$Q$2:$Q$8,MATCH($B31,'Hidden_Value_Audit'!$A$2:$A$8,0)),FALSE)),"module_or_profile_pack_disabled",IF($Z31="","predicate_input_unavailable",IF($Z31,"passed","failed")))=$W31)),"PASS","FAIL")</f>
        <v/>
      </c>
    </row>
    <row r="32">
      <c r="X32" s="553">
        <f>IF(IFERROR(INDEX('Hidden_Value_Audit'!$Q$2:$Q$8,MATCH($B32,'Hidden_Value_Audit'!$A$2:$A$8,0)),FALSE),IF(OR(IFERROR(INDEX(HV_Base_Status,MATCH($G32,HV_Base_MetricKey,0)),"")="source_backed",IFERROR(INDEX(HV_Base_Status,MATCH($G32,HV_Base_MetricKey,0)),"")="formula_calculated",IFERROR(INDEX(HV_Base_Status,MATCH($G32,HV_Base_MetricKey,0)),"")="derived_calculated"),IFERROR(INDEX(HV_Base_Value,MATCH($G32,HV_Base_MetricKey,0)),""),""),"")</f>
        <v/>
      </c>
      <c r="Y32">
        <f>IF(IFERROR(INDEX('Hidden_Value_Audit'!$Q$2:$Q$8,MATCH($B32,'Hidden_Value_Audit'!$A$2:$A$8,0)),FALSE),IFERROR(INDEX(HV_Base_Status,MATCH($G32,HV_Base_MetricKey,0)),""),"unavailable")</f>
        <v/>
      </c>
      <c r="Z32">
        <f>IF(NOT(IFERROR(INDEX('Hidden_Value_Audit'!$Q$2:$Q$8,MATCH($B32,'Hidden_Value_Audit'!$A$2:$A$8,0)),FALSE)),FALSE,AND(ISNUMBER($X32),OR($Y32="source_backed",$Y32="formula_calculated",$Y32="derived_calculated")))</f>
        <v/>
      </c>
      <c r="AA32" s="553">
        <f>IF($Z32,$L32,0)</f>
        <v/>
      </c>
      <c r="AB32" s="553">
        <f>IF(NOT($Z32),"",IF(OR(NOT(ISNUMBER($N32)),NOT(ISNUMBER($O32)),$O32&lt;=0,NOT(ISNUMBER($P32)),AND($M32&lt;&gt;"higher",$M32&lt;&gt;"lower")),"",MAX(0,MIN(1,IF($M32="lower",($N32-$X32)/$O32+$P32,($X32-$N32)/$O32+$P32)))))</f>
        <v/>
      </c>
      <c r="AC32" s="553">
        <f>IF($AB32="","",$AB32*$AA32)</f>
        <v/>
      </c>
      <c r="AD32">
        <f>IF(AND(IF(OR($X32="",$Q32=""),AND($X32="",$Q32=""),IF(AND(ISNUMBER($X32),ISNUMBER($Q32)),ABS($X32-$Q32)&lt;=1E-10,$X32=$Q32)),IF(OR($AA32="",$T32=""),AND($AA32="",$T32=""),IF(AND(ISNUMBER($AA32),ISNUMBER($T32)),ABS($AA32-$T32)&lt;=1E-10,$AA32=$T32)),IF(OR($AB32="",$U32=""),AND($AB32="",$U32=""),IF(AND(ISNUMBER($AB32),ISNUMBER($U32)),ABS($AB32-$U32)&lt;=1E-10,$AB32=$U32)),IF(OR($AC32="",$V32=""),AND($AC32="",$V32=""),IF(AND(ISNUMBER($AC32),ISNUMBER($V32)),ABS($AC32-$V32)&lt;=1E-10,$AC32=$V32)),(IF($Z32,"calculated","unavailable")=$W32)),"PASS","FAIL")</f>
        <v/>
      </c>
    </row>
    <row r="33">
      <c r="X33" s="553">
        <f>IF(IFERROR(INDEX('Hidden_Value_Audit'!$Q$2:$Q$8,MATCH($B33,'Hidden_Value_Audit'!$A$2:$A$8,0)),FALSE),IF(OR(IFERROR(INDEX(HV_Base_Status,MATCH($G33,HV_Base_MetricKey,0)),"")="source_backed",IFERROR(INDEX(HV_Base_Status,MATCH($G33,HV_Base_MetricKey,0)),"")="formula_calculated",IFERROR(INDEX(HV_Base_Status,MATCH($G33,HV_Base_MetricKey,0)),"")="derived_calculated"),IFERROR(INDEX(HV_Base_Value,MATCH($G33,HV_Base_MetricKey,0)),""),""),"")</f>
        <v/>
      </c>
      <c r="Y33">
        <f>IF(IFERROR(INDEX('Hidden_Value_Audit'!$Q$2:$Q$8,MATCH($B33,'Hidden_Value_Audit'!$A$2:$A$8,0)),FALSE),IFERROR(INDEX(HV_Base_Status,MATCH($G33,HV_Base_MetricKey,0)),""),"unavailable")</f>
        <v/>
      </c>
      <c r="Z33">
        <f>IF(NOT(IFERROR(INDEX('Hidden_Value_Audit'!$Q$2:$Q$8,MATCH($B33,'Hidden_Value_Audit'!$A$2:$A$8,0)),FALSE)),FALSE,AND(ISNUMBER($X33),OR($Y33="source_backed",$Y33="formula_calculated",$Y33="derived_calculated")))</f>
        <v/>
      </c>
      <c r="AA33" s="553">
        <f>IF($Z33,$L33,0)</f>
        <v/>
      </c>
      <c r="AB33" s="553">
        <f>IF(NOT($Z33),"",IF(OR(NOT(ISNUMBER($N33)),NOT(ISNUMBER($O33)),$O33&lt;=0,NOT(ISNUMBER($P33)),AND($M33&lt;&gt;"higher",$M33&lt;&gt;"lower")),"",MAX(0,MIN(1,IF($M33="lower",($N33-$X33)/$O33+$P33,($X33-$N33)/$O33+$P33)))))</f>
        <v/>
      </c>
      <c r="AC33" s="553">
        <f>IF($AB33="","",$AB33*$AA33)</f>
        <v/>
      </c>
      <c r="AD33">
        <f>IF(AND(IF(OR($X33="",$Q33=""),AND($X33="",$Q33=""),IF(AND(ISNUMBER($X33),ISNUMBER($Q33)),ABS($X33-$Q33)&lt;=1E-10,$X33=$Q33)),IF(OR($AA33="",$T33=""),AND($AA33="",$T33=""),IF(AND(ISNUMBER($AA33),ISNUMBER($T33)),ABS($AA33-$T33)&lt;=1E-10,$AA33=$T33)),IF(OR($AB33="",$U33=""),AND($AB33="",$U33=""),IF(AND(ISNUMBER($AB33),ISNUMBER($U33)),ABS($AB33-$U33)&lt;=1E-10,$AB33=$U33)),IF(OR($AC33="",$V33=""),AND($AC33="",$V33=""),IF(AND(ISNUMBER($AC33),ISNUMBER($V33)),ABS($AC33-$V33)&lt;=1E-10,$AC33=$V33)),(IF($Z33,"calculated","unavailable")=$W33)),"PASS","FAIL")</f>
        <v/>
      </c>
    </row>
    <row r="34">
      <c r="X34" s="553">
        <f>IF(IFERROR(INDEX('Hidden_Value_Audit'!$Q$2:$Q$8,MATCH($B34,'Hidden_Value_Audit'!$A$2:$A$8,0)),FALSE),IF(OR(IFERROR(INDEX(HV_Base_Status,MATCH($G34,HV_Base_MetricKey,0)),"")="source_backed",IFERROR(INDEX(HV_Base_Status,MATCH($G34,HV_Base_MetricKey,0)),"")="formula_calculated",IFERROR(INDEX(HV_Base_Status,MATCH($G34,HV_Base_MetricKey,0)),"")="derived_calculated"),IFERROR(INDEX(HV_Base_Value,MATCH($G34,HV_Base_MetricKey,0)),""),""),"")</f>
        <v/>
      </c>
      <c r="Y34">
        <f>IF(IFERROR(INDEX('Hidden_Value_Audit'!$Q$2:$Q$8,MATCH($B34,'Hidden_Value_Audit'!$A$2:$A$8,0)),FALSE),IFERROR(INDEX(HV_Base_Status,MATCH($G34,HV_Base_MetricKey,0)),""),"unavailable")</f>
        <v/>
      </c>
      <c r="Z34">
        <f>IF(NOT(IFERROR(INDEX('Hidden_Value_Audit'!$Q$2:$Q$8,MATCH($B34,'Hidden_Value_Audit'!$A$2:$A$8,0)),FALSE)),FALSE,AND(ISNUMBER($X34),OR($Y34="source_backed",$Y34="formula_calculated",$Y34="derived_calculated")))</f>
        <v/>
      </c>
      <c r="AA34" s="553">
        <f>IF($Z34,$L34,0)</f>
        <v/>
      </c>
      <c r="AB34" s="553">
        <f>IF(NOT($Z34),"",IF(OR(NOT(ISNUMBER($N34)),NOT(ISNUMBER($O34)),$O34&lt;=0,NOT(ISNUMBER($P34)),AND($M34&lt;&gt;"higher",$M34&lt;&gt;"lower")),"",MAX(0,MIN(1,IF($M34="lower",($N34-$X34)/$O34+$P34,($X34-$N34)/$O34+$P34)))))</f>
        <v/>
      </c>
      <c r="AC34" s="553">
        <f>IF($AB34="","",$AB34*$AA34)</f>
        <v/>
      </c>
      <c r="AD34">
        <f>IF(AND(IF(OR($X34="",$Q34=""),AND($X34="",$Q34=""),IF(AND(ISNUMBER($X34),ISNUMBER($Q34)),ABS($X34-$Q34)&lt;=1E-10,$X34=$Q34)),IF(OR($AA34="",$T34=""),AND($AA34="",$T34=""),IF(AND(ISNUMBER($AA34),ISNUMBER($T34)),ABS($AA34-$T34)&lt;=1E-10,$AA34=$T34)),IF(OR($AB34="",$U34=""),AND($AB34="",$U34=""),IF(AND(ISNUMBER($AB34),ISNUMBER($U34)),ABS($AB34-$U34)&lt;=1E-10,$AB34=$U34)),IF(OR($AC34="",$V34=""),AND($AC34="",$V34=""),IF(AND(ISNUMBER($AC34),ISNUMBER($V34)),ABS($AC34-$V34)&lt;=1E-10,$AC34=$V34)),(IF($Z34,"calculated","unavailable")=$W34)),"PASS","FAIL")</f>
        <v/>
      </c>
    </row>
    <row r="35">
      <c r="X35" s="553">
        <f>IF(OR(IFERROR(INDEX(HV_Base_Status,MATCH($G35,HV_Base_MetricKey,0)),"")="source_backed",IFERROR(INDEX(HV_Base_Status,MATCH($G35,HV_Base_MetricKey,0)),"")="formula_calculated",IFERROR(INDEX(HV_Base_Status,MATCH($G35,HV_Base_MetricKey,0)),"")="derived_calculated"),IFERROR(INDEX(HV_Base_Value,MATCH($G35,HV_Base_MetricKey,0)),""),"")</f>
        <v/>
      </c>
      <c r="Y35">
        <f>IFERROR(INDEX(HV_Base_Status,MATCH($G35,HV_Base_MetricKey,0)),"")</f>
        <v/>
      </c>
      <c r="Z35">
        <f>IF($G35="","",AND(ISNUMBER($X35),OR($Y35="source_backed",$Y35="formula_calculated",$Y35="derived_calculated")))</f>
        <v/>
      </c>
      <c r="AA35">
        <f>""</f>
        <v/>
      </c>
      <c r="AB35">
        <f>""</f>
        <v/>
      </c>
      <c r="AC35">
        <f>""</f>
        <v/>
      </c>
      <c r="AD35">
        <f>IF(AND(IF(OR($X35="",$Q35=""),AND($X35="",$Q35=""),IF(AND(ISNUMBER($X35),ISNUMBER($Q35)),ABS($X35-$Q35)&lt;=1E-10,$X35=$Q35)),IF(OR($Y35="",$W35=""),AND($Y35="",$W35=""),IF(AND(ISNUMBER($Y35),ISNUMBER($W35)),ABS($Y35-$W35)&lt;=1E-10,$Y35=$W35)),IF(OR($Z35="",$S35=""),AND($Z35="",$S35=""),IF(AND(ISNUMBER($Z35),ISNUMBER($S35)),ABS($Z35-$S35)&lt;=1E-10,$Z35=$S35))),"PASS","FAIL")</f>
        <v/>
      </c>
    </row>
    <row r="36">
      <c r="X36" s="553">
        <f>IF(OR(IFERROR(INDEX(HV_Base_Status,MATCH($G36,HV_Base_MetricKey,0)),"")="source_backed",IFERROR(INDEX(HV_Base_Status,MATCH($G36,HV_Base_MetricKey,0)),"")="formula_calculated",IFERROR(INDEX(HV_Base_Status,MATCH($G36,HV_Base_MetricKey,0)),"")="derived_calculated"),IFERROR(INDEX(HV_Base_Value,MATCH($G36,HV_Base_MetricKey,0)),""),"")</f>
        <v/>
      </c>
      <c r="Y36">
        <f>IFERROR(INDEX(HV_Base_Status,MATCH($G36,HV_Base_MetricKey,0)),"")</f>
        <v/>
      </c>
      <c r="Z36">
        <f>IF($G36="","",AND(ISNUMBER($X36),OR($Y36="source_backed",$Y36="formula_calculated",$Y36="derived_calculated")))</f>
        <v/>
      </c>
      <c r="AA36">
        <f>""</f>
        <v/>
      </c>
      <c r="AB36">
        <f>""</f>
        <v/>
      </c>
      <c r="AC36">
        <f>""</f>
        <v/>
      </c>
      <c r="AD36">
        <f>IF(AND(IF(OR($X36="",$Q36=""),AND($X36="",$Q36=""),IF(AND(ISNUMBER($X36),ISNUMBER($Q36)),ABS($X36-$Q36)&lt;=1E-10,$X36=$Q36)),IF(OR($Y36="",$W36=""),AND($Y36="",$W36=""),IF(AND(ISNUMBER($Y36),ISNUMBER($W36)),ABS($Y36-$W36)&lt;=1E-10,$Y36=$W36)),IF(OR($Z36="",$S36=""),AND($Z36="",$S36=""),IF(AND(ISNUMBER($Z36),ISNUMBER($S36)),ABS($Z36-$S36)&lt;=1E-10,$Z36=$S36))),"PASS","FAIL")</f>
        <v/>
      </c>
    </row>
    <row r="37">
      <c r="X37" s="553">
        <f>IF(OR(IFERROR(INDEX(HV_Base_Status,MATCH($G37,HV_Base_MetricKey,0)),"")="source_backed",IFERROR(INDEX(HV_Base_Status,MATCH($G37,HV_Base_MetricKey,0)),"")="formula_calculated",IFERROR(INDEX(HV_Base_Status,MATCH($G37,HV_Base_MetricKey,0)),"")="derived_calculated"),IFERROR(INDEX(HV_Base_Value,MATCH($G37,HV_Base_MetricKey,0)),""),"")</f>
        <v/>
      </c>
      <c r="Y37">
        <f>IFERROR(INDEX(HV_Base_Status,MATCH($G37,HV_Base_MetricKey,0)),"")</f>
        <v/>
      </c>
      <c r="Z37">
        <f>IF($G37="","",AND(ISNUMBER($X37),OR($Y37="source_backed",$Y37="formula_calculated",$Y37="derived_calculated")))</f>
        <v/>
      </c>
      <c r="AA37">
        <f>""</f>
        <v/>
      </c>
      <c r="AB37">
        <f>""</f>
        <v/>
      </c>
      <c r="AC37">
        <f>""</f>
        <v/>
      </c>
      <c r="AD37">
        <f>IF(AND(IF(OR($X37="",$Q37=""),AND($X37="",$Q37=""),IF(AND(ISNUMBER($X37),ISNUMBER($Q37)),ABS($X37-$Q37)&lt;=1E-10,$X37=$Q37)),IF(OR($Y37="",$W37=""),AND($Y37="",$W37=""),IF(AND(ISNUMBER($Y37),ISNUMBER($W37)),ABS($Y37-$W37)&lt;=1E-10,$Y37=$W37)),IF(OR($Z37="",$S37=""),AND($Z37="",$S37=""),IF(AND(ISNUMBER($Z37),ISNUMBER($S37)),ABS($Z37-$S37)&lt;=1E-10,$Z37=$S37))),"PASS","FAIL")</f>
        <v/>
      </c>
    </row>
    <row r="38">
      <c r="X38" s="553">
        <f>IF(OR(IFERROR(INDEX(HV_Base_Status,MATCH($G38,HV_Base_MetricKey,0)),"")="source_backed",IFERROR(INDEX(HV_Base_Status,MATCH($G38,HV_Base_MetricKey,0)),"")="formula_calculated",IFERROR(INDEX(HV_Base_Status,MATCH($G38,HV_Base_MetricKey,0)),"")="derived_calculated"),IFERROR(INDEX(HV_Base_Value,MATCH($G38,HV_Base_MetricKey,0)),""),"")</f>
        <v/>
      </c>
      <c r="Y38">
        <f>IFERROR(INDEX(HV_Base_Status,MATCH($G38,HV_Base_MetricKey,0)),"")</f>
        <v/>
      </c>
      <c r="Z38">
        <f>IF($G38="","",AND(ISNUMBER($X38),OR($Y38="source_backed",$Y38="formula_calculated",$Y38="derived_calculated")))</f>
        <v/>
      </c>
      <c r="AA38">
        <f>""</f>
        <v/>
      </c>
      <c r="AB38">
        <f>""</f>
        <v/>
      </c>
      <c r="AC38">
        <f>""</f>
        <v/>
      </c>
      <c r="AD38">
        <f>IF(AND(IF(OR($X38="",$Q38=""),AND($X38="",$Q38=""),IF(AND(ISNUMBER($X38),ISNUMBER($Q38)),ABS($X38-$Q38)&lt;=1E-10,$X38=$Q38)),IF(OR($Y38="",$W38=""),AND($Y38="",$W38=""),IF(AND(ISNUMBER($Y38),ISNUMBER($W38)),ABS($Y38-$W38)&lt;=1E-10,$Y38=$W38)),IF(OR($Z38="",$S38=""),AND($Z38="",$S38=""),IF(AND(ISNUMBER($Z38),ISNUMBER($S38)),ABS($Z38-$S38)&lt;=1E-10,$Z38=$S38))),"PASS","FAIL")</f>
        <v/>
      </c>
    </row>
    <row r="39">
      <c r="X39" s="553">
        <f>IF(OR(IFERROR(INDEX(HV_Base_Status,MATCH($G39,HV_Base_MetricKey,0)),"")="source_backed",IFERROR(INDEX(HV_Base_Status,MATCH($G39,HV_Base_MetricKey,0)),"")="formula_calculated",IFERROR(INDEX(HV_Base_Status,MATCH($G39,HV_Base_MetricKey,0)),"")="derived_calculated"),IFERROR(INDEX(HV_Base_Value,MATCH($G39,HV_Base_MetricKey,0)),""),"")</f>
        <v/>
      </c>
      <c r="Y39">
        <f>IFERROR(INDEX(HV_Base_Status,MATCH($G39,HV_Base_MetricKey,0)),"")</f>
        <v/>
      </c>
      <c r="Z39">
        <f>IF($G39="","",AND(ISNUMBER($X39),OR($Y39="source_backed",$Y39="formula_calculated",$Y39="derived_calculated")))</f>
        <v/>
      </c>
      <c r="AA39">
        <f>""</f>
        <v/>
      </c>
      <c r="AB39">
        <f>""</f>
        <v/>
      </c>
      <c r="AC39">
        <f>""</f>
        <v/>
      </c>
      <c r="AD39">
        <f>IF(AND(IF(OR($X39="",$Q39=""),AND($X39="",$Q39=""),IF(AND(ISNUMBER($X39),ISNUMBER($Q39)),ABS($X39-$Q39)&lt;=1E-10,$X39=$Q39)),IF(OR($Y39="",$W39=""),AND($Y39="",$W39=""),IF(AND(ISNUMBER($Y39),ISNUMBER($W39)),ABS($Y39-$W39)&lt;=1E-10,$Y39=$W39)),IF(OR($Z39="",$S39=""),AND($Z39="",$S39=""),IF(AND(ISNUMBER($Z39),ISNUMBER($S39)),ABS($Z39-$S39)&lt;=1E-10,$Z39=$S39))),"PASS","FAIL")</f>
        <v/>
      </c>
    </row>
    <row r="40">
      <c r="X40" s="553">
        <f>IF(IFERROR(INDEX('Hidden_Value_Audit'!$Q$2:$Q$8,MATCH($B40,'Hidden_Value_Audit'!$A$2:$A$8,0)),FALSE),IF(OR(IFERROR(INDEX(HV_Base_Status,MATCH($G40,HV_Base_MetricKey,0)),"")="source_backed",IFERROR(INDEX(HV_Base_Status,MATCH($G40,HV_Base_MetricKey,0)),"")="formula_calculated",IFERROR(INDEX(HV_Base_Status,MATCH($G40,HV_Base_MetricKey,0)),"")="derived_calculated"),IFERROR(INDEX(HV_Base_Value,MATCH($G40,HV_Base_MetricKey,0)),""),""),"")</f>
        <v/>
      </c>
      <c r="Y40" s="553">
        <f>IF(NOT(IFERROR(INDEX('Hidden_Value_Audit'!$Q$2:$Q$8,MATCH($B40,'Hidden_Value_Audit'!$A$2:$A$8,0)),FALSE)),"",IF($I40&lt;&gt;"",IF(OR(IFERROR(INDEX(HV_Base_Status,MATCH($I40,HV_Base_MetricKey,0)),"")="source_backed",IFERROR(INDEX(HV_Base_Status,MATCH($I40,HV_Base_MetricKey,0)),"")="formula_calculated",IFERROR(INDEX(HV_Base_Status,MATCH($I40,HV_Base_MetricKey,0)),"")="derived_calculated"),IFERROR(INDEX(HV_Base_Value,MATCH($I40,HV_Base_MetricKey,0)),""),""),IF($J40="","",$J40)))</f>
        <v/>
      </c>
      <c r="Z40">
        <f>IF(OR($X40="",$Y40=""),"",IF($H40="gt",$X40&gt;$Y40,IF($H40="gte",$X40&gt;=$Y40,IF($H40="lt",$X40&lt;$Y40,IF($H40="lte",$X40&lt;=$Y40,IF($H40="eq",$X40=$Y40,FALSE))))))</f>
        <v/>
      </c>
      <c r="AA40">
        <f>""</f>
        <v/>
      </c>
      <c r="AB40">
        <f>""</f>
        <v/>
      </c>
      <c r="AC40">
        <f>""</f>
        <v/>
      </c>
      <c r="AD40">
        <f>IF(AND(IF(OR($X40="",$Q40=""),AND($X40="",$Q40=""),IF(AND(ISNUMBER($X40),ISNUMBER($Q40)),ABS($X40-$Q40)&lt;=1E-10,$X40=$Q40)),IF(OR($Y40="",$R40=""),AND($Y40="",$R40=""),IF(AND(ISNUMBER($Y40),ISNUMBER($R40)),ABS($Y40-$R40)&lt;=1E-10,$Y40=$R40)),IF(OR($Z40="",$S40=""),AND($Z40="",$S40=""),IF(AND(ISNUMBER($Z40),ISNUMBER($S40)),ABS($Z40-$S40)&lt;=1E-10,$Z40=$S40)),(IF(NOT(IFERROR(INDEX('Hidden_Value_Audit'!$Q$2:$Q$8,MATCH($B40,'Hidden_Value_Audit'!$A$2:$A$8,0)),FALSE)),"module_or_profile_pack_disabled",IF($Z40="","predicate_input_unavailable",IF($Z40,"passed","failed")))=$W40)),"PASS","FAIL")</f>
        <v/>
      </c>
    </row>
    <row r="41">
      <c r="X41" s="553">
        <f>IF(IFERROR(INDEX('Hidden_Value_Audit'!$Q$2:$Q$8,MATCH($B41,'Hidden_Value_Audit'!$A$2:$A$8,0)),FALSE),IF(OR(IFERROR(INDEX(HV_Base_Status,MATCH($G41,HV_Base_MetricKey,0)),"")="source_backed",IFERROR(INDEX(HV_Base_Status,MATCH($G41,HV_Base_MetricKey,0)),"")="formula_calculated",IFERROR(INDEX(HV_Base_Status,MATCH($G41,HV_Base_MetricKey,0)),"")="derived_calculated"),IFERROR(INDEX(HV_Base_Value,MATCH($G41,HV_Base_MetricKey,0)),""),""),"")</f>
        <v/>
      </c>
      <c r="Y41" s="553">
        <f>IF(NOT(IFERROR(INDEX('Hidden_Value_Audit'!$Q$2:$Q$8,MATCH($B41,'Hidden_Value_Audit'!$A$2:$A$8,0)),FALSE)),"",IF($I41&lt;&gt;"",IF(OR(IFERROR(INDEX(HV_Base_Status,MATCH($I41,HV_Base_MetricKey,0)),"")="source_backed",IFERROR(INDEX(HV_Base_Status,MATCH($I41,HV_Base_MetricKey,0)),"")="formula_calculated",IFERROR(INDEX(HV_Base_Status,MATCH($I41,HV_Base_MetricKey,0)),"")="derived_calculated"),IFERROR(INDEX(HV_Base_Value,MATCH($I41,HV_Base_MetricKey,0)),""),""),IF($J41="","",$J41)))</f>
        <v/>
      </c>
      <c r="Z41">
        <f>IF(OR($X41="",$Y41=""),"",IF($H41="gt",$X41&gt;$Y41,IF($H41="gte",$X41&gt;=$Y41,IF($H41="lt",$X41&lt;$Y41,IF($H41="lte",$X41&lt;=$Y41,IF($H41="eq",$X41=$Y41,FALSE))))))</f>
        <v/>
      </c>
      <c r="AA41">
        <f>""</f>
        <v/>
      </c>
      <c r="AB41">
        <f>""</f>
        <v/>
      </c>
      <c r="AC41">
        <f>""</f>
        <v/>
      </c>
      <c r="AD41">
        <f>IF(AND(IF(OR($X41="",$Q41=""),AND($X41="",$Q41=""),IF(AND(ISNUMBER($X41),ISNUMBER($Q41)),ABS($X41-$Q41)&lt;=1E-10,$X41=$Q41)),IF(OR($Y41="",$R41=""),AND($Y41="",$R41=""),IF(AND(ISNUMBER($Y41),ISNUMBER($R41)),ABS($Y41-$R41)&lt;=1E-10,$Y41=$R41)),IF(OR($Z41="",$S41=""),AND($Z41="",$S41=""),IF(AND(ISNUMBER($Z41),ISNUMBER($S41)),ABS($Z41-$S41)&lt;=1E-10,$Z41=$S41)),(IF(NOT(IFERROR(INDEX('Hidden_Value_Audit'!$Q$2:$Q$8,MATCH($B41,'Hidden_Value_Audit'!$A$2:$A$8,0)),FALSE)),"module_or_profile_pack_disabled",IF($Z41="","predicate_input_unavailable",IF($Z41,"passed","failed")))=$W41)),"PASS","FAIL")</f>
        <v/>
      </c>
    </row>
    <row r="42">
      <c r="X42" s="553">
        <f>IF(IFERROR(INDEX('Hidden_Value_Audit'!$Q$2:$Q$8,MATCH($B42,'Hidden_Value_Audit'!$A$2:$A$8,0)),FALSE),IF(OR(IFERROR(INDEX(HV_Base_Status,MATCH($G42,HV_Base_MetricKey,0)),"")="source_backed",IFERROR(INDEX(HV_Base_Status,MATCH($G42,HV_Base_MetricKey,0)),"")="formula_calculated",IFERROR(INDEX(HV_Base_Status,MATCH($G42,HV_Base_MetricKey,0)),"")="derived_calculated"),IFERROR(INDEX(HV_Base_Value,MATCH($G42,HV_Base_MetricKey,0)),""),""),"")</f>
        <v/>
      </c>
      <c r="Y42" s="553">
        <f>IF(NOT(IFERROR(INDEX('Hidden_Value_Audit'!$Q$2:$Q$8,MATCH($B42,'Hidden_Value_Audit'!$A$2:$A$8,0)),FALSE)),"",IF($I42&lt;&gt;"",IF(OR(IFERROR(INDEX(HV_Base_Status,MATCH($I42,HV_Base_MetricKey,0)),"")="source_backed",IFERROR(INDEX(HV_Base_Status,MATCH($I42,HV_Base_MetricKey,0)),"")="formula_calculated",IFERROR(INDEX(HV_Base_Status,MATCH($I42,HV_Base_MetricKey,0)),"")="derived_calculated"),IFERROR(INDEX(HV_Base_Value,MATCH($I42,HV_Base_MetricKey,0)),""),""),IF($J42="","",$J42)))</f>
        <v/>
      </c>
      <c r="Z42">
        <f>IF(OR($X42="",$Y42=""),"",IF($H42="gt",$X42&gt;$Y42,IF($H42="gte",$X42&gt;=$Y42,IF($H42="lt",$X42&lt;$Y42,IF($H42="lte",$X42&lt;=$Y42,IF($H42="eq",$X42=$Y42,FALSE))))))</f>
        <v/>
      </c>
      <c r="AA42">
        <f>""</f>
        <v/>
      </c>
      <c r="AB42">
        <f>""</f>
        <v/>
      </c>
      <c r="AC42">
        <f>""</f>
        <v/>
      </c>
      <c r="AD42">
        <f>IF(AND(IF(OR($X42="",$Q42=""),AND($X42="",$Q42=""),IF(AND(ISNUMBER($X42),ISNUMBER($Q42)),ABS($X42-$Q42)&lt;=1E-10,$X42=$Q42)),IF(OR($Y42="",$R42=""),AND($Y42="",$R42=""),IF(AND(ISNUMBER($Y42),ISNUMBER($R42)),ABS($Y42-$R42)&lt;=1E-10,$Y42=$R42)),IF(OR($Z42="",$S42=""),AND($Z42="",$S42=""),IF(AND(ISNUMBER($Z42),ISNUMBER($S42)),ABS($Z42-$S42)&lt;=1E-10,$Z42=$S42)),(IF(NOT(IFERROR(INDEX('Hidden_Value_Audit'!$Q$2:$Q$8,MATCH($B42,'Hidden_Value_Audit'!$A$2:$A$8,0)),FALSE)),"module_or_profile_pack_disabled",IF($Z42="","predicate_input_unavailable",IF($Z42,"passed","failed")))=$W42)),"PASS","FAIL")</f>
        <v/>
      </c>
    </row>
    <row r="43">
      <c r="X43" s="553">
        <f>IF(IFERROR(INDEX('Hidden_Value_Audit'!$Q$2:$Q$8,MATCH($B43,'Hidden_Value_Audit'!$A$2:$A$8,0)),FALSE),IF(OR(IFERROR(INDEX(HV_Base_Status,MATCH($G43,HV_Base_MetricKey,0)),"")="source_backed",IFERROR(INDEX(HV_Base_Status,MATCH($G43,HV_Base_MetricKey,0)),"")="formula_calculated",IFERROR(INDEX(HV_Base_Status,MATCH($G43,HV_Base_MetricKey,0)),"")="derived_calculated"),IFERROR(INDEX(HV_Base_Value,MATCH($G43,HV_Base_MetricKey,0)),""),""),"")</f>
        <v/>
      </c>
      <c r="Y43" s="553">
        <f>IF(NOT(IFERROR(INDEX('Hidden_Value_Audit'!$Q$2:$Q$8,MATCH($B43,'Hidden_Value_Audit'!$A$2:$A$8,0)),FALSE)),"",IF($I43&lt;&gt;"",IF(OR(IFERROR(INDEX(HV_Base_Status,MATCH($I43,HV_Base_MetricKey,0)),"")="source_backed",IFERROR(INDEX(HV_Base_Status,MATCH($I43,HV_Base_MetricKey,0)),"")="formula_calculated",IFERROR(INDEX(HV_Base_Status,MATCH($I43,HV_Base_MetricKey,0)),"")="derived_calculated"),IFERROR(INDEX(HV_Base_Value,MATCH($I43,HV_Base_MetricKey,0)),""),""),IF($J43="","",$J43)))</f>
        <v/>
      </c>
      <c r="Z43">
        <f>IF(OR($X43="",$Y43=""),"",IF($H43="gt",$X43&gt;$Y43,IF($H43="gte",$X43&gt;=$Y43,IF($H43="lt",$X43&lt;$Y43,IF($H43="lte",$X43&lt;=$Y43,IF($H43="eq",$X43=$Y43,FALSE))))))</f>
        <v/>
      </c>
      <c r="AA43">
        <f>""</f>
        <v/>
      </c>
      <c r="AB43">
        <f>""</f>
        <v/>
      </c>
      <c r="AC43">
        <f>""</f>
        <v/>
      </c>
      <c r="AD43">
        <f>IF(AND(IF(OR($X43="",$Q43=""),AND($X43="",$Q43=""),IF(AND(ISNUMBER($X43),ISNUMBER($Q43)),ABS($X43-$Q43)&lt;=1E-10,$X43=$Q43)),IF(OR($Y43="",$R43=""),AND($Y43="",$R43=""),IF(AND(ISNUMBER($Y43),ISNUMBER($R43)),ABS($Y43-$R43)&lt;=1E-10,$Y43=$R43)),IF(OR($Z43="",$S43=""),AND($Z43="",$S43=""),IF(AND(ISNUMBER($Z43),ISNUMBER($S43)),ABS($Z43-$S43)&lt;=1E-10,$Z43=$S43)),(IF(NOT(IFERROR(INDEX('Hidden_Value_Audit'!$Q$2:$Q$8,MATCH($B43,'Hidden_Value_Audit'!$A$2:$A$8,0)),FALSE)),"module_or_profile_pack_disabled",IF($Z43="","predicate_input_unavailable",IF($Z43,"passed","failed")))=$W43)),"PASS","FAIL")</f>
        <v/>
      </c>
    </row>
    <row r="44">
      <c r="X44" s="553">
        <f>IF(IFERROR(INDEX('Hidden_Value_Audit'!$Q$2:$Q$8,MATCH($B44,'Hidden_Value_Audit'!$A$2:$A$8,0)),FALSE),IF(OR(IFERROR(INDEX(HV_Base_Status,MATCH($G44,HV_Base_MetricKey,0)),"")="source_backed",IFERROR(INDEX(HV_Base_Status,MATCH($G44,HV_Base_MetricKey,0)),"")="formula_calculated",IFERROR(INDEX(HV_Base_Status,MATCH($G44,HV_Base_MetricKey,0)),"")="derived_calculated"),IFERROR(INDEX(HV_Base_Value,MATCH($G44,HV_Base_MetricKey,0)),""),""),"")</f>
        <v/>
      </c>
      <c r="Y44" s="553">
        <f>IF(NOT(IFERROR(INDEX('Hidden_Value_Audit'!$Q$2:$Q$8,MATCH($B44,'Hidden_Value_Audit'!$A$2:$A$8,0)),FALSE)),"",IF($I44&lt;&gt;"",IF(OR(IFERROR(INDEX(HV_Base_Status,MATCH($I44,HV_Base_MetricKey,0)),"")="source_backed",IFERROR(INDEX(HV_Base_Status,MATCH($I44,HV_Base_MetricKey,0)),"")="formula_calculated",IFERROR(INDEX(HV_Base_Status,MATCH($I44,HV_Base_MetricKey,0)),"")="derived_calculated"),IFERROR(INDEX(HV_Base_Value,MATCH($I44,HV_Base_MetricKey,0)),""),""),IF($J44="","",$J44)))</f>
        <v/>
      </c>
      <c r="Z44">
        <f>IF(OR($X44="",$Y44=""),"",IF($H44="gt",$X44&gt;$Y44,IF($H44="gte",$X44&gt;=$Y44,IF($H44="lt",$X44&lt;$Y44,IF($H44="lte",$X44&lt;=$Y44,IF($H44="eq",$X44=$Y44,FALSE))))))</f>
        <v/>
      </c>
      <c r="AA44">
        <f>""</f>
        <v/>
      </c>
      <c r="AB44">
        <f>""</f>
        <v/>
      </c>
      <c r="AC44">
        <f>""</f>
        <v/>
      </c>
      <c r="AD44">
        <f>IF(AND(IF(OR($X44="",$Q44=""),AND($X44="",$Q44=""),IF(AND(ISNUMBER($X44),ISNUMBER($Q44)),ABS($X44-$Q44)&lt;=1E-10,$X44=$Q44)),IF(OR($Y44="",$R44=""),AND($Y44="",$R44=""),IF(AND(ISNUMBER($Y44),ISNUMBER($R44)),ABS($Y44-$R44)&lt;=1E-10,$Y44=$R44)),IF(OR($Z44="",$S44=""),AND($Z44="",$S44=""),IF(AND(ISNUMBER($Z44),ISNUMBER($S44)),ABS($Z44-$S44)&lt;=1E-10,$Z44=$S44)),(IF(NOT(IFERROR(INDEX('Hidden_Value_Audit'!$Q$2:$Q$8,MATCH($B44,'Hidden_Value_Audit'!$A$2:$A$8,0)),FALSE)),"module_or_profile_pack_disabled",IF($Z44="","predicate_input_unavailable",IF($Z44,"passed","failed")))=$W44)),"PASS","FAIL")</f>
        <v/>
      </c>
    </row>
    <row r="45">
      <c r="X45" s="553">
        <f>IF(IFERROR(INDEX('Hidden_Value_Audit'!$Q$2:$Q$8,MATCH($B45,'Hidden_Value_Audit'!$A$2:$A$8,0)),FALSE),IF(OR(IFERROR(INDEX(HV_Base_Status,MATCH($G45,HV_Base_MetricKey,0)),"")="source_backed",IFERROR(INDEX(HV_Base_Status,MATCH($G45,HV_Base_MetricKey,0)),"")="formula_calculated",IFERROR(INDEX(HV_Base_Status,MATCH($G45,HV_Base_MetricKey,0)),"")="derived_calculated"),IFERROR(INDEX(HV_Base_Value,MATCH($G45,HV_Base_MetricKey,0)),""),""),"")</f>
        <v/>
      </c>
      <c r="Y45" s="553">
        <f>IF(NOT(IFERROR(INDEX('Hidden_Value_Audit'!$Q$2:$Q$8,MATCH($B45,'Hidden_Value_Audit'!$A$2:$A$8,0)),FALSE)),"",IF($I45&lt;&gt;"",IF(OR(IFERROR(INDEX(HV_Base_Status,MATCH($I45,HV_Base_MetricKey,0)),"")="source_backed",IFERROR(INDEX(HV_Base_Status,MATCH($I45,HV_Base_MetricKey,0)),"")="formula_calculated",IFERROR(INDEX(HV_Base_Status,MATCH($I45,HV_Base_MetricKey,0)),"")="derived_calculated"),IFERROR(INDEX(HV_Base_Value,MATCH($I45,HV_Base_MetricKey,0)),""),""),IF($J45="","",$J45)))</f>
        <v/>
      </c>
      <c r="Z45">
        <f>IF(OR($X45="",$Y45=""),"",IF($H45="gt",$X45&gt;$Y45,IF($H45="gte",$X45&gt;=$Y45,IF($H45="lt",$X45&lt;$Y45,IF($H45="lte",$X45&lt;=$Y45,IF($H45="eq",$X45=$Y45,FALSE))))))</f>
        <v/>
      </c>
      <c r="AA45">
        <f>""</f>
        <v/>
      </c>
      <c r="AB45">
        <f>""</f>
        <v/>
      </c>
      <c r="AC45">
        <f>""</f>
        <v/>
      </c>
      <c r="AD45">
        <f>IF(AND(IF(OR($X45="",$Q45=""),AND($X45="",$Q45=""),IF(AND(ISNUMBER($X45),ISNUMBER($Q45)),ABS($X45-$Q45)&lt;=1E-10,$X45=$Q45)),IF(OR($Y45="",$R45=""),AND($Y45="",$R45=""),IF(AND(ISNUMBER($Y45),ISNUMBER($R45)),ABS($Y45-$R45)&lt;=1E-10,$Y45=$R45)),IF(OR($Z45="",$S45=""),AND($Z45="",$S45=""),IF(AND(ISNUMBER($Z45),ISNUMBER($S45)),ABS($Z45-$S45)&lt;=1E-10,$Z45=$S45)),(IF(NOT(IFERROR(INDEX('Hidden_Value_Audit'!$Q$2:$Q$8,MATCH($B45,'Hidden_Value_Audit'!$A$2:$A$8,0)),FALSE)),"module_or_profile_pack_disabled",IF($Z45="","predicate_input_unavailable",IF($Z45,"passed","failed")))=$W45)),"PASS","FAIL")</f>
        <v/>
      </c>
    </row>
    <row r="46">
      <c r="X46" s="553">
        <f>IF(IFERROR(INDEX('Hidden_Value_Audit'!$Q$2:$Q$8,MATCH($B46,'Hidden_Value_Audit'!$A$2:$A$8,0)),FALSE),IF(OR(IFERROR(INDEX(HV_Base_Status,MATCH($G46,HV_Base_MetricKey,0)),"")="source_backed",IFERROR(INDEX(HV_Base_Status,MATCH($G46,HV_Base_MetricKey,0)),"")="formula_calculated",IFERROR(INDEX(HV_Base_Status,MATCH($G46,HV_Base_MetricKey,0)),"")="derived_calculated"),IFERROR(INDEX(HV_Base_Value,MATCH($G46,HV_Base_MetricKey,0)),""),""),"")</f>
        <v/>
      </c>
      <c r="Y46" s="553">
        <f>IF(NOT(IFERROR(INDEX('Hidden_Value_Audit'!$Q$2:$Q$8,MATCH($B46,'Hidden_Value_Audit'!$A$2:$A$8,0)),FALSE)),"",IF($I46&lt;&gt;"",IF(OR(IFERROR(INDEX(HV_Base_Status,MATCH($I46,HV_Base_MetricKey,0)),"")="source_backed",IFERROR(INDEX(HV_Base_Status,MATCH($I46,HV_Base_MetricKey,0)),"")="formula_calculated",IFERROR(INDEX(HV_Base_Status,MATCH($I46,HV_Base_MetricKey,0)),"")="derived_calculated"),IFERROR(INDEX(HV_Base_Value,MATCH($I46,HV_Base_MetricKey,0)),""),""),IF($J46="","",$J46)))</f>
        <v/>
      </c>
      <c r="Z46">
        <f>IF(OR($X46="",$Y46=""),"",IF($H46="gt",$X46&gt;$Y46,IF($H46="gte",$X46&gt;=$Y46,IF($H46="lt",$X46&lt;$Y46,IF($H46="lte",$X46&lt;=$Y46,IF($H46="eq",$X46=$Y46,FALSE))))))</f>
        <v/>
      </c>
      <c r="AA46">
        <f>""</f>
        <v/>
      </c>
      <c r="AB46">
        <f>""</f>
        <v/>
      </c>
      <c r="AC46">
        <f>""</f>
        <v/>
      </c>
      <c r="AD46">
        <f>IF(AND(IF(OR($X46="",$Q46=""),AND($X46="",$Q46=""),IF(AND(ISNUMBER($X46),ISNUMBER($Q46)),ABS($X46-$Q46)&lt;=1E-10,$X46=$Q46)),IF(OR($Y46="",$R46=""),AND($Y46="",$R46=""),IF(AND(ISNUMBER($Y46),ISNUMBER($R46)),ABS($Y46-$R46)&lt;=1E-10,$Y46=$R46)),IF(OR($Z46="",$S46=""),AND($Z46="",$S46=""),IF(AND(ISNUMBER($Z46),ISNUMBER($S46)),ABS($Z46-$S46)&lt;=1E-10,$Z46=$S46)),(IF(NOT(IFERROR(INDEX('Hidden_Value_Audit'!$Q$2:$Q$8,MATCH($B46,'Hidden_Value_Audit'!$A$2:$A$8,0)),FALSE)),"module_or_profile_pack_disabled",IF($Z46="","predicate_input_unavailable",IF($Z46,"passed","failed")))=$W46)),"PASS","FAIL")</f>
        <v/>
      </c>
    </row>
    <row r="47">
      <c r="X47" s="553">
        <f>IF(IFERROR(INDEX('Hidden_Value_Audit'!$Q$2:$Q$8,MATCH($B47,'Hidden_Value_Audit'!$A$2:$A$8,0)),FALSE),IF(OR(IFERROR(INDEX(HV_Base_Status,MATCH($G47,HV_Base_MetricKey,0)),"")="source_backed",IFERROR(INDEX(HV_Base_Status,MATCH($G47,HV_Base_MetricKey,0)),"")="formula_calculated",IFERROR(INDEX(HV_Base_Status,MATCH($G47,HV_Base_MetricKey,0)),"")="derived_calculated"),IFERROR(INDEX(HV_Base_Value,MATCH($G47,HV_Base_MetricKey,0)),""),""),"")</f>
        <v/>
      </c>
      <c r="Y47" s="553">
        <f>IF(NOT(IFERROR(INDEX('Hidden_Value_Audit'!$Q$2:$Q$8,MATCH($B47,'Hidden_Value_Audit'!$A$2:$A$8,0)),FALSE)),"",IF($I47&lt;&gt;"",IF(OR(IFERROR(INDEX(HV_Base_Status,MATCH($I47,HV_Base_MetricKey,0)),"")="source_backed",IFERROR(INDEX(HV_Base_Status,MATCH($I47,HV_Base_MetricKey,0)),"")="formula_calculated",IFERROR(INDEX(HV_Base_Status,MATCH($I47,HV_Base_MetricKey,0)),"")="derived_calculated"),IFERROR(INDEX(HV_Base_Value,MATCH($I47,HV_Base_MetricKey,0)),""),""),IF($J47="","",$J47)))</f>
        <v/>
      </c>
      <c r="Z47">
        <f>IF(OR($X47="",$Y47=""),"",IF($H47="gt",$X47&gt;$Y47,IF($H47="gte",$X47&gt;=$Y47,IF($H47="lt",$X47&lt;$Y47,IF($H47="lte",$X47&lt;=$Y47,IF($H47="eq",$X47=$Y47,FALSE))))))</f>
        <v/>
      </c>
      <c r="AA47">
        <f>""</f>
        <v/>
      </c>
      <c r="AB47">
        <f>""</f>
        <v/>
      </c>
      <c r="AC47">
        <f>""</f>
        <v/>
      </c>
      <c r="AD47">
        <f>IF(AND(IF(OR($X47="",$Q47=""),AND($X47="",$Q47=""),IF(AND(ISNUMBER($X47),ISNUMBER($Q47)),ABS($X47-$Q47)&lt;=1E-10,$X47=$Q47)),IF(OR($Y47="",$R47=""),AND($Y47="",$R47=""),IF(AND(ISNUMBER($Y47),ISNUMBER($R47)),ABS($Y47-$R47)&lt;=1E-10,$Y47=$R47)),IF(OR($Z47="",$S47=""),AND($Z47="",$S47=""),IF(AND(ISNUMBER($Z47),ISNUMBER($S47)),ABS($Z47-$S47)&lt;=1E-10,$Z47=$S47)),(IF(NOT(IFERROR(INDEX('Hidden_Value_Audit'!$Q$2:$Q$8,MATCH($B47,'Hidden_Value_Audit'!$A$2:$A$8,0)),FALSE)),"module_or_profile_pack_disabled",IF($Z47="","predicate_input_unavailable",IF($Z47,"passed","failed")))=$W47)),"PASS","FAIL")</f>
        <v/>
      </c>
    </row>
    <row r="48">
      <c r="X48" s="553">
        <f>IF(IFERROR(INDEX('Hidden_Value_Audit'!$Q$2:$Q$8,MATCH($B48,'Hidden_Value_Audit'!$A$2:$A$8,0)),FALSE),IF(OR(IFERROR(INDEX(HV_Base_Status,MATCH($G48,HV_Base_MetricKey,0)),"")="source_backed",IFERROR(INDEX(HV_Base_Status,MATCH($G48,HV_Base_MetricKey,0)),"")="formula_calculated",IFERROR(INDEX(HV_Base_Status,MATCH($G48,HV_Base_MetricKey,0)),"")="derived_calculated"),IFERROR(INDEX(HV_Base_Value,MATCH($G48,HV_Base_MetricKey,0)),""),""),"")</f>
        <v/>
      </c>
      <c r="Y48">
        <f>IF(IFERROR(INDEX('Hidden_Value_Audit'!$Q$2:$Q$8,MATCH($B48,'Hidden_Value_Audit'!$A$2:$A$8,0)),FALSE),IFERROR(INDEX(HV_Base_Status,MATCH($G48,HV_Base_MetricKey,0)),""),"unavailable")</f>
        <v/>
      </c>
      <c r="Z48">
        <f>IF(NOT(IFERROR(INDEX('Hidden_Value_Audit'!$Q$2:$Q$8,MATCH($B48,'Hidden_Value_Audit'!$A$2:$A$8,0)),FALSE)),FALSE,AND(ISNUMBER($X48),OR($Y48="source_backed",$Y48="formula_calculated",$Y48="derived_calculated")))</f>
        <v/>
      </c>
      <c r="AA48" s="553">
        <f>IF($Z48,$L48,0)</f>
        <v/>
      </c>
      <c r="AB48" s="553">
        <f>IF(NOT($Z48),"",IF(OR(NOT(ISNUMBER($N48)),NOT(ISNUMBER($O48)),$O48&lt;=0,NOT(ISNUMBER($P48)),AND($M48&lt;&gt;"higher",$M48&lt;&gt;"lower")),"",MAX(0,MIN(1,IF($M48="lower",($N48-$X48)/$O48+$P48,($X48-$N48)/$O48+$P48)))))</f>
        <v/>
      </c>
      <c r="AC48" s="553">
        <f>IF($AB48="","",$AB48*$AA48)</f>
        <v/>
      </c>
      <c r="AD48">
        <f>IF(AND(IF(OR($X48="",$Q48=""),AND($X48="",$Q48=""),IF(AND(ISNUMBER($X48),ISNUMBER($Q48)),ABS($X48-$Q48)&lt;=1E-10,$X48=$Q48)),IF(OR($AA48="",$T48=""),AND($AA48="",$T48=""),IF(AND(ISNUMBER($AA48),ISNUMBER($T48)),ABS($AA48-$T48)&lt;=1E-10,$AA48=$T48)),IF(OR($AB48="",$U48=""),AND($AB48="",$U48=""),IF(AND(ISNUMBER($AB48),ISNUMBER($U48)),ABS($AB48-$U48)&lt;=1E-10,$AB48=$U48)),IF(OR($AC48="",$V48=""),AND($AC48="",$V48=""),IF(AND(ISNUMBER($AC48),ISNUMBER($V48)),ABS($AC48-$V48)&lt;=1E-10,$AC48=$V48)),(IF($Z48,"calculated","unavailable")=$W48)),"PASS","FAIL")</f>
        <v/>
      </c>
    </row>
    <row r="49">
      <c r="X49" s="553">
        <f>IF(IFERROR(INDEX('Hidden_Value_Audit'!$Q$2:$Q$8,MATCH($B49,'Hidden_Value_Audit'!$A$2:$A$8,0)),FALSE),IF(OR(IFERROR(INDEX(HV_Base_Status,MATCH($G49,HV_Base_MetricKey,0)),"")="source_backed",IFERROR(INDEX(HV_Base_Status,MATCH($G49,HV_Base_MetricKey,0)),"")="formula_calculated",IFERROR(INDEX(HV_Base_Status,MATCH($G49,HV_Base_MetricKey,0)),"")="derived_calculated"),IFERROR(INDEX(HV_Base_Value,MATCH($G49,HV_Base_MetricKey,0)),""),""),"")</f>
        <v/>
      </c>
      <c r="Y49">
        <f>IF(IFERROR(INDEX('Hidden_Value_Audit'!$Q$2:$Q$8,MATCH($B49,'Hidden_Value_Audit'!$A$2:$A$8,0)),FALSE),IFERROR(INDEX(HV_Base_Status,MATCH($G49,HV_Base_MetricKey,0)),""),"unavailable")</f>
        <v/>
      </c>
      <c r="Z49">
        <f>IF(NOT(IFERROR(INDEX('Hidden_Value_Audit'!$Q$2:$Q$8,MATCH($B49,'Hidden_Value_Audit'!$A$2:$A$8,0)),FALSE)),FALSE,AND(ISNUMBER($X49),OR($Y49="source_backed",$Y49="formula_calculated",$Y49="derived_calculated")))</f>
        <v/>
      </c>
      <c r="AA49" s="553">
        <f>IF($Z49,$L49,0)</f>
        <v/>
      </c>
      <c r="AB49" s="553">
        <f>IF(NOT($Z49),"",IF(OR(NOT(ISNUMBER($N49)),NOT(ISNUMBER($O49)),$O49&lt;=0,NOT(ISNUMBER($P49)),AND($M49&lt;&gt;"higher",$M49&lt;&gt;"lower")),"",MAX(0,MIN(1,IF($M49="lower",($N49-$X49)/$O49+$P49,($X49-$N49)/$O49+$P49)))))</f>
        <v/>
      </c>
      <c r="AC49" s="553">
        <f>IF($AB49="","",$AB49*$AA49)</f>
        <v/>
      </c>
      <c r="AD49">
        <f>IF(AND(IF(OR($X49="",$Q49=""),AND($X49="",$Q49=""),IF(AND(ISNUMBER($X49),ISNUMBER($Q49)),ABS($X49-$Q49)&lt;=1E-10,$X49=$Q49)),IF(OR($AA49="",$T49=""),AND($AA49="",$T49=""),IF(AND(ISNUMBER($AA49),ISNUMBER($T49)),ABS($AA49-$T49)&lt;=1E-10,$AA49=$T49)),IF(OR($AB49="",$U49=""),AND($AB49="",$U49=""),IF(AND(ISNUMBER($AB49),ISNUMBER($U49)),ABS($AB49-$U49)&lt;=1E-10,$AB49=$U49)),IF(OR($AC49="",$V49=""),AND($AC49="",$V49=""),IF(AND(ISNUMBER($AC49),ISNUMBER($V49)),ABS($AC49-$V49)&lt;=1E-10,$AC49=$V49)),(IF($Z49,"calculated","unavailable")=$W49)),"PASS","FAIL")</f>
        <v/>
      </c>
    </row>
    <row r="50">
      <c r="X50" s="553">
        <f>IF(IFERROR(INDEX('Hidden_Value_Audit'!$Q$2:$Q$8,MATCH($B50,'Hidden_Value_Audit'!$A$2:$A$8,0)),FALSE),IF(OR(IFERROR(INDEX(HV_Base_Status,MATCH($G50,HV_Base_MetricKey,0)),"")="source_backed",IFERROR(INDEX(HV_Base_Status,MATCH($G50,HV_Base_MetricKey,0)),"")="formula_calculated",IFERROR(INDEX(HV_Base_Status,MATCH($G50,HV_Base_MetricKey,0)),"")="derived_calculated"),IFERROR(INDEX(HV_Base_Value,MATCH($G50,HV_Base_MetricKey,0)),""),""),"")</f>
        <v/>
      </c>
      <c r="Y50">
        <f>IF(IFERROR(INDEX('Hidden_Value_Audit'!$Q$2:$Q$8,MATCH($B50,'Hidden_Value_Audit'!$A$2:$A$8,0)),FALSE),IFERROR(INDEX(HV_Base_Status,MATCH($G50,HV_Base_MetricKey,0)),""),"unavailable")</f>
        <v/>
      </c>
      <c r="Z50">
        <f>IF(NOT(IFERROR(INDEX('Hidden_Value_Audit'!$Q$2:$Q$8,MATCH($B50,'Hidden_Value_Audit'!$A$2:$A$8,0)),FALSE)),FALSE,AND(ISNUMBER($X50),OR($Y50="source_backed",$Y50="formula_calculated",$Y50="derived_calculated")))</f>
        <v/>
      </c>
      <c r="AA50" s="553">
        <f>IF($Z50,$L50,0)</f>
        <v/>
      </c>
      <c r="AB50" s="553">
        <f>IF(NOT($Z50),"",IF(OR(NOT(ISNUMBER($N50)),NOT(ISNUMBER($O50)),$O50&lt;=0,NOT(ISNUMBER($P50)),AND($M50&lt;&gt;"higher",$M50&lt;&gt;"lower")),"",MAX(0,MIN(1,IF($M50="lower",($N50-$X50)/$O50+$P50,($X50-$N50)/$O50+$P50)))))</f>
        <v/>
      </c>
      <c r="AC50" s="553">
        <f>IF($AB50="","",$AB50*$AA50)</f>
        <v/>
      </c>
      <c r="AD50">
        <f>IF(AND(IF(OR($X50="",$Q50=""),AND($X50="",$Q50=""),IF(AND(ISNUMBER($X50),ISNUMBER($Q50)),ABS($X50-$Q50)&lt;=1E-10,$X50=$Q50)),IF(OR($AA50="",$T50=""),AND($AA50="",$T50=""),IF(AND(ISNUMBER($AA50),ISNUMBER($T50)),ABS($AA50-$T50)&lt;=1E-10,$AA50=$T50)),IF(OR($AB50="",$U50=""),AND($AB50="",$U50=""),IF(AND(ISNUMBER($AB50),ISNUMBER($U50)),ABS($AB50-$U50)&lt;=1E-10,$AB50=$U50)),IF(OR($AC50="",$V50=""),AND($AC50="",$V50=""),IF(AND(ISNUMBER($AC50),ISNUMBER($V50)),ABS($AC50-$V50)&lt;=1E-10,$AC50=$V50)),(IF($Z50,"calculated","unavailable")=$W50)),"PASS","FAIL")</f>
        <v/>
      </c>
    </row>
    <row r="51">
      <c r="X51" s="553">
        <f>IF(OR(IFERROR(INDEX(HV_Base_Status,MATCH($G51,HV_Base_MetricKey,0)),"")="source_backed",IFERROR(INDEX(HV_Base_Status,MATCH($G51,HV_Base_MetricKey,0)),"")="formula_calculated",IFERROR(INDEX(HV_Base_Status,MATCH($G51,HV_Base_MetricKey,0)),"")="derived_calculated"),IFERROR(INDEX(HV_Base_Value,MATCH($G51,HV_Base_MetricKey,0)),""),"")</f>
        <v/>
      </c>
      <c r="Y51">
        <f>IFERROR(INDEX(HV_Base_Status,MATCH($G51,HV_Base_MetricKey,0)),"")</f>
        <v/>
      </c>
      <c r="Z51">
        <f>IF($G51="","",AND(ISNUMBER($X51),OR($Y51="source_backed",$Y51="formula_calculated",$Y51="derived_calculated")))</f>
        <v/>
      </c>
      <c r="AA51">
        <f>""</f>
        <v/>
      </c>
      <c r="AB51">
        <f>""</f>
        <v/>
      </c>
      <c r="AC51">
        <f>""</f>
        <v/>
      </c>
      <c r="AD51">
        <f>IF(AND(IF(OR($X51="",$Q51=""),AND($X51="",$Q51=""),IF(AND(ISNUMBER($X51),ISNUMBER($Q51)),ABS($X51-$Q51)&lt;=1E-10,$X51=$Q51)),IF(OR($Y51="",$W51=""),AND($Y51="",$W51=""),IF(AND(ISNUMBER($Y51),ISNUMBER($W51)),ABS($Y51-$W51)&lt;=1E-10,$Y51=$W51)),IF(OR($Z51="",$S51=""),AND($Z51="",$S51=""),IF(AND(ISNUMBER($Z51),ISNUMBER($S51)),ABS($Z51-$S51)&lt;=1E-10,$Z51=$S51))),"PASS","FAIL")</f>
        <v/>
      </c>
    </row>
    <row r="52">
      <c r="X52" s="553">
        <f>IF(OR(IFERROR(INDEX(HV_Base_Status,MATCH($G52,HV_Base_MetricKey,0)),"")="source_backed",IFERROR(INDEX(HV_Base_Status,MATCH($G52,HV_Base_MetricKey,0)),"")="formula_calculated",IFERROR(INDEX(HV_Base_Status,MATCH($G52,HV_Base_MetricKey,0)),"")="derived_calculated"),IFERROR(INDEX(HV_Base_Value,MATCH($G52,HV_Base_MetricKey,0)),""),"")</f>
        <v/>
      </c>
      <c r="Y52">
        <f>IFERROR(INDEX(HV_Base_Status,MATCH($G52,HV_Base_MetricKey,0)),"")</f>
        <v/>
      </c>
      <c r="Z52">
        <f>IF($G52="","",AND(ISNUMBER($X52),OR($Y52="source_backed",$Y52="formula_calculated",$Y52="derived_calculated")))</f>
        <v/>
      </c>
      <c r="AA52">
        <f>""</f>
        <v/>
      </c>
      <c r="AB52">
        <f>""</f>
        <v/>
      </c>
      <c r="AC52">
        <f>""</f>
        <v/>
      </c>
      <c r="AD52">
        <f>IF(AND(IF(OR($X52="",$Q52=""),AND($X52="",$Q52=""),IF(AND(ISNUMBER($X52),ISNUMBER($Q52)),ABS($X52-$Q52)&lt;=1E-10,$X52=$Q52)),IF(OR($Y52="",$W52=""),AND($Y52="",$W52=""),IF(AND(ISNUMBER($Y52),ISNUMBER($W52)),ABS($Y52-$W52)&lt;=1E-10,$Y52=$W52)),IF(OR($Z52="",$S52=""),AND($Z52="",$S52=""),IF(AND(ISNUMBER($Z52),ISNUMBER($S52)),ABS($Z52-$S52)&lt;=1E-10,$Z52=$S52))),"PASS","FAIL")</f>
        <v/>
      </c>
    </row>
    <row r="53">
      <c r="X53" s="553">
        <f>IF(OR(IFERROR(INDEX(HV_Base_Status,MATCH($G53,HV_Base_MetricKey,0)),"")="source_backed",IFERROR(INDEX(HV_Base_Status,MATCH($G53,HV_Base_MetricKey,0)),"")="formula_calculated",IFERROR(INDEX(HV_Base_Status,MATCH($G53,HV_Base_MetricKey,0)),"")="derived_calculated"),IFERROR(INDEX(HV_Base_Value,MATCH($G53,HV_Base_MetricKey,0)),""),"")</f>
        <v/>
      </c>
      <c r="Y53">
        <f>IFERROR(INDEX(HV_Base_Status,MATCH($G53,HV_Base_MetricKey,0)),"")</f>
        <v/>
      </c>
      <c r="Z53">
        <f>IF($G53="","",AND(ISNUMBER($X53),OR($Y53="source_backed",$Y53="formula_calculated",$Y53="derived_calculated")))</f>
        <v/>
      </c>
      <c r="AA53">
        <f>""</f>
        <v/>
      </c>
      <c r="AB53">
        <f>""</f>
        <v/>
      </c>
      <c r="AC53">
        <f>""</f>
        <v/>
      </c>
      <c r="AD53">
        <f>IF(AND(IF(OR($X53="",$Q53=""),AND($X53="",$Q53=""),IF(AND(ISNUMBER($X53),ISNUMBER($Q53)),ABS($X53-$Q53)&lt;=1E-10,$X53=$Q53)),IF(OR($Y53="",$W53=""),AND($Y53="",$W53=""),IF(AND(ISNUMBER($Y53),ISNUMBER($W53)),ABS($Y53-$W53)&lt;=1E-10,$Y53=$W53)),IF(OR($Z53="",$S53=""),AND($Z53="",$S53=""),IF(AND(ISNUMBER($Z53),ISNUMBER($S53)),ABS($Z53-$S53)&lt;=1E-10,$Z53=$S53))),"PASS","FAIL")</f>
        <v/>
      </c>
    </row>
    <row r="54">
      <c r="X54" s="553">
        <f>IF(OR(IFERROR(INDEX(HV_Base_Status,MATCH($G54,HV_Base_MetricKey,0)),"")="source_backed",IFERROR(INDEX(HV_Base_Status,MATCH($G54,HV_Base_MetricKey,0)),"")="formula_calculated",IFERROR(INDEX(HV_Base_Status,MATCH($G54,HV_Base_MetricKey,0)),"")="derived_calculated"),IFERROR(INDEX(HV_Base_Value,MATCH($G54,HV_Base_MetricKey,0)),""),"")</f>
        <v/>
      </c>
      <c r="Y54">
        <f>IFERROR(INDEX(HV_Base_Status,MATCH($G54,HV_Base_MetricKey,0)),"")</f>
        <v/>
      </c>
      <c r="Z54">
        <f>IF($G54="","",AND(ISNUMBER($X54),OR($Y54="source_backed",$Y54="formula_calculated",$Y54="derived_calculated")))</f>
        <v/>
      </c>
      <c r="AA54">
        <f>""</f>
        <v/>
      </c>
      <c r="AB54">
        <f>""</f>
        <v/>
      </c>
      <c r="AC54">
        <f>""</f>
        <v/>
      </c>
      <c r="AD54">
        <f>IF(AND(IF(OR($X54="",$Q54=""),AND($X54="",$Q54=""),IF(AND(ISNUMBER($X54),ISNUMBER($Q54)),ABS($X54-$Q54)&lt;=1E-10,$X54=$Q54)),IF(OR($Y54="",$W54=""),AND($Y54="",$W54=""),IF(AND(ISNUMBER($Y54),ISNUMBER($W54)),ABS($Y54-$W54)&lt;=1E-10,$Y54=$W54)),IF(OR($Z54="",$S54=""),AND($Z54="",$S54=""),IF(AND(ISNUMBER($Z54),ISNUMBER($S54)),ABS($Z54-$S54)&lt;=1E-10,$Z54=$S54))),"PASS","FAIL")</f>
        <v/>
      </c>
    </row>
    <row r="55">
      <c r="X55" s="553">
        <f>IF(OR(IFERROR(INDEX(HV_Base_Status,MATCH($G55,HV_Base_MetricKey,0)),"")="source_backed",IFERROR(INDEX(HV_Base_Status,MATCH($G55,HV_Base_MetricKey,0)),"")="formula_calculated",IFERROR(INDEX(HV_Base_Status,MATCH($G55,HV_Base_MetricKey,0)),"")="derived_calculated"),IFERROR(INDEX(HV_Base_Value,MATCH($G55,HV_Base_MetricKey,0)),""),"")</f>
        <v/>
      </c>
      <c r="Y55">
        <f>IFERROR(INDEX(HV_Base_Status,MATCH($G55,HV_Base_MetricKey,0)),"")</f>
        <v/>
      </c>
      <c r="Z55">
        <f>IF($G55="","",AND(ISNUMBER($X55),OR($Y55="source_backed",$Y55="formula_calculated",$Y55="derived_calculated")))</f>
        <v/>
      </c>
      <c r="AA55">
        <f>""</f>
        <v/>
      </c>
      <c r="AB55">
        <f>""</f>
        <v/>
      </c>
      <c r="AC55">
        <f>""</f>
        <v/>
      </c>
      <c r="AD55">
        <f>IF(AND(IF(OR($X55="",$Q55=""),AND($X55="",$Q55=""),IF(AND(ISNUMBER($X55),ISNUMBER($Q55)),ABS($X55-$Q55)&lt;=1E-10,$X55=$Q55)),IF(OR($Y55="",$W55=""),AND($Y55="",$W55=""),IF(AND(ISNUMBER($Y55),ISNUMBER($W55)),ABS($Y55-$W55)&lt;=1E-10,$Y55=$W55)),IF(OR($Z55="",$S55=""),AND($Z55="",$S55=""),IF(AND(ISNUMBER($Z55),ISNUMBER($S55)),ABS($Z55-$S55)&lt;=1E-10,$Z55=$S55))),"PASS","FAIL")</f>
        <v/>
      </c>
    </row>
    <row r="56">
      <c r="X56" s="553">
        <f>IF(IFERROR(INDEX('Hidden_Value_Audit'!$Q$2:$Q$8,MATCH($B56,'Hidden_Value_Audit'!$A$2:$A$8,0)),FALSE),IF(OR(IFERROR(INDEX(HV_Base_Status,MATCH($G56,HV_Base_MetricKey,0)),"")="source_backed",IFERROR(INDEX(HV_Base_Status,MATCH($G56,HV_Base_MetricKey,0)),"")="formula_calculated",IFERROR(INDEX(HV_Base_Status,MATCH($G56,HV_Base_MetricKey,0)),"")="derived_calculated"),IFERROR(INDEX(HV_Base_Value,MATCH($G56,HV_Base_MetricKey,0)),""),""),"")</f>
        <v/>
      </c>
      <c r="Y56" s="553">
        <f>IF(NOT(IFERROR(INDEX('Hidden_Value_Audit'!$Q$2:$Q$8,MATCH($B56,'Hidden_Value_Audit'!$A$2:$A$8,0)),FALSE)),"",IF($I56&lt;&gt;"",IF(OR(IFERROR(INDEX(HV_Base_Status,MATCH($I56,HV_Base_MetricKey,0)),"")="source_backed",IFERROR(INDEX(HV_Base_Status,MATCH($I56,HV_Base_MetricKey,0)),"")="formula_calculated",IFERROR(INDEX(HV_Base_Status,MATCH($I56,HV_Base_MetricKey,0)),"")="derived_calculated"),IFERROR(INDEX(HV_Base_Value,MATCH($I56,HV_Base_MetricKey,0)),""),""),IF($J56="","",$J56)))</f>
        <v/>
      </c>
      <c r="Z56">
        <f>IF(OR($X56="",$Y56=""),"",IF($H56="gt",$X56&gt;$Y56,IF($H56="gte",$X56&gt;=$Y56,IF($H56="lt",$X56&lt;$Y56,IF($H56="lte",$X56&lt;=$Y56,IF($H56="eq",$X56=$Y56,FALSE))))))</f>
        <v/>
      </c>
      <c r="AA56">
        <f>""</f>
        <v/>
      </c>
      <c r="AB56">
        <f>""</f>
        <v/>
      </c>
      <c r="AC56">
        <f>""</f>
        <v/>
      </c>
      <c r="AD56">
        <f>IF(AND(IF(OR($X56="",$Q56=""),AND($X56="",$Q56=""),IF(AND(ISNUMBER($X56),ISNUMBER($Q56)),ABS($X56-$Q56)&lt;=1E-10,$X56=$Q56)),IF(OR($Y56="",$R56=""),AND($Y56="",$R56=""),IF(AND(ISNUMBER($Y56),ISNUMBER($R56)),ABS($Y56-$R56)&lt;=1E-10,$Y56=$R56)),IF(OR($Z56="",$S56=""),AND($Z56="",$S56=""),IF(AND(ISNUMBER($Z56),ISNUMBER($S56)),ABS($Z56-$S56)&lt;=1E-10,$Z56=$S56)),(IF(NOT(IFERROR(INDEX('Hidden_Value_Audit'!$Q$2:$Q$8,MATCH($B56,'Hidden_Value_Audit'!$A$2:$A$8,0)),FALSE)),"module_or_profile_pack_disabled",IF($Z56="","predicate_input_unavailable",IF($Z56,"passed","failed")))=$W56)),"PASS","FAIL")</f>
        <v/>
      </c>
    </row>
    <row r="57">
      <c r="X57" s="553">
        <f>IF(IFERROR(INDEX('Hidden_Value_Audit'!$Q$2:$Q$8,MATCH($B57,'Hidden_Value_Audit'!$A$2:$A$8,0)),FALSE),IF(OR(IFERROR(INDEX(HV_Base_Status,MATCH($G57,HV_Base_MetricKey,0)),"")="source_backed",IFERROR(INDEX(HV_Base_Status,MATCH($G57,HV_Base_MetricKey,0)),"")="formula_calculated",IFERROR(INDEX(HV_Base_Status,MATCH($G57,HV_Base_MetricKey,0)),"")="derived_calculated"),IFERROR(INDEX(HV_Base_Value,MATCH($G57,HV_Base_MetricKey,0)),""),""),"")</f>
        <v/>
      </c>
      <c r="Y57" s="553">
        <f>IF(NOT(IFERROR(INDEX('Hidden_Value_Audit'!$Q$2:$Q$8,MATCH($B57,'Hidden_Value_Audit'!$A$2:$A$8,0)),FALSE)),"",IF($I57&lt;&gt;"",IF(OR(IFERROR(INDEX(HV_Base_Status,MATCH($I57,HV_Base_MetricKey,0)),"")="source_backed",IFERROR(INDEX(HV_Base_Status,MATCH($I57,HV_Base_MetricKey,0)),"")="formula_calculated",IFERROR(INDEX(HV_Base_Status,MATCH($I57,HV_Base_MetricKey,0)),"")="derived_calculated"),IFERROR(INDEX(HV_Base_Value,MATCH($I57,HV_Base_MetricKey,0)),""),""),IF($J57="","",$J57)))</f>
        <v/>
      </c>
      <c r="Z57">
        <f>IF(OR($X57="",$Y57=""),"",IF($H57="gt",$X57&gt;$Y57,IF($H57="gte",$X57&gt;=$Y57,IF($H57="lt",$X57&lt;$Y57,IF($H57="lte",$X57&lt;=$Y57,IF($H57="eq",$X57=$Y57,FALSE))))))</f>
        <v/>
      </c>
      <c r="AA57">
        <f>""</f>
        <v/>
      </c>
      <c r="AB57">
        <f>""</f>
        <v/>
      </c>
      <c r="AC57">
        <f>""</f>
        <v/>
      </c>
      <c r="AD57">
        <f>IF(AND(IF(OR($X57="",$Q57=""),AND($X57="",$Q57=""),IF(AND(ISNUMBER($X57),ISNUMBER($Q57)),ABS($X57-$Q57)&lt;=1E-10,$X57=$Q57)),IF(OR($Y57="",$R57=""),AND($Y57="",$R57=""),IF(AND(ISNUMBER($Y57),ISNUMBER($R57)),ABS($Y57-$R57)&lt;=1E-10,$Y57=$R57)),IF(OR($Z57="",$S57=""),AND($Z57="",$S57=""),IF(AND(ISNUMBER($Z57),ISNUMBER($S57)),ABS($Z57-$S57)&lt;=1E-10,$Z57=$S57)),(IF(NOT(IFERROR(INDEX('Hidden_Value_Audit'!$Q$2:$Q$8,MATCH($B57,'Hidden_Value_Audit'!$A$2:$A$8,0)),FALSE)),"module_or_profile_pack_disabled",IF($Z57="","predicate_input_unavailable",IF($Z57,"passed","failed")))=$W57)),"PASS","FAIL")</f>
        <v/>
      </c>
    </row>
    <row r="58">
      <c r="X58" s="553">
        <f>IF(IFERROR(INDEX('Hidden_Value_Audit'!$Q$2:$Q$8,MATCH($B58,'Hidden_Value_Audit'!$A$2:$A$8,0)),FALSE),IF(OR(IFERROR(INDEX(HV_Base_Status,MATCH($G58,HV_Base_MetricKey,0)),"")="source_backed",IFERROR(INDEX(HV_Base_Status,MATCH($G58,HV_Base_MetricKey,0)),"")="formula_calculated",IFERROR(INDEX(HV_Base_Status,MATCH($G58,HV_Base_MetricKey,0)),"")="derived_calculated"),IFERROR(INDEX(HV_Base_Value,MATCH($G58,HV_Base_MetricKey,0)),""),""),"")</f>
        <v/>
      </c>
      <c r="Y58" s="553">
        <f>IF(NOT(IFERROR(INDEX('Hidden_Value_Audit'!$Q$2:$Q$8,MATCH($B58,'Hidden_Value_Audit'!$A$2:$A$8,0)),FALSE)),"",IF($I58&lt;&gt;"",IF(OR(IFERROR(INDEX(HV_Base_Status,MATCH($I58,HV_Base_MetricKey,0)),"")="source_backed",IFERROR(INDEX(HV_Base_Status,MATCH($I58,HV_Base_MetricKey,0)),"")="formula_calculated",IFERROR(INDEX(HV_Base_Status,MATCH($I58,HV_Base_MetricKey,0)),"")="derived_calculated"),IFERROR(INDEX(HV_Base_Value,MATCH($I58,HV_Base_MetricKey,0)),""),""),IF($J58="","",$J58)))</f>
        <v/>
      </c>
      <c r="Z58">
        <f>IF(OR($X58="",$Y58=""),"",IF($H58="gt",$X58&gt;$Y58,IF($H58="gte",$X58&gt;=$Y58,IF($H58="lt",$X58&lt;$Y58,IF($H58="lte",$X58&lt;=$Y58,IF($H58="eq",$X58=$Y58,FALSE))))))</f>
        <v/>
      </c>
      <c r="AA58">
        <f>""</f>
        <v/>
      </c>
      <c r="AB58">
        <f>""</f>
        <v/>
      </c>
      <c r="AC58">
        <f>""</f>
        <v/>
      </c>
      <c r="AD58">
        <f>IF(AND(IF(OR($X58="",$Q58=""),AND($X58="",$Q58=""),IF(AND(ISNUMBER($X58),ISNUMBER($Q58)),ABS($X58-$Q58)&lt;=1E-10,$X58=$Q58)),IF(OR($Y58="",$R58=""),AND($Y58="",$R58=""),IF(AND(ISNUMBER($Y58),ISNUMBER($R58)),ABS($Y58-$R58)&lt;=1E-10,$Y58=$R58)),IF(OR($Z58="",$S58=""),AND($Z58="",$S58=""),IF(AND(ISNUMBER($Z58),ISNUMBER($S58)),ABS($Z58-$S58)&lt;=1E-10,$Z58=$S58)),(IF(NOT(IFERROR(INDEX('Hidden_Value_Audit'!$Q$2:$Q$8,MATCH($B58,'Hidden_Value_Audit'!$A$2:$A$8,0)),FALSE)),"module_or_profile_pack_disabled",IF($Z58="","predicate_input_unavailable",IF($Z58,"passed","failed")))=$W58)),"PASS","FAIL")</f>
        <v/>
      </c>
    </row>
    <row r="59">
      <c r="X59" s="553">
        <f>IF(IFERROR(INDEX('Hidden_Value_Audit'!$Q$2:$Q$8,MATCH($B59,'Hidden_Value_Audit'!$A$2:$A$8,0)),FALSE),IF(OR(IFERROR(INDEX(HV_Base_Status,MATCH($G59,HV_Base_MetricKey,0)),"")="source_backed",IFERROR(INDEX(HV_Base_Status,MATCH($G59,HV_Base_MetricKey,0)),"")="formula_calculated",IFERROR(INDEX(HV_Base_Status,MATCH($G59,HV_Base_MetricKey,0)),"")="derived_calculated"),IFERROR(INDEX(HV_Base_Value,MATCH($G59,HV_Base_MetricKey,0)),""),""),"")</f>
        <v/>
      </c>
      <c r="Y59" s="553">
        <f>IF(NOT(IFERROR(INDEX('Hidden_Value_Audit'!$Q$2:$Q$8,MATCH($B59,'Hidden_Value_Audit'!$A$2:$A$8,0)),FALSE)),"",IF($I59&lt;&gt;"",IF(OR(IFERROR(INDEX(HV_Base_Status,MATCH($I59,HV_Base_MetricKey,0)),"")="source_backed",IFERROR(INDEX(HV_Base_Status,MATCH($I59,HV_Base_MetricKey,0)),"")="formula_calculated",IFERROR(INDEX(HV_Base_Status,MATCH($I59,HV_Base_MetricKey,0)),"")="derived_calculated"),IFERROR(INDEX(HV_Base_Value,MATCH($I59,HV_Base_MetricKey,0)),""),""),IF($J59="","",$J59)))</f>
        <v/>
      </c>
      <c r="Z59">
        <f>IF(OR($X59="",$Y59=""),"",IF($H59="gt",$X59&gt;$Y59,IF($H59="gte",$X59&gt;=$Y59,IF($H59="lt",$X59&lt;$Y59,IF($H59="lte",$X59&lt;=$Y59,IF($H59="eq",$X59=$Y59,FALSE))))))</f>
        <v/>
      </c>
      <c r="AA59">
        <f>""</f>
        <v/>
      </c>
      <c r="AB59">
        <f>""</f>
        <v/>
      </c>
      <c r="AC59">
        <f>""</f>
        <v/>
      </c>
      <c r="AD59">
        <f>IF(AND(IF(OR($X59="",$Q59=""),AND($X59="",$Q59=""),IF(AND(ISNUMBER($X59),ISNUMBER($Q59)),ABS($X59-$Q59)&lt;=1E-10,$X59=$Q59)),IF(OR($Y59="",$R59=""),AND($Y59="",$R59=""),IF(AND(ISNUMBER($Y59),ISNUMBER($R59)),ABS($Y59-$R59)&lt;=1E-10,$Y59=$R59)),IF(OR($Z59="",$S59=""),AND($Z59="",$S59=""),IF(AND(ISNUMBER($Z59),ISNUMBER($S59)),ABS($Z59-$S59)&lt;=1E-10,$Z59=$S59)),(IF(NOT(IFERROR(INDEX('Hidden_Value_Audit'!$Q$2:$Q$8,MATCH($B59,'Hidden_Value_Audit'!$A$2:$A$8,0)),FALSE)),"module_or_profile_pack_disabled",IF($Z59="","predicate_input_unavailable",IF($Z59,"passed","failed")))=$W59)),"PASS","FAIL")</f>
        <v/>
      </c>
    </row>
    <row r="60">
      <c r="X60" s="553">
        <f>IF(IFERROR(INDEX('Hidden_Value_Audit'!$Q$2:$Q$8,MATCH($B60,'Hidden_Value_Audit'!$A$2:$A$8,0)),FALSE),IF(OR(IFERROR(INDEX(HV_Base_Status,MATCH($G60,HV_Base_MetricKey,0)),"")="source_backed",IFERROR(INDEX(HV_Base_Status,MATCH($G60,HV_Base_MetricKey,0)),"")="formula_calculated",IFERROR(INDEX(HV_Base_Status,MATCH($G60,HV_Base_MetricKey,0)),"")="derived_calculated"),IFERROR(INDEX(HV_Base_Value,MATCH($G60,HV_Base_MetricKey,0)),""),""),"")</f>
        <v/>
      </c>
      <c r="Y60" s="553">
        <f>IF(NOT(IFERROR(INDEX('Hidden_Value_Audit'!$Q$2:$Q$8,MATCH($B60,'Hidden_Value_Audit'!$A$2:$A$8,0)),FALSE)),"",IF($I60&lt;&gt;"",IF(OR(IFERROR(INDEX(HV_Base_Status,MATCH($I60,HV_Base_MetricKey,0)),"")="source_backed",IFERROR(INDEX(HV_Base_Status,MATCH($I60,HV_Base_MetricKey,0)),"")="formula_calculated",IFERROR(INDEX(HV_Base_Status,MATCH($I60,HV_Base_MetricKey,0)),"")="derived_calculated"),IFERROR(INDEX(HV_Base_Value,MATCH($I60,HV_Base_MetricKey,0)),""),""),IF($J60="","",$J60)))</f>
        <v/>
      </c>
      <c r="Z60">
        <f>IF(OR($X60="",$Y60=""),"",IF($H60="gt",$X60&gt;$Y60,IF($H60="gte",$X60&gt;=$Y60,IF($H60="lt",$X60&lt;$Y60,IF($H60="lte",$X60&lt;=$Y60,IF($H60="eq",$X60=$Y60,FALSE))))))</f>
        <v/>
      </c>
      <c r="AA60">
        <f>""</f>
        <v/>
      </c>
      <c r="AB60">
        <f>""</f>
        <v/>
      </c>
      <c r="AC60">
        <f>""</f>
        <v/>
      </c>
      <c r="AD60">
        <f>IF(AND(IF(OR($X60="",$Q60=""),AND($X60="",$Q60=""),IF(AND(ISNUMBER($X60),ISNUMBER($Q60)),ABS($X60-$Q60)&lt;=1E-10,$X60=$Q60)),IF(OR($Y60="",$R60=""),AND($Y60="",$R60=""),IF(AND(ISNUMBER($Y60),ISNUMBER($R60)),ABS($Y60-$R60)&lt;=1E-10,$Y60=$R60)),IF(OR($Z60="",$S60=""),AND($Z60="",$S60=""),IF(AND(ISNUMBER($Z60),ISNUMBER($S60)),ABS($Z60-$S60)&lt;=1E-10,$Z60=$S60)),(IF(NOT(IFERROR(INDEX('Hidden_Value_Audit'!$Q$2:$Q$8,MATCH($B60,'Hidden_Value_Audit'!$A$2:$A$8,0)),FALSE)),"module_or_profile_pack_disabled",IF($Z60="","predicate_input_unavailable",IF($Z60,"passed","failed")))=$W60)),"PASS","FAIL")</f>
        <v/>
      </c>
    </row>
    <row r="61">
      <c r="X61" s="553">
        <f>IF(IFERROR(INDEX('Hidden_Value_Audit'!$Q$2:$Q$8,MATCH($B61,'Hidden_Value_Audit'!$A$2:$A$8,0)),FALSE),IF(OR(IFERROR(INDEX(HV_Base_Status,MATCH($G61,HV_Base_MetricKey,0)),"")="source_backed",IFERROR(INDEX(HV_Base_Status,MATCH($G61,HV_Base_MetricKey,0)),"")="formula_calculated",IFERROR(INDEX(HV_Base_Status,MATCH($G61,HV_Base_MetricKey,0)),"")="derived_calculated"),IFERROR(INDEX(HV_Base_Value,MATCH($G61,HV_Base_MetricKey,0)),""),""),"")</f>
        <v/>
      </c>
      <c r="Y61" s="553">
        <f>IF(NOT(IFERROR(INDEX('Hidden_Value_Audit'!$Q$2:$Q$8,MATCH($B61,'Hidden_Value_Audit'!$A$2:$A$8,0)),FALSE)),"",IF($I61&lt;&gt;"",IF(OR(IFERROR(INDEX(HV_Base_Status,MATCH($I61,HV_Base_MetricKey,0)),"")="source_backed",IFERROR(INDEX(HV_Base_Status,MATCH($I61,HV_Base_MetricKey,0)),"")="formula_calculated",IFERROR(INDEX(HV_Base_Status,MATCH($I61,HV_Base_MetricKey,0)),"")="derived_calculated"),IFERROR(INDEX(HV_Base_Value,MATCH($I61,HV_Base_MetricKey,0)),""),""),IF($J61="","",$J61)))</f>
        <v/>
      </c>
      <c r="Z61">
        <f>IF(OR($X61="",$Y61=""),"",IF($H61="gt",$X61&gt;$Y61,IF($H61="gte",$X61&gt;=$Y61,IF($H61="lt",$X61&lt;$Y61,IF($H61="lte",$X61&lt;=$Y61,IF($H61="eq",$X61=$Y61,FALSE))))))</f>
        <v/>
      </c>
      <c r="AA61">
        <f>""</f>
        <v/>
      </c>
      <c r="AB61">
        <f>""</f>
        <v/>
      </c>
      <c r="AC61">
        <f>""</f>
        <v/>
      </c>
      <c r="AD61">
        <f>IF(AND(IF(OR($X61="",$Q61=""),AND($X61="",$Q61=""),IF(AND(ISNUMBER($X61),ISNUMBER($Q61)),ABS($X61-$Q61)&lt;=1E-10,$X61=$Q61)),IF(OR($Y61="",$R61=""),AND($Y61="",$R61=""),IF(AND(ISNUMBER($Y61),ISNUMBER($R61)),ABS($Y61-$R61)&lt;=1E-10,$Y61=$R61)),IF(OR($Z61="",$S61=""),AND($Z61="",$S61=""),IF(AND(ISNUMBER($Z61),ISNUMBER($S61)),ABS($Z61-$S61)&lt;=1E-10,$Z61=$S61)),(IF(NOT(IFERROR(INDEX('Hidden_Value_Audit'!$Q$2:$Q$8,MATCH($B61,'Hidden_Value_Audit'!$A$2:$A$8,0)),FALSE)),"module_or_profile_pack_disabled",IF($Z61="","predicate_input_unavailable",IF($Z61,"passed","failed")))=$W61)),"PASS","FAIL")</f>
        <v/>
      </c>
    </row>
    <row r="62">
      <c r="X62" s="553">
        <f>IF(IFERROR(INDEX('Hidden_Value_Audit'!$Q$2:$Q$8,MATCH($B62,'Hidden_Value_Audit'!$A$2:$A$8,0)),FALSE),IF(OR(IFERROR(INDEX(HV_Base_Status,MATCH($G62,HV_Base_MetricKey,0)),"")="source_backed",IFERROR(INDEX(HV_Base_Status,MATCH($G62,HV_Base_MetricKey,0)),"")="formula_calculated",IFERROR(INDEX(HV_Base_Status,MATCH($G62,HV_Base_MetricKey,0)),"")="derived_calculated"),IFERROR(INDEX(HV_Base_Value,MATCH($G62,HV_Base_MetricKey,0)),""),""),"")</f>
        <v/>
      </c>
      <c r="Y62">
        <f>IF(IFERROR(INDEX('Hidden_Value_Audit'!$Q$2:$Q$8,MATCH($B62,'Hidden_Value_Audit'!$A$2:$A$8,0)),FALSE),IFERROR(INDEX(HV_Base_Status,MATCH($G62,HV_Base_MetricKey,0)),""),"unavailable")</f>
        <v/>
      </c>
      <c r="Z62">
        <f>IF(NOT(IFERROR(INDEX('Hidden_Value_Audit'!$Q$2:$Q$8,MATCH($B62,'Hidden_Value_Audit'!$A$2:$A$8,0)),FALSE)),FALSE,AND(ISNUMBER($X62),OR($Y62="source_backed",$Y62="formula_calculated",$Y62="derived_calculated")))</f>
        <v/>
      </c>
      <c r="AA62" s="553">
        <f>IF($Z62,$L62,0)</f>
        <v/>
      </c>
      <c r="AB62" s="553">
        <f>IF(NOT($Z62),"",IF(OR(NOT(ISNUMBER($N62)),NOT(ISNUMBER($O62)),$O62&lt;=0,NOT(ISNUMBER($P62)),AND($M62&lt;&gt;"higher",$M62&lt;&gt;"lower")),"",MAX(0,MIN(1,IF($M62="lower",($N62-$X62)/$O62+$P62,($X62-$N62)/$O62+$P62)))))</f>
        <v/>
      </c>
      <c r="AC62" s="553">
        <f>IF($AB62="","",$AB62*$AA62)</f>
        <v/>
      </c>
      <c r="AD62">
        <f>IF(AND(IF(OR($X62="",$Q62=""),AND($X62="",$Q62=""),IF(AND(ISNUMBER($X62),ISNUMBER($Q62)),ABS($X62-$Q62)&lt;=1E-10,$X62=$Q62)),IF(OR($AA62="",$T62=""),AND($AA62="",$T62=""),IF(AND(ISNUMBER($AA62),ISNUMBER($T62)),ABS($AA62-$T62)&lt;=1E-10,$AA62=$T62)),IF(OR($AB62="",$U62=""),AND($AB62="",$U62=""),IF(AND(ISNUMBER($AB62),ISNUMBER($U62)),ABS($AB62-$U62)&lt;=1E-10,$AB62=$U62)),IF(OR($AC62="",$V62=""),AND($AC62="",$V62=""),IF(AND(ISNUMBER($AC62),ISNUMBER($V62)),ABS($AC62-$V62)&lt;=1E-10,$AC62=$V62)),(IF($Z62,"calculated","unavailable")=$W62)),"PASS","FAIL")</f>
        <v/>
      </c>
    </row>
    <row r="63">
      <c r="X63" s="553">
        <f>IF(IFERROR(INDEX('Hidden_Value_Audit'!$Q$2:$Q$8,MATCH($B63,'Hidden_Value_Audit'!$A$2:$A$8,0)),FALSE),IF(OR(IFERROR(INDEX(HV_Base_Status,MATCH($G63,HV_Base_MetricKey,0)),"")="source_backed",IFERROR(INDEX(HV_Base_Status,MATCH($G63,HV_Base_MetricKey,0)),"")="formula_calculated",IFERROR(INDEX(HV_Base_Status,MATCH($G63,HV_Base_MetricKey,0)),"")="derived_calculated"),IFERROR(INDEX(HV_Base_Value,MATCH($G63,HV_Base_MetricKey,0)),""),""),"")</f>
        <v/>
      </c>
      <c r="Y63">
        <f>IF(IFERROR(INDEX('Hidden_Value_Audit'!$Q$2:$Q$8,MATCH($B63,'Hidden_Value_Audit'!$A$2:$A$8,0)),FALSE),IFERROR(INDEX(HV_Base_Status,MATCH($G63,HV_Base_MetricKey,0)),""),"unavailable")</f>
        <v/>
      </c>
      <c r="Z63">
        <f>IF(NOT(IFERROR(INDEX('Hidden_Value_Audit'!$Q$2:$Q$8,MATCH($B63,'Hidden_Value_Audit'!$A$2:$A$8,0)),FALSE)),FALSE,AND(ISNUMBER($X63),OR($Y63="source_backed",$Y63="formula_calculated",$Y63="derived_calculated")))</f>
        <v/>
      </c>
      <c r="AA63" s="553">
        <f>IF($Z63,$L63,0)</f>
        <v/>
      </c>
      <c r="AB63" s="553">
        <f>IF(NOT($Z63),"",IF(OR(NOT(ISNUMBER($N63)),NOT(ISNUMBER($O63)),$O63&lt;=0,NOT(ISNUMBER($P63)),AND($M63&lt;&gt;"higher",$M63&lt;&gt;"lower")),"",MAX(0,MIN(1,IF($M63="lower",($N63-$X63)/$O63+$P63,($X63-$N63)/$O63+$P63)))))</f>
        <v/>
      </c>
      <c r="AC63" s="553">
        <f>IF($AB63="","",$AB63*$AA63)</f>
        <v/>
      </c>
      <c r="AD63">
        <f>IF(AND(IF(OR($X63="",$Q63=""),AND($X63="",$Q63=""),IF(AND(ISNUMBER($X63),ISNUMBER($Q63)),ABS($X63-$Q63)&lt;=1E-10,$X63=$Q63)),IF(OR($AA63="",$T63=""),AND($AA63="",$T63=""),IF(AND(ISNUMBER($AA63),ISNUMBER($T63)),ABS($AA63-$T63)&lt;=1E-10,$AA63=$T63)),IF(OR($AB63="",$U63=""),AND($AB63="",$U63=""),IF(AND(ISNUMBER($AB63),ISNUMBER($U63)),ABS($AB63-$U63)&lt;=1E-10,$AB63=$U63)),IF(OR($AC63="",$V63=""),AND($AC63="",$V63=""),IF(AND(ISNUMBER($AC63),ISNUMBER($V63)),ABS($AC63-$V63)&lt;=1E-10,$AC63=$V63)),(IF($Z63,"calculated","unavailable")=$W63)),"PASS","FAIL")</f>
        <v/>
      </c>
    </row>
    <row r="64">
      <c r="X64" s="553">
        <f>IF(OR(IFERROR(INDEX(HV_Base_Status,MATCH($G64,HV_Base_MetricKey,0)),"")="source_backed",IFERROR(INDEX(HV_Base_Status,MATCH($G64,HV_Base_MetricKey,0)),"")="formula_calculated",IFERROR(INDEX(HV_Base_Status,MATCH($G64,HV_Base_MetricKey,0)),"")="derived_calculated"),IFERROR(INDEX(HV_Base_Value,MATCH($G64,HV_Base_MetricKey,0)),""),"")</f>
        <v/>
      </c>
      <c r="Y64">
        <f>IFERROR(INDEX(HV_Base_Status,MATCH($G64,HV_Base_MetricKey,0)),"")</f>
        <v/>
      </c>
      <c r="Z64">
        <f>IF($G64="","",AND(ISNUMBER($X64),OR($Y64="source_backed",$Y64="formula_calculated",$Y64="derived_calculated")))</f>
        <v/>
      </c>
      <c r="AA64">
        <f>""</f>
        <v/>
      </c>
      <c r="AB64">
        <f>""</f>
        <v/>
      </c>
      <c r="AC64">
        <f>""</f>
        <v/>
      </c>
      <c r="AD64">
        <f>IF(AND(IF(OR($X64="",$Q64=""),AND($X64="",$Q64=""),IF(AND(ISNUMBER($X64),ISNUMBER($Q64)),ABS($X64-$Q64)&lt;=1E-10,$X64=$Q64)),IF(OR($Y64="",$W64=""),AND($Y64="",$W64=""),IF(AND(ISNUMBER($Y64),ISNUMBER($W64)),ABS($Y64-$W64)&lt;=1E-10,$Y64=$W64)),IF(OR($Z64="",$S64=""),AND($Z64="",$S64=""),IF(AND(ISNUMBER($Z64),ISNUMBER($S64)),ABS($Z64-$S64)&lt;=1E-10,$Z64=$S64))),"PASS","FAIL")</f>
        <v/>
      </c>
    </row>
    <row r="65">
      <c r="X65" s="553">
        <f>IF(OR(IFERROR(INDEX(HV_Base_Status,MATCH($G65,HV_Base_MetricKey,0)),"")="source_backed",IFERROR(INDEX(HV_Base_Status,MATCH($G65,HV_Base_MetricKey,0)),"")="formula_calculated",IFERROR(INDEX(HV_Base_Status,MATCH($G65,HV_Base_MetricKey,0)),"")="derived_calculated"),IFERROR(INDEX(HV_Base_Value,MATCH($G65,HV_Base_MetricKey,0)),""),"")</f>
        <v/>
      </c>
      <c r="Y65">
        <f>IFERROR(INDEX(HV_Base_Status,MATCH($G65,HV_Base_MetricKey,0)),"")</f>
        <v/>
      </c>
      <c r="Z65">
        <f>IF($G65="","",AND(ISNUMBER($X65),OR($Y65="source_backed",$Y65="formula_calculated",$Y65="derived_calculated")))</f>
        <v/>
      </c>
      <c r="AA65">
        <f>""</f>
        <v/>
      </c>
      <c r="AB65">
        <f>""</f>
        <v/>
      </c>
      <c r="AC65">
        <f>""</f>
        <v/>
      </c>
      <c r="AD65">
        <f>IF(AND(IF(OR($X65="",$Q65=""),AND($X65="",$Q65=""),IF(AND(ISNUMBER($X65),ISNUMBER($Q65)),ABS($X65-$Q65)&lt;=1E-10,$X65=$Q65)),IF(OR($Y65="",$W65=""),AND($Y65="",$W65=""),IF(AND(ISNUMBER($Y65),ISNUMBER($W65)),ABS($Y65-$W65)&lt;=1E-10,$Y65=$W65)),IF(OR($Z65="",$S65=""),AND($Z65="",$S65=""),IF(AND(ISNUMBER($Z65),ISNUMBER($S65)),ABS($Z65-$S65)&lt;=1E-10,$Z65=$S65))),"PASS","FAIL")</f>
        <v/>
      </c>
    </row>
    <row r="66">
      <c r="X66" s="553">
        <f>IF(OR(IFERROR(INDEX(HV_Base_Status,MATCH($G66,HV_Base_MetricKey,0)),"")="source_backed",IFERROR(INDEX(HV_Base_Status,MATCH($G66,HV_Base_MetricKey,0)),"")="formula_calculated",IFERROR(INDEX(HV_Base_Status,MATCH($G66,HV_Base_MetricKey,0)),"")="derived_calculated"),IFERROR(INDEX(HV_Base_Value,MATCH($G66,HV_Base_MetricKey,0)),""),"")</f>
        <v/>
      </c>
      <c r="Y66">
        <f>IFERROR(INDEX(HV_Base_Status,MATCH($G66,HV_Base_MetricKey,0)),"")</f>
        <v/>
      </c>
      <c r="Z66">
        <f>IF($G66="","",AND(ISNUMBER($X66),OR($Y66="source_backed",$Y66="formula_calculated",$Y66="derived_calculated")))</f>
        <v/>
      </c>
      <c r="AA66">
        <f>""</f>
        <v/>
      </c>
      <c r="AB66">
        <f>""</f>
        <v/>
      </c>
      <c r="AC66">
        <f>""</f>
        <v/>
      </c>
      <c r="AD66">
        <f>IF(AND(IF(OR($X66="",$Q66=""),AND($X66="",$Q66=""),IF(AND(ISNUMBER($X66),ISNUMBER($Q66)),ABS($X66-$Q66)&lt;=1E-10,$X66=$Q66)),IF(OR($Y66="",$W66=""),AND($Y66="",$W66=""),IF(AND(ISNUMBER($Y66),ISNUMBER($W66)),ABS($Y66-$W66)&lt;=1E-10,$Y66=$W66)),IF(OR($Z66="",$S66=""),AND($Z66="",$S66=""),IF(AND(ISNUMBER($Z66),ISNUMBER($S66)),ABS($Z66-$S66)&lt;=1E-10,$Z66=$S66))),"PASS","FAIL")</f>
        <v/>
      </c>
    </row>
    <row r="67">
      <c r="X67" s="553">
        <f>IF(OR(IFERROR(INDEX(HV_Base_Status,MATCH($G67,HV_Base_MetricKey,0)),"")="source_backed",IFERROR(INDEX(HV_Base_Status,MATCH($G67,HV_Base_MetricKey,0)),"")="formula_calculated",IFERROR(INDEX(HV_Base_Status,MATCH($G67,HV_Base_MetricKey,0)),"")="derived_calculated"),IFERROR(INDEX(HV_Base_Value,MATCH($G67,HV_Base_MetricKey,0)),""),"")</f>
        <v/>
      </c>
      <c r="Y67">
        <f>IFERROR(INDEX(HV_Base_Status,MATCH($G67,HV_Base_MetricKey,0)),"")</f>
        <v/>
      </c>
      <c r="Z67">
        <f>IF($G67="","",AND(ISNUMBER($X67),OR($Y67="source_backed",$Y67="formula_calculated",$Y67="derived_calculated")))</f>
        <v/>
      </c>
      <c r="AA67">
        <f>""</f>
        <v/>
      </c>
      <c r="AB67">
        <f>""</f>
        <v/>
      </c>
      <c r="AC67">
        <f>""</f>
        <v/>
      </c>
      <c r="AD67">
        <f>IF(AND(IF(OR($X67="",$Q67=""),AND($X67="",$Q67=""),IF(AND(ISNUMBER($X67),ISNUMBER($Q67)),ABS($X67-$Q67)&lt;=1E-10,$X67=$Q67)),IF(OR($Y67="",$W67=""),AND($Y67="",$W67=""),IF(AND(ISNUMBER($Y67),ISNUMBER($W67)),ABS($Y67-$W67)&lt;=1E-10,$Y67=$W67)),IF(OR($Z67="",$S67=""),AND($Z67="",$S67=""),IF(AND(ISNUMBER($Z67),ISNUMBER($S67)),ABS($Z67-$S67)&lt;=1E-10,$Z67=$S67))),"PASS","FAIL")</f>
        <v/>
      </c>
    </row>
    <row r="68">
      <c r="X68" s="553">
        <f>IF(IFERROR(INDEX('Hidden_Value_Audit'!$Q$2:$Q$8,MATCH($B68,'Hidden_Value_Audit'!$A$2:$A$8,0)),FALSE),IF(OR(IFERROR(INDEX(HV_Base_Status,MATCH($G68,HV_Base_MetricKey,0)),"")="source_backed",IFERROR(INDEX(HV_Base_Status,MATCH($G68,HV_Base_MetricKey,0)),"")="formula_calculated",IFERROR(INDEX(HV_Base_Status,MATCH($G68,HV_Base_MetricKey,0)),"")="derived_calculated"),IFERROR(INDEX(HV_Base_Value,MATCH($G68,HV_Base_MetricKey,0)),""),""),"")</f>
        <v/>
      </c>
      <c r="Y68" s="553">
        <f>IF(NOT(IFERROR(INDEX('Hidden_Value_Audit'!$Q$2:$Q$8,MATCH($B68,'Hidden_Value_Audit'!$A$2:$A$8,0)),FALSE)),"",IF($I68&lt;&gt;"",IF(OR(IFERROR(INDEX(HV_Base_Status,MATCH($I68,HV_Base_MetricKey,0)),"")="source_backed",IFERROR(INDEX(HV_Base_Status,MATCH($I68,HV_Base_MetricKey,0)),"")="formula_calculated",IFERROR(INDEX(HV_Base_Status,MATCH($I68,HV_Base_MetricKey,0)),"")="derived_calculated"),IFERROR(INDEX(HV_Base_Value,MATCH($I68,HV_Base_MetricKey,0)),""),""),IF($J68="","",$J68)))</f>
        <v/>
      </c>
      <c r="Z68">
        <f>IF(OR($X68="",$Y68=""),"",IF($H68="gt",$X68&gt;$Y68,IF($H68="gte",$X68&gt;=$Y68,IF($H68="lt",$X68&lt;$Y68,IF($H68="lte",$X68&lt;=$Y68,IF($H68="eq",$X68=$Y68,FALSE))))))</f>
        <v/>
      </c>
      <c r="AA68">
        <f>""</f>
        <v/>
      </c>
      <c r="AB68">
        <f>""</f>
        <v/>
      </c>
      <c r="AC68">
        <f>""</f>
        <v/>
      </c>
      <c r="AD68">
        <f>IF(AND(IF(OR($X68="",$Q68=""),AND($X68="",$Q68=""),IF(AND(ISNUMBER($X68),ISNUMBER($Q68)),ABS($X68-$Q68)&lt;=1E-10,$X68=$Q68)),IF(OR($Y68="",$R68=""),AND($Y68="",$R68=""),IF(AND(ISNUMBER($Y68),ISNUMBER($R68)),ABS($Y68-$R68)&lt;=1E-10,$Y68=$R68)),IF(OR($Z68="",$S68=""),AND($Z68="",$S68=""),IF(AND(ISNUMBER($Z68),ISNUMBER($S68)),ABS($Z68-$S68)&lt;=1E-10,$Z68=$S68)),(IF(NOT(IFERROR(INDEX('Hidden_Value_Audit'!$Q$2:$Q$8,MATCH($B68,'Hidden_Value_Audit'!$A$2:$A$8,0)),FALSE)),"module_or_profile_pack_disabled",IF($Z68="","predicate_input_unavailable",IF($Z68,"passed","failed")))=$W68)),"PASS","FAIL")</f>
        <v/>
      </c>
    </row>
    <row r="69">
      <c r="X69" s="553">
        <f>IF(IFERROR(INDEX('Hidden_Value_Audit'!$Q$2:$Q$8,MATCH($B69,'Hidden_Value_Audit'!$A$2:$A$8,0)),FALSE),IF(OR(IFERROR(INDEX(HV_Base_Status,MATCH($G69,HV_Base_MetricKey,0)),"")="source_backed",IFERROR(INDEX(HV_Base_Status,MATCH($G69,HV_Base_MetricKey,0)),"")="formula_calculated",IFERROR(INDEX(HV_Base_Status,MATCH($G69,HV_Base_MetricKey,0)),"")="derived_calculated"),IFERROR(INDEX(HV_Base_Value,MATCH($G69,HV_Base_MetricKey,0)),""),""),"")</f>
        <v/>
      </c>
      <c r="Y69" s="553">
        <f>IF(NOT(IFERROR(INDEX('Hidden_Value_Audit'!$Q$2:$Q$8,MATCH($B69,'Hidden_Value_Audit'!$A$2:$A$8,0)),FALSE)),"",IF($I69&lt;&gt;"",IF(OR(IFERROR(INDEX(HV_Base_Status,MATCH($I69,HV_Base_MetricKey,0)),"")="source_backed",IFERROR(INDEX(HV_Base_Status,MATCH($I69,HV_Base_MetricKey,0)),"")="formula_calculated",IFERROR(INDEX(HV_Base_Status,MATCH($I69,HV_Base_MetricKey,0)),"")="derived_calculated"),IFERROR(INDEX(HV_Base_Value,MATCH($I69,HV_Base_MetricKey,0)),""),""),IF($J69="","",$J69)))</f>
        <v/>
      </c>
      <c r="Z69">
        <f>IF(OR($X69="",$Y69=""),"",IF($H69="gt",$X69&gt;$Y69,IF($H69="gte",$X69&gt;=$Y69,IF($H69="lt",$X69&lt;$Y69,IF($H69="lte",$X69&lt;=$Y69,IF($H69="eq",$X69=$Y69,FALSE))))))</f>
        <v/>
      </c>
      <c r="AA69">
        <f>""</f>
        <v/>
      </c>
      <c r="AB69">
        <f>""</f>
        <v/>
      </c>
      <c r="AC69">
        <f>""</f>
        <v/>
      </c>
      <c r="AD69">
        <f>IF(AND(IF(OR($X69="",$Q69=""),AND($X69="",$Q69=""),IF(AND(ISNUMBER($X69),ISNUMBER($Q69)),ABS($X69-$Q69)&lt;=1E-10,$X69=$Q69)),IF(OR($Y69="",$R69=""),AND($Y69="",$R69=""),IF(AND(ISNUMBER($Y69),ISNUMBER($R69)),ABS($Y69-$R69)&lt;=1E-10,$Y69=$R69)),IF(OR($Z69="",$S69=""),AND($Z69="",$S69=""),IF(AND(ISNUMBER($Z69),ISNUMBER($S69)),ABS($Z69-$S69)&lt;=1E-10,$Z69=$S69)),(IF(NOT(IFERROR(INDEX('Hidden_Value_Audit'!$Q$2:$Q$8,MATCH($B69,'Hidden_Value_Audit'!$A$2:$A$8,0)),FALSE)),"module_or_profile_pack_disabled",IF($Z69="","predicate_input_unavailable",IF($Z69,"passed","failed")))=$W69)),"PASS","FAIL")</f>
        <v/>
      </c>
    </row>
    <row r="70">
      <c r="X70" s="553">
        <f>IF(IFERROR(INDEX('Hidden_Value_Audit'!$Q$2:$Q$8,MATCH($B70,'Hidden_Value_Audit'!$A$2:$A$8,0)),FALSE),IF(OR(IFERROR(INDEX(HV_Base_Status,MATCH($G70,HV_Base_MetricKey,0)),"")="source_backed",IFERROR(INDEX(HV_Base_Status,MATCH($G70,HV_Base_MetricKey,0)),"")="formula_calculated",IFERROR(INDEX(HV_Base_Status,MATCH($G70,HV_Base_MetricKey,0)),"")="derived_calculated"),IFERROR(INDEX(HV_Base_Value,MATCH($G70,HV_Base_MetricKey,0)),""),""),"")</f>
        <v/>
      </c>
      <c r="Y70" s="553">
        <f>IF(NOT(IFERROR(INDEX('Hidden_Value_Audit'!$Q$2:$Q$8,MATCH($B70,'Hidden_Value_Audit'!$A$2:$A$8,0)),FALSE)),"",IF($I70&lt;&gt;"",IF(OR(IFERROR(INDEX(HV_Base_Status,MATCH($I70,HV_Base_MetricKey,0)),"")="source_backed",IFERROR(INDEX(HV_Base_Status,MATCH($I70,HV_Base_MetricKey,0)),"")="formula_calculated",IFERROR(INDEX(HV_Base_Status,MATCH($I70,HV_Base_MetricKey,0)),"")="derived_calculated"),IFERROR(INDEX(HV_Base_Value,MATCH($I70,HV_Base_MetricKey,0)),""),""),IF($J70="","",$J70)))</f>
        <v/>
      </c>
      <c r="Z70">
        <f>IF(OR($X70="",$Y70=""),"",IF($H70="gt",$X70&gt;$Y70,IF($H70="gte",$X70&gt;=$Y70,IF($H70="lt",$X70&lt;$Y70,IF($H70="lte",$X70&lt;=$Y70,IF($H70="eq",$X70=$Y70,FALSE))))))</f>
        <v/>
      </c>
      <c r="AA70">
        <f>""</f>
        <v/>
      </c>
      <c r="AB70">
        <f>""</f>
        <v/>
      </c>
      <c r="AC70">
        <f>""</f>
        <v/>
      </c>
      <c r="AD70">
        <f>IF(AND(IF(OR($X70="",$Q70=""),AND($X70="",$Q70=""),IF(AND(ISNUMBER($X70),ISNUMBER($Q70)),ABS($X70-$Q70)&lt;=1E-10,$X70=$Q70)),IF(OR($Y70="",$R70=""),AND($Y70="",$R70=""),IF(AND(ISNUMBER($Y70),ISNUMBER($R70)),ABS($Y70-$R70)&lt;=1E-10,$Y70=$R70)),IF(OR($Z70="",$S70=""),AND($Z70="",$S70=""),IF(AND(ISNUMBER($Z70),ISNUMBER($S70)),ABS($Z70-$S70)&lt;=1E-10,$Z70=$S70)),(IF(NOT(IFERROR(INDEX('Hidden_Value_Audit'!$Q$2:$Q$8,MATCH($B70,'Hidden_Value_Audit'!$A$2:$A$8,0)),FALSE)),"module_or_profile_pack_disabled",IF($Z70="","predicate_input_unavailable",IF($Z70,"passed","failed")))=$W70)),"PASS","FAIL")</f>
        <v/>
      </c>
    </row>
    <row r="71">
      <c r="X71" s="553">
        <f>IF(IFERROR(INDEX('Hidden_Value_Audit'!$Q$2:$Q$8,MATCH($B71,'Hidden_Value_Audit'!$A$2:$A$8,0)),FALSE),IF(OR(IFERROR(INDEX(HV_Base_Status,MATCH($G71,HV_Base_MetricKey,0)),"")="source_backed",IFERROR(INDEX(HV_Base_Status,MATCH($G71,HV_Base_MetricKey,0)),"")="formula_calculated",IFERROR(INDEX(HV_Base_Status,MATCH($G71,HV_Base_MetricKey,0)),"")="derived_calculated"),IFERROR(INDEX(HV_Base_Value,MATCH($G71,HV_Base_MetricKey,0)),""),""),"")</f>
        <v/>
      </c>
      <c r="Y71" s="553">
        <f>IF(NOT(IFERROR(INDEX('Hidden_Value_Audit'!$Q$2:$Q$8,MATCH($B71,'Hidden_Value_Audit'!$A$2:$A$8,0)),FALSE)),"",IF($I71&lt;&gt;"",IF(OR(IFERROR(INDEX(HV_Base_Status,MATCH($I71,HV_Base_MetricKey,0)),"")="source_backed",IFERROR(INDEX(HV_Base_Status,MATCH($I71,HV_Base_MetricKey,0)),"")="formula_calculated",IFERROR(INDEX(HV_Base_Status,MATCH($I71,HV_Base_MetricKey,0)),"")="derived_calculated"),IFERROR(INDEX(HV_Base_Value,MATCH($I71,HV_Base_MetricKey,0)),""),""),IF($J71="","",$J71)))</f>
        <v/>
      </c>
      <c r="Z71">
        <f>IF(OR($X71="",$Y71=""),"",IF($H71="gt",$X71&gt;$Y71,IF($H71="gte",$X71&gt;=$Y71,IF($H71="lt",$X71&lt;$Y71,IF($H71="lte",$X71&lt;=$Y71,IF($H71="eq",$X71=$Y71,FALSE))))))</f>
        <v/>
      </c>
      <c r="AA71">
        <f>""</f>
        <v/>
      </c>
      <c r="AB71">
        <f>""</f>
        <v/>
      </c>
      <c r="AC71">
        <f>""</f>
        <v/>
      </c>
      <c r="AD71">
        <f>IF(AND(IF(OR($X71="",$Q71=""),AND($X71="",$Q71=""),IF(AND(ISNUMBER($X71),ISNUMBER($Q71)),ABS($X71-$Q71)&lt;=1E-10,$X71=$Q71)),IF(OR($Y71="",$R71=""),AND($Y71="",$R71=""),IF(AND(ISNUMBER($Y71),ISNUMBER($R71)),ABS($Y71-$R71)&lt;=1E-10,$Y71=$R71)),IF(OR($Z71="",$S71=""),AND($Z71="",$S71=""),IF(AND(ISNUMBER($Z71),ISNUMBER($S71)),ABS($Z71-$S71)&lt;=1E-10,$Z71=$S71)),(IF(NOT(IFERROR(INDEX('Hidden_Value_Audit'!$Q$2:$Q$8,MATCH($B71,'Hidden_Value_Audit'!$A$2:$A$8,0)),FALSE)),"module_or_profile_pack_disabled",IF($Z71="","predicate_input_unavailable",IF($Z71,"passed","failed")))=$W71)),"PASS","FAIL")</f>
        <v/>
      </c>
    </row>
    <row r="72">
      <c r="X72" s="553">
        <f>IF(IFERROR(INDEX('Hidden_Value_Audit'!$Q$2:$Q$8,MATCH($B72,'Hidden_Value_Audit'!$A$2:$A$8,0)),FALSE),IF(OR(IFERROR(INDEX(HV_Base_Status,MATCH($G72,HV_Base_MetricKey,0)),"")="source_backed",IFERROR(INDEX(HV_Base_Status,MATCH($G72,HV_Base_MetricKey,0)),"")="formula_calculated",IFERROR(INDEX(HV_Base_Status,MATCH($G72,HV_Base_MetricKey,0)),"")="derived_calculated"),IFERROR(INDEX(HV_Base_Value,MATCH($G72,HV_Base_MetricKey,0)),""),""),"")</f>
        <v/>
      </c>
      <c r="Y72" s="553">
        <f>IF(NOT(IFERROR(INDEX('Hidden_Value_Audit'!$Q$2:$Q$8,MATCH($B72,'Hidden_Value_Audit'!$A$2:$A$8,0)),FALSE)),"",IF($I72&lt;&gt;"",IF(OR(IFERROR(INDEX(HV_Base_Status,MATCH($I72,HV_Base_MetricKey,0)),"")="source_backed",IFERROR(INDEX(HV_Base_Status,MATCH($I72,HV_Base_MetricKey,0)),"")="formula_calculated",IFERROR(INDEX(HV_Base_Status,MATCH($I72,HV_Base_MetricKey,0)),"")="derived_calculated"),IFERROR(INDEX(HV_Base_Value,MATCH($I72,HV_Base_MetricKey,0)),""),""),IF($J72="","",$J72)))</f>
        <v/>
      </c>
      <c r="Z72">
        <f>IF(OR($X72="",$Y72=""),"",IF($H72="gt",$X72&gt;$Y72,IF($H72="gte",$X72&gt;=$Y72,IF($H72="lt",$X72&lt;$Y72,IF($H72="lte",$X72&lt;=$Y72,IF($H72="eq",$X72=$Y72,FALSE))))))</f>
        <v/>
      </c>
      <c r="AA72">
        <f>""</f>
        <v/>
      </c>
      <c r="AB72">
        <f>""</f>
        <v/>
      </c>
      <c r="AC72">
        <f>""</f>
        <v/>
      </c>
      <c r="AD72">
        <f>IF(AND(IF(OR($X72="",$Q72=""),AND($X72="",$Q72=""),IF(AND(ISNUMBER($X72),ISNUMBER($Q72)),ABS($X72-$Q72)&lt;=1E-10,$X72=$Q72)),IF(OR($Y72="",$R72=""),AND($Y72="",$R72=""),IF(AND(ISNUMBER($Y72),ISNUMBER($R72)),ABS($Y72-$R72)&lt;=1E-10,$Y72=$R72)),IF(OR($Z72="",$S72=""),AND($Z72="",$S72=""),IF(AND(ISNUMBER($Z72),ISNUMBER($S72)),ABS($Z72-$S72)&lt;=1E-10,$Z72=$S72)),(IF(NOT(IFERROR(INDEX('Hidden_Value_Audit'!$Q$2:$Q$8,MATCH($B72,'Hidden_Value_Audit'!$A$2:$A$8,0)),FALSE)),"module_or_profile_pack_disabled",IF($Z72="","predicate_input_unavailable",IF($Z72,"passed","failed")))=$W72)),"PASS","FAIL")</f>
        <v/>
      </c>
    </row>
    <row r="73">
      <c r="X73" s="553">
        <f>IF(IFERROR(INDEX('Hidden_Value_Audit'!$Q$2:$Q$8,MATCH($B73,'Hidden_Value_Audit'!$A$2:$A$8,0)),FALSE),IF(OR(IFERROR(INDEX(HV_Base_Status,MATCH($G73,HV_Base_MetricKey,0)),"")="source_backed",IFERROR(INDEX(HV_Base_Status,MATCH($G73,HV_Base_MetricKey,0)),"")="formula_calculated",IFERROR(INDEX(HV_Base_Status,MATCH($G73,HV_Base_MetricKey,0)),"")="derived_calculated"),IFERROR(INDEX(HV_Base_Value,MATCH($G73,HV_Base_MetricKey,0)),""),""),"")</f>
        <v/>
      </c>
      <c r="Y73" s="553">
        <f>IF(NOT(IFERROR(INDEX('Hidden_Value_Audit'!$Q$2:$Q$8,MATCH($B73,'Hidden_Value_Audit'!$A$2:$A$8,0)),FALSE)),"",IF($I73&lt;&gt;"",IF(OR(IFERROR(INDEX(HV_Base_Status,MATCH($I73,HV_Base_MetricKey,0)),"")="source_backed",IFERROR(INDEX(HV_Base_Status,MATCH($I73,HV_Base_MetricKey,0)),"")="formula_calculated",IFERROR(INDEX(HV_Base_Status,MATCH($I73,HV_Base_MetricKey,0)),"")="derived_calculated"),IFERROR(INDEX(HV_Base_Value,MATCH($I73,HV_Base_MetricKey,0)),""),""),IF($J73="","",$J73)))</f>
        <v/>
      </c>
      <c r="Z73">
        <f>IF(OR($X73="",$Y73=""),"",IF($H73="gt",$X73&gt;$Y73,IF($H73="gte",$X73&gt;=$Y73,IF($H73="lt",$X73&lt;$Y73,IF($H73="lte",$X73&lt;=$Y73,IF($H73="eq",$X73=$Y73,FALSE))))))</f>
        <v/>
      </c>
      <c r="AA73">
        <f>""</f>
        <v/>
      </c>
      <c r="AB73">
        <f>""</f>
        <v/>
      </c>
      <c r="AC73">
        <f>""</f>
        <v/>
      </c>
      <c r="AD73">
        <f>IF(AND(IF(OR($X73="",$Q73=""),AND($X73="",$Q73=""),IF(AND(ISNUMBER($X73),ISNUMBER($Q73)),ABS($X73-$Q73)&lt;=1E-10,$X73=$Q73)),IF(OR($Y73="",$R73=""),AND($Y73="",$R73=""),IF(AND(ISNUMBER($Y73),ISNUMBER($R73)),ABS($Y73-$R73)&lt;=1E-10,$Y73=$R73)),IF(OR($Z73="",$S73=""),AND($Z73="",$S73=""),IF(AND(ISNUMBER($Z73),ISNUMBER($S73)),ABS($Z73-$S73)&lt;=1E-10,$Z73=$S73)),(IF(NOT(IFERROR(INDEX('Hidden_Value_Audit'!$Q$2:$Q$8,MATCH($B73,'Hidden_Value_Audit'!$A$2:$A$8,0)),FALSE)),"module_or_profile_pack_disabled",IF($Z73="","predicate_input_unavailable",IF($Z73,"passed","failed")))=$W73)),"PASS","FAIL")</f>
        <v/>
      </c>
    </row>
    <row r="74">
      <c r="X74" s="553">
        <f>IF(IFERROR(INDEX('Hidden_Value_Audit'!$Q$2:$Q$8,MATCH($B74,'Hidden_Value_Audit'!$A$2:$A$8,0)),FALSE),IF(OR(IFERROR(INDEX(HV_Base_Status,MATCH($G74,HV_Base_MetricKey,0)),"")="source_backed",IFERROR(INDEX(HV_Base_Status,MATCH($G74,HV_Base_MetricKey,0)),"")="formula_calculated",IFERROR(INDEX(HV_Base_Status,MATCH($G74,HV_Base_MetricKey,0)),"")="derived_calculated"),IFERROR(INDEX(HV_Base_Value,MATCH($G74,HV_Base_MetricKey,0)),""),""),"")</f>
        <v/>
      </c>
      <c r="Y74">
        <f>IF(IFERROR(INDEX('Hidden_Value_Audit'!$Q$2:$Q$8,MATCH($B74,'Hidden_Value_Audit'!$A$2:$A$8,0)),FALSE),IFERROR(INDEX(HV_Base_Status,MATCH($G74,HV_Base_MetricKey,0)),""),"unavailable")</f>
        <v/>
      </c>
      <c r="Z74">
        <f>IF(NOT(IFERROR(INDEX('Hidden_Value_Audit'!$Q$2:$Q$8,MATCH($B74,'Hidden_Value_Audit'!$A$2:$A$8,0)),FALSE)),FALSE,AND(ISNUMBER($X74),OR($Y74="source_backed",$Y74="formula_calculated",$Y74="derived_calculated")))</f>
        <v/>
      </c>
      <c r="AA74" s="553">
        <f>IF($Z74,$L74,0)</f>
        <v/>
      </c>
      <c r="AB74" s="553">
        <f>IF(NOT($Z74),"",IF(OR(NOT(ISNUMBER($N74)),NOT(ISNUMBER($O74)),$O74&lt;=0,NOT(ISNUMBER($P74)),AND($M74&lt;&gt;"higher",$M74&lt;&gt;"lower")),"",MAX(0,MIN(1,IF($M74="lower",($N74-$X74)/$O74+$P74,($X74-$N74)/$O74+$P74)))))</f>
        <v/>
      </c>
      <c r="AC74" s="553">
        <f>IF($AB74="","",$AB74*$AA74)</f>
        <v/>
      </c>
      <c r="AD74">
        <f>IF(AND(IF(OR($X74="",$Q74=""),AND($X74="",$Q74=""),IF(AND(ISNUMBER($X74),ISNUMBER($Q74)),ABS($X74-$Q74)&lt;=1E-10,$X74=$Q74)),IF(OR($AA74="",$T74=""),AND($AA74="",$T74=""),IF(AND(ISNUMBER($AA74),ISNUMBER($T74)),ABS($AA74-$T74)&lt;=1E-10,$AA74=$T74)),IF(OR($AB74="",$U74=""),AND($AB74="",$U74=""),IF(AND(ISNUMBER($AB74),ISNUMBER($U74)),ABS($AB74-$U74)&lt;=1E-10,$AB74=$U74)),IF(OR($AC74="",$V74=""),AND($AC74="",$V74=""),IF(AND(ISNUMBER($AC74),ISNUMBER($V74)),ABS($AC74-$V74)&lt;=1E-10,$AC74=$V74)),(IF($Z74,"calculated","unavailable")=$W74)),"PASS","FAIL")</f>
        <v/>
      </c>
    </row>
    <row r="75">
      <c r="X75" s="553">
        <f>IF(IFERROR(INDEX('Hidden_Value_Audit'!$Q$2:$Q$8,MATCH($B75,'Hidden_Value_Audit'!$A$2:$A$8,0)),FALSE),IF(OR(IFERROR(INDEX(HV_Base_Status,MATCH($G75,HV_Base_MetricKey,0)),"")="source_backed",IFERROR(INDEX(HV_Base_Status,MATCH($G75,HV_Base_MetricKey,0)),"")="formula_calculated",IFERROR(INDEX(HV_Base_Status,MATCH($G75,HV_Base_MetricKey,0)),"")="derived_calculated"),IFERROR(INDEX(HV_Base_Value,MATCH($G75,HV_Base_MetricKey,0)),""),""),"")</f>
        <v/>
      </c>
      <c r="Y75">
        <f>IF(IFERROR(INDEX('Hidden_Value_Audit'!$Q$2:$Q$8,MATCH($B75,'Hidden_Value_Audit'!$A$2:$A$8,0)),FALSE),IFERROR(INDEX(HV_Base_Status,MATCH($G75,HV_Base_MetricKey,0)),""),"unavailable")</f>
        <v/>
      </c>
      <c r="Z75">
        <f>IF(NOT(IFERROR(INDEX('Hidden_Value_Audit'!$Q$2:$Q$8,MATCH($B75,'Hidden_Value_Audit'!$A$2:$A$8,0)),FALSE)),FALSE,AND(ISNUMBER($X75),OR($Y75="source_backed",$Y75="formula_calculated",$Y75="derived_calculated")))</f>
        <v/>
      </c>
      <c r="AA75" s="553">
        <f>IF($Z75,$L75,0)</f>
        <v/>
      </c>
      <c r="AB75" s="553">
        <f>IF(NOT($Z75),"",IF(OR(NOT(ISNUMBER($N75)),NOT(ISNUMBER($O75)),$O75&lt;=0,NOT(ISNUMBER($P75)),AND($M75&lt;&gt;"higher",$M75&lt;&gt;"lower")),"",MAX(0,MIN(1,IF($M75="lower",($N75-$X75)/$O75+$P75,($X75-$N75)/$O75+$P75)))))</f>
        <v/>
      </c>
      <c r="AC75" s="553">
        <f>IF($AB75="","",$AB75*$AA75)</f>
        <v/>
      </c>
      <c r="AD75">
        <f>IF(AND(IF(OR($X75="",$Q75=""),AND($X75="",$Q75=""),IF(AND(ISNUMBER($X75),ISNUMBER($Q75)),ABS($X75-$Q75)&lt;=1E-10,$X75=$Q75)),IF(OR($AA75="",$T75=""),AND($AA75="",$T75=""),IF(AND(ISNUMBER($AA75),ISNUMBER($T75)),ABS($AA75-$T75)&lt;=1E-10,$AA75=$T75)),IF(OR($AB75="",$U75=""),AND($AB75="",$U75=""),IF(AND(ISNUMBER($AB75),ISNUMBER($U75)),ABS($AB75-$U75)&lt;=1E-10,$AB75=$U75)),IF(OR($AC75="",$V75=""),AND($AC75="",$V75=""),IF(AND(ISNUMBER($AC75),ISNUMBER($V75)),ABS($AC75-$V75)&lt;=1E-10,$AC75=$V75)),(IF($Z75,"calculated","unavailable")=$W75)),"PASS","FAIL")</f>
        <v/>
      </c>
    </row>
    <row r="76">
      <c r="X76" s="553">
        <f>IF(OR(IFERROR(INDEX(HV_Base_Status,MATCH($G76,HV_Base_MetricKey,0)),"")="source_backed",IFERROR(INDEX(HV_Base_Status,MATCH($G76,HV_Base_MetricKey,0)),"")="formula_calculated",IFERROR(INDEX(HV_Base_Status,MATCH($G76,HV_Base_MetricKey,0)),"")="derived_calculated"),IFERROR(INDEX(HV_Base_Value,MATCH($G76,HV_Base_MetricKey,0)),""),"")</f>
        <v/>
      </c>
      <c r="Y76">
        <f>IFERROR(INDEX(HV_Base_Status,MATCH($G76,HV_Base_MetricKey,0)),"")</f>
        <v/>
      </c>
      <c r="Z76">
        <f>IF($G76="","",AND(ISNUMBER($X76),OR($Y76="source_backed",$Y76="formula_calculated",$Y76="derived_calculated")))</f>
        <v/>
      </c>
      <c r="AA76">
        <f>""</f>
        <v/>
      </c>
      <c r="AB76">
        <f>""</f>
        <v/>
      </c>
      <c r="AC76">
        <f>""</f>
        <v/>
      </c>
      <c r="AD76">
        <f>IF(AND(IF(OR($X76="",$Q76=""),AND($X76="",$Q76=""),IF(AND(ISNUMBER($X76),ISNUMBER($Q76)),ABS($X76-$Q76)&lt;=1E-10,$X76=$Q76)),IF(OR($Y76="",$W76=""),AND($Y76="",$W76=""),IF(AND(ISNUMBER($Y76),ISNUMBER($W76)),ABS($Y76-$W76)&lt;=1E-10,$Y76=$W76)),IF(OR($Z76="",$S76=""),AND($Z76="",$S76=""),IF(AND(ISNUMBER($Z76),ISNUMBER($S76)),ABS($Z76-$S76)&lt;=1E-10,$Z76=$S76))),"PASS","FAIL")</f>
        <v/>
      </c>
    </row>
    <row r="77">
      <c r="X77" s="553">
        <f>IF(OR(IFERROR(INDEX(HV_Base_Status,MATCH($G77,HV_Base_MetricKey,0)),"")="source_backed",IFERROR(INDEX(HV_Base_Status,MATCH($G77,HV_Base_MetricKey,0)),"")="formula_calculated",IFERROR(INDEX(HV_Base_Status,MATCH($G77,HV_Base_MetricKey,0)),"")="derived_calculated"),IFERROR(INDEX(HV_Base_Value,MATCH($G77,HV_Base_MetricKey,0)),""),"")</f>
        <v/>
      </c>
      <c r="Y77">
        <f>IFERROR(INDEX(HV_Base_Status,MATCH($G77,HV_Base_MetricKey,0)),"")</f>
        <v/>
      </c>
      <c r="Z77">
        <f>IF($G77="","",AND(ISNUMBER($X77),OR($Y77="source_backed",$Y77="formula_calculated",$Y77="derived_calculated")))</f>
        <v/>
      </c>
      <c r="AA77">
        <f>""</f>
        <v/>
      </c>
      <c r="AB77">
        <f>""</f>
        <v/>
      </c>
      <c r="AC77">
        <f>""</f>
        <v/>
      </c>
      <c r="AD77">
        <f>IF(AND(IF(OR($X77="",$Q77=""),AND($X77="",$Q77=""),IF(AND(ISNUMBER($X77),ISNUMBER($Q77)),ABS($X77-$Q77)&lt;=1E-10,$X77=$Q77)),IF(OR($Y77="",$W77=""),AND($Y77="",$W77=""),IF(AND(ISNUMBER($Y77),ISNUMBER($W77)),ABS($Y77-$W77)&lt;=1E-10,$Y77=$W77)),IF(OR($Z77="",$S77=""),AND($Z77="",$S77=""),IF(AND(ISNUMBER($Z77),ISNUMBER($S77)),ABS($Z77-$S77)&lt;=1E-10,$Z77=$S77))),"PASS","FAIL")</f>
        <v/>
      </c>
    </row>
    <row r="78">
      <c r="X78" s="553">
        <f>IF(IFERROR(INDEX('Hidden_Value_Audit'!$Q$2:$Q$8,MATCH($B78,'Hidden_Value_Audit'!$A$2:$A$8,0)),FALSE),IF(OR(IFERROR(INDEX(HV_Base_Status,MATCH($G78,HV_Base_MetricKey,0)),"")="source_backed",IFERROR(INDEX(HV_Base_Status,MATCH($G78,HV_Base_MetricKey,0)),"")="formula_calculated",IFERROR(INDEX(HV_Base_Status,MATCH($G78,HV_Base_MetricKey,0)),"")="derived_calculated"),IFERROR(INDEX(HV_Base_Value,MATCH($G78,HV_Base_MetricKey,0)),""),""),"")</f>
        <v/>
      </c>
      <c r="Y78" s="553">
        <f>IF(NOT(IFERROR(INDEX('Hidden_Value_Audit'!$Q$2:$Q$8,MATCH($B78,'Hidden_Value_Audit'!$A$2:$A$8,0)),FALSE)),"",IF($I78&lt;&gt;"",IF(OR(IFERROR(INDEX(HV_Base_Status,MATCH($I78,HV_Base_MetricKey,0)),"")="source_backed",IFERROR(INDEX(HV_Base_Status,MATCH($I78,HV_Base_MetricKey,0)),"")="formula_calculated",IFERROR(INDEX(HV_Base_Status,MATCH($I78,HV_Base_MetricKey,0)),"")="derived_calculated"),IFERROR(INDEX(HV_Base_Value,MATCH($I78,HV_Base_MetricKey,0)),""),""),IF($J78="","",$J78)))</f>
        <v/>
      </c>
      <c r="Z78">
        <f>IF(OR($X78="",$Y78=""),"",IF($H78="gt",$X78&gt;$Y78,IF($H78="gte",$X78&gt;=$Y78,IF($H78="lt",$X78&lt;$Y78,IF($H78="lte",$X78&lt;=$Y78,IF($H78="eq",$X78=$Y78,FALSE))))))</f>
        <v/>
      </c>
      <c r="AA78">
        <f>""</f>
        <v/>
      </c>
      <c r="AB78">
        <f>""</f>
        <v/>
      </c>
      <c r="AC78">
        <f>""</f>
        <v/>
      </c>
      <c r="AD78">
        <f>IF(AND(IF(OR($X78="",$Q78=""),AND($X78="",$Q78=""),IF(AND(ISNUMBER($X78),ISNUMBER($Q78)),ABS($X78-$Q78)&lt;=1E-10,$X78=$Q78)),IF(OR($Y78="",$R78=""),AND($Y78="",$R78=""),IF(AND(ISNUMBER($Y78),ISNUMBER($R78)),ABS($Y78-$R78)&lt;=1E-10,$Y78=$R78)),IF(OR($Z78="",$S78=""),AND($Z78="",$S78=""),IF(AND(ISNUMBER($Z78),ISNUMBER($S78)),ABS($Z78-$S78)&lt;=1E-10,$Z78=$S78)),(IF(NOT(IFERROR(INDEX('Hidden_Value_Audit'!$Q$2:$Q$8,MATCH($B78,'Hidden_Value_Audit'!$A$2:$A$8,0)),FALSE)),"module_or_profile_pack_disabled",IF($Z78="","predicate_input_unavailable",IF($Z78,"passed","failed")))=$W78)),"PASS","FAIL")</f>
        <v/>
      </c>
    </row>
    <row r="79">
      <c r="X79" s="553">
        <f>IF(IFERROR(INDEX('Hidden_Value_Audit'!$Q$2:$Q$8,MATCH($B79,'Hidden_Value_Audit'!$A$2:$A$8,0)),FALSE),IF(OR(IFERROR(INDEX(HV_Base_Status,MATCH($G79,HV_Base_MetricKey,0)),"")="source_backed",IFERROR(INDEX(HV_Base_Status,MATCH($G79,HV_Base_MetricKey,0)),"")="formula_calculated",IFERROR(INDEX(HV_Base_Status,MATCH($G79,HV_Base_MetricKey,0)),"")="derived_calculated"),IFERROR(INDEX(HV_Base_Value,MATCH($G79,HV_Base_MetricKey,0)),""),""),"")</f>
        <v/>
      </c>
      <c r="Y79" s="553">
        <f>IF(NOT(IFERROR(INDEX('Hidden_Value_Audit'!$Q$2:$Q$8,MATCH($B79,'Hidden_Value_Audit'!$A$2:$A$8,0)),FALSE)),"",IF($I79&lt;&gt;"",IF(OR(IFERROR(INDEX(HV_Base_Status,MATCH($I79,HV_Base_MetricKey,0)),"")="source_backed",IFERROR(INDEX(HV_Base_Status,MATCH($I79,HV_Base_MetricKey,0)),"")="formula_calculated",IFERROR(INDEX(HV_Base_Status,MATCH($I79,HV_Base_MetricKey,0)),"")="derived_calculated"),IFERROR(INDEX(HV_Base_Value,MATCH($I79,HV_Base_MetricKey,0)),""),""),IF($J79="","",$J79)))</f>
        <v/>
      </c>
      <c r="Z79">
        <f>IF(OR($X79="",$Y79=""),"",IF($H79="gt",$X79&gt;$Y79,IF($H79="gte",$X79&gt;=$Y79,IF($H79="lt",$X79&lt;$Y79,IF($H79="lte",$X79&lt;=$Y79,IF($H79="eq",$X79=$Y79,FALSE))))))</f>
        <v/>
      </c>
      <c r="AA79">
        <f>""</f>
        <v/>
      </c>
      <c r="AB79">
        <f>""</f>
        <v/>
      </c>
      <c r="AC79">
        <f>""</f>
        <v/>
      </c>
      <c r="AD79">
        <f>IF(AND(IF(OR($X79="",$Q79=""),AND($X79="",$Q79=""),IF(AND(ISNUMBER($X79),ISNUMBER($Q79)),ABS($X79-$Q79)&lt;=1E-10,$X79=$Q79)),IF(OR($Y79="",$R79=""),AND($Y79="",$R79=""),IF(AND(ISNUMBER($Y79),ISNUMBER($R79)),ABS($Y79-$R79)&lt;=1E-10,$Y79=$R79)),IF(OR($Z79="",$S79=""),AND($Z79="",$S79=""),IF(AND(ISNUMBER($Z79),ISNUMBER($S79)),ABS($Z79-$S79)&lt;=1E-10,$Z79=$S79)),(IF(NOT(IFERROR(INDEX('Hidden_Value_Audit'!$Q$2:$Q$8,MATCH($B79,'Hidden_Value_Audit'!$A$2:$A$8,0)),FALSE)),"module_or_profile_pack_disabled",IF($Z79="","predicate_input_unavailable",IF($Z79,"passed","failed")))=$W79)),"PASS","FAIL")</f>
        <v/>
      </c>
    </row>
    <row r="80">
      <c r="X80" s="553">
        <f>IF(IFERROR(INDEX('Hidden_Value_Audit'!$Q$2:$Q$8,MATCH($B80,'Hidden_Value_Audit'!$A$2:$A$8,0)),FALSE),IF(OR(IFERROR(INDEX(HV_Base_Status,MATCH($G80,HV_Base_MetricKey,0)),"")="source_backed",IFERROR(INDEX(HV_Base_Status,MATCH($G80,HV_Base_MetricKey,0)),"")="formula_calculated",IFERROR(INDEX(HV_Base_Status,MATCH($G80,HV_Base_MetricKey,0)),"")="derived_calculated"),IFERROR(INDEX(HV_Base_Value,MATCH($G80,HV_Base_MetricKey,0)),""),""),"")</f>
        <v/>
      </c>
      <c r="Y80" s="553">
        <f>IF(NOT(IFERROR(INDEX('Hidden_Value_Audit'!$Q$2:$Q$8,MATCH($B80,'Hidden_Value_Audit'!$A$2:$A$8,0)),FALSE)),"",IF($I80&lt;&gt;"",IF(OR(IFERROR(INDEX(HV_Base_Status,MATCH($I80,HV_Base_MetricKey,0)),"")="source_backed",IFERROR(INDEX(HV_Base_Status,MATCH($I80,HV_Base_MetricKey,0)),"")="formula_calculated",IFERROR(INDEX(HV_Base_Status,MATCH($I80,HV_Base_MetricKey,0)),"")="derived_calculated"),IFERROR(INDEX(HV_Base_Value,MATCH($I80,HV_Base_MetricKey,0)),""),""),IF($J80="","",$J80)))</f>
        <v/>
      </c>
      <c r="Z80">
        <f>IF(OR($X80="",$Y80=""),"",IF($H80="gt",$X80&gt;$Y80,IF($H80="gte",$X80&gt;=$Y80,IF($H80="lt",$X80&lt;$Y80,IF($H80="lte",$X80&lt;=$Y80,IF($H80="eq",$X80=$Y80,FALSE))))))</f>
        <v/>
      </c>
      <c r="AA80">
        <f>""</f>
        <v/>
      </c>
      <c r="AB80">
        <f>""</f>
        <v/>
      </c>
      <c r="AC80">
        <f>""</f>
        <v/>
      </c>
      <c r="AD80">
        <f>IF(AND(IF(OR($X80="",$Q80=""),AND($X80="",$Q80=""),IF(AND(ISNUMBER($X80),ISNUMBER($Q80)),ABS($X80-$Q80)&lt;=1E-10,$X80=$Q80)),IF(OR($Y80="",$R80=""),AND($Y80="",$R80=""),IF(AND(ISNUMBER($Y80),ISNUMBER($R80)),ABS($Y80-$R80)&lt;=1E-10,$Y80=$R80)),IF(OR($Z80="",$S80=""),AND($Z80="",$S80=""),IF(AND(ISNUMBER($Z80),ISNUMBER($S80)),ABS($Z80-$S80)&lt;=1E-10,$Z80=$S80)),(IF(NOT(IFERROR(INDEX('Hidden_Value_Audit'!$Q$2:$Q$8,MATCH($B80,'Hidden_Value_Audit'!$A$2:$A$8,0)),FALSE)),"module_or_profile_pack_disabled",IF($Z80="","predicate_input_unavailable",IF($Z80,"passed","failed")))=$W80)),"PASS","FAIL")</f>
        <v/>
      </c>
    </row>
    <row r="81">
      <c r="X81" s="553">
        <f>IF(IFERROR(INDEX('Hidden_Value_Audit'!$Q$2:$Q$8,MATCH($B81,'Hidden_Value_Audit'!$A$2:$A$8,0)),FALSE),IF(OR(IFERROR(INDEX(HV_Base_Status,MATCH($G81,HV_Base_MetricKey,0)),"")="source_backed",IFERROR(INDEX(HV_Base_Status,MATCH($G81,HV_Base_MetricKey,0)),"")="formula_calculated",IFERROR(INDEX(HV_Base_Status,MATCH($G81,HV_Base_MetricKey,0)),"")="derived_calculated"),IFERROR(INDEX(HV_Base_Value,MATCH($G81,HV_Base_MetricKey,0)),""),""),"")</f>
        <v/>
      </c>
      <c r="Y81">
        <f>IF(IFERROR(INDEX('Hidden_Value_Audit'!$Q$2:$Q$8,MATCH($B81,'Hidden_Value_Audit'!$A$2:$A$8,0)),FALSE),IFERROR(INDEX(HV_Base_Status,MATCH($G81,HV_Base_MetricKey,0)),""),"unavailable")</f>
        <v/>
      </c>
      <c r="Z81">
        <f>IF(NOT(IFERROR(INDEX('Hidden_Value_Audit'!$Q$2:$Q$8,MATCH($B81,'Hidden_Value_Audit'!$A$2:$A$8,0)),FALSE)),FALSE,AND(ISNUMBER($X81),OR($Y81="source_backed",$Y81="formula_calculated",$Y81="derived_calculated")))</f>
        <v/>
      </c>
      <c r="AA81" s="553">
        <f>IF($Z81,$L81,0)</f>
        <v/>
      </c>
      <c r="AB81" s="553">
        <f>IF(NOT($Z81),"",IF(OR(NOT(ISNUMBER($N81)),NOT(ISNUMBER($O81)),$O81&lt;=0,NOT(ISNUMBER($P81)),AND($M81&lt;&gt;"higher",$M81&lt;&gt;"lower")),"",MAX(0,MIN(1,IF($M81="lower",($N81-$X81)/$O81+$P81,($X81-$N81)/$O81+$P81)))))</f>
        <v/>
      </c>
      <c r="AC81" s="553">
        <f>IF($AB81="","",$AB81*$AA81)</f>
        <v/>
      </c>
      <c r="AD81">
        <f>IF(AND(IF(OR($X81="",$Q81=""),AND($X81="",$Q81=""),IF(AND(ISNUMBER($X81),ISNUMBER($Q81)),ABS($X81-$Q81)&lt;=1E-10,$X81=$Q81)),IF(OR($AA81="",$T81=""),AND($AA81="",$T81=""),IF(AND(ISNUMBER($AA81),ISNUMBER($T81)),ABS($AA81-$T81)&lt;=1E-10,$AA81=$T81)),IF(OR($AB81="",$U81=""),AND($AB81="",$U81=""),IF(AND(ISNUMBER($AB81),ISNUMBER($U81)),ABS($AB81-$U81)&lt;=1E-10,$AB81=$U81)),IF(OR($AC81="",$V81=""),AND($AC81="",$V81=""),IF(AND(ISNUMBER($AC81),ISNUMBER($V81)),ABS($AC81-$V81)&lt;=1E-10,$AC81=$V81)),(IF($Z81,"calculated","unavailable")=$W81)),"PASS","FAIL")</f>
        <v/>
      </c>
    </row>
    <row r="82">
      <c r="X82" s="553">
        <f>IF(IFERROR(INDEX('Hidden_Value_Audit'!$Q$2:$Q$8,MATCH($B82,'Hidden_Value_Audit'!$A$2:$A$8,0)),FALSE),IF(OR(IFERROR(INDEX(HV_Base_Status,MATCH($G82,HV_Base_MetricKey,0)),"")="source_backed",IFERROR(INDEX(HV_Base_Status,MATCH($G82,HV_Base_MetricKey,0)),"")="formula_calculated",IFERROR(INDEX(HV_Base_Status,MATCH($G82,HV_Base_MetricKey,0)),"")="derived_calculated"),IFERROR(INDEX(HV_Base_Value,MATCH($G82,HV_Base_MetricKey,0)),""),""),"")</f>
        <v/>
      </c>
      <c r="Y82">
        <f>IF(IFERROR(INDEX('Hidden_Value_Audit'!$Q$2:$Q$8,MATCH($B82,'Hidden_Value_Audit'!$A$2:$A$8,0)),FALSE),IFERROR(INDEX(HV_Base_Status,MATCH($G82,HV_Base_MetricKey,0)),""),"unavailable")</f>
        <v/>
      </c>
      <c r="Z82">
        <f>IF(NOT(IFERROR(INDEX('Hidden_Value_Audit'!$Q$2:$Q$8,MATCH($B82,'Hidden_Value_Audit'!$A$2:$A$8,0)),FALSE)),FALSE,AND(ISNUMBER($X82),OR($Y82="source_backed",$Y82="formula_calculated",$Y82="derived_calculated")))</f>
        <v/>
      </c>
      <c r="AA82" s="553">
        <f>IF($Z82,$L82,0)</f>
        <v/>
      </c>
      <c r="AB82" s="553">
        <f>IF(NOT($Z82),"",IF(OR(NOT(ISNUMBER($N82)),NOT(ISNUMBER($O82)),$O82&lt;=0,NOT(ISNUMBER($P82)),AND($M82&lt;&gt;"higher",$M82&lt;&gt;"lower")),"",MAX(0,MIN(1,IF($M82="lower",($N82-$X82)/$O82+$P82,($X82-$N82)/$O82+$P82)))))</f>
        <v/>
      </c>
      <c r="AC82" s="553">
        <f>IF($AB82="","",$AB82*$AA82)</f>
        <v/>
      </c>
      <c r="AD82">
        <f>IF(AND(IF(OR($X82="",$Q82=""),AND($X82="",$Q82=""),IF(AND(ISNUMBER($X82),ISNUMBER($Q82)),ABS($X82-$Q82)&lt;=1E-10,$X82=$Q82)),IF(OR($AA82="",$T82=""),AND($AA82="",$T82=""),IF(AND(ISNUMBER($AA82),ISNUMBER($T82)),ABS($AA82-$T82)&lt;=1E-10,$AA82=$T82)),IF(OR($AB82="",$U82=""),AND($AB82="",$U82=""),IF(AND(ISNUMBER($AB82),ISNUMBER($U82)),ABS($AB82-$U82)&lt;=1E-10,$AB82=$U82)),IF(OR($AC82="",$V82=""),AND($AC82="",$V82=""),IF(AND(ISNUMBER($AC82),ISNUMBER($V82)),ABS($AC82-$V82)&lt;=1E-10,$AC82=$V82)),(IF($Z82,"calculated","unavailable")=$W82)),"PASS","FAIL")</f>
        <v/>
      </c>
    </row>
    <row r="83">
      <c r="X83" s="553">
        <f>IF(OR(IFERROR(INDEX(HV_Base_Status,MATCH($G83,HV_Base_MetricKey,0)),"")="source_backed",IFERROR(INDEX(HV_Base_Status,MATCH($G83,HV_Base_MetricKey,0)),"")="formula_calculated",IFERROR(INDEX(HV_Base_Status,MATCH($G83,HV_Base_MetricKey,0)),"")="derived_calculated"),IFERROR(INDEX(HV_Base_Value,MATCH($G83,HV_Base_MetricKey,0)),""),"")</f>
        <v/>
      </c>
      <c r="Y83">
        <f>IFERROR(INDEX(HV_Base_Status,MATCH($G83,HV_Base_MetricKey,0)),"")</f>
        <v/>
      </c>
      <c r="Z83">
        <f>IF($G83="","",AND(ISNUMBER($X83),OR($Y83="source_backed",$Y83="formula_calculated",$Y83="derived_calculated")))</f>
        <v/>
      </c>
      <c r="AA83">
        <f>""</f>
        <v/>
      </c>
      <c r="AB83">
        <f>""</f>
        <v/>
      </c>
      <c r="AC83">
        <f>""</f>
        <v/>
      </c>
      <c r="AD83">
        <f>IF(AND(IF(OR($X83="",$Q83=""),AND($X83="",$Q83=""),IF(AND(ISNUMBER($X83),ISNUMBER($Q83)),ABS($X83-$Q83)&lt;=1E-10,$X83=$Q83)),IF(OR($Y83="",$W83=""),AND($Y83="",$W83=""),IF(AND(ISNUMBER($Y83),ISNUMBER($W83)),ABS($Y83-$W83)&lt;=1E-10,$Y83=$W83)),IF(OR($Z83="",$S83=""),AND($Z83="",$S83=""),IF(AND(ISNUMBER($Z83),ISNUMBER($S83)),ABS($Z83-$S83)&lt;=1E-10,$Z83=$S83))),"PASS","FAIL")</f>
        <v/>
      </c>
    </row>
    <row r="84">
      <c r="X84" s="553">
        <f>IF(IFERROR(INDEX('Hidden_Value_Audit'!$Q$2:$Q$8,MATCH($B84,'Hidden_Value_Audit'!$A$2:$A$8,0)),FALSE),IF(OR(IFERROR(INDEX(HV_Base_Status,MATCH($G84,HV_Base_MetricKey,0)),"")="source_backed",IFERROR(INDEX(HV_Base_Status,MATCH($G84,HV_Base_MetricKey,0)),"")="formula_calculated",IFERROR(INDEX(HV_Base_Status,MATCH($G84,HV_Base_MetricKey,0)),"")="derived_calculated"),IFERROR(INDEX(HV_Base_Value,MATCH($G84,HV_Base_MetricKey,0)),""),""),"")</f>
        <v/>
      </c>
      <c r="Y84" s="553">
        <f>IF(NOT(IFERROR(INDEX('Hidden_Value_Audit'!$Q$2:$Q$8,MATCH($B84,'Hidden_Value_Audit'!$A$2:$A$8,0)),FALSE)),"",IF($I84&lt;&gt;"",IF(OR(IFERROR(INDEX(HV_Base_Status,MATCH($I84,HV_Base_MetricKey,0)),"")="source_backed",IFERROR(INDEX(HV_Base_Status,MATCH($I84,HV_Base_MetricKey,0)),"")="formula_calculated",IFERROR(INDEX(HV_Base_Status,MATCH($I84,HV_Base_MetricKey,0)),"")="derived_calculated"),IFERROR(INDEX(HV_Base_Value,MATCH($I84,HV_Base_MetricKey,0)),""),""),IF($J84="","",$J84)))</f>
        <v/>
      </c>
      <c r="Z84">
        <f>IF(OR($X84="",$Y84=""),"",IF($H84="gt",$X84&gt;$Y84,IF($H84="gte",$X84&gt;=$Y84,IF($H84="lt",$X84&lt;$Y84,IF($H84="lte",$X84&lt;=$Y84,IF($H84="eq",$X84=$Y84,FALSE))))))</f>
        <v/>
      </c>
      <c r="AA84">
        <f>""</f>
        <v/>
      </c>
      <c r="AB84">
        <f>""</f>
        <v/>
      </c>
      <c r="AC84">
        <f>""</f>
        <v/>
      </c>
      <c r="AD84">
        <f>IF(AND(IF(OR($X84="",$Q84=""),AND($X84="",$Q84=""),IF(AND(ISNUMBER($X84),ISNUMBER($Q84)),ABS($X84-$Q84)&lt;=1E-10,$X84=$Q84)),IF(OR($Y84="",$R84=""),AND($Y84="",$R84=""),IF(AND(ISNUMBER($Y84),ISNUMBER($R84)),ABS($Y84-$R84)&lt;=1E-10,$Y84=$R84)),IF(OR($Z84="",$S84=""),AND($Z84="",$S84=""),IF(AND(ISNUMBER($Z84),ISNUMBER($S84)),ABS($Z84-$S84)&lt;=1E-10,$Z84=$S84)),(IF(NOT(IFERROR(INDEX('Hidden_Value_Audit'!$Q$2:$Q$8,MATCH($B84,'Hidden_Value_Audit'!$A$2:$A$8,0)),FALSE)),"module_or_profile_pack_disabled",IF($Z84="","predicate_input_unavailable",IF($Z84,"passed","failed")))=$W84)),"PASS","FAIL")</f>
        <v/>
      </c>
    </row>
    <row r="85">
      <c r="X85" s="553">
        <f>IF(IFERROR(INDEX('Hidden_Value_Audit'!$Q$2:$Q$8,MATCH($B85,'Hidden_Value_Audit'!$A$2:$A$8,0)),FALSE),IF(OR(IFERROR(INDEX(HV_Base_Status,MATCH($G85,HV_Base_MetricKey,0)),"")="source_backed",IFERROR(INDEX(HV_Base_Status,MATCH($G85,HV_Base_MetricKey,0)),"")="formula_calculated",IFERROR(INDEX(HV_Base_Status,MATCH($G85,HV_Base_MetricKey,0)),"")="derived_calculated"),IFERROR(INDEX(HV_Base_Value,MATCH($G85,HV_Base_MetricKey,0)),""),""),"")</f>
        <v/>
      </c>
      <c r="Y85" s="553">
        <f>IF(NOT(IFERROR(INDEX('Hidden_Value_Audit'!$Q$2:$Q$8,MATCH($B85,'Hidden_Value_Audit'!$A$2:$A$8,0)),FALSE)),"",IF($I85&lt;&gt;"",IF(OR(IFERROR(INDEX(HV_Base_Status,MATCH($I85,HV_Base_MetricKey,0)),"")="source_backed",IFERROR(INDEX(HV_Base_Status,MATCH($I85,HV_Base_MetricKey,0)),"")="formula_calculated",IFERROR(INDEX(HV_Base_Status,MATCH($I85,HV_Base_MetricKey,0)),"")="derived_calculated"),IFERROR(INDEX(HV_Base_Value,MATCH($I85,HV_Base_MetricKey,0)),""),""),IF($J85="","",$J85)))</f>
        <v/>
      </c>
      <c r="Z85">
        <f>IF(OR($X85="",$Y85=""),"",IF($H85="gt",$X85&gt;$Y85,IF($H85="gte",$X85&gt;=$Y85,IF($H85="lt",$X85&lt;$Y85,IF($H85="lte",$X85&lt;=$Y85,IF($H85="eq",$X85=$Y85,FALSE))))))</f>
        <v/>
      </c>
      <c r="AA85">
        <f>""</f>
        <v/>
      </c>
      <c r="AB85">
        <f>""</f>
        <v/>
      </c>
      <c r="AC85">
        <f>""</f>
        <v/>
      </c>
      <c r="AD85">
        <f>IF(AND(IF(OR($X85="",$Q85=""),AND($X85="",$Q85=""),IF(AND(ISNUMBER($X85),ISNUMBER($Q85)),ABS($X85-$Q85)&lt;=1E-10,$X85=$Q85)),IF(OR($Y85="",$R85=""),AND($Y85="",$R85=""),IF(AND(ISNUMBER($Y85),ISNUMBER($R85)),ABS($Y85-$R85)&lt;=1E-10,$Y85=$R85)),IF(OR($Z85="",$S85=""),AND($Z85="",$S85=""),IF(AND(ISNUMBER($Z85),ISNUMBER($S85)),ABS($Z85-$S85)&lt;=1E-10,$Z85=$S85)),(IF(NOT(IFERROR(INDEX('Hidden_Value_Audit'!$Q$2:$Q$8,MATCH($B85,'Hidden_Value_Audit'!$A$2:$A$8,0)),FALSE)),"module_or_profile_pack_disabled",IF($Z85="","predicate_input_unavailable",IF($Z85,"passed","failed")))=$W85)),"PASS","FAIL")</f>
        <v/>
      </c>
    </row>
    <row r="86">
      <c r="X86" s="553">
        <f>IF(IFERROR(INDEX('Hidden_Value_Audit'!$Q$2:$Q$8,MATCH($B86,'Hidden_Value_Audit'!$A$2:$A$8,0)),FALSE),IF(OR(IFERROR(INDEX(HV_Base_Status,MATCH($G86,HV_Base_MetricKey,0)),"")="source_backed",IFERROR(INDEX(HV_Base_Status,MATCH($G86,HV_Base_MetricKey,0)),"")="formula_calculated",IFERROR(INDEX(HV_Base_Status,MATCH($G86,HV_Base_MetricKey,0)),"")="derived_calculated"),IFERROR(INDEX(HV_Base_Value,MATCH($G86,HV_Base_MetricKey,0)),""),""),"")</f>
        <v/>
      </c>
      <c r="Y86" s="553">
        <f>IF(NOT(IFERROR(INDEX('Hidden_Value_Audit'!$Q$2:$Q$8,MATCH($B86,'Hidden_Value_Audit'!$A$2:$A$8,0)),FALSE)),"",IF($I86&lt;&gt;"",IF(OR(IFERROR(INDEX(HV_Base_Status,MATCH($I86,HV_Base_MetricKey,0)),"")="source_backed",IFERROR(INDEX(HV_Base_Status,MATCH($I86,HV_Base_MetricKey,0)),"")="formula_calculated",IFERROR(INDEX(HV_Base_Status,MATCH($I86,HV_Base_MetricKey,0)),"")="derived_calculated"),IFERROR(INDEX(HV_Base_Value,MATCH($I86,HV_Base_MetricKey,0)),""),""),IF($J86="","",$J86)))</f>
        <v/>
      </c>
      <c r="Z86">
        <f>IF(OR($X86="",$Y86=""),"",IF($H86="gt",$X86&gt;$Y86,IF($H86="gte",$X86&gt;=$Y86,IF($H86="lt",$X86&lt;$Y86,IF($H86="lte",$X86&lt;=$Y86,IF($H86="eq",$X86=$Y86,FALSE))))))</f>
        <v/>
      </c>
      <c r="AA86">
        <f>""</f>
        <v/>
      </c>
      <c r="AB86">
        <f>""</f>
        <v/>
      </c>
      <c r="AC86">
        <f>""</f>
        <v/>
      </c>
      <c r="AD86">
        <f>IF(AND(IF(OR($X86="",$Q86=""),AND($X86="",$Q86=""),IF(AND(ISNUMBER($X86),ISNUMBER($Q86)),ABS($X86-$Q86)&lt;=1E-10,$X86=$Q86)),IF(OR($Y86="",$R86=""),AND($Y86="",$R86=""),IF(AND(ISNUMBER($Y86),ISNUMBER($R86)),ABS($Y86-$R86)&lt;=1E-10,$Y86=$R86)),IF(OR($Z86="",$S86=""),AND($Z86="",$S86=""),IF(AND(ISNUMBER($Z86),ISNUMBER($S86)),ABS($Z86-$S86)&lt;=1E-10,$Z86=$S86)),(IF(NOT(IFERROR(INDEX('Hidden_Value_Audit'!$Q$2:$Q$8,MATCH($B86,'Hidden_Value_Audit'!$A$2:$A$8,0)),FALSE)),"module_or_profile_pack_disabled",IF($Z86="","predicate_input_unavailable",IF($Z86,"passed","failed")))=$W86)),"PASS","FAIL")</f>
        <v/>
      </c>
    </row>
    <row r="87">
      <c r="X87" s="553">
        <f>IF(IFERROR(INDEX('Hidden_Value_Audit'!$Q$2:$Q$8,MATCH($B87,'Hidden_Value_Audit'!$A$2:$A$8,0)),FALSE),IF(OR(IFERROR(INDEX(HV_Base_Status,MATCH($G87,HV_Base_MetricKey,0)),"")="source_backed",IFERROR(INDEX(HV_Base_Status,MATCH($G87,HV_Base_MetricKey,0)),"")="formula_calculated",IFERROR(INDEX(HV_Base_Status,MATCH($G87,HV_Base_MetricKey,0)),"")="derived_calculated"),IFERROR(INDEX(HV_Base_Value,MATCH($G87,HV_Base_MetricKey,0)),""),""),"")</f>
        <v/>
      </c>
      <c r="Y87" s="553">
        <f>IF(NOT(IFERROR(INDEX('Hidden_Value_Audit'!$Q$2:$Q$8,MATCH($B87,'Hidden_Value_Audit'!$A$2:$A$8,0)),FALSE)),"",IF($I87&lt;&gt;"",IF(OR(IFERROR(INDEX(HV_Base_Status,MATCH($I87,HV_Base_MetricKey,0)),"")="source_backed",IFERROR(INDEX(HV_Base_Status,MATCH($I87,HV_Base_MetricKey,0)),"")="formula_calculated",IFERROR(INDEX(HV_Base_Status,MATCH($I87,HV_Base_MetricKey,0)),"")="derived_calculated"),IFERROR(INDEX(HV_Base_Value,MATCH($I87,HV_Base_MetricKey,0)),""),""),IF($J87="","",$J87)))</f>
        <v/>
      </c>
      <c r="Z87">
        <f>IF(OR($X87="",$Y87=""),"",IF($H87="gt",$X87&gt;$Y87,IF($H87="gte",$X87&gt;=$Y87,IF($H87="lt",$X87&lt;$Y87,IF($H87="lte",$X87&lt;=$Y87,IF($H87="eq",$X87=$Y87,FALSE))))))</f>
        <v/>
      </c>
      <c r="AA87">
        <f>""</f>
        <v/>
      </c>
      <c r="AB87">
        <f>""</f>
        <v/>
      </c>
      <c r="AC87">
        <f>""</f>
        <v/>
      </c>
      <c r="AD87">
        <f>IF(AND(IF(OR($X87="",$Q87=""),AND($X87="",$Q87=""),IF(AND(ISNUMBER($X87),ISNUMBER($Q87)),ABS($X87-$Q87)&lt;=1E-10,$X87=$Q87)),IF(OR($Y87="",$R87=""),AND($Y87="",$R87=""),IF(AND(ISNUMBER($Y87),ISNUMBER($R87)),ABS($Y87-$R87)&lt;=1E-10,$Y87=$R87)),IF(OR($Z87="",$S87=""),AND($Z87="",$S87=""),IF(AND(ISNUMBER($Z87),ISNUMBER($S87)),ABS($Z87-$S87)&lt;=1E-10,$Z87=$S87)),(IF(NOT(IFERROR(INDEX('Hidden_Value_Audit'!$Q$2:$Q$8,MATCH($B87,'Hidden_Value_Audit'!$A$2:$A$8,0)),FALSE)),"module_or_profile_pack_disabled",IF($Z87="","predicate_input_unavailable",IF($Z87,"passed","failed")))=$W87)),"PASS","FAIL")</f>
        <v/>
      </c>
    </row>
    <row r="88">
      <c r="X88" s="553">
        <f>IF(IFERROR(INDEX('Hidden_Value_Audit'!$Q$2:$Q$8,MATCH($B88,'Hidden_Value_Audit'!$A$2:$A$8,0)),FALSE),IF(OR(IFERROR(INDEX(HV_Base_Status,MATCH($G88,HV_Base_MetricKey,0)),"")="source_backed",IFERROR(INDEX(HV_Base_Status,MATCH($G88,HV_Base_MetricKey,0)),"")="formula_calculated",IFERROR(INDEX(HV_Base_Status,MATCH($G88,HV_Base_MetricKey,0)),"")="derived_calculated"),IFERROR(INDEX(HV_Base_Value,MATCH($G88,HV_Base_MetricKey,0)),""),""),"")</f>
        <v/>
      </c>
      <c r="Y88" s="553">
        <f>IF(NOT(IFERROR(INDEX('Hidden_Value_Audit'!$Q$2:$Q$8,MATCH($B88,'Hidden_Value_Audit'!$A$2:$A$8,0)),FALSE)),"",IF($I88&lt;&gt;"",IF(OR(IFERROR(INDEX(HV_Base_Status,MATCH($I88,HV_Base_MetricKey,0)),"")="source_backed",IFERROR(INDEX(HV_Base_Status,MATCH($I88,HV_Base_MetricKey,0)),"")="formula_calculated",IFERROR(INDEX(HV_Base_Status,MATCH($I88,HV_Base_MetricKey,0)),"")="derived_calculated"),IFERROR(INDEX(HV_Base_Value,MATCH($I88,HV_Base_MetricKey,0)),""),""),IF($J88="","",$J88)))</f>
        <v/>
      </c>
      <c r="Z88">
        <f>IF(OR($X88="",$Y88=""),"",IF($H88="gt",$X88&gt;$Y88,IF($H88="gte",$X88&gt;=$Y88,IF($H88="lt",$X88&lt;$Y88,IF($H88="lte",$X88&lt;=$Y88,IF($H88="eq",$X88=$Y88,FALSE))))))</f>
        <v/>
      </c>
      <c r="AA88">
        <f>""</f>
        <v/>
      </c>
      <c r="AB88">
        <f>""</f>
        <v/>
      </c>
      <c r="AC88">
        <f>""</f>
        <v/>
      </c>
      <c r="AD88">
        <f>IF(AND(IF(OR($X88="",$Q88=""),AND($X88="",$Q88=""),IF(AND(ISNUMBER($X88),ISNUMBER($Q88)),ABS($X88-$Q88)&lt;=1E-10,$X88=$Q88)),IF(OR($Y88="",$R88=""),AND($Y88="",$R88=""),IF(AND(ISNUMBER($Y88),ISNUMBER($R88)),ABS($Y88-$R88)&lt;=1E-10,$Y88=$R88)),IF(OR($Z88="",$S88=""),AND($Z88="",$S88=""),IF(AND(ISNUMBER($Z88),ISNUMBER($S88)),ABS($Z88-$S88)&lt;=1E-10,$Z88=$S88)),(IF(NOT(IFERROR(INDEX('Hidden_Value_Audit'!$Q$2:$Q$8,MATCH($B88,'Hidden_Value_Audit'!$A$2:$A$8,0)),FALSE)),"module_or_profile_pack_disabled",IF($Z88="","predicate_input_unavailable",IF($Z88,"passed","failed")))=$W88)),"PASS","FAIL")</f>
        <v/>
      </c>
    </row>
    <row r="89">
      <c r="X89" s="553">
        <f>IF(IFERROR(INDEX('Hidden_Value_Audit'!$Q$2:$Q$8,MATCH($B89,'Hidden_Value_Audit'!$A$2:$A$8,0)),FALSE),IF(OR(IFERROR(INDEX(HV_Base_Status,MATCH($G89,HV_Base_MetricKey,0)),"")="source_backed",IFERROR(INDEX(HV_Base_Status,MATCH($G89,HV_Base_MetricKey,0)),"")="formula_calculated",IFERROR(INDEX(HV_Base_Status,MATCH($G89,HV_Base_MetricKey,0)),"")="derived_calculated"),IFERROR(INDEX(HV_Base_Value,MATCH($G89,HV_Base_MetricKey,0)),""),""),"")</f>
        <v/>
      </c>
      <c r="Y89" s="553">
        <f>IF(NOT(IFERROR(INDEX('Hidden_Value_Audit'!$Q$2:$Q$8,MATCH($B89,'Hidden_Value_Audit'!$A$2:$A$8,0)),FALSE)),"",IF($I89&lt;&gt;"",IF(OR(IFERROR(INDEX(HV_Base_Status,MATCH($I89,HV_Base_MetricKey,0)),"")="source_backed",IFERROR(INDEX(HV_Base_Status,MATCH($I89,HV_Base_MetricKey,0)),"")="formula_calculated",IFERROR(INDEX(HV_Base_Status,MATCH($I89,HV_Base_MetricKey,0)),"")="derived_calculated"),IFERROR(INDEX(HV_Base_Value,MATCH($I89,HV_Base_MetricKey,0)),""),""),IF($J89="","",$J89)))</f>
        <v/>
      </c>
      <c r="Z89">
        <f>IF(OR($X89="",$Y89=""),"",IF($H89="gt",$X89&gt;$Y89,IF($H89="gte",$X89&gt;=$Y89,IF($H89="lt",$X89&lt;$Y89,IF($H89="lte",$X89&lt;=$Y89,IF($H89="eq",$X89=$Y89,FALSE))))))</f>
        <v/>
      </c>
      <c r="AA89">
        <f>""</f>
        <v/>
      </c>
      <c r="AB89">
        <f>""</f>
        <v/>
      </c>
      <c r="AC89">
        <f>""</f>
        <v/>
      </c>
      <c r="AD89">
        <f>IF(AND(IF(OR($X89="",$Q89=""),AND($X89="",$Q89=""),IF(AND(ISNUMBER($X89),ISNUMBER($Q89)),ABS($X89-$Q89)&lt;=1E-10,$X89=$Q89)),IF(OR($Y89="",$R89=""),AND($Y89="",$R89=""),IF(AND(ISNUMBER($Y89),ISNUMBER($R89)),ABS($Y89-$R89)&lt;=1E-10,$Y89=$R89)),IF(OR($Z89="",$S89=""),AND($Z89="",$S89=""),IF(AND(ISNUMBER($Z89),ISNUMBER($S89)),ABS($Z89-$S89)&lt;=1E-10,$Z89=$S89)),(IF(NOT(IFERROR(INDEX('Hidden_Value_Audit'!$Q$2:$Q$8,MATCH($B89,'Hidden_Value_Audit'!$A$2:$A$8,0)),FALSE)),"module_or_profile_pack_disabled",IF($Z89="","predicate_input_unavailable",IF($Z89,"passed","failed")))=$W89)),"PASS","FAIL")</f>
        <v/>
      </c>
    </row>
    <row r="90">
      <c r="X90" s="553">
        <f>IF(IFERROR(INDEX('Hidden_Value_Audit'!$Q$2:$Q$8,MATCH($B90,'Hidden_Value_Audit'!$A$2:$A$8,0)),FALSE),IF(OR(IFERROR(INDEX(HV_Base_Status,MATCH($G90,HV_Base_MetricKey,0)),"")="source_backed",IFERROR(INDEX(HV_Base_Status,MATCH($G90,HV_Base_MetricKey,0)),"")="formula_calculated",IFERROR(INDEX(HV_Base_Status,MATCH($G90,HV_Base_MetricKey,0)),"")="derived_calculated"),IFERROR(INDEX(HV_Base_Value,MATCH($G90,HV_Base_MetricKey,0)),""),""),"")</f>
        <v/>
      </c>
      <c r="Y90">
        <f>IF(IFERROR(INDEX('Hidden_Value_Audit'!$Q$2:$Q$8,MATCH($B90,'Hidden_Value_Audit'!$A$2:$A$8,0)),FALSE),IFERROR(INDEX(HV_Base_Status,MATCH($G90,HV_Base_MetricKey,0)),""),"unavailable")</f>
        <v/>
      </c>
      <c r="Z90">
        <f>IF(NOT(IFERROR(INDEX('Hidden_Value_Audit'!$Q$2:$Q$8,MATCH($B90,'Hidden_Value_Audit'!$A$2:$A$8,0)),FALSE)),FALSE,AND(ISNUMBER($X90),OR($Y90="source_backed",$Y90="formula_calculated",$Y90="derived_calculated")))</f>
        <v/>
      </c>
      <c r="AA90" s="553">
        <f>IF($Z90,$L90,0)</f>
        <v/>
      </c>
      <c r="AB90" s="553">
        <f>IF(NOT($Z90),"",IF(OR(NOT(ISNUMBER($N90)),NOT(ISNUMBER($O90)),$O90&lt;=0,NOT(ISNUMBER($P90)),AND($M90&lt;&gt;"higher",$M90&lt;&gt;"lower")),"",MAX(0,MIN(1,IF($M90="lower",($N90-$X90)/$O90+$P90,($X90-$N90)/$O90+$P90)))))</f>
        <v/>
      </c>
      <c r="AC90" s="553">
        <f>IF($AB90="","",$AB90*$AA90)</f>
        <v/>
      </c>
      <c r="AD90">
        <f>IF(AND(IF(OR($X90="",$Q90=""),AND($X90="",$Q90=""),IF(AND(ISNUMBER($X90),ISNUMBER($Q90)),ABS($X90-$Q90)&lt;=1E-10,$X90=$Q90)),IF(OR($AA90="",$T90=""),AND($AA90="",$T90=""),IF(AND(ISNUMBER($AA90),ISNUMBER($T90)),ABS($AA90-$T90)&lt;=1E-10,$AA90=$T90)),IF(OR($AB90="",$U90=""),AND($AB90="",$U90=""),IF(AND(ISNUMBER($AB90),ISNUMBER($U90)),ABS($AB90-$U90)&lt;=1E-10,$AB90=$U90)),IF(OR($AC90="",$V90=""),AND($AC90="",$V90=""),IF(AND(ISNUMBER($AC90),ISNUMBER($V90)),ABS($AC90-$V90)&lt;=1E-10,$AC90=$V90)),(IF($Z90,"calculated","unavailable")=$W90)),"PASS","FAIL")</f>
        <v/>
      </c>
    </row>
    <row r="91">
      <c r="X91" s="553">
        <f>IF(IFERROR(INDEX('Hidden_Value_Audit'!$Q$2:$Q$8,MATCH($B91,'Hidden_Value_Audit'!$A$2:$A$8,0)),FALSE),IF(OR(IFERROR(INDEX(HV_Base_Status,MATCH($G91,HV_Base_MetricKey,0)),"")="source_backed",IFERROR(INDEX(HV_Base_Status,MATCH($G91,HV_Base_MetricKey,0)),"")="formula_calculated",IFERROR(INDEX(HV_Base_Status,MATCH($G91,HV_Base_MetricKey,0)),"")="derived_calculated"),IFERROR(INDEX(HV_Base_Value,MATCH($G91,HV_Base_MetricKey,0)),""),""),"")</f>
        <v/>
      </c>
      <c r="Y91">
        <f>IF(IFERROR(INDEX('Hidden_Value_Audit'!$Q$2:$Q$8,MATCH($B91,'Hidden_Value_Audit'!$A$2:$A$8,0)),FALSE),IFERROR(INDEX(HV_Base_Status,MATCH($G91,HV_Base_MetricKey,0)),""),"unavailable")</f>
        <v/>
      </c>
      <c r="Z91">
        <f>IF(NOT(IFERROR(INDEX('Hidden_Value_Audit'!$Q$2:$Q$8,MATCH($B91,'Hidden_Value_Audit'!$A$2:$A$8,0)),FALSE)),FALSE,AND(ISNUMBER($X91),OR($Y91="source_backed",$Y91="formula_calculated",$Y91="derived_calculated")))</f>
        <v/>
      </c>
      <c r="AA91" s="553">
        <f>IF($Z91,$L91,0)</f>
        <v/>
      </c>
      <c r="AB91" s="553">
        <f>IF(NOT($Z91),"",IF(OR(NOT(ISNUMBER($N91)),NOT(ISNUMBER($O91)),$O91&lt;=0,NOT(ISNUMBER($P91)),AND($M91&lt;&gt;"higher",$M91&lt;&gt;"lower")),"",MAX(0,MIN(1,IF($M91="lower",($N91-$X91)/$O91+$P91,($X91-$N91)/$O91+$P91)))))</f>
        <v/>
      </c>
      <c r="AC91" s="553">
        <f>IF($AB91="","",$AB91*$AA91)</f>
        <v/>
      </c>
      <c r="AD91">
        <f>IF(AND(IF(OR($X91="",$Q91=""),AND($X91="",$Q91=""),IF(AND(ISNUMBER($X91),ISNUMBER($Q91)),ABS($X91-$Q91)&lt;=1E-10,$X91=$Q91)),IF(OR($AA91="",$T91=""),AND($AA91="",$T91=""),IF(AND(ISNUMBER($AA91),ISNUMBER($T91)),ABS($AA91-$T91)&lt;=1E-10,$AA91=$T91)),IF(OR($AB91="",$U91=""),AND($AB91="",$U91=""),IF(AND(ISNUMBER($AB91),ISNUMBER($U91)),ABS($AB91-$U91)&lt;=1E-10,$AB91=$U91)),IF(OR($AC91="",$V91=""),AND($AC91="",$V91=""),IF(AND(ISNUMBER($AC91),ISNUMBER($V91)),ABS($AC91-$V91)&lt;=1E-10,$AC91=$V91)),(IF($Z91,"calculated","unavailable")=$W91)),"PASS","FAIL")</f>
        <v/>
      </c>
    </row>
    <row r="92">
      <c r="X92" s="553">
        <f>IF(IFERROR(INDEX('Hidden_Value_Audit'!$Q$2:$Q$8,MATCH($B92,'Hidden_Value_Audit'!$A$2:$A$8,0)),FALSE),IF(OR(IFERROR(INDEX(HV_Base_Status,MATCH($G92,HV_Base_MetricKey,0)),"")="source_backed",IFERROR(INDEX(HV_Base_Status,MATCH($G92,HV_Base_MetricKey,0)),"")="formula_calculated",IFERROR(INDEX(HV_Base_Status,MATCH($G92,HV_Base_MetricKey,0)),"")="derived_calculated"),IFERROR(INDEX(HV_Base_Value,MATCH($G92,HV_Base_MetricKey,0)),""),""),"")</f>
        <v/>
      </c>
      <c r="Y92">
        <f>IF(IFERROR(INDEX('Hidden_Value_Audit'!$Q$2:$Q$8,MATCH($B92,'Hidden_Value_Audit'!$A$2:$A$8,0)),FALSE),IFERROR(INDEX(HV_Base_Status,MATCH($G92,HV_Base_MetricKey,0)),""),"unavailable")</f>
        <v/>
      </c>
      <c r="Z92">
        <f>IF(NOT(IFERROR(INDEX('Hidden_Value_Audit'!$Q$2:$Q$8,MATCH($B92,'Hidden_Value_Audit'!$A$2:$A$8,0)),FALSE)),FALSE,AND(ISNUMBER($X92),OR($Y92="source_backed",$Y92="formula_calculated",$Y92="derived_calculated")))</f>
        <v/>
      </c>
      <c r="AA92" s="553">
        <f>IF($Z92,$L92,0)</f>
        <v/>
      </c>
      <c r="AB92" s="553">
        <f>IF(NOT($Z92),"",IF(OR(NOT(ISNUMBER($N92)),NOT(ISNUMBER($O92)),$O92&lt;=0,NOT(ISNUMBER($P92)),AND($M92&lt;&gt;"higher",$M92&lt;&gt;"lower")),"",MAX(0,MIN(1,IF($M92="lower",($N92-$X92)/$O92+$P92,($X92-$N92)/$O92+$P92)))))</f>
        <v/>
      </c>
      <c r="AC92" s="553">
        <f>IF($AB92="","",$AB92*$AA92)</f>
        <v/>
      </c>
      <c r="AD92">
        <f>IF(AND(IF(OR($X92="",$Q92=""),AND($X92="",$Q92=""),IF(AND(ISNUMBER($X92),ISNUMBER($Q92)),ABS($X92-$Q92)&lt;=1E-10,$X92=$Q92)),IF(OR($AA92="",$T92=""),AND($AA92="",$T92=""),IF(AND(ISNUMBER($AA92),ISNUMBER($T92)),ABS($AA92-$T92)&lt;=1E-10,$AA92=$T92)),IF(OR($AB92="",$U92=""),AND($AB92="",$U92=""),IF(AND(ISNUMBER($AB92),ISNUMBER($U92)),ABS($AB92-$U92)&lt;=1E-10,$AB92=$U92)),IF(OR($AC92="",$V92=""),AND($AC92="",$V92=""),IF(AND(ISNUMBER($AC92),ISNUMBER($V92)),ABS($AC92-$V92)&lt;=1E-10,$AC92=$V92)),(IF($Z92,"calculated","unavailable")=$W92)),"PASS","FAIL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4" customWidth="1" min="11" max="11"/>
    <col width="13" customWidth="1" min="12" max="12"/>
    <col width="13" customWidth="1" min="13" max="13"/>
  </cols>
  <sheetData>
    <row r="1" ht="20" customHeight="1">
      <c r="A1" s="549" t="inlineStr">
        <is>
          <t>metric_key</t>
        </is>
      </c>
      <c r="B1" s="549" t="inlineStr">
        <is>
          <t>metric_id</t>
        </is>
      </c>
      <c r="C1" s="549" t="inlineStr">
        <is>
          <t>value</t>
        </is>
      </c>
      <c r="D1" s="549" t="inlineStr">
        <is>
          <t>unit</t>
        </is>
      </c>
      <c r="E1" s="549" t="inlineStr">
        <is>
          <t>period</t>
        </is>
      </c>
      <c r="F1" s="549" t="inlineStr">
        <is>
          <t>period_role</t>
        </is>
      </c>
      <c r="G1" s="549" t="inlineStr">
        <is>
          <t>dimension_id</t>
        </is>
      </c>
      <c r="H1" s="549" t="inlineStr">
        <is>
          <t>member</t>
        </is>
      </c>
      <c r="I1" s="549" t="inlineStr">
        <is>
          <t>status</t>
        </is>
      </c>
      <c r="J1" s="549" t="inlineStr">
        <is>
          <t>reason</t>
        </is>
      </c>
      <c r="K1" s="549" t="inlineStr">
        <is>
          <t>evidence_ids</t>
        </is>
      </c>
      <c r="L1" s="549" t="inlineStr">
        <is>
          <t>source_refs</t>
        </is>
      </c>
      <c r="M1" s="549" t="inlineStr">
        <is>
          <t>formula_ids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49" t="inlineStr">
        <is>
          <t>period</t>
        </is>
      </c>
      <c r="B1" s="549" t="inlineStr">
        <is>
          <t>capacity</t>
        </is>
      </c>
      <c r="C1" s="549" t="inlineStr">
        <is>
          <t>drawn</t>
        </is>
      </c>
      <c r="D1" s="549" t="inlineStr">
        <is>
          <t>availability</t>
        </is>
      </c>
      <c r="E1" s="549" t="inlineStr">
        <is>
          <t>covenant_status</t>
        </is>
      </c>
      <c r="F1" s="549" t="inlineStr">
        <is>
          <t>source_ref</t>
        </is>
      </c>
      <c r="G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9" t="inlineStr">
        <is>
          <t>instrument</t>
        </is>
      </c>
      <c r="B1" s="549" t="inlineStr">
        <is>
          <t>principal</t>
        </is>
      </c>
      <c r="C1" s="549" t="inlineStr">
        <is>
          <t>coupon</t>
        </is>
      </c>
      <c r="D1" s="549" t="inlineStr">
        <is>
          <t>maturity</t>
        </is>
      </c>
      <c r="E1" s="549" t="inlineStr">
        <is>
          <t>secured</t>
        </is>
      </c>
      <c r="F1" s="549" t="inlineStr">
        <is>
          <t>source_ref</t>
        </is>
      </c>
      <c r="G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9" t="inlineStr">
        <is>
          <t>metric</t>
        </is>
      </c>
      <c r="B1" s="549" t="inlineStr">
        <is>
          <t>value</t>
        </is>
      </c>
      <c r="C1" s="549" t="inlineStr">
        <is>
          <t>period</t>
        </is>
      </c>
      <c r="D1" s="549" t="inlineStr">
        <is>
          <t>unit</t>
        </is>
      </c>
      <c r="E1" s="549" t="inlineStr">
        <is>
          <t>source_ref</t>
        </is>
      </c>
      <c r="F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9" t="inlineStr">
        <is>
          <t>period</t>
        </is>
      </c>
      <c r="B1" s="549" t="inlineStr">
        <is>
          <t>topic</t>
        </is>
      </c>
      <c r="C1" s="549" t="inlineStr">
        <is>
          <t>note</t>
        </is>
      </c>
      <c r="D1" s="549" t="inlineStr">
        <is>
          <t>covenant</t>
        </is>
      </c>
      <c r="E1" s="549" t="inlineStr">
        <is>
          <t>source_ref</t>
        </is>
      </c>
      <c r="F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9" t="inlineStr">
        <is>
          <t>period</t>
        </is>
      </c>
      <c r="B1" s="549" t="inlineStr">
        <is>
          <t>gross_debt</t>
        </is>
      </c>
      <c r="C1" s="549" t="inlineStr">
        <is>
          <t>net_debt</t>
        </is>
      </c>
      <c r="D1" s="549" t="inlineStr">
        <is>
          <t>liquidity</t>
        </is>
      </c>
      <c r="E1" s="549" t="inlineStr">
        <is>
          <t>leverage</t>
        </is>
      </c>
      <c r="F1" s="549" t="inlineStr">
        <is>
          <t>coverage</t>
        </is>
      </c>
      <c r="G1" s="549" t="inlineStr">
        <is>
          <t>source_ref</t>
        </is>
      </c>
      <c r="H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 ht="20" customHeight="1">
      <c r="A1" s="549" t="inlineStr">
        <is>
          <t>period</t>
        </is>
      </c>
      <c r="B1" s="549" t="inlineStr">
        <is>
          <t>metric</t>
        </is>
      </c>
      <c r="C1" s="549" t="inlineStr">
        <is>
          <t>gaap_value</t>
        </is>
      </c>
      <c r="D1" s="549" t="inlineStr">
        <is>
          <t>adjusted_value</t>
        </is>
      </c>
      <c r="E1" s="549" t="inlineStr">
        <is>
          <t>adjustments</t>
        </is>
      </c>
      <c r="F1" s="549" t="inlineStr">
        <is>
          <t>credibility</t>
        </is>
      </c>
      <c r="G1" s="549" t="inlineStr">
        <is>
          <t>source_ref</t>
        </is>
      </c>
      <c r="H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9" t="inlineStr">
        <is>
          <t>period</t>
        </is>
      </c>
      <c r="B1" s="549" t="inlineStr">
        <is>
          <t>metric</t>
        </is>
      </c>
      <c r="C1" s="549" t="inlineStr">
        <is>
          <t>gaap_value</t>
        </is>
      </c>
      <c r="D1" s="549" t="inlineStr">
        <is>
          <t>adjusted_value</t>
        </is>
      </c>
      <c r="E1" s="549" t="inlineStr">
        <is>
          <t>unit</t>
        </is>
      </c>
      <c r="F1" s="549" t="inlineStr">
        <is>
          <t>source_ref</t>
        </is>
      </c>
      <c r="G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9" t="inlineStr">
        <is>
          <t>period</t>
        </is>
      </c>
      <c r="B1" s="549" t="inlineStr">
        <is>
          <t>adjustment</t>
        </is>
      </c>
      <c r="C1" s="549" t="inlineStr">
        <is>
          <t>amount</t>
        </is>
      </c>
      <c r="D1" s="549" t="inlineStr">
        <is>
          <t>tax_treatment</t>
        </is>
      </c>
      <c r="E1" s="549" t="inlineStr">
        <is>
          <t>recurring</t>
        </is>
      </c>
      <c r="F1" s="549" t="inlineStr">
        <is>
          <t>source_ref</t>
        </is>
      </c>
      <c r="G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13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5" customWidth="1" min="13" max="13"/>
    <col width="21" customWidth="1" min="14" max="14"/>
    <col width="18" customWidth="1" min="15" max="15"/>
    <col width="12" customWidth="1" min="16" max="16"/>
    <col width="12" customWidth="1" min="17" max="17"/>
    <col width="12" customWidth="1" min="18" max="18"/>
  </cols>
  <sheetData>
    <row r="1" ht="20" customHeight="1">
      <c r="A1" s="549" t="inlineStr">
        <is>
          <t>scenario_id</t>
        </is>
      </c>
      <c r="B1" s="549" t="inlineStr">
        <is>
          <t>driver_id</t>
        </is>
      </c>
      <c r="C1" s="549" t="inlineStr">
        <is>
          <t>profile_pack_id</t>
        </is>
      </c>
      <c r="D1" s="549" t="inlineStr">
        <is>
          <t>driver_type</t>
        </is>
      </c>
      <c r="E1" s="549" t="inlineStr">
        <is>
          <t>metric</t>
        </is>
      </c>
      <c r="F1" s="549" t="inlineStr">
        <is>
          <t>impact_metric</t>
        </is>
      </c>
      <c r="G1" s="549" t="inlineStr">
        <is>
          <t>value</t>
        </is>
      </c>
      <c r="H1" s="549" t="inlineStr">
        <is>
          <t>unit</t>
        </is>
      </c>
      <c r="I1" s="549" t="inlineStr">
        <is>
          <t>horizon</t>
        </is>
      </c>
      <c r="J1" s="549" t="inlineStr">
        <is>
          <t>dimension_id</t>
        </is>
      </c>
      <c r="K1" s="549" t="inlineStr">
        <is>
          <t>member</t>
        </is>
      </c>
      <c r="L1" s="549" t="inlineStr">
        <is>
          <t>source_classification</t>
        </is>
      </c>
      <c r="M1" s="549" t="inlineStr">
        <is>
          <t>tax_treatment</t>
        </is>
      </c>
      <c r="N1" s="549" t="inlineStr">
        <is>
          <t>cash_classification</t>
        </is>
      </c>
      <c r="O1" s="549" t="inlineStr">
        <is>
          <t>propagation_rule</t>
        </is>
      </c>
      <c r="P1" s="549" t="inlineStr">
        <is>
          <t>status</t>
        </is>
      </c>
      <c r="Q1" s="549" t="inlineStr">
        <is>
          <t>source_ref</t>
        </is>
      </c>
      <c r="R1" s="549" t="inlineStr">
        <is>
          <t>reason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2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49" t="inlineStr">
        <is>
          <t>scenario_id</t>
        </is>
      </c>
      <c r="B1" s="549" t="inlineStr">
        <is>
          <t>adjustment</t>
        </is>
      </c>
      <c r="C1" s="549" t="inlineStr">
        <is>
          <t>pretax_value</t>
        </is>
      </c>
      <c r="D1" s="549" t="inlineStr">
        <is>
          <t>tax_rate</t>
        </is>
      </c>
      <c r="E1" s="549" t="inlineStr">
        <is>
          <t>after_tax_value</t>
        </is>
      </c>
      <c r="F1" s="549" t="inlineStr">
        <is>
          <t>source_ref</t>
        </is>
      </c>
      <c r="G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8" customWidth="1" min="13" max="13"/>
    <col width="12" customWidth="1" min="14" max="14"/>
    <col width="12" customWidth="1" min="15" max="15"/>
    <col width="12" customWidth="1" min="16" max="16"/>
    <col width="17" customWidth="1" min="17" max="17"/>
  </cols>
  <sheetData>
    <row r="1" ht="20" customHeight="1">
      <c r="A1" s="549" t="inlineStr">
        <is>
          <t>scenario_id</t>
        </is>
      </c>
      <c r="B1" s="549" t="inlineStr">
        <is>
          <t>assumption_id</t>
        </is>
      </c>
      <c r="C1" s="549" t="inlineStr">
        <is>
          <t>metric</t>
        </is>
      </c>
      <c r="D1" s="549" t="inlineStr">
        <is>
          <t>value_kind</t>
        </is>
      </c>
      <c r="E1" s="549" t="inlineStr">
        <is>
          <t>value</t>
        </is>
      </c>
      <c r="F1" s="549" t="inlineStr">
        <is>
          <t>low_value</t>
        </is>
      </c>
      <c r="G1" s="549" t="inlineStr">
        <is>
          <t>high_value</t>
        </is>
      </c>
      <c r="H1" s="549" t="inlineStr">
        <is>
          <t>unit</t>
        </is>
      </c>
      <c r="I1" s="549" t="inlineStr">
        <is>
          <t>horizon</t>
        </is>
      </c>
      <c r="J1" s="549" t="inlineStr">
        <is>
          <t>dimension_id</t>
        </is>
      </c>
      <c r="K1" s="549" t="inlineStr">
        <is>
          <t>member</t>
        </is>
      </c>
      <c r="L1" s="549" t="inlineStr">
        <is>
          <t>source_classification</t>
        </is>
      </c>
      <c r="M1" s="549" t="inlineStr">
        <is>
          <t>propagation_rule</t>
        </is>
      </c>
      <c r="N1" s="549" t="inlineStr">
        <is>
          <t>status</t>
        </is>
      </c>
      <c r="O1" s="549" t="inlineStr">
        <is>
          <t>source_ref</t>
        </is>
      </c>
      <c r="P1" s="549" t="inlineStr">
        <is>
          <t>reason</t>
        </is>
      </c>
      <c r="Q1" s="549" t="inlineStr">
        <is>
          <t>profile_pack_id</t>
        </is>
      </c>
    </row>
    <row r="2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9" t="inlineStr">
        <is>
          <t>instrument</t>
        </is>
      </c>
      <c r="B1" s="549" t="inlineStr">
        <is>
          <t>bucket</t>
        </is>
      </c>
      <c r="C1" s="549" t="inlineStr">
        <is>
          <t>amount</t>
        </is>
      </c>
      <c r="D1" s="549" t="inlineStr">
        <is>
          <t>unit</t>
        </is>
      </c>
      <c r="E1" s="549" t="inlineStr">
        <is>
          <t>maturity</t>
        </is>
      </c>
      <c r="F1" s="549" t="inlineStr">
        <is>
          <t>source_ref</t>
        </is>
      </c>
      <c r="G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9" t="inlineStr">
        <is>
          <t>bucket</t>
        </is>
      </c>
      <c r="B1" s="549" t="inlineStr">
        <is>
          <t>amount</t>
        </is>
      </c>
      <c r="C1" s="549" t="inlineStr">
        <is>
          <t>unit</t>
        </is>
      </c>
      <c r="D1" s="549" t="inlineStr">
        <is>
          <t>as_of</t>
        </is>
      </c>
      <c r="E1" s="549" t="inlineStr">
        <is>
          <t>source_ref</t>
        </is>
      </c>
      <c r="F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9" t="inlineStr">
        <is>
          <t>period</t>
        </is>
      </c>
      <c r="B1" s="549" t="inlineStr">
        <is>
          <t>opening</t>
        </is>
      </c>
      <c r="C1" s="549" t="inlineStr">
        <is>
          <t>debt_issued</t>
        </is>
      </c>
      <c r="D1" s="549" t="inlineStr">
        <is>
          <t>debt_repaid</t>
        </is>
      </c>
      <c r="E1" s="549" t="inlineStr">
        <is>
          <t>other</t>
        </is>
      </c>
      <c r="F1" s="549" t="inlineStr">
        <is>
          <t>closing</t>
        </is>
      </c>
      <c r="G1" s="549" t="inlineStr">
        <is>
          <t>source_ref</t>
        </is>
      </c>
      <c r="H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9" t="inlineStr">
        <is>
          <t>period</t>
        </is>
      </c>
      <c r="B1" s="549" t="inlineStr">
        <is>
          <t>instrument</t>
        </is>
      </c>
      <c r="C1" s="549" t="inlineStr">
        <is>
          <t>principal</t>
        </is>
      </c>
      <c r="D1" s="549" t="inlineStr">
        <is>
          <t>coupon</t>
        </is>
      </c>
      <c r="E1" s="549" t="inlineStr">
        <is>
          <t>maturity</t>
        </is>
      </c>
      <c r="F1" s="549" t="inlineStr">
        <is>
          <t>secured</t>
        </is>
      </c>
      <c r="G1" s="549" t="inlineStr">
        <is>
          <t>source_ref</t>
        </is>
      </c>
      <c r="H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</cols>
  <sheetData>
    <row r="1" ht="20" customHeight="1">
      <c r="A1" s="549" t="inlineStr">
        <is>
          <t>scenario_id</t>
        </is>
      </c>
      <c r="B1" s="549" t="inlineStr">
        <is>
          <t>row_driver</t>
        </is>
      </c>
      <c r="C1" s="549" t="inlineStr">
        <is>
          <t>column_driver</t>
        </is>
      </c>
      <c r="D1" s="549" t="inlineStr">
        <is>
          <t>output_metric</t>
        </is>
      </c>
      <c r="E1" s="549" t="inlineStr">
        <is>
          <t>value</t>
        </is>
      </c>
      <c r="F1" s="549" t="inlineStr">
        <is>
          <t>status</t>
        </is>
      </c>
    </row>
    <row r="2">
      <c r="A2">
        <f>"dcf"</f>
        <v/>
      </c>
      <c r="B2" s="501">
        <f>IF('Valuation'!$G$227="","",'Valuation'!$G$227)</f>
        <v/>
      </c>
      <c r="C2" s="501">
        <f>IF('Valuation'!$H$226="","",'Valuation'!$H$226)</f>
        <v/>
      </c>
      <c r="D2" t="inlineStr">
        <is>
          <t>implied_price</t>
        </is>
      </c>
      <c r="E2" s="508">
        <f>IF('Valuation'!$H$227="","",'Valuation'!$H$227)</f>
        <v/>
      </c>
      <c r="F2">
        <f>IF(E2="","unavailable","calculated")</f>
        <v/>
      </c>
    </row>
    <row r="3">
      <c r="A3">
        <f>"dcf"</f>
        <v/>
      </c>
      <c r="B3" s="501">
        <f>IF('Valuation'!$G$227="","",'Valuation'!$G$227)</f>
        <v/>
      </c>
      <c r="C3" s="501">
        <f>IF('Valuation'!$I$226="","",'Valuation'!$I$226)</f>
        <v/>
      </c>
      <c r="D3" t="inlineStr">
        <is>
          <t>implied_price</t>
        </is>
      </c>
      <c r="E3" s="508">
        <f>IF('Valuation'!$I$227="","",'Valuation'!$I$227)</f>
        <v/>
      </c>
      <c r="F3">
        <f>IF(E3="","unavailable","calculated")</f>
        <v/>
      </c>
    </row>
    <row r="4">
      <c r="A4">
        <f>"dcf"</f>
        <v/>
      </c>
      <c r="B4" s="501">
        <f>IF('Valuation'!$G$227="","",'Valuation'!$G$227)</f>
        <v/>
      </c>
      <c r="C4" s="501">
        <f>IF('Valuation'!$J$226="","",'Valuation'!$J$226)</f>
        <v/>
      </c>
      <c r="D4" t="inlineStr">
        <is>
          <t>implied_price</t>
        </is>
      </c>
      <c r="E4" s="508">
        <f>IF('Valuation'!$J$227="","",'Valuation'!$J$227)</f>
        <v/>
      </c>
      <c r="F4">
        <f>IF(E4="","unavailable","calculated")</f>
        <v/>
      </c>
    </row>
    <row r="5">
      <c r="A5">
        <f>"dcf"</f>
        <v/>
      </c>
      <c r="B5" s="501">
        <f>IF('Valuation'!$G$227="","",'Valuation'!$G$227)</f>
        <v/>
      </c>
      <c r="C5" s="501">
        <f>IF('Valuation'!$K$226="","",'Valuation'!$K$226)</f>
        <v/>
      </c>
      <c r="D5" t="inlineStr">
        <is>
          <t>implied_price</t>
        </is>
      </c>
      <c r="E5" s="508">
        <f>IF('Valuation'!$K$227="","",'Valuation'!$K$227)</f>
        <v/>
      </c>
      <c r="F5">
        <f>IF(E5="","unavailable","calculated")</f>
        <v/>
      </c>
    </row>
    <row r="6">
      <c r="A6">
        <f>"dcf"</f>
        <v/>
      </c>
      <c r="B6" s="501">
        <f>IF('Valuation'!$G$227="","",'Valuation'!$G$227)</f>
        <v/>
      </c>
      <c r="C6" s="501">
        <f>IF('Valuation'!$L$226="","",'Valuation'!$L$226)</f>
        <v/>
      </c>
      <c r="D6" t="inlineStr">
        <is>
          <t>implied_price</t>
        </is>
      </c>
      <c r="E6" s="508">
        <f>IF('Valuation'!$L$227="","",'Valuation'!$L$227)</f>
        <v/>
      </c>
      <c r="F6">
        <f>IF(E6="","unavailable","calculated")</f>
        <v/>
      </c>
    </row>
    <row r="7">
      <c r="A7">
        <f>"dcf"</f>
        <v/>
      </c>
      <c r="B7" s="501">
        <f>IF('Valuation'!$G$228="","",'Valuation'!$G$228)</f>
        <v/>
      </c>
      <c r="C7" s="501">
        <f>IF('Valuation'!$H$226="","",'Valuation'!$H$226)</f>
        <v/>
      </c>
      <c r="D7" t="inlineStr">
        <is>
          <t>implied_price</t>
        </is>
      </c>
      <c r="E7" s="508">
        <f>IF('Valuation'!$H$228="","",'Valuation'!$H$228)</f>
        <v/>
      </c>
      <c r="F7">
        <f>IF(E7="","unavailable","calculated")</f>
        <v/>
      </c>
    </row>
    <row r="8">
      <c r="A8">
        <f>"dcf"</f>
        <v/>
      </c>
      <c r="B8" s="501">
        <f>IF('Valuation'!$G$228="","",'Valuation'!$G$228)</f>
        <v/>
      </c>
      <c r="C8" s="501">
        <f>IF('Valuation'!$I$226="","",'Valuation'!$I$226)</f>
        <v/>
      </c>
      <c r="D8" t="inlineStr">
        <is>
          <t>implied_price</t>
        </is>
      </c>
      <c r="E8" s="508">
        <f>IF('Valuation'!$I$228="","",'Valuation'!$I$228)</f>
        <v/>
      </c>
      <c r="F8">
        <f>IF(E8="","unavailable","calculated")</f>
        <v/>
      </c>
    </row>
    <row r="9">
      <c r="A9">
        <f>"dcf"</f>
        <v/>
      </c>
      <c r="B9" s="501">
        <f>IF('Valuation'!$G$228="","",'Valuation'!$G$228)</f>
        <v/>
      </c>
      <c r="C9" s="501">
        <f>IF('Valuation'!$J$226="","",'Valuation'!$J$226)</f>
        <v/>
      </c>
      <c r="D9" t="inlineStr">
        <is>
          <t>implied_price</t>
        </is>
      </c>
      <c r="E9" s="508">
        <f>IF('Valuation'!$J$228="","",'Valuation'!$J$228)</f>
        <v/>
      </c>
      <c r="F9">
        <f>IF(E9="","unavailable","calculated")</f>
        <v/>
      </c>
    </row>
    <row r="10">
      <c r="A10">
        <f>"dcf"</f>
        <v/>
      </c>
      <c r="B10" s="501">
        <f>IF('Valuation'!$G$228="","",'Valuation'!$G$228)</f>
        <v/>
      </c>
      <c r="C10" s="501">
        <f>IF('Valuation'!$K$226="","",'Valuation'!$K$226)</f>
        <v/>
      </c>
      <c r="D10" t="inlineStr">
        <is>
          <t>implied_price</t>
        </is>
      </c>
      <c r="E10" s="508">
        <f>IF('Valuation'!$K$228="","",'Valuation'!$K$228)</f>
        <v/>
      </c>
      <c r="F10">
        <f>IF(E10="","unavailable","calculated")</f>
        <v/>
      </c>
    </row>
    <row r="11">
      <c r="A11">
        <f>"dcf"</f>
        <v/>
      </c>
      <c r="B11" s="501">
        <f>IF('Valuation'!$G$228="","",'Valuation'!$G$228)</f>
        <v/>
      </c>
      <c r="C11" s="501">
        <f>IF('Valuation'!$L$226="","",'Valuation'!$L$226)</f>
        <v/>
      </c>
      <c r="D11" t="inlineStr">
        <is>
          <t>implied_price</t>
        </is>
      </c>
      <c r="E11" s="508">
        <f>IF('Valuation'!$L$228="","",'Valuation'!$L$228)</f>
        <v/>
      </c>
      <c r="F11">
        <f>IF(E11="","unavailable","calculated")</f>
        <v/>
      </c>
    </row>
    <row r="12">
      <c r="A12">
        <f>"dcf"</f>
        <v/>
      </c>
      <c r="B12" s="501">
        <f>IF('Valuation'!$G$229="","",'Valuation'!$G$229)</f>
        <v/>
      </c>
      <c r="C12" s="501">
        <f>IF('Valuation'!$H$226="","",'Valuation'!$H$226)</f>
        <v/>
      </c>
      <c r="D12" t="inlineStr">
        <is>
          <t>implied_price</t>
        </is>
      </c>
      <c r="E12" s="508">
        <f>IF('Valuation'!$H$229="","",'Valuation'!$H$229)</f>
        <v/>
      </c>
      <c r="F12">
        <f>IF(E12="","unavailable","calculated")</f>
        <v/>
      </c>
    </row>
    <row r="13">
      <c r="A13">
        <f>"dcf"</f>
        <v/>
      </c>
      <c r="B13" s="501">
        <f>IF('Valuation'!$G$229="","",'Valuation'!$G$229)</f>
        <v/>
      </c>
      <c r="C13" s="501">
        <f>IF('Valuation'!$I$226="","",'Valuation'!$I$226)</f>
        <v/>
      </c>
      <c r="D13" t="inlineStr">
        <is>
          <t>implied_price</t>
        </is>
      </c>
      <c r="E13" s="508">
        <f>IF('Valuation'!$I$229="","",'Valuation'!$I$229)</f>
        <v/>
      </c>
      <c r="F13">
        <f>IF(E13="","unavailable","calculated")</f>
        <v/>
      </c>
    </row>
    <row r="14">
      <c r="A14">
        <f>"dcf"</f>
        <v/>
      </c>
      <c r="B14" s="501">
        <f>IF('Valuation'!$G$229="","",'Valuation'!$G$229)</f>
        <v/>
      </c>
      <c r="C14" s="501">
        <f>IF('Valuation'!$J$226="","",'Valuation'!$J$226)</f>
        <v/>
      </c>
      <c r="D14" t="inlineStr">
        <is>
          <t>implied_price</t>
        </is>
      </c>
      <c r="E14" s="508">
        <f>IF('Valuation'!$J$229="","",'Valuation'!$J$229)</f>
        <v/>
      </c>
      <c r="F14">
        <f>IF(E14="","unavailable","calculated")</f>
        <v/>
      </c>
    </row>
    <row r="15">
      <c r="A15">
        <f>"dcf"</f>
        <v/>
      </c>
      <c r="B15" s="501">
        <f>IF('Valuation'!$G$229="","",'Valuation'!$G$229)</f>
        <v/>
      </c>
      <c r="C15" s="501">
        <f>IF('Valuation'!$K$226="","",'Valuation'!$K$226)</f>
        <v/>
      </c>
      <c r="D15" t="inlineStr">
        <is>
          <t>implied_price</t>
        </is>
      </c>
      <c r="E15" s="508">
        <f>IF('Valuation'!$K$229="","",'Valuation'!$K$229)</f>
        <v/>
      </c>
      <c r="F15">
        <f>IF(E15="","unavailable","calculated")</f>
        <v/>
      </c>
    </row>
    <row r="16">
      <c r="A16">
        <f>"dcf"</f>
        <v/>
      </c>
      <c r="B16" s="501">
        <f>IF('Valuation'!$G$229="","",'Valuation'!$G$229)</f>
        <v/>
      </c>
      <c r="C16" s="501">
        <f>IF('Valuation'!$L$226="","",'Valuation'!$L$226)</f>
        <v/>
      </c>
      <c r="D16" t="inlineStr">
        <is>
          <t>implied_price</t>
        </is>
      </c>
      <c r="E16" s="508">
        <f>IF('Valuation'!$L$229="","",'Valuation'!$L$229)</f>
        <v/>
      </c>
      <c r="F16">
        <f>IF(E16="","unavailable","calculated")</f>
        <v/>
      </c>
    </row>
    <row r="17">
      <c r="A17">
        <f>"dcf"</f>
        <v/>
      </c>
      <c r="B17" s="501">
        <f>IF('Valuation'!$G$230="","",'Valuation'!$G$230)</f>
        <v/>
      </c>
      <c r="C17" s="501">
        <f>IF('Valuation'!$H$226="","",'Valuation'!$H$226)</f>
        <v/>
      </c>
      <c r="D17" t="inlineStr">
        <is>
          <t>implied_price</t>
        </is>
      </c>
      <c r="E17" s="508">
        <f>IF('Valuation'!$H$230="","",'Valuation'!$H$230)</f>
        <v/>
      </c>
      <c r="F17">
        <f>IF(E17="","unavailable","calculated")</f>
        <v/>
      </c>
    </row>
    <row r="18">
      <c r="A18">
        <f>"dcf"</f>
        <v/>
      </c>
      <c r="B18" s="501">
        <f>IF('Valuation'!$G$230="","",'Valuation'!$G$230)</f>
        <v/>
      </c>
      <c r="C18" s="501">
        <f>IF('Valuation'!$I$226="","",'Valuation'!$I$226)</f>
        <v/>
      </c>
      <c r="D18" t="inlineStr">
        <is>
          <t>implied_price</t>
        </is>
      </c>
      <c r="E18" s="508">
        <f>IF('Valuation'!$I$230="","",'Valuation'!$I$230)</f>
        <v/>
      </c>
      <c r="F18">
        <f>IF(E18="","unavailable","calculated")</f>
        <v/>
      </c>
    </row>
    <row r="19">
      <c r="A19">
        <f>"dcf"</f>
        <v/>
      </c>
      <c r="B19" s="501">
        <f>IF('Valuation'!$G$230="","",'Valuation'!$G$230)</f>
        <v/>
      </c>
      <c r="C19" s="501">
        <f>IF('Valuation'!$J$226="","",'Valuation'!$J$226)</f>
        <v/>
      </c>
      <c r="D19" t="inlineStr">
        <is>
          <t>implied_price</t>
        </is>
      </c>
      <c r="E19" s="508">
        <f>IF('Valuation'!$J$230="","",'Valuation'!$J$230)</f>
        <v/>
      </c>
      <c r="F19">
        <f>IF(E19="","unavailable","calculated")</f>
        <v/>
      </c>
    </row>
    <row r="20">
      <c r="A20">
        <f>"dcf"</f>
        <v/>
      </c>
      <c r="B20" s="501">
        <f>IF('Valuation'!$G$230="","",'Valuation'!$G$230)</f>
        <v/>
      </c>
      <c r="C20" s="501">
        <f>IF('Valuation'!$K$226="","",'Valuation'!$K$226)</f>
        <v/>
      </c>
      <c r="D20" t="inlineStr">
        <is>
          <t>implied_price</t>
        </is>
      </c>
      <c r="E20" s="508">
        <f>IF('Valuation'!$K$230="","",'Valuation'!$K$230)</f>
        <v/>
      </c>
      <c r="F20">
        <f>IF(E20="","unavailable","calculated")</f>
        <v/>
      </c>
    </row>
    <row r="21">
      <c r="A21">
        <f>"dcf"</f>
        <v/>
      </c>
      <c r="B21" s="501">
        <f>IF('Valuation'!$G$230="","",'Valuation'!$G$230)</f>
        <v/>
      </c>
      <c r="C21" s="501">
        <f>IF('Valuation'!$L$226="","",'Valuation'!$L$226)</f>
        <v/>
      </c>
      <c r="D21" t="inlineStr">
        <is>
          <t>implied_price</t>
        </is>
      </c>
      <c r="E21" s="508">
        <f>IF('Valuation'!$L$230="","",'Valuation'!$L$230)</f>
        <v/>
      </c>
      <c r="F21">
        <f>IF(E21="","unavailable","calculated")</f>
        <v/>
      </c>
    </row>
    <row r="22">
      <c r="A22">
        <f>"dcf"</f>
        <v/>
      </c>
      <c r="B22" s="501">
        <f>IF('Valuation'!$G$231="","",'Valuation'!$G$231)</f>
        <v/>
      </c>
      <c r="C22" s="501">
        <f>IF('Valuation'!$H$226="","",'Valuation'!$H$226)</f>
        <v/>
      </c>
      <c r="D22" t="inlineStr">
        <is>
          <t>implied_price</t>
        </is>
      </c>
      <c r="E22" s="508">
        <f>IF('Valuation'!$H$231="","",'Valuation'!$H$231)</f>
        <v/>
      </c>
      <c r="F22">
        <f>IF(E22="","unavailable","calculated")</f>
        <v/>
      </c>
    </row>
    <row r="23">
      <c r="A23">
        <f>"dcf"</f>
        <v/>
      </c>
      <c r="B23" s="501">
        <f>IF('Valuation'!$G$231="","",'Valuation'!$G$231)</f>
        <v/>
      </c>
      <c r="C23" s="501">
        <f>IF('Valuation'!$I$226="","",'Valuation'!$I$226)</f>
        <v/>
      </c>
      <c r="D23" t="inlineStr">
        <is>
          <t>implied_price</t>
        </is>
      </c>
      <c r="E23" s="508">
        <f>IF('Valuation'!$I$231="","",'Valuation'!$I$231)</f>
        <v/>
      </c>
      <c r="F23">
        <f>IF(E23="","unavailable","calculated")</f>
        <v/>
      </c>
    </row>
    <row r="24">
      <c r="A24">
        <f>"dcf"</f>
        <v/>
      </c>
      <c r="B24" s="501">
        <f>IF('Valuation'!$G$231="","",'Valuation'!$G$231)</f>
        <v/>
      </c>
      <c r="C24" s="501">
        <f>IF('Valuation'!$J$226="","",'Valuation'!$J$226)</f>
        <v/>
      </c>
      <c r="D24" t="inlineStr">
        <is>
          <t>implied_price</t>
        </is>
      </c>
      <c r="E24" s="508">
        <f>IF('Valuation'!$J$231="","",'Valuation'!$J$231)</f>
        <v/>
      </c>
      <c r="F24">
        <f>IF(E24="","unavailable","calculated")</f>
        <v/>
      </c>
    </row>
    <row r="25">
      <c r="A25">
        <f>"dcf"</f>
        <v/>
      </c>
      <c r="B25" s="501">
        <f>IF('Valuation'!$G$231="","",'Valuation'!$G$231)</f>
        <v/>
      </c>
      <c r="C25" s="501">
        <f>IF('Valuation'!$K$226="","",'Valuation'!$K$226)</f>
        <v/>
      </c>
      <c r="D25" t="inlineStr">
        <is>
          <t>implied_price</t>
        </is>
      </c>
      <c r="E25" s="508">
        <f>IF('Valuation'!$K$231="","",'Valuation'!$K$231)</f>
        <v/>
      </c>
      <c r="F25">
        <f>IF(E25="","unavailable","calculated")</f>
        <v/>
      </c>
    </row>
    <row r="26">
      <c r="A26">
        <f>"dcf"</f>
        <v/>
      </c>
      <c r="B26" s="501">
        <f>IF('Valuation'!$G$231="","",'Valuation'!$G$231)</f>
        <v/>
      </c>
      <c r="C26" s="501">
        <f>IF('Valuation'!$L$226="","",'Valuation'!$L$226)</f>
        <v/>
      </c>
      <c r="D26" t="inlineStr">
        <is>
          <t>implied_price</t>
        </is>
      </c>
      <c r="E26" s="508">
        <f>IF('Valuation'!$L$231="","",'Valuation'!$L$231)</f>
        <v/>
      </c>
      <c r="F26">
        <f>IF(E26="","unavailable","calculated")</f>
        <v/>
      </c>
    </row>
    <row r="27">
      <c r="A27">
        <f>"dcf"</f>
        <v/>
      </c>
      <c r="B27" s="501">
        <f>IF('Valuation'!$G$232="","",'Valuation'!$G$232)</f>
        <v/>
      </c>
      <c r="C27" s="501">
        <f>IF('Valuation'!$H$226="","",'Valuation'!$H$226)</f>
        <v/>
      </c>
      <c r="D27" t="inlineStr">
        <is>
          <t>implied_price</t>
        </is>
      </c>
      <c r="E27" s="508">
        <f>IF('Valuation'!$H$232="","",'Valuation'!$H$232)</f>
        <v/>
      </c>
      <c r="F27">
        <f>IF(E27="","unavailable","calculated")</f>
        <v/>
      </c>
    </row>
    <row r="28">
      <c r="A28">
        <f>"dcf"</f>
        <v/>
      </c>
      <c r="B28" s="501">
        <f>IF('Valuation'!$G$232="","",'Valuation'!$G$232)</f>
        <v/>
      </c>
      <c r="C28" s="501">
        <f>IF('Valuation'!$I$226="","",'Valuation'!$I$226)</f>
        <v/>
      </c>
      <c r="D28" t="inlineStr">
        <is>
          <t>implied_price</t>
        </is>
      </c>
      <c r="E28" s="508">
        <f>IF('Valuation'!$I$232="","",'Valuation'!$I$232)</f>
        <v/>
      </c>
      <c r="F28">
        <f>IF(E28="","unavailable","calculated")</f>
        <v/>
      </c>
    </row>
    <row r="29">
      <c r="A29">
        <f>"dcf"</f>
        <v/>
      </c>
      <c r="B29" s="501">
        <f>IF('Valuation'!$G$232="","",'Valuation'!$G$232)</f>
        <v/>
      </c>
      <c r="C29" s="501">
        <f>IF('Valuation'!$J$226="","",'Valuation'!$J$226)</f>
        <v/>
      </c>
      <c r="D29" t="inlineStr">
        <is>
          <t>implied_price</t>
        </is>
      </c>
      <c r="E29" s="508">
        <f>IF('Valuation'!$J$232="","",'Valuation'!$J$232)</f>
        <v/>
      </c>
      <c r="F29">
        <f>IF(E29="","unavailable","calculated")</f>
        <v/>
      </c>
    </row>
    <row r="30">
      <c r="A30">
        <f>"dcf"</f>
        <v/>
      </c>
      <c r="B30" s="501">
        <f>IF('Valuation'!$G$232="","",'Valuation'!$G$232)</f>
        <v/>
      </c>
      <c r="C30" s="501">
        <f>IF('Valuation'!$K$226="","",'Valuation'!$K$226)</f>
        <v/>
      </c>
      <c r="D30" t="inlineStr">
        <is>
          <t>implied_price</t>
        </is>
      </c>
      <c r="E30" s="508">
        <f>IF('Valuation'!$K$232="","",'Valuation'!$K$232)</f>
        <v/>
      </c>
      <c r="F30">
        <f>IF(E30="","unavailable","calculated")</f>
        <v/>
      </c>
    </row>
    <row r="31">
      <c r="A31">
        <f>"dcf"</f>
        <v/>
      </c>
      <c r="B31" s="501">
        <f>IF('Valuation'!$G$232="","",'Valuation'!$G$232)</f>
        <v/>
      </c>
      <c r="C31" s="501">
        <f>IF('Valuation'!$L$226="","",'Valuation'!$L$226)</f>
        <v/>
      </c>
      <c r="D31" t="inlineStr">
        <is>
          <t>implied_price</t>
        </is>
      </c>
      <c r="E31" s="508">
        <f>IF('Valuation'!$L$232="","",'Valuation'!$L$232)</f>
        <v/>
      </c>
      <c r="F31">
        <f>IF(E31="","unavailable","calculated")</f>
        <v/>
      </c>
    </row>
    <row r="32">
      <c r="A32">
        <f>"dcf"</f>
        <v/>
      </c>
      <c r="B32" s="501">
        <f>IF('Valuation'!$G$233="","",'Valuation'!$G$233)</f>
        <v/>
      </c>
      <c r="C32" s="501">
        <f>IF('Valuation'!$H$226="","",'Valuation'!$H$226)</f>
        <v/>
      </c>
      <c r="D32" t="inlineStr">
        <is>
          <t>implied_price</t>
        </is>
      </c>
      <c r="E32" s="508">
        <f>IF('Valuation'!$H$233="","",'Valuation'!$H$233)</f>
        <v/>
      </c>
      <c r="F32">
        <f>IF(E32="","unavailable","calculated")</f>
        <v/>
      </c>
    </row>
    <row r="33">
      <c r="A33">
        <f>"dcf"</f>
        <v/>
      </c>
      <c r="B33" s="501">
        <f>IF('Valuation'!$G$233="","",'Valuation'!$G$233)</f>
        <v/>
      </c>
      <c r="C33" s="501">
        <f>IF('Valuation'!$I$226="","",'Valuation'!$I$226)</f>
        <v/>
      </c>
      <c r="D33" t="inlineStr">
        <is>
          <t>implied_price</t>
        </is>
      </c>
      <c r="E33" s="508">
        <f>IF('Valuation'!$I$233="","",'Valuation'!$I$233)</f>
        <v/>
      </c>
      <c r="F33">
        <f>IF(E33="","unavailable","calculated")</f>
        <v/>
      </c>
    </row>
    <row r="34">
      <c r="A34">
        <f>"dcf"</f>
        <v/>
      </c>
      <c r="B34" s="501">
        <f>IF('Valuation'!$G$233="","",'Valuation'!$G$233)</f>
        <v/>
      </c>
      <c r="C34" s="501">
        <f>IF('Valuation'!$J$226="","",'Valuation'!$J$226)</f>
        <v/>
      </c>
      <c r="D34" t="inlineStr">
        <is>
          <t>implied_price</t>
        </is>
      </c>
      <c r="E34" s="508">
        <f>IF('Valuation'!$J$233="","",'Valuation'!$J$233)</f>
        <v/>
      </c>
      <c r="F34">
        <f>IF(E34="","unavailable","calculated")</f>
        <v/>
      </c>
    </row>
    <row r="35">
      <c r="A35">
        <f>"dcf"</f>
        <v/>
      </c>
      <c r="B35" s="501">
        <f>IF('Valuation'!$G$233="","",'Valuation'!$G$233)</f>
        <v/>
      </c>
      <c r="C35" s="501">
        <f>IF('Valuation'!$K$226="","",'Valuation'!$K$226)</f>
        <v/>
      </c>
      <c r="D35" t="inlineStr">
        <is>
          <t>implied_price</t>
        </is>
      </c>
      <c r="E35" s="508">
        <f>IF('Valuation'!$K$233="","",'Valuation'!$K$233)</f>
        <v/>
      </c>
      <c r="F35">
        <f>IF(E35="","unavailable","calculated")</f>
        <v/>
      </c>
    </row>
    <row r="36">
      <c r="A36">
        <f>"dcf"</f>
        <v/>
      </c>
      <c r="B36" s="501">
        <f>IF('Valuation'!$G$233="","",'Valuation'!$G$233)</f>
        <v/>
      </c>
      <c r="C36" s="501">
        <f>IF('Valuation'!$L$226="","",'Valuation'!$L$226)</f>
        <v/>
      </c>
      <c r="D36" t="inlineStr">
        <is>
          <t>implied_price</t>
        </is>
      </c>
      <c r="E36" s="508">
        <f>IF('Valuation'!$L$233="","",'Valuation'!$L$233)</f>
        <v/>
      </c>
      <c r="F36">
        <f>IF(E36="","unavailable","calculated")</f>
        <v/>
      </c>
    </row>
    <row r="37">
      <c r="A37">
        <f>"dcf"</f>
        <v/>
      </c>
      <c r="B37" s="501">
        <f>IF('Valuation'!$G$234="","",'Valuation'!$G$234)</f>
        <v/>
      </c>
      <c r="C37" s="501">
        <f>IF('Valuation'!$H$226="","",'Valuation'!$H$226)</f>
        <v/>
      </c>
      <c r="D37" t="inlineStr">
        <is>
          <t>implied_price</t>
        </is>
      </c>
      <c r="E37" s="508">
        <f>IF('Valuation'!$H$234="","",'Valuation'!$H$234)</f>
        <v/>
      </c>
      <c r="F37">
        <f>IF(E37="","unavailable","calculated")</f>
        <v/>
      </c>
    </row>
    <row r="38">
      <c r="A38">
        <f>"dcf"</f>
        <v/>
      </c>
      <c r="B38" s="501">
        <f>IF('Valuation'!$G$234="","",'Valuation'!$G$234)</f>
        <v/>
      </c>
      <c r="C38" s="501">
        <f>IF('Valuation'!$I$226="","",'Valuation'!$I$226)</f>
        <v/>
      </c>
      <c r="D38" t="inlineStr">
        <is>
          <t>implied_price</t>
        </is>
      </c>
      <c r="E38" s="508">
        <f>IF('Valuation'!$I$234="","",'Valuation'!$I$234)</f>
        <v/>
      </c>
      <c r="F38">
        <f>IF(E38="","unavailable","calculated")</f>
        <v/>
      </c>
    </row>
    <row r="39">
      <c r="A39">
        <f>"dcf"</f>
        <v/>
      </c>
      <c r="B39" s="501">
        <f>IF('Valuation'!$G$234="","",'Valuation'!$G$234)</f>
        <v/>
      </c>
      <c r="C39" s="501">
        <f>IF('Valuation'!$J$226="","",'Valuation'!$J$226)</f>
        <v/>
      </c>
      <c r="D39" t="inlineStr">
        <is>
          <t>implied_price</t>
        </is>
      </c>
      <c r="E39" s="508">
        <f>IF('Valuation'!$J$234="","",'Valuation'!$J$234)</f>
        <v/>
      </c>
      <c r="F39">
        <f>IF(E39="","unavailable","calculated")</f>
        <v/>
      </c>
    </row>
    <row r="40">
      <c r="A40">
        <f>"dcf"</f>
        <v/>
      </c>
      <c r="B40" s="501">
        <f>IF('Valuation'!$G$234="","",'Valuation'!$G$234)</f>
        <v/>
      </c>
      <c r="C40" s="501">
        <f>IF('Valuation'!$K$226="","",'Valuation'!$K$226)</f>
        <v/>
      </c>
      <c r="D40" t="inlineStr">
        <is>
          <t>implied_price</t>
        </is>
      </c>
      <c r="E40" s="508">
        <f>IF('Valuation'!$K$234="","",'Valuation'!$K$234)</f>
        <v/>
      </c>
      <c r="F40">
        <f>IF(E40="","unavailable","calculated")</f>
        <v/>
      </c>
    </row>
    <row r="41">
      <c r="A41">
        <f>"dcf"</f>
        <v/>
      </c>
      <c r="B41" s="501">
        <f>IF('Valuation'!$G$234="","",'Valuation'!$G$234)</f>
        <v/>
      </c>
      <c r="C41" s="501">
        <f>IF('Valuation'!$L$226="","",'Valuation'!$L$226)</f>
        <v/>
      </c>
      <c r="D41" t="inlineStr">
        <is>
          <t>implied_price</t>
        </is>
      </c>
      <c r="E41" s="508">
        <f>IF('Valuation'!$L$234="","",'Valuation'!$L$234)</f>
        <v/>
      </c>
      <c r="F41">
        <f>IF(E41="","unavailable","calculated")</f>
        <v/>
      </c>
    </row>
    <row r="42">
      <c r="A42">
        <f>IF(ScenarioProfile="","",ScenarioProfile)</f>
        <v/>
      </c>
      <c r="B42">
        <f>IF(ScenarioProfile="","","selected_scenario")</f>
        <v/>
      </c>
      <c r="C42">
        <f>IF(AsOfQuarter="","",AsOfQuarter)</f>
        <v/>
      </c>
      <c r="D42" t="inlineStr">
        <is>
          <t>scenario_implied_price</t>
        </is>
      </c>
      <c r="E42" s="508">
        <f>IF(ScenarioImpliedPrice="","",ScenarioImpliedPrice)</f>
        <v/>
      </c>
      <c r="F42">
        <f>IF(E42="","unavailable","calculated")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9" t="inlineStr">
        <is>
          <t>promise_key</t>
        </is>
      </c>
      <c r="B1" s="549" t="inlineStr">
        <is>
          <t>metric</t>
        </is>
      </c>
      <c r="C1" s="549" t="inlineStr">
        <is>
          <t>horizon</t>
        </is>
      </c>
      <c r="D1" s="549" t="inlineStr">
        <is>
          <t>stage</t>
        </is>
      </c>
      <c r="E1" s="549" t="inlineStr">
        <is>
          <t>value</t>
        </is>
      </c>
      <c r="F1" s="549" t="inlineStr">
        <is>
          <t>actual</t>
        </is>
      </c>
      <c r="G1" s="549" t="inlineStr">
        <is>
          <t>status</t>
        </is>
      </c>
      <c r="H1" s="549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0" customHeight="1">
      <c r="A1" s="549" t="inlineStr">
        <is>
          <t>period</t>
        </is>
      </c>
      <c r="B1" s="549" t="inlineStr">
        <is>
          <t>adjustment</t>
        </is>
      </c>
      <c r="C1" s="549" t="inlineStr">
        <is>
          <t>amount</t>
        </is>
      </c>
      <c r="D1" s="549" t="inlineStr">
        <is>
          <t>unit</t>
        </is>
      </c>
      <c r="E1" s="549" t="inlineStr">
        <is>
          <t>recurring</t>
        </is>
      </c>
      <c r="F1" s="549" t="inlineStr">
        <is>
          <t>cash_noncash</t>
        </is>
      </c>
      <c r="G1" s="549" t="inlineStr">
        <is>
          <t>tax_treatment</t>
        </is>
      </c>
      <c r="H1" s="549" t="inlineStr">
        <is>
          <t>source_ref</t>
        </is>
      </c>
      <c r="I1" s="549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 ht="20" customHeight="1">
      <c r="A1" s="549" t="inlineStr">
        <is>
          <t>source_ref</t>
        </is>
      </c>
      <c r="B1" s="549" t="inlineStr">
        <is>
          <t>page</t>
        </is>
      </c>
      <c r="C1" s="549" t="inlineStr">
        <is>
          <t>row_key</t>
        </is>
      </c>
      <c r="D1" s="549" t="inlineStr">
        <is>
          <t>text</t>
        </is>
      </c>
      <c r="E1" s="549" t="inlineStr">
        <is>
          <t>parser_status</t>
        </is>
      </c>
      <c r="F1" s="549" t="inlineStr">
        <is>
          <t>review_status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