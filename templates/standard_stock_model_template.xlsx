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QA_Log" sheetId="8" state="visible" r:id="rId8"/>
    <sheet xmlns:r="http://schemas.openxmlformats.org/officeDocument/2006/relationships" name="Needs_Review" sheetId="9" state="visible" r:id="rId9"/>
    <sheet xmlns:r="http://schemas.openxmlformats.org/officeDocument/2006/relationships" name="QA_Checks" sheetId="10" state="visible" r:id="rId10"/>
    <sheet xmlns:r="http://schemas.openxmlformats.org/officeDocument/2006/relationships" name="REPORT_IS_Q" sheetId="11" state="hidden" r:id="rId11"/>
    <sheet xmlns:r="http://schemas.openxmlformats.org/officeDocument/2006/relationships" name="REPORT_BS_Q" sheetId="12" state="hidden" r:id="rId12"/>
    <sheet xmlns:r="http://schemas.openxmlformats.org/officeDocument/2006/relationships" name="REPORT_CF_Q" sheetId="13" state="hidden" r:id="rId13"/>
    <sheet xmlns:r="http://schemas.openxmlformats.org/officeDocument/2006/relationships" name="Quarter_Notes" sheetId="14" state="hidden" r:id="rId14"/>
    <sheet xmlns:r="http://schemas.openxmlformats.org/officeDocument/2006/relationships" name="Quarter_Notes_Evidence" sheetId="15" state="hidden" r:id="rId15"/>
    <sheet xmlns:r="http://schemas.openxmlformats.org/officeDocument/2006/relationships" name="Quarter_Narrative_Data" sheetId="16" state="hidden" r:id="rId16"/>
    <sheet xmlns:r="http://schemas.openxmlformats.org/officeDocument/2006/relationships" name="Valuation_Summary" sheetId="17" state="hidden" r:id="rId17"/>
    <sheet xmlns:r="http://schemas.openxmlformats.org/officeDocument/2006/relationships" name="Promise_Evidence" sheetId="18" state="hidden" r:id="rId18"/>
    <sheet xmlns:r="http://schemas.openxmlformats.org/officeDocument/2006/relationships" name="Promise_Progress" sheetId="19" state="hidden" r:id="rId19"/>
    <sheet xmlns:r="http://schemas.openxmlformats.org/officeDocument/2006/relationships" name="Guidance_Normalized" sheetId="20" state="hidden" r:id="rId20"/>
    <sheet xmlns:r="http://schemas.openxmlformats.org/officeDocument/2006/relationships" name="History_Q" sheetId="21" state="hidden" r:id="rId21"/>
    <sheet xmlns:r="http://schemas.openxmlformats.org/officeDocument/2006/relationships" name="operating_drivers_raw" sheetId="22" state="hidden" r:id="rId22"/>
    <sheet xmlns:r="http://schemas.openxmlformats.org/officeDocument/2006/relationships" name="DATA_Period_Index" sheetId="23" state="hidden" r:id="rId23"/>
    <sheet xmlns:r="http://schemas.openxmlformats.org/officeDocument/2006/relationships" name="Hidden_Value_Flags" sheetId="24" state="hidden" r:id="rId24"/>
    <sheet xmlns:r="http://schemas.openxmlformats.org/officeDocument/2006/relationships" name="Hidden_Value_Audit" sheetId="25" state="hidden" r:id="rId25"/>
    <sheet xmlns:r="http://schemas.openxmlformats.org/officeDocument/2006/relationships" name="Hidden_Value_Recompute" sheetId="26" state="hidden" r:id="rId26"/>
    <sheet xmlns:r="http://schemas.openxmlformats.org/officeDocument/2006/relationships" name="Hidden_Value_Base" sheetId="27" state="hidden" r:id="rId27"/>
    <sheet xmlns:r="http://schemas.openxmlformats.org/officeDocument/2006/relationships" name="Revolver_History" sheetId="28" state="hidden" r:id="rId28"/>
    <sheet xmlns:r="http://schemas.openxmlformats.org/officeDocument/2006/relationships" name="Debt_Tranches_Latest" sheetId="29" state="hidden" r:id="rId29"/>
    <sheet xmlns:r="http://schemas.openxmlformats.org/officeDocument/2006/relationships" name="Debt_Profile" sheetId="30" state="hidden" r:id="rId30"/>
    <sheet xmlns:r="http://schemas.openxmlformats.org/officeDocument/2006/relationships" name="Debt_Credit_Notes" sheetId="31" state="hidden" r:id="rId31"/>
    <sheet xmlns:r="http://schemas.openxmlformats.org/officeDocument/2006/relationships" name="Leverage_Liquidity" sheetId="32" state="hidden" r:id="rId32"/>
    <sheet xmlns:r="http://schemas.openxmlformats.org/officeDocument/2006/relationships" name="NonGAAP_Credibility" sheetId="33" state="hidden" r:id="rId33"/>
    <sheet xmlns:r="http://schemas.openxmlformats.org/officeDocument/2006/relationships" name="Adjusted_Metrics" sheetId="34" state="hidden" r:id="rId34"/>
    <sheet xmlns:r="http://schemas.openxmlformats.org/officeDocument/2006/relationships" name="NonGAAP_Bridge" sheetId="35" state="hidden" r:id="rId35"/>
    <sheet xmlns:r="http://schemas.openxmlformats.org/officeDocument/2006/relationships" name="{ticker}_Investment_Case_Data" sheetId="36" state="hidden" r:id="rId36"/>
    <sheet xmlns:r="http://schemas.openxmlformats.org/officeDocument/2006/relationships" name="Scenario_Bridge_Tax_Treatment" sheetId="37" state="hidden" r:id="rId37"/>
    <sheet xmlns:r="http://schemas.openxmlformats.org/officeDocument/2006/relationships" name="Scenario_Driver_Assumptions" sheetId="38" state="hidden" r:id="rId38"/>
    <sheet xmlns:r="http://schemas.openxmlformats.org/officeDocument/2006/relationships" name="Debt_Maturity_Ladder" sheetId="39" state="hidden" r:id="rId39"/>
    <sheet xmlns:r="http://schemas.openxmlformats.org/officeDocument/2006/relationships" name="Debt_Buckets" sheetId="40" state="hidden" r:id="rId40"/>
    <sheet xmlns:r="http://schemas.openxmlformats.org/officeDocument/2006/relationships" name="Debt_Recon" sheetId="41" state="hidden" r:id="rId41"/>
    <sheet xmlns:r="http://schemas.openxmlformats.org/officeDocument/2006/relationships" name="Debt_Tranches_Q" sheetId="42" state="hidden" r:id="rId42"/>
    <sheet xmlns:r="http://schemas.openxmlformats.org/officeDocument/2006/relationships" name="Valuation_Grid" sheetId="43" state="hidden" r:id="rId43"/>
    <sheet xmlns:r="http://schemas.openxmlformats.org/officeDocument/2006/relationships" name="Promise_Tracker" sheetId="44" state="hidden" r:id="rId44"/>
    <sheet xmlns:r="http://schemas.openxmlformats.org/officeDocument/2006/relationships" name="Adjustments_Breakdown" sheetId="45" state="hidden" r:id="rId45"/>
    <sheet xmlns:r="http://schemas.openxmlformats.org/officeDocument/2006/relationships" name="OCR_Text_Log" sheetId="46" state="hidden" r:id="rId46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FCF_TTM_Pos_Years">'Hidden_Value_Base'!$BE$50</definedName>
    <definedName name="Pos_FCF_Ratio">'Hidden_Value_Base'!$BD$50</definedName>
    <definedName name="Interest_Coverage">'Hidden_Value_Base'!$AQ$50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rows">'Valuation'!$O$9</definedName>
    <definedName name="valuation_guidance_status_rows">'Valuation'!$AA$9</definedName>
    <definedName name="bs_annual_financial_period_headers">'BS_Segments'!$B$82</definedName>
    <definedName name="bs_annual_financial_revenue_series">'BS_Segments'!$B$83</definedName>
    <definedName name="bs_annual_financial_gross_profit_series">'BS_Segments'!$B$84</definedName>
    <definedName name="bs_annual_financial_operating_income_series">'BS_Segments'!$B$86</definedName>
    <definedName name="bs_annual_financial_base_ebitda_series">'BS_Segments'!$B$88</definedName>
    <definedName name="bs_annual_financial_adjusted_ebitda_series">'BS_Segments'!$B$90</definedName>
    <definedName name="bs_annual_financial_net_income_series">'BS_Segments'!$B$92</definedName>
    <definedName name="bs_annual_financial_operating_cash_flow_series">'BS_Segments'!$B$94</definedName>
    <definedName name="bs_annual_financial_capital_expenditures_series">'BS_Segments'!$B$95</definedName>
    <definedName name="bs_annual_financial_shares_outstanding_series">'BS_Segments'!$B$98</definedName>
    <definedName name="bs_annual_financial_eps_series">'BS_Segments'!$B$99</definedName>
    <definedName name="bs_annual_financial_total_equity_series">'BS_Segments'!$B$100</definedName>
    <definedName name="bs_annual_financial_cash_series">'BS_Segments'!$B$102</definedName>
    <definedName name="bs_annual_financial_debt_core_series">'BS_Segments'!$B$103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od_current_actual_read">'Operating_Drivers'!$B$13</definedName>
    <definedName name="od_current_actual_use">'Operating_Drivers'!$H$13</definedName>
    <definedName name="od_current_guidance_read">'Operating_Drivers'!$B$14</definedName>
    <definedName name="od_current_guidance_use">'Operating_Drivers'!$H$14</definedName>
    <definedName name="od_margin_bridge_read">'Operating_Drivers'!$B$15</definedName>
    <definedName name="od_margin_bridge_use">'Operating_Drivers'!$H$15</definedName>
    <definedName name="ic_investment_summary">'{ticker}_Investment_Case'!$B$5</definedName>
    <definedName name="ic_key_debate">'{ticker}_Investment_Case'!$B$7</definedName>
    <definedName name="ic_why_it_can_work">'{ticker}_Investment_Case'!$B$6</definedName>
    <definedName name="ic_upside_factors">'{ticker}_Investment_Case'!$B$8</definedName>
    <definedName name="ic_downside_factors">'{ticker}_Investment_Case'!$B$9</definedName>
    <definedName name="ic_watch_next">'{ticker}_Investment_Case'!$B$10</definedName>
    <definedName name="ic_current_stance">'{ticker}_Investment_Case'!$B$11</definedName>
    <definedName name="ic_bull_base_bear_rows">'Scenario_Driver_Assumptions'!$A$2</definedName>
    <definedName name="ic_scenario_bridge_rows">'{ticker}_Investment_Case_Data'!$A$2</definedName>
    <definedName name="qn_quarter_note_rows">'Quarter_Notes_UI'!$A$10</definedName>
    <definedName name="qn_quarter_summary_rows">'Quarter_Notes_UI'!$B$3</definedName>
    <definedName name="qn_quarter_summary_what_changed">'Quarter_Notes_UI'!$B$4</definedName>
    <definedName name="qn_quarter_summary_watch_next">'Quarter_Notes_UI'!$B$5</definedName>
    <definedName name="qn_quarter_summary_key_caveat">'Quarter_Notes_UI'!$B$6</definedName>
    <definedName name="pp_progress_fy2025_rows">'Promise_Progress_UI'!$A$13</definedName>
    <definedName name="pp_progress_fy2024_rows">'Promise_Progress_UI'!$A$24</definedName>
    <definedName name="pp_current_secondary_guidance_rows">'Promise_Progress_UI'!$A$39</definedName>
    <definedName name="pp_guidance_timeline_rows">'Promise_Progress_UI'!$A$61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operating_cash_flow_ttm">'Valuation'!$D$202</definedName>
    <definedName name="valuation_input_revenue_ttm">'Valuation'!$D$203</definedName>
    <definedName name="valuation_input_eps_ttm">'Valuation'!$D$204</definedName>
    <definedName name="valuation_input_adjusted_eps_ttm">'Valuation'!$D$205</definedName>
    <definedName name="valuation_input_book_value_per_share">'Valuation'!$D$206</definedName>
    <definedName name="valuation_input_tangible_book_value_per_share">'Valuation'!$D$207</definedName>
    <definedName name="valuation_input_capex_ttm">'Valuation'!$D$211</definedName>
    <definedName name="valuation_input_interest_paid_ttm">'Valuation'!$D$212</definedName>
    <definedName name="valuation_input_net_income_ttm">'Valuation'!$D$217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  <definedName name="ResolvedRevenueGrowth_Bear">'Valuation_Summary'!$H$2</definedName>
    <definedName name="ResolvedRevenueGrowth_Base">'Valuation_Summary'!$I$2</definedName>
    <definedName name="ResolvedRevenueGrowth_Bull">'Valuation_Summary'!$J$2</definedName>
    <definedName name="ResolvedRevenueGrowth_Custom">'Valuation_Summary'!$K$2</definedName>
    <definedName name="NetIncome_TTM">'Valuation'!$D$217</definedName>
    <definedName name="Target_EV_Revenue">'Valuation'!$D$218</definedName>
    <definedName name="Target_PE">'Valuation'!$D$219</definedName>
    <definedName name="DCF_Horizon">'Valuation'!$D$220</definedName>
    <definedName name="DCF_FCFF">'Valuation'!$J$218</definedName>
    <definedName name="DCF_Growth">'Valuation'!$J$219</definedName>
    <definedName name="DCF_TerminalGrowth">'Valuation'!$J$220</definedName>
    <definedName name="DCF_WACC">'Valuation'!$J$221</definedName>
    <definedName name="DCF_EV">'Valuation'!$J$222</definedName>
    <definedName name="DCF_ImpliedPrice">'Valuation'!$J$223</definedName>
    <definedName name="ScenarioProfile">'Valuation'!$E$236</definedName>
    <definedName name="ScenarioHorizon">'Valuation'!$J$236</definedName>
    <definedName name="ScenarioGrowth">'Valuation'!$E$237</definedName>
    <definedName name="ScenarioBaseMargin">'Valuation'!$E$238</definedName>
    <definedName name="ScenarioAdjustedMargin">'Valuation'!$E$239</definedName>
    <definedName name="ScenarioTaxRate">'Valuation'!$E$240</definedName>
    <definedName name="ScenarioPreTaxBridge">'Valuation'!$D$247</definedName>
    <definedName name="ScenarioTaxTreatment">'Valuation'!$E$247</definedName>
    <definedName name="ScenarioCashInterestChange">'Valuation'!$D$248</definedName>
    <definedName name="ScenarioInterestTaxTreatment">'Valuation'!$E$248</definedName>
    <definedName name="ScenarioCapexChange">'Valuation'!$D$249</definedName>
    <definedName name="ScenarioWCAdjustment">'Valuation'!$D$250</definedName>
    <definedName name="ScenarioBuybackCash">'Valuation'!$D$253</definedName>
    <definedName name="ScenarioBuybackPrice">'Valuation'!$D$254</definedName>
    <definedName name="ScenarioShareIssuance">'Valuation'!$D$255</definedName>
    <definedName name="ScenarioDebtPaydown">'Valuation'!$D$256</definedName>
    <definedName name="ScenarioRevenue">'Valuation'!$E$241</definedName>
    <definedName name="ScenarioBaseEBITDA">'Valuation'!$E$242</definedName>
    <definedName name="ScenarioAdjustedEBITDA">'Valuation'!$E$243</definedName>
    <definedName name="ScenarioFCF">'Valuation'!$E$244</definedName>
    <definedName name="ScenarioShares">'Valuation'!$E$259</definedName>
    <definedName name="ScenarioNetDebt">'Valuation'!$E$260</definedName>
    <definedName name="ScenarioEPS">'Valuation'!$E$261</definedName>
    <definedName name="ScenarioEV">'Valuation'!$J$259</definedName>
    <definedName name="ScenarioEquityValue">'Valuation'!$J$260</definedName>
    <definedName name="ScenarioImpliedPrice">'Valuation'!$J$261</definedName>
    <definedName name="ScenarioUpside">'Valuation'!$N$259</definedName>
    <definedName name="ScenarioPE">'Valuation'!$N$260</definedName>
    <definedName name="ScenarioFCFYield">'Valuation'!$N$261</definedName>
    <definedName name="ScenarioEVRevenue">'Valuation'!$R$259</definedName>
    <definedName name="ScenarioEVBaseEBITDA">'Valuation'!$R$260</definedName>
    <definedName name="ScenarioEVAdjustedEBITDA">'Valuation'!$R$261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0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[Red]-#,##0.0"/>
    <numFmt numFmtId="178" formatCode="0.0%;[Red]-0.0%"/>
    <numFmt numFmtId="179" formatCode="0.00x;[Red]-0.00x"/>
    <numFmt numFmtId="180" formatCode="0.000;[Red]-0.000"/>
    <numFmt numFmtId="181" formatCode="$0.00;[Red]-$0.00"/>
    <numFmt numFmtId="182" formatCode="$#,##0.00;[Red]-$#,##0.00"/>
    <numFmt numFmtId="183" formatCode="#,##0.000;[Red]-#,##0.000"/>
  </numFmts>
  <fonts count="47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  <font>
      <name val="Aptos"/>
      <b val="1"/>
      <color rgb="00FFFFFF"/>
      <sz val="10"/>
    </font>
  </fonts>
  <fills count="33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5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0" fontId="0" fillId="3" borderId="0" applyAlignment="1" pivotButton="0" quotePrefix="0" xfId="0">
      <alignment horizontal="center" vertical="center"/>
    </xf>
    <xf numFmtId="0" fontId="7" fillId="11" borderId="2" applyAlignment="1" applyProtection="1" pivotButton="0" quotePrefix="0" xfId="0">
      <alignment horizontal="center"/>
      <protection locked="0" hidden="0"/>
    </xf>
    <xf numFmtId="0" fontId="7" fillId="11" borderId="25" applyAlignment="1" applyProtection="1" pivotButton="0" quotePrefix="0" xfId="0">
      <alignment horizontal="center"/>
      <protection locked="0" hidden="0"/>
    </xf>
    <xf numFmtId="0" fontId="12" fillId="5" borderId="19" applyAlignment="1" pivotButton="0" quotePrefix="0" xfId="0">
      <alignment horizontal="left" vertical="center" wrapText="1"/>
    </xf>
    <xf numFmtId="165" fontId="17" fillId="0" borderId="0" applyProtection="1" pivotButton="0" quotePrefix="0" xfId="0">
      <protection locked="0" hidden="0"/>
    </xf>
    <xf numFmtId="177" fontId="17" fillId="0" borderId="0" pivotButton="0" quotePrefix="0" xfId="0"/>
    <xf numFmtId="178" fontId="17" fillId="0" borderId="0" pivotButton="0" quotePrefix="0" xfId="0"/>
    <xf numFmtId="0" fontId="12" fillId="0" borderId="19" applyAlignment="1" pivotButton="0" quotePrefix="0" xfId="0">
      <alignment horizontal="left" vertical="center"/>
    </xf>
    <xf numFmtId="0" fontId="45" fillId="11" borderId="19" applyAlignment="1" pivotButton="0" quotePrefix="0" xfId="0">
      <alignment horizontal="left" vertical="center" wrapText="1"/>
    </xf>
    <xf numFmtId="165" fontId="45" fillId="11" borderId="19" applyAlignment="1" pivotButton="0" quotePrefix="0" xfId="0">
      <alignment horizontal="left" vertical="center" wrapText="1"/>
    </xf>
    <xf numFmtId="169" fontId="14" fillId="0" borderId="19" applyAlignment="1" pivotButton="0" quotePrefix="0" xfId="0">
      <alignment horizontal="left" vertical="center"/>
    </xf>
    <xf numFmtId="170" fontId="14" fillId="0" borderId="19" applyAlignment="1" pivotButton="0" quotePrefix="0" xfId="0">
      <alignment horizontal="left" vertical="center"/>
    </xf>
    <xf numFmtId="171" fontId="15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7" fontId="14" fillId="16" borderId="19" applyAlignment="1" pivotButton="0" quotePrefix="0" xfId="0">
      <alignment horizontal="left" vertical="center"/>
    </xf>
    <xf numFmtId="177" fontId="14" fillId="19" borderId="19" applyAlignment="1" pivotButton="0" quotePrefix="0" xfId="0">
      <alignment horizontal="left" vertical="center"/>
    </xf>
    <xf numFmtId="182" fontId="14" fillId="19" borderId="19" applyAlignment="1" pivotButton="0" quotePrefix="0" xfId="0">
      <alignment horizontal="left" vertical="center"/>
    </xf>
    <xf numFmtId="182" fontId="14" fillId="16" borderId="19" applyAlignment="1" pivotButton="0" quotePrefix="0" xfId="0">
      <alignment horizontal="left" vertical="center"/>
    </xf>
    <xf numFmtId="179" fontId="17" fillId="0" borderId="0" pivotButton="0" quotePrefix="0" xfId="0"/>
    <xf numFmtId="180" fontId="17" fillId="0" borderId="0" pivotButton="0" quotePrefix="0" xfId="0"/>
    <xf numFmtId="181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0" fontId="12" fillId="5" borderId="9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left" vertical="center" wrapText="1"/>
    </xf>
    <xf numFmtId="0" fontId="12" fillId="5" borderId="46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center" vertical="center"/>
    </xf>
    <xf numFmtId="0" fontId="45" fillId="11" borderId="46" applyAlignment="1" pivotButton="0" quotePrefix="0" xfId="0">
      <alignment horizontal="center" vertical="center"/>
    </xf>
    <xf numFmtId="0" fontId="43" fillId="5" borderId="47" applyAlignment="1" pivotButton="0" quotePrefix="0" xfId="0">
      <alignment horizontal="left" vertical="center" wrapText="1"/>
    </xf>
    <xf numFmtId="168" fontId="9" fillId="14" borderId="0" applyProtection="1" pivotButton="0" quotePrefix="0" xfId="0">
      <protection locked="0" hidden="0"/>
    </xf>
    <xf numFmtId="169" fontId="17" fillId="0" borderId="0" pivotButton="0" quotePrefix="0" xfId="0"/>
    <xf numFmtId="164" fontId="17" fillId="0" borderId="0" applyAlignment="1" applyProtection="1" pivotButton="0" quotePrefix="0" xfId="0">
      <alignment horizontal="left" vertical="center" shrinkToFit="1"/>
      <protection locked="0" hidden="0"/>
    </xf>
    <xf numFmtId="171" fontId="17" fillId="14" borderId="0" applyProtection="1" pivotButton="0" quotePrefix="0" xfId="0">
      <protection locked="0" hidden="0"/>
    </xf>
    <xf numFmtId="166" fontId="17" fillId="14" borderId="0" applyProtection="1" pivotButton="0" quotePrefix="0" xfId="0">
      <protection locked="0" hidden="0"/>
    </xf>
    <xf numFmtId="165" fontId="17" fillId="14" borderId="0" applyProtection="1" pivotButton="0" quotePrefix="0" xfId="0">
      <protection locked="0" hidden="0"/>
    </xf>
    <xf numFmtId="0" fontId="17" fillId="14" borderId="27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182" fontId="17" fillId="0" borderId="0" pivotButton="0" quotePrefix="0" xfId="0"/>
    <xf numFmtId="166" fontId="18" fillId="0" borderId="0" applyAlignment="1" applyProtection="1" pivotButton="0" quotePrefix="0" xfId="0">
      <alignment horizontal="center" vertical="bottom"/>
      <protection locked="0" hidden="0"/>
    </xf>
    <xf numFmtId="166" fontId="18" fillId="15" borderId="0" applyAlignment="1" applyProtection="1" pivotButton="0" quotePrefix="0" xfId="0">
      <alignment horizontal="center" vertical="bottom"/>
      <protection locked="0" hidden="0"/>
    </xf>
    <xf numFmtId="182" fontId="17" fillId="0" borderId="0" applyAlignment="1" pivotButton="0" quotePrefix="0" xfId="0">
      <alignment horizontal="right" vertical="bottom"/>
    </xf>
    <xf numFmtId="182" fontId="17" fillId="15" borderId="10" applyAlignment="1" pivotButton="0" quotePrefix="0" xfId="0">
      <alignment horizontal="right" vertical="bottom"/>
    </xf>
    <xf numFmtId="182" fontId="17" fillId="15" borderId="11" applyAlignment="1" pivotButton="0" quotePrefix="0" xfId="0">
      <alignment horizontal="right" vertical="bottom"/>
    </xf>
    <xf numFmtId="182" fontId="17" fillId="15" borderId="12" applyAlignment="1" pivotButton="0" quotePrefix="0" xfId="0">
      <alignment horizontal="right" vertical="bottom"/>
    </xf>
    <xf numFmtId="182" fontId="17" fillId="15" borderId="13" applyAlignment="1" pivotButton="0" quotePrefix="0" xfId="0">
      <alignment horizontal="right" vertical="bottom"/>
    </xf>
    <xf numFmtId="182" fontId="17" fillId="15" borderId="14" applyAlignment="1" pivotButton="0" quotePrefix="0" xfId="0">
      <alignment horizontal="right" vertical="bottom"/>
    </xf>
    <xf numFmtId="182" fontId="17" fillId="15" borderId="15" applyAlignment="1" pivotButton="0" quotePrefix="0" xfId="0">
      <alignment horizontal="right" vertical="bottom"/>
    </xf>
    <xf numFmtId="182" fontId="17" fillId="15" borderId="16" applyAlignment="1" pivotButton="0" quotePrefix="0" xfId="0">
      <alignment horizontal="right" vertical="bottom"/>
    </xf>
    <xf numFmtId="182" fontId="17" fillId="15" borderId="17" applyAlignment="1" pivotButton="0" quotePrefix="0" xfId="0">
      <alignment horizontal="right" vertical="bottom"/>
    </xf>
    <xf numFmtId="182" fontId="17" fillId="15" borderId="18" applyAlignment="1" pivotButton="0" quotePrefix="0" xfId="0">
      <alignment horizontal="right" vertical="bottom"/>
    </xf>
    <xf numFmtId="166" fontId="18" fillId="0" borderId="27" applyAlignment="1" applyProtection="1" pivotButton="0" quotePrefix="0" xfId="0">
      <alignment horizontal="center" vertical="bottom"/>
      <protection locked="0" hidden="0"/>
    </xf>
    <xf numFmtId="182" fontId="17" fillId="0" borderId="27" applyAlignment="1" pivotButton="0" quotePrefix="0" xfId="0">
      <alignment horizontal="right" vertical="bottom"/>
    </xf>
    <xf numFmtId="0" fontId="17" fillId="14" borderId="0" applyProtection="1" pivotButton="0" quotePrefix="0" xfId="0">
      <protection locked="0" hidden="0"/>
    </xf>
    <xf numFmtId="169" fontId="0" fillId="0" borderId="0" pivotButton="0" quotePrefix="0" xfId="0"/>
    <xf numFmtId="166" fontId="0" fillId="0" borderId="0" pivotButton="0" quotePrefix="0" xfId="0"/>
    <xf numFmtId="170" fontId="17" fillId="0" borderId="0" pivotButton="0" quotePrefix="0" xfId="0"/>
    <xf numFmtId="0" fontId="12" fillId="0" borderId="0" applyAlignment="1" pivotButton="0" quotePrefix="0" xfId="0">
      <alignment horizontal="left" vertical="top" wrapText="1"/>
    </xf>
    <xf numFmtId="0" fontId="17" fillId="0" borderId="47" applyAlignment="1" applyProtection="1" pivotButton="0" quotePrefix="0" xfId="0">
      <alignment horizontal="left" vertical="top" wrapText="1"/>
      <protection locked="0" hidden="0"/>
    </xf>
    <xf numFmtId="183" fontId="17" fillId="0" borderId="0" pivotButton="0" quotePrefix="0" xfId="0"/>
    <xf numFmtId="177" fontId="0" fillId="0" borderId="0" pivotButton="0" quotePrefix="0" xfId="0"/>
    <xf numFmtId="181" fontId="17" fillId="0" borderId="27" pivotButton="0" quotePrefix="0" xfId="0"/>
    <xf numFmtId="182" fontId="0" fillId="0" borderId="0" pivotButton="0" quotePrefix="0" xfId="0"/>
    <xf numFmtId="177" fontId="0" fillId="0" borderId="0" applyProtection="1" pivotButton="0" quotePrefix="0" xfId="0">
      <protection locked="0" hidden="0"/>
    </xf>
    <xf numFmtId="169" fontId="22" fillId="19" borderId="2" applyAlignment="1" applyProtection="1" pivotButton="0" quotePrefix="0" xfId="0">
      <alignment horizontal="right"/>
      <protection locked="0" hidden="0"/>
    </xf>
    <xf numFmtId="177" fontId="22" fillId="19" borderId="2" applyAlignment="1" pivotButton="0" quotePrefix="0" xfId="0">
      <alignment horizontal="right"/>
    </xf>
    <xf numFmtId="169" fontId="22" fillId="19" borderId="2" applyAlignment="1" pivotButton="0" quotePrefix="0" xfId="0">
      <alignment horizontal="right"/>
    </xf>
    <xf numFmtId="178" fontId="22" fillId="19" borderId="2" applyAlignment="1" pivotButton="0" quotePrefix="0" xfId="0">
      <alignment horizontal="right"/>
    </xf>
    <xf numFmtId="175" fontId="22" fillId="19" borderId="2" applyAlignment="1" applyProtection="1" pivotButton="0" quotePrefix="0" xfId="0">
      <alignment horizontal="right"/>
      <protection locked="0" hidden="0"/>
    </xf>
    <xf numFmtId="0" fontId="0" fillId="19" borderId="2" pivotButton="0" quotePrefix="0" xfId="0"/>
    <xf numFmtId="0" fontId="0" fillId="0" borderId="2" applyProtection="1" pivotButton="0" quotePrefix="0" xfId="0">
      <protection locked="0" hidden="0"/>
    </xf>
    <xf numFmtId="177" fontId="0" fillId="13" borderId="2" applyProtection="1" pivotButton="0" quotePrefix="0" xfId="0">
      <protection locked="0" hidden="0"/>
    </xf>
    <xf numFmtId="178" fontId="0" fillId="13" borderId="2" pivotButton="0" quotePrefix="0" xfId="0"/>
    <xf numFmtId="177" fontId="0" fillId="13" borderId="2" pivotButton="0" quotePrefix="0" xfId="0"/>
    <xf numFmtId="181" fontId="0" fillId="13" borderId="2" applyProtection="1" pivotButton="0" quotePrefix="0" xfId="0">
      <protection locked="0" hidden="0"/>
    </xf>
    <xf numFmtId="181" fontId="0" fillId="13" borderId="2" pivotButton="0" quotePrefix="0" xfId="0"/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183" fontId="14" fillId="19" borderId="19" applyAlignment="1" pivotButton="0" quotePrefix="0" xfId="0">
      <alignment horizontal="left" vertical="center"/>
    </xf>
    <xf numFmtId="171" fontId="14" fillId="16" borderId="19" applyAlignment="1" applyProtection="1" pivotButton="0" quotePrefix="0" xfId="0">
      <alignment horizontal="left" vertical="center"/>
      <protection locked="0" hidden="0"/>
    </xf>
    <xf numFmtId="171" fontId="14" fillId="19" borderId="19" applyAlignment="1" applyProtection="1" pivotButton="0" quotePrefix="0" xfId="0">
      <alignment horizontal="left" vertical="center"/>
      <protection locked="0" hidden="0"/>
    </xf>
    <xf numFmtId="166" fontId="14" fillId="16" borderId="19" applyAlignment="1" applyProtection="1" pivotButton="0" quotePrefix="0" xfId="0">
      <alignment horizontal="left" vertical="center"/>
      <protection locked="0" hidden="0"/>
    </xf>
    <xf numFmtId="166" fontId="14" fillId="19" borderId="19" applyAlignment="1" applyProtection="1" pivotButton="0" quotePrefix="0" xfId="0">
      <alignment horizontal="left" vertical="center"/>
      <protection locked="0" hidden="0"/>
    </xf>
    <xf numFmtId="169" fontId="14" fillId="19" borderId="19" applyAlignment="1" applyProtection="1" pivotButton="0" quotePrefix="0" xfId="0">
      <alignment horizontal="left" vertical="center"/>
      <protection locked="0" hidden="0"/>
    </xf>
    <xf numFmtId="169" fontId="14" fillId="16" borderId="19" applyAlignment="1" applyProtection="1" pivotButton="0" quotePrefix="0" xfId="0">
      <alignment horizontal="left" vertical="center"/>
      <protection locked="0" hidden="0"/>
    </xf>
    <xf numFmtId="1" fontId="14" fillId="19" borderId="19" applyAlignment="1" applyProtection="1" pivotButton="0" quotePrefix="0" xfId="0">
      <alignment horizontal="left" vertical="center"/>
      <protection locked="0" hidden="0"/>
    </xf>
    <xf numFmtId="1" fontId="14" fillId="16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/>
      <protection locked="0" hidden="0"/>
    </xf>
    <xf numFmtId="0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/>
      <protection locked="0" hidden="0"/>
    </xf>
    <xf numFmtId="0" fontId="14" fillId="16" borderId="19" applyAlignment="1" applyProtection="1" pivotButton="0" quotePrefix="0" xfId="0">
      <alignment horizontal="left" vertical="center" wrapText="1"/>
      <protection locked="0" hidden="0"/>
    </xf>
    <xf numFmtId="166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 wrapText="1"/>
      <protection locked="0" hidden="0"/>
    </xf>
    <xf numFmtId="181" fontId="14" fillId="16" borderId="19" applyAlignment="1" pivotButton="0" quotePrefix="0" xfId="0">
      <alignment horizontal="left" vertical="center"/>
    </xf>
    <xf numFmtId="181" fontId="0" fillId="0" borderId="0" pivotButton="0" quotePrefix="0" xfId="0"/>
    <xf numFmtId="182" fontId="14" fillId="16" borderId="19" applyAlignment="1" pivotButton="0" quotePrefix="0" xfId="0">
      <alignment horizontal="left" vertical="center" wrapText="1"/>
    </xf>
    <xf numFmtId="177" fontId="14" fillId="19" borderId="19" applyAlignment="1" pivotButton="0" quotePrefix="0" xfId="0">
      <alignment horizontal="left" vertical="center" wrapText="1"/>
    </xf>
    <xf numFmtId="177" fontId="14" fillId="16" borderId="19" applyAlignment="1" pivotButton="0" quotePrefix="0" xfId="0">
      <alignment horizontal="left" vertical="center" wrapText="1"/>
    </xf>
    <xf numFmtId="178" fontId="0" fillId="0" borderId="0" pivotButton="0" quotePrefix="0" xfId="0"/>
    <xf numFmtId="183" fontId="14" fillId="16" borderId="19" applyAlignment="1" pivotButton="0" quotePrefix="0" xfId="0">
      <alignment horizontal="left" vertical="center"/>
    </xf>
    <xf numFmtId="178" fontId="14" fillId="16" borderId="19" applyAlignment="1" pivotButton="0" quotePrefix="0" xfId="0">
      <alignment horizontal="left" vertical="center"/>
    </xf>
    <xf numFmtId="181" fontId="14" fillId="19" borderId="19" applyAlignment="1" pivotButton="0" quotePrefix="0" xfId="0">
      <alignment horizontal="left" vertical="center"/>
    </xf>
    <xf numFmtId="178" fontId="14" fillId="19" borderId="19" applyAlignment="1" pivotButton="0" quotePrefix="0" xfId="0">
      <alignment horizontal="left" vertical="center"/>
    </xf>
    <xf numFmtId="170" fontId="14" fillId="16" borderId="19" applyAlignment="1" applyProtection="1" pivotButton="0" quotePrefix="0" xfId="0">
      <alignment horizontal="left" vertical="center"/>
      <protection locked="0" hidden="0"/>
    </xf>
    <xf numFmtId="170" fontId="14" fillId="19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 wrapText="1"/>
      <protection locked="0" hidden="0"/>
    </xf>
    <xf numFmtId="182" fontId="14" fillId="19" borderId="19" applyAlignment="1" pivotButton="0" quotePrefix="0" xfId="0">
      <alignment horizontal="left" vertical="center" wrapText="1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46" fillId="21" borderId="0" applyAlignment="1" pivotButton="0" quotePrefix="0" xfId="0">
      <alignment horizontal="left" vertical="center"/>
    </xf>
    <xf numFmtId="174" fontId="0" fillId="0" borderId="0" pivotButton="0" quotePrefix="0" xfId="0"/>
    <xf numFmtId="183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24" customHeight="1">
      <c r="A17" s="5" t="n"/>
    </row>
    <row r="18" ht="24" customHeight="1">
      <c r="A18" s="4" t="n"/>
    </row>
    <row r="19" ht="24" customHeight="1">
      <c r="A19" s="5" t="n"/>
    </row>
    <row r="20" ht="24" customHeight="1">
      <c r="A20" s="4" t="n"/>
    </row>
    <row r="21" ht="34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24" customHeight="1">
      <c r="A23" s="4" t="n"/>
    </row>
    <row r="24" ht="24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(TTM)</t>
        </is>
      </c>
      <c r="B27" s="14" t="n"/>
      <c r="C27" s="15" t="inlineStr">
        <is>
          <t>$m</t>
        </is>
      </c>
      <c r="D27" s="16" t="n"/>
      <c r="E27" s="16" t="n"/>
      <c r="F27" s="16" t="n"/>
    </row>
    <row r="28" ht="22" customHeight="1">
      <c r="A28" s="9" t="inlineStr">
        <is>
          <t>Revenue (latest quarter)</t>
        </is>
      </c>
      <c r="B28" s="17" t="n"/>
      <c r="C28" s="11" t="inlineStr">
        <is>
          <t>$m</t>
        </is>
      </c>
      <c r="D28" s="12" t="n"/>
      <c r="E28" s="12" t="n"/>
      <c r="F28" s="12" t="n"/>
    </row>
    <row r="29" ht="22" customHeight="1">
      <c r="A29" s="13" t="inlineStr">
        <is>
          <t>Revenue YoY (latest vs LY quarter)</t>
        </is>
      </c>
      <c r="B29" s="18" t="n"/>
      <c r="C29" s="15" t="inlineStr">
        <is>
          <t>%</t>
        </is>
      </c>
      <c r="D29" s="16" t="n"/>
      <c r="E29" s="16" t="n"/>
      <c r="F29" s="16" t="n"/>
    </row>
    <row r="30" ht="22" customHeight="1">
      <c r="A30" s="9" t="inlineStr">
        <is>
          <t>Net income (latest quarter)</t>
        </is>
      </c>
      <c r="B30" s="17" t="n"/>
      <c r="C30" s="11" t="inlineStr">
        <is>
          <t>$m</t>
        </is>
      </c>
      <c r="D30" s="12" t="n"/>
      <c r="E30" s="12" t="n"/>
      <c r="F30" s="12" t="n"/>
    </row>
    <row r="31" ht="22" customHeight="1">
      <c r="A31" s="13" t="inlineStr">
        <is>
          <t>Net income YoY (latest vs LY quarter)</t>
        </is>
      </c>
      <c r="B31" s="18" t="n"/>
      <c r="C31" s="15" t="inlineStr">
        <is>
          <t>%</t>
        </is>
      </c>
      <c r="D31" s="16" t="n"/>
      <c r="E31" s="16" t="n"/>
      <c r="F31" s="16" t="n"/>
    </row>
    <row r="32" ht="22" customHeight="1">
      <c r="A32" s="9" t="inlineStr">
        <is>
          <t>EPS (latest quarter, GAAP diluted)</t>
        </is>
      </c>
      <c r="B32" s="17" t="n"/>
      <c r="C32" s="11" t="inlineStr">
        <is>
          <t>$/share</t>
        </is>
      </c>
      <c r="D32" s="12" t="n"/>
      <c r="E32" s="12" t="n"/>
      <c r="F32" s="12" t="n"/>
    </row>
    <row r="33" ht="22" customHeight="1">
      <c r="A33" s="13" t="inlineStr">
        <is>
          <t>EPS YoY Δ (latest vs LY quarter)</t>
        </is>
      </c>
      <c r="B33" s="14" t="n"/>
      <c r="C33" s="15" t="inlineStr">
        <is>
          <t>$/share</t>
        </is>
      </c>
      <c r="D33" s="16" t="n"/>
      <c r="E33" s="16" t="n"/>
      <c r="F33" s="16" t="n"/>
    </row>
    <row r="34" ht="22" customHeight="1">
      <c r="A34" s="9" t="inlineStr">
        <is>
          <t>Total debt (latest quarter)</t>
        </is>
      </c>
      <c r="B34" s="19" t="n"/>
      <c r="C34" s="11" t="inlineStr">
        <is>
          <t>$m</t>
        </is>
      </c>
      <c r="D34" s="12" t="n"/>
      <c r="E34" s="12" t="n"/>
      <c r="F34" s="12" t="n"/>
    </row>
    <row r="35" ht="22" customHeight="1">
      <c r="A35" s="13" t="inlineStr">
        <is>
          <t>Debt-to-equity (latest quarter)</t>
        </is>
      </c>
      <c r="B35" s="20" t="n"/>
      <c r="C35" s="15" t="n"/>
      <c r="D35" s="16" t="n"/>
      <c r="E35" s="16" t="n"/>
      <c r="F35" s="16" t="n"/>
    </row>
    <row r="36" ht="22" customHeight="1">
      <c r="A36" s="9" t="inlineStr">
        <is>
          <t>Free cash flow (TTM)</t>
        </is>
      </c>
      <c r="B36" s="17" t="n"/>
      <c r="C36" s="11" t="inlineStr">
        <is>
          <t>$m</t>
        </is>
      </c>
      <c r="D36" s="12" t="n"/>
      <c r="E36" s="12" t="n"/>
      <c r="F36" s="12" t="n"/>
    </row>
    <row r="37" ht="22" customHeight="1">
      <c r="A37" s="13" t="inlineStr">
        <is>
          <t>FCF YoY (latest quarter vs LY quarter)</t>
        </is>
      </c>
      <c r="B37" s="18" t="n"/>
      <c r="C37" s="15" t="inlineStr">
        <is>
          <t>%</t>
        </is>
      </c>
      <c r="D37" s="16" t="n"/>
      <c r="E37" s="16" t="n"/>
      <c r="F37" s="16" t="n"/>
    </row>
    <row r="38" ht="22" customHeight="1">
      <c r="A38" s="9" t="inlineStr">
        <is>
          <t>P/E (price-linked)</t>
        </is>
      </c>
      <c r="B38" s="19" t="n"/>
      <c r="C38" s="11" t="n"/>
      <c r="D38" s="12" t="n"/>
      <c r="E38" s="12" t="n"/>
      <c r="F38" s="12" t="n"/>
    </row>
    <row r="39" ht="22" customHeight="1">
      <c r="A39" s="13" t="inlineStr">
        <is>
          <t>P/S (price-linked)</t>
        </is>
      </c>
      <c r="B39" s="20" t="n"/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</t>
        </is>
      </c>
      <c r="B41" s="19" t="n"/>
      <c r="C41" s="11" t="inlineStr">
        <is>
          <t>x</t>
        </is>
      </c>
      <c r="D41" s="12" t="n"/>
      <c r="E41" s="12" t="n"/>
      <c r="F41" s="12" t="n"/>
    </row>
    <row r="42" ht="22" customHeight="1">
      <c r="A42" s="13" t="inlineStr">
        <is>
          <t>Interest coverage (P&amp;L)</t>
        </is>
      </c>
      <c r="B42" s="21" t="n"/>
      <c r="C42" s="15" t="inlineStr">
        <is>
          <t>x</t>
        </is>
      </c>
      <c r="D42" s="16" t="n"/>
      <c r="E42" s="16" t="n"/>
      <c r="F42" s="16" t="n"/>
    </row>
    <row r="43" ht="22" customHeight="1">
      <c r="A43" s="9" t="inlineStr">
        <is>
          <t>Interest coverage (cash)</t>
        </is>
      </c>
      <c r="B43" s="19" t="n"/>
      <c r="C43" s="11" t="inlineStr">
        <is>
          <t>x</t>
        </is>
      </c>
      <c r="D43" s="12" t="n"/>
      <c r="E43" s="12" t="n"/>
      <c r="F43" s="12" t="n"/>
    </row>
    <row r="44" ht="22" customHeight="1">
      <c r="A44" s="13" t="inlineStr">
        <is>
          <t>Revolver availability</t>
        </is>
      </c>
      <c r="B44" s="20" t="n"/>
      <c r="C44" s="15" t="inlineStr">
        <is>
          <t>$m</t>
        </is>
      </c>
      <c r="D44" s="16" t="n"/>
      <c r="E44" s="16" t="n"/>
      <c r="F44" s="16" t="n"/>
    </row>
    <row r="45" ht="22" customHeight="1">
      <c r="A45" s="9" t="inlineStr">
        <is>
          <t>Total liquidity</t>
        </is>
      </c>
      <c r="B45" s="17" t="n"/>
      <c r="C45" s="11" t="inlineStr">
        <is>
          <t>$m</t>
        </is>
      </c>
      <c r="D45" s="441" t="n"/>
    </row>
  </sheetData>
  <mergeCells count="27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71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442" t="n"/>
      <c r="C6" s="442" t="n"/>
      <c r="D6" s="442" t="n"/>
      <c r="E6" s="442" t="n"/>
      <c r="F6" s="442" t="n"/>
      <c r="G6" s="442" t="n"/>
      <c r="H6" s="442" t="n"/>
      <c r="I6" s="442" t="n"/>
      <c r="J6" s="442" t="n"/>
      <c r="K6" s="442" t="n"/>
      <c r="L6" s="442" t="n"/>
      <c r="M6" s="443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4" t="inlineStr">
        <is>
          <t>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5" t="inlineStr">
        <is>
          <t>Metric</t>
        </is>
      </c>
      <c r="P8" s="46" t="n"/>
      <c r="Q8" s="45" t="inlineStr">
        <is>
          <t>Stated in</t>
        </is>
      </c>
      <c r="R8" s="45" t="inlineStr">
        <is>
          <t>Applies to</t>
        </is>
      </c>
      <c r="S8" s="45" t="inlineStr">
        <is>
          <t>Guidance</t>
        </is>
      </c>
      <c r="T8" s="47" t="n"/>
      <c r="U8" s="47" t="n"/>
      <c r="V8" s="47" t="n"/>
      <c r="W8" s="47" t="n"/>
      <c r="X8" s="47" t="n"/>
      <c r="Y8" s="47" t="n"/>
      <c r="Z8" s="46" t="n"/>
      <c r="AA8" s="45" t="inlineStr">
        <is>
          <t>Trend / realized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445" t="n"/>
      <c r="C9" s="445" t="n"/>
      <c r="D9" s="445" t="n"/>
      <c r="E9" s="445" t="n"/>
      <c r="F9" s="445" t="n"/>
      <c r="G9" s="445" t="n"/>
      <c r="H9" s="445" t="n"/>
      <c r="I9" s="445" t="n"/>
      <c r="J9" s="445" t="n"/>
      <c r="K9" s="445" t="n"/>
      <c r="L9" s="445" t="n"/>
      <c r="M9" s="445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7" t="n"/>
      <c r="X9" s="47" t="n"/>
      <c r="Y9" s="47" t="n"/>
      <c r="Z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46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46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46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46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46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46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46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46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46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46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46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46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7" t="n"/>
      <c r="X10" s="47" t="n"/>
      <c r="Y10" s="47" t="n"/>
      <c r="Z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47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47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47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47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47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47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47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47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47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47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47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47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7" t="n"/>
      <c r="X11" s="47" t="n"/>
      <c r="Y11" s="47" t="n"/>
      <c r="Z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7" t="n"/>
      <c r="X12" s="47" t="n"/>
      <c r="Y12" s="47" t="n"/>
      <c r="Z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47">
        <f>IF(OR(B262="",B9="",B9=0),"",B262/B9)</f>
        <v/>
      </c>
      <c r="C13" s="447">
        <f>IF(OR(C262="",C9="",C9=0),"",C262/C9)</f>
        <v/>
      </c>
      <c r="D13" s="447">
        <f>IF(OR(D262="",D9="",D9=0),"",D262/D9)</f>
        <v/>
      </c>
      <c r="E13" s="447">
        <f>IF(OR(E262="",E9="",E9=0),"",E262/E9)</f>
        <v/>
      </c>
      <c r="F13" s="447">
        <f>IF(OR(F262="",F9="",F9=0),"",F262/F9)</f>
        <v/>
      </c>
      <c r="G13" s="447">
        <f>IF(OR(G262="",G9="",G9=0),"",G262/G9)</f>
        <v/>
      </c>
      <c r="H13" s="447">
        <f>IF(OR(H262="",H9="",H9=0),"",H262/H9)</f>
        <v/>
      </c>
      <c r="I13" s="447">
        <f>IF(OR(I262="",I9="",I9=0),"",I262/I9)</f>
        <v/>
      </c>
      <c r="J13" s="447">
        <f>IF(OR(J262="",J9="",J9=0),"",J262/J9)</f>
        <v/>
      </c>
      <c r="K13" s="447">
        <f>IF(OR(K262="",K9="",K9=0),"",K262/K9)</f>
        <v/>
      </c>
      <c r="L13" s="447">
        <f>IF(OR(L262="",L9="",L9=0),"",L262/L9)</f>
        <v/>
      </c>
      <c r="M13" s="447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7" t="n"/>
      <c r="X13" s="47" t="n"/>
      <c r="Y13" s="47" t="n"/>
      <c r="Z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47">
        <f>IF(OR(B32="",B9="",B9=0),"",B32/B9)</f>
        <v/>
      </c>
      <c r="C14" s="447">
        <f>IF(OR(C32="",C9="",C9=0),"",C32/C9)</f>
        <v/>
      </c>
      <c r="D14" s="447">
        <f>IF(OR(D32="",D9="",D9=0),"",D32/D9)</f>
        <v/>
      </c>
      <c r="E14" s="447">
        <f>IF(OR(E32="",E9="",E9=0),"",E32/E9)</f>
        <v/>
      </c>
      <c r="F14" s="447">
        <f>IF(OR(F32="",F9="",F9=0),"",F32/F9)</f>
        <v/>
      </c>
      <c r="G14" s="447">
        <f>IF(OR(G32="",G9="",G9=0),"",G32/G9)</f>
        <v/>
      </c>
      <c r="H14" s="447">
        <f>IF(OR(H32="",H9="",H9=0),"",H32/H9)</f>
        <v/>
      </c>
      <c r="I14" s="447">
        <f>IF(OR(I32="",I9="",I9=0),"",I32/I9)</f>
        <v/>
      </c>
      <c r="J14" s="447">
        <f>IF(OR(J32="",J9="",J9=0),"",J32/J9)</f>
        <v/>
      </c>
      <c r="K14" s="447">
        <f>IF(OR(K32="",K9="",K9=0),"",K32/K9)</f>
        <v/>
      </c>
      <c r="L14" s="447">
        <f>IF(OR(L32="",L9="",L9=0),"",L32/L9)</f>
        <v/>
      </c>
      <c r="M14" s="447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7" t="n"/>
      <c r="X14" s="47" t="n"/>
      <c r="Y14" s="47" t="n"/>
      <c r="Z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47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47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47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47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47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47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47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47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47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47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47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47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7" t="n"/>
      <c r="X15" s="47" t="n"/>
      <c r="Y15" s="47" t="n"/>
      <c r="Z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7" t="n"/>
      <c r="X16" s="47" t="n"/>
      <c r="Y16" s="47" t="n"/>
      <c r="Z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7" t="n"/>
      <c r="X17" s="47" t="n"/>
      <c r="Y17" s="47" t="n"/>
      <c r="Z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445" t="n"/>
      <c r="C18" s="445" t="n"/>
      <c r="D18" s="445" t="n"/>
      <c r="E18" s="445" t="n"/>
      <c r="F18" s="445" t="n"/>
      <c r="G18" s="445" t="n"/>
      <c r="H18" s="445" t="n"/>
      <c r="I18" s="445" t="n"/>
      <c r="J18" s="445" t="n"/>
      <c r="K18" s="445" t="n"/>
      <c r="L18" s="445" t="n"/>
      <c r="M18" s="445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7" t="n"/>
      <c r="X18" s="47" t="n"/>
      <c r="Y18" s="47" t="n"/>
      <c r="Z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47">
        <f>IF(OR(B18="",B9="",B9=0),"",B18/B9)</f>
        <v/>
      </c>
      <c r="C19" s="447">
        <f>IF(OR(C18="",C9="",C9=0),"",C18/C9)</f>
        <v/>
      </c>
      <c r="D19" s="447">
        <f>IF(OR(D18="",D9="",D9=0),"",D18/D9)</f>
        <v/>
      </c>
      <c r="E19" s="447">
        <f>IF(OR(E18="",E9="",E9=0),"",E18/E9)</f>
        <v/>
      </c>
      <c r="F19" s="447">
        <f>IF(OR(F18="",F9="",F9=0),"",F18/F9)</f>
        <v/>
      </c>
      <c r="G19" s="447">
        <f>IF(OR(G18="",G9="",G9=0),"",G18/G9)</f>
        <v/>
      </c>
      <c r="H19" s="447">
        <f>IF(OR(H18="",H9="",H9=0),"",H18/H9)</f>
        <v/>
      </c>
      <c r="I19" s="447">
        <f>IF(OR(I18="",I9="",I9=0),"",I18/I9)</f>
        <v/>
      </c>
      <c r="J19" s="447">
        <f>IF(OR(J18="",J9="",J9=0),"",J18/J9)</f>
        <v/>
      </c>
      <c r="K19" s="447">
        <f>IF(OR(K18="",K9="",K9=0),"",K18/K9)</f>
        <v/>
      </c>
      <c r="L19" s="447">
        <f>IF(OR(L18="",L9="",L9=0),"",L18/L9)</f>
        <v/>
      </c>
      <c r="M19" s="447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7" t="n"/>
      <c r="X19" s="47" t="n"/>
      <c r="Y19" s="47" t="n"/>
      <c r="Z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47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47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47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47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47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47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47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47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47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47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47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47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7" t="n"/>
      <c r="X20" s="47" t="n"/>
      <c r="Y20" s="47" t="n"/>
      <c r="Z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46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46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46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46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46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46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46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46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46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46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46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46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7" t="n"/>
      <c r="X21" s="47" t="n"/>
      <c r="Y21" s="47" t="n"/>
      <c r="Z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47">
        <f>IF(OR(B21="",B10="",B10=0),"",B21/B10)</f>
        <v/>
      </c>
      <c r="C22" s="447">
        <f>IF(OR(C21="",C10="",C10=0),"",C21/C10)</f>
        <v/>
      </c>
      <c r="D22" s="447">
        <f>IF(OR(D21="",D10="",D10=0),"",D21/D10)</f>
        <v/>
      </c>
      <c r="E22" s="447">
        <f>IF(OR(E21="",E10="",E10=0),"",E21/E10)</f>
        <v/>
      </c>
      <c r="F22" s="447">
        <f>IF(OR(F21="",F10="",F10=0),"",F21/F10)</f>
        <v/>
      </c>
      <c r="G22" s="447">
        <f>IF(OR(G21="",G10="",G10=0),"",G21/G10)</f>
        <v/>
      </c>
      <c r="H22" s="447">
        <f>IF(OR(H21="",H10="",H10=0),"",H21/H10)</f>
        <v/>
      </c>
      <c r="I22" s="447">
        <f>IF(OR(I21="",I10="",I10=0),"",I21/I10)</f>
        <v/>
      </c>
      <c r="J22" s="447">
        <f>IF(OR(J21="",J10="",J10=0),"",J21/J10)</f>
        <v/>
      </c>
      <c r="K22" s="447">
        <f>IF(OR(K21="",K10="",K10=0),"",K21/K10)</f>
        <v/>
      </c>
      <c r="L22" s="447">
        <f>IF(OR(L21="",L10="",L10=0),"",L21/L10)</f>
        <v/>
      </c>
      <c r="M22" s="447">
        <f>IF(OR(M21="",M10="",M10=0),"",M21/M10)</f>
        <v/>
      </c>
      <c r="N22" s="22" t="n"/>
      <c r="O22" s="53" t="n"/>
      <c r="P22" s="46" t="n"/>
      <c r="Q22" s="53" t="n"/>
      <c r="R22" s="53" t="n"/>
      <c r="S22" s="53" t="n"/>
      <c r="T22" s="47" t="n"/>
      <c r="U22" s="47" t="n"/>
      <c r="V22" s="47" t="n"/>
      <c r="W22" s="47" t="n"/>
      <c r="X22" s="47" t="n"/>
      <c r="Y22" s="47" t="n"/>
      <c r="Z22" s="46" t="n"/>
      <c r="AA22" s="53" t="n"/>
      <c r="AB22" s="47" t="n"/>
      <c r="AC22" s="46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O23" s="52" t="n"/>
      <c r="P23" s="46" t="n"/>
      <c r="Q23" s="52" t="n"/>
      <c r="R23" s="52" t="n"/>
      <c r="S23" s="52" t="n"/>
      <c r="T23" s="47" t="n"/>
      <c r="U23" s="47" t="n"/>
      <c r="V23" s="47" t="n"/>
      <c r="W23" s="47" t="n"/>
      <c r="X23" s="47" t="n"/>
      <c r="Y23" s="47" t="n"/>
      <c r="Z23" s="46" t="n"/>
      <c r="AA23" s="52" t="n"/>
      <c r="AB23" s="47" t="n"/>
      <c r="AC23" s="46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445" t="n"/>
      <c r="C24" s="445" t="n"/>
      <c r="D24" s="445" t="n"/>
      <c r="E24" s="445" t="n"/>
      <c r="F24" s="445" t="n"/>
      <c r="G24" s="445" t="n"/>
      <c r="H24" s="445" t="n"/>
      <c r="I24" s="445" t="n"/>
      <c r="J24" s="445" t="n"/>
      <c r="K24" s="445" t="n"/>
      <c r="L24" s="445" t="n"/>
      <c r="M24" s="445" t="n"/>
      <c r="N24" s="22" t="n"/>
      <c r="O24" s="53" t="n"/>
      <c r="P24" s="46" t="n"/>
      <c r="Q24" s="53" t="n"/>
      <c r="R24" s="53" t="n"/>
      <c r="S24" s="53" t="n"/>
      <c r="T24" s="47" t="n"/>
      <c r="U24" s="47" t="n"/>
      <c r="V24" s="47" t="n"/>
      <c r="W24" s="47" t="n"/>
      <c r="X24" s="47" t="n"/>
      <c r="Y24" s="47" t="n"/>
      <c r="Z24" s="46" t="n"/>
      <c r="AA24" s="53" t="n"/>
      <c r="AB24" s="47" t="n"/>
      <c r="AC24" s="46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46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46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46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46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46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46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46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46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46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46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46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46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O25" s="52" t="n"/>
      <c r="P25" s="46" t="n"/>
      <c r="Q25" s="52" t="n"/>
      <c r="R25" s="52" t="n"/>
      <c r="S25" s="52" t="n"/>
      <c r="T25" s="47" t="n"/>
      <c r="U25" s="47" t="n"/>
      <c r="V25" s="47" t="n"/>
      <c r="W25" s="47" t="n"/>
      <c r="X25" s="47" t="n"/>
      <c r="Y25" s="47" t="n"/>
      <c r="Z25" s="46" t="n"/>
      <c r="AA25" s="52" t="n"/>
      <c r="AB25" s="47" t="n"/>
      <c r="AC25" s="46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46">
        <f>IF(OR(B24="",B18=""),"",B24-B18)</f>
        <v/>
      </c>
      <c r="C26" s="446">
        <f>IF(OR(C24="",C18=""),"",C24-C18)</f>
        <v/>
      </c>
      <c r="D26" s="446">
        <f>IF(OR(D24="",D18=""),"",D24-D18)</f>
        <v/>
      </c>
      <c r="E26" s="446">
        <f>IF(OR(E24="",E18=""),"",E24-E18)</f>
        <v/>
      </c>
      <c r="F26" s="446">
        <f>IF(OR(F24="",F18=""),"",F24-F18)</f>
        <v/>
      </c>
      <c r="G26" s="446">
        <f>IF(OR(G24="",G18=""),"",G24-G18)</f>
        <v/>
      </c>
      <c r="H26" s="446">
        <f>IF(OR(H24="",H18=""),"",H24-H18)</f>
        <v/>
      </c>
      <c r="I26" s="446">
        <f>IF(OR(I24="",I18=""),"",I24-I18)</f>
        <v/>
      </c>
      <c r="J26" s="446">
        <f>IF(OR(J24="",J18=""),"",J24-J18)</f>
        <v/>
      </c>
      <c r="K26" s="446">
        <f>IF(OR(K24="",K18=""),"",K24-K18)</f>
        <v/>
      </c>
      <c r="L26" s="446">
        <f>IF(OR(L24="",L18=""),"",L24-L18)</f>
        <v/>
      </c>
      <c r="M26" s="446">
        <f>IF(OR(M24="",M18=""),"",M24-M18)</f>
        <v/>
      </c>
      <c r="N26" s="22" t="n"/>
      <c r="O26" s="63" t="n"/>
      <c r="P26" s="64" t="n"/>
      <c r="Q26" s="64" t="n"/>
      <c r="R26" s="63" t="n"/>
      <c r="S26" s="64" t="n"/>
      <c r="T26" s="64" t="n"/>
      <c r="U26" s="63" t="n"/>
      <c r="V26" s="64" t="n"/>
      <c r="W26" s="64" t="n"/>
      <c r="X26" s="64" t="n"/>
      <c r="Y26" s="64" t="n"/>
      <c r="Z26" s="64" t="n"/>
      <c r="AA26" s="63" t="n"/>
      <c r="AB26" s="64" t="n"/>
      <c r="AC26" s="64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47">
        <f>IF(OR(B24="",B9="",B9=0),"",B24/B9)</f>
        <v/>
      </c>
      <c r="C27" s="447">
        <f>IF(OR(C24="",C9="",C9=0),"",C24/C9)</f>
        <v/>
      </c>
      <c r="D27" s="447">
        <f>IF(OR(D24="",D9="",D9=0),"",D24/D9)</f>
        <v/>
      </c>
      <c r="E27" s="447">
        <f>IF(OR(E24="",E9="",E9=0),"",E24/E9)</f>
        <v/>
      </c>
      <c r="F27" s="447">
        <f>IF(OR(F24="",F9="",F9=0),"",F24/F9)</f>
        <v/>
      </c>
      <c r="G27" s="447">
        <f>IF(OR(G24="",G9="",G9=0),"",G24/G9)</f>
        <v/>
      </c>
      <c r="H27" s="447">
        <f>IF(OR(H24="",H9="",H9=0),"",H24/H9)</f>
        <v/>
      </c>
      <c r="I27" s="447">
        <f>IF(OR(I24="",I9="",I9=0),"",I24/I9)</f>
        <v/>
      </c>
      <c r="J27" s="447">
        <f>IF(OR(J24="",J9="",J9=0),"",J24/J9)</f>
        <v/>
      </c>
      <c r="K27" s="447">
        <f>IF(OR(K24="",K9="",K9=0),"",K24/K9)</f>
        <v/>
      </c>
      <c r="L27" s="447">
        <f>IF(OR(L24="",L9="",L9=0),"",L24/L9)</f>
        <v/>
      </c>
      <c r="M27" s="447">
        <f>IF(OR(M24="",M9="",M9=0),"",M24/M9)</f>
        <v/>
      </c>
      <c r="N27" s="22" t="n"/>
      <c r="O27" s="448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47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47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47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47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47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47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47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47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47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47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47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47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49" t="inlineStr">
        <is>
          <t>Metric</t>
        </is>
      </c>
      <c r="P28" s="46" t="n"/>
      <c r="Q28" s="449" t="inlineStr">
        <is>
          <t>Stated in</t>
        </is>
      </c>
      <c r="R28" s="449" t="inlineStr">
        <is>
          <t>Applies to</t>
        </is>
      </c>
      <c r="S28" s="449" t="inlineStr">
        <is>
          <t>Guidance</t>
        </is>
      </c>
      <c r="T28" s="47" t="n"/>
      <c r="U28" s="47" t="n"/>
      <c r="V28" s="47" t="n"/>
      <c r="W28" s="47" t="n"/>
      <c r="X28" s="47" t="n"/>
      <c r="Y28" s="47" t="n"/>
      <c r="Z28" s="46" t="n"/>
      <c r="AA28" s="449" t="inlineStr">
        <is>
          <t>Trend / realized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47">
        <f>IF(OR(B25="",B10="",B10=0),"",B25/B10)</f>
        <v/>
      </c>
      <c r="C29" s="447">
        <f>IF(OR(C25="",C10="",C10=0),"",C25/C10)</f>
        <v/>
      </c>
      <c r="D29" s="447">
        <f>IF(OR(D25="",D10="",D10=0),"",D25/D10)</f>
        <v/>
      </c>
      <c r="E29" s="447">
        <f>IF(OR(E25="",E10="",E10=0),"",E25/E10)</f>
        <v/>
      </c>
      <c r="F29" s="447">
        <f>IF(OR(F25="",F10="",F10=0),"",F25/F10)</f>
        <v/>
      </c>
      <c r="G29" s="447">
        <f>IF(OR(G25="",G10="",G10=0),"",G25/G10)</f>
        <v/>
      </c>
      <c r="H29" s="447">
        <f>IF(OR(H25="",H10="",H10=0),"",H25/H10)</f>
        <v/>
      </c>
      <c r="I29" s="447">
        <f>IF(OR(I25="",I10="",I10=0),"",I25/I10)</f>
        <v/>
      </c>
      <c r="J29" s="447">
        <f>IF(OR(J25="",J10="",J10=0),"",J25/J10)</f>
        <v/>
      </c>
      <c r="K29" s="447">
        <f>IF(OR(K25="",K10="",K10=0),"",K25/K10)</f>
        <v/>
      </c>
      <c r="L29" s="447">
        <f>IF(OR(L25="",L10="",L10=0),"",L25/L10)</f>
        <v/>
      </c>
      <c r="M29" s="447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7" t="n"/>
      <c r="X29" s="47" t="n"/>
      <c r="Y29" s="47" t="n"/>
      <c r="Z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7" t="n"/>
      <c r="X30" s="47" t="n"/>
      <c r="Y30" s="47" t="n"/>
      <c r="Z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7" t="n"/>
      <c r="X31" s="47" t="n"/>
      <c r="Y31" s="47" t="n"/>
      <c r="Z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445" t="n"/>
      <c r="C32" s="445" t="n"/>
      <c r="D32" s="445" t="n"/>
      <c r="E32" s="445" t="n"/>
      <c r="F32" s="445" t="n"/>
      <c r="G32" s="445" t="n"/>
      <c r="H32" s="445" t="n"/>
      <c r="I32" s="445" t="n"/>
      <c r="J32" s="445" t="n"/>
      <c r="K32" s="445" t="n"/>
      <c r="L32" s="445" t="n"/>
      <c r="M32" s="445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7" t="n"/>
      <c r="X32" s="47" t="n"/>
      <c r="Y32" s="47" t="n"/>
      <c r="Z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47">
        <f>IF(OR(B32="",B9="",B9=0),"",B32/B9)</f>
        <v/>
      </c>
      <c r="C33" s="447">
        <f>IF(OR(C32="",C9="",C9=0),"",C32/C9)</f>
        <v/>
      </c>
      <c r="D33" s="447">
        <f>IF(OR(D32="",D9="",D9=0),"",D32/D9)</f>
        <v/>
      </c>
      <c r="E33" s="447">
        <f>IF(OR(E32="",E9="",E9=0),"",E32/E9)</f>
        <v/>
      </c>
      <c r="F33" s="447">
        <f>IF(OR(F32="",F9="",F9=0),"",F32/F9)</f>
        <v/>
      </c>
      <c r="G33" s="447">
        <f>IF(OR(G32="",G9="",G9=0),"",G32/G9)</f>
        <v/>
      </c>
      <c r="H33" s="447">
        <f>IF(OR(H32="",H9="",H9=0),"",H32/H9)</f>
        <v/>
      </c>
      <c r="I33" s="447">
        <f>IF(OR(I32="",I9="",I9=0),"",I32/I9)</f>
        <v/>
      </c>
      <c r="J33" s="447">
        <f>IF(OR(J32="",J9="",J9=0),"",J32/J9)</f>
        <v/>
      </c>
      <c r="K33" s="447">
        <f>IF(OR(K32="",K9="",K9=0),"",K32/K9)</f>
        <v/>
      </c>
      <c r="L33" s="447">
        <f>IF(OR(L32="",L9="",L9=0),"",L32/L9)</f>
        <v/>
      </c>
      <c r="M33" s="447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7" t="n"/>
      <c r="X33" s="47" t="n"/>
      <c r="Y33" s="47" t="n"/>
      <c r="Z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46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46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46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46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46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46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46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46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46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46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46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46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7" t="n"/>
      <c r="X34" s="47" t="n"/>
      <c r="Y34" s="47" t="n"/>
      <c r="Z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47">
        <f>IF(OR(B34="",B10="",B10=0),"",B34/B10)</f>
        <v/>
      </c>
      <c r="C35" s="447">
        <f>IF(OR(C34="",C10="",C10=0),"",C34/C10)</f>
        <v/>
      </c>
      <c r="D35" s="447">
        <f>IF(OR(D34="",D10="",D10=0),"",D34/D10)</f>
        <v/>
      </c>
      <c r="E35" s="447">
        <f>IF(OR(E34="",E10="",E10=0),"",E34/E10)</f>
        <v/>
      </c>
      <c r="F35" s="447">
        <f>IF(OR(F34="",F10="",F10=0),"",F34/F10)</f>
        <v/>
      </c>
      <c r="G35" s="447">
        <f>IF(OR(G34="",G10="",G10=0),"",G34/G10)</f>
        <v/>
      </c>
      <c r="H35" s="447">
        <f>IF(OR(H34="",H10="",H10=0),"",H34/H10)</f>
        <v/>
      </c>
      <c r="I35" s="447">
        <f>IF(OR(I34="",I10="",I10=0),"",I34/I10)</f>
        <v/>
      </c>
      <c r="J35" s="447">
        <f>IF(OR(J34="",J10="",J10=0),"",J34/J10)</f>
        <v/>
      </c>
      <c r="K35" s="447">
        <f>IF(OR(K34="",K10="",K10=0),"",K34/K10)</f>
        <v/>
      </c>
      <c r="L35" s="447">
        <f>IF(OR(L34="",L10="",L10=0),"",L34/L10)</f>
        <v/>
      </c>
      <c r="M35" s="447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7" t="n"/>
      <c r="X35" s="47" t="n"/>
      <c r="Y35" s="47" t="n"/>
      <c r="Z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445" t="n"/>
      <c r="C36" s="445" t="n"/>
      <c r="D36" s="445" t="n"/>
      <c r="E36" s="445" t="n"/>
      <c r="F36" s="445" t="n"/>
      <c r="G36" s="445" t="n"/>
      <c r="H36" s="445" t="n"/>
      <c r="I36" s="445" t="n"/>
      <c r="J36" s="445" t="n"/>
      <c r="K36" s="445" t="n"/>
      <c r="L36" s="445" t="n"/>
      <c r="M36" s="445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47">
        <f>IF(OR(B36="",B9="",B9=0),"",B36/B9)</f>
        <v/>
      </c>
      <c r="C37" s="447">
        <f>IF(OR(C36="",C9="",C9=0),"",C36/C9)</f>
        <v/>
      </c>
      <c r="D37" s="447">
        <f>IF(OR(D36="",D9="",D9=0),"",D36/D9)</f>
        <v/>
      </c>
      <c r="E37" s="447">
        <f>IF(OR(E36="",E9="",E9=0),"",E36/E9)</f>
        <v/>
      </c>
      <c r="F37" s="447">
        <f>IF(OR(F36="",F9="",F9=0),"",F36/F9)</f>
        <v/>
      </c>
      <c r="G37" s="447">
        <f>IF(OR(G36="",G9="",G9=0),"",G36/G9)</f>
        <v/>
      </c>
      <c r="H37" s="447">
        <f>IF(OR(H36="",H9="",H9=0),"",H36/H9)</f>
        <v/>
      </c>
      <c r="I37" s="447">
        <f>IF(OR(I36="",I9="",I9=0),"",I36/I9)</f>
        <v/>
      </c>
      <c r="J37" s="447">
        <f>IF(OR(J36="",J9="",J9=0),"",J36/J9)</f>
        <v/>
      </c>
      <c r="K37" s="447">
        <f>IF(OR(K36="",K9="",K9=0),"",K36/K9)</f>
        <v/>
      </c>
      <c r="L37" s="447">
        <f>IF(OR(L36="",L9="",L9=0),"",L36/L9)</f>
        <v/>
      </c>
      <c r="M37" s="447">
        <f>IF(OR(M36="",M9="",M9=0),"",M36/M9)</f>
        <v/>
      </c>
      <c r="N37" s="22" t="n"/>
      <c r="O37" s="444" t="inlineStr">
        <is>
          <t>Operating Drivers</t>
        </is>
      </c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  <c r="AA37" s="47" t="n"/>
      <c r="AB37" s="47" t="n"/>
      <c r="AC37" s="46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47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47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47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47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47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47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47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47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47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47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47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47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O38" s="449" t="inlineStr">
        <is>
          <t>Driver group</t>
        </is>
      </c>
      <c r="P38" s="47" t="n"/>
      <c r="Q38" s="46" t="n"/>
      <c r="R38" s="449" t="inlineStr">
        <is>
          <t>Driver</t>
        </is>
      </c>
      <c r="S38" s="47" t="n"/>
      <c r="T38" s="46" t="n"/>
      <c r="U38" s="450" t="inlineStr">
        <is>
          <t>Why it matters</t>
        </is>
      </c>
      <c r="V38" s="47" t="n"/>
      <c r="W38" s="47" t="n"/>
      <c r="X38" s="47" t="n"/>
      <c r="Y38" s="47" t="n"/>
      <c r="Z38" s="46" t="n"/>
      <c r="AA38" s="449" t="inlineStr">
        <is>
          <t>Source/type</t>
        </is>
      </c>
      <c r="AB38" s="47" t="n"/>
      <c r="AC38" s="46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46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46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46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46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46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46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46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46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46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46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46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46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O39" s="52" t="n"/>
      <c r="P39" s="47" t="n"/>
      <c r="Q39" s="46" t="n"/>
      <c r="R39" s="67" t="n"/>
      <c r="S39" s="47" t="n"/>
      <c r="T39" s="46" t="n"/>
      <c r="U39" s="52" t="n"/>
      <c r="V39" s="47" t="n"/>
      <c r="W39" s="47" t="n"/>
      <c r="X39" s="47" t="n"/>
      <c r="Y39" s="47" t="n"/>
      <c r="Z39" s="46" t="n"/>
      <c r="AA39" s="52" t="n"/>
      <c r="AB39" s="47" t="n"/>
      <c r="AC39" s="46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47">
        <f>IF(OR(B39="",B10="",B10=0),"",B39/B10)</f>
        <v/>
      </c>
      <c r="C40" s="447">
        <f>IF(OR(C39="",C10="",C10=0),"",C39/C10)</f>
        <v/>
      </c>
      <c r="D40" s="447">
        <f>IF(OR(D39="",D10="",D10=0),"",D39/D10)</f>
        <v/>
      </c>
      <c r="E40" s="447">
        <f>IF(OR(E39="",E10="",E10=0),"",E39/E10)</f>
        <v/>
      </c>
      <c r="F40" s="447">
        <f>IF(OR(F39="",F10="",F10=0),"",F39/F10)</f>
        <v/>
      </c>
      <c r="G40" s="447">
        <f>IF(OR(G39="",G10="",G10=0),"",G39/G10)</f>
        <v/>
      </c>
      <c r="H40" s="447">
        <f>IF(OR(H39="",H10="",H10=0),"",H39/H10)</f>
        <v/>
      </c>
      <c r="I40" s="447">
        <f>IF(OR(I39="",I10="",I10=0),"",I39/I10)</f>
        <v/>
      </c>
      <c r="J40" s="447">
        <f>IF(OR(J39="",J10="",J10=0),"",J39/J10)</f>
        <v/>
      </c>
      <c r="K40" s="447">
        <f>IF(OR(K39="",K10="",K10=0),"",K39/K10)</f>
        <v/>
      </c>
      <c r="L40" s="447">
        <f>IF(OR(L39="",L10="",L10=0),"",L39/L10)</f>
        <v/>
      </c>
      <c r="M40" s="447">
        <f>IF(OR(M39="",M10="",M10=0),"",M39/M10)</f>
        <v/>
      </c>
      <c r="N40" s="22" t="n"/>
      <c r="O40" s="53" t="n"/>
      <c r="P40" s="47" t="n"/>
      <c r="Q40" s="46" t="n"/>
      <c r="R40" s="68" t="n"/>
      <c r="S40" s="47" t="n"/>
      <c r="T40" s="46" t="n"/>
      <c r="U40" s="69" t="n"/>
      <c r="V40" s="47" t="n"/>
      <c r="W40" s="47" t="n"/>
      <c r="X40" s="47" t="n"/>
      <c r="Y40" s="47" t="n"/>
      <c r="Z40" s="46" t="n"/>
      <c r="AA40" s="53" t="n"/>
      <c r="AB40" s="47" t="n"/>
      <c r="AC40" s="46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O41" s="52" t="n"/>
      <c r="P41" s="47" t="n"/>
      <c r="Q41" s="46" t="n"/>
      <c r="R41" s="67" t="n"/>
      <c r="S41" s="47" t="n"/>
      <c r="T41" s="46" t="n"/>
      <c r="U41" s="70" t="n"/>
      <c r="V41" s="47" t="n"/>
      <c r="W41" s="47" t="n"/>
      <c r="X41" s="47" t="n"/>
      <c r="Y41" s="47" t="n"/>
      <c r="Z41" s="46" t="n"/>
      <c r="AA41" s="52" t="n"/>
      <c r="AB41" s="47" t="n"/>
      <c r="AC41" s="46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O42" s="53" t="n"/>
      <c r="P42" s="47" t="n"/>
      <c r="Q42" s="46" t="n"/>
      <c r="R42" s="68" t="n"/>
      <c r="S42" s="47" t="n"/>
      <c r="T42" s="46" t="n"/>
      <c r="U42" s="69" t="n"/>
      <c r="V42" s="47" t="n"/>
      <c r="W42" s="47" t="n"/>
      <c r="X42" s="47" t="n"/>
      <c r="Y42" s="47" t="n"/>
      <c r="Z42" s="46" t="n"/>
      <c r="AA42" s="53" t="n"/>
      <c r="AB42" s="47" t="n"/>
      <c r="AC42" s="46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445" t="n"/>
      <c r="C43" s="445" t="n"/>
      <c r="D43" s="445" t="n"/>
      <c r="E43" s="445" t="n"/>
      <c r="F43" s="445" t="n"/>
      <c r="G43" s="445" t="n"/>
      <c r="H43" s="445" t="n"/>
      <c r="I43" s="445" t="n"/>
      <c r="J43" s="445" t="n"/>
      <c r="K43" s="445" t="n"/>
      <c r="L43" s="445" t="n"/>
      <c r="M43" s="445" t="n"/>
      <c r="N43" s="22" t="n"/>
      <c r="O43" s="52" t="n"/>
      <c r="P43" s="47" t="n"/>
      <c r="Q43" s="46" t="n"/>
      <c r="R43" s="67" t="n"/>
      <c r="S43" s="47" t="n"/>
      <c r="T43" s="46" t="n"/>
      <c r="U43" s="70" t="n"/>
      <c r="V43" s="47" t="n"/>
      <c r="W43" s="47" t="n"/>
      <c r="X43" s="47" t="n"/>
      <c r="Y43" s="47" t="n"/>
      <c r="Z43" s="46" t="n"/>
      <c r="AA43" s="52" t="n"/>
      <c r="AB43" s="47" t="n"/>
      <c r="AC43" s="46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445" t="n"/>
      <c r="C44" s="445" t="n"/>
      <c r="D44" s="445" t="n"/>
      <c r="E44" s="445" t="n"/>
      <c r="F44" s="445" t="n"/>
      <c r="G44" s="445" t="n"/>
      <c r="H44" s="445" t="n"/>
      <c r="I44" s="445" t="n"/>
      <c r="J44" s="445" t="n"/>
      <c r="K44" s="445" t="n"/>
      <c r="L44" s="445" t="n"/>
      <c r="M44" s="445" t="n"/>
      <c r="N44" s="22" t="n"/>
      <c r="O44" s="53" t="n"/>
      <c r="P44" s="47" t="n"/>
      <c r="Q44" s="46" t="n"/>
      <c r="R44" s="68" t="n"/>
      <c r="S44" s="47" t="n"/>
      <c r="T44" s="46" t="n"/>
      <c r="U44" s="69" t="n"/>
      <c r="V44" s="47" t="n"/>
      <c r="W44" s="47" t="n"/>
      <c r="X44" s="47" t="n"/>
      <c r="Y44" s="47" t="n"/>
      <c r="Z44" s="46" t="n"/>
      <c r="AA44" s="53" t="n"/>
      <c r="AB44" s="47" t="n"/>
      <c r="AC44" s="46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47">
        <f>IF(OR(B44="",B9="",B9=0),"",B44/B9)</f>
        <v/>
      </c>
      <c r="C45" s="447">
        <f>IF(OR(C44="",C9="",C9=0),"",C44/C9)</f>
        <v/>
      </c>
      <c r="D45" s="447">
        <f>IF(OR(D44="",D9="",D9=0),"",D44/D9)</f>
        <v/>
      </c>
      <c r="E45" s="447">
        <f>IF(OR(E44="",E9="",E9=0),"",E44/E9)</f>
        <v/>
      </c>
      <c r="F45" s="447">
        <f>IF(OR(F44="",F9="",F9=0),"",F44/F9)</f>
        <v/>
      </c>
      <c r="G45" s="447">
        <f>IF(OR(G44="",G9="",G9=0),"",G44/G9)</f>
        <v/>
      </c>
      <c r="H45" s="447">
        <f>IF(OR(H44="",H9="",H9=0),"",H44/H9)</f>
        <v/>
      </c>
      <c r="I45" s="447">
        <f>IF(OR(I44="",I9="",I9=0),"",I44/I9)</f>
        <v/>
      </c>
      <c r="J45" s="447">
        <f>IF(OR(J44="",J9="",J9=0),"",J44/J9)</f>
        <v/>
      </c>
      <c r="K45" s="447">
        <f>IF(OR(K44="",K9="",K9=0),"",K44/K9)</f>
        <v/>
      </c>
      <c r="L45" s="447">
        <f>IF(OR(L44="",L9="",L9=0),"",L44/L9)</f>
        <v/>
      </c>
      <c r="M45" s="447">
        <f>IF(OR(M44="",M9="",M9=0),"",M44/M9)</f>
        <v/>
      </c>
      <c r="N45" s="22" t="n"/>
      <c r="O45" s="52" t="n"/>
      <c r="P45" s="47" t="n"/>
      <c r="Q45" s="46" t="n"/>
      <c r="R45" s="67" t="n"/>
      <c r="S45" s="47" t="n"/>
      <c r="T45" s="46" t="n"/>
      <c r="U45" s="52" t="n"/>
      <c r="V45" s="47" t="n"/>
      <c r="W45" s="47" t="n"/>
      <c r="X45" s="47" t="n"/>
      <c r="Y45" s="47" t="n"/>
      <c r="Z45" s="46" t="n"/>
      <c r="AA45" s="52" t="n"/>
      <c r="AB45" s="47" t="n"/>
      <c r="AC45" s="46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47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47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47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47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47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47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47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47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47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47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47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47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O46" s="53" t="n"/>
      <c r="P46" s="47" t="n"/>
      <c r="Q46" s="46" t="n"/>
      <c r="R46" s="68" t="n"/>
      <c r="S46" s="47" t="n"/>
      <c r="T46" s="46" t="n"/>
      <c r="U46" s="349" t="n"/>
      <c r="V46" s="47" t="n"/>
      <c r="W46" s="47" t="n"/>
      <c r="X46" s="47" t="n"/>
      <c r="Y46" s="47" t="n"/>
      <c r="Z46" s="46" t="n"/>
      <c r="AA46" s="53" t="n"/>
      <c r="AB46" s="47" t="n"/>
      <c r="AC46" s="46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46">
        <f>IF(OR(B43="",B44=""),"",B43-B44)</f>
        <v/>
      </c>
      <c r="C47" s="446">
        <f>IF(OR(C43="",C44=""),"",C43-C44)</f>
        <v/>
      </c>
      <c r="D47" s="446">
        <f>IF(OR(D43="",D44=""),"",D43-D44)</f>
        <v/>
      </c>
      <c r="E47" s="446">
        <f>IF(OR(E43="",E44=""),"",E43-E44)</f>
        <v/>
      </c>
      <c r="F47" s="446">
        <f>IF(OR(F43="",F44=""),"",F43-F44)</f>
        <v/>
      </c>
      <c r="G47" s="446">
        <f>IF(OR(G43="",G44=""),"",G43-G44)</f>
        <v/>
      </c>
      <c r="H47" s="446">
        <f>IF(OR(H43="",H44=""),"",H43-H44)</f>
        <v/>
      </c>
      <c r="I47" s="446">
        <f>IF(OR(I43="",I44=""),"",I43-I44)</f>
        <v/>
      </c>
      <c r="J47" s="446">
        <f>IF(OR(J43="",J44=""),"",J43-J44)</f>
        <v/>
      </c>
      <c r="K47" s="446">
        <f>IF(OR(K43="",K44=""),"",K43-K44)</f>
        <v/>
      </c>
      <c r="L47" s="446">
        <f>IF(OR(L43="",L44=""),"",L43-L44)</f>
        <v/>
      </c>
      <c r="M47" s="446">
        <f>IF(OR(M43="",M44=""),"",M43-M44)</f>
        <v/>
      </c>
      <c r="N47" s="22" t="n"/>
      <c r="O47" s="63" t="n"/>
      <c r="P47" s="64" t="n"/>
      <c r="Q47" s="64" t="n"/>
      <c r="R47" s="64" t="n"/>
      <c r="S47" s="64" t="n"/>
      <c r="T47" s="64" t="n"/>
      <c r="U47" s="350" t="n"/>
      <c r="V47" s="64" t="n"/>
      <c r="W47" s="64" t="n"/>
      <c r="X47" s="63" t="n"/>
      <c r="Y47" s="64" t="n"/>
      <c r="Z47" s="64" t="n"/>
      <c r="AA47" s="64" t="n"/>
      <c r="AB47" s="64" t="n"/>
      <c r="AC47" s="64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46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46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46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46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46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46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46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46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46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46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46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46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4" t="inlineStr">
        <is>
          <t>Thesis Bridge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4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4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4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4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4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4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4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4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4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4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4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4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49" t="inlineStr">
        <is>
          <t>Quick valuation bridge; no market price required.</t>
        </is>
      </c>
      <c r="P49" s="47" t="n"/>
      <c r="Q49" s="47" t="n"/>
      <c r="R49" s="47" t="n"/>
      <c r="S49" s="47" t="n"/>
      <c r="T49" s="46" t="n"/>
      <c r="U49" s="52" t="inlineStr"/>
      <c r="V49" s="47" t="n"/>
      <c r="W49" s="46" t="n"/>
      <c r="X49" s="52" t="inlineStr"/>
      <c r="Y49" s="47" t="n"/>
      <c r="Z49" s="47" t="n"/>
      <c r="AA49" s="47" t="n"/>
      <c r="AB49" s="47" t="n"/>
      <c r="AC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4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4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4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4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4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4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4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4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4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4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4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4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49" t="inlineStr">
        <is>
          <t>Bridge item</t>
        </is>
      </c>
      <c r="P50" s="47" t="n"/>
      <c r="Q50" s="47" t="n"/>
      <c r="R50" s="47" t="n"/>
      <c r="S50" s="47" t="n"/>
      <c r="T50" s="46" t="n"/>
      <c r="U50" s="449" t="inlineStr">
        <is>
          <t>Value</t>
        </is>
      </c>
      <c r="V50" s="47" t="n"/>
      <c r="W50" s="46" t="n"/>
      <c r="X50" s="449" t="inlineStr">
        <is>
          <t>Notes</t>
        </is>
      </c>
      <c r="Y50" s="47" t="n"/>
      <c r="Z50" s="47" t="n"/>
      <c r="AA50" s="47" t="n"/>
      <c r="AB50" s="47" t="n"/>
      <c r="AC50" s="46" t="n"/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7" t="n"/>
      <c r="Q51" s="47" t="n"/>
      <c r="R51" s="47" t="n"/>
      <c r="S51" s="47" t="n"/>
      <c r="T51" s="46" t="n"/>
      <c r="U51" s="451" t="n"/>
      <c r="V51" s="47" t="n"/>
      <c r="W51" s="46" t="n"/>
      <c r="X51" s="52" t="n"/>
      <c r="Y51" s="47" t="n"/>
      <c r="Z51" s="47" t="n"/>
      <c r="AA51" s="47" t="n"/>
      <c r="AB51" s="47" t="n"/>
      <c r="AC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7" t="n"/>
      <c r="Q52" s="47" t="n"/>
      <c r="R52" s="47" t="n"/>
      <c r="S52" s="47" t="n"/>
      <c r="T52" s="46" t="n"/>
      <c r="U52" s="352" t="n"/>
      <c r="V52" s="47" t="n"/>
      <c r="W52" s="46" t="n"/>
      <c r="X52" s="53" t="n"/>
      <c r="Y52" s="47" t="n"/>
      <c r="Z52" s="47" t="n"/>
      <c r="AA52" s="47" t="n"/>
      <c r="AB52" s="47" t="n"/>
      <c r="AC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7" t="n"/>
      <c r="Q53" s="47" t="n"/>
      <c r="R53" s="47" t="n"/>
      <c r="S53" s="47" t="n"/>
      <c r="T53" s="46" t="n"/>
      <c r="U53" s="451" t="n"/>
      <c r="V53" s="47" t="n"/>
      <c r="W53" s="46" t="n"/>
      <c r="X53" s="52" t="n"/>
      <c r="Y53" s="47" t="n"/>
      <c r="Z53" s="47" t="n"/>
      <c r="AA53" s="47" t="n"/>
      <c r="AB53" s="47" t="n"/>
      <c r="AC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7" t="n"/>
      <c r="Q54" s="47" t="n"/>
      <c r="R54" s="47" t="n"/>
      <c r="S54" s="47" t="n"/>
      <c r="T54" s="46" t="n"/>
      <c r="U54" s="352" t="n"/>
      <c r="V54" s="47" t="n"/>
      <c r="W54" s="46" t="n"/>
      <c r="X54" s="53" t="n"/>
      <c r="Y54" s="47" t="n"/>
      <c r="Z54" s="47" t="n"/>
      <c r="AA54" s="47" t="n"/>
      <c r="AB54" s="47" t="n"/>
      <c r="AC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7" t="n"/>
      <c r="Q55" s="47" t="n"/>
      <c r="R55" s="47" t="n"/>
      <c r="S55" s="47" t="n"/>
      <c r="T55" s="46" t="n"/>
      <c r="U55" s="452" t="n"/>
      <c r="V55" s="47" t="n"/>
      <c r="W55" s="46" t="n"/>
      <c r="X55" s="52" t="n"/>
      <c r="Y55" s="47" t="n"/>
      <c r="Z55" s="47" t="n"/>
      <c r="AA55" s="47" t="n"/>
      <c r="AB55" s="47" t="n"/>
      <c r="AC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7" t="n"/>
      <c r="Q56" s="47" t="n"/>
      <c r="R56" s="47" t="n"/>
      <c r="S56" s="47" t="n"/>
      <c r="T56" s="46" t="n"/>
      <c r="U56" s="453" t="n"/>
      <c r="V56" s="47" t="n"/>
      <c r="W56" s="46" t="n"/>
      <c r="X56" s="53" t="n"/>
      <c r="Y56" s="47" t="n"/>
      <c r="Z56" s="47" t="n"/>
      <c r="AA56" s="47" t="n"/>
      <c r="AB56" s="47" t="n"/>
      <c r="AC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47">
        <f>IF(OR(B47="",B9="",B9=0),"",B47/B9)</f>
        <v/>
      </c>
      <c r="C57" s="447">
        <f>IF(OR(C47="",C9="",C9=0),"",C47/C9)</f>
        <v/>
      </c>
      <c r="D57" s="447">
        <f>IF(OR(D47="",D9="",D9=0),"",D47/D9)</f>
        <v/>
      </c>
      <c r="E57" s="447">
        <f>IF(OR(E47="",E9="",E9=0),"",E47/E9)</f>
        <v/>
      </c>
      <c r="F57" s="447">
        <f>IF(OR(F47="",F9="",F9=0),"",F47/F9)</f>
        <v/>
      </c>
      <c r="G57" s="447">
        <f>IF(OR(G47="",G9="",G9=0),"",G47/G9)</f>
        <v/>
      </c>
      <c r="H57" s="447">
        <f>IF(OR(H47="",H9="",H9=0),"",H47/H9)</f>
        <v/>
      </c>
      <c r="I57" s="447">
        <f>IF(OR(I47="",I9="",I9=0),"",I47/I9)</f>
        <v/>
      </c>
      <c r="J57" s="447">
        <f>IF(OR(J47="",J9="",J9=0),"",J47/J9)</f>
        <v/>
      </c>
      <c r="K57" s="447">
        <f>IF(OR(K47="",K9="",K9=0),"",K47/K9)</f>
        <v/>
      </c>
      <c r="L57" s="447">
        <f>IF(OR(L47="",L9="",L9=0),"",L47/L9)</f>
        <v/>
      </c>
      <c r="M57" s="447">
        <f>IF(OR(M47="",M9="",M9=0),"",M47/M9)</f>
        <v/>
      </c>
      <c r="N57" s="22" t="n"/>
      <c r="O57" s="52" t="n"/>
      <c r="P57" s="47" t="n"/>
      <c r="Q57" s="47" t="n"/>
      <c r="R57" s="47" t="n"/>
      <c r="S57" s="47" t="n"/>
      <c r="T57" s="46" t="n"/>
      <c r="U57" s="453" t="n"/>
      <c r="V57" s="47" t="n"/>
      <c r="W57" s="46" t="n"/>
      <c r="X57" s="52" t="n"/>
      <c r="Y57" s="47" t="n"/>
      <c r="Z57" s="47" t="n"/>
      <c r="AA57" s="47" t="n"/>
      <c r="AB57" s="47" t="n"/>
      <c r="AC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47">
        <f>IF(OR(B49="",B10="",B10=0),"",B49/B10)</f>
        <v/>
      </c>
      <c r="C58" s="447">
        <f>IF(OR(C49="",C10="",C10=0),"",C49/C10)</f>
        <v/>
      </c>
      <c r="D58" s="447">
        <f>IF(OR(D49="",D10="",D10=0),"",D49/D10)</f>
        <v/>
      </c>
      <c r="E58" s="447">
        <f>IF(OR(E49="",E10="",E10=0),"",E49/E10)</f>
        <v/>
      </c>
      <c r="F58" s="447">
        <f>IF(OR(F49="",F10="",F10=0),"",F49/F10)</f>
        <v/>
      </c>
      <c r="G58" s="447">
        <f>IF(OR(G49="",G10="",G10=0),"",G49/G10)</f>
        <v/>
      </c>
      <c r="H58" s="447">
        <f>IF(OR(H49="",H10="",H10=0),"",H49/H10)</f>
        <v/>
      </c>
      <c r="I58" s="447">
        <f>IF(OR(I49="",I10="",I10=0),"",I49/I10)</f>
        <v/>
      </c>
      <c r="J58" s="447">
        <f>IF(OR(J49="",J10="",J10=0),"",J49/J10)</f>
        <v/>
      </c>
      <c r="K58" s="447">
        <f>IF(OR(K49="",K10="",K10=0),"",K49/K10)</f>
        <v/>
      </c>
      <c r="L58" s="447">
        <f>IF(OR(L49="",L10="",L10=0),"",L49/L10)</f>
        <v/>
      </c>
      <c r="M58" s="447">
        <f>IF(OR(M49="",M10="",M10=0),"",M49/M10)</f>
        <v/>
      </c>
      <c r="N58" s="22" t="n"/>
      <c r="O58" s="53" t="n"/>
      <c r="P58" s="47" t="n"/>
      <c r="Q58" s="47" t="n"/>
      <c r="R58" s="47" t="n"/>
      <c r="S58" s="47" t="n"/>
      <c r="T58" s="46" t="n"/>
      <c r="U58" s="454" t="n"/>
      <c r="V58" s="47" t="n"/>
      <c r="W58" s="46" t="n"/>
      <c r="X58" s="53" t="n"/>
      <c r="Y58" s="47" t="n"/>
      <c r="Z58" s="47" t="n"/>
      <c r="AA58" s="47" t="n"/>
      <c r="AB58" s="47" t="n"/>
      <c r="AC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445" t="n"/>
      <c r="C59" s="445" t="n"/>
      <c r="D59" s="445" t="n"/>
      <c r="E59" s="445" t="n"/>
      <c r="F59" s="445" t="n"/>
      <c r="G59" s="445" t="n"/>
      <c r="H59" s="445" t="n"/>
      <c r="I59" s="445" t="n"/>
      <c r="J59" s="445" t="n"/>
      <c r="K59" s="445" t="n"/>
      <c r="L59" s="445" t="n"/>
      <c r="M59" s="445" t="n"/>
      <c r="N59" s="22" t="n"/>
      <c r="O59" s="52" t="n"/>
      <c r="P59" s="47" t="n"/>
      <c r="Q59" s="47" t="n"/>
      <c r="R59" s="47" t="n"/>
      <c r="S59" s="47" t="n"/>
      <c r="T59" s="46" t="n"/>
      <c r="U59" s="451" t="n"/>
      <c r="V59" s="47" t="n"/>
      <c r="W59" s="46" t="n"/>
      <c r="X59" s="52" t="n"/>
      <c r="Y59" s="47" t="n"/>
      <c r="Z59" s="47" t="n"/>
      <c r="AA59" s="47" t="n"/>
      <c r="AB59" s="47" t="n"/>
      <c r="AC59" s="46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n"/>
      <c r="P60" s="47" t="n"/>
      <c r="Q60" s="47" t="n"/>
      <c r="R60" s="47" t="n"/>
      <c r="S60" s="47" t="n"/>
      <c r="T60" s="46" t="n"/>
      <c r="U60" s="454" t="n"/>
      <c r="V60" s="47" t="n"/>
      <c r="W60" s="46" t="n"/>
      <c r="X60" s="53" t="n"/>
      <c r="Y60" s="47" t="n"/>
      <c r="Z60" s="47" t="n"/>
      <c r="AA60" s="47" t="n"/>
      <c r="AB60" s="47" t="n"/>
      <c r="AC60" s="46" t="n"/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n"/>
      <c r="P61" s="47" t="n"/>
      <c r="Q61" s="47" t="n"/>
      <c r="R61" s="47" t="n"/>
      <c r="S61" s="47" t="n"/>
      <c r="T61" s="46" t="n"/>
      <c r="U61" s="455" t="n"/>
      <c r="V61" s="47" t="n"/>
      <c r="W61" s="46" t="n"/>
      <c r="X61" s="52" t="n"/>
      <c r="Y61" s="47" t="n"/>
      <c r="Z61" s="47" t="n"/>
      <c r="AA61" s="47" t="n"/>
      <c r="AB61" s="47" t="n"/>
      <c r="AC61" s="46" t="n"/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445" t="n"/>
      <c r="C62" s="445" t="n"/>
      <c r="D62" s="445" t="n"/>
      <c r="E62" s="445" t="n"/>
      <c r="F62" s="445" t="n"/>
      <c r="G62" s="445" t="n"/>
      <c r="H62" s="445" t="n"/>
      <c r="I62" s="445" t="n"/>
      <c r="J62" s="445" t="n"/>
      <c r="K62" s="445" t="n"/>
      <c r="L62" s="445" t="n"/>
      <c r="M62" s="445" t="n"/>
      <c r="N62" s="22" t="n"/>
      <c r="O62" s="53" t="n"/>
      <c r="P62" s="47" t="n"/>
      <c r="Q62" s="47" t="n"/>
      <c r="R62" s="47" t="n"/>
      <c r="S62" s="47" t="n"/>
      <c r="T62" s="46" t="n"/>
      <c r="U62" s="456" t="n"/>
      <c r="V62" s="47" t="n"/>
      <c r="W62" s="46" t="n"/>
      <c r="X62" s="53" t="n"/>
      <c r="Y62" s="47" t="n"/>
      <c r="Z62" s="47" t="n"/>
      <c r="AA62" s="47" t="n"/>
      <c r="AB62" s="47" t="n"/>
      <c r="AC62" s="46" t="n"/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46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46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46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46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46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46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46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46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46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46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46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46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O63" s="449" t="inlineStr">
        <is>
          <t>Output</t>
        </is>
      </c>
      <c r="P63" s="47" t="n"/>
      <c r="Q63" s="47" t="n"/>
      <c r="R63" s="47" t="n"/>
      <c r="S63" s="47" t="n"/>
      <c r="T63" s="46" t="n"/>
      <c r="U63" s="449" t="inlineStr">
        <is>
          <t>Value</t>
        </is>
      </c>
      <c r="V63" s="47" t="n"/>
      <c r="W63" s="46" t="n"/>
      <c r="X63" s="449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46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46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46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46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46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46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46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46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46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46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46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46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O64" s="52" t="inlineStr">
        <is>
          <t>Adjusted EBITDA TTM</t>
        </is>
      </c>
      <c r="P64" s="47" t="n"/>
      <c r="Q64" s="47" t="n"/>
      <c r="R64" s="47" t="n"/>
      <c r="S64" s="47" t="n"/>
      <c r="T64" s="46" t="n"/>
      <c r="U64" s="457">
        <f>IF(Adj_EBITDA="","",Adj_EBITDA)</f>
        <v/>
      </c>
      <c r="V64" s="47" t="n"/>
      <c r="W64" s="46" t="n"/>
      <c r="X64" s="52" t="inlineStr">
        <is>
          <t>Adjusted EBITDA TTM base</t>
        </is>
      </c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46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46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46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46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46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46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46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46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46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46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46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46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O65" s="53" t="inlineStr">
        <is>
          <t>FCF TTM</t>
        </is>
      </c>
      <c r="P65" s="47" t="n"/>
      <c r="Q65" s="47" t="n"/>
      <c r="R65" s="47" t="n"/>
      <c r="S65" s="47" t="n"/>
      <c r="T65" s="46" t="n"/>
      <c r="U65" s="458">
        <f>IF(FCF_TTM="","",FCF_TTM)</f>
        <v/>
      </c>
      <c r="V65" s="47" t="n"/>
      <c r="W65" s="46" t="n"/>
      <c r="X65" s="53" t="inlineStr">
        <is>
          <t>FCF TTM base</t>
        </is>
      </c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46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46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46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46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46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46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46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46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46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46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46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46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O66" s="52" t="inlineStr">
        <is>
          <t>Diluted EPS (GAAP, TTM)</t>
        </is>
      </c>
      <c r="P66" s="47" t="n"/>
      <c r="Q66" s="47" t="n"/>
      <c r="R66" s="47" t="n"/>
      <c r="S66" s="47" t="n"/>
      <c r="T66" s="46" t="n"/>
      <c r="U66" s="457">
        <f>IF(EPS_TTM="","",EPS_TTM)</f>
        <v/>
      </c>
      <c r="V66" s="47" t="n"/>
      <c r="W66" s="46" t="n"/>
      <c r="X66" s="52" t="inlineStr">
        <is>
          <t>Guided midpoint</t>
        </is>
      </c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46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46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46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46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46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46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46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46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46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46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46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46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O67" s="53" t="inlineStr">
        <is>
          <t>EV @ target EV/Adjusted EBITDA</t>
        </is>
      </c>
      <c r="P67" s="47" t="n"/>
      <c r="Q67" s="47" t="n"/>
      <c r="R67" s="47" t="n"/>
      <c r="S67" s="47" t="n"/>
      <c r="T67" s="46" t="n"/>
      <c r="U67" s="458">
        <f>IF(OR(Adj_EBITDA="",Target_EV_AdjEBITDA=""),"",Adj_EBITDA*Target_EV_AdjEBITDA)</f>
        <v/>
      </c>
      <c r="V67" s="47" t="n"/>
      <c r="W67" s="46" t="n"/>
      <c r="X67" s="53" t="inlineStr">
        <is>
          <t>Adjusted EBITDA × EV multiple</t>
        </is>
      </c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inlineStr">
        <is>
          <t>Equity value @ target EV/Adjusted EBITDA</t>
        </is>
      </c>
      <c r="P68" s="47" t="n"/>
      <c r="Q68" s="47" t="n"/>
      <c r="R68" s="47" t="n"/>
      <c r="S68" s="47" t="n"/>
      <c r="T68" s="46" t="n"/>
      <c r="U68" s="457">
        <f>IF(OR(U67="",NetDebt=""),"",U67-NetDebt)</f>
        <v/>
      </c>
      <c r="V68" s="47" t="n"/>
      <c r="W68" s="46" t="n"/>
      <c r="X68" s="52" t="inlineStr">
        <is>
          <t>Uses core net cash</t>
        </is>
      </c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inlineStr">
        <is>
          <t>EV @ target EV/EBITDA</t>
        </is>
      </c>
      <c r="P69" s="47" t="n"/>
      <c r="Q69" s="47" t="n"/>
      <c r="R69" s="47" t="n"/>
      <c r="S69" s="47" t="n"/>
      <c r="T69" s="46" t="n"/>
      <c r="U69" s="458">
        <f>IF(OR(Base_EBITDA="",Target_EV_EBITDA=""),"",Base_EBITDA*Target_EV_EBITDA)</f>
        <v/>
      </c>
      <c r="V69" s="47" t="n"/>
      <c r="W69" s="46" t="n"/>
      <c r="X69" s="53" t="inlineStr">
        <is>
          <t>per-share earnings × P/E × diluted shares</t>
        </is>
      </c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5" t="n"/>
      <c r="N70" s="22" t="n"/>
      <c r="O70" s="52" t="inlineStr">
        <is>
          <t>Equity value @ target EV/EBITDA</t>
        </is>
      </c>
      <c r="P70" s="47" t="n"/>
      <c r="Q70" s="47" t="n"/>
      <c r="R70" s="47" t="n"/>
      <c r="S70" s="47" t="n"/>
      <c r="T70" s="46" t="n"/>
      <c r="U70" s="457">
        <f>IF(OR(U69="",NetDebt=""),"",U69-NetDebt)</f>
        <v/>
      </c>
      <c r="V70" s="47" t="n"/>
      <c r="W70" s="46" t="n"/>
      <c r="X70" s="52" t="inlineStr">
        <is>
          <t>FCF / yield</t>
        </is>
      </c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445" t="n"/>
      <c r="C71" s="445" t="n"/>
      <c r="D71" s="445" t="n"/>
      <c r="E71" s="445" t="n"/>
      <c r="F71" s="445" t="n"/>
      <c r="G71" s="445" t="n"/>
      <c r="H71" s="445" t="n"/>
      <c r="I71" s="445" t="n"/>
      <c r="J71" s="445" t="n"/>
      <c r="K71" s="445" t="n"/>
      <c r="L71" s="445" t="n"/>
      <c r="M71" s="445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445" t="n"/>
      <c r="C72" s="445" t="n"/>
      <c r="D72" s="445" t="n"/>
      <c r="E72" s="445" t="n"/>
      <c r="F72" s="445" t="n"/>
      <c r="G72" s="445" t="n"/>
      <c r="H72" s="445" t="n"/>
      <c r="I72" s="445" t="n"/>
      <c r="J72" s="445" t="n"/>
      <c r="K72" s="445" t="n"/>
      <c r="L72" s="445" t="n"/>
      <c r="M72" s="445" t="n"/>
      <c r="N72" s="22" t="n"/>
      <c r="O72" s="52" t="inlineStr">
        <is>
          <t>Per-share valuation outputs</t>
        </is>
      </c>
      <c r="P72" s="47" t="n"/>
      <c r="Q72" s="47" t="n"/>
      <c r="R72" s="47" t="n"/>
      <c r="S72" s="47" t="n"/>
      <c r="T72" s="46" t="n"/>
      <c r="U72" s="457">
        <f>TEXT(MIN(U73,U74,U75),"$0")&amp;"-"&amp;TEXT(MAX(U73,U74,U75),"$0")</f>
        <v/>
      </c>
      <c r="V72" s="47" t="n"/>
      <c r="W72" s="46" t="n"/>
      <c r="X72" s="52" t="inlineStr">
        <is>
          <t>Per-share output range</t>
        </is>
      </c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46">
        <f>IF(OR(B72="",B70=""),"",B72-B70)</f>
        <v/>
      </c>
      <c r="C73" s="446">
        <f>IF(OR(C72="",C70=""),"",C72-C70)</f>
        <v/>
      </c>
      <c r="D73" s="446">
        <f>IF(OR(D72="",D70=""),"",D72-D70)</f>
        <v/>
      </c>
      <c r="E73" s="446">
        <f>IF(OR(E72="",E70=""),"",E72-E70)</f>
        <v/>
      </c>
      <c r="F73" s="446">
        <f>IF(OR(F72="",F70=""),"",F72-F70)</f>
        <v/>
      </c>
      <c r="G73" s="446">
        <f>IF(OR(G72="",G70=""),"",G72-G70)</f>
        <v/>
      </c>
      <c r="H73" s="446">
        <f>IF(OR(H72="",H70=""),"",H72-H70)</f>
        <v/>
      </c>
      <c r="I73" s="446">
        <f>IF(OR(I72="",I70=""),"",I72-I70)</f>
        <v/>
      </c>
      <c r="J73" s="446">
        <f>IF(OR(J72="",J70=""),"",J72-J70)</f>
        <v/>
      </c>
      <c r="K73" s="446">
        <f>IF(OR(K72="",K70=""),"",K72-K70)</f>
        <v/>
      </c>
      <c r="L73" s="446">
        <f>IF(OR(L72="",L70=""),"",L72-L70)</f>
        <v/>
      </c>
      <c r="M73" s="446">
        <f>IF(OR(M72="",M70=""),"",M72-M70)</f>
        <v/>
      </c>
      <c r="N73" s="22" t="n"/>
      <c r="O73" s="53" t="inlineStr">
        <is>
          <t>Value/share @ target EV/Adjusted EBITDA</t>
        </is>
      </c>
      <c r="P73" s="47" t="n"/>
      <c r="Q73" s="47" t="n"/>
      <c r="R73" s="47" t="n"/>
      <c r="S73" s="47" t="n"/>
      <c r="T73" s="46" t="n"/>
      <c r="U73" s="459">
        <f>IF(EqShare_Target_Adj="","",EqShare_Target_Adj)</f>
        <v/>
      </c>
      <c r="V73" s="47" t="n"/>
      <c r="W73" s="46" t="n"/>
      <c r="X73" s="53" t="inlineStr">
        <is>
          <t>Guided per-share earnings midpoint × P/E</t>
        </is>
      </c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46">
        <f>""</f>
        <v/>
      </c>
      <c r="C74" s="446">
        <f>IF(OR(C73="",B73=""),"",C73-B73)</f>
        <v/>
      </c>
      <c r="D74" s="446">
        <f>IF(OR(D73="",C73=""),"",D73-C73)</f>
        <v/>
      </c>
      <c r="E74" s="446">
        <f>IF(OR(E73="",D73=""),"",E73-D73)</f>
        <v/>
      </c>
      <c r="F74" s="446">
        <f>IF(OR(F73="",E73=""),"",F73-E73)</f>
        <v/>
      </c>
      <c r="G74" s="446">
        <f>IF(OR(G73="",F73=""),"",G73-F73)</f>
        <v/>
      </c>
      <c r="H74" s="446">
        <f>IF(OR(H73="",G73=""),"",H73-G73)</f>
        <v/>
      </c>
      <c r="I74" s="446">
        <f>IF(OR(I73="",H73=""),"",I73-H73)</f>
        <v/>
      </c>
      <c r="J74" s="446">
        <f>IF(OR(J73="",I73=""),"",J73-I73)</f>
        <v/>
      </c>
      <c r="K74" s="446">
        <f>IF(OR(K73="",J73=""),"",K73-J73)</f>
        <v/>
      </c>
      <c r="L74" s="446">
        <f>IF(OR(L73="",K73=""),"",L73-K73)</f>
        <v/>
      </c>
      <c r="M74" s="446">
        <f>IF(OR(M73="",L73=""),"",M73-L73)</f>
        <v/>
      </c>
      <c r="N74" s="22" t="n"/>
      <c r="O74" s="52" t="inlineStr">
        <is>
          <t>Value/share @ target EV/EBITDA</t>
        </is>
      </c>
      <c r="P74" s="47" t="n"/>
      <c r="Q74" s="47" t="n"/>
      <c r="R74" s="47" t="n"/>
      <c r="S74" s="47" t="n"/>
      <c r="T74" s="46" t="n"/>
      <c r="U74" s="460">
        <f>IF(EqShare_Target_EV="","",EqShare_Target_EV)</f>
        <v/>
      </c>
      <c r="V74" s="47" t="n"/>
      <c r="W74" s="46" t="n"/>
      <c r="X74" s="52" t="inlineStr">
        <is>
          <t>Equity value divided by diluted shares</t>
        </is>
      </c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46">
        <f>""</f>
        <v/>
      </c>
      <c r="C75" s="446">
        <f>""</f>
        <v/>
      </c>
      <c r="D75" s="446">
        <f>""</f>
        <v/>
      </c>
      <c r="E75" s="446">
        <f>""</f>
        <v/>
      </c>
      <c r="F75" s="446">
        <f>IF(OR(F73="",B73=""),"",F73-B73)</f>
        <v/>
      </c>
      <c r="G75" s="446">
        <f>IF(OR(G73="",C73=""),"",G73-C73)</f>
        <v/>
      </c>
      <c r="H75" s="446">
        <f>IF(OR(H73="",D73=""),"",H73-D73)</f>
        <v/>
      </c>
      <c r="I75" s="446">
        <f>IF(OR(I73="",E73=""),"",I73-E73)</f>
        <v/>
      </c>
      <c r="J75" s="446">
        <f>IF(OR(J73="",F73=""),"",J73-F73)</f>
        <v/>
      </c>
      <c r="K75" s="446">
        <f>IF(OR(K73="",G73=""),"",K73-G73)</f>
        <v/>
      </c>
      <c r="L75" s="446">
        <f>IF(OR(L73="",H73=""),"",L73-H73)</f>
        <v/>
      </c>
      <c r="M75" s="446">
        <f>IF(OR(M73="",I73=""),"",M73-I73)</f>
        <v/>
      </c>
      <c r="N75" s="22" t="n"/>
      <c r="O75" s="53" t="inlineStr">
        <is>
          <t>Value/share @ target FCFF yield</t>
        </is>
      </c>
      <c r="P75" s="47" t="n"/>
      <c r="Q75" s="47" t="n"/>
      <c r="R75" s="47" t="n"/>
      <c r="S75" s="47" t="n"/>
      <c r="T75" s="46" t="n"/>
      <c r="U75" s="459">
        <f>IF(EqShare_Target_Yield="","",EqShare_Target_Yield)</f>
        <v/>
      </c>
      <c r="V75" s="47" t="n"/>
      <c r="W75" s="46" t="n"/>
      <c r="X75" s="53" t="inlineStr">
        <is>
          <t>FCF-yield value / shares</t>
        </is>
      </c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46">
        <f>IF(B73="","",-B73)</f>
        <v/>
      </c>
      <c r="C77" s="446">
        <f>IF(C73="","",-C73)</f>
        <v/>
      </c>
      <c r="D77" s="446">
        <f>IF(D73="","",-D73)</f>
        <v/>
      </c>
      <c r="E77" s="446">
        <f>IF(E73="","",-E73)</f>
        <v/>
      </c>
      <c r="F77" s="446">
        <f>IF(F73="","",-F73)</f>
        <v/>
      </c>
      <c r="G77" s="446">
        <f>IF(G73="","",-G73)</f>
        <v/>
      </c>
      <c r="H77" s="446">
        <f>IF(H73="","",-H73)</f>
        <v/>
      </c>
      <c r="I77" s="446">
        <f>IF(I73="","",-I73)</f>
        <v/>
      </c>
      <c r="J77" s="446">
        <f>IF(J73="","",-J73)</f>
        <v/>
      </c>
      <c r="K77" s="446">
        <f>IF(K73="","",-K73)</f>
        <v/>
      </c>
      <c r="L77" s="446">
        <f>IF(L73="","",-L73)</f>
        <v/>
      </c>
      <c r="M77" s="446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46">
        <f>IF(OR(B70="",B71="",B72=""),"",B70+B71-B72)</f>
        <v/>
      </c>
      <c r="C78" s="446">
        <f>IF(OR(C70="",C71="",C72=""),"",C70+C71-C72)</f>
        <v/>
      </c>
      <c r="D78" s="446">
        <f>IF(OR(D70="",D71="",D72=""),"",D70+D71-D72)</f>
        <v/>
      </c>
      <c r="E78" s="446">
        <f>IF(OR(E70="",E71="",E72=""),"",E70+E71-E72)</f>
        <v/>
      </c>
      <c r="F78" s="446">
        <f>IF(OR(F70="",F71="",F72=""),"",F70+F71-F72)</f>
        <v/>
      </c>
      <c r="G78" s="446">
        <f>IF(OR(G70="",G71="",G72=""),"",G70+G71-G72)</f>
        <v/>
      </c>
      <c r="H78" s="446">
        <f>IF(OR(H70="",H71="",H72=""),"",H70+H71-H72)</f>
        <v/>
      </c>
      <c r="I78" s="446">
        <f>IF(OR(I70="",I71="",I72=""),"",I70+I71-I72)</f>
        <v/>
      </c>
      <c r="J78" s="446">
        <f>IF(OR(J70="",J71="",J72=""),"",J70+J71-J72)</f>
        <v/>
      </c>
      <c r="K78" s="446">
        <f>IF(OR(K70="",K71="",K72=""),"",K70+K71-K72)</f>
        <v/>
      </c>
      <c r="L78" s="446">
        <f>IF(OR(L70="",L71="",L72=""),"",L70+L71-L72)</f>
        <v/>
      </c>
      <c r="M78" s="446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445" t="n"/>
      <c r="C79" s="445" t="n"/>
      <c r="D79" s="445" t="n"/>
      <c r="E79" s="445" t="n"/>
      <c r="F79" s="445" t="n"/>
      <c r="G79" s="445" t="n"/>
      <c r="H79" s="445" t="n"/>
      <c r="I79" s="445" t="n"/>
      <c r="J79" s="445" t="n"/>
      <c r="K79" s="445" t="n"/>
      <c r="L79" s="445" t="n"/>
      <c r="M79" s="445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46">
        <f>IF(OR(B70="",B72="",B79=""),"",B72+B79-B70)</f>
        <v/>
      </c>
      <c r="C80" s="446">
        <f>IF(OR(C70="",C72="",C79=""),"",C72+C79-C70)</f>
        <v/>
      </c>
      <c r="D80" s="446">
        <f>IF(OR(D70="",D72="",D79=""),"",D72+D79-D70)</f>
        <v/>
      </c>
      <c r="E80" s="446">
        <f>IF(OR(E70="",E72="",E79=""),"",E72+E79-E70)</f>
        <v/>
      </c>
      <c r="F80" s="446">
        <f>IF(OR(F70="",F72="",F79=""),"",F72+F79-F70)</f>
        <v/>
      </c>
      <c r="G80" s="446">
        <f>IF(OR(G70="",G72="",G79=""),"",G72+G79-G70)</f>
        <v/>
      </c>
      <c r="H80" s="446">
        <f>IF(OR(H70="",H72="",H79=""),"",H72+H79-H70)</f>
        <v/>
      </c>
      <c r="I80" s="446">
        <f>IF(OR(I70="",I72="",I79=""),"",I72+I79-I70)</f>
        <v/>
      </c>
      <c r="J80" s="446">
        <f>IF(OR(J70="",J72="",J79=""),"",J72+J79-J70)</f>
        <v/>
      </c>
      <c r="K80" s="446">
        <f>IF(OR(K70="",K72="",K79=""),"",K72+K79-K70)</f>
        <v/>
      </c>
      <c r="L80" s="446">
        <f>IF(OR(L70="",L72="",L79=""),"",L72+L79-L70)</f>
        <v/>
      </c>
      <c r="M80" s="446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46">
        <f>IF(OR(B70="",B71="",B72="",B79=""),"",B72+B79-B70-B71)</f>
        <v/>
      </c>
      <c r="C81" s="446">
        <f>IF(OR(C70="",C71="",C72="",C79=""),"",C72+C79-C70-C71)</f>
        <v/>
      </c>
      <c r="D81" s="446">
        <f>IF(OR(D70="",D71="",D72="",D79=""),"",D72+D79-D70-D71)</f>
        <v/>
      </c>
      <c r="E81" s="446">
        <f>IF(OR(E70="",E71="",E72="",E79=""),"",E72+E79-E70-E71)</f>
        <v/>
      </c>
      <c r="F81" s="446">
        <f>IF(OR(F70="",F71="",F72="",F79=""),"",F72+F79-F70-F71)</f>
        <v/>
      </c>
      <c r="G81" s="446">
        <f>IF(OR(G70="",G71="",G72="",G79=""),"",G72+G79-G70-G71)</f>
        <v/>
      </c>
      <c r="H81" s="446">
        <f>IF(OR(H70="",H71="",H72="",H79=""),"",H72+H79-H70-H71)</f>
        <v/>
      </c>
      <c r="I81" s="446">
        <f>IF(OR(I70="",I71="",I72="",I79=""),"",I72+I79-I70-I71)</f>
        <v/>
      </c>
      <c r="J81" s="446">
        <f>IF(OR(J70="",J71="",J72="",J79=""),"",J72+J79-J70-J71)</f>
        <v/>
      </c>
      <c r="K81" s="446">
        <f>IF(OR(K70="",K71="",K72="",K79=""),"",K72+K79-K70-K71)</f>
        <v/>
      </c>
      <c r="L81" s="446">
        <f>IF(OR(L70="",L71="",L72="",L79=""),"",L72+L79-L70-L71)</f>
        <v/>
      </c>
      <c r="M81" s="446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445" t="n"/>
      <c r="C82" s="445" t="n"/>
      <c r="D82" s="445" t="n"/>
      <c r="E82" s="445" t="n"/>
      <c r="F82" s="445" t="n"/>
      <c r="G82" s="445" t="n"/>
      <c r="H82" s="445" t="n"/>
      <c r="I82" s="445" t="n"/>
      <c r="J82" s="445" t="n"/>
      <c r="K82" s="445" t="n"/>
      <c r="L82" s="445" t="n"/>
      <c r="M82" s="445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46">
        <f>IF(B21="","",B21)</f>
        <v/>
      </c>
      <c r="C84" s="446">
        <f>IF(C21="","",C21)</f>
        <v/>
      </c>
      <c r="D84" s="446">
        <f>IF(D21="","",D21)</f>
        <v/>
      </c>
      <c r="E84" s="446">
        <f>IF(E21="","",E21)</f>
        <v/>
      </c>
      <c r="F84" s="446">
        <f>IF(F21="","",F21)</f>
        <v/>
      </c>
      <c r="G84" s="446">
        <f>IF(G21="","",G21)</f>
        <v/>
      </c>
      <c r="H84" s="446">
        <f>IF(H21="","",H21)</f>
        <v/>
      </c>
      <c r="I84" s="446">
        <f>IF(I21="","",I21)</f>
        <v/>
      </c>
      <c r="J84" s="446">
        <f>IF(J21="","",J21)</f>
        <v/>
      </c>
      <c r="K84" s="446">
        <f>IF(K21="","",K21)</f>
        <v/>
      </c>
      <c r="L84" s="446">
        <f>IF(L21="","",L21)</f>
        <v/>
      </c>
      <c r="M84" s="446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46">
        <f>IF(B25="","",B25)</f>
        <v/>
      </c>
      <c r="C85" s="446">
        <f>IF(C25="","",C25)</f>
        <v/>
      </c>
      <c r="D85" s="446">
        <f>IF(D25="","",D25)</f>
        <v/>
      </c>
      <c r="E85" s="446">
        <f>IF(E25="","",E25)</f>
        <v/>
      </c>
      <c r="F85" s="446">
        <f>IF(F25="","",F25)</f>
        <v/>
      </c>
      <c r="G85" s="446">
        <f>IF(G25="","",G25)</f>
        <v/>
      </c>
      <c r="H85" s="446">
        <f>IF(H25="","",H25)</f>
        <v/>
      </c>
      <c r="I85" s="446">
        <f>IF(I25="","",I25)</f>
        <v/>
      </c>
      <c r="J85" s="446">
        <f>IF(J25="","",J25)</f>
        <v/>
      </c>
      <c r="K85" s="446">
        <f>IF(K25="","",K25)</f>
        <v/>
      </c>
      <c r="L85" s="446">
        <f>IF(L25="","",L25)</f>
        <v/>
      </c>
      <c r="M85" s="446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61">
        <f>IF(OR(B73="",B84="",B84=0),"",B73/B84)</f>
        <v/>
      </c>
      <c r="C86" s="461">
        <f>IF(OR(C73="",C84="",C84=0),"",C73/C84)</f>
        <v/>
      </c>
      <c r="D86" s="461">
        <f>IF(OR(D73="",D84="",D84=0),"",D73/D84)</f>
        <v/>
      </c>
      <c r="E86" s="461">
        <f>IF(OR(E73="",E84="",E84=0),"",E73/E84)</f>
        <v/>
      </c>
      <c r="F86" s="461">
        <f>IF(OR(F73="",F84="",F84=0),"",F73/F84)</f>
        <v/>
      </c>
      <c r="G86" s="461">
        <f>IF(OR(G73="",G84="",G84=0),"",G73/G84)</f>
        <v/>
      </c>
      <c r="H86" s="461">
        <f>IF(OR(H73="",H84="",H84=0),"",H73/H84)</f>
        <v/>
      </c>
      <c r="I86" s="461">
        <f>IF(OR(I73="",I84="",I84=0),"",I73/I84)</f>
        <v/>
      </c>
      <c r="J86" s="461">
        <f>IF(OR(J73="",J84="",J84=0),"",J73/J84)</f>
        <v/>
      </c>
      <c r="K86" s="461">
        <f>IF(OR(K73="",K84="",K84=0),"",K73/K84)</f>
        <v/>
      </c>
      <c r="L86" s="461">
        <f>IF(OR(L73="",L84="",L84=0),"",L73/L84)</f>
        <v/>
      </c>
      <c r="M86" s="461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61">
        <f>IF(OR(B73="",B85="",B85=0),"",B73/B85)</f>
        <v/>
      </c>
      <c r="C87" s="461">
        <f>IF(OR(C73="",C85="",C85=0),"",C73/C85)</f>
        <v/>
      </c>
      <c r="D87" s="461">
        <f>IF(OR(D73="",D85="",D85=0),"",D73/D85)</f>
        <v/>
      </c>
      <c r="E87" s="461">
        <f>IF(OR(E73="",E85="",E85=0),"",E73/E85)</f>
        <v/>
      </c>
      <c r="F87" s="461">
        <f>IF(OR(F73="",F85="",F85=0),"",F73/F85)</f>
        <v/>
      </c>
      <c r="G87" s="461">
        <f>IF(OR(G73="",G85="",G85=0),"",G73/G85)</f>
        <v/>
      </c>
      <c r="H87" s="461">
        <f>IF(OR(H73="",H85="",H85=0),"",H73/H85)</f>
        <v/>
      </c>
      <c r="I87" s="461">
        <f>IF(OR(I73="",I85="",I85=0),"",I73/I85)</f>
        <v/>
      </c>
      <c r="J87" s="461">
        <f>IF(OR(J73="",J85="",J85=0),"",J73/J85)</f>
        <v/>
      </c>
      <c r="K87" s="461">
        <f>IF(OR(K73="",K85="",K85=0),"",K73/K85)</f>
        <v/>
      </c>
      <c r="L87" s="461">
        <f>IF(OR(L73="",L85="",L85=0),"",L73/L85)</f>
        <v/>
      </c>
      <c r="M87" s="461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61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61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61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61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61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61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61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61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61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61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61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61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61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61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61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61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61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61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61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61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61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61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61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61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47">
        <f>IF(OR(B49="",B21="",B21=0),"",B49/B21)</f>
        <v/>
      </c>
      <c r="C90" s="447">
        <f>IF(OR(C49="",C21="",C21=0),"",C49/C21)</f>
        <v/>
      </c>
      <c r="D90" s="447">
        <f>IF(OR(D49="",D21="",D21=0),"",D49/D21)</f>
        <v/>
      </c>
      <c r="E90" s="447">
        <f>IF(OR(E49="",E21="",E21=0),"",E49/E21)</f>
        <v/>
      </c>
      <c r="F90" s="447">
        <f>IF(OR(F49="",F21="",F21=0),"",F49/F21)</f>
        <v/>
      </c>
      <c r="G90" s="447">
        <f>IF(OR(G49="",G21="",G21=0),"",G49/G21)</f>
        <v/>
      </c>
      <c r="H90" s="447">
        <f>IF(OR(H49="",H21="",H21=0),"",H49/H21)</f>
        <v/>
      </c>
      <c r="I90" s="447">
        <f>IF(OR(I49="",I21="",I21=0),"",I49/I21)</f>
        <v/>
      </c>
      <c r="J90" s="447">
        <f>IF(OR(J49="",J21="",J21=0),"",J49/J21)</f>
        <v/>
      </c>
      <c r="K90" s="447">
        <f>IF(OR(K49="",K21="",K21=0),"",K49/K21)</f>
        <v/>
      </c>
      <c r="L90" s="447">
        <f>IF(OR(L49="",L21="",L21=0),"",L49/L21)</f>
        <v/>
      </c>
      <c r="M90" s="447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445" t="n"/>
      <c r="C95" s="445" t="n"/>
      <c r="D95" s="445" t="n"/>
      <c r="E95" s="445" t="n"/>
      <c r="F95" s="445" t="n"/>
      <c r="G95" s="445" t="n"/>
      <c r="H95" s="445" t="n"/>
      <c r="I95" s="445" t="n"/>
      <c r="J95" s="445" t="n"/>
      <c r="K95" s="445" t="n"/>
      <c r="L95" s="445" t="n"/>
      <c r="M95" s="445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445" t="n"/>
      <c r="C102" s="445" t="n"/>
      <c r="D102" s="445" t="n"/>
      <c r="E102" s="445" t="n"/>
      <c r="F102" s="445" t="n"/>
      <c r="G102" s="445" t="n"/>
      <c r="H102" s="445" t="n"/>
      <c r="I102" s="445" t="n"/>
      <c r="J102" s="445" t="n"/>
      <c r="K102" s="445" t="n"/>
      <c r="L102" s="445" t="n"/>
      <c r="M102" s="445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445" t="n"/>
      <c r="C103" s="445" t="n"/>
      <c r="D103" s="445" t="n"/>
      <c r="E103" s="445" t="n"/>
      <c r="F103" s="445" t="n"/>
      <c r="G103" s="445" t="n"/>
      <c r="H103" s="445" t="n"/>
      <c r="I103" s="445" t="n"/>
      <c r="J103" s="445" t="n"/>
      <c r="K103" s="445" t="n"/>
      <c r="L103" s="445" t="n"/>
      <c r="M103" s="445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62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62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62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62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62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62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62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62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62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62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62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62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62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62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62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62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62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62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62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62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62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62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62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62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445" t="n"/>
      <c r="C107" s="445" t="n"/>
      <c r="D107" s="445" t="n"/>
      <c r="E107" s="445" t="n"/>
      <c r="F107" s="445" t="n"/>
      <c r="G107" s="445" t="n"/>
      <c r="H107" s="445" t="n"/>
      <c r="I107" s="445" t="n"/>
      <c r="J107" s="445" t="n"/>
      <c r="K107" s="445" t="n"/>
      <c r="L107" s="445" t="n"/>
      <c r="M107" s="445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47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47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47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47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47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47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47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47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47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47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47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47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63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63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63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63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63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63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63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63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63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63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63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63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445" t="n"/>
      <c r="C110" s="445" t="n"/>
      <c r="D110" s="445" t="n"/>
      <c r="E110" s="445" t="n"/>
      <c r="F110" s="445" t="n"/>
      <c r="G110" s="445" t="n"/>
      <c r="H110" s="445" t="n"/>
      <c r="I110" s="445" t="n"/>
      <c r="J110" s="445" t="n"/>
      <c r="K110" s="445" t="n"/>
      <c r="L110" s="445" t="n"/>
      <c r="M110" s="445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63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63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63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63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63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63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63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63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63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63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63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63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63">
        <f>IF(OR(B268="",B103="",B103=0),"",B268/B103)</f>
        <v/>
      </c>
      <c r="C113" s="463">
        <f>IF(OR(C268="",C103="",C103=0),"",C268/C103)</f>
        <v/>
      </c>
      <c r="D113" s="463">
        <f>IF(OR(D268="",D103="",D103=0),"",D268/D103)</f>
        <v/>
      </c>
      <c r="E113" s="463">
        <f>IF(OR(E268="",E103="",E103=0),"",E268/E103)</f>
        <v/>
      </c>
      <c r="F113" s="463">
        <f>IF(OR(F268="",F103="",F103=0),"",F268/F103)</f>
        <v/>
      </c>
      <c r="G113" s="463">
        <f>IF(OR(G268="",G103="",G103=0),"",G268/G103)</f>
        <v/>
      </c>
      <c r="H113" s="463">
        <f>IF(OR(H268="",H103="",H103=0),"",H268/H103)</f>
        <v/>
      </c>
      <c r="I113" s="463">
        <f>IF(OR(I268="",I103="",I103=0),"",I268/I103)</f>
        <v/>
      </c>
      <c r="J113" s="463">
        <f>IF(OR(J268="",J103="",J103=0),"",J268/J103)</f>
        <v/>
      </c>
      <c r="K113" s="463">
        <f>IF(OR(K268="",K103="",K103=0),"",K268/K103)</f>
        <v/>
      </c>
      <c r="L113" s="463">
        <f>IF(OR(L268="",L103="",L103=0),"",L268/L103)</f>
        <v/>
      </c>
      <c r="M113" s="463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63">
        <f>IF(OR(B268="",B269="",B270="",B103="",B103=0),"",(B268-B269-B270)/B103)</f>
        <v/>
      </c>
      <c r="C114" s="463">
        <f>IF(OR(C268="",C269="",C270="",C103="",C103=0),"",(C268-C269-C270)/C103)</f>
        <v/>
      </c>
      <c r="D114" s="463">
        <f>IF(OR(D268="",D269="",D270="",D103="",D103=0),"",(D268-D269-D270)/D103)</f>
        <v/>
      </c>
      <c r="E114" s="463">
        <f>IF(OR(E268="",E269="",E270="",E103="",E103=0),"",(E268-E269-E270)/E103)</f>
        <v/>
      </c>
      <c r="F114" s="463">
        <f>IF(OR(F268="",F269="",F270="",F103="",F103=0),"",(F268-F269-F270)/F103)</f>
        <v/>
      </c>
      <c r="G114" s="463">
        <f>IF(OR(G268="",G269="",G270="",G103="",G103=0),"",(G268-G269-G270)/G103)</f>
        <v/>
      </c>
      <c r="H114" s="463">
        <f>IF(OR(H268="",H269="",H270="",H103="",H103=0),"",(H268-H269-H270)/H103)</f>
        <v/>
      </c>
      <c r="I114" s="463">
        <f>IF(OR(I268="",I269="",I270="",I103="",I103=0),"",(I268-I269-I270)/I103)</f>
        <v/>
      </c>
      <c r="J114" s="463">
        <f>IF(OR(J268="",J269="",J270="",J103="",J103=0),"",(J268-J269-J270)/J103)</f>
        <v/>
      </c>
      <c r="K114" s="463">
        <f>IF(OR(K268="",K269="",K270="",K103="",K103=0),"",(K268-K269-K270)/K103)</f>
        <v/>
      </c>
      <c r="L114" s="463">
        <f>IF(OR(L268="",L269="",L270="",L103="",L103=0),"",(L268-L269-L270)/L103)</f>
        <v/>
      </c>
      <c r="M114" s="463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63">
        <f>IF(OR(B49="",B102="",B102=0),"",B49/B102)</f>
        <v/>
      </c>
      <c r="C115" s="463">
        <f>IF(OR(C49="",C102="",C102=0),"",C49/C102)</f>
        <v/>
      </c>
      <c r="D115" s="463">
        <f>IF(OR(D49="",D102="",D102=0),"",D49/D102)</f>
        <v/>
      </c>
      <c r="E115" s="463">
        <f>IF(OR(E49="",E102="",E102=0),"",E49/E102)</f>
        <v/>
      </c>
      <c r="F115" s="463">
        <f>IF(OR(F49="",F102="",F102=0),"",F49/F102)</f>
        <v/>
      </c>
      <c r="G115" s="463">
        <f>IF(OR(G49="",G102="",G102=0),"",G49/G102)</f>
        <v/>
      </c>
      <c r="H115" s="463">
        <f>IF(OR(H49="",H102="",H102=0),"",H49/H102)</f>
        <v/>
      </c>
      <c r="I115" s="463">
        <f>IF(OR(I49="",I102="",I102=0),"",I49/I102)</f>
        <v/>
      </c>
      <c r="J115" s="463">
        <f>IF(OR(J49="",J102="",J102=0),"",J49/J102)</f>
        <v/>
      </c>
      <c r="K115" s="463">
        <f>IF(OR(K49="",K102="",K102=0),"",K49/K102)</f>
        <v/>
      </c>
      <c r="L115" s="463">
        <f>IF(OR(L49="",L102="",L102=0),"",L49/L102)</f>
        <v/>
      </c>
      <c r="M115" s="463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64" t="inlineStr">
        <is>
          <t>Debt Detail (latest)</t>
        </is>
      </c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91" t="inlineStr">
        <is>
          <t>Year/Label</t>
        </is>
      </c>
      <c r="B123" s="465" t="inlineStr">
        <is>
          <t>Principal due ($m)</t>
        </is>
      </c>
      <c r="C123" s="465" t="inlineStr">
        <is>
          <t>Rate type</t>
        </is>
      </c>
      <c r="D123" s="465" t="inlineStr">
        <is>
          <t>Coupon/Spread %</t>
        </is>
      </c>
      <c r="F123" s="465" t="inlineStr">
        <is>
          <t>Maturity</t>
        </is>
      </c>
      <c r="G123" s="465" t="inlineStr">
        <is>
          <t>Conversion price</t>
        </is>
      </c>
      <c r="I123" s="465" t="inlineStr">
        <is>
          <t>Added shares on full conversion (m)</t>
        </is>
      </c>
      <c r="L123" s="465" t="inlineStr">
        <is>
          <t>Concurrent repurchased shares (m)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64" t="inlineStr">
        <is>
          <t>Hidden value flags</t>
        </is>
      </c>
      <c r="N137" s="466" t="inlineStr">
        <is>
          <t>Hidden Value Panel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Flag</t>
        </is>
      </c>
      <c r="B138" s="467" t="inlineStr">
        <is>
          <t>Summary</t>
        </is>
      </c>
      <c r="C138" s="467" t="inlineStr"/>
      <c r="D138" s="467" t="inlineStr"/>
      <c r="E138" s="467" t="inlineStr"/>
      <c r="F138" s="467" t="inlineStr">
        <is>
          <t>Score</t>
        </is>
      </c>
      <c r="G138" s="467" t="inlineStr">
        <is>
          <t>Severity</t>
        </is>
      </c>
      <c r="H138" s="467" t="inlineStr">
        <is>
          <t>Result / support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Hidden value score (0-100)</t>
        </is>
      </c>
      <c r="O138" s="104" t="n"/>
      <c r="P138" s="104" t="n"/>
      <c r="Q138" s="105" t="n"/>
      <c r="R138" s="100" t="n"/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19.5" customHeight="1">
      <c r="A139" s="102" t="inlineStr">
        <is>
          <t>No triggered flags</t>
        </is>
      </c>
      <c r="B139" s="103" t="n"/>
      <c r="C139" s="104" t="n"/>
      <c r="D139" s="104" t="n"/>
      <c r="E139" s="105" t="n"/>
      <c r="F139" s="106" t="n"/>
      <c r="G139" s="103" t="n"/>
      <c r="H139" s="107" t="n"/>
      <c r="I139" s="104" t="n"/>
      <c r="J139" s="104" t="n"/>
      <c r="K139" s="104" t="n"/>
      <c r="L139" s="104" t="n"/>
      <c r="M139" s="105" t="n"/>
      <c r="N139" s="98" t="inlineStr">
        <is>
          <t>Profitability inflection</t>
        </is>
      </c>
      <c r="O139" s="104" t="n"/>
      <c r="P139" s="104" t="n"/>
      <c r="Q139" s="105" t="n"/>
      <c r="R139" s="100" t="n"/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>
        <f>IFERROR(MATCH(1,'Hidden_Value_Flags'!$L$2:$L$100,0)+1,"")</f>
        <v/>
      </c>
    </row>
    <row r="140" ht="19.5" customHeight="1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98" t="inlineStr">
        <is>
          <t>Cash engine</t>
        </is>
      </c>
      <c r="O140" s="104" t="n"/>
      <c r="P140" s="104" t="n"/>
      <c r="Q140" s="105" t="n"/>
      <c r="R140" s="100" t="n"/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19.5" customHeight="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98" t="inlineStr">
        <is>
          <t>Deleveraging/risk down</t>
        </is>
      </c>
      <c r="O141" s="104" t="n"/>
      <c r="P141" s="104" t="n"/>
      <c r="Q141" s="105" t="n"/>
      <c r="R141" s="100" t="n"/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19.5" customHeight="1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98" t="inlineStr">
        <is>
          <t>Quality of earnings</t>
        </is>
      </c>
      <c r="O142" s="104" t="n"/>
      <c r="P142" s="104" t="n"/>
      <c r="Q142" s="105" t="n"/>
      <c r="R142" s="100" t="n"/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19.5" customHeight="1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98" t="inlineStr">
        <is>
          <t>Narrative confirmation</t>
        </is>
      </c>
      <c r="O143" s="104" t="n"/>
      <c r="P143" s="104" t="n"/>
      <c r="Q143" s="105" t="n"/>
      <c r="R143" s="100" t="n"/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t="19.5" customHeight="1">
      <c r="A145" s="464" t="inlineStr">
        <is>
          <t>Operating signals</t>
        </is>
      </c>
      <c r="B145" s="31" t="n"/>
      <c r="C145" s="31" t="n"/>
      <c r="D145" s="31" t="n"/>
      <c r="E145" s="31" t="n"/>
      <c r="F145" s="31" t="n"/>
      <c r="G145" s="31" t="n"/>
      <c r="H145" s="31" t="n"/>
      <c r="I145" s="31" t="n"/>
      <c r="J145" s="31" t="n"/>
      <c r="K145" s="31" t="n"/>
      <c r="L145" s="31" t="n"/>
      <c r="M145" s="31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t="19.5" customHeight="1">
      <c r="A146" s="108" t="inlineStr">
        <is>
          <t>Signal 1</t>
        </is>
      </c>
      <c r="B146" s="101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t="19.5" customHeight="1">
      <c r="A147" s="108" t="inlineStr">
        <is>
          <t>Signal 2</t>
        </is>
      </c>
      <c r="B147" s="101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t="19.5" customHeight="1">
      <c r="A148" s="108" t="inlineStr">
        <is>
          <t>Signal 3</t>
        </is>
      </c>
      <c r="B148" s="101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t="19.5" customHeight="1">
      <c r="A149" s="108" t="inlineStr">
        <is>
          <t>Signal 4</t>
        </is>
      </c>
      <c r="B149" s="101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t="19.5" customHeight="1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t="19.5" customHeight="1">
      <c r="A151" s="464" t="inlineStr">
        <is>
          <t>Capital return</t>
        </is>
      </c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1" t="n"/>
      <c r="K151" s="31" t="n"/>
      <c r="L151" s="31" t="n"/>
      <c r="M151" s="31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t="19.5" customHeight="1">
      <c r="A152" s="108" t="inlineStr">
        <is>
          <t>Buybacks (shares)</t>
        </is>
      </c>
      <c r="B152" s="101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t="19.5" customHeight="1">
      <c r="A153" s="108" t="inlineStr">
        <is>
          <t>Buybacks note</t>
        </is>
      </c>
      <c r="B153" s="101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t="19.5" customHeight="1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t="19.5" customHeight="1">
      <c r="A155" s="108" t="inlineStr">
        <is>
          <t>Dividends ($/share)</t>
        </is>
      </c>
      <c r="B155" s="101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t="19.5" customHeight="1">
      <c r="A156" s="108" t="inlineStr">
        <is>
          <t>Dividends note</t>
        </is>
      </c>
      <c r="B156" s="101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t="19.5" customHeight="1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t="19.5" customHeight="1">
      <c r="A158" s="468" t="inlineStr">
        <is>
          <t>Trend/Δ (last 4Q)</t>
        </is>
      </c>
      <c r="B158" s="110" t="n"/>
      <c r="C158" s="110" t="n"/>
      <c r="D158" s="110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t="19.5" customHeight="1">
      <c r="A159" s="111" t="inlineStr">
        <is>
          <t>Metric</t>
        </is>
      </c>
      <c r="B159" s="469" t="inlineStr">
        <is>
          <t>Δ</t>
        </is>
      </c>
      <c r="C159" s="469" t="inlineStr">
        <is>
          <t>Direction</t>
        </is>
      </c>
      <c r="D159" s="469" t="inlineStr">
        <is>
          <t>As-of</t>
        </is>
      </c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t="19.5" customHeight="1">
      <c r="A160" s="28" t="inlineStr">
        <is>
          <t>Revenue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t="19.5" customHeight="1">
      <c r="A161" s="28" t="inlineStr">
        <is>
          <t>Gross margin</t>
        </is>
      </c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t="19.5" customHeight="1">
      <c r="A162" s="28" t="inlineStr">
        <is>
          <t>Operating margin</t>
        </is>
      </c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t="19.5" customHeight="1">
      <c r="A163" s="28" t="inlineStr">
        <is>
          <t>Net margin</t>
        </is>
      </c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t="19.5" customHeight="1">
      <c r="A164" s="28" t="inlineStr">
        <is>
          <t>FCF TTM (YoY)</t>
        </is>
      </c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t="19.5" customHeight="1">
      <c r="A165" s="28" t="inlineStr">
        <is>
          <t>Net debt (YoY Δ)</t>
        </is>
      </c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t="19.5" customHeight="1">
      <c r="A166" s="28" t="inlineStr">
        <is>
          <t>Shares out (YoY)</t>
        </is>
      </c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t="19.5" customHeight="1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t="19.5" customHeight="1">
      <c r="A168" s="470" t="inlineStr">
        <is>
          <t>Red/Green Flags</t>
        </is>
      </c>
      <c r="J168" s="28" t="n"/>
      <c r="K168" s="28" t="n"/>
      <c r="L168" s="28" t="n"/>
      <c r="M168" s="28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t="19.5" customHeight="1">
      <c r="A169" s="471" t="inlineStr">
        <is>
          <t>Flag</t>
        </is>
      </c>
      <c r="B169" s="471" t="inlineStr">
        <is>
          <t>Status</t>
        </is>
      </c>
      <c r="C169" s="472" t="inlineStr">
        <is>
          <t>Evidence</t>
        </is>
      </c>
      <c r="I169" s="471" t="inlineStr">
        <is>
          <t>As-of</t>
        </is>
      </c>
      <c r="J169" s="28" t="n"/>
      <c r="K169" s="28" t="n"/>
      <c r="L169" s="28" t="n"/>
      <c r="M169" s="28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t="19.5" customHeight="1">
      <c r="A170" s="28" t="inlineStr">
        <is>
          <t>Red: Revenue up but CFO down (YoY)</t>
        </is>
      </c>
      <c r="B170" s="28" t="n"/>
      <c r="C170" s="362" t="n"/>
      <c r="I170" s="28" t="n"/>
      <c r="J170" s="28" t="n"/>
      <c r="K170" s="28" t="n"/>
      <c r="L170" s="28" t="n"/>
      <c r="M170" s="28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t="19.5" customHeight="1">
      <c r="A171" s="28" t="inlineStr">
        <is>
          <t>Red: Earnings quality CFO/NI (TTM)</t>
        </is>
      </c>
      <c r="B171" s="28" t="n"/>
      <c r="C171" s="362" t="n"/>
      <c r="I171" s="28" t="n"/>
      <c r="J171" s="28" t="n"/>
      <c r="K171" s="28" t="n"/>
      <c r="L171" s="28" t="n"/>
      <c r="M171" s="28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t="19.5" customHeight="1">
      <c r="A172" s="28" t="inlineStr">
        <is>
          <t>Red: AR growing faster than revenue (YoY)</t>
        </is>
      </c>
      <c r="B172" s="28" t="n"/>
      <c r="C172" s="362" t="n"/>
      <c r="I172" s="28" t="n"/>
      <c r="J172" s="28" t="n"/>
      <c r="K172" s="28" t="n"/>
      <c r="L172" s="28" t="n"/>
      <c r="M172" s="28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t="19.5" customHeight="1">
      <c r="A173" s="28" t="inlineStr">
        <is>
          <t>Red: Inventory build without revenue growth</t>
        </is>
      </c>
      <c r="B173" s="28" t="n"/>
      <c r="C173" s="362" t="n"/>
      <c r="I173" s="28" t="n"/>
      <c r="J173" s="28" t="n"/>
      <c r="K173" s="28" t="n"/>
      <c r="L173" s="28" t="n"/>
      <c r="M173" s="28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t="19.5" customHeight="1">
      <c r="A174" s="28" t="inlineStr">
        <is>
          <t>Red: Debt growing faster than revenue (YoY)</t>
        </is>
      </c>
      <c r="B174" s="28" t="n"/>
      <c r="C174" s="362" t="n"/>
      <c r="I174" s="28" t="n"/>
      <c r="J174" s="28" t="n"/>
      <c r="K174" s="28" t="n"/>
      <c r="L174" s="28" t="n"/>
      <c r="M174" s="28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t="19.5" customHeight="1">
      <c r="A175" s="28" t="inlineStr">
        <is>
          <t>Red: Leverage rising (YoY Δ)</t>
        </is>
      </c>
      <c r="B175" s="28" t="n"/>
      <c r="C175" s="362" t="n"/>
      <c r="I175" s="28" t="n"/>
      <c r="J175" s="28" t="n"/>
      <c r="K175" s="28" t="n"/>
      <c r="L175" s="28" t="n"/>
      <c r="M175" s="28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t="19.5" customHeight="1">
      <c r="A176" s="28" t="inlineStr">
        <is>
          <t>Red: Interest coverage low (cash)</t>
        </is>
      </c>
      <c r="B176" s="28" t="n"/>
      <c r="C176" s="362" t="n"/>
      <c r="I176" s="28" t="n"/>
      <c r="J176" s="28" t="n"/>
      <c r="K176" s="28" t="n"/>
      <c r="L176" s="28" t="n"/>
      <c r="M176" s="28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t="19.5" customHeight="1">
      <c r="A177" s="28" t="inlineStr">
        <is>
          <t>Red: FCF negative while EBITDA positive (TTM)</t>
        </is>
      </c>
      <c r="B177" s="28" t="n"/>
      <c r="C177" s="362" t="n"/>
      <c r="I177" s="28" t="n"/>
      <c r="J177" s="28" t="n"/>
      <c r="K177" s="28" t="n"/>
      <c r="L177" s="28" t="n"/>
      <c r="M177" s="28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t="19.5" customHeight="1">
      <c r="A178" s="28" t="inlineStr">
        <is>
          <t>Watch: Buybacks exceeded FCF</t>
        </is>
      </c>
      <c r="B178" s="28" t="n"/>
      <c r="C178" s="362" t="n"/>
      <c r="I178" s="28" t="n"/>
      <c r="J178" s="28" t="n"/>
      <c r="K178" s="28" t="n"/>
      <c r="L178" s="28" t="n"/>
      <c r="M178" s="28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t="19.5" customHeight="1">
      <c r="A179" s="28" t="inlineStr">
        <is>
          <t>Red: Goodwill heavy</t>
        </is>
      </c>
      <c r="B179" s="28" t="n"/>
      <c r="C179" s="362" t="n"/>
      <c r="I179" s="28" t="n"/>
      <c r="J179" s="28" t="n"/>
      <c r="K179" s="28" t="n"/>
      <c r="L179" s="28" t="n"/>
      <c r="M179" s="28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t="19.5" customHeight="1">
      <c r="A180" s="28" t="inlineStr">
        <is>
          <t>Red: Share dilution (YoY)</t>
        </is>
      </c>
      <c r="B180" s="28" t="n"/>
      <c r="C180" s="362" t="n"/>
      <c r="I180" s="28" t="n"/>
      <c r="J180" s="28" t="n"/>
      <c r="K180" s="28" t="n"/>
      <c r="L180" s="28" t="n"/>
      <c r="M180" s="28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t="19.5" customHeight="1">
      <c r="A181" s="28" t="inlineStr">
        <is>
          <t>Red: Pension obligations pressure</t>
        </is>
      </c>
      <c r="B181" s="28" t="n"/>
      <c r="C181" s="362" t="n"/>
      <c r="I181" s="28" t="n"/>
      <c r="J181" s="28" t="n"/>
      <c r="K181" s="28" t="n"/>
      <c r="L181" s="28" t="n"/>
      <c r="M181" s="28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t="19.5" customHeight="1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t="19.5" customHeight="1">
      <c r="A183" s="28" t="inlineStr">
        <is>
          <t>Green: Operating margin trend QoQ</t>
        </is>
      </c>
      <c r="B183" s="28" t="n"/>
      <c r="C183" s="362" t="n"/>
      <c r="I183" s="28" t="n"/>
      <c r="J183" s="28" t="n"/>
      <c r="K183" s="28" t="n"/>
      <c r="L183" s="28" t="n"/>
      <c r="M183" s="28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t="19.5" customHeight="1">
      <c r="A184" s="28" t="inlineStr">
        <is>
          <t>Green: FCF TTM growth (YoY)</t>
        </is>
      </c>
      <c r="B184" s="28" t="n"/>
      <c r="C184" s="362" t="n"/>
      <c r="I184" s="28" t="n"/>
      <c r="J184" s="28" t="n"/>
      <c r="K184" s="28" t="n"/>
      <c r="L184" s="28" t="n"/>
      <c r="M184" s="28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t="19.5" customHeight="1">
      <c r="A185" s="28" t="inlineStr">
        <is>
          <t>Green: Net debt decreasing (YoY)</t>
        </is>
      </c>
      <c r="B185" s="28" t="n"/>
      <c r="C185" s="362" t="n"/>
      <c r="I185" s="28" t="n"/>
      <c r="J185" s="28" t="n"/>
      <c r="K185" s="28" t="n"/>
      <c r="L185" s="28" t="n"/>
      <c r="M185" s="28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t="19.5" customHeight="1">
      <c r="A186" s="28" t="inlineStr">
        <is>
          <t>Green: Interest coverage improving (YoY)</t>
        </is>
      </c>
      <c r="B186" s="28" t="n"/>
      <c r="C186" s="362" t="n"/>
      <c r="I186" s="28" t="n"/>
      <c r="J186" s="28" t="n"/>
      <c r="K186" s="28" t="n"/>
      <c r="L186" s="28" t="n"/>
      <c r="M186" s="28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t="19.5" customHeight="1">
      <c r="A187" s="28" t="inlineStr">
        <is>
          <t>Green: Shares outstanding decreasing (YoY)</t>
        </is>
      </c>
      <c r="B187" s="28" t="n"/>
      <c r="C187" s="362" t="n"/>
      <c r="I187" s="28" t="n"/>
      <c r="J187" s="28" t="n"/>
      <c r="K187" s="28" t="n"/>
      <c r="L187" s="28" t="n"/>
      <c r="M187" s="28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t="19.5" customHeight="1">
      <c r="A188" s="28" t="inlineStr">
        <is>
          <t>Green: Liquidity improving (YoY)</t>
        </is>
      </c>
      <c r="B188" s="28" t="n"/>
      <c r="C188" s="362" t="n"/>
      <c r="I188" s="28" t="n"/>
      <c r="J188" s="28" t="n"/>
      <c r="K188" s="28" t="n"/>
      <c r="L188" s="28" t="n"/>
      <c r="M188" s="28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73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474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475">
        <f>IF(OR(Price="",Shares=""),"",Price*Shares)</f>
        <v/>
      </c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47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475">
        <f>IF(OR(MarketCap="",NetDebt=""),"",MarketCap+NetDebt)</f>
        <v/>
      </c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445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>
        <f>IF(OR(EV="",Adj_EBITDA="",Adj_EBITDA=0),"",EV/Adj_EBITDA)</f>
        <v/>
      </c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445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>
        <f>IF(OR(EV="",Base_EBITDA="",Base_EBITDA=0),"",EV/Base_EBITDA)</f>
        <v/>
      </c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445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475">
        <f>IF(OR(FCF_TTM="",InterestPaid_TTM=""),"",FCF_TTM+InterestPaid_TTM)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(base, TTM)</t>
        </is>
      </c>
      <c r="D199" s="445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>
        <f>IF(OR(FCFF_Proxy_TTM="",EV="",EV=0),"",FCFF_Proxy_TTM/EV)</f>
        <v/>
      </c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Adjusted EBITDA (TTM)</t>
        </is>
      </c>
      <c r="D200" s="445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>
        <f>IF(OR(FCF_TTM="",MarketCap="",MarketCap=0),"",FCF_TTM/MarketCap)</f>
        <v/>
      </c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445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475">
        <f>IF(OR(FCF_TTM="",Capex_TTM="",MaintCapexRatio="",RecurringCashCosts="",WCNormalization=""),"",FCF_TTM+(1-MaintCapexRatio)*Capex_TTM-RecurringCashCosts+WCNormalization)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CFO TTM ($m)</t>
        </is>
      </c>
      <c r="D202" s="445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>
        <f>IF(OR(OwnerEarnings_TTM="",EV="",EV=0),"",OwnerEarnings_TTM/EV)</f>
        <v/>
      </c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445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475">
        <f>IF(OR(Target_EV_AdjEBITDA="",Adj_EBITDA="",NetDebt="",IF(PerShareMode="Outstanding",Shares,IF(PerShareMode="Diluted",SharesDiluted,""))="",IF(PerShareMode="Outstanding",Shares,IF(PerShareMode="Diluted",SharesDiluted,""))=0),"",(Target_EV_AdjEBITDA*Adj_EBITDA-NetDebt)/IF(PerShareMode="Outstanding",Shares,IF(PerShareMode="Diluted",SharesDiluted,"")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Diluted EPS (GAAP, TTM)</t>
        </is>
      </c>
      <c r="D204" s="445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475">
        <f>IF(OR(Target_EV_EBITDA="",Base_EBITDA="",NetDebt="",IF(PerShareMode="Outstanding",Shares,IF(PerShareMode="Diluted",SharesDiluted,""))="",IF(PerShareMode="Outstanding",Shares,IF(PerShareMode="Diluted",SharesDiluted,""))=0),"",(Target_EV_EBITDA*Base_EBITDA-NetDebt)/IF(PerShareMode="Outstanding",Shares,IF(PerShareMode="Diluted",SharesDiluted,"")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Adjusted diluted EPS (TTM)</t>
        </is>
      </c>
      <c r="D205" s="445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475">
        <f>IF(OR(Target_EV_Yield="",Target_EV_Yield&lt;=0,Target_EV_Yield&gt;1,FCFF_Proxy_TTM="",NetDebt="",IF(PerShareMode="Outstanding",Shares,IF(PerShareMode="Diluted",SharesDiluted,""))="",IF(PerShareMode="Outstanding",Shares,IF(PerShareMode="Diluted",SharesDiluted,""))=0),"",(FCFF_Proxy_TTM/Target_EV_Yield-NetDebt)/IF(PerShareMode="Outstanding",Shares,IF(PerShareMode="Diluted",SharesDiluted,"")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Book value/share</t>
        </is>
      </c>
      <c r="D206" s="445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(GAAP, TTM)</t>
        </is>
      </c>
      <c r="N206" s="359">
        <f>IF(OR(Price="",EPS_TTM="",EPS_TTM=0),"",Price/EPS_TTM)</f>
        <v/>
      </c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Tangible book value/share</t>
        </is>
      </c>
      <c r="D207" s="445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(adjusted, TTM)</t>
        </is>
      </c>
      <c r="N207" s="359">
        <f>IF(OR(Price="",Adj_EPS_TTM="",Adj_EPS_TTM=0),"",Price/Adj_EPS_TTM)</f>
        <v/>
      </c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477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>
        <f>IF(OR(EV="",Revenue_TTM="",Revenue_TTM=0),"",EV/Revenue_TTM)</f>
        <v/>
      </c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477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359">
        <f>IF(OR(Price="",BV_PerShare="",BV_PerShare=0),"",Price/BV_PerShare)</f>
        <v/>
      </c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478" t="n"/>
      <c r="E210" s="124" t="inlineStr">
        <is>
          <t>User</t>
        </is>
      </c>
      <c r="F210" s="368" t="inlineStr">
        <is>
          <t>Enter a decimal percentage (for example, 10%); values above 100% are invalid.</t>
        </is>
      </c>
      <c r="J210" s="364" t="n"/>
      <c r="K210" s="125" t="inlineStr">
        <is>
          <t>Price/TBV</t>
        </is>
      </c>
      <c r="N210" s="359">
        <f>IF(OR(Price="",TBV_PerShare="",TBV_PerShare=0),"",Price/TBV_PerShare)</f>
        <v/>
      </c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445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445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478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479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479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480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inlineStr">
        <is>
          <t>Net income TTM ($m)</t>
        </is>
      </c>
      <c r="D217" s="481" t="n"/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inlineStr">
        <is>
          <t>Target EV/Revenue (x)</t>
        </is>
      </c>
      <c r="C218" s="22" t="n"/>
      <c r="D218" s="482" t="n"/>
      <c r="E218" s="22" t="n"/>
      <c r="F218" s="22" t="n"/>
      <c r="G218" s="48" t="inlineStr">
        <is>
          <t>Starting FCFF ($m)</t>
        </is>
      </c>
      <c r="J218" s="479" t="n"/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inlineStr">
        <is>
          <t>Target P/E (x)</t>
        </is>
      </c>
      <c r="C219" s="22" t="n"/>
      <c r="D219" s="482" t="n"/>
      <c r="E219" s="22" t="n"/>
      <c r="F219" s="22" t="n"/>
      <c r="G219" s="48" t="inlineStr">
        <is>
          <t>Growth (projection period)</t>
        </is>
      </c>
      <c r="J219" s="478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446">
        <f>IF(DCF_EV="","",DCF_EV)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inlineStr">
        <is>
          <t>DCF horizon (years)</t>
        </is>
      </c>
      <c r="C220" s="22" t="n"/>
      <c r="D220" s="482" t="n"/>
      <c r="E220" s="22" t="n"/>
      <c r="F220" s="22" t="n"/>
      <c r="G220" s="48" t="inlineStr">
        <is>
          <t>Terminal growth</t>
        </is>
      </c>
      <c r="J220" s="478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IF(DCF_WACC="","",DCF_WACC)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</t>
        </is>
      </c>
      <c r="J221" s="478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IF(DCF_TerminalGrowth="","",DCF_TerminalGrowth)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446">
        <f>IF(OR(DCF_FCFF="",DCF_FCFF&lt;=0,DCF_Growth="",DCF_TerminalGrowth="",DCF_WACC="",DCF_Horizon="",DCF_Horizon&lt;1,DCF_WACC&lt;=DCF_Growth,DCF_WACC&lt;=DCF_TerminalGrowth),"",DCF_FCFF*(1+DCF_Growth)/(DCF_WACC-DCF_Growth)*(1-((1+DCF_Growth)/(1+DCF_WACC))^DCF_Horizon)+DCF_FCFF*(1+DCF_Growth)^DCF_Horizon*(1+DCF_TerminalGrowth)/(DCF_WACC-DCF_TerminalGrowth)/(1+DCF_WACC)^DCF_Horizon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483">
        <f>IF(OR(DCF_EV="",NetDebt="",IF(PerShareMode="Outstanding",Shares,IF(PerShareMode="Diluted",SharesDiluted,""))="",IF(PerShareMode="Outstanding",Shares,IF(PerShareMode="Diluted",SharesDiluted,""))&lt;=0),"",(DCF_EV-NetDebt)/IF(PerShareMode="Outstanding",Shares,IF(PerShareMode="Diluted",SharesDiluted,"")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/ terminal growth</t>
        </is>
      </c>
      <c r="H226" s="484" t="n"/>
      <c r="I226" s="485" t="n"/>
      <c r="J226" s="485" t="n"/>
      <c r="K226" s="485" t="n"/>
      <c r="L226" s="484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484" t="n"/>
      <c r="H227" s="486">
        <f>IF(OR(DCF_FCFF="",DCF_FCFF&lt;=0,DCF_Growth="",DCF_Horizon="",DCF_Horizon&lt;1,$G$227="",$H$226="",$G$227&lt;=DCF_Growth,$G$227&lt;=$H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H$226)/($G$227-$H$226)/(1+$G$227)^DCF_Horizon-NetDebt)/IF(PerShareMode="Outstanding",Shares,IF(PerShareMode="Diluted",SharesDiluted,"")))</f>
        <v/>
      </c>
      <c r="I227" s="486">
        <f>IF(OR(DCF_FCFF="",DCF_FCFF&lt;=0,DCF_Growth="",DCF_Horizon="",DCF_Horizon&lt;1,$G$227="",$I$226="",$G$227&lt;=DCF_Growth,$G$227&lt;=$I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I$226)/($G$227-$I$226)/(1+$G$227)^DCF_Horizon-NetDebt)/IF(PerShareMode="Outstanding",Shares,IF(PerShareMode="Diluted",SharesDiluted,"")))</f>
        <v/>
      </c>
      <c r="J227" s="486">
        <f>IF(OR(DCF_FCFF="",DCF_FCFF&lt;=0,DCF_Growth="",DCF_Horizon="",DCF_Horizon&lt;1,$G$227="",$J$226="",$G$227&lt;=DCF_Growth,$G$227&lt;=$J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J$226)/($G$227-$J$226)/(1+$G$227)^DCF_Horizon-NetDebt)/IF(PerShareMode="Outstanding",Shares,IF(PerShareMode="Diluted",SharesDiluted,"")))</f>
        <v/>
      </c>
      <c r="K227" s="486">
        <f>IF(OR(DCF_FCFF="",DCF_FCFF&lt;=0,DCF_Growth="",DCF_Horizon="",DCF_Horizon&lt;1,$G$227="",$K$226="",$G$227&lt;=DCF_Growth,$G$227&lt;=$K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K$226)/($G$227-$K$226)/(1+$G$227)^DCF_Horizon-NetDebt)/IF(PerShareMode="Outstanding",Shares,IF(PerShareMode="Diluted",SharesDiluted,"")))</f>
        <v/>
      </c>
      <c r="L227" s="486">
        <f>IF(OR(DCF_FCFF="",DCF_FCFF&lt;=0,DCF_Growth="",DCF_Horizon="",DCF_Horizon&lt;1,$G$227="",$L$226="",$G$227&lt;=DCF_Growth,$G$227&lt;=$L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L$226)/($G$227-$L$226)/(1+$G$227)^DCF_Horizon-NetDebt)/IF(PerShareMode="Outstanding",Shares,IF(PerShareMode="Diluted",SharesDiluted,""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485" t="n"/>
      <c r="H228" s="486">
        <f>IF(OR(DCF_FCFF="",DCF_FCFF&lt;=0,DCF_Growth="",DCF_Horizon="",DCF_Horizon&lt;1,$G$228="",$H$226="",$G$228&lt;=DCF_Growth,$G$228&lt;=$H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H$226)/($G$228-$H$226)/(1+$G$228)^DCF_Horizon-NetDebt)/IF(PerShareMode="Outstanding",Shares,IF(PerShareMode="Diluted",SharesDiluted,"")))</f>
        <v/>
      </c>
      <c r="I228" s="487">
        <f>IF(OR(DCF_FCFF="",DCF_FCFF&lt;=0,DCF_Growth="",DCF_Horizon="",DCF_Horizon&lt;1,$G$228="",$I$226="",$G$228&lt;=DCF_Growth,$G$228&lt;=$I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I$226)/($G$228-$I$226)/(1+$G$228)^DCF_Horizon-NetDebt)/IF(PerShareMode="Outstanding",Shares,IF(PerShareMode="Diluted",SharesDiluted,"")))</f>
        <v/>
      </c>
      <c r="J228" s="488">
        <f>IF(OR(DCF_FCFF="",DCF_FCFF&lt;=0,DCF_Growth="",DCF_Horizon="",DCF_Horizon&lt;1,$G$228="",$J$226="",$G$228&lt;=DCF_Growth,$G$228&lt;=$J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J$226)/($G$228-$J$226)/(1+$G$228)^DCF_Horizon-NetDebt)/IF(PerShareMode="Outstanding",Shares,IF(PerShareMode="Diluted",SharesDiluted,"")))</f>
        <v/>
      </c>
      <c r="K228" s="489">
        <f>IF(OR(DCF_FCFF="",DCF_FCFF&lt;=0,DCF_Growth="",DCF_Horizon="",DCF_Horizon&lt;1,$G$228="",$K$226="",$G$228&lt;=DCF_Growth,$G$228&lt;=$K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K$226)/($G$228-$K$226)/(1+$G$228)^DCF_Horizon-NetDebt)/IF(PerShareMode="Outstanding",Shares,IF(PerShareMode="Diluted",SharesDiluted,"")))</f>
        <v/>
      </c>
      <c r="L228" s="486">
        <f>IF(OR(DCF_FCFF="",DCF_FCFF&lt;=0,DCF_Growth="",DCF_Horizon="",DCF_Horizon&lt;1,$G$228="",$L$226="",$G$228&lt;=DCF_Growth,$G$228&lt;=$L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L$226)/($G$228-$L$226)/(1+$G$228)^DCF_Horizon-NetDebt)/IF(PerShareMode="Outstanding",Shares,IF(PerShareMode="Diluted",SharesDiluted,""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485" t="n"/>
      <c r="H229" s="486">
        <f>IF(OR(DCF_FCFF="",DCF_FCFF&lt;=0,DCF_Growth="",DCF_Horizon="",DCF_Horizon&lt;1,$G$229="",$H$226="",$G$229&lt;=DCF_Growth,$G$229&lt;=$H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H$226)/($G$229-$H$226)/(1+$G$229)^DCF_Horizon-NetDebt)/IF(PerShareMode="Outstanding",Shares,IF(PerShareMode="Diluted",SharesDiluted,"")))</f>
        <v/>
      </c>
      <c r="I229" s="490">
        <f>IF(OR(DCF_FCFF="",DCF_FCFF&lt;=0,DCF_Growth="",DCF_Horizon="",DCF_Horizon&lt;1,$G$229="",$I$226="",$G$229&lt;=DCF_Growth,$G$229&lt;=$I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I$226)/($G$229-$I$226)/(1+$G$229)^DCF_Horizon-NetDebt)/IF(PerShareMode="Outstanding",Shares,IF(PerShareMode="Diluted",SharesDiluted,"")))</f>
        <v/>
      </c>
      <c r="J229" s="491">
        <f>IF(OR(DCF_FCFF="",DCF_FCFF&lt;=0,DCF_Growth="",DCF_Horizon="",DCF_Horizon&lt;1,$G$229="",$J$226="",$G$229&lt;=DCF_Growth,$G$229&lt;=$J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J$226)/($G$229-$J$226)/(1+$G$229)^DCF_Horizon-NetDebt)/IF(PerShareMode="Outstanding",Shares,IF(PerShareMode="Diluted",SharesDiluted,"")))</f>
        <v/>
      </c>
      <c r="K229" s="492">
        <f>IF(OR(DCF_FCFF="",DCF_FCFF&lt;=0,DCF_Growth="",DCF_Horizon="",DCF_Horizon&lt;1,$G$229="",$K$226="",$G$229&lt;=DCF_Growth,$G$229&lt;=$K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K$226)/($G$229-$K$226)/(1+$G$229)^DCF_Horizon-NetDebt)/IF(PerShareMode="Outstanding",Shares,IF(PerShareMode="Diluted",SharesDiluted,"")))</f>
        <v/>
      </c>
      <c r="L229" s="486">
        <f>IF(OR(DCF_FCFF="",DCF_FCFF&lt;=0,DCF_Growth="",DCF_Horizon="",DCF_Horizon&lt;1,$G$229="",$L$226="",$G$229&lt;=DCF_Growth,$G$229&lt;=$L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L$226)/($G$229-$L$226)/(1+$G$229)^DCF_Horizon-NetDebt)/IF(PerShareMode="Outstanding",Shares,IF(PerShareMode="Diluted",SharesDiluted,""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485" t="n"/>
      <c r="H230" s="486">
        <f>IF(OR(DCF_FCFF="",DCF_FCFF&lt;=0,DCF_Growth="",DCF_Horizon="",DCF_Horizon&lt;1,$G$230="",$H$226="",$G$230&lt;=DCF_Growth,$G$230&lt;=$H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H$226)/($G$230-$H$226)/(1+$G$230)^DCF_Horizon-NetDebt)/IF(PerShareMode="Outstanding",Shares,IF(PerShareMode="Diluted",SharesDiluted,"")))</f>
        <v/>
      </c>
      <c r="I230" s="490">
        <f>IF(OR(DCF_FCFF="",DCF_FCFF&lt;=0,DCF_Growth="",DCF_Horizon="",DCF_Horizon&lt;1,$G$230="",$I$226="",$G$230&lt;=DCF_Growth,$G$230&lt;=$I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I$226)/($G$230-$I$226)/(1+$G$230)^DCF_Horizon-NetDebt)/IF(PerShareMode="Outstanding",Shares,IF(PerShareMode="Diluted",SharesDiluted,"")))</f>
        <v/>
      </c>
      <c r="J230" s="491">
        <f>IF(OR(DCF_FCFF="",DCF_FCFF&lt;=0,DCF_Growth="",DCF_Horizon="",DCF_Horizon&lt;1,$G$230="",$J$226="",$G$230&lt;=DCF_Growth,$G$230&lt;=$J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J$226)/($G$230-$J$226)/(1+$G$230)^DCF_Horizon-NetDebt)/IF(PerShareMode="Outstanding",Shares,IF(PerShareMode="Diluted",SharesDiluted,"")))</f>
        <v/>
      </c>
      <c r="K230" s="492">
        <f>IF(OR(DCF_FCFF="",DCF_FCFF&lt;=0,DCF_Growth="",DCF_Horizon="",DCF_Horizon&lt;1,$G$230="",$K$226="",$G$230&lt;=DCF_Growth,$G$230&lt;=$K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K$226)/($G$230-$K$226)/(1+$G$230)^DCF_Horizon-NetDebt)/IF(PerShareMode="Outstanding",Shares,IF(PerShareMode="Diluted",SharesDiluted,"")))</f>
        <v/>
      </c>
      <c r="L230" s="486">
        <f>IF(OR(DCF_FCFF="",DCF_FCFF&lt;=0,DCF_Growth="",DCF_Horizon="",DCF_Horizon&lt;1,$G$230="",$L$226="",$G$230&lt;=DCF_Growth,$G$230&lt;=$L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L$226)/($G$230-$L$226)/(1+$G$230)^DCF_Horizon-NetDebt)/IF(PerShareMode="Outstanding",Shares,IF(PerShareMode="Diluted",SharesDiluted,""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485" t="n"/>
      <c r="H231" s="486">
        <f>IF(OR(DCF_FCFF="",DCF_FCFF&lt;=0,DCF_Growth="",DCF_Horizon="",DCF_Horizon&lt;1,$G$231="",$H$226="",$G$231&lt;=DCF_Growth,$G$231&lt;=$H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H$226)/($G$231-$H$226)/(1+$G$231)^DCF_Horizon-NetDebt)/IF(PerShareMode="Outstanding",Shares,IF(PerShareMode="Diluted",SharesDiluted,"")))</f>
        <v/>
      </c>
      <c r="I231" s="490">
        <f>IF(OR(DCF_FCFF="",DCF_FCFF&lt;=0,DCF_Growth="",DCF_Horizon="",DCF_Horizon&lt;1,$G$231="",$I$226="",$G$231&lt;=DCF_Growth,$G$231&lt;=$I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I$226)/($G$231-$I$226)/(1+$G$231)^DCF_Horizon-NetDebt)/IF(PerShareMode="Outstanding",Shares,IF(PerShareMode="Diluted",SharesDiluted,"")))</f>
        <v/>
      </c>
      <c r="J231" s="491">
        <f>IF(OR(DCF_FCFF="",DCF_FCFF&lt;=0,DCF_Growth="",DCF_Horizon="",DCF_Horizon&lt;1,$G$231="",$J$226="",$G$231&lt;=DCF_Growth,$G$231&lt;=$J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J$226)/($G$231-$J$226)/(1+$G$231)^DCF_Horizon-NetDebt)/IF(PerShareMode="Outstanding",Shares,IF(PerShareMode="Diluted",SharesDiluted,"")))</f>
        <v/>
      </c>
      <c r="K231" s="492">
        <f>IF(OR(DCF_FCFF="",DCF_FCFF&lt;=0,DCF_Growth="",DCF_Horizon="",DCF_Horizon&lt;1,$G$231="",$K$226="",$G$231&lt;=DCF_Growth,$G$231&lt;=$K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K$226)/($G$231-$K$226)/(1+$G$231)^DCF_Horizon-NetDebt)/IF(PerShareMode="Outstanding",Shares,IF(PerShareMode="Diluted",SharesDiluted,"")))</f>
        <v/>
      </c>
      <c r="L231" s="486">
        <f>IF(OR(DCF_FCFF="",DCF_FCFF&lt;=0,DCF_Growth="",DCF_Horizon="",DCF_Horizon&lt;1,$G$231="",$L$226="",$G$231&lt;=DCF_Growth,$G$231&lt;=$L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L$226)/($G$231-$L$226)/(1+$G$231)^DCF_Horizon-NetDebt)/IF(PerShareMode="Outstanding",Shares,IF(PerShareMode="Diluted",SharesDiluted,""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485" t="n"/>
      <c r="H232" s="486">
        <f>IF(OR(DCF_FCFF="",DCF_FCFF&lt;=0,DCF_Growth="",DCF_Horizon="",DCF_Horizon&lt;1,$G$232="",$H$226="",$G$232&lt;=DCF_Growth,$G$232&lt;=$H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H$226)/($G$232-$H$226)/(1+$G$232)^DCF_Horizon-NetDebt)/IF(PerShareMode="Outstanding",Shares,IF(PerShareMode="Diluted",SharesDiluted,"")))</f>
        <v/>
      </c>
      <c r="I232" s="493">
        <f>IF(OR(DCF_FCFF="",DCF_FCFF&lt;=0,DCF_Growth="",DCF_Horizon="",DCF_Horizon&lt;1,$G$232="",$I$226="",$G$232&lt;=DCF_Growth,$G$232&lt;=$I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I$226)/($G$232-$I$226)/(1+$G$232)^DCF_Horizon-NetDebt)/IF(PerShareMode="Outstanding",Shares,IF(PerShareMode="Diluted",SharesDiluted,"")))</f>
        <v/>
      </c>
      <c r="J232" s="494">
        <f>IF(OR(DCF_FCFF="",DCF_FCFF&lt;=0,DCF_Growth="",DCF_Horizon="",DCF_Horizon&lt;1,$G$232="",$J$226="",$G$232&lt;=DCF_Growth,$G$232&lt;=$J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J$226)/($G$232-$J$226)/(1+$G$232)^DCF_Horizon-NetDebt)/IF(PerShareMode="Outstanding",Shares,IF(PerShareMode="Diluted",SharesDiluted,"")))</f>
        <v/>
      </c>
      <c r="K232" s="495">
        <f>IF(OR(DCF_FCFF="",DCF_FCFF&lt;=0,DCF_Growth="",DCF_Horizon="",DCF_Horizon&lt;1,$G$232="",$K$226="",$G$232&lt;=DCF_Growth,$G$232&lt;=$K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K$226)/($G$232-$K$226)/(1+$G$232)^DCF_Horizon-NetDebt)/IF(PerShareMode="Outstanding",Shares,IF(PerShareMode="Diluted",SharesDiluted,"")))</f>
        <v/>
      </c>
      <c r="L232" s="486">
        <f>IF(OR(DCF_FCFF="",DCF_FCFF&lt;=0,DCF_Growth="",DCF_Horizon="",DCF_Horizon&lt;1,$G$232="",$L$226="",$G$232&lt;=DCF_Growth,$G$232&lt;=$L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L$226)/($G$232-$L$226)/(1+$G$232)^DCF_Horizon-NetDebt)/IF(PerShareMode="Outstanding",Shares,IF(PerShareMode="Diluted",SharesDiluted,""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484" t="n"/>
      <c r="H233" s="486">
        <f>IF(OR(DCF_FCFF="",DCF_FCFF&lt;=0,DCF_Growth="",DCF_Horizon="",DCF_Horizon&lt;1,$G$233="",$H$226="",$G$233&lt;=DCF_Growth,$G$233&lt;=$H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H$226)/($G$233-$H$226)/(1+$G$233)^DCF_Horizon-NetDebt)/IF(PerShareMode="Outstanding",Shares,IF(PerShareMode="Diluted",SharesDiluted,"")))</f>
        <v/>
      </c>
      <c r="I233" s="486">
        <f>IF(OR(DCF_FCFF="",DCF_FCFF&lt;=0,DCF_Growth="",DCF_Horizon="",DCF_Horizon&lt;1,$G$233="",$I$226="",$G$233&lt;=DCF_Growth,$G$233&lt;=$I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I$226)/($G$233-$I$226)/(1+$G$233)^DCF_Horizon-NetDebt)/IF(PerShareMode="Outstanding",Shares,IF(PerShareMode="Diluted",SharesDiluted,"")))</f>
        <v/>
      </c>
      <c r="J233" s="486">
        <f>IF(OR(DCF_FCFF="",DCF_FCFF&lt;=0,DCF_Growth="",DCF_Horizon="",DCF_Horizon&lt;1,$G$233="",$J$226="",$G$233&lt;=DCF_Growth,$G$233&lt;=$J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J$226)/($G$233-$J$226)/(1+$G$233)^DCF_Horizon-NetDebt)/IF(PerShareMode="Outstanding",Shares,IF(PerShareMode="Diluted",SharesDiluted,"")))</f>
        <v/>
      </c>
      <c r="K233" s="486">
        <f>IF(OR(DCF_FCFF="",DCF_FCFF&lt;=0,DCF_Growth="",DCF_Horizon="",DCF_Horizon&lt;1,$G$233="",$K$226="",$G$233&lt;=DCF_Growth,$G$233&lt;=$K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K$226)/($G$233-$K$226)/(1+$G$233)^DCF_Horizon-NetDebt)/IF(PerShareMode="Outstanding",Shares,IF(PerShareMode="Diluted",SharesDiluted,"")))</f>
        <v/>
      </c>
      <c r="L233" s="486">
        <f>IF(OR(DCF_FCFF="",DCF_FCFF&lt;=0,DCF_Growth="",DCF_Horizon="",DCF_Horizon&lt;1,$G$233="",$L$226="",$G$233&lt;=DCF_Growth,$G$233&lt;=$L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L$226)/($G$233-$L$226)/(1+$G$233)^DCF_Horizon-NetDebt)/IF(PerShareMode="Outstanding",Shares,IF(PerShareMode="Diluted",SharesDiluted,""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496" t="n"/>
      <c r="H234" s="497">
        <f>IF(OR(DCF_FCFF="",DCF_FCFF&lt;=0,DCF_Growth="",DCF_Horizon="",DCF_Horizon&lt;1,$G$234="",$H$226="",$G$234&lt;=DCF_Growth,$G$234&lt;=$H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H$226)/($G$234-$H$226)/(1+$G$234)^DCF_Horizon-NetDebt)/IF(PerShareMode="Outstanding",Shares,IF(PerShareMode="Diluted",SharesDiluted,"")))</f>
        <v/>
      </c>
      <c r="I234" s="497">
        <f>IF(OR(DCF_FCFF="",DCF_FCFF&lt;=0,DCF_Growth="",DCF_Horizon="",DCF_Horizon&lt;1,$G$234="",$I$226="",$G$234&lt;=DCF_Growth,$G$234&lt;=$I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I$226)/($G$234-$I$226)/(1+$G$234)^DCF_Horizon-NetDebt)/IF(PerShareMode="Outstanding",Shares,IF(PerShareMode="Diluted",SharesDiluted,"")))</f>
        <v/>
      </c>
      <c r="J234" s="497">
        <f>IF(OR(DCF_FCFF="",DCF_FCFF&lt;=0,DCF_Growth="",DCF_Horizon="",DCF_Horizon&lt;1,$G$234="",$J$226="",$G$234&lt;=DCF_Growth,$G$234&lt;=$J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J$226)/($G$234-$J$226)/(1+$G$234)^DCF_Horizon-NetDebt)/IF(PerShareMode="Outstanding",Shares,IF(PerShareMode="Diluted",SharesDiluted,"")))</f>
        <v/>
      </c>
      <c r="K234" s="497">
        <f>IF(OR(DCF_FCFF="",DCF_FCFF&lt;=0,DCF_Growth="",DCF_Horizon="",DCF_Horizon&lt;1,$G$234="",$K$226="",$G$234&lt;=DCF_Growth,$G$234&lt;=$K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K$226)/($G$234-$K$226)/(1+$G$234)^DCF_Horizon-NetDebt)/IF(PerShareMode="Outstanding",Shares,IF(PerShareMode="Diluted",SharesDiluted,"")))</f>
        <v/>
      </c>
      <c r="L234" s="497">
        <f>IF(OR(DCF_FCFF="",DCF_FCFF&lt;=0,DCF_Growth="",DCF_Horizon="",DCF_Horizon&lt;1,$G$234="",$L$226="",$G$234&lt;=DCF_Growth,$G$234&lt;=$L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L$226)/($G$234-$L$226)/(1+$G$234)^DCF_Horizon-NetDebt)/IF(PerShareMode="Outstanding",Shares,IF(PerShareMode="Diluted",SharesDiluted,""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Scenario economics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label</t>
        </is>
      </c>
      <c r="E236" s="498" t="n"/>
      <c r="F236" s="368">
        <f>IF(ScenarioProfile="","",IF(OR(ScenarioHorizon="",ResolvedRevenueGrowth_Custom="",ScenarioBaseMargin="",ScenarioAdjustedMargin="",ScenarioTaxRate="",ScenarioPreTaxBridge="",ScenarioTaxTreatment="",ScenarioCashInterestChange="",ScenarioInterestTaxTreatment="",ScenarioCapexChange="",ScenarioWCAdjustment="",ScenarioBuybackCash="",ScenarioShareIssuance="",ScenarioDebtPaydown="",Revenue_TTM="",FCF_TTM="",NetIncome_TTM="",NetDebt="",IF(PerShareMode="Outstanding",Shares,IF(PerShareMode="Diluted",SharesDiluted,""))="",AND(ScenarioBuybackCash&lt;&gt;0,OR(ScenarioBuybackPrice="",ScenarioBuybackPrice&lt;=0))),"Incomplete","Ready"))</f>
        <v/>
      </c>
      <c r="H236" t="inlineStr">
        <is>
          <t>Scenario horizon</t>
        </is>
      </c>
      <c r="J236" s="481" t="n"/>
      <c r="L236" s="125" t="inlineStr">
        <is>
          <t>Market cap ($m)</t>
        </is>
      </c>
      <c r="N236" s="499">
        <f>IF(OR(Price="",IF(PerShareMode="Outstanding",Shares,IF(PerShareMode="Diluted",SharesDiluted,""))=""),"",Price*IF(PerShareMode="Outstanding",Shares,IF(PerShareMode="Diluted",SharesDiluted,"")))</f>
        <v/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Revenue growth</t>
        </is>
      </c>
      <c r="E237" s="478" t="n"/>
      <c r="F237" s="368" t="inlineStr">
        <is>
          <t>Default from historical revenue growth distribution (recent 8 quarters).</t>
        </is>
      </c>
      <c r="K237" s="364" t="n"/>
      <c r="L237" s="125" t="inlineStr">
        <is>
          <t>Enterprise value ($m)</t>
        </is>
      </c>
      <c r="N237" s="499">
        <f>IF(OR(N236="",NetDebt=""),"",N236+NetDebt)</f>
        <v/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Base EBITDA margin</t>
        </is>
      </c>
      <c r="E238" s="478" t="n"/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revenue @ target EV/Revenue ($m)</t>
        </is>
      </c>
      <c r="N238" s="499">
        <f>IF(OR(N237="",Target_EV_Revenue="",Target_EV_Revenue&lt;=0),"",N237/Target_EV_Revenue)</f>
        <v/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Adjusted EBITDA margin</t>
        </is>
      </c>
      <c r="E239" s="479" t="n"/>
      <c r="F239" s="368" t="inlineStr">
        <is>
          <t>Manual refinancing normalization assumption.</t>
        </is>
      </c>
      <c r="K239" s="364" t="n"/>
      <c r="L239" s="125" t="inlineStr">
        <is>
          <t>Required adjusted EBITDA @ target multiple ($m)</t>
        </is>
      </c>
      <c r="N239" s="499">
        <f>IF(OR(N237="",Target_EV_AdjEBITDA="",Target_EV_AdjEBITDA&lt;=0),"",N237/Target_EV_AdjEBITDA)</f>
        <v/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Tax rate</t>
        </is>
      </c>
      <c r="E240" s="479" t="n"/>
      <c r="F240" s="368" t="inlineStr">
        <is>
          <t>Manual share-count continuation assumption.</t>
        </is>
      </c>
      <c r="K240" s="364" t="n"/>
      <c r="L240" s="125" t="inlineStr">
        <is>
          <t>Implied adjusted EBITDA margin</t>
        </is>
      </c>
      <c r="N240" s="500">
        <f>IF(OR(N238="",N239="",N238=0),"",N239/N238)</f>
        <v/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revenue ($m)</t>
        </is>
      </c>
      <c r="E241" s="446">
        <f>IF(OR(Revenue_TTM="",ResolvedRevenueGrowth_Custom=""),"",Revenue_TTM*(1+ResolvedRevenueGrowth_Custom))</f>
        <v/>
      </c>
      <c r="F241" s="368" t="inlineStr">
        <is>
          <t>Scenario revenue × scenario margin.</t>
        </is>
      </c>
      <c r="K241" s="364" t="n"/>
      <c r="L241" s="125" t="inlineStr">
        <is>
          <t>Implied revenue growth</t>
        </is>
      </c>
      <c r="N241" s="500">
        <f>IF(OR(N238="",Revenue_TTM="",Revenue_TTM=0),"",N238/Revenue_TTM-1)</f>
        <v/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EBITDA (base, $m)</t>
        </is>
      </c>
      <c r="E242" s="446">
        <f>IF(OR(ScenarioRevenue="",ScenarioBaseMargin=""),"",ScenarioRevenue*ScenarioBaseMargin)</f>
        <v/>
      </c>
      <c r="F242" s="368" t="inlineStr">
        <is>
          <t>Owner earnings bridge adjusted by scenario EBITDA and refinancing.</t>
        </is>
      </c>
      <c r="K242" s="364" t="n"/>
      <c r="L242" s="22" t="inlineStr">
        <is>
          <t>Required FCFF @ target yield ($m)</t>
        </is>
      </c>
      <c r="M242" s="22" t="n"/>
      <c r="N242" s="475">
        <f>IF(OR(N237="",Target_EV_Yield="",Target_EV_Yield&lt;=0),"",N237*Target_EV_Yield)</f>
        <v/>
      </c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Scenario adjusted EBITDA ($m)</t>
        </is>
      </c>
      <c r="E243" s="446">
        <f>IF(OR(ScenarioRevenue="",ScenarioAdjustedMargin=""),"",ScenarioRevenue*ScenarioAdjustedMargin)</f>
        <v/>
      </c>
      <c r="F243" s="368" t="inlineStr">
        <is>
          <t>Scenario per-share value with quality-adjusted EV/Adj multiple.</t>
        </is>
      </c>
      <c r="K243" s="364" t="n"/>
      <c r="L243" s="22" t="inlineStr">
        <is>
          <t>Required EPS @ target P/E ($/share)</t>
        </is>
      </c>
      <c r="M243" s="22" t="n"/>
      <c r="N243" s="501">
        <f>IF(OR(Price="",Target_PE="",Target_PE&lt;=0),"",Price/Target_PE)</f>
        <v/>
      </c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Scenario FCF ($m)</t>
        </is>
      </c>
      <c r="E244" s="446">
        <f>IF(OR(FCF_TTM="",ScenarioPreTaxBridge="",ScenarioTaxTreatment="",ScenarioTaxRate="",ScenarioCashInterestChange="",ScenarioInterestTaxTreatment="",ScenarioCapexChange="",ScenarioWCAdjustment=""),"",FCF_TTM+IF(ScenarioTaxTreatment="taxable",ScenarioPreTaxBridge*(1-ScenarioTaxRate),IF(OR(ScenarioTaxTreatment="non_taxable",ScenarioTaxTreatment="non_taxable_credit",ScenarioTaxTreatment="cash_only",ScenarioTaxTreatment="no_eps_impact"),ScenarioPreTaxBridge,IF(OR(ScenarioTaxTreatment="cash_only",ScenarioTaxTreatment="no_eps_impact"),ScenarioPreTaxBridge,"")))-IF(ScenarioInterestTaxTreatment="taxable",ScenarioCashInterestChange*(1-ScenarioTaxRate),IF(ScenarioInterestTaxTreatment="non_taxable",ScenarioCashInterestChange,""))-ScenarioCapexChange+ScenarioWCAdjustment)</f>
        <v/>
      </c>
      <c r="F244" s="368" t="inlineStr">
        <is>
          <t>Scenario per-share value with quality-adjusted owner-earnings yield.</t>
        </is>
      </c>
      <c r="K244" s="364" t="n"/>
      <c r="L244" s="22" t="inlineStr">
        <is>
          <t>Implied terminal growth (perpetuity)</t>
        </is>
      </c>
      <c r="M244" s="22" t="n"/>
      <c r="N244" s="59">
        <f>IF(OR(N237="",DCF_WACC="",DCF_FCFF="",N237+DCF_FCFF=0),"",(N237*DCF_WACC-DCF_FCFF)/(N237+DCF_FCFF))</f>
        <v/>
      </c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Explicit scenario bridge inputs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502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Pre-tax earnings bridge ($m)</t>
        </is>
      </c>
      <c r="D247" s="503" t="n"/>
      <c r="E247" s="481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Cash-interest change ($m)</t>
        </is>
      </c>
      <c r="D248" s="503" t="n"/>
      <c r="E248" s="481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Capex change ($m, positive outflow)</t>
        </is>
      </c>
      <c r="D249" s="503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Working-capital adjustment ($m, positive source)</t>
        </is>
      </c>
      <c r="D250" s="503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Capital allocation inputs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Buyback cash ($m)</t>
        </is>
      </c>
      <c r="D253" s="481" t="n"/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Buyback execution price ($/share)</t>
        </is>
      </c>
      <c r="D254" s="481" t="n"/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Share issuance (m shares)</t>
        </is>
      </c>
      <c r="D255" s="481" t="n"/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Debt paydown ($m)</t>
        </is>
      </c>
      <c r="D256" s="481" t="n"/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Scenario outputs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Scenario shares (m)</t>
        </is>
      </c>
      <c r="E259" s="504">
        <f>IF(OR(IF(PerShareMode="Outstanding",Shares,IF(PerShareMode="Diluted",SharesDiluted,""))="",ScenarioBuybackCash="",ScenarioShareIssuance="",AND(ScenarioBuybackCash&lt;&gt;0,OR(ScenarioBuybackPrice="",ScenarioBuybackPrice&lt;=0))),"",IF(IF(PerShareMode="Outstanding",Shares,IF(PerShareMode="Diluted",SharesDiluted,""))-IF(ScenarioBuybackCash=0,0,ScenarioBuybackCash/ScenarioBuybackPrice)+ScenarioShareIssuance&lt;=0,"",IF(PerShareMode="Outstanding",Shares,IF(PerShareMode="Diluted",SharesDiluted,""))-IF(ScenarioBuybackCash=0,0,ScenarioBuybackCash/ScenarioBuybackPrice)+ScenarioShareIssuance))</f>
        <v/>
      </c>
      <c r="F259" s="368" t="inlineStr">
        <is>
          <t>Multiple adjusted for balance-sheet optionality toggle.</t>
        </is>
      </c>
      <c r="H259" t="inlineStr">
        <is>
          <t>Scenario enterprise value ($m)</t>
        </is>
      </c>
      <c r="J259" s="505">
        <f>IF(OR(Target_EV_AdjEBITDA="",ScenarioAdjustedEBITDA=""),"",Target_EV_AdjEBITDA*ScenarioAdjustedEBITDA)</f>
        <v/>
      </c>
      <c r="L259" s="22" t="n"/>
      <c r="M259" s="22" t="inlineStr">
        <is>
          <t>Upside / downside</t>
        </is>
      </c>
      <c r="N259" s="447">
        <f>IF(OR(ScenarioImpliedPrice="",Price="",Price&lt;=0),"",ScenarioImpliedPrice/Price-1)</f>
        <v/>
      </c>
      <c r="O259" s="22" t="n"/>
      <c r="P259" s="22" t="n"/>
      <c r="Q259" s="22" t="inlineStr">
        <is>
          <t>Scenario EV/Revenue</t>
        </is>
      </c>
      <c r="R259" s="359">
        <f>IF(OR(ScenarioEV="",ScenarioRevenue="",ScenarioRevenue=0),"",ScenarioEV/ScenarioRevenue)</f>
        <v/>
      </c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Scenario net debt ($m)</t>
        </is>
      </c>
      <c r="E260" s="446">
        <f>IF(OR(NetDebt="",ScenarioBuybackCash="",ScenarioDebtPaydown=""),"",NetDebt+ScenarioBuybackCash-ScenarioDebtPaydown)</f>
        <v/>
      </c>
      <c r="F260" s="368" t="inlineStr">
        <is>
          <t>Cross-check multiple adjusted for balance-sheet optionality toggle.</t>
        </is>
      </c>
      <c r="H260" t="inlineStr">
        <is>
          <t>Scenario equity value ($m)</t>
        </is>
      </c>
      <c r="J260" s="505">
        <f>IF(OR(ScenarioEV="",ScenarioNetDebt=""),"",ScenarioEV-ScenarioNetDebt)</f>
        <v/>
      </c>
      <c r="L260" s="22" t="n"/>
      <c r="M260" s="22" t="inlineStr">
        <is>
          <t>Scenario P/E</t>
        </is>
      </c>
      <c r="N260" s="359">
        <f>IF(OR(ScenarioImpliedPrice="",ScenarioEPS="",ScenarioEPS=0),"",ScenarioImpliedPrice/ScenarioEPS)</f>
        <v/>
      </c>
      <c r="O260" s="22" t="n"/>
      <c r="P260" s="22" t="n"/>
      <c r="Q260" s="22" t="inlineStr">
        <is>
          <t>Scenario EV/EBITDA (base)</t>
        </is>
      </c>
      <c r="R260" s="359">
        <f>IF(OR(ScenarioEV="",ScenarioBaseEBITDA="",ScenarioBaseEBITDA=0),"",ScenarioEV/ScenarioBaseEBITDA)</f>
        <v/>
      </c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Scenario EPS ($/share)</t>
        </is>
      </c>
      <c r="C261" s="371" t="n"/>
      <c r="D261" s="371" t="n"/>
      <c r="E261" s="506">
        <f>IF(OR(NetIncome_TTM="",ScenarioShares="",ScenarioShares&lt;=0,ScenarioPreTaxBridge="",ScenarioTaxTreatment="",ScenarioTaxRate="",ScenarioCashInterestChange="",ScenarioInterestTaxTreatment=""),"",(NetIncome_TTM+IF(ScenarioTaxTreatment="taxable",ScenarioPreTaxBridge*(1-ScenarioTaxRate),IF(OR(ScenarioTaxTreatment="non_taxable",ScenarioTaxTreatment="non_taxable_credit"),ScenarioPreTaxBridge,IF(OR(ScenarioTaxTreatment="cash_only",ScenarioTaxTreatment="no_eps_impact"),0,"")))-IF(ScenarioInterestTaxTreatment="taxable",ScenarioCashInterestChange*(1-ScenarioTaxRate),IF(ScenarioInterestTaxTreatment="non_taxable",ScenarioCashInterestChange,"")))/ScenarioShares)</f>
        <v/>
      </c>
      <c r="F261" s="372" t="inlineStr">
        <is>
          <t>Yield uplift from regulatory/non-GAAP/customer-concentration toggles.</t>
        </is>
      </c>
      <c r="H261" t="inlineStr">
        <is>
          <t>Scenario implied price ($/share)</t>
        </is>
      </c>
      <c r="J261" s="507">
        <f>IF(OR(ScenarioEquityValue="",ScenarioShares="",ScenarioShares&lt;=0),"",ScenarioEquityValue/ScenarioShares)</f>
        <v/>
      </c>
      <c r="L261" s="22" t="n"/>
      <c r="M261" s="22" t="inlineStr">
        <is>
          <t>Scenario FCF yield</t>
        </is>
      </c>
      <c r="N261" s="59">
        <f>IF(OR(ScenarioFCF="",ScenarioImpliedPrice="",ScenarioShares="",ScenarioImpliedPrice*ScenarioShares=0),"",ScenarioFCF/(ScenarioImpliedPrice*ScenarioShares))</f>
        <v/>
      </c>
      <c r="O261" s="22" t="n"/>
      <c r="P261" s="22" t="n"/>
      <c r="Q261" s="22" t="inlineStr">
        <is>
          <t>Scenario EV/Adjusted EBITDA</t>
        </is>
      </c>
      <c r="R261" s="359">
        <f>IF(OR(ScenarioEV="",ScenarioAdjustedEBITDA="",ScenarioAdjustedEBITDA=0),"",ScenarioEV/ScenarioAdjustedEBITDA)</f>
        <v/>
      </c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508" t="n"/>
      <c r="C262" s="508" t="n"/>
      <c r="D262" s="508" t="n"/>
      <c r="E262" s="508" t="n"/>
      <c r="F262" s="508" t="n"/>
      <c r="G262" s="508" t="n"/>
      <c r="H262" s="508" t="n"/>
      <c r="I262" s="508" t="n"/>
      <c r="J262" s="508" t="n"/>
      <c r="K262" s="508" t="n"/>
      <c r="L262" s="508" t="n"/>
      <c r="M262" s="508" t="n"/>
    </row>
    <row r="263" hidden="1">
      <c r="A263" t="inlineStr">
        <is>
          <t>Formula input: interest_expense</t>
        </is>
      </c>
      <c r="B263" s="508" t="n"/>
      <c r="C263" s="508" t="n"/>
      <c r="D263" s="508" t="n"/>
      <c r="E263" s="508" t="n"/>
      <c r="F263" s="508" t="n"/>
      <c r="G263" s="508" t="n"/>
      <c r="H263" s="508" t="n"/>
      <c r="I263" s="508" t="n"/>
      <c r="J263" s="508" t="n"/>
      <c r="K263" s="508" t="n"/>
      <c r="L263" s="508" t="n"/>
      <c r="M263" s="508" t="n"/>
    </row>
    <row r="264" hidden="1">
      <c r="A264" t="inlineStr">
        <is>
          <t>Formula input: dividends_cash</t>
        </is>
      </c>
      <c r="B264" s="508" t="n"/>
      <c r="C264" s="508" t="n"/>
      <c r="D264" s="508" t="n"/>
      <c r="E264" s="508" t="n"/>
      <c r="F264" s="508" t="n"/>
      <c r="G264" s="508" t="n"/>
      <c r="H264" s="508" t="n"/>
      <c r="I264" s="508" t="n"/>
      <c r="J264" s="508" t="n"/>
      <c r="K264" s="508" t="n"/>
      <c r="L264" s="508" t="n"/>
      <c r="M264" s="508" t="n"/>
    </row>
    <row r="265" hidden="1">
      <c r="A265" t="inlineStr">
        <is>
          <t>Formula input: acquisitions_cash</t>
        </is>
      </c>
      <c r="B265" s="508" t="n"/>
      <c r="C265" s="508" t="n"/>
      <c r="D265" s="508" t="n"/>
      <c r="E265" s="508" t="n"/>
      <c r="F265" s="508" t="n"/>
      <c r="G265" s="508" t="n"/>
      <c r="H265" s="508" t="n"/>
      <c r="I265" s="508" t="n"/>
      <c r="J265" s="508" t="n"/>
      <c r="K265" s="508" t="n"/>
      <c r="L265" s="508" t="n"/>
      <c r="M265" s="508" t="n"/>
    </row>
    <row r="266" hidden="1">
      <c r="A266" t="inlineStr">
        <is>
          <t>Formula input: debt_repayment</t>
        </is>
      </c>
      <c r="B266" s="508" t="n"/>
      <c r="C266" s="508" t="n"/>
      <c r="D266" s="508" t="n"/>
      <c r="E266" s="508" t="n"/>
      <c r="F266" s="508" t="n"/>
      <c r="G266" s="508" t="n"/>
      <c r="H266" s="508" t="n"/>
      <c r="I266" s="508" t="n"/>
      <c r="J266" s="508" t="n"/>
      <c r="K266" s="508" t="n"/>
      <c r="L266" s="508" t="n"/>
      <c r="M266" s="508" t="n"/>
    </row>
    <row r="267" hidden="1">
      <c r="A267" t="inlineStr">
        <is>
          <t>Formula input: debt_issuance</t>
        </is>
      </c>
      <c r="B267" s="508" t="n"/>
      <c r="C267" s="508" t="n"/>
      <c r="D267" s="508" t="n"/>
      <c r="E267" s="508" t="n"/>
      <c r="F267" s="508" t="n"/>
      <c r="G267" s="508" t="n"/>
      <c r="H267" s="508" t="n"/>
      <c r="I267" s="508" t="n"/>
      <c r="J267" s="508" t="n"/>
      <c r="K267" s="508" t="n"/>
      <c r="L267" s="508" t="n"/>
      <c r="M267" s="508" t="n"/>
    </row>
    <row r="268" hidden="1">
      <c r="A268" t="inlineStr">
        <is>
          <t>Formula input: total_equity</t>
        </is>
      </c>
      <c r="B268" s="508" t="n"/>
      <c r="C268" s="508" t="n"/>
      <c r="D268" s="508" t="n"/>
      <c r="E268" s="508" t="n"/>
      <c r="F268" s="508" t="n"/>
      <c r="G268" s="508" t="n"/>
      <c r="H268" s="508" t="n"/>
      <c r="I268" s="508" t="n"/>
      <c r="J268" s="508" t="n"/>
      <c r="K268" s="508" t="n"/>
      <c r="L268" s="508" t="n"/>
      <c r="M268" s="508" t="n"/>
    </row>
    <row r="269" hidden="1">
      <c r="A269" t="inlineStr">
        <is>
          <t>Formula input: goodwill</t>
        </is>
      </c>
      <c r="B269" s="508" t="n"/>
      <c r="C269" s="508" t="n"/>
      <c r="D269" s="508" t="n"/>
      <c r="E269" s="508" t="n"/>
      <c r="F269" s="508" t="n"/>
      <c r="G269" s="508" t="n"/>
      <c r="H269" s="508" t="n"/>
      <c r="I269" s="508" t="n"/>
      <c r="J269" s="508" t="n"/>
      <c r="K269" s="508" t="n"/>
      <c r="L269" s="508" t="n"/>
      <c r="M269" s="508" t="n"/>
    </row>
    <row r="270" hidden="1">
      <c r="A270" t="inlineStr">
        <is>
          <t>Formula input: intangibles</t>
        </is>
      </c>
      <c r="B270" s="508" t="n"/>
      <c r="C270" s="508" t="n"/>
      <c r="D270" s="508" t="n"/>
      <c r="E270" s="508" t="n"/>
      <c r="F270" s="508" t="n"/>
      <c r="G270" s="508" t="n"/>
      <c r="H270" s="508" t="n"/>
      <c r="I270" s="508" t="n"/>
      <c r="J270" s="508" t="n"/>
      <c r="K270" s="508" t="n"/>
      <c r="L270" s="508" t="n"/>
      <c r="M270" s="508" t="n"/>
    </row>
    <row r="271" hidden="1">
      <c r="A271" t="inlineStr">
        <is>
          <t>Formula output: operating_cash_flow_ttm</t>
        </is>
      </c>
      <c r="B271" s="505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505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505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505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505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505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505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505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505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505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505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505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mergeCells count="395">
    <mergeCell ref="O49:T49"/>
    <mergeCell ref="C183:H183"/>
    <mergeCell ref="S25:Z25"/>
    <mergeCell ref="B139:E139"/>
    <mergeCell ref="O207:S207"/>
    <mergeCell ref="X55:AC55"/>
    <mergeCell ref="O50:T50"/>
    <mergeCell ref="X73:AC73"/>
    <mergeCell ref="A31:M31"/>
    <mergeCell ref="O200:S200"/>
    <mergeCell ref="U58:W58"/>
    <mergeCell ref="O32:P32"/>
    <mergeCell ref="U39:Z39"/>
    <mergeCell ref="O52:T52"/>
    <mergeCell ref="B241:D241"/>
    <mergeCell ref="S28:Z28"/>
    <mergeCell ref="O202:S202"/>
    <mergeCell ref="U73:W73"/>
    <mergeCell ref="B205:C205"/>
    <mergeCell ref="F237:K237"/>
    <mergeCell ref="B242:D242"/>
    <mergeCell ref="X66:AC66"/>
    <mergeCell ref="C184:H184"/>
    <mergeCell ref="U247:W247"/>
    <mergeCell ref="C171:H171"/>
    <mergeCell ref="A42:M42"/>
    <mergeCell ref="B146:K146"/>
    <mergeCell ref="B200:C200"/>
    <mergeCell ref="O63:T63"/>
    <mergeCell ref="C173:H173"/>
    <mergeCell ref="O195:S195"/>
    <mergeCell ref="Q238:U238"/>
    <mergeCell ref="O74:T74"/>
    <mergeCell ref="O55:T55"/>
    <mergeCell ref="L123:N123"/>
    <mergeCell ref="B195:C195"/>
    <mergeCell ref="O46:Q46"/>
    <mergeCell ref="O27:AC27"/>
    <mergeCell ref="B239:D239"/>
    <mergeCell ref="AA12:AC12"/>
    <mergeCell ref="F194:J194"/>
    <mergeCell ref="B5:M5"/>
    <mergeCell ref="AA14:AC14"/>
    <mergeCell ref="S34:Z34"/>
    <mergeCell ref="C186:H186"/>
    <mergeCell ref="B235:K235"/>
    <mergeCell ref="A137:M137"/>
    <mergeCell ref="AA43:AC43"/>
    <mergeCell ref="S30:Z30"/>
    <mergeCell ref="O53:T53"/>
    <mergeCell ref="B213:C213"/>
    <mergeCell ref="S29:Z29"/>
    <mergeCell ref="U74:W74"/>
    <mergeCell ref="O208:S208"/>
    <mergeCell ref="B244:D244"/>
    <mergeCell ref="A76:M76"/>
    <mergeCell ref="S31:Z31"/>
    <mergeCell ref="O41:Q41"/>
    <mergeCell ref="F238:K238"/>
    <mergeCell ref="F205:J205"/>
    <mergeCell ref="B208:C208"/>
    <mergeCell ref="S247:T247"/>
    <mergeCell ref="O43:Q43"/>
    <mergeCell ref="F240:K240"/>
    <mergeCell ref="AA25:AC25"/>
    <mergeCell ref="B210:C210"/>
    <mergeCell ref="I123:K123"/>
    <mergeCell ref="B260:D260"/>
    <mergeCell ref="C181:H181"/>
    <mergeCell ref="O58:T58"/>
    <mergeCell ref="B156:K156"/>
    <mergeCell ref="X69:AC69"/>
    <mergeCell ref="C174:H174"/>
    <mergeCell ref="O73:T73"/>
    <mergeCell ref="B155:K155"/>
    <mergeCell ref="B149:K149"/>
    <mergeCell ref="F200:J200"/>
    <mergeCell ref="O66:T66"/>
    <mergeCell ref="S24:Z24"/>
    <mergeCell ref="O68:T68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O59:T59"/>
    <mergeCell ref="X247:AA247"/>
    <mergeCell ref="F213:J213"/>
    <mergeCell ref="O61:T61"/>
    <mergeCell ref="O48:AC48"/>
    <mergeCell ref="F215:J215"/>
    <mergeCell ref="H138:I138"/>
    <mergeCell ref="K205:M205"/>
    <mergeCell ref="B261:D261"/>
    <mergeCell ref="AA28:AC28"/>
    <mergeCell ref="F210:J210"/>
    <mergeCell ref="A3:M3"/>
    <mergeCell ref="B207:C207"/>
    <mergeCell ref="AA30:AC30"/>
    <mergeCell ref="A97:M97"/>
    <mergeCell ref="Q239:U239"/>
    <mergeCell ref="X49:AC49"/>
    <mergeCell ref="U72:W72"/>
    <mergeCell ref="F201:J201"/>
    <mergeCell ref="X63:AC63"/>
    <mergeCell ref="F203:J203"/>
    <mergeCell ref="O16:P16"/>
    <mergeCell ref="N141:Q141"/>
    <mergeCell ref="Q236:U236"/>
    <mergeCell ref="U63:W63"/>
    <mergeCell ref="K197:M197"/>
    <mergeCell ref="U50:W50"/>
    <mergeCell ref="K201:M201"/>
    <mergeCell ref="O17:P17"/>
    <mergeCell ref="O11:P11"/>
    <mergeCell ref="Q237:U237"/>
    <mergeCell ref="X52:AC52"/>
    <mergeCell ref="B197:C197"/>
    <mergeCell ref="F216:J216"/>
    <mergeCell ref="AA34:AC34"/>
    <mergeCell ref="B259:D259"/>
    <mergeCell ref="X53:AC53"/>
    <mergeCell ref="F193:J193"/>
    <mergeCell ref="S8:Z8"/>
    <mergeCell ref="U42:Z42"/>
    <mergeCell ref="AA31:AC31"/>
    <mergeCell ref="K210:M210"/>
    <mergeCell ref="U55:W55"/>
    <mergeCell ref="Q240:U240"/>
    <mergeCell ref="O38:Q38"/>
    <mergeCell ref="K193:M193"/>
    <mergeCell ref="R39:T39"/>
    <mergeCell ref="N137:R137"/>
    <mergeCell ref="O37:AC37"/>
    <mergeCell ref="Q222:R222"/>
    <mergeCell ref="C172:H172"/>
    <mergeCell ref="O194:S194"/>
    <mergeCell ref="F206:J206"/>
    <mergeCell ref="K209:M209"/>
    <mergeCell ref="K203:M203"/>
    <mergeCell ref="A116:M116"/>
    <mergeCell ref="O19:P19"/>
    <mergeCell ref="B194:C194"/>
    <mergeCell ref="K217:O217"/>
    <mergeCell ref="A17:M17"/>
    <mergeCell ref="S21:Z21"/>
    <mergeCell ref="U66:W66"/>
    <mergeCell ref="U53:W53"/>
    <mergeCell ref="N142:Q142"/>
    <mergeCell ref="K204:M204"/>
    <mergeCell ref="U68:W68"/>
    <mergeCell ref="O20:P20"/>
    <mergeCell ref="O22:P22"/>
    <mergeCell ref="X59:AC59"/>
    <mergeCell ref="O205:S205"/>
    <mergeCell ref="S10:Z10"/>
    <mergeCell ref="C179:H179"/>
    <mergeCell ref="A12:M12"/>
    <mergeCell ref="B216:C216"/>
    <mergeCell ref="U45:Z45"/>
    <mergeCell ref="A106:M106"/>
    <mergeCell ref="F212:J212"/>
    <mergeCell ref="O33:P33"/>
    <mergeCell ref="U56:W56"/>
    <mergeCell ref="X74:AC74"/>
    <mergeCell ref="X68:AC68"/>
    <mergeCell ref="F214:J214"/>
    <mergeCell ref="O51:T51"/>
    <mergeCell ref="X51:AC51"/>
    <mergeCell ref="S23:Z23"/>
    <mergeCell ref="O197:S197"/>
    <mergeCell ref="U67:W67"/>
    <mergeCell ref="K206:M206"/>
    <mergeCell ref="O201:S201"/>
    <mergeCell ref="B237:D237"/>
    <mergeCell ref="A69:M69"/>
    <mergeCell ref="K220:O220"/>
    <mergeCell ref="U69:W69"/>
    <mergeCell ref="Q247:R247"/>
    <mergeCell ref="B201:C201"/>
    <mergeCell ref="K222:O222"/>
    <mergeCell ref="X67:AC67"/>
    <mergeCell ref="X61:AC61"/>
    <mergeCell ref="K221:O221"/>
    <mergeCell ref="B203:C203"/>
    <mergeCell ref="K223:O223"/>
    <mergeCell ref="X62:AC62"/>
    <mergeCell ref="C180:H180"/>
    <mergeCell ref="O44:Q44"/>
    <mergeCell ref="O69:T69"/>
    <mergeCell ref="B215:C215"/>
    <mergeCell ref="X64:AC64"/>
    <mergeCell ref="R42:T42"/>
    <mergeCell ref="O210:S210"/>
    <mergeCell ref="F243:K243"/>
    <mergeCell ref="S17:Z17"/>
    <mergeCell ref="C169:H169"/>
    <mergeCell ref="U62:W62"/>
    <mergeCell ref="AA46:AC46"/>
    <mergeCell ref="S11:Z11"/>
    <mergeCell ref="G225:L225"/>
    <mergeCell ref="O64:T64"/>
    <mergeCell ref="O35:P35"/>
    <mergeCell ref="U64:W64"/>
    <mergeCell ref="O193:S193"/>
    <mergeCell ref="A51:M51"/>
    <mergeCell ref="R46:T46"/>
    <mergeCell ref="U51:W51"/>
    <mergeCell ref="O72:T72"/>
    <mergeCell ref="AA8:AC8"/>
    <mergeCell ref="G123:H123"/>
    <mergeCell ref="AA10:AC10"/>
    <mergeCell ref="C187:H187"/>
    <mergeCell ref="O209:S209"/>
    <mergeCell ref="O203:S203"/>
    <mergeCell ref="S32:Z32"/>
    <mergeCell ref="AA39:AC39"/>
    <mergeCell ref="B209:C209"/>
    <mergeCell ref="O54:T54"/>
    <mergeCell ref="U75:W75"/>
    <mergeCell ref="O204:S204"/>
    <mergeCell ref="F208:J208"/>
    <mergeCell ref="O29:P29"/>
    <mergeCell ref="O31:P31"/>
    <mergeCell ref="AA21:AC21"/>
    <mergeCell ref="X72:AC72"/>
    <mergeCell ref="O67:T67"/>
    <mergeCell ref="AA32:AC32"/>
    <mergeCell ref="A61:M61"/>
    <mergeCell ref="S19:Z19"/>
    <mergeCell ref="AA23:AC23"/>
    <mergeCell ref="B152:K152"/>
    <mergeCell ref="C185:H185"/>
    <mergeCell ref="S20:Z20"/>
    <mergeCell ref="U65:W65"/>
    <mergeCell ref="A56:M56"/>
    <mergeCell ref="B258:K258"/>
    <mergeCell ref="B147:K147"/>
    <mergeCell ref="S22:Z22"/>
    <mergeCell ref="F196:J196"/>
    <mergeCell ref="B199:C199"/>
    <mergeCell ref="O9:P9"/>
    <mergeCell ref="B243:D243"/>
    <mergeCell ref="C188:H188"/>
    <mergeCell ref="O62:T62"/>
    <mergeCell ref="O56:T56"/>
    <mergeCell ref="AA18:AC18"/>
    <mergeCell ref="O206:S206"/>
    <mergeCell ref="B252:E252"/>
    <mergeCell ref="AA11:AC11"/>
    <mergeCell ref="F209:J209"/>
    <mergeCell ref="O57:T57"/>
    <mergeCell ref="S33:Z33"/>
    <mergeCell ref="AA29:AC29"/>
    <mergeCell ref="F211:J211"/>
    <mergeCell ref="R44:T44"/>
    <mergeCell ref="S35:Z35"/>
    <mergeCell ref="AA44:AC44"/>
    <mergeCell ref="AA24:AC24"/>
    <mergeCell ref="C176:H176"/>
    <mergeCell ref="O75:T75"/>
    <mergeCell ref="A91:M91"/>
    <mergeCell ref="G217:J217"/>
    <mergeCell ref="C178:H178"/>
    <mergeCell ref="B153:K153"/>
    <mergeCell ref="F204:J204"/>
    <mergeCell ref="F198:J198"/>
    <mergeCell ref="O70:T70"/>
    <mergeCell ref="AA42:AC42"/>
    <mergeCell ref="L246:AA246"/>
    <mergeCell ref="AA17:AC17"/>
    <mergeCell ref="F199:J199"/>
    <mergeCell ref="K196:M196"/>
    <mergeCell ref="U44:Z44"/>
    <mergeCell ref="O12:P12"/>
    <mergeCell ref="L248:AA248"/>
    <mergeCell ref="AA19:AC19"/>
    <mergeCell ref="U59:W59"/>
    <mergeCell ref="B148:K148"/>
    <mergeCell ref="K198:M198"/>
    <mergeCell ref="O14:P14"/>
    <mergeCell ref="U61:W61"/>
    <mergeCell ref="O13:P13"/>
    <mergeCell ref="O15:P15"/>
    <mergeCell ref="B193:C193"/>
    <mergeCell ref="R45:T45"/>
    <mergeCell ref="B192:S192"/>
    <mergeCell ref="O25:P25"/>
    <mergeCell ref="U38:Z38"/>
    <mergeCell ref="B211:C211"/>
    <mergeCell ref="U40:Z40"/>
    <mergeCell ref="O7:AC7"/>
    <mergeCell ref="O8:P8"/>
    <mergeCell ref="Q241:U241"/>
    <mergeCell ref="R38:T38"/>
    <mergeCell ref="U49:W49"/>
    <mergeCell ref="A101:M101"/>
    <mergeCell ref="O39:Q39"/>
    <mergeCell ref="F207:J207"/>
    <mergeCell ref="R40:T40"/>
    <mergeCell ref="B212:C212"/>
    <mergeCell ref="B206:C206"/>
    <mergeCell ref="S16:Z16"/>
    <mergeCell ref="AA45:AC45"/>
    <mergeCell ref="AA20:AC20"/>
    <mergeCell ref="F202:J202"/>
    <mergeCell ref="K199:M199"/>
    <mergeCell ref="A112:M112"/>
    <mergeCell ref="S18:Z18"/>
    <mergeCell ref="AA35:AC35"/>
    <mergeCell ref="N139:Q139"/>
    <mergeCell ref="K207:M207"/>
    <mergeCell ref="U54:W54"/>
    <mergeCell ref="N138:Q138"/>
    <mergeCell ref="H139:M139"/>
    <mergeCell ref="K200:M200"/>
    <mergeCell ref="X54:AC54"/>
    <mergeCell ref="O21:P21"/>
    <mergeCell ref="B196:C196"/>
    <mergeCell ref="N140:Q140"/>
    <mergeCell ref="K202:M202"/>
    <mergeCell ref="F241:K241"/>
    <mergeCell ref="X56:AC56"/>
    <mergeCell ref="S9:Z9"/>
    <mergeCell ref="L235:U235"/>
    <mergeCell ref="AA38:AC38"/>
    <mergeCell ref="U46:Z46"/>
    <mergeCell ref="AA40:AC40"/>
    <mergeCell ref="X57:AC57"/>
    <mergeCell ref="A168:I168"/>
    <mergeCell ref="AA33:AC33"/>
    <mergeCell ref="C177:H177"/>
    <mergeCell ref="A8:M8"/>
    <mergeCell ref="O34:P34"/>
    <mergeCell ref="O28:P28"/>
    <mergeCell ref="S12:Z12"/>
    <mergeCell ref="U41:Z41"/>
    <mergeCell ref="U57:W57"/>
    <mergeCell ref="B214:C214"/>
    <mergeCell ref="K195:M195"/>
    <mergeCell ref="O30:P30"/>
    <mergeCell ref="U43:Z43"/>
    <mergeCell ref="R41:T41"/>
    <mergeCell ref="O42:Q42"/>
    <mergeCell ref="U52:W52"/>
    <mergeCell ref="X75:AC75"/>
    <mergeCell ref="R43:T43"/>
    <mergeCell ref="O60:T60"/>
    <mergeCell ref="O196:S196"/>
    <mergeCell ref="O198:S198"/>
    <mergeCell ref="X70:AC70"/>
    <mergeCell ref="C175:H175"/>
    <mergeCell ref="B204:C204"/>
    <mergeCell ref="O23:P23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B202:C202"/>
    <mergeCell ref="O24:P24"/>
    <mergeCell ref="O18:P18"/>
    <mergeCell ref="X65:AC65"/>
    <mergeCell ref="F244:K244"/>
    <mergeCell ref="AA41:AC41"/>
    <mergeCell ref="AA16:AC16"/>
    <mergeCell ref="K219:O219"/>
    <mergeCell ref="X58:AC58"/>
    <mergeCell ref="O40:Q40"/>
    <mergeCell ref="X50:AC50"/>
    <mergeCell ref="S14:Z14"/>
    <mergeCell ref="A83:M83"/>
    <mergeCell ref="X60:AC60"/>
    <mergeCell ref="F239:K239"/>
    <mergeCell ref="S13:Z13"/>
    <mergeCell ref="C170:H170"/>
    <mergeCell ref="N143:Q143"/>
    <mergeCell ref="U60:W60"/>
    <mergeCell ref="S15:Z15"/>
    <mergeCell ref="AA22:AC22"/>
    <mergeCell ref="P217:S217"/>
    <mergeCell ref="P234:Q234"/>
    <mergeCell ref="B236:D236"/>
    <mergeCell ref="AA9:AC9"/>
    <mergeCell ref="O45:Q45"/>
    <mergeCell ref="D123:E123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dataValidations count="21">
    <dataValidation sqref="D216" showDropDown="0" showInputMessage="0" showErrorMessage="1" allowBlank="1" errorTitle="Invalid scenario input" error="Enter a value compatible with the declared scenario contract." type="list" errorStyle="stop">
      <formula1>"Outstanding,Diluted"</formula1>
    </dataValidation>
    <dataValidation sqref="E236" showDropDown="0" showInputMessage="0" showErrorMessage="1" allowBlank="1" errorTitle="Invalid scenario input" error="Enter a value compatible with the declared scenario contract." type="list" errorStyle="stop">
      <formula1>"Bear,Base,Bull,Custom"</formula1>
    </dataValidation>
    <dataValidation sqref="J236" showDropDown="0" showInputMessage="0" showErrorMessage="1" allowBlank="1" errorTitle="Invalid scenario input" error="Enter a value compatible with the declared scenario contract." type="custom" errorStyle="stop">
      <formula1>=OR(J236="",AND(LEFT(J236,2)="FY",LEN(J236)=6,ISNUMBER(VALUE(RIGHT(J236,4)))),AND(LEN(J236)=7,MID(J236,5,2)="-Q",ISNUMBER(VALUE(LEFT(J236,4))),VALUE(RIGHT(J236,1))&gt;=1,VALUE(RIGHT(J236,1))&lt;=4))</formula1>
    </dataValidation>
    <dataValidation sqref="E247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E248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D19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08:D20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10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D213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218:D21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20" showDropDown="0" showInputMessage="0" showErrorMessage="1" allowBlank="1" errorTitle="Invalid scenario input" error="Enter a value compatible with the declared scenario contract." type="whole" errorStyle="stop" operator="between">
      <formula1>1</formula1>
      <formula2>20</formula2>
    </dataValidation>
    <dataValidation sqref="J218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J219:J22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J221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H226:L2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G227:G234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E237:E23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24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253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D25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55:D256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Balance Sheet &amp; Segments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&amp;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442" t="n"/>
      <c r="C7" s="442" t="n"/>
      <c r="D7" s="442" t="n"/>
      <c r="E7" s="442" t="n"/>
      <c r="F7" s="442" t="n"/>
      <c r="G7" s="442" t="n"/>
      <c r="H7" s="442" t="n"/>
      <c r="I7" s="442" t="n"/>
      <c r="J7" s="442" t="n"/>
      <c r="K7" s="442" t="n"/>
      <c r="L7" s="442" t="n"/>
      <c r="M7" s="442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</t>
        </is>
      </c>
      <c r="B9" s="509" t="n"/>
      <c r="C9" s="509" t="n"/>
      <c r="D9" s="509" t="n"/>
      <c r="E9" s="509" t="n"/>
      <c r="F9" s="509" t="n"/>
      <c r="G9" s="509" t="n"/>
      <c r="H9" s="509" t="n"/>
      <c r="I9" s="509" t="n"/>
      <c r="J9" s="509" t="n"/>
      <c r="K9" s="509" t="n"/>
      <c r="L9" s="509" t="n"/>
      <c r="M9" s="509" t="n"/>
    </row>
    <row r="10" ht="18" customHeight="1">
      <c r="A10" s="179" t="inlineStr">
        <is>
          <t>Restricted cash</t>
        </is>
      </c>
      <c r="B10" s="509" t="n"/>
      <c r="C10" s="509" t="n"/>
      <c r="D10" s="509" t="n"/>
      <c r="E10" s="509" t="n"/>
      <c r="F10" s="509" t="n"/>
      <c r="G10" s="509" t="n"/>
      <c r="H10" s="509" t="n"/>
      <c r="I10" s="509" t="n"/>
      <c r="J10" s="509" t="n"/>
      <c r="K10" s="509" t="n"/>
      <c r="L10" s="509" t="n"/>
      <c r="M10" s="509" t="n"/>
    </row>
    <row r="11" ht="18" customHeight="1">
      <c r="A11" s="179" t="inlineStr">
        <is>
          <t>Total cash + restricted cash</t>
        </is>
      </c>
      <c r="B11" s="510">
        <f>IF(OR(B9="",B10=""),"",B9+B10)</f>
        <v/>
      </c>
      <c r="C11" s="510">
        <f>IF(OR(C9="",C10=""),"",C9+C10)</f>
        <v/>
      </c>
      <c r="D11" s="510">
        <f>IF(OR(D9="",D10=""),"",D9+D10)</f>
        <v/>
      </c>
      <c r="E11" s="510">
        <f>IF(OR(E9="",E10=""),"",E9+E10)</f>
        <v/>
      </c>
      <c r="F11" s="510">
        <f>IF(OR(F9="",F10=""),"",F9+F10)</f>
        <v/>
      </c>
      <c r="G11" s="510">
        <f>IF(OR(G9="",G10=""),"",G9+G10)</f>
        <v/>
      </c>
      <c r="H11" s="510">
        <f>IF(OR(H9="",H10=""),"",H9+H10)</f>
        <v/>
      </c>
      <c r="I11" s="510">
        <f>IF(OR(I9="",I10=""),"",I9+I10)</f>
        <v/>
      </c>
      <c r="J11" s="510">
        <f>IF(OR(J9="",J10=""),"",J9+J10)</f>
        <v/>
      </c>
      <c r="K11" s="510">
        <f>IF(OR(K9="",K10=""),"",K9+K10)</f>
        <v/>
      </c>
      <c r="L11" s="510">
        <f>IF(OR(L9="",L10=""),"",L9+L10)</f>
        <v/>
      </c>
      <c r="M11" s="510">
        <f>IF(OR(M9="",M10=""),"",M9+M10)</f>
        <v/>
      </c>
    </row>
    <row r="12" ht="18" customHeight="1">
      <c r="A12" s="179" t="inlineStr">
        <is>
          <t>Δ Cash QoQ ($m)</t>
        </is>
      </c>
      <c r="B12" s="510">
        <f>""</f>
        <v/>
      </c>
      <c r="C12" s="510">
        <f>IF(OR(C9="",B9=""),"",C9-B9)</f>
        <v/>
      </c>
      <c r="D12" s="510">
        <f>IF(OR(D9="",C9=""),"",D9-C9)</f>
        <v/>
      </c>
      <c r="E12" s="510">
        <f>IF(OR(E9="",D9=""),"",E9-D9)</f>
        <v/>
      </c>
      <c r="F12" s="510">
        <f>IF(OR(F9="",E9=""),"",F9-E9)</f>
        <v/>
      </c>
      <c r="G12" s="510">
        <f>IF(OR(G9="",F9=""),"",G9-F9)</f>
        <v/>
      </c>
      <c r="H12" s="510">
        <f>IF(OR(H9="",G9=""),"",H9-G9)</f>
        <v/>
      </c>
      <c r="I12" s="510">
        <f>IF(OR(I9="",H9=""),"",I9-H9)</f>
        <v/>
      </c>
      <c r="J12" s="510">
        <f>IF(OR(J9="",I9=""),"",J9-I9)</f>
        <v/>
      </c>
      <c r="K12" s="510">
        <f>IF(OR(K9="",J9=""),"",K9-J9)</f>
        <v/>
      </c>
      <c r="L12" s="510">
        <f>IF(OR(L9="",K9=""),"",L9-K9)</f>
        <v/>
      </c>
      <c r="M12" s="510">
        <f>IF(OR(M9="",L9=""),"",M9-L9)</f>
        <v/>
      </c>
    </row>
    <row r="13" ht="18" customHeight="1">
      <c r="A13" s="179" t="inlineStr">
        <is>
          <t>Short-term investments / marketable securities</t>
        </is>
      </c>
      <c r="B13" s="509" t="n"/>
      <c r="C13" s="509" t="n"/>
      <c r="D13" s="509" t="n"/>
      <c r="E13" s="509" t="n"/>
      <c r="F13" s="509" t="n"/>
      <c r="G13" s="509" t="n"/>
      <c r="H13" s="509" t="n"/>
      <c r="I13" s="509" t="n"/>
      <c r="J13" s="509" t="n"/>
      <c r="K13" s="509" t="n"/>
      <c r="L13" s="509" t="n"/>
      <c r="M13" s="509" t="n"/>
    </row>
    <row r="14" ht="18" customHeight="1">
      <c r="A14" s="179" t="inlineStr">
        <is>
          <t>Accounts receivable (net)</t>
        </is>
      </c>
      <c r="B14" s="509" t="n"/>
      <c r="C14" s="509" t="n"/>
      <c r="D14" s="509" t="n"/>
      <c r="E14" s="509" t="n"/>
      <c r="F14" s="509" t="n"/>
      <c r="G14" s="509" t="n"/>
      <c r="H14" s="509" t="n"/>
      <c r="I14" s="509" t="n"/>
      <c r="J14" s="509" t="n"/>
      <c r="K14" s="509" t="n"/>
      <c r="L14" s="509" t="n"/>
      <c r="M14" s="509" t="n"/>
    </row>
    <row r="15" ht="18" customHeight="1">
      <c r="A15" s="179" t="inlineStr">
        <is>
          <t>Inventory</t>
        </is>
      </c>
      <c r="B15" s="509" t="n"/>
      <c r="C15" s="509" t="n"/>
      <c r="D15" s="509" t="n"/>
      <c r="E15" s="509" t="n"/>
      <c r="F15" s="509" t="n"/>
      <c r="G15" s="509" t="n"/>
      <c r="H15" s="509" t="n"/>
      <c r="I15" s="509" t="n"/>
      <c r="J15" s="509" t="n"/>
      <c r="K15" s="509" t="n"/>
      <c r="L15" s="509" t="n"/>
      <c r="M15" s="509" t="n"/>
    </row>
    <row r="16" ht="18" customHeight="1">
      <c r="A16" s="179" t="inlineStr">
        <is>
          <t>Derivative financial instruments (asset)</t>
        </is>
      </c>
      <c r="B16" s="511" t="n"/>
      <c r="C16" s="511" t="n"/>
      <c r="D16" s="511" t="n"/>
      <c r="E16" s="511" t="n"/>
      <c r="F16" s="511" t="n"/>
      <c r="G16" s="511" t="n"/>
      <c r="H16" s="511" t="n"/>
      <c r="I16" s="511" t="n"/>
      <c r="J16" s="511" t="n"/>
      <c r="K16" s="511" t="n"/>
      <c r="L16" s="511" t="n"/>
      <c r="M16" s="511" t="n"/>
    </row>
    <row r="17" ht="18" customHeight="1">
      <c r="A17" s="179" t="inlineStr">
        <is>
          <t>Prepaid &amp; other current assets</t>
        </is>
      </c>
      <c r="B17" s="511" t="n"/>
      <c r="C17" s="511" t="n"/>
      <c r="D17" s="511" t="n"/>
      <c r="E17" s="511" t="n"/>
      <c r="F17" s="511" t="n"/>
      <c r="G17" s="511" t="n"/>
      <c r="H17" s="511" t="n"/>
      <c r="I17" s="511" t="n"/>
      <c r="J17" s="511" t="n"/>
      <c r="K17" s="511" t="n"/>
      <c r="L17" s="511" t="n"/>
      <c r="M17" s="511" t="n"/>
    </row>
    <row r="18" ht="18" customHeight="1">
      <c r="A18" s="179" t="inlineStr">
        <is>
          <t>Total current assets</t>
        </is>
      </c>
      <c r="B18" s="509" t="n"/>
      <c r="C18" s="509" t="n"/>
      <c r="D18" s="509" t="n"/>
      <c r="E18" s="509" t="n"/>
      <c r="F18" s="509" t="n"/>
      <c r="G18" s="509" t="n"/>
      <c r="H18" s="509" t="n"/>
      <c r="I18" s="509" t="n"/>
      <c r="J18" s="509" t="n"/>
      <c r="K18" s="509" t="n"/>
      <c r="L18" s="509" t="n"/>
      <c r="M18" s="509" t="n"/>
    </row>
    <row r="19" ht="18" customHeight="1">
      <c r="A19" s="179" t="inlineStr">
        <is>
          <t>Property, plant &amp; equipment (net)</t>
        </is>
      </c>
      <c r="B19" s="509" t="n"/>
      <c r="C19" s="509" t="n"/>
      <c r="D19" s="509" t="n"/>
      <c r="E19" s="509" t="n"/>
      <c r="F19" s="509" t="n"/>
      <c r="G19" s="509" t="n"/>
      <c r="H19" s="509" t="n"/>
      <c r="I19" s="509" t="n"/>
      <c r="J19" s="509" t="n"/>
      <c r="K19" s="509" t="n"/>
      <c r="L19" s="509" t="n"/>
      <c r="M19" s="509" t="n"/>
    </row>
    <row r="20" ht="18" customHeight="1">
      <c r="A20" s="179" t="inlineStr">
        <is>
          <t>Operating lease right-of-use assets</t>
        </is>
      </c>
      <c r="B20" s="511" t="n"/>
      <c r="C20" s="511" t="n"/>
      <c r="D20" s="511" t="n"/>
      <c r="E20" s="511" t="n"/>
      <c r="F20" s="511" t="n"/>
      <c r="G20" s="511" t="n"/>
      <c r="H20" s="511" t="n"/>
      <c r="I20" s="511" t="n"/>
      <c r="J20" s="511" t="n"/>
      <c r="K20" s="511" t="n"/>
      <c r="L20" s="511" t="n"/>
      <c r="M20" s="511" t="n"/>
    </row>
    <row r="21" ht="18" customHeight="1">
      <c r="A21" s="179" t="inlineStr">
        <is>
          <t>Deferred income taxes, net</t>
        </is>
      </c>
      <c r="B21" s="511" t="n"/>
      <c r="C21" s="511" t="n"/>
      <c r="D21" s="511" t="n"/>
      <c r="E21" s="511" t="n"/>
      <c r="F21" s="511" t="n"/>
      <c r="G21" s="511" t="n"/>
      <c r="H21" s="511" t="n"/>
      <c r="I21" s="511" t="n"/>
      <c r="J21" s="511" t="n"/>
      <c r="K21" s="511" t="n"/>
      <c r="L21" s="511" t="n"/>
      <c r="M21" s="511" t="n"/>
    </row>
    <row r="22" ht="18" customHeight="1">
      <c r="A22" s="179" t="inlineStr">
        <is>
          <t>Goodwill</t>
        </is>
      </c>
      <c r="B22" s="509" t="n"/>
      <c r="C22" s="509" t="n"/>
      <c r="D22" s="509" t="n"/>
      <c r="E22" s="509" t="n"/>
      <c r="F22" s="509" t="n"/>
      <c r="G22" s="509" t="n"/>
      <c r="H22" s="509" t="n"/>
      <c r="I22" s="509" t="n"/>
      <c r="J22" s="509" t="n"/>
      <c r="K22" s="509" t="n"/>
      <c r="L22" s="509" t="n"/>
      <c r="M22" s="509" t="n"/>
    </row>
    <row r="23" ht="18" customHeight="1">
      <c r="A23" s="179" t="inlineStr">
        <is>
          <t>Intangibles (net)</t>
        </is>
      </c>
      <c r="B23" s="509" t="n"/>
      <c r="C23" s="509" t="n"/>
      <c r="D23" s="509" t="n"/>
      <c r="E23" s="509" t="n"/>
      <c r="F23" s="509" t="n"/>
      <c r="G23" s="509" t="n"/>
      <c r="H23" s="509" t="n"/>
      <c r="I23" s="509" t="n"/>
      <c r="J23" s="509" t="n"/>
      <c r="K23" s="509" t="n"/>
      <c r="L23" s="509" t="n"/>
      <c r="M23" s="509" t="n"/>
    </row>
    <row r="24" ht="18" customHeight="1">
      <c r="A24" s="179" t="inlineStr">
        <is>
          <t>Other long-term assets</t>
        </is>
      </c>
      <c r="B24" s="509" t="n"/>
      <c r="C24" s="509" t="n"/>
      <c r="D24" s="509" t="n"/>
      <c r="E24" s="509" t="n"/>
      <c r="F24" s="509" t="n"/>
      <c r="G24" s="509" t="n"/>
      <c r="H24" s="509" t="n"/>
      <c r="I24" s="509" t="n"/>
      <c r="J24" s="509" t="n"/>
      <c r="K24" s="509" t="n"/>
      <c r="L24" s="509" t="n"/>
      <c r="M24" s="509" t="n"/>
    </row>
    <row r="25" ht="18" customHeight="1">
      <c r="A25" s="179" t="inlineStr">
        <is>
          <t>Total assets</t>
        </is>
      </c>
      <c r="B25" s="509" t="n"/>
      <c r="C25" s="509" t="n"/>
      <c r="D25" s="509" t="n"/>
      <c r="E25" s="509" t="n"/>
      <c r="F25" s="509" t="n"/>
      <c r="G25" s="509" t="n"/>
      <c r="H25" s="509" t="n"/>
      <c r="I25" s="509" t="n"/>
      <c r="J25" s="509" t="n"/>
      <c r="K25" s="509" t="n"/>
      <c r="L25" s="509" t="n"/>
      <c r="M25" s="509" t="n"/>
    </row>
    <row r="26" ht="18" customHeight="1">
      <c r="A26" s="179" t="inlineStr">
        <is>
          <t>Goodwill % of assets</t>
        </is>
      </c>
      <c r="B26" s="512">
        <f>IF(OR(B22="",B25="",B25=0),"",B22/B25)</f>
        <v/>
      </c>
      <c r="C26" s="512">
        <f>IF(OR(C22="",C25="",C25=0),"",C22/C25)</f>
        <v/>
      </c>
      <c r="D26" s="512">
        <f>IF(OR(D22="",D25="",D25=0),"",D22/D25)</f>
        <v/>
      </c>
      <c r="E26" s="512">
        <f>IF(OR(E22="",E25="",E25=0),"",E22/E25)</f>
        <v/>
      </c>
      <c r="F26" s="512">
        <f>IF(OR(F22="",F25="",F25=0),"",F22/F25)</f>
        <v/>
      </c>
      <c r="G26" s="512">
        <f>IF(OR(G22="",G25="",G25=0),"",G22/G25)</f>
        <v/>
      </c>
      <c r="H26" s="512">
        <f>IF(OR(H22="",H25="",H25=0),"",H22/H25)</f>
        <v/>
      </c>
      <c r="I26" s="512">
        <f>IF(OR(I22="",I25="",I25=0),"",I22/I25)</f>
        <v/>
      </c>
      <c r="J26" s="512">
        <f>IF(OR(J22="",J25="",J25=0),"",J22/J25)</f>
        <v/>
      </c>
      <c r="K26" s="512">
        <f>IF(OR(K22="",K25="",K25=0),"",K22/K25)</f>
        <v/>
      </c>
      <c r="L26" s="512">
        <f>IF(OR(L22="",L25="",L25=0),"",L22/L25)</f>
        <v/>
      </c>
      <c r="M26" s="512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</t>
        </is>
      </c>
      <c r="B28" s="509" t="n"/>
      <c r="C28" s="509" t="n"/>
      <c r="D28" s="509" t="n"/>
      <c r="E28" s="509" t="n"/>
      <c r="F28" s="509" t="n"/>
      <c r="G28" s="509" t="n"/>
      <c r="H28" s="509" t="n"/>
      <c r="I28" s="509" t="n"/>
      <c r="J28" s="509" t="n"/>
      <c r="K28" s="509" t="n"/>
      <c r="L28" s="509" t="n"/>
      <c r="M28" s="509" t="n"/>
    </row>
    <row r="29" ht="18" customHeight="1">
      <c r="A29" s="179" t="inlineStr">
        <is>
          <t>Accrued liabilities</t>
        </is>
      </c>
      <c r="B29" s="509" t="n"/>
      <c r="C29" s="509" t="n"/>
      <c r="D29" s="509" t="n"/>
      <c r="E29" s="509" t="n"/>
      <c r="F29" s="509" t="n"/>
      <c r="G29" s="509" t="n"/>
      <c r="H29" s="509" t="n"/>
      <c r="I29" s="509" t="n"/>
      <c r="J29" s="509" t="n"/>
      <c r="K29" s="509" t="n"/>
      <c r="L29" s="509" t="n"/>
      <c r="M29" s="509" t="n"/>
    </row>
    <row r="30" ht="18" customHeight="1">
      <c r="A30" s="179" t="inlineStr">
        <is>
          <t>Deferred revenue / customer deposits</t>
        </is>
      </c>
      <c r="B30" s="511" t="n"/>
      <c r="C30" s="511" t="n"/>
      <c r="D30" s="511" t="n"/>
      <c r="E30" s="511" t="n"/>
      <c r="F30" s="511" t="n"/>
      <c r="G30" s="511" t="n"/>
      <c r="H30" s="511" t="n"/>
      <c r="I30" s="511" t="n"/>
      <c r="J30" s="511" t="n"/>
      <c r="K30" s="511" t="n"/>
      <c r="L30" s="511" t="n"/>
      <c r="M30" s="511" t="n"/>
    </row>
    <row r="31" ht="18" customHeight="1">
      <c r="A31" s="179" t="inlineStr">
        <is>
          <t>Derivative financial instruments (liability)</t>
        </is>
      </c>
      <c r="B31" s="511" t="n"/>
      <c r="C31" s="511" t="n"/>
      <c r="D31" s="511" t="n"/>
      <c r="E31" s="511" t="n"/>
      <c r="F31" s="511" t="n"/>
      <c r="G31" s="511" t="n"/>
      <c r="H31" s="511" t="n"/>
      <c r="I31" s="511" t="n"/>
      <c r="J31" s="511" t="n"/>
      <c r="K31" s="511" t="n"/>
      <c r="L31" s="511" t="n"/>
      <c r="M31" s="511" t="n"/>
    </row>
    <row r="32" ht="18" customHeight="1">
      <c r="A32" s="179" t="inlineStr">
        <is>
          <t>Short-term borrowings</t>
        </is>
      </c>
      <c r="B32" s="509" t="n"/>
      <c r="C32" s="509" t="n"/>
      <c r="D32" s="509" t="n"/>
      <c r="E32" s="509" t="n"/>
      <c r="F32" s="509" t="n"/>
      <c r="G32" s="509" t="n"/>
      <c r="H32" s="509" t="n"/>
      <c r="I32" s="509" t="n"/>
      <c r="J32" s="509" t="n"/>
      <c r="K32" s="509" t="n"/>
      <c r="L32" s="509" t="n"/>
      <c r="M32" s="509" t="n"/>
    </row>
    <row r="33" ht="18" customHeight="1">
      <c r="A33" s="179" t="inlineStr">
        <is>
          <t>Current maturities of long-term debt</t>
        </is>
      </c>
      <c r="B33" s="509" t="n"/>
      <c r="C33" s="509" t="n"/>
      <c r="D33" s="509" t="n"/>
      <c r="E33" s="509" t="n"/>
      <c r="F33" s="509" t="n"/>
      <c r="G33" s="509" t="n"/>
      <c r="H33" s="509" t="n"/>
      <c r="I33" s="509" t="n"/>
      <c r="J33" s="509" t="n"/>
      <c r="K33" s="509" t="n"/>
      <c r="L33" s="509" t="n"/>
      <c r="M33" s="509" t="n"/>
    </row>
    <row r="34" ht="18" customHeight="1">
      <c r="A34" s="179" t="inlineStr">
        <is>
          <t>Operating lease current liabilities</t>
        </is>
      </c>
      <c r="B34" s="509" t="n"/>
      <c r="C34" s="509" t="n"/>
      <c r="D34" s="509" t="n"/>
      <c r="E34" s="509" t="n"/>
      <c r="F34" s="509" t="n"/>
      <c r="G34" s="509" t="n"/>
      <c r="H34" s="509" t="n"/>
      <c r="I34" s="509" t="n"/>
      <c r="J34" s="509" t="n"/>
      <c r="K34" s="509" t="n"/>
      <c r="L34" s="509" t="n"/>
      <c r="M34" s="509" t="n"/>
    </row>
    <row r="35" ht="18" customHeight="1">
      <c r="A35" s="179" t="inlineStr">
        <is>
          <t>Total current liabilities</t>
        </is>
      </c>
      <c r="B35" s="509" t="n"/>
      <c r="C35" s="509" t="n"/>
      <c r="D35" s="509" t="n"/>
      <c r="E35" s="509" t="n"/>
      <c r="F35" s="509" t="n"/>
      <c r="G35" s="509" t="n"/>
      <c r="H35" s="509" t="n"/>
      <c r="I35" s="509" t="n"/>
      <c r="J35" s="509" t="n"/>
      <c r="K35" s="509" t="n"/>
      <c r="L35" s="509" t="n"/>
      <c r="M35" s="509" t="n"/>
    </row>
    <row r="36" ht="18" customHeight="1">
      <c r="A36" s="179" t="inlineStr">
        <is>
          <t>Net working capital</t>
        </is>
      </c>
      <c r="B36" s="510">
        <f>IF(OR(B18="",B35=""),"",B18-B35)</f>
        <v/>
      </c>
      <c r="C36" s="510">
        <f>IF(OR(C18="",C35=""),"",C18-C35)</f>
        <v/>
      </c>
      <c r="D36" s="510">
        <f>IF(OR(D18="",D35=""),"",D18-D35)</f>
        <v/>
      </c>
      <c r="E36" s="510">
        <f>IF(OR(E18="",E35=""),"",E18-E35)</f>
        <v/>
      </c>
      <c r="F36" s="510">
        <f>IF(OR(F18="",F35=""),"",F18-F35)</f>
        <v/>
      </c>
      <c r="G36" s="510">
        <f>IF(OR(G18="",G35=""),"",G18-G35)</f>
        <v/>
      </c>
      <c r="H36" s="510">
        <f>IF(OR(H18="",H35=""),"",H18-H35)</f>
        <v/>
      </c>
      <c r="I36" s="510">
        <f>IF(OR(I18="",I35=""),"",I18-I35)</f>
        <v/>
      </c>
      <c r="J36" s="510">
        <f>IF(OR(J18="",J35=""),"",J18-J35)</f>
        <v/>
      </c>
      <c r="K36" s="510">
        <f>IF(OR(K18="",K35=""),"",K18-K35)</f>
        <v/>
      </c>
      <c r="L36" s="510">
        <f>IF(OR(L18="",L35=""),"",L18-L35)</f>
        <v/>
      </c>
      <c r="M36" s="510">
        <f>IF(OR(M18="",M35=""),"",M18-M35)</f>
        <v/>
      </c>
    </row>
    <row r="37" ht="18" customHeight="1">
      <c r="A37" s="179" t="inlineStr">
        <is>
          <t>Δ NWC QoQ</t>
        </is>
      </c>
      <c r="B37" s="510">
        <f>""</f>
        <v/>
      </c>
      <c r="C37" s="510">
        <f>IF(OR(C36="",B36=""),"",C36-B36)</f>
        <v/>
      </c>
      <c r="D37" s="510">
        <f>IF(OR(D36="",C36=""),"",D36-C36)</f>
        <v/>
      </c>
      <c r="E37" s="510">
        <f>IF(OR(E36="",D36=""),"",E36-D36)</f>
        <v/>
      </c>
      <c r="F37" s="510">
        <f>IF(OR(F36="",E36=""),"",F36-E36)</f>
        <v/>
      </c>
      <c r="G37" s="510">
        <f>IF(OR(G36="",F36=""),"",G36-F36)</f>
        <v/>
      </c>
      <c r="H37" s="510">
        <f>IF(OR(H36="",G36=""),"",H36-G36)</f>
        <v/>
      </c>
      <c r="I37" s="510">
        <f>IF(OR(I36="",H36=""),"",I36-H36)</f>
        <v/>
      </c>
      <c r="J37" s="510">
        <f>IF(OR(J36="",I36=""),"",J36-I36)</f>
        <v/>
      </c>
      <c r="K37" s="510">
        <f>IF(OR(K36="",J36=""),"",K36-J36)</f>
        <v/>
      </c>
      <c r="L37" s="510">
        <f>IF(OR(L36="",K36=""),"",L36-K36)</f>
        <v/>
      </c>
      <c r="M37" s="510">
        <f>IF(OR(M36="",L36=""),"",M36-L36)</f>
        <v/>
      </c>
    </row>
    <row r="38" ht="18" customHeight="1">
      <c r="A38" s="179" t="inlineStr">
        <is>
          <t>Current ratio</t>
        </is>
      </c>
      <c r="B38" s="512">
        <f>IF(OR(B18="",B35="",B35=0),"",B18/B35)</f>
        <v/>
      </c>
      <c r="C38" s="512">
        <f>IF(OR(C18="",C35="",C35=0),"",C18/C35)</f>
        <v/>
      </c>
      <c r="D38" s="512">
        <f>IF(OR(D18="",D35="",D35=0),"",D18/D35)</f>
        <v/>
      </c>
      <c r="E38" s="512">
        <f>IF(OR(E18="",E35="",E35=0),"",E18/E35)</f>
        <v/>
      </c>
      <c r="F38" s="512">
        <f>IF(OR(F18="",F35="",F35=0),"",F18/F35)</f>
        <v/>
      </c>
      <c r="G38" s="512">
        <f>IF(OR(G18="",G35="",G35=0),"",G18/G35)</f>
        <v/>
      </c>
      <c r="H38" s="512">
        <f>IF(OR(H18="",H35="",H35=0),"",H18/H35)</f>
        <v/>
      </c>
      <c r="I38" s="512">
        <f>IF(OR(I18="",I35="",I35=0),"",I18/I35)</f>
        <v/>
      </c>
      <c r="J38" s="512">
        <f>IF(OR(J18="",J35="",J35=0),"",J18/J35)</f>
        <v/>
      </c>
      <c r="K38" s="512">
        <f>IF(OR(K18="",K35="",K35=0),"",K18/K35)</f>
        <v/>
      </c>
      <c r="L38" s="512">
        <f>IF(OR(L18="",L35="",L35=0),"",L18/L35)</f>
        <v/>
      </c>
      <c r="M38" s="512">
        <f>IF(OR(M18="",M35="",M35=0),"",M18/M35)</f>
        <v/>
      </c>
    </row>
    <row r="39" ht="18" customHeight="1">
      <c r="A39" s="179" t="inlineStr">
        <is>
          <t>Quick ratio</t>
        </is>
      </c>
      <c r="B39" s="512">
        <f>IF(OR(B18="",B15="",B35="",B35=0),"",(B18-B15)/B35)</f>
        <v/>
      </c>
      <c r="C39" s="512">
        <f>IF(OR(C18="",C15="",C35="",C35=0),"",(C18-C15)/C35)</f>
        <v/>
      </c>
      <c r="D39" s="512">
        <f>IF(OR(D18="",D15="",D35="",D35=0),"",(D18-D15)/D35)</f>
        <v/>
      </c>
      <c r="E39" s="512">
        <f>IF(OR(E18="",E15="",E35="",E35=0),"",(E18-E15)/E35)</f>
        <v/>
      </c>
      <c r="F39" s="512">
        <f>IF(OR(F18="",F15="",F35="",F35=0),"",(F18-F15)/F35)</f>
        <v/>
      </c>
      <c r="G39" s="512">
        <f>IF(OR(G18="",G15="",G35="",G35=0),"",(G18-G15)/G35)</f>
        <v/>
      </c>
      <c r="H39" s="512">
        <f>IF(OR(H18="",H15="",H35="",H35=0),"",(H18-H15)/H35)</f>
        <v/>
      </c>
      <c r="I39" s="512">
        <f>IF(OR(I18="",I15="",I35="",I35=0),"",(I18-I15)/I35)</f>
        <v/>
      </c>
      <c r="J39" s="512">
        <f>IF(OR(J18="",J15="",J35="",J35=0),"",(J18-J15)/J35)</f>
        <v/>
      </c>
      <c r="K39" s="512">
        <f>IF(OR(K18="",K15="",K35="",K35=0),"",(K18-K15)/K35)</f>
        <v/>
      </c>
      <c r="L39" s="512">
        <f>IF(OR(L18="",L15="",L35="",L35=0),"",(L18-L15)/L35)</f>
        <v/>
      </c>
      <c r="M39" s="512">
        <f>IF(OR(M18="",M15="",M35="",M35=0),"",(M18-M15)/M35)</f>
        <v/>
      </c>
    </row>
    <row r="40" ht="18" customHeight="1">
      <c r="A40" s="179" t="inlineStr">
        <is>
          <t>Debt (core borrowings)</t>
        </is>
      </c>
      <c r="B40" s="509" t="n"/>
      <c r="C40" s="509" t="n"/>
      <c r="D40" s="509" t="n"/>
      <c r="E40" s="509" t="n"/>
      <c r="F40" s="509" t="n"/>
      <c r="G40" s="509" t="n"/>
      <c r="H40" s="509" t="n"/>
      <c r="I40" s="509" t="n"/>
      <c r="J40" s="509" t="n"/>
      <c r="K40" s="509" t="n"/>
      <c r="L40" s="509" t="n"/>
      <c r="M40" s="509" t="n"/>
    </row>
    <row r="41" ht="18" customHeight="1">
      <c r="A41" s="179" t="inlineStr">
        <is>
          <t>Δ Total debt QoQ ($m)</t>
        </is>
      </c>
      <c r="B41" s="510">
        <f>""</f>
        <v/>
      </c>
      <c r="C41" s="510">
        <f>IF(OR(C40="",B40=""),"",C40-B40)</f>
        <v/>
      </c>
      <c r="D41" s="510">
        <f>IF(OR(D40="",C40=""),"",D40-C40)</f>
        <v/>
      </c>
      <c r="E41" s="510">
        <f>IF(OR(E40="",D40=""),"",E40-D40)</f>
        <v/>
      </c>
      <c r="F41" s="510">
        <f>IF(OR(F40="",E40=""),"",F40-E40)</f>
        <v/>
      </c>
      <c r="G41" s="510">
        <f>IF(OR(G40="",F40=""),"",G40-F40)</f>
        <v/>
      </c>
      <c r="H41" s="510">
        <f>IF(OR(H40="",G40=""),"",H40-G40)</f>
        <v/>
      </c>
      <c r="I41" s="510">
        <f>IF(OR(I40="",H40=""),"",I40-H40)</f>
        <v/>
      </c>
      <c r="J41" s="510">
        <f>IF(OR(J40="",I40=""),"",J40-I40)</f>
        <v/>
      </c>
      <c r="K41" s="510">
        <f>IF(OR(K40="",J40=""),"",K40-J40)</f>
        <v/>
      </c>
      <c r="L41" s="510">
        <f>IF(OR(L40="",K40=""),"",L40-K40)</f>
        <v/>
      </c>
      <c r="M41" s="510">
        <f>IF(OR(M40="",L40=""),"",M40-L40)</f>
        <v/>
      </c>
    </row>
    <row r="42" ht="18" customHeight="1">
      <c r="A42" s="179" t="inlineStr">
        <is>
          <t>Operating lease long-term liabilities</t>
        </is>
      </c>
      <c r="B42" s="509" t="n"/>
      <c r="C42" s="509" t="n"/>
      <c r="D42" s="509" t="n"/>
      <c r="E42" s="509" t="n"/>
      <c r="F42" s="509" t="n"/>
      <c r="G42" s="509" t="n"/>
      <c r="H42" s="509" t="n"/>
      <c r="I42" s="509" t="n"/>
      <c r="J42" s="509" t="n"/>
      <c r="K42" s="509" t="n"/>
      <c r="L42" s="509" t="n"/>
      <c r="M42" s="509" t="n"/>
    </row>
    <row r="43" ht="18" customHeight="1">
      <c r="A43" s="179" t="inlineStr">
        <is>
          <t>Pension / OPEB obligation (net)</t>
        </is>
      </c>
      <c r="B43" s="509" t="n"/>
      <c r="C43" s="509" t="n"/>
      <c r="D43" s="509" t="n"/>
      <c r="E43" s="509" t="n"/>
      <c r="F43" s="509" t="n"/>
      <c r="G43" s="509" t="n"/>
      <c r="H43" s="509" t="n"/>
      <c r="I43" s="509" t="n"/>
      <c r="J43" s="509" t="n"/>
      <c r="K43" s="509" t="n"/>
      <c r="L43" s="509" t="n"/>
      <c r="M43" s="509" t="n"/>
    </row>
    <row r="44" ht="18" customHeight="1">
      <c r="A44" s="179" t="inlineStr">
        <is>
          <t>Other long-term liabilities</t>
        </is>
      </c>
      <c r="B44" s="509" t="n"/>
      <c r="C44" s="509" t="n"/>
      <c r="D44" s="509" t="n"/>
      <c r="E44" s="509" t="n"/>
      <c r="F44" s="509" t="n"/>
      <c r="G44" s="509" t="n"/>
      <c r="H44" s="509" t="n"/>
      <c r="I44" s="509" t="n"/>
      <c r="J44" s="509" t="n"/>
      <c r="K44" s="509" t="n"/>
      <c r="L44" s="509" t="n"/>
      <c r="M44" s="509" t="n"/>
    </row>
    <row r="45" ht="18" customHeight="1">
      <c r="A45" s="179" t="inlineStr">
        <is>
          <t>Total liabilities</t>
        </is>
      </c>
      <c r="B45" s="509" t="n"/>
      <c r="C45" s="509" t="n"/>
      <c r="D45" s="509" t="n"/>
      <c r="E45" s="509" t="n"/>
      <c r="F45" s="509" t="n"/>
      <c r="G45" s="509" t="n"/>
      <c r="H45" s="509" t="n"/>
      <c r="I45" s="509" t="n"/>
      <c r="J45" s="509" t="n"/>
      <c r="K45" s="509" t="n"/>
      <c r="L45" s="509" t="n"/>
      <c r="M45" s="509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</t>
        </is>
      </c>
      <c r="B47" s="509" t="n"/>
      <c r="C47" s="509" t="n"/>
      <c r="D47" s="509" t="n"/>
      <c r="E47" s="509" t="n"/>
      <c r="F47" s="509" t="n"/>
      <c r="G47" s="509" t="n"/>
      <c r="H47" s="509" t="n"/>
      <c r="I47" s="509" t="n"/>
      <c r="J47" s="509" t="n"/>
      <c r="K47" s="509" t="n"/>
      <c r="L47" s="509" t="n"/>
      <c r="M47" s="509" t="n"/>
    </row>
    <row r="48" ht="18" customHeight="1">
      <c r="A48" s="179" t="inlineStr">
        <is>
          <t>Shares outstanding (m)</t>
        </is>
      </c>
      <c r="B48" s="513" t="n"/>
      <c r="C48" s="513" t="n"/>
      <c r="D48" s="513" t="n"/>
      <c r="E48" s="513" t="n"/>
      <c r="F48" s="513" t="n"/>
      <c r="G48" s="513" t="n"/>
      <c r="H48" s="513" t="n"/>
      <c r="I48" s="513" t="n"/>
      <c r="J48" s="513" t="n"/>
      <c r="K48" s="513" t="n"/>
      <c r="L48" s="513" t="n"/>
      <c r="M48" s="513" t="n"/>
    </row>
    <row r="49" ht="18" customHeight="1">
      <c r="A49" s="179" t="inlineStr">
        <is>
          <t>Shares diluted (m)</t>
        </is>
      </c>
      <c r="B49" s="513" t="n"/>
      <c r="C49" s="513" t="n"/>
      <c r="D49" s="513" t="n"/>
      <c r="E49" s="513" t="n"/>
      <c r="F49" s="513" t="n"/>
      <c r="G49" s="513" t="n"/>
      <c r="H49" s="513" t="n"/>
      <c r="I49" s="513" t="n"/>
      <c r="J49" s="513" t="n"/>
      <c r="K49" s="513" t="n"/>
      <c r="L49" s="513" t="n"/>
      <c r="M49" s="513" t="n"/>
    </row>
    <row r="50" ht="18" customHeight="1">
      <c r="A50" s="177" t="n"/>
      <c r="B50" s="514" t="n"/>
      <c r="C50" s="514" t="n"/>
      <c r="D50" s="514" t="n"/>
      <c r="E50" s="514" t="n"/>
      <c r="F50" s="514" t="n"/>
      <c r="G50" s="514" t="n"/>
      <c r="H50" s="514" t="n"/>
      <c r="I50" s="514" t="n"/>
      <c r="J50" s="514" t="n"/>
      <c r="K50" s="514" t="n"/>
      <c r="L50" s="514" t="n"/>
      <c r="M50" s="514" t="n"/>
    </row>
    <row r="51" ht="18" customHeight="1">
      <c r="A51" s="179" t="inlineStr">
        <is>
          <t>Inventory YoY</t>
        </is>
      </c>
      <c r="B51" s="512">
        <f>""</f>
        <v/>
      </c>
      <c r="C51" s="512">
        <f>""</f>
        <v/>
      </c>
      <c r="D51" s="512">
        <f>""</f>
        <v/>
      </c>
      <c r="E51" s="512">
        <f>""</f>
        <v/>
      </c>
      <c r="F51" s="512">
        <f>IF(OR(B15="",F15="",B15=0),"",F15/B15-1)</f>
        <v/>
      </c>
      <c r="G51" s="512">
        <f>IF(OR(C15="",G15="",C15=0),"",G15/C15-1)</f>
        <v/>
      </c>
      <c r="H51" s="512">
        <f>IF(OR(D15="",H15="",D15=0),"",H15/D15-1)</f>
        <v/>
      </c>
      <c r="I51" s="512">
        <f>IF(OR(E15="",I15="",E15=0),"",I15/E15-1)</f>
        <v/>
      </c>
      <c r="J51" s="512">
        <f>IF(OR(F15="",J15="",F15=0),"",J15/F15-1)</f>
        <v/>
      </c>
      <c r="K51" s="512">
        <f>IF(OR(G15="",K15="",G15=0),"",K15/G15-1)</f>
        <v/>
      </c>
      <c r="L51" s="512">
        <f>IF(OR(H15="",L15="",H15=0),"",L15/H15-1)</f>
        <v/>
      </c>
      <c r="M51" s="512">
        <f>IF(OR(I15="",M15="",I15=0),"",M15/I15-1)</f>
        <v/>
      </c>
    </row>
    <row r="52" ht="18" customHeight="1">
      <c r="A52" s="179" t="inlineStr">
        <is>
          <t>Sales YoY</t>
        </is>
      </c>
      <c r="B52" s="512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512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512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512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512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512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512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512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512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512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512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512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less sales YoY</t>
        </is>
      </c>
      <c r="B53" s="512">
        <f>IF(OR(B51="",B52=""),"",B51-B52)</f>
        <v/>
      </c>
      <c r="C53" s="512">
        <f>IF(OR(C51="",C52=""),"",C51-C52)</f>
        <v/>
      </c>
      <c r="D53" s="512">
        <f>IF(OR(D51="",D52=""),"",D51-D52)</f>
        <v/>
      </c>
      <c r="E53" s="512">
        <f>IF(OR(E51="",E52=""),"",E51-E52)</f>
        <v/>
      </c>
      <c r="F53" s="512">
        <f>IF(OR(F51="",F52=""),"",F51-F52)</f>
        <v/>
      </c>
      <c r="G53" s="512">
        <f>IF(OR(G51="",G52=""),"",G51-G52)</f>
        <v/>
      </c>
      <c r="H53" s="512">
        <f>IF(OR(H51="",H52=""),"",H51-H52)</f>
        <v/>
      </c>
      <c r="I53" s="512">
        <f>IF(OR(I51="",I52=""),"",I51-I52)</f>
        <v/>
      </c>
      <c r="J53" s="512">
        <f>IF(OR(J51="",J52=""),"",J51-J52)</f>
        <v/>
      </c>
      <c r="K53" s="512">
        <f>IF(OR(K51="",K52=""),"",K51-K52)</f>
        <v/>
      </c>
      <c r="L53" s="512">
        <f>IF(OR(L51="",L52=""),"",L51-L52)</f>
        <v/>
      </c>
      <c r="M53" s="512">
        <f>IF(OR(M51="",M52=""),"",M51-M52)</f>
        <v/>
      </c>
    </row>
    <row r="54" ht="18" customHeight="1">
      <c r="A54" s="179" t="inlineStr">
        <is>
          <t>Net cash</t>
        </is>
      </c>
      <c r="B54" s="510">
        <f>IF(OR(B9="",B13="",B40=""),"",B9+B13-B40)</f>
        <v/>
      </c>
      <c r="C54" s="510">
        <f>IF(OR(C9="",C13="",C40=""),"",C9+C13-C40)</f>
        <v/>
      </c>
      <c r="D54" s="510">
        <f>IF(OR(D9="",D13="",D40=""),"",D9+D13-D40)</f>
        <v/>
      </c>
      <c r="E54" s="510">
        <f>IF(OR(E9="",E13="",E40=""),"",E9+E13-E40)</f>
        <v/>
      </c>
      <c r="F54" s="510">
        <f>IF(OR(F9="",F13="",F40=""),"",F9+F13-F40)</f>
        <v/>
      </c>
      <c r="G54" s="510">
        <f>IF(OR(G9="",G13="",G40=""),"",G9+G13-G40)</f>
        <v/>
      </c>
      <c r="H54" s="510">
        <f>IF(OR(H9="",H13="",H40=""),"",H9+H13-H40)</f>
        <v/>
      </c>
      <c r="I54" s="510">
        <f>IF(OR(I9="",I13="",I40=""),"",I9+I13-I40)</f>
        <v/>
      </c>
      <c r="J54" s="510">
        <f>IF(OR(J9="",J13="",J40=""),"",J9+J13-J40)</f>
        <v/>
      </c>
      <c r="K54" s="510">
        <f>IF(OR(K9="",K13="",K40=""),"",K9+K13-K40)</f>
        <v/>
      </c>
      <c r="L54" s="510">
        <f>IF(OR(L9="",L13="",L40=""),"",L9+L13-L40)</f>
        <v/>
      </c>
      <c r="M54" s="510">
        <f>IF(OR(M9="",M13="",M40=""),"",M9+M13-M40)</f>
        <v/>
      </c>
    </row>
    <row r="55" ht="18" customHeight="1">
      <c r="A55" s="179" t="inlineStr">
        <is>
          <t>Total lease liabilities</t>
        </is>
      </c>
      <c r="B55" s="510">
        <f>IF(OR(B34="",B42=""),"",B34+B42)</f>
        <v/>
      </c>
      <c r="C55" s="510">
        <f>IF(OR(C34="",C42=""),"",C34+C42)</f>
        <v/>
      </c>
      <c r="D55" s="510">
        <f>IF(OR(D34="",D42=""),"",D34+D42)</f>
        <v/>
      </c>
      <c r="E55" s="510">
        <f>IF(OR(E34="",E42=""),"",E34+E42)</f>
        <v/>
      </c>
      <c r="F55" s="510">
        <f>IF(OR(F34="",F42=""),"",F34+F42)</f>
        <v/>
      </c>
      <c r="G55" s="510">
        <f>IF(OR(G34="",G42=""),"",G34+G42)</f>
        <v/>
      </c>
      <c r="H55" s="510">
        <f>IF(OR(H34="",H42=""),"",H34+H42)</f>
        <v/>
      </c>
      <c r="I55" s="510">
        <f>IF(OR(I34="",I42=""),"",I34+I42)</f>
        <v/>
      </c>
      <c r="J55" s="510">
        <f>IF(OR(J34="",J42=""),"",J34+J42)</f>
        <v/>
      </c>
      <c r="K55" s="510">
        <f>IF(OR(K34="",K42=""),"",K34+K42)</f>
        <v/>
      </c>
      <c r="L55" s="510">
        <f>IF(OR(L34="",L42=""),"",L34+L42)</f>
        <v/>
      </c>
      <c r="M55" s="510">
        <f>IF(OR(M34="",M42=""),"",M34+M42)</f>
        <v/>
      </c>
    </row>
    <row r="56" ht="18" customHeight="1">
      <c r="A56" s="179" t="inlineStr">
        <is>
          <t>Diluted shares YoY</t>
        </is>
      </c>
      <c r="B56" s="512">
        <f>""</f>
        <v/>
      </c>
      <c r="C56" s="512">
        <f>""</f>
        <v/>
      </c>
      <c r="D56" s="512">
        <f>""</f>
        <v/>
      </c>
      <c r="E56" s="512">
        <f>""</f>
        <v/>
      </c>
      <c r="F56" s="512">
        <f>IF(OR(B49="",F49="",B49=0),"",F49/B49-1)</f>
        <v/>
      </c>
      <c r="G56" s="512">
        <f>IF(OR(C49="",G49="",C49=0),"",G49/C49-1)</f>
        <v/>
      </c>
      <c r="H56" s="512">
        <f>IF(OR(D49="",H49="",D49=0),"",H49/D49-1)</f>
        <v/>
      </c>
      <c r="I56" s="512">
        <f>IF(OR(E49="",I49="",E49=0),"",I49/E49-1)</f>
        <v/>
      </c>
      <c r="J56" s="512">
        <f>IF(OR(F49="",J49="",F49=0),"",J49/F49-1)</f>
        <v/>
      </c>
      <c r="K56" s="512">
        <f>IF(OR(G49="",K49="",G49=0),"",K49/G49-1)</f>
        <v/>
      </c>
      <c r="L56" s="512">
        <f>IF(OR(H49="",L49="",H49=0),"",L49/H49-1)</f>
        <v/>
      </c>
      <c r="M56" s="512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segments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n"/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segments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34" t="n"/>
      <c r="C70" s="34" t="n"/>
      <c r="D70" s="34" t="n"/>
      <c r="E70" s="174" t="n"/>
      <c r="F70" s="174" t="n"/>
      <c r="G70" s="174" t="n"/>
      <c r="H70" s="174" t="n"/>
      <c r="I70" s="17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/>
    <row r="77"/>
    <row r="78"/>
    <row r="79"/>
    <row r="80"/>
    <row r="81">
      <c r="A81" s="197" t="inlineStr">
        <is>
          <t>Annual financial history</t>
        </is>
      </c>
      <c r="B81" s="198" t="n"/>
      <c r="C81" s="198" t="n"/>
      <c r="D81" s="198" t="n"/>
      <c r="E81" s="198" t="n"/>
      <c r="F81" s="198" t="n"/>
      <c r="G81" s="198" t="n"/>
      <c r="H81" s="198" t="n"/>
      <c r="I81" s="198" t="n"/>
    </row>
    <row r="82">
      <c r="A82" s="200" t="inlineStr">
        <is>
          <t>Fiscal year</t>
        </is>
      </c>
      <c r="B82" s="442" t="n"/>
      <c r="C82" s="442" t="n"/>
      <c r="D82" s="442" t="n"/>
      <c r="E82" s="515" t="n"/>
      <c r="F82" s="515" t="n"/>
      <c r="G82" s="515" t="n"/>
      <c r="H82" s="515" t="n"/>
      <c r="I82" s="515" t="n"/>
    </row>
    <row r="83">
      <c r="A83" s="177" t="inlineStr">
        <is>
          <t>Revenue</t>
        </is>
      </c>
      <c r="B83" s="516" t="n"/>
      <c r="C83" s="516" t="n"/>
      <c r="D83" s="516" t="n"/>
      <c r="E83" s="516" t="n"/>
      <c r="F83" s="516" t="n"/>
      <c r="G83" s="516" t="n"/>
      <c r="H83" s="516" t="n"/>
      <c r="I83" s="516" t="n"/>
    </row>
    <row r="84">
      <c r="A84" s="177" t="inlineStr">
        <is>
          <t>Gross profit</t>
        </is>
      </c>
      <c r="B84" s="516" t="n"/>
      <c r="C84" s="516" t="n"/>
      <c r="D84" s="516" t="n"/>
      <c r="E84" s="516" t="n"/>
      <c r="F84" s="516" t="n"/>
      <c r="G84" s="516" t="n"/>
      <c r="H84" s="516" t="n"/>
      <c r="I84" s="516" t="n"/>
    </row>
    <row r="85">
      <c r="A85" s="177" t="inlineStr">
        <is>
          <t>Gross margin %</t>
        </is>
      </c>
      <c r="B85" s="517">
        <f>IF(OR(B84="",B83="",B83=0),"",B84/B83)</f>
        <v/>
      </c>
      <c r="C85" s="517">
        <f>IF(OR(C84="",C83="",C83=0),"",C84/C83)</f>
        <v/>
      </c>
      <c r="D85" s="517">
        <f>IF(OR(D84="",D83="",D83=0),"",D84/D83)</f>
        <v/>
      </c>
      <c r="E85" s="517">
        <f>IF(OR(E84="",E83="",E83=0),"",E84/E83)</f>
        <v/>
      </c>
      <c r="F85" s="517">
        <f>IF(OR(F84="",F83="",F83=0),"",F84/F83)</f>
        <v/>
      </c>
      <c r="G85" s="517">
        <f>IF(OR(G84="",G83="",G83=0),"",G84/G83)</f>
        <v/>
      </c>
      <c r="H85" s="517">
        <f>IF(OR(H84="",H83="",H83=0),"",H84/H83)</f>
        <v/>
      </c>
      <c r="I85" s="517">
        <f>IF(OR(I84="",I83="",I83=0),"",I84/I83)</f>
        <v/>
      </c>
    </row>
    <row r="86">
      <c r="A86" s="177" t="inlineStr">
        <is>
          <t>Operating income</t>
        </is>
      </c>
      <c r="B86" s="516" t="n"/>
      <c r="C86" s="516" t="n"/>
      <c r="D86" s="516" t="n"/>
      <c r="E86" s="516" t="n"/>
      <c r="F86" s="516" t="n"/>
      <c r="G86" s="516" t="n"/>
      <c r="H86" s="516" t="n"/>
      <c r="I86" s="516" t="n"/>
    </row>
    <row r="87">
      <c r="A87" s="177" t="inlineStr">
        <is>
          <t>Operating margin %</t>
        </is>
      </c>
      <c r="B87" s="517">
        <f>IF(OR(B86="",B83="",B83=0),"",B86/B83)</f>
        <v/>
      </c>
      <c r="C87" s="517">
        <f>IF(OR(C86="",C83="",C83=0),"",C86/C83)</f>
        <v/>
      </c>
      <c r="D87" s="517">
        <f>IF(OR(D86="",D83="",D83=0),"",D86/D83)</f>
        <v/>
      </c>
      <c r="E87" s="517">
        <f>IF(OR(E86="",E83="",E83=0),"",E86/E83)</f>
        <v/>
      </c>
      <c r="F87" s="517">
        <f>IF(OR(F86="",F83="",F83=0),"",F86/F83)</f>
        <v/>
      </c>
      <c r="G87" s="517">
        <f>IF(OR(G86="",G83="",G83=0),"",G86/G83)</f>
        <v/>
      </c>
      <c r="H87" s="517">
        <f>IF(OR(H86="",H83="",H83=0),"",H86/H83)</f>
        <v/>
      </c>
      <c r="I87" s="517">
        <f>IF(OR(I86="",I83="",I83=0),"",I86/I83)</f>
        <v/>
      </c>
    </row>
    <row r="88">
      <c r="A88" s="177" t="inlineStr">
        <is>
          <t>EBITDA (base)</t>
        </is>
      </c>
      <c r="B88" s="516" t="n"/>
      <c r="C88" s="516" t="n"/>
      <c r="D88" s="516" t="n"/>
      <c r="E88" s="516" t="n"/>
      <c r="F88" s="516" t="n"/>
      <c r="G88" s="516" t="n"/>
      <c r="H88" s="516" t="n"/>
      <c r="I88" s="516" t="n"/>
    </row>
    <row r="89">
      <c r="A89" s="177" t="inlineStr">
        <is>
          <t>EBITDA margin %</t>
        </is>
      </c>
      <c r="B89" s="517">
        <f>IF(OR(B88="",B83="",B83=0),"",B88/B83)</f>
        <v/>
      </c>
      <c r="C89" s="517">
        <f>IF(OR(C88="",C83="",C83=0),"",C88/C83)</f>
        <v/>
      </c>
      <c r="D89" s="517">
        <f>IF(OR(D88="",D83="",D83=0),"",D88/D83)</f>
        <v/>
      </c>
      <c r="E89" s="517">
        <f>IF(OR(E88="",E83="",E83=0),"",E88/E83)</f>
        <v/>
      </c>
      <c r="F89" s="517">
        <f>IF(OR(F88="",F83="",F83=0),"",F88/F83)</f>
        <v/>
      </c>
      <c r="G89" s="517">
        <f>IF(OR(G88="",G83="",G83=0),"",G88/G83)</f>
        <v/>
      </c>
      <c r="H89" s="517">
        <f>IF(OR(H88="",H83="",H83=0),"",H88/H83)</f>
        <v/>
      </c>
      <c r="I89" s="517">
        <f>IF(OR(I88="",I83="",I83=0),"",I88/I83)</f>
        <v/>
      </c>
    </row>
    <row r="90">
      <c r="A90" s="177" t="inlineStr">
        <is>
          <t>Adjusted EBITDA</t>
        </is>
      </c>
      <c r="B90" s="516" t="n"/>
      <c r="C90" s="516" t="n"/>
      <c r="D90" s="516" t="n"/>
      <c r="E90" s="516" t="n"/>
      <c r="F90" s="516" t="n"/>
      <c r="G90" s="516" t="n"/>
      <c r="H90" s="516" t="n"/>
      <c r="I90" s="516" t="n"/>
    </row>
    <row r="91">
      <c r="A91" s="177" t="inlineStr">
        <is>
          <t>Adjusted EBITDA margin %</t>
        </is>
      </c>
      <c r="B91" s="517">
        <f>IF(OR(B90="",B83="",B83=0),"",B90/B83)</f>
        <v/>
      </c>
      <c r="C91" s="517">
        <f>IF(OR(C90="",C83="",C83=0),"",C90/C83)</f>
        <v/>
      </c>
      <c r="D91" s="517">
        <f>IF(OR(D90="",D83="",D83=0),"",D90/D83)</f>
        <v/>
      </c>
      <c r="E91" s="517">
        <f>IF(OR(E90="",E83="",E83=0),"",E90/E83)</f>
        <v/>
      </c>
      <c r="F91" s="517">
        <f>IF(OR(F90="",F83="",F83=0),"",F90/F83)</f>
        <v/>
      </c>
      <c r="G91" s="517">
        <f>IF(OR(G90="",G83="",G83=0),"",G90/G83)</f>
        <v/>
      </c>
      <c r="H91" s="517">
        <f>IF(OR(H90="",H83="",H83=0),"",H90/H83)</f>
        <v/>
      </c>
      <c r="I91" s="517">
        <f>IF(OR(I90="",I83="",I83=0),"",I90/I83)</f>
        <v/>
      </c>
    </row>
    <row r="92">
      <c r="A92" s="177" t="inlineStr">
        <is>
          <t>Net income</t>
        </is>
      </c>
      <c r="B92" s="516" t="n"/>
      <c r="C92" s="516" t="n"/>
      <c r="D92" s="516" t="n"/>
      <c r="E92" s="516" t="n"/>
      <c r="F92" s="516" t="n"/>
      <c r="G92" s="516" t="n"/>
      <c r="H92" s="516" t="n"/>
      <c r="I92" s="516" t="n"/>
    </row>
    <row r="93">
      <c r="A93" s="177" t="inlineStr">
        <is>
          <t>Net margin %</t>
        </is>
      </c>
      <c r="B93" s="517">
        <f>IF(OR(B92="",B83="",B83=0),"",B92/B83)</f>
        <v/>
      </c>
      <c r="C93" s="517">
        <f>IF(OR(C92="",C83="",C83=0),"",C92/C83)</f>
        <v/>
      </c>
      <c r="D93" s="517">
        <f>IF(OR(D92="",D83="",D83=0),"",D92/D83)</f>
        <v/>
      </c>
      <c r="E93" s="517">
        <f>IF(OR(E92="",E83="",E83=0),"",E92/E83)</f>
        <v/>
      </c>
      <c r="F93" s="517">
        <f>IF(OR(F92="",F83="",F83=0),"",F92/F83)</f>
        <v/>
      </c>
      <c r="G93" s="517">
        <f>IF(OR(G92="",G83="",G83=0),"",G92/G83)</f>
        <v/>
      </c>
      <c r="H93" s="517">
        <f>IF(OR(H92="",H83="",H83=0),"",H92/H83)</f>
        <v/>
      </c>
      <c r="I93" s="517">
        <f>IF(OR(I92="",I83="",I83=0),"",I92/I83)</f>
        <v/>
      </c>
    </row>
    <row r="94">
      <c r="A94" s="177" t="inlineStr">
        <is>
          <t>CFO</t>
        </is>
      </c>
      <c r="B94" s="516" t="n"/>
      <c r="C94" s="516" t="n"/>
      <c r="D94" s="516" t="n"/>
      <c r="E94" s="516" t="n"/>
      <c r="F94" s="516" t="n"/>
      <c r="G94" s="516" t="n"/>
      <c r="H94" s="516" t="n"/>
      <c r="I94" s="516" t="n"/>
    </row>
    <row r="95">
      <c r="A95" s="177" t="inlineStr">
        <is>
          <t>Capex</t>
        </is>
      </c>
      <c r="B95" s="516" t="n"/>
      <c r="C95" s="516" t="n"/>
      <c r="D95" s="516" t="n"/>
      <c r="E95" s="516" t="n"/>
      <c r="F95" s="516" t="n"/>
      <c r="G95" s="516" t="n"/>
      <c r="H95" s="516" t="n"/>
      <c r="I95" s="516" t="n"/>
    </row>
    <row r="96">
      <c r="A96" s="177" t="inlineStr">
        <is>
          <t>FCF (CFO - Capex)</t>
        </is>
      </c>
      <c r="B96" s="518">
        <f>IF(OR(B94="",B95=""),"",B94-B95)</f>
        <v/>
      </c>
      <c r="C96" s="518">
        <f>IF(OR(C94="",C95=""),"",C94-C95)</f>
        <v/>
      </c>
      <c r="D96" s="518">
        <f>IF(OR(D94="",D95=""),"",D94-D95)</f>
        <v/>
      </c>
      <c r="E96" s="518">
        <f>IF(OR(E94="",E95=""),"",E94-E95)</f>
        <v/>
      </c>
      <c r="F96" s="518">
        <f>IF(OR(F94="",F95=""),"",F94-F95)</f>
        <v/>
      </c>
      <c r="G96" s="518">
        <f>IF(OR(G94="",G95=""),"",G94-G95)</f>
        <v/>
      </c>
      <c r="H96" s="518">
        <f>IF(OR(H94="",H95=""),"",H94-H95)</f>
        <v/>
      </c>
      <c r="I96" s="518">
        <f>IF(OR(I94="",I95=""),"",I94-I95)</f>
        <v/>
      </c>
    </row>
    <row r="97">
      <c r="A97" s="177" t="inlineStr">
        <is>
          <t>FCF margin %</t>
        </is>
      </c>
      <c r="B97" s="517">
        <f>IF(OR(B96="",B83="",B83=0),"",B96/B83)</f>
        <v/>
      </c>
      <c r="C97" s="517">
        <f>IF(OR(C96="",C83="",C83=0),"",C96/C83)</f>
        <v/>
      </c>
      <c r="D97" s="517">
        <f>IF(OR(D96="",D83="",D83=0),"",D96/D83)</f>
        <v/>
      </c>
      <c r="E97" s="517">
        <f>IF(OR(E96="",E83="",E83=0),"",E96/E83)</f>
        <v/>
      </c>
      <c r="F97" s="517">
        <f>IF(OR(F96="",F83="",F83=0),"",F96/F83)</f>
        <v/>
      </c>
      <c r="G97" s="517">
        <f>IF(OR(G96="",G83="",G83=0),"",G96/G83)</f>
        <v/>
      </c>
      <c r="H97" s="517">
        <f>IF(OR(H96="",H83="",H83=0),"",H96/H83)</f>
        <v/>
      </c>
      <c r="I97" s="517">
        <f>IF(OR(I96="",I83="",I83=0),"",I96/I83)</f>
        <v/>
      </c>
    </row>
    <row r="98">
      <c r="A98" s="177" t="inlineStr">
        <is>
          <t>Shares outstanding (year-end, m)</t>
        </is>
      </c>
      <c r="B98" s="516" t="n"/>
      <c r="C98" s="516" t="n"/>
      <c r="D98" s="516" t="n"/>
      <c r="E98" s="516" t="n"/>
      <c r="F98" s="516" t="n"/>
      <c r="G98" s="516" t="n"/>
      <c r="H98" s="516" t="n"/>
      <c r="I98" s="516" t="n"/>
    </row>
    <row r="99">
      <c r="A99" s="177" t="inlineStr">
        <is>
          <t>Diluted EPS (GAAP)</t>
        </is>
      </c>
      <c r="B99" s="519" t="n"/>
      <c r="C99" s="519" t="n"/>
      <c r="D99" s="519" t="n"/>
      <c r="E99" s="519" t="n"/>
      <c r="F99" s="519" t="n"/>
      <c r="G99" s="519" t="n"/>
      <c r="H99" s="519" t="n"/>
      <c r="I99" s="519" t="n"/>
    </row>
    <row r="100">
      <c r="A100" s="177" t="inlineStr">
        <is>
          <t>Total equity</t>
        </is>
      </c>
      <c r="B100" s="516" t="n"/>
      <c r="C100" s="516" t="n"/>
      <c r="D100" s="516" t="n"/>
      <c r="E100" s="516" t="n"/>
      <c r="F100" s="516" t="n"/>
      <c r="G100" s="516" t="n"/>
      <c r="H100" s="516" t="n"/>
      <c r="I100" s="516" t="n"/>
    </row>
    <row r="101">
      <c r="A101" s="177" t="inlineStr">
        <is>
          <t>Book value/share</t>
        </is>
      </c>
      <c r="B101" s="520">
        <f>IF(OR(B100="",B98="",B98=0),"",B100/B98)</f>
        <v/>
      </c>
      <c r="C101" s="520">
        <f>IF(OR(C100="",C98="",C98=0),"",C100/C98)</f>
        <v/>
      </c>
      <c r="D101" s="520">
        <f>IF(OR(D100="",D98="",D98=0),"",D100/D98)</f>
        <v/>
      </c>
      <c r="E101" s="520">
        <f>IF(OR(E100="",E98="",E98=0),"",E100/E98)</f>
        <v/>
      </c>
      <c r="F101" s="520">
        <f>IF(OR(F100="",F98="",F98=0),"",F100/F98)</f>
        <v/>
      </c>
      <c r="G101" s="520">
        <f>IF(OR(G100="",G98="",G98=0),"",G100/G98)</f>
        <v/>
      </c>
      <c r="H101" s="520">
        <f>IF(OR(H100="",H98="",H98=0),"",H100/H98)</f>
        <v/>
      </c>
      <c r="I101" s="520">
        <f>IF(OR(I100="",I98="",I98=0),"",I100/I98)</f>
        <v/>
      </c>
    </row>
    <row r="102">
      <c r="A102" s="177" t="inlineStr">
        <is>
          <t>Cash</t>
        </is>
      </c>
      <c r="B102" s="516" t="n"/>
      <c r="C102" s="516" t="n"/>
      <c r="D102" s="516" t="n"/>
      <c r="E102" s="516" t="n"/>
      <c r="F102" s="516" t="n"/>
      <c r="G102" s="516" t="n"/>
      <c r="H102" s="516" t="n"/>
      <c r="I102" s="516" t="n"/>
    </row>
    <row r="103">
      <c r="A103" s="177" t="inlineStr">
        <is>
          <t>Debt (core borrowings)</t>
        </is>
      </c>
      <c r="B103" s="516" t="n"/>
      <c r="C103" s="516" t="n"/>
      <c r="D103" s="516" t="n"/>
      <c r="E103" s="516" t="n"/>
      <c r="F103" s="516" t="n"/>
      <c r="G103" s="516" t="n"/>
      <c r="H103" s="516" t="n"/>
      <c r="I103" s="516" t="n"/>
    </row>
    <row r="104">
      <c r="A104" s="177" t="inlineStr">
        <is>
          <t>Net debt</t>
        </is>
      </c>
      <c r="B104" s="518">
        <f>IF(OR(B103="",B102=""),"",B103-B102)</f>
        <v/>
      </c>
      <c r="C104" s="518">
        <f>IF(OR(C103="",C102=""),"",C103-C102)</f>
        <v/>
      </c>
      <c r="D104" s="518">
        <f>IF(OR(D103="",D102=""),"",D103-D102)</f>
        <v/>
      </c>
      <c r="E104" s="518">
        <f>IF(OR(E103="",E102=""),"",E103-E102)</f>
        <v/>
      </c>
      <c r="F104" s="518">
        <f>IF(OR(F103="",F102=""),"",F103-F102)</f>
        <v/>
      </c>
      <c r="G104" s="518">
        <f>IF(OR(G103="",G102=""),"",G103-G102)</f>
        <v/>
      </c>
      <c r="H104" s="518">
        <f>IF(OR(H103="",H102=""),"",H103-H102)</f>
        <v/>
      </c>
      <c r="I104" s="518">
        <f>IF(OR(I103="",I102=""),"",I103-I102)</f>
        <v/>
      </c>
    </row>
  </sheetData>
  <mergeCells count="5">
    <mergeCell ref="B6:M6"/>
    <mergeCell ref="A81:I81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521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42" customHeight="1">
      <c r="A6" s="204" t="n"/>
      <c r="B6" s="433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42" customHeight="1">
      <c r="A7" s="206" t="n"/>
      <c r="B7" s="435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42" customHeight="1">
      <c r="A8" s="204" t="n"/>
      <c r="B8" s="433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42" customHeight="1">
      <c r="A9" s="206" t="n"/>
      <c r="B9" s="435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42" customHeight="1">
      <c r="A14" s="206" t="inlineStr">
        <is>
          <t>Current guidance period</t>
        </is>
      </c>
      <c r="B14" s="435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42" customHeight="1">
      <c r="A15" s="204" t="inlineStr">
        <is>
          <t>Margin bridge</t>
        </is>
      </c>
      <c r="B15" s="433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522" t="n"/>
      <c r="J40" s="522" t="n"/>
      <c r="K40" s="522" t="n"/>
      <c r="L40" s="522" t="n"/>
      <c r="M40" s="522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zoomScale="112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30" customWidth="1" min="3" max="3"/>
    <col width="28" customWidth="1" min="4" max="4"/>
    <col width="32" customWidth="1" min="5" max="5"/>
    <col width="24" customWidth="1" min="6" max="6"/>
    <col width="24" customWidth="1" min="7" max="7"/>
    <col width="24" customWidth="1" min="8" max="8"/>
    <col width="22" customWidth="1" min="9" max="9"/>
    <col width="22" customWidth="1" min="10" max="10"/>
    <col width="24" customWidth="1" min="11" max="11"/>
  </cols>
  <sheetData>
    <row r="1" ht="26" customHeight="1">
      <c r="A1" s="251" t="inlineStr"/>
    </row>
    <row r="2" ht="21" customHeight="1">
      <c r="A2" s="253" t="n"/>
    </row>
    <row r="3" ht="21" customHeight="1"/>
    <row r="4" ht="21" customHeight="1">
      <c r="A4" s="254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24" customHeight="1">
      <c r="A5" s="256" t="inlineStr">
        <is>
          <t>Model read</t>
        </is>
      </c>
      <c r="B5" s="257" t="n"/>
      <c r="C5" s="47" t="n"/>
      <c r="D5" s="47" t="n"/>
      <c r="E5" s="47" t="n"/>
      <c r="F5" s="47" t="n"/>
      <c r="G5" s="47" t="n"/>
      <c r="H5" s="47" t="n"/>
      <c r="I5" s="47" t="n"/>
      <c r="J5" s="46" t="n"/>
    </row>
    <row r="6" ht="24" customHeight="1">
      <c r="A6" s="52" t="inlineStr">
        <is>
          <t>Why it can work</t>
        </is>
      </c>
      <c r="B6" s="67" t="n"/>
      <c r="C6" s="47" t="n"/>
      <c r="D6" s="47" t="n"/>
      <c r="E6" s="47" t="n"/>
      <c r="F6" s="47" t="n"/>
      <c r="G6" s="47" t="n"/>
      <c r="H6" s="47" t="n"/>
      <c r="I6" s="47" t="n"/>
      <c r="J6" s="46" t="n"/>
    </row>
    <row r="7" ht="24" customHeight="1">
      <c r="A7" s="53" t="inlineStr">
        <is>
          <t>Key debate</t>
        </is>
      </c>
      <c r="B7" s="68" t="n"/>
      <c r="C7" s="47" t="n"/>
      <c r="D7" s="47" t="n"/>
      <c r="E7" s="47" t="n"/>
      <c r="F7" s="47" t="n"/>
      <c r="G7" s="47" t="n"/>
      <c r="H7" s="47" t="n"/>
      <c r="I7" s="47" t="n"/>
      <c r="J7" s="46" t="n"/>
    </row>
    <row r="8" ht="24" customHeight="1">
      <c r="A8" s="52" t="inlineStr">
        <is>
          <t>Upside path</t>
        </is>
      </c>
      <c r="B8" s="67" t="n"/>
      <c r="C8" s="47" t="n"/>
      <c r="D8" s="47" t="n"/>
      <c r="E8" s="47" t="n"/>
      <c r="F8" s="47" t="n"/>
      <c r="G8" s="47" t="n"/>
      <c r="H8" s="47" t="n"/>
      <c r="I8" s="47" t="n"/>
      <c r="J8" s="46" t="n"/>
    </row>
    <row r="9" ht="24" customHeight="1">
      <c r="A9" s="53" t="inlineStr">
        <is>
          <t>Downside path</t>
        </is>
      </c>
      <c r="B9" s="68" t="n"/>
      <c r="C9" s="47" t="n"/>
      <c r="D9" s="47" t="n"/>
      <c r="E9" s="47" t="n"/>
      <c r="F9" s="47" t="n"/>
      <c r="G9" s="47" t="n"/>
      <c r="H9" s="47" t="n"/>
      <c r="I9" s="47" t="n"/>
      <c r="J9" s="46" t="n"/>
    </row>
    <row r="10" ht="24" customHeight="1">
      <c r="A10" s="52" t="inlineStr">
        <is>
          <t>Watch next</t>
        </is>
      </c>
      <c r="B10" s="67" t="n"/>
      <c r="C10" s="47" t="n"/>
      <c r="D10" s="47" t="n"/>
      <c r="E10" s="47" t="n"/>
      <c r="F10" s="47" t="n"/>
      <c r="G10" s="47" t="n"/>
      <c r="H10" s="47" t="n"/>
      <c r="I10" s="47" t="n"/>
      <c r="J10" s="46" t="n"/>
    </row>
    <row r="11" ht="24" customHeight="1">
      <c r="A11" s="53" t="inlineStr">
        <is>
          <t>Current stance</t>
        </is>
      </c>
      <c r="B11" s="68" t="n"/>
      <c r="C11" s="47" t="n"/>
      <c r="D11" s="47" t="n"/>
      <c r="E11" s="47" t="n"/>
      <c r="F11" s="47" t="n"/>
      <c r="G11" s="47" t="n"/>
      <c r="H11" s="47" t="n"/>
      <c r="I11" s="47" t="n"/>
      <c r="J11" s="46" t="n"/>
    </row>
    <row r="12" ht="21" customHeight="1"/>
    <row r="13" ht="21" customHeight="1">
      <c r="A13" s="254" t="inlineStr">
        <is>
          <t>Typed Scenario Inputs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6" t="n"/>
    </row>
    <row r="14" ht="21" customHeight="1">
      <c r="A14" s="296" t="inlineStr">
        <is>
          <t>Input / assumption</t>
        </is>
      </c>
      <c r="B14" s="296" t="inlineStr">
        <is>
          <t>Bear</t>
        </is>
      </c>
      <c r="C14" s="296" t="inlineStr">
        <is>
          <t>Base</t>
        </is>
      </c>
      <c r="D14" s="296" t="inlineStr">
        <is>
          <t>Bull</t>
        </is>
      </c>
      <c r="E14" s="296" t="n"/>
      <c r="F14" s="296" t="n"/>
      <c r="G14" s="296" t="n"/>
      <c r="H14" s="259" t="n"/>
      <c r="I14" s="47" t="n"/>
      <c r="J14" s="46" t="n"/>
    </row>
    <row r="15" ht="21" customHeight="1">
      <c r="A15" s="67" t="inlineStr">
        <is>
          <t>Current share price</t>
        </is>
      </c>
      <c r="B15" s="460">
        <f>IF(Price="","",Price)</f>
        <v/>
      </c>
      <c r="C15" s="460">
        <f>IF(Price="","",Price)</f>
        <v/>
      </c>
      <c r="D15" s="460">
        <f>IF(Price="","",Price)</f>
        <v/>
      </c>
      <c r="E15" s="353" t="n"/>
      <c r="F15" s="409" t="n"/>
      <c r="G15" s="353" t="n"/>
      <c r="H15" s="67" t="n"/>
      <c r="I15" s="47" t="n"/>
      <c r="J15" s="46" t="n"/>
    </row>
    <row r="16" ht="21" customHeight="1">
      <c r="A16" s="68" t="inlineStr">
        <is>
          <t>Base shares (selected denominator)</t>
        </is>
      </c>
      <c r="B16" s="523">
        <f>IF(IF(PerShareMode="Outstanding",Shares,IF(PerShareMode="Diluted",SharesDiluted,""))="","",IF(PerShareMode="Outstanding",Shares,IF(PerShareMode="Diluted",SharesDiluted,"")))</f>
        <v/>
      </c>
      <c r="C16" s="523">
        <f>IF(IF(PerShareMode="Outstanding",Shares,IF(PerShareMode="Diluted",SharesDiluted,""))="","",IF(PerShareMode="Outstanding",Shares,IF(PerShareMode="Diluted",SharesDiluted,"")))</f>
        <v/>
      </c>
      <c r="D16" s="523">
        <f>IF(IF(PerShareMode="Outstanding",Shares,IF(PerShareMode="Diluted",SharesDiluted,""))="","",IF(PerShareMode="Outstanding",Shares,IF(PerShareMode="Diluted",SharesDiluted,"")))</f>
        <v/>
      </c>
      <c r="E16" s="352" t="n"/>
      <c r="F16" s="410" t="n"/>
      <c r="G16" s="352" t="n"/>
      <c r="H16" s="68" t="n"/>
      <c r="I16" s="47" t="n"/>
      <c r="J16" s="46" t="n"/>
    </row>
    <row r="17" ht="21" customHeight="1">
      <c r="A17" s="67" t="inlineStr">
        <is>
          <t>Net debt</t>
        </is>
      </c>
      <c r="B17" s="457">
        <f>IF(NetDebt="","",NetDebt)</f>
        <v/>
      </c>
      <c r="C17" s="457">
        <f>IF(NetDebt="","",NetDebt)</f>
        <v/>
      </c>
      <c r="D17" s="457">
        <f>IF(NetDebt="","",NetDebt)</f>
        <v/>
      </c>
      <c r="E17" s="351" t="n"/>
      <c r="F17" s="410" t="n"/>
      <c r="G17" s="351" t="n"/>
      <c r="H17" s="67" t="n"/>
      <c r="I17" s="47" t="n"/>
      <c r="J17" s="46" t="n"/>
    </row>
    <row r="18" ht="21" customHeight="1">
      <c r="A18" s="68" t="inlineStr">
        <is>
          <t>Revenue TTM</t>
        </is>
      </c>
      <c r="B18" s="458">
        <f>IF(Revenue_TTM="","",Revenue_TTM)</f>
        <v/>
      </c>
      <c r="C18" s="458">
        <f>IF(Revenue_TTM="","",Revenue_TTM)</f>
        <v/>
      </c>
      <c r="D18" s="458">
        <f>IF(Revenue_TTM="","",Revenue_TTM)</f>
        <v/>
      </c>
      <c r="E18" s="352" t="n"/>
      <c r="F18" s="410" t="n"/>
      <c r="G18" s="352" t="n"/>
      <c r="H18" s="68" t="n"/>
      <c r="I18" s="47" t="n"/>
      <c r="J18" s="46" t="n"/>
    </row>
    <row r="19" ht="21" customHeight="1">
      <c r="A19" s="67" t="inlineStr">
        <is>
          <t>Net income TTM</t>
        </is>
      </c>
      <c r="B19" s="457">
        <f>IF(NetIncome_TTM="","",NetIncome_TTM)</f>
        <v/>
      </c>
      <c r="C19" s="457">
        <f>IF(NetIncome_TTM="","",NetIncome_TTM)</f>
        <v/>
      </c>
      <c r="D19" s="457">
        <f>IF(NetIncome_TTM="","",NetIncome_TTM)</f>
        <v/>
      </c>
      <c r="E19" s="353" t="n"/>
      <c r="F19" s="409" t="n"/>
      <c r="G19" s="353" t="n"/>
      <c r="H19" s="67" t="n"/>
      <c r="I19" s="47" t="n"/>
      <c r="J19" s="46" t="n"/>
    </row>
    <row r="20" ht="21" customHeight="1">
      <c r="A20" s="68" t="inlineStr">
        <is>
          <t>EBITDA (base, TTM)</t>
        </is>
      </c>
      <c r="B20" s="458">
        <f>IF(Base_EBITDA="","",Base_EBITDA)</f>
        <v/>
      </c>
      <c r="C20" s="458">
        <f>IF(Base_EBITDA="","",Base_EBITDA)</f>
        <v/>
      </c>
      <c r="D20" s="458">
        <f>IF(Base_EBITDA="","",Base_EBITDA)</f>
        <v/>
      </c>
      <c r="E20" s="352" t="n"/>
      <c r="F20" s="410" t="n"/>
      <c r="G20" s="352" t="n"/>
      <c r="H20" s="68" t="n"/>
      <c r="I20" s="47" t="n"/>
      <c r="J20" s="46" t="n"/>
    </row>
    <row r="21" ht="21" customHeight="1">
      <c r="A21" s="67" t="inlineStr">
        <is>
          <t>Adjusted EBITDA (TTM)</t>
        </is>
      </c>
      <c r="B21" s="457">
        <f>IF(Adj_EBITDA="","",Adj_EBITDA)</f>
        <v/>
      </c>
      <c r="C21" s="457">
        <f>IF(Adj_EBITDA="","",Adj_EBITDA)</f>
        <v/>
      </c>
      <c r="D21" s="457">
        <f>IF(Adj_EBITDA="","",Adj_EBITDA)</f>
        <v/>
      </c>
      <c r="E21" s="351" t="n"/>
      <c r="F21" s="410" t="n"/>
      <c r="G21" s="351" t="n"/>
      <c r="H21" s="67" t="n"/>
      <c r="I21" s="47" t="n"/>
      <c r="J21" s="46" t="n"/>
    </row>
    <row r="22" ht="21" customHeight="1">
      <c r="A22" s="68" t="inlineStr">
        <is>
          <t>FCF TTM</t>
        </is>
      </c>
      <c r="B22" s="458">
        <f>IF(FCF_TTM="","",FCF_TTM)</f>
        <v/>
      </c>
      <c r="C22" s="458">
        <f>IF(FCF_TTM="","",FCF_TTM)</f>
        <v/>
      </c>
      <c r="D22" s="458">
        <f>IF(FCF_TTM="","",FCF_TTM)</f>
        <v/>
      </c>
      <c r="E22" s="352" t="n"/>
      <c r="F22" s="410" t="n"/>
      <c r="G22" s="352" t="n"/>
      <c r="H22" s="68" t="n"/>
      <c r="I22" s="47" t="n"/>
      <c r="J22" s="46" t="n"/>
    </row>
    <row r="23" ht="21" customHeight="1">
      <c r="A23" s="67" t="inlineStr">
        <is>
          <t>Fiscal horizon</t>
        </is>
      </c>
      <c r="B23" s="524" t="n"/>
      <c r="C23" s="524" t="n"/>
      <c r="D23" s="524" t="n"/>
      <c r="E23" s="411" t="n"/>
      <c r="F23" s="412" t="n"/>
      <c r="G23" s="411" t="n"/>
      <c r="H23" s="67" t="n"/>
      <c r="I23" s="47" t="n"/>
      <c r="J23" s="46" t="n"/>
    </row>
    <row r="24" ht="21" customHeight="1">
      <c r="A24" s="68" t="inlineStr">
        <is>
          <t>Revenue growth</t>
        </is>
      </c>
      <c r="B24" s="525" t="n"/>
      <c r="C24" s="525" t="n"/>
      <c r="D24" s="525" t="n"/>
      <c r="E24" s="413" t="n"/>
      <c r="F24" s="412" t="n"/>
      <c r="G24" s="413" t="n"/>
      <c r="H24" s="68" t="n"/>
      <c r="I24" s="47" t="n"/>
      <c r="J24" s="46" t="n"/>
    </row>
    <row r="25" ht="21" customHeight="1">
      <c r="A25" s="67" t="inlineStr">
        <is>
          <t>Base EBITDA margin</t>
        </is>
      </c>
      <c r="B25" s="526" t="n"/>
      <c r="C25" s="526" t="n"/>
      <c r="D25" s="526" t="n"/>
      <c r="E25" s="268" t="n"/>
      <c r="F25" s="276" t="n"/>
      <c r="G25" s="268" t="n"/>
      <c r="H25" s="67" t="n"/>
      <c r="I25" s="47" t="n"/>
      <c r="J25" s="46" t="n"/>
    </row>
    <row r="26" ht="21" customHeight="1">
      <c r="A26" s="68" t="inlineStr">
        <is>
          <t>Adjusted EBITDA margin</t>
        </is>
      </c>
      <c r="B26" s="527" t="n"/>
      <c r="C26" s="527" t="n"/>
      <c r="D26" s="527" t="n"/>
      <c r="E26" s="270" t="n"/>
      <c r="F26" s="276" t="n"/>
      <c r="G26" s="270" t="n"/>
      <c r="H26" s="68" t="n"/>
      <c r="I26" s="47" t="n"/>
      <c r="J26" s="46" t="n"/>
    </row>
    <row r="27" ht="21" customHeight="1">
      <c r="A27" s="67" t="inlineStr">
        <is>
          <t>Pre-tax earnings bridge ($m)</t>
        </is>
      </c>
      <c r="B27" s="526" t="n"/>
      <c r="C27" s="526" t="n"/>
      <c r="D27" s="526" t="n"/>
      <c r="E27" s="268" t="n"/>
      <c r="F27" s="276" t="n"/>
      <c r="G27" s="268" t="n"/>
      <c r="H27" s="67" t="n"/>
      <c r="I27" s="47" t="n"/>
      <c r="J27" s="46" t="n"/>
    </row>
    <row r="28" ht="21" customHeight="1">
      <c r="A28" s="68" t="inlineStr">
        <is>
          <t>Tax rate</t>
        </is>
      </c>
      <c r="B28" s="528" t="n"/>
      <c r="C28" s="528" t="n"/>
      <c r="D28" s="528" t="n"/>
      <c r="E28" s="352" t="n"/>
      <c r="F28" s="410" t="n"/>
      <c r="G28" s="352" t="n"/>
      <c r="H28" s="68" t="n"/>
      <c r="I28" s="47" t="n"/>
      <c r="J28" s="46" t="n"/>
    </row>
    <row r="29" ht="21" customHeight="1">
      <c r="A29" s="67" t="inlineStr">
        <is>
          <t>Earnings-bridge tax treatment</t>
        </is>
      </c>
      <c r="B29" s="529" t="n"/>
      <c r="C29" s="529" t="n"/>
      <c r="D29" s="529" t="n"/>
      <c r="E29" s="351" t="n"/>
      <c r="F29" s="410" t="n"/>
      <c r="G29" s="351" t="n"/>
      <c r="H29" s="67" t="n"/>
      <c r="I29" s="47" t="n"/>
      <c r="J29" s="46" t="n"/>
    </row>
    <row r="30" ht="21" customHeight="1">
      <c r="A30" s="68" t="inlineStr">
        <is>
          <t>Cash-interest change ($m)</t>
        </is>
      </c>
      <c r="B30" s="530" t="n"/>
      <c r="C30" s="530" t="n"/>
      <c r="D30" s="530" t="n"/>
      <c r="E30" s="271" t="n"/>
      <c r="F30" s="272" t="n"/>
      <c r="G30" s="271" t="n"/>
      <c r="H30" s="68" t="n"/>
      <c r="I30" s="47" t="n"/>
      <c r="J30" s="46" t="n"/>
    </row>
    <row r="31" ht="21" customHeight="1">
      <c r="A31" s="67" t="inlineStr">
        <is>
          <t>Cash-interest tax treatment</t>
        </is>
      </c>
      <c r="B31" s="531" t="n"/>
      <c r="C31" s="531" t="n"/>
      <c r="D31" s="531" t="n"/>
      <c r="E31" s="273" t="n"/>
      <c r="F31" s="272" t="n"/>
      <c r="G31" s="273" t="n"/>
      <c r="H31" s="67" t="n"/>
      <c r="I31" s="47" t="n"/>
      <c r="J31" s="46" t="n"/>
    </row>
    <row r="32" ht="21" customHeight="1">
      <c r="A32" s="68" t="inlineStr">
        <is>
          <t>Capex change ($m, positive outflow)</t>
        </is>
      </c>
      <c r="B32" s="530" t="n"/>
      <c r="C32" s="530" t="n"/>
      <c r="D32" s="530" t="n"/>
      <c r="E32" s="271" t="n"/>
      <c r="F32" s="272" t="n"/>
      <c r="G32" s="271" t="n"/>
      <c r="H32" s="68" t="n"/>
      <c r="I32" s="47" t="n"/>
      <c r="J32" s="46" t="n"/>
    </row>
    <row r="33" ht="21" customHeight="1">
      <c r="A33" s="67" t="inlineStr">
        <is>
          <t>Working-capital adjustment ($m, positive source)</t>
        </is>
      </c>
      <c r="B33" s="531" t="n"/>
      <c r="C33" s="531" t="n"/>
      <c r="D33" s="531" t="n"/>
      <c r="E33" s="273" t="n"/>
      <c r="F33" s="272" t="n"/>
      <c r="G33" s="273" t="n"/>
      <c r="H33" s="67" t="n"/>
      <c r="I33" s="47" t="n"/>
      <c r="J33" s="46" t="n"/>
    </row>
    <row r="34" ht="21" customHeight="1">
      <c r="A34" s="68" t="inlineStr">
        <is>
          <t>Buyback cash ($m)</t>
        </is>
      </c>
      <c r="B34" s="527" t="n"/>
      <c r="C34" s="527" t="n"/>
      <c r="D34" s="527" t="n"/>
      <c r="E34" s="270" t="n"/>
      <c r="F34" s="276" t="n"/>
      <c r="G34" s="270" t="n"/>
      <c r="H34" s="68" t="n"/>
      <c r="I34" s="47" t="n"/>
      <c r="J34" s="46" t="n"/>
    </row>
    <row r="35" ht="21" customHeight="1">
      <c r="A35" t="inlineStr">
        <is>
          <t>Buyback execution price ($/share)</t>
        </is>
      </c>
      <c r="B35" s="481" t="n"/>
      <c r="C35" s="481" t="n"/>
      <c r="D35" s="481" t="n"/>
    </row>
    <row r="36" ht="21" customHeight="1">
      <c r="A36" s="254" t="inlineStr">
        <is>
          <t>Share issuance (m shares)</t>
        </is>
      </c>
      <c r="B36" s="481" t="n"/>
      <c r="C36" s="481" t="n"/>
      <c r="D36" s="481" t="n"/>
    </row>
    <row r="37" ht="21" customHeight="1">
      <c r="A37" s="296" t="inlineStr">
        <is>
          <t>Debt paydown ($m)</t>
        </is>
      </c>
      <c r="B37" s="532" t="n"/>
      <c r="C37" s="532" t="n"/>
      <c r="D37" s="532" t="n"/>
      <c r="E37" s="296" t="n"/>
      <c r="F37" s="296" t="n"/>
      <c r="G37" s="296" t="n"/>
      <c r="H37" s="296" t="n"/>
      <c r="I37" s="259" t="n"/>
      <c r="J37" s="46" t="n"/>
    </row>
    <row r="38" ht="21" customHeight="1">
      <c r="A38" s="68" t="inlineStr">
        <is>
          <t>Target EV/Adjusted EBITDA (x)</t>
        </is>
      </c>
      <c r="B38" s="533" t="n"/>
      <c r="C38" s="534" t="n"/>
      <c r="D38" s="534" t="n"/>
      <c r="E38" s="53" t="n"/>
      <c r="F38" s="53" t="n"/>
      <c r="G38" s="53" t="n"/>
      <c r="H38" s="53" t="n"/>
      <c r="I38" s="68" t="n"/>
      <c r="J38" s="46" t="n"/>
    </row>
    <row r="39" ht="21" customHeight="1">
      <c r="A39" s="275" t="inlineStr">
        <is>
          <t>Target EV/EBITDA (base, x)</t>
        </is>
      </c>
      <c r="B39" s="481" t="n"/>
      <c r="C39" s="481" t="n"/>
      <c r="D39" s="481" t="n"/>
    </row>
    <row r="40" ht="21" customHeight="1">
      <c r="A40" s="67" t="inlineStr">
        <is>
          <t>Target EV/Revenue (x)</t>
        </is>
      </c>
      <c r="B40" s="535" t="n"/>
      <c r="C40" s="529" t="n"/>
      <c r="D40" s="536" t="n"/>
      <c r="E40" s="351" t="n"/>
      <c r="F40" s="268" t="n"/>
      <c r="G40" s="351" t="n"/>
      <c r="H40" s="52" t="n"/>
      <c r="I40" s="67" t="n"/>
      <c r="J40" s="46" t="n"/>
    </row>
    <row r="41" ht="21" customHeight="1">
      <c r="A41" s="68" t="inlineStr">
        <is>
          <t>Target P/E (x)</t>
        </is>
      </c>
      <c r="B41" s="537" t="n"/>
      <c r="C41" s="528" t="n"/>
      <c r="D41" s="536" t="n"/>
      <c r="E41" s="352" t="n"/>
      <c r="F41" s="270" t="n"/>
      <c r="G41" s="352" t="n"/>
      <c r="H41" s="53" t="n"/>
      <c r="I41" s="68" t="n"/>
      <c r="J41" s="46" t="n"/>
    </row>
    <row r="42" ht="21" customHeight="1">
      <c r="A42" s="275" t="inlineStr">
        <is>
          <t>Target FCF yield</t>
        </is>
      </c>
      <c r="B42" s="481" t="n"/>
      <c r="C42" s="481" t="n"/>
      <c r="D42" s="481" t="n"/>
    </row>
    <row r="43" ht="21" customHeight="1">
      <c r="A43" s="67" t="n"/>
      <c r="B43" s="67" t="n"/>
      <c r="C43" s="351" t="n"/>
      <c r="D43" s="276" t="n"/>
      <c r="E43" s="351" t="n"/>
      <c r="F43" s="268" t="n"/>
      <c r="G43" s="351" t="n"/>
      <c r="H43" s="52" t="n"/>
      <c r="I43" s="67" t="n"/>
      <c r="J43" s="46" t="n"/>
    </row>
    <row r="44" ht="21" customHeight="1">
      <c r="A44" s="68" t="n"/>
      <c r="B44" s="68" t="n"/>
      <c r="C44" s="352" t="n"/>
      <c r="D44" s="276" t="n"/>
      <c r="E44" s="352" t="n"/>
      <c r="F44" s="270" t="n"/>
      <c r="G44" s="352" t="n"/>
      <c r="H44" s="53" t="n"/>
      <c r="I44" s="68" t="n"/>
      <c r="J44" s="46" t="n"/>
    </row>
    <row r="45" ht="21" customHeight="1">
      <c r="A45" s="67" t="n"/>
      <c r="B45" s="67" t="n"/>
      <c r="C45" s="351" t="n"/>
      <c r="D45" s="276" t="n"/>
      <c r="E45" s="351" t="n"/>
      <c r="F45" s="268" t="n"/>
      <c r="G45" s="351" t="n"/>
      <c r="H45" s="52" t="n"/>
      <c r="I45" s="67" t="n"/>
      <c r="J45" s="46" t="n"/>
    </row>
    <row r="46" ht="21" customHeight="1"/>
    <row r="47" ht="21" customHeight="1">
      <c r="A47" s="254" t="inlineStr">
        <is>
          <t>Typed Scenario Driver Bridge</t>
        </is>
      </c>
      <c r="B47" s="47" t="n"/>
      <c r="C47" s="47" t="n"/>
      <c r="D47" s="47" t="n"/>
      <c r="E47" s="47" t="n"/>
      <c r="F47" s="47" t="n"/>
      <c r="G47" s="47" t="n"/>
      <c r="H47" s="47" t="n"/>
      <c r="I47" s="47" t="n"/>
      <c r="J47" s="46" t="n"/>
    </row>
    <row r="48" ht="21" customHeight="1">
      <c r="A48" s="68" t="inlineStr">
        <is>
          <t>Only explicit typed assumptions affect scenario economics; source guidance remains separate until selected.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  <c r="J48" s="46" t="n"/>
    </row>
    <row r="49" ht="21" customHeight="1">
      <c r="A49" s="296" t="inlineStr">
        <is>
          <t>Bridge output</t>
        </is>
      </c>
      <c r="B49" s="296" t="inlineStr">
        <is>
          <t>Bear</t>
        </is>
      </c>
      <c r="C49" s="296" t="inlineStr">
        <is>
          <t>Base</t>
        </is>
      </c>
      <c r="D49" s="296" t="inlineStr">
        <is>
          <t>Bull</t>
        </is>
      </c>
      <c r="E49" s="296" t="n"/>
      <c r="F49" s="296" t="n"/>
      <c r="G49" s="296" t="n"/>
      <c r="H49" s="259" t="n"/>
      <c r="I49" s="47" t="n"/>
      <c r="J49" s="46" t="n"/>
    </row>
    <row r="50" ht="21" customHeight="1">
      <c r="A50" s="52" t="inlineStr">
        <is>
          <t>After-tax earnings bridge ($m)</t>
        </is>
      </c>
      <c r="B50" s="457">
        <f>IF(OR(B27="",B28="",B29=""),"",IF(B29="taxable",B27*(1-B28),IF(OR(B29="non_taxable",B29="non_taxable_credit"),B27,IF(OR(B29="cash_only",B29="no_eps_impact"),0,""))))</f>
        <v/>
      </c>
      <c r="C50" s="457">
        <f>IF(OR(C27="",C28="",C29=""),"",IF(C29="taxable",C27*(1-C28),IF(OR(C29="non_taxable",C29="non_taxable_credit"),C27,IF(OR(C29="cash_only",C29="no_eps_impact"),0,""))))</f>
        <v/>
      </c>
      <c r="D50" s="457">
        <f>IF(OR(D27="",D28="",D29=""),"",IF(D29="taxable",D27*(1-D28),IF(OR(D29="non_taxable",D29="non_taxable_credit"),D27,IF(OR(D29="cash_only",D29="no_eps_impact"),0,""))))</f>
        <v/>
      </c>
      <c r="E50" s="353" t="n"/>
      <c r="F50" s="351" t="n"/>
      <c r="G50" s="351" t="n"/>
      <c r="H50" s="67" t="n"/>
      <c r="I50" s="47" t="n"/>
      <c r="J50" s="46" t="n"/>
    </row>
    <row r="51" ht="21" customHeight="1">
      <c r="A51" s="53" t="inlineStr">
        <is>
          <t>After-tax cash-interest change ($m)</t>
        </is>
      </c>
      <c r="B51" s="458">
        <f>IF(OR(B28="",B30="",B31=""),"",IF(B31="taxable",B30*(1-B28),IF(B31="non_taxable",B30,"")))</f>
        <v/>
      </c>
      <c r="C51" s="458">
        <f>IF(OR(C28="",C30="",C31=""),"",IF(C31="taxable",C30*(1-C28),IF(C31="non_taxable",C30,"")))</f>
        <v/>
      </c>
      <c r="D51" s="458">
        <f>IF(OR(D28="",D30="",D31=""),"",IF(D31="taxable",D30*(1-D28),IF(D31="non_taxable",D30,"")))</f>
        <v/>
      </c>
      <c r="E51" s="358" t="n"/>
      <c r="F51" s="352" t="n"/>
      <c r="G51" s="352" t="n"/>
      <c r="H51" s="68" t="n"/>
      <c r="I51" s="47" t="n"/>
      <c r="J51" s="46" t="n"/>
    </row>
    <row r="52" ht="21" customHeight="1">
      <c r="A52" s="52" t="inlineStr">
        <is>
          <t>Net FCF bridge ($m)</t>
        </is>
      </c>
      <c r="B52" s="457">
        <f>IF(OR(B27="",B28="",B29="",B30="",B31="",B32="",B33=""),"",IF(B29="taxable",B27*(1-B28),IF(OR(B29="non_taxable",B29="non_taxable_credit",B29="cash_only",B29="no_eps_impact"),B27,IF(OR(B29="cash_only",B29="no_eps_impact"),B27,"")))-IF(B31="taxable",B30*(1-B28),IF(B31="non_taxable",B30,""))-B32+B33)</f>
        <v/>
      </c>
      <c r="C52" s="457">
        <f>IF(OR(C27="",C28="",C29="",C30="",C31="",C32="",C33=""),"",IF(C29="taxable",C27*(1-C28),IF(OR(C29="non_taxable",C29="non_taxable_credit",C29="cash_only",C29="no_eps_impact"),C27,IF(OR(C29="cash_only",C29="no_eps_impact"),C27,"")))-IF(C31="taxable",C30*(1-C28),IF(C31="non_taxable",C30,""))-C32+C33)</f>
        <v/>
      </c>
      <c r="D52" s="457">
        <f>IF(OR(D27="",D28="",D29="",D30="",D31="",D32="",D33=""),"",IF(D29="taxable",D27*(1-D28),IF(OR(D29="non_taxable",D29="non_taxable_credit",D29="cash_only",D29="no_eps_impact"),D27,IF(OR(D29="cash_only",D29="no_eps_impact"),D27,"")))-IF(D31="taxable",D30*(1-D28),IF(D31="non_taxable",D30,""))-D32+D33)</f>
        <v/>
      </c>
      <c r="E52" s="353" t="n"/>
      <c r="F52" s="351" t="n"/>
      <c r="G52" s="351" t="n"/>
      <c r="H52" s="67" t="n"/>
      <c r="I52" s="47" t="n"/>
      <c r="J52" s="46" t="n"/>
    </row>
    <row r="53" ht="21" customHeight="1">
      <c r="A53" s="53" t="inlineStr">
        <is>
          <t>Net share-count change (m)</t>
        </is>
      </c>
      <c r="B53" s="523">
        <f>IF(OR(B34="",B36="",AND(B34&lt;&gt;0,OR(B35="",B35&lt;=0))),"",-IF(B34=0,0,B34/B35)+B36)</f>
        <v/>
      </c>
      <c r="C53" s="523">
        <f>IF(OR(C34="",C36="",AND(C34&lt;&gt;0,OR(C35="",C35&lt;=0))),"",-IF(C34=0,0,C34/C35)+C36)</f>
        <v/>
      </c>
      <c r="D53" s="523">
        <f>IF(OR(D34="",D36="",AND(D34&lt;&gt;0,OR(D35="",D35&lt;=0))),"",-IF(D34=0,0,D34/D35)+D36)</f>
        <v/>
      </c>
      <c r="E53" s="358" t="n"/>
      <c r="F53" s="352" t="n"/>
      <c r="G53" s="352" t="n"/>
      <c r="H53" s="68" t="n"/>
      <c r="I53" s="47" t="n"/>
      <c r="J53" s="46" t="n"/>
    </row>
    <row r="54" ht="21" customHeight="1"/>
    <row r="55" ht="21" customHeight="1">
      <c r="A55" s="296" t="inlineStr">
        <is>
          <t>Scenario output</t>
        </is>
      </c>
      <c r="B55" s="259" t="inlineStr">
        <is>
          <t>Bear</t>
        </is>
      </c>
      <c r="C55" t="inlineStr">
        <is>
          <t>Base</t>
        </is>
      </c>
      <c r="D55" s="259" t="inlineStr">
        <is>
          <t>Bull</t>
        </is>
      </c>
      <c r="F55" s="259" t="n"/>
      <c r="G55" s="46" t="n"/>
      <c r="H55" s="259" t="n"/>
      <c r="I55" s="47" t="n"/>
      <c r="J55" s="46" t="n"/>
    </row>
    <row r="56" ht="21" customHeight="1">
      <c r="A56" s="52" t="inlineStr">
        <is>
          <t>Scenario EPS ($/share)</t>
        </is>
      </c>
      <c r="B56" s="538">
        <f>IF(F85="","",F85)</f>
        <v/>
      </c>
      <c r="C56" s="539">
        <f>IF(F86="","",F86)</f>
        <v/>
      </c>
      <c r="D56" s="538">
        <f>IF(F87="","",F87)</f>
        <v/>
      </c>
      <c r="F56" s="353" t="n"/>
      <c r="G56" s="46" t="n"/>
      <c r="H56" s="67" t="n"/>
      <c r="I56" s="47" t="n"/>
      <c r="J56" s="46" t="n"/>
    </row>
    <row r="57" ht="21" customHeight="1">
      <c r="A57" s="53" t="inlineStr">
        <is>
          <t>Scenario adjusted EBITDA ($m)</t>
        </is>
      </c>
      <c r="B57" s="458">
        <f>IF(D85="","",D85)</f>
        <v/>
      </c>
      <c r="C57" s="505">
        <f>IF(D86="","",D86)</f>
        <v/>
      </c>
      <c r="D57" s="458">
        <f>IF(D87="","",D87)</f>
        <v/>
      </c>
      <c r="F57" s="352" t="n"/>
      <c r="G57" s="46" t="n"/>
      <c r="H57" s="68" t="n"/>
      <c r="I57" s="47" t="n"/>
      <c r="J57" s="46" t="n"/>
    </row>
    <row r="58" ht="21" customHeight="1">
      <c r="A58" s="52" t="inlineStr">
        <is>
          <t>Scenario FCF ($m)</t>
        </is>
      </c>
      <c r="B58" s="457">
        <f>IF(E85="","",E85)</f>
        <v/>
      </c>
      <c r="C58" s="505">
        <f>IF(E86="","",E86)</f>
        <v/>
      </c>
      <c r="D58" s="457">
        <f>IF(E87="","",E87)</f>
        <v/>
      </c>
      <c r="F58" s="351" t="n"/>
      <c r="G58" s="46" t="n"/>
      <c r="H58" s="67" t="n"/>
      <c r="I58" s="47" t="n"/>
      <c r="J58" s="46" t="n"/>
    </row>
    <row r="59" ht="21" customHeight="1"/>
    <row r="60" ht="21" customHeight="1">
      <c r="A60" s="254" t="inlineStr">
        <is>
          <t>What Market Is Pricing</t>
        </is>
      </c>
      <c r="B60" s="47" t="n"/>
      <c r="C60" s="47" t="n"/>
      <c r="D60" s="47" t="n"/>
      <c r="E60" s="47" t="n"/>
      <c r="F60" s="47" t="n"/>
      <c r="G60" s="47" t="n"/>
      <c r="H60" s="47" t="n"/>
      <c r="I60" s="47" t="n"/>
      <c r="J60" s="46" t="n"/>
    </row>
    <row r="61" ht="21" customHeight="1">
      <c r="A61" s="296" t="inlineStr">
        <is>
          <t>Metric</t>
        </is>
      </c>
      <c r="B61" s="259" t="n"/>
      <c r="C61" s="47" t="n"/>
      <c r="D61" s="46" t="n"/>
      <c r="E61" s="259" t="n"/>
      <c r="F61" s="47" t="n"/>
      <c r="G61" s="47" t="n"/>
      <c r="H61" s="47" t="n"/>
      <c r="I61" s="47" t="n"/>
      <c r="J61" s="46" t="n"/>
    </row>
    <row r="62" ht="21" customHeight="1">
      <c r="A62" s="52" t="inlineStr">
        <is>
          <t>Market price</t>
        </is>
      </c>
      <c r="B62" s="540">
        <f>IF(Price="","",Price)</f>
        <v/>
      </c>
      <c r="E62" s="67" t="n"/>
      <c r="F62" s="47" t="n"/>
      <c r="G62" s="47" t="n"/>
      <c r="H62" s="47" t="n"/>
      <c r="I62" s="47" t="n"/>
      <c r="J62" s="46" t="n"/>
    </row>
    <row r="63" ht="21" customHeight="1">
      <c r="A63" s="53" t="inlineStr">
        <is>
          <t>Market capitalization ($m)</t>
        </is>
      </c>
      <c r="B63" s="541">
        <f>IF('Valuation'!N236="","",'Valuation'!N236)</f>
        <v/>
      </c>
      <c r="E63" s="68" t="n"/>
      <c r="F63" s="47" t="n"/>
      <c r="G63" s="47" t="n"/>
      <c r="H63" s="47" t="n"/>
      <c r="I63" s="47" t="n"/>
      <c r="J63" s="46" t="n"/>
    </row>
    <row r="64" ht="21" customHeight="1">
      <c r="A64" s="52" t="inlineStr">
        <is>
          <t>Enterprise value ($m)</t>
        </is>
      </c>
      <c r="B64" s="542">
        <f>IF('Valuation'!N237="","",'Valuation'!N237)</f>
        <v/>
      </c>
      <c r="E64" s="67" t="n"/>
      <c r="F64" s="47" t="n"/>
      <c r="G64" s="47" t="n"/>
      <c r="H64" s="47" t="n"/>
      <c r="I64" s="47" t="n"/>
      <c r="J64" s="46" t="n"/>
    </row>
    <row r="65" ht="21" customHeight="1">
      <c r="A65" s="53" t="inlineStr">
        <is>
          <t>Required revenue @ target EV/Revenue ($m)</t>
        </is>
      </c>
      <c r="B65" s="541">
        <f>IF('Valuation'!N238="","",'Valuation'!N238)</f>
        <v/>
      </c>
      <c r="E65" s="68" t="n"/>
      <c r="F65" s="47" t="n"/>
      <c r="G65" s="47" t="n"/>
      <c r="H65" s="47" t="n"/>
      <c r="I65" s="47" t="n"/>
      <c r="J65" s="46" t="n"/>
    </row>
    <row r="66" ht="21" customHeight="1">
      <c r="A66" s="52" t="inlineStr">
        <is>
          <t>Required adjusted EBITDA @ target multiple ($m)</t>
        </is>
      </c>
      <c r="B66" s="542">
        <f>IF('Valuation'!N239="","",'Valuation'!N239)</f>
        <v/>
      </c>
      <c r="E66" s="67" t="n"/>
      <c r="F66" s="47" t="n"/>
      <c r="G66" s="47" t="n"/>
      <c r="H66" s="47" t="n"/>
      <c r="I66" s="47" t="n"/>
      <c r="J66" s="46" t="n"/>
    </row>
    <row r="67" ht="21" customHeight="1">
      <c r="A67" s="53" t="inlineStr">
        <is>
          <t>Required FCFF @ target yield ($m)</t>
        </is>
      </c>
      <c r="B67" s="541">
        <f>IF('Valuation'!N242="","",'Valuation'!N242)</f>
        <v/>
      </c>
      <c r="E67" s="68" t="n"/>
      <c r="F67" s="47" t="n"/>
      <c r="G67" s="47" t="n"/>
      <c r="H67" s="47" t="n"/>
      <c r="I67" s="47" t="n"/>
      <c r="J67" s="46" t="n"/>
    </row>
    <row r="68" ht="21" customHeight="1">
      <c r="A68" t="inlineStr">
        <is>
          <t>Implied terminal growth (perpetuity)</t>
        </is>
      </c>
      <c r="B68" s="543">
        <f>IF('Valuation'!N244="","",'Valuation'!N244)</f>
        <v/>
      </c>
    </row>
    <row r="69" ht="21" customHeight="1">
      <c r="A69" s="254" t="n"/>
      <c r="B69" s="47" t="n"/>
      <c r="C69" s="47" t="n"/>
      <c r="D69" s="47" t="n"/>
      <c r="E69" s="47" t="n"/>
      <c r="F69" s="47" t="n"/>
      <c r="G69" s="47" t="n"/>
      <c r="H69" s="47" t="n"/>
      <c r="I69" s="47" t="n"/>
      <c r="J69" s="46" t="n"/>
    </row>
    <row r="70" ht="21" customHeight="1">
      <c r="A70" s="256" t="n"/>
      <c r="B70" s="285" t="n"/>
      <c r="C70" s="47" t="n"/>
      <c r="D70" s="47" t="n"/>
      <c r="E70" s="47" t="n"/>
      <c r="F70" s="47" t="n"/>
      <c r="G70" s="47" t="n"/>
      <c r="H70" s="47" t="n"/>
      <c r="I70" s="47" t="n"/>
      <c r="J70" s="46" t="n"/>
    </row>
    <row r="71" ht="21" customHeight="1"/>
    <row r="72" ht="21" customHeight="1">
      <c r="A72" s="254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6" t="n"/>
    </row>
    <row r="73" ht="24" customHeight="1">
      <c r="A73" s="286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6" t="n"/>
    </row>
    <row r="74" ht="38" customHeight="1">
      <c r="A74" s="289" t="n"/>
      <c r="B74" s="290" t="n"/>
      <c r="C74" s="47" t="n"/>
      <c r="D74" s="47" t="n"/>
      <c r="E74" s="46" t="n"/>
      <c r="F74" s="289" t="n"/>
      <c r="G74" s="290" t="n"/>
      <c r="H74" s="47" t="n"/>
      <c r="I74" s="47" t="n"/>
      <c r="J74" s="46" t="n"/>
    </row>
    <row r="75" ht="26" customHeight="1">
      <c r="A75" s="289" t="n"/>
      <c r="B75" s="290" t="n"/>
      <c r="C75" s="47" t="n"/>
      <c r="D75" s="47" t="n"/>
      <c r="E75" s="47" t="n"/>
      <c r="F75" s="47" t="n"/>
      <c r="G75" s="47" t="n"/>
      <c r="H75" s="47" t="n"/>
      <c r="I75" s="47" t="n"/>
      <c r="J75" s="46" t="n"/>
    </row>
    <row r="76" ht="24" customHeight="1">
      <c r="A76" s="286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6" t="n"/>
    </row>
    <row r="77" ht="38" customHeight="1">
      <c r="A77" s="293" t="n"/>
      <c r="B77" s="294" t="n"/>
      <c r="C77" s="47" t="n"/>
      <c r="D77" s="47" t="n"/>
      <c r="E77" s="46" t="n"/>
      <c r="F77" s="293" t="n"/>
      <c r="G77" s="294" t="n"/>
      <c r="H77" s="47" t="n"/>
      <c r="I77" s="47" t="n"/>
      <c r="J77" s="46" t="n"/>
    </row>
    <row r="78" ht="26" customHeight="1">
      <c r="A78" s="293" t="n"/>
      <c r="B78" s="294" t="n"/>
      <c r="C78" s="47" t="n"/>
      <c r="D78" s="47" t="n"/>
      <c r="E78" s="47" t="n"/>
      <c r="F78" s="47" t="n"/>
      <c r="G78" s="47" t="n"/>
      <c r="H78" s="47" t="n"/>
      <c r="I78" s="47" t="n"/>
      <c r="J78" s="46" t="n"/>
    </row>
    <row r="79" ht="24" customHeight="1">
      <c r="A79" s="286" t="n"/>
      <c r="B79" s="47" t="n"/>
      <c r="C79" s="47" t="n"/>
      <c r="D79" s="47" t="n"/>
      <c r="E79" s="47" t="n"/>
      <c r="F79" s="47" t="n"/>
      <c r="G79" s="47" t="n"/>
      <c r="H79" s="47" t="n"/>
      <c r="I79" s="47" t="n"/>
      <c r="J79" s="46" t="n"/>
    </row>
    <row r="80" ht="38" customHeight="1">
      <c r="A80" s="289" t="n"/>
      <c r="B80" s="290" t="n"/>
      <c r="C80" s="47" t="n"/>
      <c r="D80" s="47" t="n"/>
      <c r="E80" s="46" t="n"/>
      <c r="F80" s="289" t="n"/>
      <c r="G80" s="290" t="n"/>
      <c r="H80" s="47" t="n"/>
      <c r="I80" s="47" t="n"/>
      <c r="J80" s="46" t="n"/>
    </row>
    <row r="81" ht="26" customHeight="1">
      <c r="A81" s="289" t="n"/>
      <c r="B81" s="290" t="n"/>
      <c r="C81" s="47" t="n"/>
      <c r="D81" s="47" t="n"/>
      <c r="E81" s="47" t="n"/>
      <c r="F81" s="47" t="n"/>
      <c r="G81" s="47" t="n"/>
      <c r="H81" s="47" t="n"/>
      <c r="I81" s="47" t="n"/>
      <c r="J81" s="46" t="n"/>
    </row>
    <row r="82" ht="21" customHeight="1"/>
    <row r="83" ht="21" customHeight="1">
      <c r="A83" s="254" t="inlineStr">
        <is>
          <t>Bear / Base / Bull Scenario</t>
        </is>
      </c>
      <c r="B83" s="47" t="n"/>
      <c r="C83" s="47" t="n"/>
      <c r="D83" s="47" t="n"/>
      <c r="E83" s="47" t="n"/>
      <c r="F83" s="47" t="n"/>
      <c r="G83" s="47" t="n"/>
      <c r="H83" s="47" t="n"/>
      <c r="I83" s="47" t="n"/>
      <c r="J83" s="46" t="n"/>
    </row>
    <row r="84" ht="21" customHeight="1">
      <c r="A84" s="296" t="inlineStr">
        <is>
          <t>Scenario</t>
        </is>
      </c>
      <c r="B84" s="259" t="inlineStr">
        <is>
          <t>Revenue</t>
        </is>
      </c>
      <c r="C84" t="inlineStr">
        <is>
          <t>Base EBITDA</t>
        </is>
      </c>
      <c r="D84" s="296" t="inlineStr">
        <is>
          <t>Adjusted EBITDA</t>
        </is>
      </c>
      <c r="E84" s="296" t="inlineStr">
        <is>
          <t>FCF</t>
        </is>
      </c>
      <c r="F84" s="296" t="inlineStr">
        <is>
          <t>EPS</t>
        </is>
      </c>
      <c r="G84" s="296" t="inlineStr">
        <is>
          <t>Shares</t>
        </is>
      </c>
      <c r="H84" s="296" t="inlineStr">
        <is>
          <t>Net debt</t>
        </is>
      </c>
      <c r="I84" s="296" t="inlineStr">
        <is>
          <t>Implied price</t>
        </is>
      </c>
      <c r="J84" s="296" t="inlineStr">
        <is>
          <t>Upside / downside</t>
        </is>
      </c>
    </row>
    <row r="85" ht="30" customHeight="1">
      <c r="A85" s="52" t="inlineStr">
        <is>
          <t>Bear</t>
        </is>
      </c>
      <c r="B85" s="542">
        <f>IF(OR(B18="",ResolvedRevenueGrowth_Bear=""),"",B18*(1+ResolvedRevenueGrowth_Bear))</f>
        <v/>
      </c>
      <c r="C85" s="505">
        <f>IF(OR(B85="",B25=""),"",B85*B25)</f>
        <v/>
      </c>
      <c r="D85" s="457">
        <f>IF(OR(B85="",B26=""),"",B85*B26)</f>
        <v/>
      </c>
      <c r="E85" s="457">
        <f>IF(OR(B22="",B52=""),"",B22+B52)</f>
        <v/>
      </c>
      <c r="F85" s="538">
        <f>IF(OR(B19="",B50="",B51="",G85="",G85&lt;=0),"",(B19+B50-B51)/G85)</f>
        <v/>
      </c>
      <c r="G85" s="544">
        <f>IF(OR(B16="",B53=""),"",IF(B16+B53&lt;=0,"",B16+B53))</f>
        <v/>
      </c>
      <c r="H85" s="457">
        <f>IF(OR(B17="",B34="",B37=""),"",B17+B34-B37)</f>
        <v/>
      </c>
      <c r="I85" s="460">
        <f>IF(OR(D85="",B38="",H85="",G85="",G85&lt;=0),"",(D85*B38-H85)/G85)</f>
        <v/>
      </c>
      <c r="J85" s="545">
        <f>IF(OR(I85="",B15="",B15&lt;=0),"",I85/B15-1)</f>
        <v/>
      </c>
    </row>
    <row r="86" ht="30" customHeight="1">
      <c r="A86" s="53" t="inlineStr">
        <is>
          <t>Base</t>
        </is>
      </c>
      <c r="B86" s="541">
        <f>IF(OR(C18="",ResolvedRevenueGrowth_Base=""),"",C18*(1+ResolvedRevenueGrowth_Base))</f>
        <v/>
      </c>
      <c r="C86" s="505">
        <f>IF(OR(B86="",C25=""),"",B86*C25)</f>
        <v/>
      </c>
      <c r="D86" s="458">
        <f>IF(OR(B86="",C26=""),"",B86*C26)</f>
        <v/>
      </c>
      <c r="E86" s="458">
        <f>IF(OR(C22="",C52=""),"",C22+C52)</f>
        <v/>
      </c>
      <c r="F86" s="546">
        <f>IF(OR(C19="",C50="",C51="",G86="",G86&lt;=0),"",(C19+C50-C51)/G86)</f>
        <v/>
      </c>
      <c r="G86" s="523">
        <f>IF(OR(C16="",C53=""),"",IF(C16+C53&lt;=0,"",C16+C53))</f>
        <v/>
      </c>
      <c r="H86" s="458">
        <f>IF(OR(C17="",C34="",C37=""),"",C17+C34-C37)</f>
        <v/>
      </c>
      <c r="I86" s="459">
        <f>IF(OR(D86="",C38="",H86="",G86="",G86&lt;=0),"",(D86*C38-H86)/G86)</f>
        <v/>
      </c>
      <c r="J86" s="547">
        <f>IF(OR(I86="",C15="",C15&lt;=0),"",I86/C15-1)</f>
        <v/>
      </c>
    </row>
    <row r="87" ht="30" customHeight="1">
      <c r="A87" s="52" t="inlineStr">
        <is>
          <t>Bull</t>
        </is>
      </c>
      <c r="B87" s="542">
        <f>IF(OR(D18="",ResolvedRevenueGrowth_Bull=""),"",D18*(1+ResolvedRevenueGrowth_Bull))</f>
        <v/>
      </c>
      <c r="C87" s="505">
        <f>IF(OR(B87="",D25=""),"",B87*D25)</f>
        <v/>
      </c>
      <c r="D87" s="457">
        <f>IF(OR(B87="",D26=""),"",B87*D26)</f>
        <v/>
      </c>
      <c r="E87" s="457">
        <f>IF(OR(D22="",D52=""),"",D22+D52)</f>
        <v/>
      </c>
      <c r="F87" s="538">
        <f>IF(OR(D19="",D50="",D51="",G87="",G87&lt;=0),"",(D19+D50-D51)/G87)</f>
        <v/>
      </c>
      <c r="G87" s="544">
        <f>IF(OR(D16="",D53=""),"",IF(D16+D53&lt;=0,"",D16+D53))</f>
        <v/>
      </c>
      <c r="H87" s="457">
        <f>IF(OR(D17="",D34="",D37=""),"",D17+D34-D37)</f>
        <v/>
      </c>
      <c r="I87" s="460">
        <f>IF(OR(D87="",D38="",H87="",G87="",G87&lt;=0),"",(D87*D38-H87)/G87)</f>
        <v/>
      </c>
      <c r="J87" s="545">
        <f>IF(OR(I87="",D15="",D15&lt;=0),"",I87/D15-1)</f>
        <v/>
      </c>
    </row>
    <row r="88" ht="13.5" customHeight="1">
      <c r="A88" s="256" t="n"/>
      <c r="B88" s="47" t="n"/>
      <c r="C88" s="47" t="n"/>
      <c r="D88" s="47" t="n"/>
      <c r="E88" s="47" t="n"/>
      <c r="F88" s="47" t="n"/>
      <c r="G88" s="47" t="n"/>
      <c r="H88" s="47" t="n"/>
      <c r="I88" s="47" t="n"/>
      <c r="J88" s="46" t="n"/>
    </row>
    <row r="89" ht="21" customHeight="1"/>
    <row r="90" ht="21" customHeight="1">
      <c r="A90" s="254" t="n"/>
      <c r="B90" s="47" t="n"/>
      <c r="C90" s="47" t="n"/>
      <c r="D90" s="47" t="n"/>
      <c r="E90" s="47" t="n"/>
      <c r="F90" s="47" t="n"/>
      <c r="G90" s="47" t="n"/>
      <c r="H90" s="47" t="n"/>
      <c r="I90" s="47" t="n"/>
      <c r="J90" s="46" t="n"/>
    </row>
    <row r="91" ht="21" customHeight="1">
      <c r="A91" s="296" t="n"/>
      <c r="B91" s="259" t="n"/>
      <c r="C91" s="46" t="n"/>
      <c r="D91" s="296" t="n"/>
      <c r="E91" s="296" t="n"/>
      <c r="F91" s="259" t="n"/>
      <c r="G91" s="47" t="n"/>
      <c r="H91" s="47" t="n"/>
      <c r="I91" s="47" t="n"/>
      <c r="J91" s="46" t="n"/>
    </row>
    <row r="92" ht="24" customHeight="1">
      <c r="A92" s="52" t="n"/>
      <c r="B92" s="67" t="n"/>
      <c r="C92" s="46" t="n"/>
      <c r="D92" s="52" t="n"/>
      <c r="E92" s="52" t="n"/>
      <c r="F92" s="67" t="n"/>
      <c r="G92" s="47" t="n"/>
      <c r="H92" s="47" t="n"/>
      <c r="I92" s="47" t="n"/>
      <c r="J92" s="46" t="n"/>
    </row>
    <row r="93" ht="24" customHeight="1">
      <c r="A93" s="53" t="n"/>
      <c r="B93" s="68" t="n"/>
      <c r="C93" s="46" t="n"/>
      <c r="D93" s="53" t="n"/>
      <c r="E93" s="53" t="n"/>
      <c r="F93" s="68" t="n"/>
      <c r="G93" s="47" t="n"/>
      <c r="H93" s="47" t="n"/>
      <c r="I93" s="47" t="n"/>
      <c r="J93" s="46" t="n"/>
    </row>
    <row r="94" ht="24" customHeight="1">
      <c r="A94" s="52" t="n"/>
      <c r="B94" s="67" t="n"/>
      <c r="C94" s="46" t="n"/>
      <c r="D94" s="52" t="n"/>
      <c r="E94" s="52" t="n"/>
      <c r="F94" s="67" t="n"/>
      <c r="G94" s="47" t="n"/>
      <c r="H94" s="47" t="n"/>
      <c r="I94" s="47" t="n"/>
      <c r="J94" s="46" t="n"/>
    </row>
    <row r="95" ht="24" customHeight="1">
      <c r="A95" s="53" t="n"/>
      <c r="B95" s="68" t="n"/>
      <c r="C95" s="46" t="n"/>
      <c r="D95" s="53" t="n"/>
      <c r="E95" s="53" t="n"/>
      <c r="F95" s="68" t="n"/>
      <c r="G95" s="47" t="n"/>
      <c r="H95" s="47" t="n"/>
      <c r="I95" s="47" t="n"/>
      <c r="J95" s="46" t="n"/>
    </row>
    <row r="96" ht="24" customHeight="1">
      <c r="A96" s="52" t="n"/>
      <c r="B96" s="67" t="n"/>
      <c r="C96" s="46" t="n"/>
      <c r="D96" s="52" t="n"/>
      <c r="E96" s="52" t="n"/>
      <c r="F96" s="67" t="n"/>
      <c r="G96" s="47" t="n"/>
      <c r="H96" s="47" t="n"/>
      <c r="I96" s="47" t="n"/>
      <c r="J96" s="46" t="n"/>
    </row>
    <row r="97" ht="21" customHeight="1"/>
    <row r="98" ht="21" customHeight="1">
      <c r="A98" s="254" t="n"/>
      <c r="B98" s="47" t="n"/>
      <c r="C98" s="47" t="n"/>
      <c r="D98" s="47" t="n"/>
      <c r="E98" s="47" t="n"/>
      <c r="F98" s="47" t="n"/>
      <c r="G98" s="47" t="n"/>
      <c r="H98" s="47" t="n"/>
      <c r="I98" s="47" t="n"/>
      <c r="J98" s="46" t="n"/>
    </row>
    <row r="99" ht="21" customHeight="1">
      <c r="A99" s="296" t="n"/>
      <c r="B99" s="259" t="n"/>
      <c r="C99" s="47" t="n"/>
      <c r="D99" s="47" t="n"/>
      <c r="E99" s="47" t="n"/>
      <c r="F99" s="47" t="n"/>
      <c r="G99" s="47" t="n"/>
      <c r="H99" s="47" t="n"/>
      <c r="I99" s="47" t="n"/>
      <c r="J99" s="46" t="n"/>
    </row>
    <row r="100" ht="21" customHeight="1">
      <c r="A100" s="52" t="n"/>
      <c r="B100" s="67" t="n"/>
      <c r="C100" s="47" t="n"/>
      <c r="D100" s="47" t="n"/>
      <c r="E100" s="47" t="n"/>
      <c r="F100" s="47" t="n"/>
      <c r="G100" s="47" t="n"/>
      <c r="H100" s="47" t="n"/>
      <c r="I100" s="47" t="n"/>
      <c r="J100" s="46" t="n"/>
    </row>
    <row r="101" ht="21" customHeight="1">
      <c r="A101" s="53" t="n"/>
      <c r="B101" s="68" t="n"/>
      <c r="C101" s="47" t="n"/>
      <c r="D101" s="47" t="n"/>
      <c r="E101" s="47" t="n"/>
      <c r="F101" s="47" t="n"/>
      <c r="G101" s="47" t="n"/>
      <c r="H101" s="47" t="n"/>
      <c r="I101" s="47" t="n"/>
      <c r="J101" s="46" t="n"/>
    </row>
    <row r="102" ht="21" customHeight="1">
      <c r="A102" s="52" t="n"/>
      <c r="B102" s="67" t="n"/>
      <c r="C102" s="47" t="n"/>
      <c r="D102" s="47" t="n"/>
      <c r="E102" s="47" t="n"/>
      <c r="F102" s="47" t="n"/>
      <c r="G102" s="47" t="n"/>
      <c r="H102" s="47" t="n"/>
      <c r="I102" s="47" t="n"/>
      <c r="J102" s="46" t="n"/>
    </row>
    <row r="103" ht="21" customHeight="1">
      <c r="A103" s="53" t="n"/>
      <c r="B103" s="68" t="n"/>
      <c r="C103" s="47" t="n"/>
      <c r="D103" s="47" t="n"/>
      <c r="E103" s="47" t="n"/>
      <c r="F103" s="47" t="n"/>
      <c r="G103" s="47" t="n"/>
      <c r="H103" s="47" t="n"/>
      <c r="I103" s="47" t="n"/>
      <c r="J103" s="46" t="n"/>
    </row>
    <row r="104" ht="21" customHeight="1">
      <c r="A104" s="52" t="n"/>
      <c r="B104" s="67" t="n"/>
      <c r="C104" s="47" t="n"/>
      <c r="D104" s="47" t="n"/>
      <c r="E104" s="47" t="n"/>
      <c r="F104" s="47" t="n"/>
      <c r="G104" s="47" t="n"/>
      <c r="H104" s="47" t="n"/>
      <c r="I104" s="47" t="n"/>
      <c r="J104" s="46" t="n"/>
    </row>
    <row r="105" ht="21" customHeight="1"/>
    <row r="106" ht="21" customHeight="1">
      <c r="A106" s="254" t="n"/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6" t="n"/>
    </row>
    <row r="107" ht="21" customHeight="1">
      <c r="A107" s="296" t="n"/>
      <c r="B107" s="259" t="n"/>
      <c r="C107" s="46" t="n"/>
      <c r="D107" s="259" t="n"/>
      <c r="E107" s="46" t="n"/>
      <c r="F107" s="259" t="n"/>
      <c r="G107" s="47" t="n"/>
      <c r="H107" s="47" t="n"/>
      <c r="I107" s="47" t="n"/>
      <c r="J107" s="47" t="n"/>
      <c r="K107" s="46" t="n"/>
    </row>
    <row r="108" ht="21" customHeight="1">
      <c r="A108" s="256" t="n"/>
      <c r="B108" s="257" t="n"/>
      <c r="C108" s="46" t="n"/>
      <c r="D108" s="257" t="n"/>
      <c r="E108" s="46" t="n"/>
      <c r="F108" s="257" t="n"/>
      <c r="G108" s="47" t="n"/>
      <c r="H108" s="47" t="n"/>
      <c r="I108" s="47" t="n"/>
      <c r="J108" s="47" t="n"/>
      <c r="K108" s="46" t="n"/>
    </row>
    <row r="109" ht="21" customHeight="1">
      <c r="A109" s="53" t="n"/>
      <c r="B109" s="68" t="n"/>
      <c r="C109" s="46" t="n"/>
      <c r="D109" s="68" t="n"/>
      <c r="E109" s="46" t="n"/>
      <c r="F109" s="68" t="n"/>
      <c r="G109" s="47" t="n"/>
      <c r="H109" s="47" t="n"/>
      <c r="I109" s="47" t="n"/>
      <c r="J109" s="47" t="n"/>
      <c r="K109" s="46" t="n"/>
    </row>
    <row r="110" ht="21" customHeight="1">
      <c r="A110" s="52" t="n"/>
      <c r="B110" s="67" t="n"/>
      <c r="C110" s="46" t="n"/>
      <c r="D110" s="67" t="n"/>
      <c r="E110" s="46" t="n"/>
      <c r="F110" s="67" t="n"/>
      <c r="G110" s="47" t="n"/>
      <c r="H110" s="47" t="n"/>
      <c r="I110" s="47" t="n"/>
      <c r="J110" s="47" t="n"/>
      <c r="K110" s="46" t="n"/>
    </row>
    <row r="111" ht="21" customHeight="1">
      <c r="A111" s="52" t="n"/>
      <c r="B111" s="67" t="n"/>
      <c r="C111" s="46" t="n"/>
      <c r="D111" s="67" t="n"/>
      <c r="E111" s="46" t="n"/>
      <c r="F111" s="67" t="n"/>
      <c r="G111" s="47" t="n"/>
      <c r="H111" s="47" t="n"/>
      <c r="I111" s="47" t="n"/>
      <c r="J111" s="47" t="n"/>
      <c r="K111" s="46" t="n"/>
    </row>
    <row r="112" ht="21" customHeight="1">
      <c r="A112" s="53" t="n"/>
      <c r="B112" s="68" t="n"/>
      <c r="C112" s="46" t="n"/>
      <c r="D112" s="68" t="n"/>
      <c r="E112" s="46" t="n"/>
      <c r="F112" s="68" t="n"/>
      <c r="G112" s="47" t="n"/>
      <c r="H112" s="47" t="n"/>
      <c r="I112" s="47" t="n"/>
      <c r="J112" s="47" t="n"/>
      <c r="K112" s="46" t="n"/>
    </row>
    <row r="113" ht="21" customHeight="1">
      <c r="A113" s="52" t="n"/>
      <c r="B113" s="67" t="n"/>
      <c r="C113" s="46" t="n"/>
      <c r="D113" s="67" t="n"/>
      <c r="E113" s="46" t="n"/>
      <c r="F113" s="67" t="n"/>
      <c r="G113" s="47" t="n"/>
      <c r="H113" s="47" t="n"/>
      <c r="I113" s="47" t="n"/>
      <c r="J113" s="47" t="n"/>
      <c r="K113" s="46" t="n"/>
    </row>
    <row r="114" ht="21" customHeight="1">
      <c r="A114" s="53" t="n"/>
      <c r="B114" s="68" t="n"/>
      <c r="C114" s="46" t="n"/>
      <c r="D114" s="68" t="n"/>
      <c r="E114" s="46" t="n"/>
      <c r="F114" s="68" t="n"/>
      <c r="G114" s="47" t="n"/>
      <c r="H114" s="47" t="n"/>
      <c r="I114" s="47" t="n"/>
      <c r="J114" s="47" t="n"/>
      <c r="K114" s="46" t="n"/>
    </row>
    <row r="115" ht="21" customHeight="1">
      <c r="A115" s="52" t="n"/>
      <c r="B115" s="67" t="n"/>
      <c r="C115" s="46" t="n"/>
      <c r="D115" s="67" t="n"/>
      <c r="E115" s="46" t="n"/>
      <c r="F115" s="67" t="n"/>
      <c r="G115" s="47" t="n"/>
      <c r="H115" s="47" t="n"/>
      <c r="I115" s="47" t="n"/>
      <c r="J115" s="47" t="n"/>
      <c r="K115" s="46" t="n"/>
    </row>
    <row r="116" ht="21" customHeight="1">
      <c r="A116" s="53" t="n"/>
      <c r="B116" s="68" t="n"/>
      <c r="C116" s="46" t="n"/>
      <c r="D116" s="68" t="n"/>
      <c r="E116" s="46" t="n"/>
      <c r="F116" s="68" t="n"/>
      <c r="G116" s="47" t="n"/>
      <c r="H116" s="47" t="n"/>
      <c r="I116" s="47" t="n"/>
      <c r="J116" s="47" t="n"/>
      <c r="K116" s="46" t="n"/>
    </row>
    <row r="117" ht="21" customHeight="1">
      <c r="A117" s="256" t="n"/>
      <c r="B117" s="257" t="n"/>
      <c r="C117" s="46" t="n"/>
      <c r="D117" s="257" t="n"/>
      <c r="E117" s="46" t="n"/>
      <c r="F117" s="257" t="n"/>
      <c r="G117" s="47" t="n"/>
      <c r="H117" s="47" t="n"/>
      <c r="I117" s="47" t="n"/>
      <c r="J117" s="47" t="n"/>
      <c r="K117" s="46" t="n"/>
    </row>
    <row r="118" ht="21" customHeight="1"/>
    <row r="119" ht="21" customHeight="1">
      <c r="A119" s="254" t="n"/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6" t="n"/>
    </row>
    <row r="120" ht="21" customHeight="1">
      <c r="A120" s="296" t="n"/>
      <c r="B120" s="259" t="n"/>
      <c r="C120" s="47" t="n"/>
      <c r="D120" s="47" t="n"/>
      <c r="E120" s="46" t="n"/>
      <c r="F120" s="259" t="n"/>
      <c r="G120" s="47" t="n"/>
      <c r="H120" s="47" t="n"/>
      <c r="I120" s="47" t="n"/>
      <c r="J120" s="46" t="n"/>
    </row>
    <row r="121" ht="21" customHeight="1">
      <c r="A121" s="52" t="n"/>
      <c r="B121" s="67" t="n"/>
      <c r="C121" s="47" t="n"/>
      <c r="D121" s="47" t="n"/>
      <c r="E121" s="46" t="n"/>
      <c r="F121" s="67" t="n"/>
      <c r="G121" s="47" t="n"/>
      <c r="H121" s="47" t="n"/>
      <c r="I121" s="47" t="n"/>
      <c r="J121" s="46" t="n"/>
    </row>
    <row r="122" ht="21" customHeight="1">
      <c r="A122" s="53" t="n"/>
      <c r="B122" s="68" t="n"/>
      <c r="C122" s="47" t="n"/>
      <c r="D122" s="47" t="n"/>
      <c r="E122" s="46" t="n"/>
      <c r="F122" s="68" t="n"/>
      <c r="G122" s="47" t="n"/>
      <c r="H122" s="47" t="n"/>
      <c r="I122" s="47" t="n"/>
      <c r="J122" s="46" t="n"/>
    </row>
    <row r="123" ht="21" customHeight="1">
      <c r="A123" s="52" t="n"/>
      <c r="B123" s="67" t="n"/>
      <c r="C123" s="47" t="n"/>
      <c r="D123" s="47" t="n"/>
      <c r="E123" s="46" t="n"/>
      <c r="F123" s="67" t="n"/>
      <c r="G123" s="47" t="n"/>
      <c r="H123" s="47" t="n"/>
      <c r="I123" s="47" t="n"/>
      <c r="J123" s="46" t="n"/>
    </row>
    <row r="124" ht="21" customHeight="1">
      <c r="A124" s="53" t="n"/>
      <c r="B124" s="68" t="n"/>
      <c r="C124" s="47" t="n"/>
      <c r="D124" s="47" t="n"/>
      <c r="E124" s="46" t="n"/>
      <c r="F124" s="68" t="n"/>
      <c r="G124" s="47" t="n"/>
      <c r="H124" s="47" t="n"/>
      <c r="I124" s="47" t="n"/>
      <c r="J124" s="46" t="n"/>
    </row>
    <row r="125" ht="21" customHeight="1">
      <c r="A125" s="52" t="n"/>
      <c r="B125" s="67" t="n"/>
      <c r="C125" s="47" t="n"/>
      <c r="D125" s="47" t="n"/>
      <c r="E125" s="46" t="n"/>
      <c r="F125" s="67" t="n"/>
      <c r="G125" s="47" t="n"/>
      <c r="H125" s="47" t="n"/>
      <c r="I125" s="47" t="n"/>
      <c r="J125" s="46" t="n"/>
    </row>
    <row r="126" ht="21" customHeight="1">
      <c r="A126" s="53" t="inlineStr">
        <is>
          <t>Guided EPS</t>
        </is>
      </c>
      <c r="B126" s="68" t="n"/>
      <c r="C126" s="47" t="n"/>
      <c r="D126" s="47" t="n"/>
      <c r="E126" s="46" t="n"/>
      <c r="F126" s="68" t="n"/>
      <c r="G126" s="47" t="n"/>
      <c r="H126" s="47" t="n"/>
      <c r="I126" s="47" t="n"/>
      <c r="J126" s="46" t="n"/>
    </row>
    <row r="127" ht="21" customHeight="1"/>
    <row r="128" ht="21" customHeight="1">
      <c r="A128" s="254" t="n"/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6" t="n"/>
    </row>
    <row r="129" ht="21" customHeight="1">
      <c r="A129" s="296" t="n"/>
      <c r="B129" s="296" t="n"/>
      <c r="C129" s="259" t="n"/>
      <c r="D129" s="47" t="n"/>
      <c r="E129" s="47" t="n"/>
      <c r="F129" s="47" t="n"/>
      <c r="G129" s="47" t="n"/>
      <c r="H129" s="47" t="n"/>
      <c r="I129" s="47" t="n"/>
      <c r="J129" s="46" t="n"/>
    </row>
    <row r="130" ht="21" customHeight="1">
      <c r="A130" s="52" t="n"/>
      <c r="B130" s="52" t="n"/>
      <c r="C130" s="67" t="n"/>
      <c r="D130" s="47" t="n"/>
      <c r="E130" s="47" t="n"/>
      <c r="F130" s="47" t="n"/>
      <c r="G130" s="47" t="n"/>
      <c r="H130" s="47" t="n"/>
      <c r="I130" s="47" t="n"/>
      <c r="J130" s="46" t="n"/>
    </row>
    <row r="131" ht="21" customHeight="1">
      <c r="A131" s="53" t="n"/>
      <c r="B131" s="53" t="n"/>
      <c r="C131" s="68" t="n"/>
      <c r="D131" s="47" t="n"/>
      <c r="E131" s="47" t="n"/>
      <c r="F131" s="47" t="n"/>
      <c r="G131" s="47" t="n"/>
      <c r="H131" s="47" t="n"/>
      <c r="I131" s="47" t="n"/>
      <c r="J131" s="46" t="n"/>
    </row>
    <row r="132" ht="21" customHeight="1">
      <c r="A132" s="52" t="inlineStr">
        <is>
          <t>Buybacks</t>
        </is>
      </c>
      <c r="B132" s="52" t="n"/>
      <c r="C132" s="67" t="n"/>
      <c r="D132" s="47" t="n"/>
      <c r="E132" s="47" t="n"/>
      <c r="F132" s="47" t="n"/>
      <c r="G132" s="47" t="n"/>
      <c r="H132" s="47" t="n"/>
      <c r="I132" s="47" t="n"/>
      <c r="J132" s="46" t="n"/>
    </row>
    <row r="133" ht="21" customHeight="1">
      <c r="A133" s="53" t="n"/>
      <c r="B133" s="53" t="n"/>
      <c r="C133" s="68" t="n"/>
      <c r="D133" s="47" t="n"/>
      <c r="E133" s="47" t="n"/>
      <c r="F133" s="47" t="n"/>
      <c r="G133" s="47" t="n"/>
      <c r="H133" s="47" t="n"/>
      <c r="I133" s="47" t="n"/>
      <c r="J133" s="46" t="n"/>
    </row>
    <row r="134" ht="21" customHeight="1">
      <c r="A134" s="52" t="n"/>
      <c r="B134" s="52" t="n"/>
      <c r="C134" s="67" t="n"/>
      <c r="D134" s="47" t="n"/>
      <c r="E134" s="47" t="n"/>
      <c r="F134" s="47" t="n"/>
      <c r="G134" s="47" t="n"/>
      <c r="H134" s="47" t="n"/>
      <c r="I134" s="47" t="n"/>
      <c r="J134" s="46" t="n"/>
    </row>
    <row r="135" ht="21" customHeight="1">
      <c r="A135" s="53" t="n"/>
      <c r="B135" s="53" t="n"/>
      <c r="C135" s="68" t="n"/>
      <c r="D135" s="47" t="n"/>
      <c r="E135" s="47" t="n"/>
      <c r="F135" s="47" t="n"/>
      <c r="G135" s="47" t="n"/>
      <c r="H135" s="47" t="n"/>
      <c r="I135" s="47" t="n"/>
      <c r="J135" s="46" t="n"/>
    </row>
    <row r="136" ht="21" customHeight="1">
      <c r="A136" s="256" t="n"/>
      <c r="B136" s="256" t="n"/>
      <c r="C136" s="257" t="n"/>
      <c r="D136" s="47" t="n"/>
      <c r="E136" s="47" t="n"/>
      <c r="F136" s="47" t="n"/>
      <c r="G136" s="47" t="n"/>
      <c r="H136" s="47" t="n"/>
      <c r="I136" s="47" t="n"/>
      <c r="J136" s="46" t="n"/>
    </row>
    <row r="137" ht="21" customHeight="1"/>
    <row r="138" ht="21" customHeight="1">
      <c r="A138" s="254" t="inlineStr">
        <is>
          <t>Guidance to implied earnings</t>
        </is>
      </c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6" t="n"/>
    </row>
    <row r="139" ht="21" customHeight="1">
      <c r="A139" s="296" t="n"/>
      <c r="B139" s="259" t="n"/>
      <c r="C139" s="46" t="n"/>
      <c r="D139" s="259" t="n"/>
      <c r="E139" s="47" t="n"/>
      <c r="F139" s="47" t="n"/>
      <c r="G139" s="47" t="n"/>
      <c r="H139" s="47" t="n"/>
      <c r="I139" s="47" t="n"/>
      <c r="J139" s="46" t="n"/>
    </row>
    <row r="140" ht="21" customHeight="1">
      <c r="A140" s="52" t="inlineStr">
        <is>
          <t>Revenue baseline</t>
        </is>
      </c>
      <c r="B140" s="67" t="n"/>
      <c r="C140" s="46" t="n"/>
      <c r="D140" s="67" t="n"/>
      <c r="E140" s="47" t="n"/>
      <c r="F140" s="47" t="n"/>
      <c r="G140" s="47" t="n"/>
      <c r="H140" s="47" t="n"/>
      <c r="I140" s="47" t="n"/>
      <c r="J140" s="46" t="n"/>
    </row>
    <row r="141" ht="21" customHeight="1">
      <c r="A141" s="53" t="inlineStr">
        <is>
          <t>Revenue growth guide</t>
        </is>
      </c>
      <c r="B141" s="68" t="n"/>
      <c r="C141" s="46" t="n"/>
      <c r="D141" s="68" t="n"/>
      <c r="E141" s="47" t="n"/>
      <c r="F141" s="47" t="n"/>
      <c r="G141" s="47" t="n"/>
      <c r="H141" s="47" t="n"/>
      <c r="I141" s="47" t="n"/>
      <c r="J141" s="46" t="n"/>
    </row>
    <row r="142" ht="21" customHeight="1">
      <c r="A142" s="52" t="inlineStr">
        <is>
          <t>Implied revenue</t>
        </is>
      </c>
      <c r="B142" s="67" t="n"/>
      <c r="C142" s="46" t="n"/>
      <c r="D142" s="67" t="n"/>
      <c r="E142" s="47" t="n"/>
      <c r="F142" s="47" t="n"/>
      <c r="G142" s="47" t="n"/>
      <c r="H142" s="47" t="n"/>
      <c r="I142" s="47" t="n"/>
      <c r="J142" s="46" t="n"/>
    </row>
    <row r="143" ht="21" customHeight="1">
      <c r="A143" s="53" t="n"/>
      <c r="B143" s="68" t="n"/>
      <c r="C143" s="46" t="n"/>
      <c r="D143" s="68" t="n"/>
      <c r="E143" s="47" t="n"/>
      <c r="F143" s="47" t="n"/>
      <c r="G143" s="47" t="n"/>
      <c r="H143" s="47" t="n"/>
      <c r="I143" s="47" t="n"/>
      <c r="J143" s="46" t="n"/>
    </row>
    <row r="144" ht="21" customHeight="1">
      <c r="A144" s="52" t="n"/>
      <c r="B144" s="67" t="n"/>
      <c r="C144" s="46" t="n"/>
      <c r="D144" s="67" t="n"/>
      <c r="E144" s="47" t="n"/>
      <c r="F144" s="47" t="n"/>
      <c r="G144" s="47" t="n"/>
      <c r="H144" s="47" t="n"/>
      <c r="I144" s="47" t="n"/>
      <c r="J144" s="46" t="n"/>
    </row>
    <row r="145" ht="21" customHeight="1">
      <c r="A145" s="53" t="n"/>
      <c r="B145" s="68" t="n"/>
      <c r="C145" s="46" t="n"/>
      <c r="D145" s="68" t="n"/>
      <c r="E145" s="47" t="n"/>
      <c r="F145" s="47" t="n"/>
      <c r="G145" s="47" t="n"/>
      <c r="H145" s="47" t="n"/>
      <c r="I145" s="47" t="n"/>
      <c r="J145" s="46" t="n"/>
    </row>
    <row r="146" ht="21" customHeight="1">
      <c r="A146" s="52" t="n"/>
      <c r="B146" s="67" t="n"/>
      <c r="C146" s="46" t="n"/>
      <c r="D146" s="67" t="n"/>
      <c r="E146" s="47" t="n"/>
      <c r="F146" s="47" t="n"/>
      <c r="G146" s="47" t="n"/>
      <c r="H146" s="47" t="n"/>
      <c r="I146" s="47" t="n"/>
      <c r="J146" s="46" t="n"/>
    </row>
    <row r="147" ht="21" customHeight="1">
      <c r="A147" s="53" t="n"/>
      <c r="B147" s="68" t="n"/>
      <c r="C147" s="46" t="n"/>
      <c r="D147" s="68" t="n"/>
      <c r="E147" s="47" t="n"/>
      <c r="F147" s="47" t="n"/>
      <c r="G147" s="47" t="n"/>
      <c r="H147" s="47" t="n"/>
      <c r="I147" s="47" t="n"/>
      <c r="J147" s="46" t="n"/>
    </row>
    <row r="148" ht="21" customHeight="1">
      <c r="A148" s="52" t="n"/>
      <c r="B148" s="67" t="n"/>
      <c r="C148" s="46" t="n"/>
      <c r="D148" s="67" t="n"/>
      <c r="E148" s="47" t="n"/>
      <c r="F148" s="47" t="n"/>
      <c r="G148" s="47" t="n"/>
      <c r="H148" s="47" t="n"/>
      <c r="I148" s="47" t="n"/>
      <c r="J148" s="46" t="n"/>
    </row>
    <row r="149" ht="21" customHeight="1">
      <c r="A149" s="53" t="n"/>
      <c r="B149" s="68" t="n"/>
      <c r="C149" s="46" t="n"/>
      <c r="D149" s="68" t="n"/>
      <c r="E149" s="47" t="n"/>
      <c r="F149" s="47" t="n"/>
      <c r="G149" s="47" t="n"/>
      <c r="H149" s="47" t="n"/>
      <c r="I149" s="47" t="n"/>
      <c r="J149" s="46" t="n"/>
    </row>
    <row r="150" ht="21" customHeight="1"/>
    <row r="151" ht="21" customHeight="1">
      <c r="A151" s="254" t="n"/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6" t="n"/>
    </row>
    <row r="152" ht="21" customHeight="1">
      <c r="A152" s="296" t="n"/>
      <c r="B152" s="259" t="n"/>
      <c r="C152" s="47" t="n"/>
      <c r="D152" s="47" t="n"/>
      <c r="E152" s="46" t="n"/>
      <c r="F152" s="259" t="n"/>
      <c r="G152" s="47" t="n"/>
      <c r="H152" s="47" t="n"/>
      <c r="I152" s="47" t="n"/>
      <c r="J152" s="47" t="n"/>
      <c r="K152" s="46" t="n"/>
    </row>
    <row r="153" ht="21" customHeight="1">
      <c r="A153" s="52" t="n"/>
      <c r="B153" s="67" t="n"/>
      <c r="C153" s="47" t="n"/>
      <c r="D153" s="47" t="n"/>
      <c r="E153" s="46" t="n"/>
      <c r="F153" s="67" t="n"/>
      <c r="G153" s="47" t="n"/>
      <c r="H153" s="47" t="n"/>
      <c r="I153" s="47" t="n"/>
      <c r="J153" s="47" t="n"/>
      <c r="K153" s="46" t="n"/>
    </row>
    <row r="154" ht="21" customHeight="1">
      <c r="A154" s="53" t="n"/>
      <c r="B154" s="68" t="n"/>
      <c r="C154" s="47" t="n"/>
      <c r="D154" s="47" t="n"/>
      <c r="E154" s="46" t="n"/>
      <c r="F154" s="68" t="n"/>
      <c r="G154" s="47" t="n"/>
      <c r="H154" s="47" t="n"/>
      <c r="I154" s="47" t="n"/>
      <c r="J154" s="47" t="n"/>
      <c r="K154" s="46" t="n"/>
    </row>
    <row r="155" ht="21" customHeight="1">
      <c r="A155" s="52" t="n"/>
      <c r="B155" s="67" t="n"/>
      <c r="C155" s="47" t="n"/>
      <c r="D155" s="47" t="n"/>
      <c r="E155" s="46" t="n"/>
      <c r="F155" s="67" t="n"/>
      <c r="G155" s="47" t="n"/>
      <c r="H155" s="47" t="n"/>
      <c r="I155" s="47" t="n"/>
      <c r="J155" s="47" t="n"/>
      <c r="K155" s="46" t="n"/>
    </row>
    <row r="156" ht="21" customHeight="1">
      <c r="A156" s="53" t="n"/>
      <c r="B156" s="68" t="n"/>
      <c r="C156" s="47" t="n"/>
      <c r="D156" s="47" t="n"/>
      <c r="E156" s="46" t="n"/>
      <c r="F156" s="68" t="n"/>
      <c r="G156" s="47" t="n"/>
      <c r="H156" s="47" t="n"/>
      <c r="I156" s="47" t="n"/>
      <c r="J156" s="47" t="n"/>
      <c r="K156" s="46" t="n"/>
    </row>
    <row r="157" ht="21" customHeight="1">
      <c r="A157" s="52" t="n"/>
      <c r="B157" s="67" t="n"/>
      <c r="C157" s="47" t="n"/>
      <c r="D157" s="47" t="n"/>
      <c r="E157" s="46" t="n"/>
      <c r="F157" s="67" t="n"/>
      <c r="G157" s="47" t="n"/>
      <c r="H157" s="47" t="n"/>
      <c r="I157" s="47" t="n"/>
      <c r="J157" s="47" t="n"/>
      <c r="K157" s="46" t="n"/>
    </row>
    <row r="158" ht="21" customHeight="1"/>
    <row r="159" ht="21" customHeight="1">
      <c r="A159" s="254" t="inlineStr">
        <is>
          <t>P/E Sensitivity ($/share)</t>
        </is>
      </c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6" t="n"/>
    </row>
    <row r="160" ht="21" customHeight="1">
      <c r="A160" s="296" t="inlineStr">
        <is>
          <t>EPS / P-E multiple</t>
        </is>
      </c>
      <c r="B160" s="532" t="n"/>
      <c r="C160" s="532" t="n"/>
      <c r="D160" s="532" t="n"/>
      <c r="E160" s="296" t="n"/>
      <c r="F160" s="296" t="n"/>
      <c r="G160" s="296" t="n"/>
      <c r="H160" s="296" t="n"/>
      <c r="I160" s="296" t="n"/>
      <c r="J160" s="296" t="n"/>
    </row>
    <row r="161" ht="21" customHeight="1">
      <c r="A161" s="548" t="n"/>
      <c r="B161" s="460">
        <f>IF(OR($A161="",B$160=""),"",$A161*B$160)</f>
        <v/>
      </c>
      <c r="C161" s="460">
        <f>IF(OR($A161="",C$160=""),"",$A161*C$160)</f>
        <v/>
      </c>
      <c r="D161" s="460">
        <f>IF(OR($A161="",D$160=""),"",$A161*D$160)</f>
        <v/>
      </c>
      <c r="E161" s="353" t="n"/>
      <c r="F161" s="52" t="n"/>
      <c r="G161" s="52" t="n"/>
      <c r="H161" s="52" t="n"/>
      <c r="I161" s="52" t="n"/>
      <c r="J161" s="52" t="n"/>
    </row>
    <row r="162" ht="21" customHeight="1">
      <c r="A162" s="549" t="n"/>
      <c r="B162" s="459">
        <f>IF(OR($A162="",B$160=""),"",$A162*B$160)</f>
        <v/>
      </c>
      <c r="C162" s="459">
        <f>IF(OR($A162="",C$160=""),"",$A162*C$160)</f>
        <v/>
      </c>
      <c r="D162" s="459">
        <f>IF(OR($A162="",D$160=""),"",$A162*D$160)</f>
        <v/>
      </c>
      <c r="E162" s="358" t="n"/>
      <c r="F162" s="53" t="n"/>
      <c r="G162" s="53" t="n"/>
      <c r="H162" s="53" t="n"/>
      <c r="I162" s="53" t="n"/>
      <c r="J162" s="53" t="n"/>
    </row>
    <row r="163" ht="21" customHeight="1">
      <c r="A163" s="548" t="n"/>
      <c r="B163" s="460">
        <f>IF(OR($A163="",B$160=""),"",$A163*B$160)</f>
        <v/>
      </c>
      <c r="C163" s="460">
        <f>IF(OR($A163="",C$160=""),"",$A163*C$160)</f>
        <v/>
      </c>
      <c r="D163" s="460">
        <f>IF(OR($A163="",D$160=""),"",$A163*D$160)</f>
        <v/>
      </c>
      <c r="E163" s="353" t="n"/>
      <c r="F163" s="52" t="n"/>
      <c r="G163" s="52" t="n"/>
      <c r="H163" s="52" t="n"/>
      <c r="I163" s="52" t="n"/>
      <c r="J163" s="52" t="n"/>
    </row>
    <row r="164" ht="21" customHeight="1"/>
    <row r="165" ht="21" customHeight="1">
      <c r="A165" s="296" t="n"/>
      <c r="B165" s="296" t="n"/>
      <c r="C165" s="296" t="n"/>
      <c r="D165" s="296" t="n"/>
      <c r="E165" s="296" t="n"/>
      <c r="F165" s="296" t="n"/>
      <c r="G165" s="296" t="n"/>
      <c r="H165" s="296" t="n"/>
      <c r="I165" s="296" t="n"/>
      <c r="J165" s="296" t="n"/>
    </row>
    <row r="166" ht="21" customHeight="1">
      <c r="A166" s="52" t="n"/>
      <c r="B166" s="353" t="n"/>
      <c r="C166" s="411" t="n"/>
      <c r="D166" s="353" t="n"/>
      <c r="E166" s="52" t="n"/>
      <c r="F166" s="52" t="n"/>
      <c r="G166" s="52" t="n"/>
      <c r="H166" s="52" t="n"/>
      <c r="I166" s="52" t="n"/>
      <c r="J166" s="52" t="n"/>
    </row>
    <row r="167" ht="21" customHeight="1">
      <c r="A167" s="53" t="n"/>
      <c r="B167" s="358" t="n"/>
      <c r="C167" s="413" t="n"/>
      <c r="D167" s="358" t="n"/>
      <c r="E167" s="53" t="n"/>
      <c r="F167" s="53" t="n"/>
      <c r="G167" s="53" t="n"/>
      <c r="H167" s="53" t="n"/>
      <c r="I167" s="53" t="n"/>
      <c r="J167" s="53" t="n"/>
    </row>
    <row r="168" ht="21" customHeight="1">
      <c r="A168" s="52" t="n"/>
      <c r="B168" s="353" t="n"/>
      <c r="C168" s="411" t="n"/>
      <c r="D168" s="353" t="n"/>
      <c r="E168" s="52" t="n"/>
      <c r="F168" s="52" t="n"/>
      <c r="G168" s="52" t="n"/>
      <c r="H168" s="52" t="n"/>
      <c r="I168" s="52" t="n"/>
      <c r="J168" s="52" t="n"/>
    </row>
    <row r="169" ht="21" customHeight="1"/>
    <row r="170" ht="21" customHeight="1">
      <c r="A170" s="254" t="inlineStr">
        <is>
          <t>EV/Adjusted EBITDA Sensitivity ($/share)</t>
        </is>
      </c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6" t="n"/>
    </row>
    <row r="171" ht="21" customHeight="1">
      <c r="A171" s="296" t="inlineStr">
        <is>
          <t>Adjusted EBITDA / multiple</t>
        </is>
      </c>
      <c r="B171" s="532" t="n"/>
      <c r="C171" s="532" t="n"/>
      <c r="D171" s="532" t="n"/>
      <c r="E171" s="259" t="n"/>
      <c r="F171" s="47" t="n"/>
      <c r="G171" s="47" t="n"/>
      <c r="H171" s="47" t="n"/>
      <c r="I171" s="47" t="n"/>
      <c r="J171" s="46" t="n"/>
    </row>
    <row r="172" ht="21" customHeight="1">
      <c r="A172" s="524" t="n"/>
      <c r="B172" s="460">
        <f>IF(OR($A172="",B$171="",NetDebt="",IF(PerShareMode="Outstanding",Shares,IF(PerShareMode="Diluted",SharesDiluted,""))="",IF(PerShareMode="Outstanding",Shares,IF(PerShareMode="Diluted",SharesDiluted,""))&lt;=0),"",($A172*B$171-NetDebt)/IF(PerShareMode="Outstanding",Shares,IF(PerShareMode="Diluted",SharesDiluted,"")))</f>
        <v/>
      </c>
      <c r="C172" s="460">
        <f>IF(OR($A172="",C$171="",NetDebt="",IF(PerShareMode="Outstanding",Shares,IF(PerShareMode="Diluted",SharesDiluted,""))="",IF(PerShareMode="Outstanding",Shares,IF(PerShareMode="Diluted",SharesDiluted,""))&lt;=0),"",($A172*C$171-NetDebt)/IF(PerShareMode="Outstanding",Shares,IF(PerShareMode="Diluted",SharesDiluted,"")))</f>
        <v/>
      </c>
      <c r="D172" s="460">
        <f>IF(OR($A172="",D$171="",NetDebt="",IF(PerShareMode="Outstanding",Shares,IF(PerShareMode="Diluted",SharesDiluted,""))="",IF(PerShareMode="Outstanding",Shares,IF(PerShareMode="Diluted",SharesDiluted,""))&lt;=0),"",($A172*D$171-NetDebt)/IF(PerShareMode="Outstanding",Shares,IF(PerShareMode="Diluted",SharesDiluted,"")))</f>
        <v/>
      </c>
      <c r="E172" s="67" t="n"/>
      <c r="F172" s="47" t="n"/>
      <c r="G172" s="47" t="n"/>
      <c r="H172" s="47" t="n"/>
      <c r="I172" s="47" t="n"/>
      <c r="J172" s="46" t="n"/>
    </row>
    <row r="173" ht="21" customHeight="1">
      <c r="A173" s="525" t="n"/>
      <c r="B173" s="459">
        <f>IF(OR($A173="",B$171="",NetDebt="",IF(PerShareMode="Outstanding",Shares,IF(PerShareMode="Diluted",SharesDiluted,""))="",IF(PerShareMode="Outstanding",Shares,IF(PerShareMode="Diluted",SharesDiluted,""))&lt;=0),"",($A173*B$171-NetDebt)/IF(PerShareMode="Outstanding",Shares,IF(PerShareMode="Diluted",SharesDiluted,"")))</f>
        <v/>
      </c>
      <c r="C173" s="459">
        <f>IF(OR($A173="",C$171="",NetDebt="",IF(PerShareMode="Outstanding",Shares,IF(PerShareMode="Diluted",SharesDiluted,""))="",IF(PerShareMode="Outstanding",Shares,IF(PerShareMode="Diluted",SharesDiluted,""))&lt;=0),"",($A173*C$171-NetDebt)/IF(PerShareMode="Outstanding",Shares,IF(PerShareMode="Diluted",SharesDiluted,"")))</f>
        <v/>
      </c>
      <c r="D173" s="459">
        <f>IF(OR($A173="",D$171="",NetDebt="",IF(PerShareMode="Outstanding",Shares,IF(PerShareMode="Diluted",SharesDiluted,""))="",IF(PerShareMode="Outstanding",Shares,IF(PerShareMode="Diluted",SharesDiluted,""))&lt;=0),"",($A173*D$171-NetDebt)/IF(PerShareMode="Outstanding",Shares,IF(PerShareMode="Diluted",SharesDiluted,"")))</f>
        <v/>
      </c>
      <c r="E173" s="68" t="n"/>
      <c r="F173" s="47" t="n"/>
      <c r="G173" s="47" t="n"/>
      <c r="H173" s="47" t="n"/>
      <c r="I173" s="47" t="n"/>
      <c r="J173" s="46" t="n"/>
    </row>
    <row r="174" ht="21" customHeight="1">
      <c r="A174" s="524" t="n"/>
      <c r="B174" s="460">
        <f>IF(OR($A174="",B$171="",NetDebt="",IF(PerShareMode="Outstanding",Shares,IF(PerShareMode="Diluted",SharesDiluted,""))="",IF(PerShareMode="Outstanding",Shares,IF(PerShareMode="Diluted",SharesDiluted,""))&lt;=0),"",($A174*B$171-NetDebt)/IF(PerShareMode="Outstanding",Shares,IF(PerShareMode="Diluted",SharesDiluted,"")))</f>
        <v/>
      </c>
      <c r="C174" s="460">
        <f>IF(OR($A174="",C$171="",NetDebt="",IF(PerShareMode="Outstanding",Shares,IF(PerShareMode="Diluted",SharesDiluted,""))="",IF(PerShareMode="Outstanding",Shares,IF(PerShareMode="Diluted",SharesDiluted,""))&lt;=0),"",($A174*C$171-NetDebt)/IF(PerShareMode="Outstanding",Shares,IF(PerShareMode="Diluted",SharesDiluted,"")))</f>
        <v/>
      </c>
      <c r="D174" s="460">
        <f>IF(OR($A174="",D$171="",NetDebt="",IF(PerShareMode="Outstanding",Shares,IF(PerShareMode="Diluted",SharesDiluted,""))="",IF(PerShareMode="Outstanding",Shares,IF(PerShareMode="Diluted",SharesDiluted,""))&lt;=0),"",($A174*D$171-NetDebt)/IF(PerShareMode="Outstanding",Shares,IF(PerShareMode="Diluted",SharesDiluted,"")))</f>
        <v/>
      </c>
      <c r="E174" s="67" t="n"/>
      <c r="F174" s="47" t="n"/>
      <c r="G174" s="47" t="n"/>
      <c r="H174" s="47" t="n"/>
      <c r="I174" s="47" t="n"/>
      <c r="J174" s="46" t="n"/>
    </row>
    <row r="175" ht="21" customHeight="1"/>
    <row r="176" ht="21" customHeight="1">
      <c r="A176" s="254" t="inlineStr">
        <is>
          <t>FCF Yield Sensitivity ($/share)</t>
        </is>
      </c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6" t="n"/>
    </row>
    <row r="177" ht="21" customHeight="1">
      <c r="A177" s="296" t="inlineStr">
        <is>
          <t>FCF / yield</t>
        </is>
      </c>
      <c r="B177" s="532" t="n"/>
      <c r="C177" s="532" t="n"/>
      <c r="D177" s="550" t="n"/>
    </row>
    <row r="178" ht="21" customHeight="1">
      <c r="A178" s="526" t="n"/>
      <c r="B178" s="460">
        <f>IF(OR($A178="",B$177="",B$177&lt;=0,IF(PerShareMode="Outstanding",Shares,IF(PerShareMode="Diluted",SharesDiluted,""))="",IF(PerShareMode="Outstanding",Shares,IF(PerShareMode="Diluted",SharesDiluted,""))&lt;=0),"",$A178/B$177/IF(PerShareMode="Outstanding",Shares,IF(PerShareMode="Diluted",SharesDiluted,"")))</f>
        <v/>
      </c>
      <c r="C178" s="460">
        <f>IF(OR($A178="",C$177="",C$177&lt;=0,IF(PerShareMode="Outstanding",Shares,IF(PerShareMode="Diluted",SharesDiluted,""))="",IF(PerShareMode="Outstanding",Shares,IF(PerShareMode="Diluted",SharesDiluted,""))&lt;=0),"",$A178/C$177/IF(PerShareMode="Outstanding",Shares,IF(PerShareMode="Diluted",SharesDiluted,"")))</f>
        <v/>
      </c>
      <c r="D178" s="540">
        <f>IF(OR($A178="",D$177="",D$177&lt;=0,IF(PerShareMode="Outstanding",Shares,IF(PerShareMode="Diluted",SharesDiluted,""))="",IF(PerShareMode="Outstanding",Shares,IF(PerShareMode="Diluted",SharesDiluted,""))&lt;=0),"",$A178/D$177/IF(PerShareMode="Outstanding",Shares,IF(PerShareMode="Diluted",SharesDiluted,"")))</f>
        <v/>
      </c>
    </row>
    <row r="179" ht="21" customHeight="1">
      <c r="A179" s="527" t="n"/>
      <c r="B179" s="459">
        <f>IF(OR($A179="",B$177="",B$177&lt;=0,IF(PerShareMode="Outstanding",Shares,IF(PerShareMode="Diluted",SharesDiluted,""))="",IF(PerShareMode="Outstanding",Shares,IF(PerShareMode="Diluted",SharesDiluted,""))&lt;=0),"",$A179/B$177/IF(PerShareMode="Outstanding",Shares,IF(PerShareMode="Diluted",SharesDiluted,"")))</f>
        <v/>
      </c>
      <c r="C179" s="459">
        <f>IF(OR($A179="",C$177="",C$177&lt;=0,IF(PerShareMode="Outstanding",Shares,IF(PerShareMode="Diluted",SharesDiluted,""))="",IF(PerShareMode="Outstanding",Shares,IF(PerShareMode="Diluted",SharesDiluted,""))&lt;=0),"",$A179/C$177/IF(PerShareMode="Outstanding",Shares,IF(PerShareMode="Diluted",SharesDiluted,"")))</f>
        <v/>
      </c>
      <c r="D179" s="551">
        <f>IF(OR($A179="",D$177="",D$177&lt;=0,IF(PerShareMode="Outstanding",Shares,IF(PerShareMode="Diluted",SharesDiluted,""))="",IF(PerShareMode="Outstanding",Shares,IF(PerShareMode="Diluted",SharesDiluted,""))&lt;=0),"",$A179/D$177/IF(PerShareMode="Outstanding",Shares,IF(PerShareMode="Diluted",SharesDiluted,"")))</f>
        <v/>
      </c>
    </row>
    <row r="180" ht="21" customHeight="1">
      <c r="A180" s="526" t="n"/>
      <c r="B180" s="460">
        <f>IF(OR($A180="",B$177="",B$177&lt;=0,IF(PerShareMode="Outstanding",Shares,IF(PerShareMode="Diluted",SharesDiluted,""))="",IF(PerShareMode="Outstanding",Shares,IF(PerShareMode="Diluted",SharesDiluted,""))&lt;=0),"",$A180/B$177/IF(PerShareMode="Outstanding",Shares,IF(PerShareMode="Diluted",SharesDiluted,"")))</f>
        <v/>
      </c>
      <c r="C180" s="460">
        <f>IF(OR($A180="",C$177="",C$177&lt;=0,IF(PerShareMode="Outstanding",Shares,IF(PerShareMode="Diluted",SharesDiluted,""))="",IF(PerShareMode="Outstanding",Shares,IF(PerShareMode="Diluted",SharesDiluted,""))&lt;=0),"",$A180/C$177/IF(PerShareMode="Outstanding",Shares,IF(PerShareMode="Diluted",SharesDiluted,"")))</f>
        <v/>
      </c>
      <c r="D180" s="540">
        <f>IF(OR($A180="",D$177="",D$177&lt;=0,IF(PerShareMode="Outstanding",Shares,IF(PerShareMode="Diluted",SharesDiluted,""))="",IF(PerShareMode="Outstanding",Shares,IF(PerShareMode="Diluted",SharesDiluted,""))&lt;=0),"",$A180/D$177/IF(PerShareMode="Outstanding",Shares,IF(PerShareMode="Diluted",SharesDiluted,"")))</f>
        <v/>
      </c>
    </row>
    <row r="181" ht="21" customHeight="1"/>
    <row r="182" ht="21" customHeight="1">
      <c r="A182" s="254" t="inlineStr">
        <is>
          <t>Comp Stack / Lapping Risk</t>
        </is>
      </c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6" t="n"/>
    </row>
    <row r="183" ht="21" customHeight="1">
      <c r="A183" s="296" t="inlineStr">
        <is>
          <t>Quarter</t>
        </is>
      </c>
      <c r="B183" s="296" t="inlineStr">
        <is>
          <t>Total comp</t>
        </is>
      </c>
      <c r="C183" s="296" t="inlineStr">
        <is>
          <t>2Y stack</t>
        </is>
      </c>
      <c r="D183" s="296" t="n"/>
      <c r="E183" s="296" t="n"/>
      <c r="F183" s="296" t="n"/>
      <c r="G183" s="296" t="n"/>
      <c r="H183" s="296" t="n"/>
      <c r="I183" s="259" t="inlineStr">
        <is>
          <t>Read</t>
        </is>
      </c>
      <c r="J183" s="47" t="n"/>
      <c r="K183" s="46" t="n"/>
    </row>
    <row r="184" ht="21" customHeight="1">
      <c r="A184" s="52" t="n"/>
      <c r="B184" s="52" t="inlineStr">
        <is>
          <t>+22%</t>
        </is>
      </c>
      <c r="C184" s="52" t="inlineStr">
        <is>
          <t>+25%</t>
        </is>
      </c>
      <c r="D184" s="52" t="inlineStr">
        <is>
          <t>+29%</t>
        </is>
      </c>
      <c r="E184" s="52" t="inlineStr">
        <is>
          <t>+13%</t>
        </is>
      </c>
      <c r="F184" s="52" t="inlineStr">
        <is>
          <t>+23%</t>
        </is>
      </c>
      <c r="G184" s="52" t="inlineStr">
        <is>
          <t>+19%</t>
        </is>
      </c>
      <c r="H184" s="52" t="inlineStr">
        <is>
          <t>+10%</t>
        </is>
      </c>
      <c r="I184" s="67" t="inlineStr">
        <is>
          <t>Strong two-year stack; watch lapping risk.</t>
        </is>
      </c>
      <c r="J184" s="47" t="n"/>
      <c r="K184" s="46" t="n"/>
    </row>
    <row r="185" ht="21" customHeight="1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68" t="n"/>
      <c r="J185" s="47" t="n"/>
      <c r="K185" s="46" t="n"/>
    </row>
    <row r="186" ht="21" customHeight="1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67" t="n"/>
      <c r="J186" s="47" t="n"/>
      <c r="K186" s="46" t="n"/>
    </row>
    <row r="187" ht="21" customHeight="1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68" t="n"/>
      <c r="J187" s="47" t="n"/>
      <c r="K187" s="46" t="n"/>
    </row>
    <row r="188" ht="21" customHeight="1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67" t="n"/>
      <c r="J188" s="47" t="n"/>
      <c r="K188" s="46" t="n"/>
    </row>
    <row r="189" ht="21" customHeight="1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68" t="n"/>
      <c r="J189" s="47" t="n"/>
      <c r="K189" s="46" t="n"/>
    </row>
    <row r="190" ht="21" customHeight="1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67" t="n"/>
      <c r="J190" s="47" t="n"/>
      <c r="K190" s="46" t="n"/>
    </row>
    <row r="191" ht="21" customHeight="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68" t="n"/>
      <c r="J191" s="47" t="n"/>
      <c r="K191" s="46" t="n"/>
    </row>
    <row r="192" ht="21" customHeight="1"/>
    <row r="193" ht="21" customHeight="1">
      <c r="A193" s="254" t="inlineStr">
        <is>
          <t>Business Health</t>
        </is>
      </c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6" t="n"/>
    </row>
    <row r="194" ht="21" customHeight="1">
      <c r="A194" s="296" t="inlineStr">
        <is>
          <t>Metric</t>
        </is>
      </c>
      <c r="B194" s="296" t="n"/>
      <c r="C194" s="296" t="n"/>
      <c r="D194" s="296" t="n"/>
      <c r="E194" s="296" t="n"/>
      <c r="F194" s="296" t="n"/>
      <c r="G194" s="296" t="n"/>
      <c r="H194" s="296" t="n"/>
      <c r="I194" s="296" t="n"/>
      <c r="J194" s="296" t="n"/>
    </row>
    <row r="195" ht="21" customHeight="1">
      <c r="A195" s="52" t="inlineStr">
        <is>
          <t>Sales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</row>
    <row r="196" ht="21" customHeight="1">
      <c r="A196" s="53" t="inlineStr">
        <is>
          <t>Sales growth</t>
        </is>
      </c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</row>
    <row r="197" ht="21" customHeight="1">
      <c r="A197" s="52" t="inlineStr">
        <is>
          <t>Current-period sales growth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</row>
    <row r="198" ht="21" customHeight="1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</row>
    <row r="199" ht="21" customHeight="1">
      <c r="A199" s="256" t="inlineStr">
        <is>
          <t>Interpretation</t>
        </is>
      </c>
      <c r="B199" s="257" t="n"/>
      <c r="C199" s="47" t="n"/>
      <c r="D199" s="47" t="n"/>
      <c r="E199" s="47" t="n"/>
      <c r="F199" s="47" t="n"/>
      <c r="G199" s="47" t="n"/>
      <c r="H199" s="47" t="n"/>
      <c r="I199" s="47" t="n"/>
      <c r="J199" s="46" t="n"/>
    </row>
    <row r="200" ht="21" customHeight="1"/>
    <row r="201" ht="21" customHeight="1">
      <c r="A201" s="254" t="inlineStr">
        <is>
          <t>Inventory / Working-Capital Risk</t>
        </is>
      </c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6" t="n"/>
    </row>
    <row r="202" ht="21" customHeight="1">
      <c r="A202" s="296" t="inlineStr">
        <is>
          <t>Metric</t>
        </is>
      </c>
      <c r="B202" s="296" t="n"/>
      <c r="C202" s="259" t="n"/>
      <c r="D202" s="47" t="n"/>
      <c r="E202" s="47" t="n"/>
      <c r="F202" s="47" t="n"/>
      <c r="G202" s="47" t="n"/>
      <c r="H202" s="47" t="n"/>
      <c r="I202" s="47" t="n"/>
      <c r="J202" s="46" t="n"/>
    </row>
    <row r="203" ht="21" customHeight="1">
      <c r="A203" s="52" t="inlineStr">
        <is>
          <t>Inventory growth</t>
        </is>
      </c>
      <c r="B203" s="52" t="n"/>
      <c r="C203" s="67" t="n"/>
      <c r="D203" s="47" t="n"/>
      <c r="E203" s="47" t="n"/>
      <c r="F203" s="47" t="n"/>
      <c r="G203" s="47" t="n"/>
      <c r="H203" s="47" t="n"/>
      <c r="I203" s="47" t="n"/>
      <c r="J203" s="46" t="n"/>
    </row>
    <row r="204" ht="21" customHeight="1">
      <c r="A204" s="53" t="inlineStr">
        <is>
          <t>Sales growth</t>
        </is>
      </c>
      <c r="B204" s="53" t="n"/>
      <c r="C204" s="68" t="n"/>
      <c r="D204" s="47" t="n"/>
      <c r="E204" s="47" t="n"/>
      <c r="F204" s="47" t="n"/>
      <c r="G204" s="47" t="n"/>
      <c r="H204" s="47" t="n"/>
      <c r="I204" s="47" t="n"/>
      <c r="J204" s="46" t="n"/>
    </row>
    <row r="205" ht="21" customHeight="1">
      <c r="A205" s="52" t="n"/>
      <c r="B205" s="52" t="n"/>
      <c r="C205" s="67" t="n"/>
      <c r="D205" s="47" t="n"/>
      <c r="E205" s="47" t="n"/>
      <c r="F205" s="47" t="n"/>
      <c r="G205" s="47" t="n"/>
      <c r="H205" s="47" t="n"/>
      <c r="I205" s="47" t="n"/>
      <c r="J205" s="46" t="n"/>
    </row>
    <row r="206" ht="21" customHeight="1">
      <c r="A206" s="53" t="inlineStr">
        <is>
          <t>Inventory unit growth</t>
        </is>
      </c>
      <c r="B206" s="53" t="n"/>
      <c r="C206" s="68" t="n"/>
      <c r="D206" s="47" t="n"/>
      <c r="E206" s="47" t="n"/>
      <c r="F206" s="47" t="n"/>
      <c r="G206" s="47" t="n"/>
      <c r="H206" s="47" t="n"/>
      <c r="I206" s="47" t="n"/>
      <c r="J206" s="46" t="n"/>
    </row>
    <row r="207" ht="21" customHeight="1">
      <c r="A207" s="52" t="n"/>
      <c r="B207" s="52" t="n"/>
      <c r="C207" s="67" t="n"/>
      <c r="D207" s="47" t="n"/>
      <c r="E207" s="47" t="n"/>
      <c r="F207" s="47" t="n"/>
      <c r="G207" s="47" t="n"/>
      <c r="H207" s="47" t="n"/>
      <c r="I207" s="47" t="n"/>
      <c r="J207" s="46" t="n"/>
    </row>
    <row r="208" ht="21" customHeight="1">
      <c r="A208" s="53" t="n"/>
      <c r="B208" s="53" t="n"/>
      <c r="C208" s="68" t="n"/>
      <c r="D208" s="47" t="n"/>
      <c r="E208" s="47" t="n"/>
      <c r="F208" s="47" t="n"/>
      <c r="G208" s="47" t="n"/>
      <c r="H208" s="47" t="n"/>
      <c r="I208" s="47" t="n"/>
      <c r="J208" s="46" t="n"/>
    </row>
    <row r="209" ht="21" customHeight="1">
      <c r="A209" s="256" t="inlineStr">
        <is>
          <t>Conclusion</t>
        </is>
      </c>
      <c r="B209" s="257" t="n"/>
      <c r="C209" s="47" t="n"/>
      <c r="D209" s="47" t="n"/>
      <c r="E209" s="47" t="n"/>
      <c r="F209" s="47" t="n"/>
      <c r="G209" s="47" t="n"/>
      <c r="H209" s="47" t="n"/>
      <c r="I209" s="47" t="n"/>
      <c r="J209" s="46" t="n"/>
    </row>
    <row r="210" ht="21" customHeight="1"/>
    <row r="211" ht="21" customHeight="1">
      <c r="A211" s="254" t="inlineStr">
        <is>
          <t>Asset Productivity / Capacity Returns</t>
        </is>
      </c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6" t="n"/>
    </row>
    <row r="212" ht="21" customHeight="1">
      <c r="A212" s="296" t="inlineStr">
        <is>
          <t>Metric</t>
        </is>
      </c>
      <c r="B212" s="259" t="n"/>
      <c r="C212" s="47" t="n"/>
      <c r="D212" s="47" t="n"/>
      <c r="E212" s="46" t="n"/>
      <c r="F212" s="259" t="n"/>
      <c r="G212" s="47" t="n"/>
      <c r="H212" s="47" t="n"/>
      <c r="I212" s="47" t="n"/>
      <c r="J212" s="46" t="n"/>
    </row>
    <row r="213" ht="21" customHeight="1">
      <c r="A213" s="52" t="n"/>
      <c r="B213" s="67" t="n"/>
      <c r="C213" s="47" t="n"/>
      <c r="D213" s="47" t="n"/>
      <c r="E213" s="46" t="n"/>
      <c r="F213" s="67" t="n"/>
      <c r="G213" s="47" t="n"/>
      <c r="H213" s="47" t="n"/>
      <c r="I213" s="47" t="n"/>
      <c r="J213" s="46" t="n"/>
    </row>
    <row r="214" ht="21" customHeight="1">
      <c r="A214" s="53" t="n"/>
      <c r="B214" s="68" t="n"/>
      <c r="C214" s="47" t="n"/>
      <c r="D214" s="47" t="n"/>
      <c r="E214" s="46" t="n"/>
      <c r="F214" s="68" t="n"/>
      <c r="G214" s="47" t="n"/>
      <c r="H214" s="47" t="n"/>
      <c r="I214" s="47" t="n"/>
      <c r="J214" s="46" t="n"/>
    </row>
    <row r="215" ht="21" customHeight="1">
      <c r="A215" s="52" t="n"/>
      <c r="B215" s="67" t="n"/>
      <c r="C215" s="47" t="n"/>
      <c r="D215" s="47" t="n"/>
      <c r="E215" s="46" t="n"/>
      <c r="F215" s="67" t="n"/>
      <c r="G215" s="47" t="n"/>
      <c r="H215" s="47" t="n"/>
      <c r="I215" s="47" t="n"/>
      <c r="J215" s="46" t="n"/>
    </row>
    <row r="216" ht="21" customHeight="1">
      <c r="A216" s="53" t="n"/>
      <c r="B216" s="68" t="n"/>
      <c r="C216" s="47" t="n"/>
      <c r="D216" s="47" t="n"/>
      <c r="E216" s="46" t="n"/>
      <c r="F216" s="68" t="n"/>
      <c r="G216" s="47" t="n"/>
      <c r="H216" s="47" t="n"/>
      <c r="I216" s="47" t="n"/>
      <c r="J216" s="46" t="n"/>
    </row>
    <row r="217" ht="21" customHeight="1">
      <c r="A217" s="52" t="n"/>
      <c r="B217" s="67" t="n"/>
      <c r="C217" s="47" t="n"/>
      <c r="D217" s="47" t="n"/>
      <c r="E217" s="46" t="n"/>
      <c r="F217" s="67" t="n"/>
      <c r="G217" s="47" t="n"/>
      <c r="H217" s="47" t="n"/>
      <c r="I217" s="47" t="n"/>
      <c r="J217" s="46" t="n"/>
    </row>
    <row r="218" ht="21" customHeight="1">
      <c r="A218" s="53" t="n"/>
      <c r="B218" s="68" t="n"/>
      <c r="C218" s="47" t="n"/>
      <c r="D218" s="47" t="n"/>
      <c r="E218" s="46" t="n"/>
      <c r="F218" s="68" t="n"/>
      <c r="G218" s="47" t="n"/>
      <c r="H218" s="47" t="n"/>
      <c r="I218" s="47" t="n"/>
      <c r="J218" s="46" t="n"/>
    </row>
    <row r="219" ht="21" customHeight="1">
      <c r="A219" s="52" t="n"/>
      <c r="B219" s="67" t="n"/>
      <c r="C219" s="47" t="n"/>
      <c r="D219" s="47" t="n"/>
      <c r="E219" s="46" t="n"/>
      <c r="F219" s="67" t="n"/>
      <c r="G219" s="47" t="n"/>
      <c r="H219" s="47" t="n"/>
      <c r="I219" s="47" t="n"/>
      <c r="J219" s="46" t="n"/>
    </row>
    <row r="220" ht="21" customHeight="1">
      <c r="A220" s="53" t="n"/>
      <c r="B220" s="68" t="n"/>
      <c r="C220" s="47" t="n"/>
      <c r="D220" s="47" t="n"/>
      <c r="E220" s="46" t="n"/>
      <c r="F220" s="68" t="n"/>
      <c r="G220" s="47" t="n"/>
      <c r="H220" s="47" t="n"/>
      <c r="I220" s="47" t="n"/>
      <c r="J220" s="46" t="n"/>
    </row>
    <row r="221" ht="21" customHeight="1">
      <c r="A221" s="52" t="n"/>
      <c r="B221" s="67" t="n"/>
      <c r="C221" s="47" t="n"/>
      <c r="D221" s="47" t="n"/>
      <c r="E221" s="46" t="n"/>
      <c r="F221" s="67" t="n"/>
      <c r="G221" s="47" t="n"/>
      <c r="H221" s="47" t="n"/>
      <c r="I221" s="47" t="n"/>
      <c r="J221" s="46" t="n"/>
    </row>
    <row r="222" ht="21" customHeight="1">
      <c r="A222" s="53" t="inlineStr">
        <is>
          <t>Method note</t>
        </is>
      </c>
      <c r="B222" s="68" t="n"/>
      <c r="C222" s="47" t="n"/>
      <c r="D222" s="47" t="n"/>
      <c r="E222" s="46" t="n"/>
      <c r="F222" s="68" t="n"/>
      <c r="G222" s="47" t="n"/>
      <c r="H222" s="47" t="n"/>
      <c r="I222" s="47" t="n"/>
      <c r="J222" s="46" t="n"/>
    </row>
    <row r="223" ht="21" customHeight="1">
      <c r="A223" s="52" t="n"/>
      <c r="B223" s="67" t="n"/>
      <c r="C223" s="47" t="n"/>
      <c r="D223" s="47" t="n"/>
      <c r="E223" s="46" t="n"/>
      <c r="F223" s="67" t="n"/>
      <c r="G223" s="47" t="n"/>
      <c r="H223" s="47" t="n"/>
      <c r="I223" s="47" t="n"/>
      <c r="J223" s="46" t="n"/>
    </row>
    <row r="224" ht="21" customHeight="1">
      <c r="A224" s="53" t="inlineStr">
        <is>
          <t>Revenue growth vs asset growth</t>
        </is>
      </c>
      <c r="B224" s="68" t="n"/>
      <c r="C224" s="47" t="n"/>
      <c r="D224" s="47" t="n"/>
      <c r="E224" s="46" t="n"/>
      <c r="F224" s="68" t="n"/>
      <c r="G224" s="47" t="n"/>
      <c r="H224" s="47" t="n"/>
      <c r="I224" s="47" t="n"/>
      <c r="J224" s="46" t="n"/>
    </row>
    <row r="225" ht="21" customHeight="1">
      <c r="A225" s="52" t="n"/>
      <c r="B225" s="67" t="n"/>
      <c r="C225" s="47" t="n"/>
      <c r="D225" s="47" t="n"/>
      <c r="E225" s="46" t="n"/>
      <c r="F225" s="67" t="n"/>
      <c r="G225" s="47" t="n"/>
      <c r="H225" s="47" t="n"/>
      <c r="I225" s="47" t="n"/>
      <c r="J225" s="46" t="n"/>
    </row>
    <row r="226" ht="21" customHeight="1"/>
    <row r="227" ht="21" customHeight="1">
      <c r="A227" s="254" t="inlineStr">
        <is>
          <t>Guidance Beat/Miss Setup</t>
        </is>
      </c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6" t="n"/>
    </row>
    <row r="228" ht="21" customHeight="1">
      <c r="A228" s="296" t="inlineStr">
        <is>
          <t>Metric</t>
        </is>
      </c>
      <c r="B228" s="259" t="n"/>
      <c r="C228" s="46" t="n"/>
      <c r="D228" s="259" t="n"/>
      <c r="E228" s="47" t="n"/>
      <c r="F228" s="47" t="n"/>
      <c r="G228" s="46" t="n"/>
      <c r="H228" s="259" t="n"/>
      <c r="I228" s="47" t="n"/>
      <c r="J228" s="46" t="n"/>
    </row>
    <row r="229" ht="21" customHeight="1">
      <c r="A229" s="52" t="inlineStr">
        <is>
          <t>Sales growth</t>
        </is>
      </c>
      <c r="B229" s="67" t="n"/>
      <c r="C229" s="46" t="n"/>
      <c r="D229" s="67" t="n"/>
      <c r="E229" s="47" t="n"/>
      <c r="F229" s="47" t="n"/>
      <c r="G229" s="46" t="n"/>
      <c r="H229" s="67" t="n"/>
      <c r="I229" s="47" t="n"/>
      <c r="J229" s="46" t="n"/>
    </row>
    <row r="230" ht="21" customHeight="1">
      <c r="A230" s="53" t="inlineStr">
        <is>
          <t>Op margin</t>
        </is>
      </c>
      <c r="B230" s="68" t="n"/>
      <c r="C230" s="46" t="n"/>
      <c r="D230" s="68" t="n"/>
      <c r="E230" s="47" t="n"/>
      <c r="F230" s="47" t="n"/>
      <c r="G230" s="46" t="n"/>
      <c r="H230" s="68" t="n"/>
      <c r="I230" s="47" t="n"/>
      <c r="J230" s="46" t="n"/>
    </row>
    <row r="231" ht="21" customHeight="1">
      <c r="A231" s="52" t="inlineStr">
        <is>
          <t>EPS</t>
        </is>
      </c>
      <c r="B231" s="67" t="n"/>
      <c r="C231" s="46" t="n"/>
      <c r="D231" s="67" t="n"/>
      <c r="E231" s="47" t="n"/>
      <c r="F231" s="47" t="n"/>
      <c r="G231" s="46" t="n"/>
      <c r="H231" s="67" t="n"/>
      <c r="I231" s="47" t="n"/>
      <c r="J231" s="46" t="n"/>
    </row>
    <row r="232" ht="21" customHeight="1">
      <c r="A232" s="53" t="inlineStr">
        <is>
          <t>Buybacks</t>
        </is>
      </c>
      <c r="B232" s="68" t="n"/>
      <c r="C232" s="46" t="n"/>
      <c r="D232" s="68" t="n"/>
      <c r="E232" s="47" t="n"/>
      <c r="F232" s="47" t="n"/>
      <c r="G232" s="46" t="n"/>
      <c r="H232" s="68" t="n"/>
      <c r="I232" s="47" t="n"/>
      <c r="J232" s="46" t="n"/>
    </row>
    <row r="233" ht="21" customHeight="1">
      <c r="A233" s="52" t="inlineStr">
        <is>
          <t>Capex</t>
        </is>
      </c>
      <c r="B233" s="67" t="n"/>
      <c r="C233" s="46" t="n"/>
      <c r="D233" s="67" t="n"/>
      <c r="E233" s="47" t="n"/>
      <c r="F233" s="47" t="n"/>
      <c r="G233" s="46" t="n"/>
      <c r="H233" s="67" t="n"/>
      <c r="I233" s="47" t="n"/>
      <c r="J233" s="46" t="n"/>
    </row>
  </sheetData>
  <mergeCells count="270">
    <mergeCell ref="B91:C91"/>
    <mergeCell ref="B217:E217"/>
    <mergeCell ref="F113:K113"/>
    <mergeCell ref="B74:E74"/>
    <mergeCell ref="B101:J101"/>
    <mergeCell ref="F114:K114"/>
    <mergeCell ref="C204:J204"/>
    <mergeCell ref="B141:C141"/>
    <mergeCell ref="F154:K154"/>
    <mergeCell ref="B232:C232"/>
    <mergeCell ref="B115:C115"/>
    <mergeCell ref="B93:C93"/>
    <mergeCell ref="B149:C149"/>
    <mergeCell ref="F124:J124"/>
    <mergeCell ref="H17:J17"/>
    <mergeCell ref="F217:J217"/>
    <mergeCell ref="D231:G231"/>
    <mergeCell ref="B123:E123"/>
    <mergeCell ref="B78:J78"/>
    <mergeCell ref="C206:J206"/>
    <mergeCell ref="B221:E221"/>
    <mergeCell ref="D108:E108"/>
    <mergeCell ref="F156:K156"/>
    <mergeCell ref="H22:J22"/>
    <mergeCell ref="D148:J148"/>
    <mergeCell ref="H19:J19"/>
    <mergeCell ref="C205:J205"/>
    <mergeCell ref="A83:J83"/>
    <mergeCell ref="E61:J61"/>
    <mergeCell ref="C133:J133"/>
    <mergeCell ref="B155:E155"/>
    <mergeCell ref="A138:J138"/>
    <mergeCell ref="F126:J126"/>
    <mergeCell ref="B104:J104"/>
    <mergeCell ref="F117:K117"/>
    <mergeCell ref="B215:E215"/>
    <mergeCell ref="B112:C112"/>
    <mergeCell ref="A119:J119"/>
    <mergeCell ref="C130:J130"/>
    <mergeCell ref="D112:E112"/>
    <mergeCell ref="D140:J140"/>
    <mergeCell ref="D229:G229"/>
    <mergeCell ref="H30:J30"/>
    <mergeCell ref="A69:J69"/>
    <mergeCell ref="A151:K151"/>
    <mergeCell ref="I187:K187"/>
    <mergeCell ref="F56:G56"/>
    <mergeCell ref="H29:J29"/>
    <mergeCell ref="F116:K116"/>
    <mergeCell ref="D114:E114"/>
    <mergeCell ref="I44:J44"/>
    <mergeCell ref="B209:J209"/>
    <mergeCell ref="F92:J92"/>
    <mergeCell ref="I189:K189"/>
    <mergeCell ref="H31:J31"/>
    <mergeCell ref="G74:J74"/>
    <mergeCell ref="H58:J58"/>
    <mergeCell ref="D113:E113"/>
    <mergeCell ref="C208:J208"/>
    <mergeCell ref="F216:J216"/>
    <mergeCell ref="F57:G57"/>
    <mergeCell ref="E171:J171"/>
    <mergeCell ref="C131:J131"/>
    <mergeCell ref="H21:J21"/>
    <mergeCell ref="B11:J11"/>
    <mergeCell ref="H51:J51"/>
    <mergeCell ref="E63:J63"/>
    <mergeCell ref="D115:E115"/>
    <mergeCell ref="A159:J159"/>
    <mergeCell ref="D143:J143"/>
    <mergeCell ref="F218:J218"/>
    <mergeCell ref="E173:J173"/>
    <mergeCell ref="A182:K182"/>
    <mergeCell ref="A4:J4"/>
    <mergeCell ref="E65:J65"/>
    <mergeCell ref="H228:J228"/>
    <mergeCell ref="B140:C140"/>
    <mergeCell ref="F153:K153"/>
    <mergeCell ref="B222:E222"/>
    <mergeCell ref="D142:J142"/>
    <mergeCell ref="A13:J13"/>
    <mergeCell ref="A170:J170"/>
    <mergeCell ref="H16:J16"/>
    <mergeCell ref="B154:E154"/>
    <mergeCell ref="B212:E212"/>
    <mergeCell ref="B103:J103"/>
    <mergeCell ref="A211:J211"/>
    <mergeCell ref="B117:C117"/>
    <mergeCell ref="H57:J57"/>
    <mergeCell ref="D228:G228"/>
    <mergeCell ref="I41:J41"/>
    <mergeCell ref="H27:J27"/>
    <mergeCell ref="G77:J77"/>
    <mergeCell ref="D144:J144"/>
    <mergeCell ref="B231:C231"/>
    <mergeCell ref="A73:J73"/>
    <mergeCell ref="B156:E156"/>
    <mergeCell ref="A201:J201"/>
    <mergeCell ref="H229:J229"/>
    <mergeCell ref="I191:K191"/>
    <mergeCell ref="B6:J6"/>
    <mergeCell ref="A60:J60"/>
    <mergeCell ref="H33:J33"/>
    <mergeCell ref="I43:J43"/>
    <mergeCell ref="B116:C116"/>
    <mergeCell ref="F91:J91"/>
    <mergeCell ref="B223:E223"/>
    <mergeCell ref="F107:K107"/>
    <mergeCell ref="B220:E220"/>
    <mergeCell ref="B230:C230"/>
    <mergeCell ref="B77:E77"/>
    <mergeCell ref="D139:J139"/>
    <mergeCell ref="C207:J207"/>
    <mergeCell ref="F157:K157"/>
    <mergeCell ref="F93:J93"/>
    <mergeCell ref="F220:J220"/>
    <mergeCell ref="H20:J20"/>
    <mergeCell ref="B7:J7"/>
    <mergeCell ref="C135:J135"/>
    <mergeCell ref="H230:J230"/>
    <mergeCell ref="E62:J62"/>
    <mergeCell ref="B81:J81"/>
    <mergeCell ref="B142:C142"/>
    <mergeCell ref="B95:C95"/>
    <mergeCell ref="F108:K108"/>
    <mergeCell ref="F222:J222"/>
    <mergeCell ref="A2:J2"/>
    <mergeCell ref="H232:J232"/>
    <mergeCell ref="E64:J64"/>
    <mergeCell ref="D230:G230"/>
    <mergeCell ref="B144:C144"/>
    <mergeCell ref="D146:J146"/>
    <mergeCell ref="A47:J47"/>
    <mergeCell ref="C136:J136"/>
    <mergeCell ref="H25:J25"/>
    <mergeCell ref="H52:J52"/>
    <mergeCell ref="D232:G232"/>
    <mergeCell ref="I45:J45"/>
    <mergeCell ref="B80:E80"/>
    <mergeCell ref="A72:J72"/>
    <mergeCell ref="B96:C96"/>
    <mergeCell ref="I190:K190"/>
    <mergeCell ref="B228:C228"/>
    <mergeCell ref="H32:J32"/>
    <mergeCell ref="F95:J95"/>
    <mergeCell ref="B99:J99"/>
    <mergeCell ref="B153:E153"/>
    <mergeCell ref="A176:J176"/>
    <mergeCell ref="B224:E224"/>
    <mergeCell ref="B107:C107"/>
    <mergeCell ref="B9:J9"/>
    <mergeCell ref="D107:E107"/>
    <mergeCell ref="I37:J37"/>
    <mergeCell ref="C134:J134"/>
    <mergeCell ref="D116:E116"/>
    <mergeCell ref="F152:K152"/>
    <mergeCell ref="B121:E121"/>
    <mergeCell ref="A98:J98"/>
    <mergeCell ref="B148:C148"/>
    <mergeCell ref="F219:J219"/>
    <mergeCell ref="H15:J15"/>
    <mergeCell ref="B122:E122"/>
    <mergeCell ref="E174:J174"/>
    <mergeCell ref="H24:J24"/>
    <mergeCell ref="B5:J5"/>
    <mergeCell ref="A79:J79"/>
    <mergeCell ref="H18:J18"/>
    <mergeCell ref="A88:J88"/>
    <mergeCell ref="B214:E214"/>
    <mergeCell ref="E66:J66"/>
    <mergeCell ref="B146:C146"/>
    <mergeCell ref="F121:J121"/>
    <mergeCell ref="A227:J227"/>
    <mergeCell ref="B108:C108"/>
    <mergeCell ref="B120:E120"/>
    <mergeCell ref="C132:J132"/>
    <mergeCell ref="H26:J26"/>
    <mergeCell ref="B75:J75"/>
    <mergeCell ref="H53:J53"/>
    <mergeCell ref="C203:J203"/>
    <mergeCell ref="H231:J231"/>
    <mergeCell ref="A90:J90"/>
    <mergeCell ref="A106:K106"/>
    <mergeCell ref="B143:C143"/>
    <mergeCell ref="B92:C92"/>
    <mergeCell ref="D145:J145"/>
    <mergeCell ref="D117:E117"/>
    <mergeCell ref="H50:J50"/>
    <mergeCell ref="B157:E157"/>
    <mergeCell ref="I183:K183"/>
    <mergeCell ref="E67:J67"/>
    <mergeCell ref="B199:J199"/>
    <mergeCell ref="H55:J55"/>
    <mergeCell ref="H34:J34"/>
    <mergeCell ref="B94:C94"/>
    <mergeCell ref="D147:J147"/>
    <mergeCell ref="G80:J80"/>
    <mergeCell ref="B70:J70"/>
    <mergeCell ref="A76:J76"/>
    <mergeCell ref="F123:J123"/>
    <mergeCell ref="I185:K185"/>
    <mergeCell ref="B109:C109"/>
    <mergeCell ref="H49:J49"/>
    <mergeCell ref="D109:E109"/>
    <mergeCell ref="B233:C233"/>
    <mergeCell ref="B61:D61"/>
    <mergeCell ref="F212:J212"/>
    <mergeCell ref="F110:K110"/>
    <mergeCell ref="I184:K184"/>
    <mergeCell ref="F221:J221"/>
    <mergeCell ref="B124:E124"/>
    <mergeCell ref="B8:J8"/>
    <mergeCell ref="D111:E111"/>
    <mergeCell ref="B216:E216"/>
    <mergeCell ref="B213:E213"/>
    <mergeCell ref="I186:K186"/>
    <mergeCell ref="F109:K109"/>
    <mergeCell ref="F214:J214"/>
    <mergeCell ref="F55:G55"/>
    <mergeCell ref="F223:J223"/>
    <mergeCell ref="B126:E126"/>
    <mergeCell ref="B10:J10"/>
    <mergeCell ref="H28:J28"/>
    <mergeCell ref="F115:K115"/>
    <mergeCell ref="H233:J233"/>
    <mergeCell ref="F155:K155"/>
    <mergeCell ref="B111:C111"/>
    <mergeCell ref="B218:E218"/>
    <mergeCell ref="B229:C229"/>
    <mergeCell ref="B145:C145"/>
    <mergeCell ref="F213:J213"/>
    <mergeCell ref="A48:J48"/>
    <mergeCell ref="F94:J94"/>
    <mergeCell ref="F111:K111"/>
    <mergeCell ref="B125:E125"/>
    <mergeCell ref="C202:J202"/>
    <mergeCell ref="C129:J129"/>
    <mergeCell ref="A1:J1"/>
    <mergeCell ref="D233:G233"/>
    <mergeCell ref="B147:C147"/>
    <mergeCell ref="F122:J122"/>
    <mergeCell ref="E172:J172"/>
    <mergeCell ref="D149:J149"/>
    <mergeCell ref="F215:J215"/>
    <mergeCell ref="H14:J14"/>
    <mergeCell ref="F224:J224"/>
    <mergeCell ref="B152:E152"/>
    <mergeCell ref="F125:J125"/>
    <mergeCell ref="H23:J23"/>
    <mergeCell ref="B219:E219"/>
    <mergeCell ref="F58:G58"/>
    <mergeCell ref="A128:J128"/>
    <mergeCell ref="F96:J96"/>
    <mergeCell ref="B100:J100"/>
    <mergeCell ref="F112:K112"/>
    <mergeCell ref="A193:J193"/>
    <mergeCell ref="B225:E225"/>
    <mergeCell ref="D141:J141"/>
    <mergeCell ref="B139:C139"/>
    <mergeCell ref="I38:J38"/>
    <mergeCell ref="B114:C114"/>
    <mergeCell ref="F120:J120"/>
    <mergeCell ref="I188:K188"/>
    <mergeCell ref="B102:J102"/>
    <mergeCell ref="F225:J225"/>
    <mergeCell ref="B110:C110"/>
    <mergeCell ref="H56:J56"/>
    <mergeCell ref="D110:E110"/>
    <mergeCell ref="I40:J40"/>
    <mergeCell ref="B113:C113"/>
  </mergeCells>
  <dataValidations count="13">
    <dataValidation sqref="B23:D23" showDropDown="0" showInputMessage="0" showErrorMessage="1" allowBlank="1" errorTitle="Invalid scenario input" error="Enter a value compatible with the declared scenario contract." type="custom" errorStyle="stop">
      <formula1>=OR(B23="",AND(LEFT(B23,2)="FY",LEN(B23)=6,ISNUMBER(VALUE(RIGHT(B23,4)))))</formula1>
    </dataValidation>
    <dataValidation sqref="B24:D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B28:D28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B29:D29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B31:D31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B34:D34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5:D35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36:D37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8:D4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42:D42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B160:D16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1:D17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7:D177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552" t="n"/>
      <c r="D5" s="308" t="n"/>
      <c r="E5" s="308" t="n"/>
      <c r="F5" s="308" t="n"/>
      <c r="G5" s="552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53" t="n"/>
      <c r="D6" s="308" t="n"/>
      <c r="E6" s="308" t="n"/>
      <c r="F6" s="308" t="n"/>
      <c r="G6" s="553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552" t="n"/>
      <c r="D7" s="308" t="n"/>
      <c r="E7" s="308" t="n"/>
      <c r="F7" s="308" t="n"/>
      <c r="G7" s="552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53" t="n"/>
      <c r="D8" s="308" t="n"/>
      <c r="E8" s="308" t="n"/>
      <c r="F8" s="308" t="n"/>
      <c r="G8" s="553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552" t="n"/>
      <c r="D9" s="308" t="n"/>
      <c r="E9" s="308" t="n"/>
      <c r="F9" s="308" t="n"/>
      <c r="G9" s="552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554" t="n"/>
      <c r="I13" s="552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554" t="n"/>
      <c r="I14" s="553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554" t="n"/>
      <c r="I15" s="552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554" t="n"/>
      <c r="I16" s="553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554" t="n"/>
      <c r="I17" s="552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554" t="n"/>
      <c r="I18" s="553" t="n"/>
      <c r="J18" s="308" t="n"/>
      <c r="K18" s="308" t="n"/>
      <c r="L18" s="308" t="n"/>
    </row>
    <row r="19" ht="60" customHeight="1">
      <c r="A19" s="419" t="n"/>
      <c r="B19" s="310" t="n"/>
      <c r="C19" s="310" t="n"/>
      <c r="D19" s="310" t="n"/>
      <c r="E19" s="310" t="n"/>
      <c r="F19" s="419" t="n"/>
      <c r="G19" s="419" t="n"/>
      <c r="H19" s="554" t="n"/>
      <c r="I19" s="552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554" t="n"/>
      <c r="I20" s="553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554" t="n"/>
      <c r="I24" s="552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554" t="n"/>
      <c r="I25" s="553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554" t="n"/>
      <c r="I26" s="552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554" t="n"/>
      <c r="I30" s="552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554" t="n"/>
      <c r="I31" s="553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554" t="n"/>
      <c r="I35" s="552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552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53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552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53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552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53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552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53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552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53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552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53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552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53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552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53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552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42" customHeight="1">
      <c r="A67" s="419" t="n"/>
      <c r="B67" s="310" t="n"/>
      <c r="C67" s="310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54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54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54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54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54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54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54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54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54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54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54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54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54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54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54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54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54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54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54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54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54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55" t="inlineStr">
        <is>
          <t>issue_id</t>
        </is>
      </c>
      <c r="B1" s="555" t="inlineStr">
        <is>
          <t>severity</t>
        </is>
      </c>
      <c r="C1" s="555" t="inlineStr">
        <is>
          <t>rule_id</t>
        </is>
      </c>
      <c r="D1" s="555" t="inlineStr">
        <is>
          <t>issue_type</t>
        </is>
      </c>
      <c r="E1" s="555" t="inlineStr">
        <is>
          <t>section</t>
        </is>
      </c>
      <c r="F1" s="555" t="inlineStr">
        <is>
          <t>root_cause</t>
        </is>
      </c>
      <c r="G1" s="555" t="inlineStr">
        <is>
          <t>message</t>
        </is>
      </c>
      <c r="H1" s="555" t="inlineStr">
        <is>
          <t>suggested_action</t>
        </is>
      </c>
      <c r="I1" s="555" t="inlineStr">
        <is>
          <t>occurrence_count</t>
        </is>
      </c>
      <c r="J1" s="555" t="inlineStr">
        <is>
          <t>visibility_disposition</t>
        </is>
      </c>
      <c r="K1" s="555" t="inlineStr">
        <is>
          <t>promotion_blocking</t>
        </is>
      </c>
      <c r="L1" s="555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55" t="inlineStr">
        <is>
          <t>issue_id</t>
        </is>
      </c>
      <c r="B1" s="555" t="inlineStr">
        <is>
          <t>severity</t>
        </is>
      </c>
      <c r="C1" s="555" t="inlineStr">
        <is>
          <t>rule_id</t>
        </is>
      </c>
      <c r="D1" s="555" t="inlineStr">
        <is>
          <t>section</t>
        </is>
      </c>
      <c r="E1" s="555" t="inlineStr">
        <is>
          <t>normalized_path</t>
        </is>
      </c>
      <c r="F1" s="555" t="inlineStr">
        <is>
          <t>business_row_key</t>
        </is>
      </c>
      <c r="G1" s="555" t="inlineStr">
        <is>
          <t>message</t>
        </is>
      </c>
      <c r="H1" s="555" t="inlineStr">
        <is>
          <t>suggested_action</t>
        </is>
      </c>
      <c r="I1" s="555" t="inlineStr">
        <is>
          <t>occurrence_count</t>
        </is>
      </c>
      <c r="J1" s="555" t="inlineStr">
        <is>
          <t>promotion_blocking</t>
        </is>
      </c>
      <c r="K1" s="555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55" t="inlineStr">
        <is>
          <t>rule_id</t>
        </is>
      </c>
      <c r="B1" s="555" t="inlineStr">
        <is>
          <t>status</t>
        </is>
      </c>
      <c r="C1" s="555" t="inlineStr">
        <is>
          <t>unique_issue_count</t>
        </is>
      </c>
      <c r="D1" s="555" t="inlineStr">
        <is>
          <t>occurrence_count</t>
        </is>
      </c>
      <c r="E1" s="555" t="inlineStr">
        <is>
          <t>blocking_count</t>
        </is>
      </c>
      <c r="F1" s="555" t="inlineStr">
        <is>
          <t>actionable_count</t>
        </is>
      </c>
      <c r="G1" s="555" t="inlineStr">
        <is>
          <t>affected_sections</t>
        </is>
      </c>
      <c r="H1" s="555" t="inlineStr">
        <is>
          <t>interpretation</t>
        </is>
      </c>
      <c r="I1" s="555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value</t>
        </is>
      </c>
      <c r="D1" s="556" t="inlineStr">
        <is>
          <t>unit</t>
        </is>
      </c>
      <c r="E1" s="556" t="inlineStr">
        <is>
          <t>source_ref</t>
        </is>
      </c>
      <c r="F1" s="556" t="inlineStr">
        <is>
          <t>status</t>
        </is>
      </c>
      <c r="G1" s="556" t="inlineStr">
        <is>
          <t>definition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value</t>
        </is>
      </c>
      <c r="D1" s="556" t="inlineStr">
        <is>
          <t>unit</t>
        </is>
      </c>
      <c r="E1" s="556" t="inlineStr">
        <is>
          <t>source_ref</t>
        </is>
      </c>
      <c r="F1" s="556" t="inlineStr">
        <is>
          <t>status</t>
        </is>
      </c>
      <c r="G1" s="556" t="inlineStr">
        <is>
          <t>definition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value</t>
        </is>
      </c>
      <c r="D1" s="556" t="inlineStr">
        <is>
          <t>unit</t>
        </is>
      </c>
      <c r="E1" s="556" t="inlineStr">
        <is>
          <t>source_ref</t>
        </is>
      </c>
      <c r="F1" s="556" t="inlineStr">
        <is>
          <t>status</t>
        </is>
      </c>
      <c r="G1" s="556" t="inlineStr">
        <is>
          <t>definition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period</t>
        </is>
      </c>
      <c r="B1" s="556" t="inlineStr">
        <is>
          <t>theme</t>
        </is>
      </c>
      <c r="C1" s="556" t="inlineStr">
        <is>
          <t>metric</t>
        </is>
      </c>
      <c r="D1" s="556" t="inlineStr">
        <is>
          <t>note</t>
        </is>
      </c>
      <c r="E1" s="556" t="inlineStr">
        <is>
          <t>source_ref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evidence_key</t>
        </is>
      </c>
      <c r="B1" s="556" t="inlineStr">
        <is>
          <t>period</t>
        </is>
      </c>
      <c r="C1" s="556" t="inlineStr">
        <is>
          <t>topic</t>
        </is>
      </c>
      <c r="D1" s="556" t="inlineStr">
        <is>
          <t>text</t>
        </is>
      </c>
      <c r="E1" s="556" t="inlineStr">
        <is>
          <t>source_ref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period</t>
        </is>
      </c>
      <c r="B1" s="556" t="inlineStr">
        <is>
          <t>topic</t>
        </is>
      </c>
      <c r="C1" s="556" t="inlineStr">
        <is>
          <t>narrative_type</t>
        </is>
      </c>
      <c r="D1" s="556" t="inlineStr">
        <is>
          <t>text</t>
        </is>
      </c>
      <c r="E1" s="556" t="inlineStr">
        <is>
          <t>source_ref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30" customWidth="1" min="8" max="8"/>
    <col width="30" customWidth="1" min="9" max="9"/>
    <col width="30" customWidth="1" min="10" max="10"/>
    <col width="32" customWidth="1" min="11" max="11"/>
  </cols>
  <sheetData>
    <row r="1" ht="20" customHeight="1">
      <c r="A1" s="556" t="inlineStr">
        <is>
          <t>metric</t>
        </is>
      </c>
      <c r="B1" s="556" t="inlineStr">
        <is>
          <t>value</t>
        </is>
      </c>
      <c r="C1" s="556" t="inlineStr">
        <is>
          <t>unit</t>
        </is>
      </c>
      <c r="D1" s="556" t="inlineStr">
        <is>
          <t>as_of</t>
        </is>
      </c>
      <c r="E1" s="556" t="inlineStr">
        <is>
          <t>lineage_ref</t>
        </is>
      </c>
      <c r="F1" s="556" t="inlineStr">
        <is>
          <t>status</t>
        </is>
      </c>
      <c r="G1" s="556" t="inlineStr">
        <is>
          <t>definition</t>
        </is>
      </c>
      <c r="H1" s="556" t="inlineStr">
        <is>
          <t>resolved_revenue_growth_bear</t>
        </is>
      </c>
      <c r="I1" s="556" t="inlineStr">
        <is>
          <t>resolved_revenue_growth_base</t>
        </is>
      </c>
      <c r="J1" s="556" t="inlineStr">
        <is>
          <t>resolved_revenue_growth_bull</t>
        </is>
      </c>
      <c r="K1" s="556" t="inlineStr">
        <is>
          <t>resolved_revenue_growth_custom</t>
        </is>
      </c>
    </row>
    <row r="2">
      <c r="A2" t="inlineStr">
        <is>
          <t>price</t>
        </is>
      </c>
      <c r="B2" s="507">
        <f>IF(Price="","",Price)</f>
        <v/>
      </c>
      <c r="C2" t="inlineStr">
        <is>
          <t>$/share</t>
        </is>
      </c>
      <c r="D2">
        <f>IF(AsOfQuarter="","",AsOfQuarter)</f>
        <v/>
      </c>
      <c r="E2" t="inlineStr">
        <is>
          <t>formula:Price</t>
        </is>
      </c>
      <c r="F2">
        <f>IF(B2="","unavailable","calculated")</f>
        <v/>
      </c>
      <c r="G2" t="inlineStr">
        <is>
          <t>Observed or explicit user price.</t>
        </is>
      </c>
      <c r="H2" s="543">
        <f>LET(scenarioKey,"bear",userGrowth,'{ticker}_Investment_Case'!$B$24,scenarioHorizon,'{ticker}_Investment_Case'!$B$23,itemDimension,--('Scenario_Driver_Assumptions'!$J$2:$J$201="total_company"),itemMember,--('Scenario_Driver_Assumptions'!$K$2:$K$201="total_company"),directMask,--('Scenario_Driver_Assumptions'!$A$2:$A$201=scenarioKey)*--('Scenario_Driver_Assumptions'!$B$2:$B$201="revenue_growth")*--('Scenario_Driver_Assumptions'!$D$2:$D$201="point")*--('Scenario_Driver_Assumptions'!$H$2:$H$201="%")*--('Scenario_Driver_Assumptions'!$I$2:$I$201=scenarioHorizon)*itemDimension*itemMember*--('Scenario_Driver_Assumptions'!$M$2:$M$201="selected_growth_route")*--('Scenario_Driver_Assumptions'!$N$2:$N$201="populated")*--('Scenario_Driver_Assumptions'!$Q$2:$Q$201=""),profileMask,--('Scenario_Driver_Assumptions'!$A$2:$A$201=scenarioKey)*--('Scenario_Driver_Assumptions'!$B$2:$B$201="revenue_growth")*--('Scenario_Driver_Assumptions'!$D$2:$D$201="route")*--('Scenario_Driver_Assumptions'!$E$2:$E$201="")*--('Scenario_Driver_Assumptions'!$H$2:$H$201="%")*--('Scenario_Driver_Assumptions'!$I$2:$I$201=scenarioHorizon)*itemDimension*itemMember*--('Scenario_Driver_Assumptions'!$M$2:$M$201="profile_driver_bridge")*--('Scenario_Driver_Assumptions'!$N$2:$N$201="populated")*--('Scenario_Driver_Assumptions'!$Q$2:$Q$201&lt;&gt;""),directCount,SUMPRODUCT(directMask),profileCount,SUMPRODUCT(profileMask),directValue,SUMPRODUCT(directMask,'Scenario_Driver_Assumptions'!$E$2:$E$201),profilePack,IF(profileCount=1,IFERROR(LOOKUP(2,1/profileMask,'Scenario_Driver_Assumptions'!$Q$2:$Q$201),""),""),bridgeDimension,--('{ticker}_Investment_Case_Data'!$J$2:$J$201="total_company"),bridgeMember,--('{ticker}_Investment_Case_Data'!$K$2:$K$201="total_company"),bridgeImpact,--('{ticker}_Investment_Case_Data'!$F$2:$F$201="revenue_growth"),bridgeMask,--('{ticker}_Investment_Case_Data'!$A$2:$A$201=scenarioKey)*--('{ticker}_Investment_Case_Data'!$C$2:$C$201=profilePack)*bridgeImpact*--('{ticker}_Investment_Case_Data'!$H$2:$H$201="%")*--('{ticker}_Investment_Case_Data'!$I$2:$I$201=scenarioHorizon)*bridgeDimension*bridgeMember*--('{ticker}_Investment_Case_Data'!$O$2:$O$201="profile_driver_bridge")*--('{ticker}_Investment_Case_Data'!$P$2:$P$201="populated"),bridgeCount,SUMPRODUCT(bridgeMask),bridgeValue,SUMPRODUCT(bridgeMask,'{ticker}_Investment_Case_Data'!$G$2:$G$201),userCount,--(userGrowth&lt;&gt;""),IF(OR(scenarioHorizon="",directCount+profileCount+userCount&lt;&gt;1),"",IF(directCount=1,directValue,IF(profileCount=1,IF(bridgeCount=1,bridgeValue,""),IF(ISNUMBER(userGrowth),userGrowth,"")))))</f>
        <v/>
      </c>
      <c r="I2" s="543">
        <f>LET(scenarioKey,"base",userGrowth,'{ticker}_Investment_Case'!$C$24,scenarioHorizon,'{ticker}_Investment_Case'!$C$23,itemDimension,--('Scenario_Driver_Assumptions'!$J$2:$J$201="total_company"),itemMember,--('Scenario_Driver_Assumptions'!$K$2:$K$201="total_company"),directMask,--('Scenario_Driver_Assumptions'!$A$2:$A$201=scenarioKey)*--('Scenario_Driver_Assumptions'!$B$2:$B$201="revenue_growth")*--('Scenario_Driver_Assumptions'!$D$2:$D$201="point")*--('Scenario_Driver_Assumptions'!$H$2:$H$201="%")*--('Scenario_Driver_Assumptions'!$I$2:$I$201=scenarioHorizon)*itemDimension*itemMember*--('Scenario_Driver_Assumptions'!$M$2:$M$201="selected_growth_route")*--('Scenario_Driver_Assumptions'!$N$2:$N$201="populated")*--('Scenario_Driver_Assumptions'!$Q$2:$Q$201=""),profileMask,--('Scenario_Driver_Assumptions'!$A$2:$A$201=scenarioKey)*--('Scenario_Driver_Assumptions'!$B$2:$B$201="revenue_growth")*--('Scenario_Driver_Assumptions'!$D$2:$D$201="route")*--('Scenario_Driver_Assumptions'!$E$2:$E$201="")*--('Scenario_Driver_Assumptions'!$H$2:$H$201="%")*--('Scenario_Driver_Assumptions'!$I$2:$I$201=scenarioHorizon)*itemDimension*itemMember*--('Scenario_Driver_Assumptions'!$M$2:$M$201="profile_driver_bridge")*--('Scenario_Driver_Assumptions'!$N$2:$N$201="populated")*--('Scenario_Driver_Assumptions'!$Q$2:$Q$201&lt;&gt;""),directCount,SUMPRODUCT(directMask),profileCount,SUMPRODUCT(profileMask),directValue,SUMPRODUCT(directMask,'Scenario_Driver_Assumptions'!$E$2:$E$201),profilePack,IF(profileCount=1,IFERROR(LOOKUP(2,1/profileMask,'Scenario_Driver_Assumptions'!$Q$2:$Q$201),""),""),bridgeDimension,--('{ticker}_Investment_Case_Data'!$J$2:$J$201="total_company"),bridgeMember,--('{ticker}_Investment_Case_Data'!$K$2:$K$201="total_company"),bridgeImpact,--('{ticker}_Investment_Case_Data'!$F$2:$F$201="revenue_growth"),bridgeMask,--('{ticker}_Investment_Case_Data'!$A$2:$A$201=scenarioKey)*--('{ticker}_Investment_Case_Data'!$C$2:$C$201=profilePack)*bridgeImpact*--('{ticker}_Investment_Case_Data'!$H$2:$H$201="%")*--('{ticker}_Investment_Case_Data'!$I$2:$I$201=scenarioHorizon)*bridgeDimension*bridgeMember*--('{ticker}_Investment_Case_Data'!$O$2:$O$201="profile_driver_bridge")*--('{ticker}_Investment_Case_Data'!$P$2:$P$201="populated"),bridgeCount,SUMPRODUCT(bridgeMask),bridgeValue,SUMPRODUCT(bridgeMask,'{ticker}_Investment_Case_Data'!$G$2:$G$201),userCount,--(userGrowth&lt;&gt;""),IF(OR(scenarioHorizon="",directCount+profileCount+userCount&lt;&gt;1),"",IF(directCount=1,directValue,IF(profileCount=1,IF(bridgeCount=1,bridgeValue,""),IF(ISNUMBER(userGrowth),userGrowth,"")))))</f>
        <v/>
      </c>
      <c r="J2" s="543">
        <f>LET(scenarioKey,"bull",userGrowth,'{ticker}_Investment_Case'!$D$24,scenarioHorizon,'{ticker}_Investment_Case'!$D$23,itemDimension,--('Scenario_Driver_Assumptions'!$J$2:$J$201="total_company"),itemMember,--('Scenario_Driver_Assumptions'!$K$2:$K$201="total_company"),directMask,--('Scenario_Driver_Assumptions'!$A$2:$A$201=scenarioKey)*--('Scenario_Driver_Assumptions'!$B$2:$B$201="revenue_growth")*--('Scenario_Driver_Assumptions'!$D$2:$D$201="point")*--('Scenario_Driver_Assumptions'!$H$2:$H$201="%")*--('Scenario_Driver_Assumptions'!$I$2:$I$201=scenarioHorizon)*itemDimension*itemMember*--('Scenario_Driver_Assumptions'!$M$2:$M$201="selected_growth_route")*--('Scenario_Driver_Assumptions'!$N$2:$N$201="populated")*--('Scenario_Driver_Assumptions'!$Q$2:$Q$201=""),profileMask,--('Scenario_Driver_Assumptions'!$A$2:$A$201=scenarioKey)*--('Scenario_Driver_Assumptions'!$B$2:$B$201="revenue_growth")*--('Scenario_Driver_Assumptions'!$D$2:$D$201="route")*--('Scenario_Driver_Assumptions'!$E$2:$E$201="")*--('Scenario_Driver_Assumptions'!$H$2:$H$201="%")*--('Scenario_Driver_Assumptions'!$I$2:$I$201=scenarioHorizon)*itemDimension*itemMember*--('Scenario_Driver_Assumptions'!$M$2:$M$201="profile_driver_bridge")*--('Scenario_Driver_Assumptions'!$N$2:$N$201="populated")*--('Scenario_Driver_Assumptions'!$Q$2:$Q$201&lt;&gt;""),directCount,SUMPRODUCT(directMask),profileCount,SUMPRODUCT(profileMask),directValue,SUMPRODUCT(directMask,'Scenario_Driver_Assumptions'!$E$2:$E$201),profilePack,IF(profileCount=1,IFERROR(LOOKUP(2,1/profileMask,'Scenario_Driver_Assumptions'!$Q$2:$Q$201),""),""),bridgeDimension,--('{ticker}_Investment_Case_Data'!$J$2:$J$201="total_company"),bridgeMember,--('{ticker}_Investment_Case_Data'!$K$2:$K$201="total_company"),bridgeImpact,--('{ticker}_Investment_Case_Data'!$F$2:$F$201="revenue_growth"),bridgeMask,--('{ticker}_Investment_Case_Data'!$A$2:$A$201=scenarioKey)*--('{ticker}_Investment_Case_Data'!$C$2:$C$201=profilePack)*bridgeImpact*--('{ticker}_Investment_Case_Data'!$H$2:$H$201="%")*--('{ticker}_Investment_Case_Data'!$I$2:$I$201=scenarioHorizon)*bridgeDimension*bridgeMember*--('{ticker}_Investment_Case_Data'!$O$2:$O$201="profile_driver_bridge")*--('{ticker}_Investment_Case_Data'!$P$2:$P$201="populated"),bridgeCount,SUMPRODUCT(bridgeMask),bridgeValue,SUMPRODUCT(bridgeMask,'{ticker}_Investment_Case_Data'!$G$2:$G$201),userCount,--(userGrowth&lt;&gt;""),IF(OR(scenarioHorizon="",directCount+profileCount+userCount&lt;&gt;1),"",IF(directCount=1,directValue,IF(profileCount=1,IF(bridgeCount=1,bridgeValue,""),IF(ISNUMBER(userGrowth),userGrowth,"")))))</f>
        <v/>
      </c>
      <c r="K2" s="543">
        <f>LET(scenarioKey,"custom",userGrowth,ScenarioGrowth,scenarioHorizon,ScenarioHorizon,itemDimension,--('Scenario_Driver_Assumptions'!$J$2:$J$201="total_company"),itemMember,--('Scenario_Driver_Assumptions'!$K$2:$K$201="total_company"),directMask,--('Scenario_Driver_Assumptions'!$A$2:$A$201=scenarioKey)*--('Scenario_Driver_Assumptions'!$B$2:$B$201="revenue_growth")*--('Scenario_Driver_Assumptions'!$D$2:$D$201="point")*--('Scenario_Driver_Assumptions'!$H$2:$H$201="%")*--('Scenario_Driver_Assumptions'!$I$2:$I$201=scenarioHorizon)*itemDimension*itemMember*--('Scenario_Driver_Assumptions'!$M$2:$M$201="selected_growth_route")*--('Scenario_Driver_Assumptions'!$N$2:$N$201="populated")*--('Scenario_Driver_Assumptions'!$Q$2:$Q$201=""),profileMask,--('Scenario_Driver_Assumptions'!$A$2:$A$201=scenarioKey)*--('Scenario_Driver_Assumptions'!$B$2:$B$201="revenue_growth")*--('Scenario_Driver_Assumptions'!$D$2:$D$201="route")*--('Scenario_Driver_Assumptions'!$E$2:$E$201="")*--('Scenario_Driver_Assumptions'!$H$2:$H$201="%")*--('Scenario_Driver_Assumptions'!$I$2:$I$201=scenarioHorizon)*itemDimension*itemMember*--('Scenario_Driver_Assumptions'!$M$2:$M$201="profile_driver_bridge")*--('Scenario_Driver_Assumptions'!$N$2:$N$201="populated")*--('Scenario_Driver_Assumptions'!$Q$2:$Q$201&lt;&gt;""),directCount,SUMPRODUCT(directMask),profileCount,SUMPRODUCT(profileMask),directValue,SUMPRODUCT(directMask,'Scenario_Driver_Assumptions'!$E$2:$E$201),profilePack,IF(profileCount=1,IFERROR(LOOKUP(2,1/profileMask,'Scenario_Driver_Assumptions'!$Q$2:$Q$201),""),""),bridgeDimension,--('{ticker}_Investment_Case_Data'!$J$2:$J$201="total_company"),bridgeMember,--('{ticker}_Investment_Case_Data'!$K$2:$K$201="total_company"),bridgeImpact,--('{ticker}_Investment_Case_Data'!$F$2:$F$201="revenue_growth"),bridgeMask,--('{ticker}_Investment_Case_Data'!$A$2:$A$201=scenarioKey)*--('{ticker}_Investment_Case_Data'!$C$2:$C$201=profilePack)*bridgeImpact*--('{ticker}_Investment_Case_Data'!$H$2:$H$201="%")*--('{ticker}_Investment_Case_Data'!$I$2:$I$201=scenarioHorizon)*bridgeDimension*bridgeMember*--('{ticker}_Investment_Case_Data'!$O$2:$O$201="profile_driver_bridge")*--('{ticker}_Investment_Case_Data'!$P$2:$P$201="populated"),bridgeCount,SUMPRODUCT(bridgeMask),bridgeValue,SUMPRODUCT(bridgeMask,'{ticker}_Investment_Case_Data'!$G$2:$G$201),userCount,--(userGrowth&lt;&gt;""),IF(OR(scenarioHorizon="",directCount+profileCount+userCount&lt;&gt;1),"",IF(directCount=1,directValue,IF(profileCount=1,IF(bridgeCount=1,bridgeValue,""),IF(ISNUMBER(userGrowth),userGrowth,"")))))</f>
        <v/>
      </c>
    </row>
    <row r="3">
      <c r="A3" t="inlineStr">
        <is>
          <t>market_cap</t>
        </is>
      </c>
      <c r="B3" s="505">
        <f>IF(MarketCap="","",MarketCap)</f>
        <v/>
      </c>
      <c r="C3" t="inlineStr">
        <is>
          <t>$m</t>
        </is>
      </c>
      <c r="D3">
        <f>IF(AsOfQuarter="","",AsOfQuarter)</f>
        <v/>
      </c>
      <c r="E3" t="inlineStr">
        <is>
          <t>formula:MarketCap</t>
        </is>
      </c>
      <c r="F3">
        <f>IF(B3="","unavailable","calculated")</f>
        <v/>
      </c>
      <c r="G3" t="inlineStr">
        <is>
          <t>Price multiplied by the selected share denominator.</t>
        </is>
      </c>
    </row>
    <row r="4">
      <c r="A4" t="inlineStr">
        <is>
          <t>enterprise_value</t>
        </is>
      </c>
      <c r="B4" s="505">
        <f>IF(EV="","",EV)</f>
        <v/>
      </c>
      <c r="C4" t="inlineStr">
        <is>
          <t>$m</t>
        </is>
      </c>
      <c r="D4">
        <f>IF(AsOfQuarter="","",AsOfQuarter)</f>
        <v/>
      </c>
      <c r="E4" t="inlineStr">
        <is>
          <t>formula:EV</t>
        </is>
      </c>
      <c r="F4">
        <f>IF(B4="","unavailable","calculated")</f>
        <v/>
      </c>
      <c r="G4" t="inlineStr">
        <is>
          <t>Market capitalization plus available net debt.</t>
        </is>
      </c>
    </row>
    <row r="5">
      <c r="A5" t="inlineStr">
        <is>
          <t>implied_ev_adjusted_ebitda</t>
        </is>
      </c>
      <c r="B5" s="557">
        <f>IF(Implied_EV_AdjEBITDA="","",Implied_EV_AdjEBITDA)</f>
        <v/>
      </c>
      <c r="C5" t="inlineStr">
        <is>
          <t>x</t>
        </is>
      </c>
      <c r="D5">
        <f>IF(AsOfQuarter="","",AsOfQuarter)</f>
        <v/>
      </c>
      <c r="E5" t="inlineStr">
        <is>
          <t>formula:Implied_EV_AdjEBITDA</t>
        </is>
      </c>
      <c r="F5">
        <f>IF(B5="","unavailable","calculated")</f>
        <v/>
      </c>
      <c r="G5" t="inlineStr">
        <is>
          <t>Enterprise value divided by adjusted EBITDA TTM.</t>
        </is>
      </c>
    </row>
    <row r="6">
      <c r="A6" t="inlineStr">
        <is>
          <t>implied_ev_base_ebitda</t>
        </is>
      </c>
      <c r="B6" s="557">
        <f>IF(Implied_EV_EBITDA="","",Implied_EV_EBITDA)</f>
        <v/>
      </c>
      <c r="C6" t="inlineStr">
        <is>
          <t>x</t>
        </is>
      </c>
      <c r="D6">
        <f>IF(AsOfQuarter="","",AsOfQuarter)</f>
        <v/>
      </c>
      <c r="E6" t="inlineStr">
        <is>
          <t>formula:Implied_EV_EBITDA</t>
        </is>
      </c>
      <c r="F6">
        <f>IF(B6="","unavailable","calculated")</f>
        <v/>
      </c>
      <c r="G6" t="inlineStr">
        <is>
          <t>Enterprise value divided by base EBITDA TTM.</t>
        </is>
      </c>
    </row>
    <row r="7">
      <c r="A7" t="inlineStr">
        <is>
          <t>implied_ev_revenue</t>
        </is>
      </c>
      <c r="B7" s="557">
        <f>IF('Valuation'!N208="","",'Valuation'!N208)</f>
        <v/>
      </c>
      <c r="C7" t="inlineStr">
        <is>
          <t>x</t>
        </is>
      </c>
      <c r="D7">
        <f>IF(AsOfQuarter="","",AsOfQuarter)</f>
        <v/>
      </c>
      <c r="E7" t="inlineStr">
        <is>
          <t>formula:'Valuation'!N208</t>
        </is>
      </c>
      <c r="F7">
        <f>IF(B7="","unavailable","calculated")</f>
        <v/>
      </c>
      <c r="G7" t="inlineStr">
        <is>
          <t>Enterprise value divided by revenue TTM.</t>
        </is>
      </c>
    </row>
    <row r="8">
      <c r="A8" t="inlineStr">
        <is>
          <t>equity_fcf_yield</t>
        </is>
      </c>
      <c r="B8" s="500">
        <f>IF(Equity_FCF_Yield="","",Equity_FCF_Yield)</f>
        <v/>
      </c>
      <c r="C8" t="inlineStr">
        <is>
          <t>%</t>
        </is>
      </c>
      <c r="D8">
        <f>IF(AsOfQuarter="","",AsOfQuarter)</f>
        <v/>
      </c>
      <c r="E8" t="inlineStr">
        <is>
          <t>formula:Equity_FCF_Yield</t>
        </is>
      </c>
      <c r="F8">
        <f>IF(B8="","unavailable","calculated")</f>
        <v/>
      </c>
      <c r="G8" t="inlineStr">
        <is>
          <t>FCF TTM divided by market capitalization.</t>
        </is>
      </c>
    </row>
    <row r="9">
      <c r="A9" t="inlineStr">
        <is>
          <t>dcf_enterprise_value</t>
        </is>
      </c>
      <c r="B9" s="505">
        <f>IF(DCF_EV="","",DCF_EV)</f>
        <v/>
      </c>
      <c r="C9" t="inlineStr">
        <is>
          <t>$m</t>
        </is>
      </c>
      <c r="D9">
        <f>IF(AsOfQuarter="","",AsOfQuarter)</f>
        <v/>
      </c>
      <c r="E9" t="inlineStr">
        <is>
          <t>formula:DCF_EV</t>
        </is>
      </c>
      <c r="F9">
        <f>IF(B9="","unavailable","calculated")</f>
        <v/>
      </c>
      <c r="G9" t="inlineStr">
        <is>
          <t>DCF enterprise value from explicit user assumptions.</t>
        </is>
      </c>
    </row>
    <row r="10">
      <c r="A10" t="inlineStr">
        <is>
          <t>dcf_implied_price</t>
        </is>
      </c>
      <c r="B10" s="507">
        <f>IF(DCF_ImpliedPrice="","",DCF_ImpliedPrice)</f>
        <v/>
      </c>
      <c r="C10" t="inlineStr">
        <is>
          <t>$/share</t>
        </is>
      </c>
      <c r="D10">
        <f>IF(AsOfQuarter="","",AsOfQuarter)</f>
        <v/>
      </c>
      <c r="E10" t="inlineStr">
        <is>
          <t>formula:DCF_ImpliedPrice</t>
        </is>
      </c>
      <c r="F10">
        <f>IF(B10="","unavailable","calculated")</f>
        <v/>
      </c>
      <c r="G10" t="inlineStr">
        <is>
          <t>DCF equity value divided by the selected share denominator.</t>
        </is>
      </c>
    </row>
    <row r="11">
      <c r="A11" t="inlineStr">
        <is>
          <t>scenario_revenue</t>
        </is>
      </c>
      <c r="B11" s="505">
        <f>IF(ScenarioRevenue="","",ScenarioRevenue)</f>
        <v/>
      </c>
      <c r="C11" t="inlineStr">
        <is>
          <t>$m</t>
        </is>
      </c>
      <c r="D11">
        <f>IF(AsOfQuarter="","",AsOfQuarter)</f>
        <v/>
      </c>
      <c r="E11" t="inlineStr">
        <is>
          <t>formula:ScenarioRevenue</t>
        </is>
      </c>
      <c r="F11">
        <f>IF(B11="","unavailable","calculated")</f>
        <v/>
      </c>
      <c r="G11" t="inlineStr">
        <is>
          <t>Revenue under the selected typed scenario.</t>
        </is>
      </c>
    </row>
    <row r="12">
      <c r="A12" t="inlineStr">
        <is>
          <t>scenario_base_ebitda</t>
        </is>
      </c>
      <c r="B12" s="505">
        <f>IF(ScenarioBaseEBITDA="","",ScenarioBaseEBITDA)</f>
        <v/>
      </c>
      <c r="C12" t="inlineStr">
        <is>
          <t>$m</t>
        </is>
      </c>
      <c r="D12">
        <f>IF(AsOfQuarter="","",AsOfQuarter)</f>
        <v/>
      </c>
      <c r="E12" t="inlineStr">
        <is>
          <t>formula:ScenarioBaseEBITDA</t>
        </is>
      </c>
      <c r="F12">
        <f>IF(B12="","unavailable","calculated")</f>
        <v/>
      </c>
      <c r="G12" t="inlineStr">
        <is>
          <t>Base EBITDA under the selected typed scenario.</t>
        </is>
      </c>
    </row>
    <row r="13">
      <c r="A13" t="inlineStr">
        <is>
          <t>scenario_adjusted_ebitda</t>
        </is>
      </c>
      <c r="B13" s="505">
        <f>IF(ScenarioAdjustedEBITDA="","",ScenarioAdjustedEBITDA)</f>
        <v/>
      </c>
      <c r="C13" t="inlineStr">
        <is>
          <t>$m</t>
        </is>
      </c>
      <c r="D13">
        <f>IF(AsOfQuarter="","",AsOfQuarter)</f>
        <v/>
      </c>
      <c r="E13" t="inlineStr">
        <is>
          <t>formula:ScenarioAdjustedEBITDA</t>
        </is>
      </c>
      <c r="F13">
        <f>IF(B13="","unavailable","calculated")</f>
        <v/>
      </c>
      <c r="G13" t="inlineStr">
        <is>
          <t>Adjusted EBITDA under the selected typed scenario.</t>
        </is>
      </c>
    </row>
    <row r="14">
      <c r="A14" t="inlineStr">
        <is>
          <t>scenario_fcf</t>
        </is>
      </c>
      <c r="B14" s="505">
        <f>IF(ScenarioFCF="","",ScenarioFCF)</f>
        <v/>
      </c>
      <c r="C14" t="inlineStr">
        <is>
          <t>$m</t>
        </is>
      </c>
      <c r="D14">
        <f>IF(AsOfQuarter="","",AsOfQuarter)</f>
        <v/>
      </c>
      <c r="E14" t="inlineStr">
        <is>
          <t>formula:ScenarioFCF</t>
        </is>
      </c>
      <c r="F14">
        <f>IF(B14="","unavailable","calculated")</f>
        <v/>
      </c>
      <c r="G14" t="inlineStr">
        <is>
          <t>FCF under explicit bridge and cash classifications.</t>
        </is>
      </c>
    </row>
    <row r="15">
      <c r="A15" t="inlineStr">
        <is>
          <t>scenario_shares</t>
        </is>
      </c>
      <c r="B15" s="558">
        <f>IF(ScenarioShares="","",ScenarioShares)</f>
        <v/>
      </c>
      <c r="C15" t="inlineStr">
        <is>
          <t>m shares</t>
        </is>
      </c>
      <c r="D15">
        <f>IF(AsOfQuarter="","",AsOfQuarter)</f>
        <v/>
      </c>
      <c r="E15" t="inlineStr">
        <is>
          <t>formula:ScenarioShares</t>
        </is>
      </c>
      <c r="F15">
        <f>IF(B15="","unavailable","calculated")</f>
        <v/>
      </c>
      <c r="G15" t="inlineStr">
        <is>
          <t>Selected base shares less repurchased shares plus issuance.</t>
        </is>
      </c>
    </row>
    <row r="16">
      <c r="A16" t="inlineStr">
        <is>
          <t>scenario_net_debt</t>
        </is>
      </c>
      <c r="B16" s="505">
        <f>IF(ScenarioNetDebt="","",ScenarioNetDebt)</f>
        <v/>
      </c>
      <c r="C16" t="inlineStr">
        <is>
          <t>$m</t>
        </is>
      </c>
      <c r="D16">
        <f>IF(AsOfQuarter="","",AsOfQuarter)</f>
        <v/>
      </c>
      <c r="E16" t="inlineStr">
        <is>
          <t>formula:ScenarioNetDebt</t>
        </is>
      </c>
      <c r="F16">
        <f>IF(B16="","unavailable","calculated")</f>
        <v/>
      </c>
      <c r="G16" t="inlineStr">
        <is>
          <t>Available net debt plus buyback cash less debt paydown.</t>
        </is>
      </c>
    </row>
    <row r="17">
      <c r="A17" t="inlineStr">
        <is>
          <t>scenario_eps</t>
        </is>
      </c>
      <c r="B17" s="539">
        <f>IF(ScenarioEPS="","",ScenarioEPS)</f>
        <v/>
      </c>
      <c r="C17" t="inlineStr">
        <is>
          <t>$/share</t>
        </is>
      </c>
      <c r="D17">
        <f>IF(AsOfQuarter="","",AsOfQuarter)</f>
        <v/>
      </c>
      <c r="E17" t="inlineStr">
        <is>
          <t>formula:ScenarioEPS</t>
        </is>
      </c>
      <c r="F17">
        <f>IF(B17="","unavailable","calculated")</f>
        <v/>
      </c>
      <c r="G17" t="inlineStr">
        <is>
          <t>Scenario net income divided by scenario shares.</t>
        </is>
      </c>
    </row>
    <row r="18">
      <c r="A18" t="inlineStr">
        <is>
          <t>scenario_enterprise_value</t>
        </is>
      </c>
      <c r="B18" s="505">
        <f>IF(ScenarioEV="","",ScenarioEV)</f>
        <v/>
      </c>
      <c r="C18" t="inlineStr">
        <is>
          <t>$m</t>
        </is>
      </c>
      <c r="D18">
        <f>IF(AsOfQuarter="","",AsOfQuarter)</f>
        <v/>
      </c>
      <c r="E18" t="inlineStr">
        <is>
          <t>formula:ScenarioEV</t>
        </is>
      </c>
      <c r="F18">
        <f>IF(B18="","unavailable","calculated")</f>
        <v/>
      </c>
      <c r="G18" t="inlineStr">
        <is>
          <t>Scenario adjusted EBITDA multiplied by the explicit target multiple.</t>
        </is>
      </c>
    </row>
    <row r="19">
      <c r="A19" t="inlineStr">
        <is>
          <t>scenario_implied_price</t>
        </is>
      </c>
      <c r="B19" s="507">
        <f>IF(ScenarioImpliedPrice="","",ScenarioImpliedPrice)</f>
        <v/>
      </c>
      <c r="C19" t="inlineStr">
        <is>
          <t>$/share</t>
        </is>
      </c>
      <c r="D19">
        <f>IF(AsOfQuarter="","",AsOfQuarter)</f>
        <v/>
      </c>
      <c r="E19" t="inlineStr">
        <is>
          <t>formula:ScenarioImpliedPrice</t>
        </is>
      </c>
      <c r="F19">
        <f>IF(B19="","unavailable","calculated")</f>
        <v/>
      </c>
      <c r="G19" t="inlineStr">
        <is>
          <t>Scenario equity value divided by scenario shares.</t>
        </is>
      </c>
    </row>
    <row r="20">
      <c r="A20" t="inlineStr">
        <is>
          <t>scenario_upside</t>
        </is>
      </c>
      <c r="B20" s="543">
        <f>IF(ScenarioUpside="","",ScenarioUpside)</f>
        <v/>
      </c>
      <c r="C20" t="inlineStr">
        <is>
          <t>%</t>
        </is>
      </c>
      <c r="D20">
        <f>IF(AsOfQuarter="","",AsOfQuarter)</f>
        <v/>
      </c>
      <c r="E20" t="inlineStr">
        <is>
          <t>formula:ScenarioUpside</t>
        </is>
      </c>
      <c r="F20">
        <f>IF(B20="","unavailable","calculated")</f>
        <v/>
      </c>
      <c r="G20" t="inlineStr">
        <is>
          <t>Scenario implied price relative to current price.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promise_key</t>
        </is>
      </c>
      <c r="B1" s="556" t="inlineStr">
        <is>
          <t>period</t>
        </is>
      </c>
      <c r="C1" s="556" t="inlineStr">
        <is>
          <t>metric</t>
        </is>
      </c>
      <c r="D1" s="556" t="inlineStr">
        <is>
          <t>evidence</t>
        </is>
      </c>
      <c r="E1" s="556" t="inlineStr">
        <is>
          <t>source_ref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previous_guide</t>
        </is>
      </c>
      <c r="D1" s="556" t="inlineStr">
        <is>
          <t>current_guide</t>
        </is>
      </c>
      <c r="E1" s="556" t="inlineStr">
        <is>
          <t>actual</t>
        </is>
      </c>
      <c r="F1" s="556" t="inlineStr">
        <is>
          <t>status</t>
        </is>
      </c>
      <c r="G1" s="556" t="inlineStr">
        <is>
          <t>source_ref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6" t="inlineStr">
        <is>
          <t>metric</t>
        </is>
      </c>
      <c r="B1" s="556" t="inlineStr">
        <is>
          <t>horizon</t>
        </is>
      </c>
      <c r="C1" s="556" t="inlineStr">
        <is>
          <t>period</t>
        </is>
      </c>
      <c r="D1" s="556" t="inlineStr">
        <is>
          <t>value</t>
        </is>
      </c>
      <c r="E1" s="556" t="inlineStr">
        <is>
          <t>unit</t>
        </is>
      </c>
      <c r="F1" s="556" t="inlineStr">
        <is>
          <t>status</t>
        </is>
      </c>
      <c r="G1" s="556" t="inlineStr">
        <is>
          <t>source_ref</t>
        </is>
      </c>
      <c r="H1" s="556" t="inlineStr">
        <is>
          <t>notes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period_ordinal</t>
        </is>
      </c>
      <c r="C1" s="556" t="inlineStr">
        <is>
          <t>metric</t>
        </is>
      </c>
      <c r="D1" s="556" t="inlineStr">
        <is>
          <t>value</t>
        </is>
      </c>
      <c r="E1" s="556" t="inlineStr">
        <is>
          <t>unit</t>
        </is>
      </c>
      <c r="F1" s="556" t="inlineStr">
        <is>
          <t>source_ref</t>
        </is>
      </c>
      <c r="G1" s="556" t="inlineStr">
        <is>
          <t>status</t>
        </is>
      </c>
    </row>
    <row r="2">
      <c r="A2" s="481" t="n"/>
      <c r="B2" s="481" t="n"/>
      <c r="C2" s="481" t="n"/>
      <c r="D2" s="481" t="n"/>
      <c r="E2" s="481" t="n"/>
      <c r="F2" s="481" t="n"/>
      <c r="G2" s="481" t="n"/>
    </row>
    <row r="3">
      <c r="A3" s="481" t="n"/>
      <c r="B3" s="481" t="n"/>
      <c r="C3" s="481" t="n"/>
      <c r="D3" s="481" t="n"/>
      <c r="E3" s="481" t="n"/>
      <c r="F3" s="481" t="n"/>
      <c r="G3" s="481" t="n"/>
    </row>
    <row r="4">
      <c r="A4" s="481" t="n"/>
      <c r="B4" s="481" t="n"/>
      <c r="C4" s="481" t="n"/>
      <c r="D4" s="481" t="n"/>
      <c r="E4" s="481" t="n"/>
      <c r="F4" s="481" t="n"/>
      <c r="G4" s="481" t="n"/>
    </row>
    <row r="5">
      <c r="A5" s="481" t="n"/>
      <c r="B5" s="481" t="n"/>
      <c r="C5" s="481" t="n"/>
      <c r="D5" s="481" t="n"/>
      <c r="E5" s="481" t="n"/>
      <c r="F5" s="481" t="n"/>
      <c r="G5" s="481" t="n"/>
    </row>
    <row r="6">
      <c r="A6" s="481" t="n"/>
      <c r="B6" s="481" t="n"/>
      <c r="C6" s="481" t="n"/>
      <c r="D6" s="481" t="n"/>
      <c r="E6" s="481" t="n"/>
      <c r="F6" s="481" t="n"/>
      <c r="G6" s="481" t="n"/>
    </row>
    <row r="7">
      <c r="A7" s="481" t="n"/>
      <c r="B7" s="481" t="n"/>
      <c r="C7" s="481" t="n"/>
      <c r="D7" s="481" t="n"/>
      <c r="E7" s="481" t="n"/>
      <c r="F7" s="481" t="n"/>
      <c r="G7" s="481" t="n"/>
    </row>
    <row r="8">
      <c r="A8" s="481" t="n"/>
      <c r="B8" s="481" t="n"/>
      <c r="C8" s="481" t="n"/>
      <c r="D8" s="481" t="n"/>
      <c r="E8" s="481" t="n"/>
      <c r="F8" s="481" t="n"/>
      <c r="G8" s="481" t="n"/>
    </row>
    <row r="9">
      <c r="A9" s="481" t="n"/>
      <c r="B9" s="481" t="n"/>
      <c r="C9" s="481" t="n"/>
      <c r="D9" s="481" t="n"/>
      <c r="E9" s="481" t="n"/>
      <c r="F9" s="481" t="n"/>
      <c r="G9" s="481" t="n"/>
    </row>
    <row r="10">
      <c r="A10" s="481" t="n"/>
      <c r="B10" s="481" t="n"/>
      <c r="C10" s="481" t="n"/>
      <c r="D10" s="481" t="n"/>
      <c r="E10" s="481" t="n"/>
      <c r="F10" s="481" t="n"/>
      <c r="G10" s="481" t="n"/>
    </row>
    <row r="11">
      <c r="A11" s="481" t="n"/>
      <c r="B11" s="481" t="n"/>
      <c r="C11" s="481" t="n"/>
      <c r="D11" s="481" t="n"/>
      <c r="E11" s="481" t="n"/>
      <c r="F11" s="481" t="n"/>
      <c r="G11" s="481" t="n"/>
    </row>
    <row r="12">
      <c r="A12" s="481" t="n"/>
      <c r="B12" s="481" t="n"/>
      <c r="C12" s="481" t="n"/>
      <c r="D12" s="481" t="n"/>
      <c r="E12" s="481" t="n"/>
      <c r="F12" s="481" t="n"/>
      <c r="G12" s="481" t="n"/>
    </row>
    <row r="13">
      <c r="A13" s="481" t="n"/>
      <c r="B13" s="481" t="n"/>
      <c r="C13" s="481" t="n"/>
      <c r="D13" s="481" t="n"/>
      <c r="E13" s="481" t="n"/>
      <c r="F13" s="481" t="n"/>
      <c r="G13" s="481" t="n"/>
    </row>
    <row r="14">
      <c r="A14" s="481" t="n"/>
      <c r="B14" s="481" t="n"/>
      <c r="C14" s="481" t="n"/>
      <c r="D14" s="481" t="n"/>
      <c r="E14" s="481" t="n"/>
      <c r="F14" s="481" t="n"/>
      <c r="G14" s="481" t="n"/>
    </row>
    <row r="15">
      <c r="A15" s="481" t="n"/>
      <c r="B15" s="481" t="n"/>
      <c r="C15" s="481" t="n"/>
      <c r="D15" s="481" t="n"/>
      <c r="E15" s="481" t="n"/>
      <c r="F15" s="481" t="n"/>
      <c r="G15" s="481" t="n"/>
    </row>
    <row r="16">
      <c r="A16" s="481" t="n"/>
      <c r="B16" s="481" t="n"/>
      <c r="C16" s="481" t="n"/>
      <c r="D16" s="481" t="n"/>
      <c r="E16" s="481" t="n"/>
      <c r="F16" s="481" t="n"/>
      <c r="G16" s="481" t="n"/>
    </row>
    <row r="17">
      <c r="A17" s="481" t="n"/>
      <c r="B17" s="481" t="n"/>
      <c r="C17" s="481" t="n"/>
      <c r="D17" s="481" t="n"/>
      <c r="E17" s="481" t="n"/>
      <c r="F17" s="481" t="n"/>
      <c r="G17" s="481" t="n"/>
    </row>
    <row r="18">
      <c r="A18" s="481" t="n"/>
      <c r="B18" s="481" t="n"/>
      <c r="C18" s="481" t="n"/>
      <c r="D18" s="481" t="n"/>
      <c r="E18" s="481" t="n"/>
      <c r="F18" s="481" t="n"/>
      <c r="G18" s="481" t="n"/>
    </row>
    <row r="19">
      <c r="A19" s="481" t="n"/>
      <c r="B19" s="481" t="n"/>
      <c r="C19" s="481" t="n"/>
      <c r="D19" s="481" t="n"/>
      <c r="E19" s="481" t="n"/>
      <c r="F19" s="481" t="n"/>
      <c r="G19" s="481" t="n"/>
    </row>
    <row r="20">
      <c r="A20" s="481" t="n"/>
      <c r="B20" s="481" t="n"/>
      <c r="C20" s="481" t="n"/>
      <c r="D20" s="481" t="n"/>
      <c r="E20" s="481" t="n"/>
      <c r="F20" s="481" t="n"/>
      <c r="G20" s="481" t="n"/>
    </row>
    <row r="21">
      <c r="A21" s="481" t="n"/>
      <c r="B21" s="481" t="n"/>
      <c r="C21" s="481" t="n"/>
      <c r="D21" s="481" t="n"/>
      <c r="E21" s="481" t="n"/>
      <c r="F21" s="481" t="n"/>
      <c r="G21" s="481" t="n"/>
    </row>
    <row r="22">
      <c r="A22" s="481" t="n"/>
      <c r="B22" s="481" t="n"/>
      <c r="C22" s="481" t="n"/>
      <c r="D22" s="481" t="n"/>
      <c r="E22" s="481" t="n"/>
      <c r="F22" s="481" t="n"/>
      <c r="G22" s="481" t="n"/>
    </row>
    <row r="23">
      <c r="A23" s="481" t="n"/>
      <c r="B23" s="481" t="n"/>
      <c r="C23" s="481" t="n"/>
      <c r="D23" s="481" t="n"/>
      <c r="E23" s="481" t="n"/>
      <c r="F23" s="481" t="n"/>
      <c r="G23" s="481" t="n"/>
    </row>
    <row r="24">
      <c r="A24" s="481" t="n"/>
      <c r="B24" s="481" t="n"/>
      <c r="C24" s="481" t="n"/>
      <c r="D24" s="481" t="n"/>
      <c r="E24" s="481" t="n"/>
      <c r="F24" s="481" t="n"/>
      <c r="G24" s="481" t="n"/>
    </row>
    <row r="25">
      <c r="A25" s="481" t="n"/>
      <c r="B25" s="481" t="n"/>
      <c r="C25" s="481" t="n"/>
      <c r="D25" s="481" t="n"/>
      <c r="E25" s="481" t="n"/>
      <c r="F25" s="481" t="n"/>
      <c r="G25" s="481" t="n"/>
    </row>
    <row r="26">
      <c r="A26" s="481" t="n"/>
      <c r="B26" s="481" t="n"/>
      <c r="C26" s="481" t="n"/>
      <c r="D26" s="481" t="n"/>
      <c r="E26" s="481" t="n"/>
      <c r="F26" s="481" t="n"/>
      <c r="G26" s="481" t="n"/>
    </row>
    <row r="27">
      <c r="A27" s="481" t="n"/>
      <c r="B27" s="481" t="n"/>
      <c r="C27" s="481" t="n"/>
      <c r="D27" s="481" t="n"/>
      <c r="E27" s="481" t="n"/>
      <c r="F27" s="481" t="n"/>
      <c r="G27" s="481" t="n"/>
    </row>
    <row r="28">
      <c r="A28" s="481" t="n"/>
      <c r="B28" s="481" t="n"/>
      <c r="C28" s="481" t="n"/>
      <c r="D28" s="481" t="n"/>
      <c r="E28" s="481" t="n"/>
      <c r="F28" s="481" t="n"/>
      <c r="G28" s="481" t="n"/>
    </row>
    <row r="29">
      <c r="A29" s="481" t="n"/>
      <c r="B29" s="481" t="n"/>
      <c r="C29" s="481" t="n"/>
      <c r="D29" s="481" t="n"/>
      <c r="E29" s="481" t="n"/>
      <c r="F29" s="481" t="n"/>
      <c r="G29" s="481" t="n"/>
    </row>
    <row r="30">
      <c r="A30" s="481" t="n"/>
      <c r="B30" s="481" t="n"/>
      <c r="C30" s="481" t="n"/>
      <c r="D30" s="481" t="n"/>
      <c r="E30" s="481" t="n"/>
      <c r="F30" s="481" t="n"/>
      <c r="G30" s="481" t="n"/>
    </row>
    <row r="31">
      <c r="A31" s="481" t="n"/>
      <c r="B31" s="481" t="n"/>
      <c r="C31" s="481" t="n"/>
      <c r="D31" s="481" t="n"/>
      <c r="E31" s="481" t="n"/>
      <c r="F31" s="481" t="n"/>
      <c r="G31" s="481" t="n"/>
    </row>
    <row r="32">
      <c r="A32" s="481" t="n"/>
      <c r="B32" s="481" t="n"/>
      <c r="C32" s="481" t="n"/>
      <c r="D32" s="481" t="n"/>
      <c r="E32" s="481" t="n"/>
      <c r="F32" s="481" t="n"/>
      <c r="G32" s="481" t="n"/>
    </row>
    <row r="33">
      <c r="A33" s="481" t="n"/>
      <c r="B33" s="481" t="n"/>
      <c r="C33" s="481" t="n"/>
      <c r="D33" s="481" t="n"/>
      <c r="E33" s="481" t="n"/>
      <c r="F33" s="481" t="n"/>
      <c r="G33" s="481" t="n"/>
    </row>
    <row r="34">
      <c r="A34" s="481" t="n"/>
      <c r="B34" s="481" t="n"/>
      <c r="C34" s="481" t="n"/>
      <c r="D34" s="481" t="n"/>
      <c r="E34" s="481" t="n"/>
      <c r="F34" s="481" t="n"/>
      <c r="G34" s="481" t="n"/>
    </row>
    <row r="35">
      <c r="A35" s="481" t="n"/>
      <c r="B35" s="481" t="n"/>
      <c r="C35" s="481" t="n"/>
      <c r="D35" s="481" t="n"/>
      <c r="E35" s="481" t="n"/>
      <c r="F35" s="481" t="n"/>
      <c r="G35" s="481" t="n"/>
    </row>
    <row r="36">
      <c r="A36" s="481" t="n"/>
      <c r="B36" s="481" t="n"/>
      <c r="C36" s="481" t="n"/>
      <c r="D36" s="481" t="n"/>
      <c r="E36" s="481" t="n"/>
      <c r="F36" s="481" t="n"/>
      <c r="G36" s="481" t="n"/>
    </row>
    <row r="37">
      <c r="A37" s="481" t="n"/>
      <c r="B37" s="481" t="n"/>
      <c r="C37" s="481" t="n"/>
      <c r="D37" s="481" t="n"/>
      <c r="E37" s="481" t="n"/>
      <c r="F37" s="481" t="n"/>
      <c r="G37" s="481" t="n"/>
    </row>
    <row r="38">
      <c r="A38" s="481" t="n"/>
      <c r="B38" s="481" t="n"/>
      <c r="C38" s="481" t="n"/>
      <c r="D38" s="481" t="n"/>
      <c r="E38" s="481" t="n"/>
      <c r="F38" s="481" t="n"/>
      <c r="G38" s="481" t="n"/>
    </row>
    <row r="39">
      <c r="A39" s="481" t="n"/>
      <c r="B39" s="481" t="n"/>
      <c r="C39" s="481" t="n"/>
      <c r="D39" s="481" t="n"/>
      <c r="E39" s="481" t="n"/>
      <c r="F39" s="481" t="n"/>
      <c r="G39" s="481" t="n"/>
    </row>
    <row r="40">
      <c r="A40" s="481" t="n"/>
      <c r="B40" s="481" t="n"/>
      <c r="C40" s="481" t="n"/>
      <c r="D40" s="481" t="n"/>
      <c r="E40" s="481" t="n"/>
      <c r="F40" s="481" t="n"/>
      <c r="G40" s="481" t="n"/>
    </row>
    <row r="41">
      <c r="A41" s="481" t="n"/>
      <c r="B41" s="481" t="n"/>
      <c r="C41" s="481" t="n"/>
      <c r="D41" s="481" t="n"/>
      <c r="E41" s="481" t="n"/>
      <c r="F41" s="481" t="n"/>
      <c r="G41" s="481" t="n"/>
    </row>
    <row r="42">
      <c r="A42" s="481" t="n"/>
      <c r="B42" s="481" t="n"/>
      <c r="C42" s="481" t="n"/>
      <c r="D42" s="481" t="n"/>
      <c r="E42" s="481" t="n"/>
      <c r="F42" s="481" t="n"/>
      <c r="G42" s="481" t="n"/>
    </row>
    <row r="43">
      <c r="A43" s="481" t="n"/>
      <c r="B43" s="481" t="n"/>
      <c r="C43" s="481" t="n"/>
      <c r="D43" s="481" t="n"/>
      <c r="E43" s="481" t="n"/>
      <c r="F43" s="481" t="n"/>
      <c r="G43" s="481" t="n"/>
    </row>
    <row r="44">
      <c r="A44" s="481" t="n"/>
      <c r="B44" s="481" t="n"/>
      <c r="C44" s="481" t="n"/>
      <c r="D44" s="481" t="n"/>
      <c r="E44" s="481" t="n"/>
      <c r="F44" s="481" t="n"/>
      <c r="G44" s="481" t="n"/>
    </row>
    <row r="45">
      <c r="A45" s="481" t="n"/>
      <c r="B45" s="481" t="n"/>
      <c r="C45" s="481" t="n"/>
      <c r="D45" s="481" t="n"/>
      <c r="E45" s="481" t="n"/>
      <c r="F45" s="481" t="n"/>
      <c r="G45" s="481" t="n"/>
    </row>
    <row r="46">
      <c r="A46" s="481" t="n"/>
      <c r="B46" s="481" t="n"/>
      <c r="C46" s="481" t="n"/>
      <c r="D46" s="481" t="n"/>
      <c r="E46" s="481" t="n"/>
      <c r="F46" s="481" t="n"/>
      <c r="G46" s="481" t="n"/>
    </row>
    <row r="47">
      <c r="A47" s="481" t="n"/>
      <c r="B47" s="481" t="n"/>
      <c r="C47" s="481" t="n"/>
      <c r="D47" s="481" t="n"/>
      <c r="E47" s="481" t="n"/>
      <c r="F47" s="481" t="n"/>
      <c r="G47" s="481" t="n"/>
    </row>
    <row r="48">
      <c r="A48" s="481" t="n"/>
      <c r="B48" s="481" t="n"/>
      <c r="C48" s="481" t="n"/>
      <c r="D48" s="481" t="n"/>
      <c r="E48" s="481" t="n"/>
      <c r="F48" s="481" t="n"/>
      <c r="G48" s="481" t="n"/>
    </row>
    <row r="49">
      <c r="A49" s="481" t="n"/>
      <c r="B49" s="481" t="n"/>
      <c r="C49" s="481" t="n"/>
      <c r="D49" s="481" t="n"/>
      <c r="E49" s="481" t="n"/>
      <c r="F49" s="481" t="n"/>
      <c r="G49" s="481" t="n"/>
    </row>
    <row r="50">
      <c r="A50" s="481" t="n"/>
      <c r="B50" s="481" t="n"/>
      <c r="C50" s="481" t="n"/>
      <c r="D50" s="481" t="n"/>
      <c r="E50" s="481" t="n"/>
      <c r="F50" s="481" t="n"/>
      <c r="G50" s="481" t="n"/>
    </row>
    <row r="51">
      <c r="A51" s="481" t="n"/>
      <c r="B51" s="481" t="n"/>
      <c r="C51" s="481" t="n"/>
      <c r="D51" s="481" t="n"/>
      <c r="E51" s="481" t="n"/>
      <c r="F51" s="481" t="n"/>
      <c r="G51" s="481" t="n"/>
    </row>
    <row r="52">
      <c r="A52" s="481" t="n"/>
      <c r="B52" s="481" t="n"/>
      <c r="C52" s="481" t="n"/>
      <c r="D52" s="481" t="n"/>
      <c r="E52" s="481" t="n"/>
      <c r="F52" s="481" t="n"/>
      <c r="G52" s="481" t="n"/>
    </row>
    <row r="53">
      <c r="A53" s="481" t="n"/>
      <c r="B53" s="481" t="n"/>
      <c r="C53" s="481" t="n"/>
      <c r="D53" s="481" t="n"/>
      <c r="E53" s="481" t="n"/>
      <c r="F53" s="481" t="n"/>
      <c r="G53" s="481" t="n"/>
    </row>
    <row r="54">
      <c r="A54" s="481" t="n"/>
      <c r="B54" s="481" t="n"/>
      <c r="C54" s="481" t="n"/>
      <c r="D54" s="481" t="n"/>
      <c r="E54" s="481" t="n"/>
      <c r="F54" s="481" t="n"/>
      <c r="G54" s="481" t="n"/>
    </row>
    <row r="55">
      <c r="A55" s="481" t="n"/>
      <c r="B55" s="481" t="n"/>
      <c r="C55" s="481" t="n"/>
      <c r="D55" s="481" t="n"/>
      <c r="E55" s="481" t="n"/>
      <c r="F55" s="481" t="n"/>
      <c r="G55" s="481" t="n"/>
    </row>
    <row r="56">
      <c r="A56" s="481" t="n"/>
      <c r="B56" s="481" t="n"/>
      <c r="C56" s="481" t="n"/>
      <c r="D56" s="481" t="n"/>
      <c r="E56" s="481" t="n"/>
      <c r="F56" s="481" t="n"/>
      <c r="G56" s="481" t="n"/>
    </row>
    <row r="57">
      <c r="A57" s="481" t="n"/>
      <c r="B57" s="481" t="n"/>
      <c r="C57" s="481" t="n"/>
      <c r="D57" s="481" t="n"/>
      <c r="E57" s="481" t="n"/>
      <c r="F57" s="481" t="n"/>
      <c r="G57" s="481" t="n"/>
    </row>
    <row r="58">
      <c r="A58" s="481" t="n"/>
      <c r="B58" s="481" t="n"/>
      <c r="C58" s="481" t="n"/>
      <c r="D58" s="481" t="n"/>
      <c r="E58" s="481" t="n"/>
      <c r="F58" s="481" t="n"/>
      <c r="G58" s="481" t="n"/>
    </row>
    <row r="59">
      <c r="A59" s="481" t="n"/>
      <c r="B59" s="481" t="n"/>
      <c r="C59" s="481" t="n"/>
      <c r="D59" s="481" t="n"/>
      <c r="E59" s="481" t="n"/>
      <c r="F59" s="481" t="n"/>
      <c r="G59" s="481" t="n"/>
    </row>
    <row r="60">
      <c r="A60" s="481" t="n"/>
      <c r="B60" s="481" t="n"/>
      <c r="C60" s="481" t="n"/>
      <c r="D60" s="481" t="n"/>
      <c r="E60" s="481" t="n"/>
      <c r="F60" s="481" t="n"/>
      <c r="G60" s="481" t="n"/>
    </row>
    <row r="61">
      <c r="A61" s="481" t="n"/>
      <c r="B61" s="481" t="n"/>
      <c r="C61" s="481" t="n"/>
      <c r="D61" s="481" t="n"/>
      <c r="E61" s="481" t="n"/>
      <c r="F61" s="481" t="n"/>
      <c r="G61" s="481" t="n"/>
    </row>
    <row r="62">
      <c r="A62" s="481" t="n"/>
      <c r="B62" s="481" t="n"/>
      <c r="C62" s="481" t="n"/>
      <c r="D62" s="481" t="n"/>
      <c r="E62" s="481" t="n"/>
      <c r="F62" s="481" t="n"/>
      <c r="G62" s="481" t="n"/>
    </row>
    <row r="63">
      <c r="A63" s="481" t="n"/>
      <c r="B63" s="481" t="n"/>
      <c r="C63" s="481" t="n"/>
      <c r="D63" s="481" t="n"/>
      <c r="E63" s="481" t="n"/>
      <c r="F63" s="481" t="n"/>
      <c r="G63" s="481" t="n"/>
    </row>
    <row r="64">
      <c r="A64" s="481" t="n"/>
      <c r="B64" s="481" t="n"/>
      <c r="C64" s="481" t="n"/>
      <c r="D64" s="481" t="n"/>
      <c r="E64" s="481" t="n"/>
      <c r="F64" s="481" t="n"/>
      <c r="G64" s="481" t="n"/>
    </row>
    <row r="65">
      <c r="A65" s="481" t="n"/>
      <c r="B65" s="481" t="n"/>
      <c r="C65" s="481" t="n"/>
      <c r="D65" s="481" t="n"/>
      <c r="E65" s="481" t="n"/>
      <c r="F65" s="481" t="n"/>
      <c r="G65" s="481" t="n"/>
    </row>
    <row r="66">
      <c r="A66" s="481" t="n"/>
      <c r="B66" s="481" t="n"/>
      <c r="C66" s="481" t="n"/>
      <c r="D66" s="481" t="n"/>
      <c r="E66" s="481" t="n"/>
      <c r="F66" s="481" t="n"/>
      <c r="G66" s="481" t="n"/>
    </row>
    <row r="67">
      <c r="A67" s="481" t="n"/>
      <c r="B67" s="481" t="n"/>
      <c r="C67" s="481" t="n"/>
      <c r="D67" s="481" t="n"/>
      <c r="E67" s="481" t="n"/>
      <c r="F67" s="481" t="n"/>
      <c r="G67" s="481" t="n"/>
    </row>
    <row r="68">
      <c r="A68" s="481" t="n"/>
      <c r="B68" s="481" t="n"/>
      <c r="C68" s="481" t="n"/>
      <c r="D68" s="481" t="n"/>
      <c r="E68" s="481" t="n"/>
      <c r="F68" s="481" t="n"/>
      <c r="G68" s="481" t="n"/>
    </row>
    <row r="69">
      <c r="A69" s="481" t="n"/>
      <c r="B69" s="481" t="n"/>
      <c r="C69" s="481" t="n"/>
      <c r="D69" s="481" t="n"/>
      <c r="E69" s="481" t="n"/>
      <c r="F69" s="481" t="n"/>
      <c r="G69" s="481" t="n"/>
    </row>
    <row r="70">
      <c r="A70" s="481" t="n"/>
      <c r="B70" s="481" t="n"/>
      <c r="C70" s="481" t="n"/>
      <c r="D70" s="481" t="n"/>
      <c r="E70" s="481" t="n"/>
      <c r="F70" s="481" t="n"/>
      <c r="G70" s="481" t="n"/>
    </row>
    <row r="71">
      <c r="A71" s="481" t="n"/>
      <c r="B71" s="481" t="n"/>
      <c r="C71" s="481" t="n"/>
      <c r="D71" s="481" t="n"/>
      <c r="E71" s="481" t="n"/>
      <c r="F71" s="481" t="n"/>
      <c r="G71" s="481" t="n"/>
    </row>
    <row r="72">
      <c r="A72" s="481" t="n"/>
      <c r="B72" s="481" t="n"/>
      <c r="C72" s="481" t="n"/>
      <c r="D72" s="481" t="n"/>
      <c r="E72" s="481" t="n"/>
      <c r="F72" s="481" t="n"/>
      <c r="G72" s="481" t="n"/>
    </row>
    <row r="73">
      <c r="A73" s="481" t="n"/>
      <c r="B73" s="481" t="n"/>
      <c r="C73" s="481" t="n"/>
      <c r="D73" s="481" t="n"/>
      <c r="E73" s="481" t="n"/>
      <c r="F73" s="481" t="n"/>
      <c r="G73" s="481" t="n"/>
    </row>
    <row r="74">
      <c r="A74" s="481" t="n"/>
      <c r="B74" s="481" t="n"/>
      <c r="C74" s="481" t="n"/>
      <c r="D74" s="481" t="n"/>
      <c r="E74" s="481" t="n"/>
      <c r="F74" s="481" t="n"/>
      <c r="G74" s="481" t="n"/>
    </row>
    <row r="75">
      <c r="A75" s="481" t="n"/>
      <c r="B75" s="481" t="n"/>
      <c r="C75" s="481" t="n"/>
      <c r="D75" s="481" t="n"/>
      <c r="E75" s="481" t="n"/>
      <c r="F75" s="481" t="n"/>
      <c r="G75" s="481" t="n"/>
    </row>
    <row r="76">
      <c r="A76" s="481" t="n"/>
      <c r="B76" s="481" t="n"/>
      <c r="C76" s="481" t="n"/>
      <c r="D76" s="481" t="n"/>
      <c r="E76" s="481" t="n"/>
      <c r="F76" s="481" t="n"/>
      <c r="G76" s="481" t="n"/>
    </row>
    <row r="77">
      <c r="A77" s="481" t="n"/>
      <c r="B77" s="481" t="n"/>
      <c r="C77" s="481" t="n"/>
      <c r="D77" s="481" t="n"/>
      <c r="E77" s="481" t="n"/>
      <c r="F77" s="481" t="n"/>
      <c r="G77" s="481" t="n"/>
    </row>
    <row r="78">
      <c r="A78" s="481" t="n"/>
      <c r="B78" s="481" t="n"/>
      <c r="C78" s="481" t="n"/>
      <c r="D78" s="481" t="n"/>
      <c r="E78" s="481" t="n"/>
      <c r="F78" s="481" t="n"/>
      <c r="G78" s="481" t="n"/>
    </row>
    <row r="79">
      <c r="A79" s="481" t="n"/>
      <c r="B79" s="481" t="n"/>
      <c r="C79" s="481" t="n"/>
      <c r="D79" s="481" t="n"/>
      <c r="E79" s="481" t="n"/>
      <c r="F79" s="481" t="n"/>
      <c r="G79" s="481" t="n"/>
    </row>
    <row r="80">
      <c r="A80" s="481" t="n"/>
      <c r="B80" s="481" t="n"/>
      <c r="C80" s="481" t="n"/>
      <c r="D80" s="481" t="n"/>
      <c r="E80" s="481" t="n"/>
      <c r="F80" s="481" t="n"/>
      <c r="G80" s="481" t="n"/>
    </row>
    <row r="81">
      <c r="A81" s="481" t="n"/>
      <c r="B81" s="481" t="n"/>
      <c r="C81" s="481" t="n"/>
      <c r="D81" s="481" t="n"/>
      <c r="E81" s="481" t="n"/>
      <c r="F81" s="481" t="n"/>
      <c r="G81" s="481" t="n"/>
    </row>
    <row r="82">
      <c r="A82" s="481" t="n"/>
      <c r="B82" s="481" t="n"/>
      <c r="C82" s="481" t="n"/>
      <c r="D82" s="481" t="n"/>
      <c r="E82" s="481" t="n"/>
      <c r="F82" s="481" t="n"/>
      <c r="G82" s="481" t="n"/>
    </row>
    <row r="83">
      <c r="A83" s="481" t="n"/>
      <c r="B83" s="481" t="n"/>
      <c r="C83" s="481" t="n"/>
      <c r="D83" s="481" t="n"/>
      <c r="E83" s="481" t="n"/>
      <c r="F83" s="481" t="n"/>
      <c r="G83" s="481" t="n"/>
    </row>
    <row r="84">
      <c r="A84" s="481" t="n"/>
      <c r="B84" s="481" t="n"/>
      <c r="C84" s="481" t="n"/>
      <c r="D84" s="481" t="n"/>
      <c r="E84" s="481" t="n"/>
      <c r="F84" s="481" t="n"/>
      <c r="G84" s="481" t="n"/>
    </row>
    <row r="85">
      <c r="A85" s="481" t="n"/>
      <c r="B85" s="481" t="n"/>
      <c r="C85" s="481" t="n"/>
      <c r="D85" s="481" t="n"/>
      <c r="E85" s="481" t="n"/>
      <c r="F85" s="481" t="n"/>
      <c r="G85" s="481" t="n"/>
    </row>
    <row r="86">
      <c r="A86" s="481" t="n"/>
      <c r="B86" s="481" t="n"/>
      <c r="C86" s="481" t="n"/>
      <c r="D86" s="481" t="n"/>
      <c r="E86" s="481" t="n"/>
      <c r="F86" s="481" t="n"/>
      <c r="G86" s="481" t="n"/>
    </row>
    <row r="87">
      <c r="A87" s="481" t="n"/>
      <c r="B87" s="481" t="n"/>
      <c r="C87" s="481" t="n"/>
      <c r="D87" s="481" t="n"/>
      <c r="E87" s="481" t="n"/>
      <c r="F87" s="481" t="n"/>
      <c r="G87" s="481" t="n"/>
    </row>
    <row r="88">
      <c r="A88" s="481" t="n"/>
      <c r="B88" s="481" t="n"/>
      <c r="C88" s="481" t="n"/>
      <c r="D88" s="481" t="n"/>
      <c r="E88" s="481" t="n"/>
      <c r="F88" s="481" t="n"/>
      <c r="G88" s="481" t="n"/>
    </row>
    <row r="89">
      <c r="A89" s="481" t="n"/>
      <c r="B89" s="481" t="n"/>
      <c r="C89" s="481" t="n"/>
      <c r="D89" s="481" t="n"/>
      <c r="E89" s="481" t="n"/>
      <c r="F89" s="481" t="n"/>
      <c r="G89" s="481" t="n"/>
    </row>
    <row r="90">
      <c r="A90" s="481" t="n"/>
      <c r="B90" s="481" t="n"/>
      <c r="C90" s="481" t="n"/>
      <c r="D90" s="481" t="n"/>
      <c r="E90" s="481" t="n"/>
      <c r="F90" s="481" t="n"/>
      <c r="G90" s="481" t="n"/>
    </row>
    <row r="91">
      <c r="A91" s="481" t="n"/>
      <c r="B91" s="481" t="n"/>
      <c r="C91" s="481" t="n"/>
      <c r="D91" s="481" t="n"/>
      <c r="E91" s="481" t="n"/>
      <c r="F91" s="481" t="n"/>
      <c r="G91" s="481" t="n"/>
    </row>
    <row r="92">
      <c r="A92" s="481" t="n"/>
      <c r="B92" s="481" t="n"/>
      <c r="C92" s="481" t="n"/>
      <c r="D92" s="481" t="n"/>
      <c r="E92" s="481" t="n"/>
      <c r="F92" s="481" t="n"/>
      <c r="G92" s="481" t="n"/>
    </row>
    <row r="93">
      <c r="A93" s="481" t="n"/>
      <c r="B93" s="481" t="n"/>
      <c r="C93" s="481" t="n"/>
      <c r="D93" s="481" t="n"/>
      <c r="E93" s="481" t="n"/>
      <c r="F93" s="481" t="n"/>
      <c r="G93" s="481" t="n"/>
    </row>
    <row r="94">
      <c r="A94" s="481" t="n"/>
      <c r="B94" s="481" t="n"/>
      <c r="C94" s="481" t="n"/>
      <c r="D94" s="481" t="n"/>
      <c r="E94" s="481" t="n"/>
      <c r="F94" s="481" t="n"/>
      <c r="G94" s="481" t="n"/>
    </row>
    <row r="95">
      <c r="A95" s="481" t="n"/>
      <c r="B95" s="481" t="n"/>
      <c r="C95" s="481" t="n"/>
      <c r="D95" s="481" t="n"/>
      <c r="E95" s="481" t="n"/>
      <c r="F95" s="481" t="n"/>
      <c r="G95" s="481" t="n"/>
    </row>
    <row r="96">
      <c r="A96" s="481" t="n"/>
      <c r="B96" s="481" t="n"/>
      <c r="C96" s="481" t="n"/>
      <c r="D96" s="481" t="n"/>
      <c r="E96" s="481" t="n"/>
      <c r="F96" s="481" t="n"/>
      <c r="G96" s="481" t="n"/>
    </row>
    <row r="97">
      <c r="A97" s="481" t="n"/>
      <c r="B97" s="481" t="n"/>
      <c r="C97" s="481" t="n"/>
      <c r="D97" s="481" t="n"/>
      <c r="E97" s="481" t="n"/>
      <c r="F97" s="481" t="n"/>
      <c r="G97" s="481" t="n"/>
    </row>
    <row r="98">
      <c r="A98" s="481" t="n"/>
      <c r="B98" s="481" t="n"/>
      <c r="C98" s="481" t="n"/>
      <c r="D98" s="481" t="n"/>
      <c r="E98" s="481" t="n"/>
      <c r="F98" s="481" t="n"/>
      <c r="G98" s="481" t="n"/>
    </row>
    <row r="99">
      <c r="A99" s="481" t="n"/>
      <c r="B99" s="481" t="n"/>
      <c r="C99" s="481" t="n"/>
      <c r="D99" s="481" t="n"/>
      <c r="E99" s="481" t="n"/>
      <c r="F99" s="481" t="n"/>
      <c r="G99" s="481" t="n"/>
    </row>
    <row r="100">
      <c r="A100" s="481" t="n"/>
      <c r="B100" s="481" t="n"/>
      <c r="C100" s="481" t="n"/>
      <c r="D100" s="481" t="n"/>
      <c r="E100" s="481" t="n"/>
      <c r="F100" s="481" t="n"/>
      <c r="G100" s="481" t="n"/>
    </row>
    <row r="101">
      <c r="A101" s="481" t="n"/>
      <c r="B101" s="481" t="n"/>
      <c r="C101" s="481" t="n"/>
      <c r="D101" s="481" t="n"/>
      <c r="E101" s="481" t="n"/>
      <c r="F101" s="481" t="n"/>
      <c r="G101" s="481" t="n"/>
    </row>
    <row r="102">
      <c r="A102" s="481" t="n"/>
      <c r="B102" s="481" t="n"/>
      <c r="C102" s="481" t="n"/>
      <c r="D102" s="481" t="n"/>
      <c r="E102" s="481" t="n"/>
      <c r="F102" s="481" t="n"/>
      <c r="G102" s="481" t="n"/>
    </row>
    <row r="103">
      <c r="A103" s="481" t="n"/>
      <c r="B103" s="481" t="n"/>
      <c r="C103" s="481" t="n"/>
      <c r="D103" s="481" t="n"/>
      <c r="E103" s="481" t="n"/>
      <c r="F103" s="481" t="n"/>
      <c r="G103" s="481" t="n"/>
    </row>
    <row r="104">
      <c r="A104" s="481" t="n"/>
      <c r="B104" s="481" t="n"/>
      <c r="C104" s="481" t="n"/>
      <c r="D104" s="481" t="n"/>
      <c r="E104" s="481" t="n"/>
      <c r="F104" s="481" t="n"/>
      <c r="G104" s="481" t="n"/>
    </row>
    <row r="105">
      <c r="A105" s="481" t="n"/>
      <c r="B105" s="481" t="n"/>
      <c r="C105" s="481" t="n"/>
      <c r="D105" s="481" t="n"/>
      <c r="E105" s="481" t="n"/>
      <c r="F105" s="481" t="n"/>
      <c r="G105" s="481" t="n"/>
    </row>
    <row r="106">
      <c r="A106" s="481" t="n"/>
      <c r="B106" s="481" t="n"/>
      <c r="C106" s="481" t="n"/>
      <c r="D106" s="481" t="n"/>
      <c r="E106" s="481" t="n"/>
      <c r="F106" s="481" t="n"/>
      <c r="G106" s="481" t="n"/>
    </row>
    <row r="107">
      <c r="A107" s="481" t="n"/>
      <c r="B107" s="481" t="n"/>
      <c r="C107" s="481" t="n"/>
      <c r="D107" s="481" t="n"/>
      <c r="E107" s="481" t="n"/>
      <c r="F107" s="481" t="n"/>
      <c r="G107" s="481" t="n"/>
    </row>
    <row r="108">
      <c r="A108" s="481" t="n"/>
      <c r="B108" s="481" t="n"/>
      <c r="C108" s="481" t="n"/>
      <c r="D108" s="481" t="n"/>
      <c r="E108" s="481" t="n"/>
      <c r="F108" s="481" t="n"/>
      <c r="G108" s="481" t="n"/>
    </row>
    <row r="109">
      <c r="A109" s="481" t="n"/>
      <c r="B109" s="481" t="n"/>
      <c r="C109" s="481" t="n"/>
      <c r="D109" s="481" t="n"/>
      <c r="E109" s="481" t="n"/>
      <c r="F109" s="481" t="n"/>
      <c r="G109" s="481" t="n"/>
    </row>
    <row r="110">
      <c r="A110" s="481" t="n"/>
      <c r="B110" s="481" t="n"/>
      <c r="C110" s="481" t="n"/>
      <c r="D110" s="481" t="n"/>
      <c r="E110" s="481" t="n"/>
      <c r="F110" s="481" t="n"/>
      <c r="G110" s="481" t="n"/>
    </row>
    <row r="111">
      <c r="A111" s="481" t="n"/>
      <c r="B111" s="481" t="n"/>
      <c r="C111" s="481" t="n"/>
      <c r="D111" s="481" t="n"/>
      <c r="E111" s="481" t="n"/>
      <c r="F111" s="481" t="n"/>
      <c r="G111" s="481" t="n"/>
    </row>
    <row r="112">
      <c r="A112" s="481" t="n"/>
      <c r="B112" s="481" t="n"/>
      <c r="C112" s="481" t="n"/>
      <c r="D112" s="481" t="n"/>
      <c r="E112" s="481" t="n"/>
      <c r="F112" s="481" t="n"/>
      <c r="G112" s="481" t="n"/>
    </row>
    <row r="113">
      <c r="A113" s="481" t="n"/>
      <c r="B113" s="481" t="n"/>
      <c r="C113" s="481" t="n"/>
      <c r="D113" s="481" t="n"/>
      <c r="E113" s="481" t="n"/>
      <c r="F113" s="481" t="n"/>
      <c r="G113" s="481" t="n"/>
    </row>
    <row r="114">
      <c r="A114" s="481" t="n"/>
      <c r="B114" s="481" t="n"/>
      <c r="C114" s="481" t="n"/>
      <c r="D114" s="481" t="n"/>
      <c r="E114" s="481" t="n"/>
      <c r="F114" s="481" t="n"/>
      <c r="G114" s="481" t="n"/>
    </row>
    <row r="115">
      <c r="A115" s="481" t="n"/>
      <c r="B115" s="481" t="n"/>
      <c r="C115" s="481" t="n"/>
      <c r="D115" s="481" t="n"/>
      <c r="E115" s="481" t="n"/>
      <c r="F115" s="481" t="n"/>
      <c r="G115" s="481" t="n"/>
    </row>
    <row r="116">
      <c r="A116" s="481" t="n"/>
      <c r="B116" s="481" t="n"/>
      <c r="C116" s="481" t="n"/>
      <c r="D116" s="481" t="n"/>
      <c r="E116" s="481" t="n"/>
      <c r="F116" s="481" t="n"/>
      <c r="G116" s="481" t="n"/>
    </row>
    <row r="117">
      <c r="A117" s="481" t="n"/>
      <c r="B117" s="481" t="n"/>
      <c r="C117" s="481" t="n"/>
      <c r="D117" s="481" t="n"/>
      <c r="E117" s="481" t="n"/>
      <c r="F117" s="481" t="n"/>
      <c r="G117" s="481" t="n"/>
    </row>
    <row r="118">
      <c r="A118" s="481" t="n"/>
      <c r="B118" s="481" t="n"/>
      <c r="C118" s="481" t="n"/>
      <c r="D118" s="481" t="n"/>
      <c r="E118" s="481" t="n"/>
      <c r="F118" s="481" t="n"/>
      <c r="G118" s="481" t="n"/>
    </row>
    <row r="119">
      <c r="A119" s="481" t="n"/>
      <c r="B119" s="481" t="n"/>
      <c r="C119" s="481" t="n"/>
      <c r="D119" s="481" t="n"/>
      <c r="E119" s="481" t="n"/>
      <c r="F119" s="481" t="n"/>
      <c r="G119" s="481" t="n"/>
    </row>
    <row r="120">
      <c r="A120" s="481" t="n"/>
      <c r="B120" s="481" t="n"/>
      <c r="C120" s="481" t="n"/>
      <c r="D120" s="481" t="n"/>
      <c r="E120" s="481" t="n"/>
      <c r="F120" s="481" t="n"/>
      <c r="G120" s="481" t="n"/>
    </row>
    <row r="121">
      <c r="A121" s="481" t="n"/>
      <c r="B121" s="481" t="n"/>
      <c r="C121" s="481" t="n"/>
      <c r="D121" s="481" t="n"/>
      <c r="E121" s="481" t="n"/>
      <c r="F121" s="481" t="n"/>
      <c r="G121" s="481" t="n"/>
    </row>
    <row r="122">
      <c r="A122" s="481" t="n"/>
      <c r="B122" s="481" t="n"/>
      <c r="C122" s="481" t="n"/>
      <c r="D122" s="481" t="n"/>
      <c r="E122" s="481" t="n"/>
      <c r="F122" s="481" t="n"/>
      <c r="G122" s="481" t="n"/>
    </row>
    <row r="123">
      <c r="A123" s="481" t="n"/>
      <c r="B123" s="481" t="n"/>
      <c r="C123" s="481" t="n"/>
      <c r="D123" s="481" t="n"/>
      <c r="E123" s="481" t="n"/>
      <c r="F123" s="481" t="n"/>
      <c r="G123" s="481" t="n"/>
    </row>
    <row r="124">
      <c r="A124" s="481" t="n"/>
      <c r="B124" s="481" t="n"/>
      <c r="C124" s="481" t="n"/>
      <c r="D124" s="481" t="n"/>
      <c r="E124" s="481" t="n"/>
      <c r="F124" s="481" t="n"/>
      <c r="G124" s="481" t="n"/>
    </row>
    <row r="125">
      <c r="A125" s="481" t="n"/>
      <c r="B125" s="481" t="n"/>
      <c r="C125" s="481" t="n"/>
      <c r="D125" s="481" t="n"/>
      <c r="E125" s="481" t="n"/>
      <c r="F125" s="481" t="n"/>
      <c r="G125" s="481" t="n"/>
    </row>
    <row r="126">
      <c r="A126" s="481" t="n"/>
      <c r="B126" s="481" t="n"/>
      <c r="C126" s="481" t="n"/>
      <c r="D126" s="481" t="n"/>
      <c r="E126" s="481" t="n"/>
      <c r="F126" s="481" t="n"/>
      <c r="G126" s="481" t="n"/>
    </row>
    <row r="127">
      <c r="A127" s="481" t="n"/>
      <c r="B127" s="481" t="n"/>
      <c r="C127" s="481" t="n"/>
      <c r="D127" s="481" t="n"/>
      <c r="E127" s="481" t="n"/>
      <c r="F127" s="481" t="n"/>
      <c r="G127" s="481" t="n"/>
    </row>
    <row r="128">
      <c r="A128" s="481" t="n"/>
      <c r="B128" s="481" t="n"/>
      <c r="C128" s="481" t="n"/>
      <c r="D128" s="481" t="n"/>
      <c r="E128" s="481" t="n"/>
      <c r="F128" s="481" t="n"/>
      <c r="G128" s="481" t="n"/>
    </row>
    <row r="129">
      <c r="A129" s="481" t="n"/>
      <c r="B129" s="481" t="n"/>
      <c r="C129" s="481" t="n"/>
      <c r="D129" s="481" t="n"/>
      <c r="E129" s="481" t="n"/>
      <c r="F129" s="481" t="n"/>
      <c r="G129" s="481" t="n"/>
    </row>
    <row r="130">
      <c r="A130" s="481" t="n"/>
      <c r="B130" s="481" t="n"/>
      <c r="C130" s="481" t="n"/>
      <c r="D130" s="481" t="n"/>
      <c r="E130" s="481" t="n"/>
      <c r="F130" s="481" t="n"/>
      <c r="G130" s="481" t="n"/>
    </row>
    <row r="131">
      <c r="A131" s="481" t="n"/>
      <c r="B131" s="481" t="n"/>
      <c r="C131" s="481" t="n"/>
      <c r="D131" s="481" t="n"/>
      <c r="E131" s="481" t="n"/>
      <c r="F131" s="481" t="n"/>
      <c r="G131" s="481" t="n"/>
    </row>
    <row r="132">
      <c r="A132" s="481" t="n"/>
      <c r="B132" s="481" t="n"/>
      <c r="C132" s="481" t="n"/>
      <c r="D132" s="481" t="n"/>
      <c r="E132" s="481" t="n"/>
      <c r="F132" s="481" t="n"/>
      <c r="G132" s="481" t="n"/>
    </row>
    <row r="133">
      <c r="A133" s="481" t="n"/>
      <c r="B133" s="481" t="n"/>
      <c r="C133" s="481" t="n"/>
      <c r="D133" s="481" t="n"/>
      <c r="E133" s="481" t="n"/>
      <c r="F133" s="481" t="n"/>
      <c r="G133" s="481" t="n"/>
    </row>
    <row r="134">
      <c r="A134" s="481" t="n"/>
      <c r="B134" s="481" t="n"/>
      <c r="C134" s="481" t="n"/>
      <c r="D134" s="481" t="n"/>
      <c r="E134" s="481" t="n"/>
      <c r="F134" s="481" t="n"/>
      <c r="G134" s="481" t="n"/>
    </row>
    <row r="135">
      <c r="A135" s="481" t="n"/>
      <c r="B135" s="481" t="n"/>
      <c r="C135" s="481" t="n"/>
      <c r="D135" s="481" t="n"/>
      <c r="E135" s="481" t="n"/>
      <c r="F135" s="481" t="n"/>
      <c r="G135" s="481" t="n"/>
    </row>
    <row r="136">
      <c r="A136" s="481" t="n"/>
      <c r="B136" s="481" t="n"/>
      <c r="C136" s="481" t="n"/>
      <c r="D136" s="481" t="n"/>
      <c r="E136" s="481" t="n"/>
      <c r="F136" s="481" t="n"/>
      <c r="G136" s="481" t="n"/>
    </row>
    <row r="137">
      <c r="A137" s="481" t="n"/>
      <c r="B137" s="481" t="n"/>
      <c r="C137" s="481" t="n"/>
      <c r="D137" s="481" t="n"/>
      <c r="E137" s="481" t="n"/>
      <c r="F137" s="481" t="n"/>
      <c r="G137" s="481" t="n"/>
    </row>
    <row r="138">
      <c r="A138" s="481" t="n"/>
      <c r="B138" s="481" t="n"/>
      <c r="C138" s="481" t="n"/>
      <c r="D138" s="481" t="n"/>
      <c r="E138" s="481" t="n"/>
      <c r="F138" s="481" t="n"/>
      <c r="G138" s="481" t="n"/>
    </row>
    <row r="139">
      <c r="A139" s="481" t="n"/>
      <c r="B139" s="481" t="n"/>
      <c r="C139" s="481" t="n"/>
      <c r="D139" s="481" t="n"/>
      <c r="E139" s="481" t="n"/>
      <c r="F139" s="481" t="n"/>
      <c r="G139" s="481" t="n"/>
    </row>
    <row r="140">
      <c r="A140" s="481" t="n"/>
      <c r="B140" s="481" t="n"/>
      <c r="C140" s="481" t="n"/>
      <c r="D140" s="481" t="n"/>
      <c r="E140" s="481" t="n"/>
      <c r="F140" s="481" t="n"/>
      <c r="G140" s="481" t="n"/>
    </row>
    <row r="141">
      <c r="A141" s="481" t="n"/>
      <c r="B141" s="481" t="n"/>
      <c r="C141" s="481" t="n"/>
      <c r="D141" s="481" t="n"/>
      <c r="E141" s="481" t="n"/>
      <c r="F141" s="481" t="n"/>
      <c r="G141" s="481" t="n"/>
    </row>
    <row r="142">
      <c r="A142" s="481" t="n"/>
      <c r="B142" s="481" t="n"/>
      <c r="C142" s="481" t="n"/>
      <c r="D142" s="481" t="n"/>
      <c r="E142" s="481" t="n"/>
      <c r="F142" s="481" t="n"/>
      <c r="G142" s="481" t="n"/>
    </row>
    <row r="143">
      <c r="A143" s="481" t="n"/>
      <c r="B143" s="481" t="n"/>
      <c r="C143" s="481" t="n"/>
      <c r="D143" s="481" t="n"/>
      <c r="E143" s="481" t="n"/>
      <c r="F143" s="481" t="n"/>
      <c r="G143" s="481" t="n"/>
    </row>
    <row r="144">
      <c r="A144" s="481" t="n"/>
      <c r="B144" s="481" t="n"/>
      <c r="C144" s="481" t="n"/>
      <c r="D144" s="481" t="n"/>
      <c r="E144" s="481" t="n"/>
      <c r="F144" s="481" t="n"/>
      <c r="G144" s="481" t="n"/>
    </row>
    <row r="145">
      <c r="A145" s="481" t="n"/>
      <c r="B145" s="481" t="n"/>
      <c r="C145" s="481" t="n"/>
      <c r="D145" s="481" t="n"/>
      <c r="E145" s="481" t="n"/>
      <c r="F145" s="481" t="n"/>
      <c r="G145" s="481" t="n"/>
    </row>
    <row r="146">
      <c r="A146" s="481" t="n"/>
      <c r="B146" s="481" t="n"/>
      <c r="C146" s="481" t="n"/>
      <c r="D146" s="481" t="n"/>
      <c r="E146" s="481" t="n"/>
      <c r="F146" s="481" t="n"/>
      <c r="G146" s="481" t="n"/>
    </row>
    <row r="147">
      <c r="A147" s="481" t="n"/>
      <c r="B147" s="481" t="n"/>
      <c r="C147" s="481" t="n"/>
      <c r="D147" s="481" t="n"/>
      <c r="E147" s="481" t="n"/>
      <c r="F147" s="481" t="n"/>
      <c r="G147" s="481" t="n"/>
    </row>
    <row r="148">
      <c r="A148" s="481" t="n"/>
      <c r="B148" s="481" t="n"/>
      <c r="C148" s="481" t="n"/>
      <c r="D148" s="481" t="n"/>
      <c r="E148" s="481" t="n"/>
      <c r="F148" s="481" t="n"/>
      <c r="G148" s="481" t="n"/>
    </row>
    <row r="149">
      <c r="A149" s="481" t="n"/>
      <c r="B149" s="481" t="n"/>
      <c r="C149" s="481" t="n"/>
      <c r="D149" s="481" t="n"/>
      <c r="E149" s="481" t="n"/>
      <c r="F149" s="481" t="n"/>
      <c r="G149" s="481" t="n"/>
    </row>
    <row r="150">
      <c r="A150" s="481" t="n"/>
      <c r="B150" s="481" t="n"/>
      <c r="C150" s="481" t="n"/>
      <c r="D150" s="481" t="n"/>
      <c r="E150" s="481" t="n"/>
      <c r="F150" s="481" t="n"/>
      <c r="G150" s="481" t="n"/>
    </row>
    <row r="151">
      <c r="A151" s="481" t="n"/>
      <c r="B151" s="481" t="n"/>
      <c r="C151" s="481" t="n"/>
      <c r="D151" s="481" t="n"/>
      <c r="E151" s="481" t="n"/>
      <c r="F151" s="481" t="n"/>
      <c r="G151" s="481" t="n"/>
    </row>
    <row r="152">
      <c r="A152" s="481" t="n"/>
      <c r="B152" s="481" t="n"/>
      <c r="C152" s="481" t="n"/>
      <c r="D152" s="481" t="n"/>
      <c r="E152" s="481" t="n"/>
      <c r="F152" s="481" t="n"/>
      <c r="G152" s="481" t="n"/>
    </row>
    <row r="153">
      <c r="A153" s="481" t="n"/>
      <c r="B153" s="481" t="n"/>
      <c r="C153" s="481" t="n"/>
      <c r="D153" s="481" t="n"/>
      <c r="E153" s="481" t="n"/>
      <c r="F153" s="481" t="n"/>
      <c r="G153" s="481" t="n"/>
    </row>
    <row r="154">
      <c r="A154" s="481" t="n"/>
      <c r="B154" s="481" t="n"/>
      <c r="C154" s="481" t="n"/>
      <c r="D154" s="481" t="n"/>
      <c r="E154" s="481" t="n"/>
      <c r="F154" s="481" t="n"/>
      <c r="G154" s="481" t="n"/>
    </row>
    <row r="155">
      <c r="A155" s="481" t="n"/>
      <c r="B155" s="481" t="n"/>
      <c r="C155" s="481" t="n"/>
      <c r="D155" s="481" t="n"/>
      <c r="E155" s="481" t="n"/>
      <c r="F155" s="481" t="n"/>
      <c r="G155" s="481" t="n"/>
    </row>
    <row r="156">
      <c r="A156" s="481" t="n"/>
      <c r="B156" s="481" t="n"/>
      <c r="C156" s="481" t="n"/>
      <c r="D156" s="481" t="n"/>
      <c r="E156" s="481" t="n"/>
      <c r="F156" s="481" t="n"/>
      <c r="G156" s="481" t="n"/>
    </row>
    <row r="157">
      <c r="A157" s="481" t="n"/>
      <c r="B157" s="481" t="n"/>
      <c r="C157" s="481" t="n"/>
      <c r="D157" s="481" t="n"/>
      <c r="E157" s="481" t="n"/>
      <c r="F157" s="481" t="n"/>
      <c r="G157" s="481" t="n"/>
    </row>
    <row r="158">
      <c r="A158" s="481" t="n"/>
      <c r="B158" s="481" t="n"/>
      <c r="C158" s="481" t="n"/>
      <c r="D158" s="481" t="n"/>
      <c r="E158" s="481" t="n"/>
      <c r="F158" s="481" t="n"/>
      <c r="G158" s="481" t="n"/>
    </row>
    <row r="159">
      <c r="A159" s="481" t="n"/>
      <c r="B159" s="481" t="n"/>
      <c r="C159" s="481" t="n"/>
      <c r="D159" s="481" t="n"/>
      <c r="E159" s="481" t="n"/>
      <c r="F159" s="481" t="n"/>
      <c r="G159" s="481" t="n"/>
    </row>
    <row r="160">
      <c r="A160" s="481" t="n"/>
      <c r="B160" s="481" t="n"/>
      <c r="C160" s="481" t="n"/>
      <c r="D160" s="481" t="n"/>
      <c r="E160" s="481" t="n"/>
      <c r="F160" s="481" t="n"/>
      <c r="G160" s="481" t="n"/>
    </row>
    <row r="161">
      <c r="A161" s="481" t="n"/>
      <c r="B161" s="481" t="n"/>
      <c r="C161" s="481" t="n"/>
      <c r="D161" s="481" t="n"/>
      <c r="E161" s="481" t="n"/>
      <c r="F161" s="481" t="n"/>
      <c r="G161" s="481" t="n"/>
    </row>
    <row r="162">
      <c r="A162" s="481" t="n"/>
      <c r="B162" s="481" t="n"/>
      <c r="C162" s="481" t="n"/>
      <c r="D162" s="481" t="n"/>
      <c r="E162" s="481" t="n"/>
      <c r="F162" s="481" t="n"/>
      <c r="G162" s="481" t="n"/>
    </row>
    <row r="163">
      <c r="A163" s="481" t="n"/>
      <c r="B163" s="481" t="n"/>
      <c r="C163" s="481" t="n"/>
      <c r="D163" s="481" t="n"/>
      <c r="E163" s="481" t="n"/>
      <c r="F163" s="481" t="n"/>
      <c r="G163" s="481" t="n"/>
    </row>
    <row r="164">
      <c r="A164" s="481" t="n"/>
      <c r="B164" s="481" t="n"/>
      <c r="C164" s="481" t="n"/>
      <c r="D164" s="481" t="n"/>
      <c r="E164" s="481" t="n"/>
      <c r="F164" s="481" t="n"/>
      <c r="G164" s="481" t="n"/>
    </row>
    <row r="165">
      <c r="A165" s="481" t="n"/>
      <c r="B165" s="481" t="n"/>
      <c r="C165" s="481" t="n"/>
      <c r="D165" s="481" t="n"/>
      <c r="E165" s="481" t="n"/>
      <c r="F165" s="481" t="n"/>
      <c r="G165" s="481" t="n"/>
    </row>
    <row r="166">
      <c r="A166" s="481" t="n"/>
      <c r="B166" s="481" t="n"/>
      <c r="C166" s="481" t="n"/>
      <c r="D166" s="481" t="n"/>
      <c r="E166" s="481" t="n"/>
      <c r="F166" s="481" t="n"/>
      <c r="G166" s="481" t="n"/>
    </row>
    <row r="167">
      <c r="A167" s="481" t="n"/>
      <c r="B167" s="481" t="n"/>
      <c r="C167" s="481" t="n"/>
      <c r="D167" s="481" t="n"/>
      <c r="E167" s="481" t="n"/>
      <c r="F167" s="481" t="n"/>
      <c r="G167" s="481" t="n"/>
    </row>
    <row r="168">
      <c r="A168" s="481" t="n"/>
      <c r="B168" s="481" t="n"/>
      <c r="C168" s="481" t="n"/>
      <c r="D168" s="481" t="n"/>
      <c r="E168" s="481" t="n"/>
      <c r="F168" s="481" t="n"/>
      <c r="G168" s="481" t="n"/>
    </row>
    <row r="169">
      <c r="A169" s="481" t="n"/>
      <c r="B169" s="481" t="n"/>
      <c r="C169" s="481" t="n"/>
      <c r="D169" s="481" t="n"/>
      <c r="E169" s="481" t="n"/>
      <c r="F169" s="481" t="n"/>
      <c r="G169" s="481" t="n"/>
    </row>
    <row r="170">
      <c r="A170" s="481" t="n"/>
      <c r="B170" s="481" t="n"/>
      <c r="C170" s="481" t="n"/>
      <c r="D170" s="481" t="n"/>
      <c r="E170" s="481" t="n"/>
      <c r="F170" s="481" t="n"/>
      <c r="G170" s="481" t="n"/>
    </row>
    <row r="171">
      <c r="A171" s="481" t="n"/>
      <c r="B171" s="481" t="n"/>
      <c r="C171" s="481" t="n"/>
      <c r="D171" s="481" t="n"/>
      <c r="E171" s="481" t="n"/>
      <c r="F171" s="481" t="n"/>
      <c r="G171" s="481" t="n"/>
    </row>
    <row r="172">
      <c r="A172" s="481" t="n"/>
      <c r="B172" s="481" t="n"/>
      <c r="C172" s="481" t="n"/>
      <c r="D172" s="481" t="n"/>
      <c r="E172" s="481" t="n"/>
      <c r="F172" s="481" t="n"/>
      <c r="G172" s="481" t="n"/>
    </row>
    <row r="173">
      <c r="A173" s="481" t="n"/>
      <c r="B173" s="481" t="n"/>
      <c r="C173" s="481" t="n"/>
      <c r="D173" s="481" t="n"/>
      <c r="E173" s="481" t="n"/>
      <c r="F173" s="481" t="n"/>
      <c r="G173" s="481" t="n"/>
    </row>
    <row r="174">
      <c r="A174" s="481" t="n"/>
      <c r="B174" s="481" t="n"/>
      <c r="C174" s="481" t="n"/>
      <c r="D174" s="481" t="n"/>
      <c r="E174" s="481" t="n"/>
      <c r="F174" s="481" t="n"/>
      <c r="G174" s="481" t="n"/>
    </row>
    <row r="175">
      <c r="A175" s="481" t="n"/>
      <c r="B175" s="481" t="n"/>
      <c r="C175" s="481" t="n"/>
      <c r="D175" s="481" t="n"/>
      <c r="E175" s="481" t="n"/>
      <c r="F175" s="481" t="n"/>
      <c r="G175" s="481" t="n"/>
    </row>
    <row r="176">
      <c r="A176" s="481" t="n"/>
      <c r="B176" s="481" t="n"/>
      <c r="C176" s="481" t="n"/>
      <c r="D176" s="481" t="n"/>
      <c r="E176" s="481" t="n"/>
      <c r="F176" s="481" t="n"/>
      <c r="G176" s="481" t="n"/>
    </row>
    <row r="177">
      <c r="A177" s="481" t="n"/>
      <c r="B177" s="481" t="n"/>
      <c r="C177" s="481" t="n"/>
      <c r="D177" s="481" t="n"/>
      <c r="E177" s="481" t="n"/>
      <c r="F177" s="481" t="n"/>
      <c r="G177" s="481" t="n"/>
    </row>
    <row r="178">
      <c r="A178" s="481" t="n"/>
      <c r="B178" s="481" t="n"/>
      <c r="C178" s="481" t="n"/>
      <c r="D178" s="481" t="n"/>
      <c r="E178" s="481" t="n"/>
      <c r="F178" s="481" t="n"/>
      <c r="G178" s="481" t="n"/>
    </row>
    <row r="179">
      <c r="A179" s="481" t="n"/>
      <c r="B179" s="481" t="n"/>
      <c r="C179" s="481" t="n"/>
      <c r="D179" s="481" t="n"/>
      <c r="E179" s="481" t="n"/>
      <c r="F179" s="481" t="n"/>
      <c r="G179" s="481" t="n"/>
    </row>
    <row r="180">
      <c r="A180" s="481" t="n"/>
      <c r="B180" s="481" t="n"/>
      <c r="C180" s="481" t="n"/>
      <c r="D180" s="481" t="n"/>
      <c r="E180" s="481" t="n"/>
      <c r="F180" s="481" t="n"/>
      <c r="G180" s="481" t="n"/>
    </row>
    <row r="181">
      <c r="A181" s="481" t="n"/>
      <c r="B181" s="481" t="n"/>
      <c r="C181" s="481" t="n"/>
      <c r="D181" s="481" t="n"/>
      <c r="E181" s="481" t="n"/>
      <c r="F181" s="481" t="n"/>
      <c r="G181" s="481" t="n"/>
    </row>
    <row r="182">
      <c r="A182" s="481" t="n"/>
      <c r="B182" s="481" t="n"/>
      <c r="C182" s="481" t="n"/>
      <c r="D182" s="481" t="n"/>
      <c r="E182" s="481" t="n"/>
      <c r="F182" s="481" t="n"/>
      <c r="G182" s="481" t="n"/>
    </row>
    <row r="183">
      <c r="A183" s="481" t="n"/>
      <c r="B183" s="481" t="n"/>
      <c r="C183" s="481" t="n"/>
      <c r="D183" s="481" t="n"/>
      <c r="E183" s="481" t="n"/>
      <c r="F183" s="481" t="n"/>
      <c r="G183" s="481" t="n"/>
    </row>
    <row r="184">
      <c r="A184" s="481" t="n"/>
      <c r="B184" s="481" t="n"/>
      <c r="C184" s="481" t="n"/>
      <c r="D184" s="481" t="n"/>
      <c r="E184" s="481" t="n"/>
      <c r="F184" s="481" t="n"/>
      <c r="G184" s="481" t="n"/>
    </row>
    <row r="185">
      <c r="A185" s="481" t="n"/>
      <c r="B185" s="481" t="n"/>
      <c r="C185" s="481" t="n"/>
      <c r="D185" s="481" t="n"/>
      <c r="E185" s="481" t="n"/>
      <c r="F185" s="481" t="n"/>
      <c r="G185" s="481" t="n"/>
    </row>
    <row r="186">
      <c r="A186" s="481" t="n"/>
      <c r="B186" s="481" t="n"/>
      <c r="C186" s="481" t="n"/>
      <c r="D186" s="481" t="n"/>
      <c r="E186" s="481" t="n"/>
      <c r="F186" s="481" t="n"/>
      <c r="G186" s="481" t="n"/>
    </row>
    <row r="187">
      <c r="A187" s="481" t="n"/>
      <c r="B187" s="481" t="n"/>
      <c r="C187" s="481" t="n"/>
      <c r="D187" s="481" t="n"/>
      <c r="E187" s="481" t="n"/>
      <c r="F187" s="481" t="n"/>
      <c r="G187" s="481" t="n"/>
    </row>
    <row r="188">
      <c r="A188" s="481" t="n"/>
      <c r="B188" s="481" t="n"/>
      <c r="C188" s="481" t="n"/>
      <c r="D188" s="481" t="n"/>
      <c r="E188" s="481" t="n"/>
      <c r="F188" s="481" t="n"/>
      <c r="G188" s="481" t="n"/>
    </row>
    <row r="189">
      <c r="A189" s="481" t="n"/>
      <c r="B189" s="481" t="n"/>
      <c r="C189" s="481" t="n"/>
      <c r="D189" s="481" t="n"/>
      <c r="E189" s="481" t="n"/>
      <c r="F189" s="481" t="n"/>
      <c r="G189" s="481" t="n"/>
    </row>
    <row r="190">
      <c r="A190" s="481" t="n"/>
      <c r="B190" s="481" t="n"/>
      <c r="C190" s="481" t="n"/>
      <c r="D190" s="481" t="n"/>
      <c r="E190" s="481" t="n"/>
      <c r="F190" s="481" t="n"/>
      <c r="G190" s="481" t="n"/>
    </row>
    <row r="191">
      <c r="A191" s="481" t="n"/>
      <c r="B191" s="481" t="n"/>
      <c r="C191" s="481" t="n"/>
      <c r="D191" s="481" t="n"/>
      <c r="E191" s="481" t="n"/>
      <c r="F191" s="481" t="n"/>
      <c r="G191" s="481" t="n"/>
    </row>
    <row r="192">
      <c r="A192" s="481" t="n"/>
      <c r="B192" s="481" t="n"/>
      <c r="C192" s="481" t="n"/>
      <c r="D192" s="481" t="n"/>
      <c r="E192" s="481" t="n"/>
      <c r="F192" s="481" t="n"/>
      <c r="G192" s="481" t="n"/>
    </row>
    <row r="193">
      <c r="A193" s="481" t="n"/>
      <c r="B193" s="481" t="n"/>
      <c r="C193" s="481" t="n"/>
      <c r="D193" s="481" t="n"/>
      <c r="E193" s="481" t="n"/>
      <c r="F193" s="481" t="n"/>
      <c r="G193" s="481" t="n"/>
    </row>
    <row r="194">
      <c r="A194" s="481" t="n"/>
      <c r="B194" s="481" t="n"/>
      <c r="C194" s="481" t="n"/>
      <c r="D194" s="481" t="n"/>
      <c r="E194" s="481" t="n"/>
      <c r="F194" s="481" t="n"/>
      <c r="G194" s="481" t="n"/>
    </row>
    <row r="195">
      <c r="A195" s="481" t="n"/>
      <c r="B195" s="481" t="n"/>
      <c r="C195" s="481" t="n"/>
      <c r="D195" s="481" t="n"/>
      <c r="E195" s="481" t="n"/>
      <c r="F195" s="481" t="n"/>
      <c r="G195" s="481" t="n"/>
    </row>
    <row r="196">
      <c r="A196" s="481" t="n"/>
      <c r="B196" s="481" t="n"/>
      <c r="C196" s="481" t="n"/>
      <c r="D196" s="481" t="n"/>
      <c r="E196" s="481" t="n"/>
      <c r="F196" s="481" t="n"/>
      <c r="G196" s="481" t="n"/>
    </row>
    <row r="197">
      <c r="A197" s="481" t="n"/>
      <c r="B197" s="481" t="n"/>
      <c r="C197" s="481" t="n"/>
      <c r="D197" s="481" t="n"/>
      <c r="E197" s="481" t="n"/>
      <c r="F197" s="481" t="n"/>
      <c r="G197" s="481" t="n"/>
    </row>
    <row r="198">
      <c r="A198" s="481" t="n"/>
      <c r="B198" s="481" t="n"/>
      <c r="C198" s="481" t="n"/>
      <c r="D198" s="481" t="n"/>
      <c r="E198" s="481" t="n"/>
      <c r="F198" s="481" t="n"/>
      <c r="G198" s="481" t="n"/>
    </row>
    <row r="199">
      <c r="A199" s="481" t="n"/>
      <c r="B199" s="481" t="n"/>
      <c r="C199" s="481" t="n"/>
      <c r="D199" s="481" t="n"/>
      <c r="E199" s="481" t="n"/>
      <c r="F199" s="481" t="n"/>
      <c r="G199" s="481" t="n"/>
    </row>
    <row r="200">
      <c r="A200" s="481" t="n"/>
      <c r="B200" s="481" t="n"/>
      <c r="C200" s="481" t="n"/>
      <c r="D200" s="481" t="n"/>
      <c r="E200" s="481" t="n"/>
      <c r="F200" s="481" t="n"/>
      <c r="G200" s="481" t="n"/>
    </row>
    <row r="201">
      <c r="A201" s="481" t="n"/>
      <c r="B201" s="481" t="n"/>
      <c r="C201" s="481" t="n"/>
      <c r="D201" s="481" t="n"/>
      <c r="E201" s="481" t="n"/>
      <c r="F201" s="481" t="n"/>
      <c r="G201" s="481" t="n"/>
    </row>
    <row r="202">
      <c r="A202" s="481" t="n"/>
      <c r="B202" s="481" t="n"/>
      <c r="C202" s="481" t="n"/>
      <c r="D202" s="481" t="n"/>
      <c r="E202" s="481" t="n"/>
      <c r="F202" s="481" t="n"/>
      <c r="G202" s="481" t="n"/>
    </row>
    <row r="203">
      <c r="A203" s="481" t="n"/>
      <c r="B203" s="481" t="n"/>
      <c r="C203" s="481" t="n"/>
      <c r="D203" s="481" t="n"/>
      <c r="E203" s="481" t="n"/>
      <c r="F203" s="481" t="n"/>
      <c r="G203" s="481" t="n"/>
    </row>
    <row r="204">
      <c r="A204" s="481" t="n"/>
      <c r="B204" s="481" t="n"/>
      <c r="C204" s="481" t="n"/>
      <c r="D204" s="481" t="n"/>
      <c r="E204" s="481" t="n"/>
      <c r="F204" s="481" t="n"/>
      <c r="G204" s="481" t="n"/>
    </row>
    <row r="205">
      <c r="A205" s="481" t="n"/>
      <c r="B205" s="481" t="n"/>
      <c r="C205" s="481" t="n"/>
      <c r="D205" s="481" t="n"/>
      <c r="E205" s="481" t="n"/>
      <c r="F205" s="481" t="n"/>
      <c r="G205" s="481" t="n"/>
    </row>
    <row r="206">
      <c r="A206" s="481" t="n"/>
      <c r="B206" s="481" t="n"/>
      <c r="C206" s="481" t="n"/>
      <c r="D206" s="481" t="n"/>
      <c r="E206" s="481" t="n"/>
      <c r="F206" s="481" t="n"/>
      <c r="G206" s="481" t="n"/>
    </row>
    <row r="207">
      <c r="A207" s="481" t="n"/>
      <c r="B207" s="481" t="n"/>
      <c r="C207" s="481" t="n"/>
      <c r="D207" s="481" t="n"/>
      <c r="E207" s="481" t="n"/>
      <c r="F207" s="481" t="n"/>
      <c r="G207" s="481" t="n"/>
    </row>
    <row r="208">
      <c r="A208" s="481" t="n"/>
      <c r="B208" s="481" t="n"/>
      <c r="C208" s="481" t="n"/>
      <c r="D208" s="481" t="n"/>
      <c r="E208" s="481" t="n"/>
      <c r="F208" s="481" t="n"/>
      <c r="G208" s="481" t="n"/>
    </row>
    <row r="209">
      <c r="A209" s="481" t="n"/>
      <c r="B209" s="481" t="n"/>
      <c r="C209" s="481" t="n"/>
      <c r="D209" s="481" t="n"/>
      <c r="E209" s="481" t="n"/>
      <c r="F209" s="481" t="n"/>
      <c r="G209" s="481" t="n"/>
    </row>
    <row r="210">
      <c r="A210" s="481" t="n"/>
      <c r="B210" s="481" t="n"/>
      <c r="C210" s="481" t="n"/>
      <c r="D210" s="481" t="n"/>
      <c r="E210" s="481" t="n"/>
      <c r="F210" s="481" t="n"/>
      <c r="G210" s="481" t="n"/>
    </row>
    <row r="211">
      <c r="A211" s="481" t="n"/>
      <c r="B211" s="481" t="n"/>
      <c r="C211" s="481" t="n"/>
      <c r="D211" s="481" t="n"/>
      <c r="E211" s="481" t="n"/>
      <c r="F211" s="481" t="n"/>
      <c r="G211" s="481" t="n"/>
    </row>
    <row r="212">
      <c r="A212" s="481" t="n"/>
      <c r="B212" s="481" t="n"/>
      <c r="C212" s="481" t="n"/>
      <c r="D212" s="481" t="n"/>
      <c r="E212" s="481" t="n"/>
      <c r="F212" s="481" t="n"/>
      <c r="G212" s="481" t="n"/>
    </row>
    <row r="213">
      <c r="A213" s="481" t="n"/>
      <c r="B213" s="481" t="n"/>
      <c r="C213" s="481" t="n"/>
      <c r="D213" s="481" t="n"/>
      <c r="E213" s="481" t="n"/>
      <c r="F213" s="481" t="n"/>
      <c r="G213" s="481" t="n"/>
    </row>
    <row r="214">
      <c r="A214" s="481" t="n"/>
      <c r="B214" s="481" t="n"/>
      <c r="C214" s="481" t="n"/>
      <c r="D214" s="481" t="n"/>
      <c r="E214" s="481" t="n"/>
      <c r="F214" s="481" t="n"/>
      <c r="G214" s="481" t="n"/>
    </row>
    <row r="215">
      <c r="A215" s="481" t="n"/>
      <c r="B215" s="481" t="n"/>
      <c r="C215" s="481" t="n"/>
      <c r="D215" s="481" t="n"/>
      <c r="E215" s="481" t="n"/>
      <c r="F215" s="481" t="n"/>
      <c r="G215" s="481" t="n"/>
    </row>
    <row r="216">
      <c r="A216" s="481" t="n"/>
      <c r="B216" s="481" t="n"/>
      <c r="C216" s="481" t="n"/>
      <c r="D216" s="481" t="n"/>
      <c r="E216" s="481" t="n"/>
      <c r="F216" s="481" t="n"/>
      <c r="G216" s="481" t="n"/>
    </row>
    <row r="217">
      <c r="A217" s="481" t="n"/>
      <c r="B217" s="481" t="n"/>
      <c r="C217" s="481" t="n"/>
      <c r="D217" s="481" t="n"/>
      <c r="E217" s="481" t="n"/>
      <c r="F217" s="481" t="n"/>
      <c r="G217" s="481" t="n"/>
    </row>
    <row r="218">
      <c r="A218" s="481" t="n"/>
      <c r="B218" s="481" t="n"/>
      <c r="C218" s="481" t="n"/>
      <c r="D218" s="481" t="n"/>
      <c r="E218" s="481" t="n"/>
      <c r="F218" s="481" t="n"/>
      <c r="G218" s="481" t="n"/>
    </row>
    <row r="219">
      <c r="A219" s="481" t="n"/>
      <c r="B219" s="481" t="n"/>
      <c r="C219" s="481" t="n"/>
      <c r="D219" s="481" t="n"/>
      <c r="E219" s="481" t="n"/>
      <c r="F219" s="481" t="n"/>
      <c r="G219" s="481" t="n"/>
    </row>
    <row r="220">
      <c r="A220" s="481" t="n"/>
      <c r="B220" s="481" t="n"/>
      <c r="C220" s="481" t="n"/>
      <c r="D220" s="481" t="n"/>
      <c r="E220" s="481" t="n"/>
      <c r="F220" s="481" t="n"/>
      <c r="G220" s="481" t="n"/>
    </row>
    <row r="221">
      <c r="A221" s="481" t="n"/>
      <c r="B221" s="481" t="n"/>
      <c r="C221" s="481" t="n"/>
      <c r="D221" s="481" t="n"/>
      <c r="E221" s="481" t="n"/>
      <c r="F221" s="481" t="n"/>
      <c r="G221" s="481" t="n"/>
    </row>
    <row r="222">
      <c r="A222" s="481" t="n"/>
      <c r="B222" s="481" t="n"/>
      <c r="C222" s="481" t="n"/>
      <c r="D222" s="481" t="n"/>
      <c r="E222" s="481" t="n"/>
      <c r="F222" s="481" t="n"/>
      <c r="G222" s="481" t="n"/>
    </row>
    <row r="223">
      <c r="A223" s="481" t="n"/>
      <c r="B223" s="481" t="n"/>
      <c r="C223" s="481" t="n"/>
      <c r="D223" s="481" t="n"/>
      <c r="E223" s="481" t="n"/>
      <c r="F223" s="481" t="n"/>
      <c r="G223" s="481" t="n"/>
    </row>
    <row r="224">
      <c r="A224" s="481" t="n"/>
      <c r="B224" s="481" t="n"/>
      <c r="C224" s="481" t="n"/>
      <c r="D224" s="481" t="n"/>
      <c r="E224" s="481" t="n"/>
      <c r="F224" s="481" t="n"/>
      <c r="G224" s="481" t="n"/>
    </row>
    <row r="225">
      <c r="A225" s="481" t="n"/>
      <c r="B225" s="481" t="n"/>
      <c r="C225" s="481" t="n"/>
      <c r="D225" s="481" t="n"/>
      <c r="E225" s="481" t="n"/>
      <c r="F225" s="481" t="n"/>
      <c r="G225" s="481" t="n"/>
    </row>
    <row r="226">
      <c r="A226" s="481" t="n"/>
      <c r="B226" s="481" t="n"/>
      <c r="C226" s="481" t="n"/>
      <c r="D226" s="481" t="n"/>
      <c r="E226" s="481" t="n"/>
      <c r="F226" s="481" t="n"/>
      <c r="G226" s="481" t="n"/>
    </row>
    <row r="227">
      <c r="A227" s="481" t="n"/>
      <c r="B227" s="481" t="n"/>
      <c r="C227" s="481" t="n"/>
      <c r="D227" s="481" t="n"/>
      <c r="E227" s="481" t="n"/>
      <c r="F227" s="481" t="n"/>
      <c r="G227" s="481" t="n"/>
    </row>
    <row r="228">
      <c r="A228" s="481" t="n"/>
      <c r="B228" s="481" t="n"/>
      <c r="C228" s="481" t="n"/>
      <c r="D228" s="481" t="n"/>
      <c r="E228" s="481" t="n"/>
      <c r="F228" s="481" t="n"/>
      <c r="G228" s="481" t="n"/>
    </row>
    <row r="229">
      <c r="A229" s="481" t="n"/>
      <c r="B229" s="481" t="n"/>
      <c r="C229" s="481" t="n"/>
      <c r="D229" s="481" t="n"/>
      <c r="E229" s="481" t="n"/>
      <c r="F229" s="481" t="n"/>
      <c r="G229" s="481" t="n"/>
    </row>
    <row r="230">
      <c r="A230" s="481" t="n"/>
      <c r="B230" s="481" t="n"/>
      <c r="C230" s="481" t="n"/>
      <c r="D230" s="481" t="n"/>
      <c r="E230" s="481" t="n"/>
      <c r="F230" s="481" t="n"/>
      <c r="G230" s="481" t="n"/>
    </row>
    <row r="231">
      <c r="A231" s="481" t="n"/>
      <c r="B231" s="481" t="n"/>
      <c r="C231" s="481" t="n"/>
      <c r="D231" s="481" t="n"/>
      <c r="E231" s="481" t="n"/>
      <c r="F231" s="481" t="n"/>
      <c r="G231" s="481" t="n"/>
    </row>
    <row r="232">
      <c r="A232" s="481" t="n"/>
      <c r="B232" s="481" t="n"/>
      <c r="C232" s="481" t="n"/>
      <c r="D232" s="481" t="n"/>
      <c r="E232" s="481" t="n"/>
      <c r="F232" s="481" t="n"/>
      <c r="G232" s="481" t="n"/>
    </row>
    <row r="233">
      <c r="A233" s="481" t="n"/>
      <c r="B233" s="481" t="n"/>
      <c r="C233" s="481" t="n"/>
      <c r="D233" s="481" t="n"/>
      <c r="E233" s="481" t="n"/>
      <c r="F233" s="481" t="n"/>
      <c r="G233" s="481" t="n"/>
    </row>
    <row r="234">
      <c r="A234" s="481" t="n"/>
      <c r="B234" s="481" t="n"/>
      <c r="C234" s="481" t="n"/>
      <c r="D234" s="481" t="n"/>
      <c r="E234" s="481" t="n"/>
      <c r="F234" s="481" t="n"/>
      <c r="G234" s="481" t="n"/>
    </row>
    <row r="235">
      <c r="A235" s="481" t="n"/>
      <c r="B235" s="481" t="n"/>
      <c r="C235" s="481" t="n"/>
      <c r="D235" s="481" t="n"/>
      <c r="E235" s="481" t="n"/>
      <c r="F235" s="481" t="n"/>
      <c r="G235" s="481" t="n"/>
    </row>
    <row r="236">
      <c r="A236" s="481" t="n"/>
      <c r="B236" s="481" t="n"/>
      <c r="C236" s="481" t="n"/>
      <c r="D236" s="481" t="n"/>
      <c r="E236" s="481" t="n"/>
      <c r="F236" s="481" t="n"/>
      <c r="G236" s="481" t="n"/>
    </row>
    <row r="237">
      <c r="A237" s="481" t="n"/>
      <c r="B237" s="481" t="n"/>
      <c r="C237" s="481" t="n"/>
      <c r="D237" s="481" t="n"/>
      <c r="E237" s="481" t="n"/>
      <c r="F237" s="481" t="n"/>
      <c r="G237" s="481" t="n"/>
    </row>
    <row r="238">
      <c r="A238" s="481" t="n"/>
      <c r="B238" s="481" t="n"/>
      <c r="C238" s="481" t="n"/>
      <c r="D238" s="481" t="n"/>
      <c r="E238" s="481" t="n"/>
      <c r="F238" s="481" t="n"/>
      <c r="G238" s="481" t="n"/>
    </row>
    <row r="239">
      <c r="A239" s="481" t="n"/>
      <c r="B239" s="481" t="n"/>
      <c r="C239" s="481" t="n"/>
      <c r="D239" s="481" t="n"/>
      <c r="E239" s="481" t="n"/>
      <c r="F239" s="481" t="n"/>
      <c r="G239" s="481" t="n"/>
    </row>
    <row r="240">
      <c r="A240" s="481" t="n"/>
      <c r="B240" s="481" t="n"/>
      <c r="C240" s="481" t="n"/>
      <c r="D240" s="481" t="n"/>
      <c r="E240" s="481" t="n"/>
      <c r="F240" s="481" t="n"/>
      <c r="G240" s="481" t="n"/>
    </row>
    <row r="241">
      <c r="A241" s="481" t="n"/>
      <c r="B241" s="481" t="n"/>
      <c r="C241" s="481" t="n"/>
      <c r="D241" s="481" t="n"/>
      <c r="E241" s="481" t="n"/>
      <c r="F241" s="481" t="n"/>
      <c r="G241" s="481" t="n"/>
    </row>
    <row r="242">
      <c r="A242" s="481" t="n"/>
      <c r="B242" s="481" t="n"/>
      <c r="C242" s="481" t="n"/>
      <c r="D242" s="481" t="n"/>
      <c r="E242" s="481" t="n"/>
      <c r="F242" s="481" t="n"/>
      <c r="G242" s="481" t="n"/>
    </row>
    <row r="243">
      <c r="A243" s="481" t="n"/>
      <c r="B243" s="481" t="n"/>
      <c r="C243" s="481" t="n"/>
      <c r="D243" s="481" t="n"/>
      <c r="E243" s="481" t="n"/>
      <c r="F243" s="481" t="n"/>
      <c r="G243" s="481" t="n"/>
    </row>
    <row r="244">
      <c r="A244" s="481" t="n"/>
      <c r="B244" s="481" t="n"/>
      <c r="C244" s="481" t="n"/>
      <c r="D244" s="481" t="n"/>
      <c r="E244" s="481" t="n"/>
      <c r="F244" s="481" t="n"/>
      <c r="G244" s="481" t="n"/>
    </row>
    <row r="245">
      <c r="A245" s="481" t="n"/>
      <c r="B245" s="481" t="n"/>
      <c r="C245" s="481" t="n"/>
      <c r="D245" s="481" t="n"/>
      <c r="E245" s="481" t="n"/>
      <c r="F245" s="481" t="n"/>
      <c r="G245" s="481" t="n"/>
    </row>
    <row r="246">
      <c r="A246" s="481" t="n"/>
      <c r="B246" s="481" t="n"/>
      <c r="C246" s="481" t="n"/>
      <c r="D246" s="481" t="n"/>
      <c r="E246" s="481" t="n"/>
      <c r="F246" s="481" t="n"/>
      <c r="G246" s="481" t="n"/>
    </row>
    <row r="247">
      <c r="A247" s="481" t="n"/>
      <c r="B247" s="481" t="n"/>
      <c r="C247" s="481" t="n"/>
      <c r="D247" s="481" t="n"/>
      <c r="E247" s="481" t="n"/>
      <c r="F247" s="481" t="n"/>
      <c r="G247" s="481" t="n"/>
    </row>
    <row r="248">
      <c r="A248" s="481" t="n"/>
      <c r="B248" s="481" t="n"/>
      <c r="C248" s="481" t="n"/>
      <c r="D248" s="481" t="n"/>
      <c r="E248" s="481" t="n"/>
      <c r="F248" s="481" t="n"/>
      <c r="G248" s="481" t="n"/>
    </row>
    <row r="249">
      <c r="A249" s="481" t="n"/>
      <c r="B249" s="481" t="n"/>
      <c r="C249" s="481" t="n"/>
      <c r="D249" s="481" t="n"/>
      <c r="E249" s="481" t="n"/>
      <c r="F249" s="481" t="n"/>
      <c r="G249" s="481" t="n"/>
    </row>
    <row r="250">
      <c r="A250" s="481" t="n"/>
      <c r="B250" s="481" t="n"/>
      <c r="C250" s="481" t="n"/>
      <c r="D250" s="481" t="n"/>
      <c r="E250" s="481" t="n"/>
      <c r="F250" s="481" t="n"/>
      <c r="G250" s="481" t="n"/>
    </row>
    <row r="251">
      <c r="A251" s="481" t="n"/>
      <c r="B251" s="481" t="n"/>
      <c r="C251" s="481" t="n"/>
      <c r="D251" s="481" t="n"/>
      <c r="E251" s="481" t="n"/>
      <c r="F251" s="481" t="n"/>
      <c r="G251" s="481" t="n"/>
    </row>
    <row r="252">
      <c r="A252" s="481" t="n"/>
      <c r="B252" s="481" t="n"/>
      <c r="C252" s="481" t="n"/>
      <c r="D252" s="481" t="n"/>
      <c r="E252" s="481" t="n"/>
      <c r="F252" s="481" t="n"/>
      <c r="G252" s="481" t="n"/>
    </row>
    <row r="253">
      <c r="A253" s="481" t="n"/>
      <c r="B253" s="481" t="n"/>
      <c r="C253" s="481" t="n"/>
      <c r="D253" s="481" t="n"/>
      <c r="E253" s="481" t="n"/>
      <c r="F253" s="481" t="n"/>
      <c r="G253" s="481" t="n"/>
    </row>
    <row r="254">
      <c r="A254" s="481" t="n"/>
      <c r="B254" s="481" t="n"/>
      <c r="C254" s="481" t="n"/>
      <c r="D254" s="481" t="n"/>
      <c r="E254" s="481" t="n"/>
      <c r="F254" s="481" t="n"/>
      <c r="G254" s="481" t="n"/>
    </row>
    <row r="255">
      <c r="A255" s="481" t="n"/>
      <c r="B255" s="481" t="n"/>
      <c r="C255" s="481" t="n"/>
      <c r="D255" s="481" t="n"/>
      <c r="E255" s="481" t="n"/>
      <c r="F255" s="481" t="n"/>
      <c r="G255" s="481" t="n"/>
    </row>
    <row r="256">
      <c r="A256" s="481" t="n"/>
      <c r="B256" s="481" t="n"/>
      <c r="C256" s="481" t="n"/>
      <c r="D256" s="481" t="n"/>
      <c r="E256" s="481" t="n"/>
      <c r="F256" s="481" t="n"/>
      <c r="G256" s="481" t="n"/>
    </row>
    <row r="257">
      <c r="A257" s="481" t="n"/>
      <c r="B257" s="481" t="n"/>
      <c r="C257" s="481" t="n"/>
      <c r="D257" s="481" t="n"/>
      <c r="E257" s="481" t="n"/>
      <c r="F257" s="481" t="n"/>
      <c r="G257" s="481" t="n"/>
    </row>
    <row r="258">
      <c r="A258" s="481" t="n"/>
      <c r="B258" s="481" t="n"/>
      <c r="C258" s="481" t="n"/>
      <c r="D258" s="481" t="n"/>
      <c r="E258" s="481" t="n"/>
      <c r="F258" s="481" t="n"/>
      <c r="G258" s="481" t="n"/>
    </row>
    <row r="259">
      <c r="A259" s="481" t="n"/>
      <c r="B259" s="481" t="n"/>
      <c r="C259" s="481" t="n"/>
      <c r="D259" s="481" t="n"/>
      <c r="E259" s="481" t="n"/>
      <c r="F259" s="481" t="n"/>
      <c r="G259" s="481" t="n"/>
    </row>
    <row r="260">
      <c r="A260" s="481" t="n"/>
      <c r="B260" s="481" t="n"/>
      <c r="C260" s="481" t="n"/>
      <c r="D260" s="481" t="n"/>
      <c r="E260" s="481" t="n"/>
      <c r="F260" s="481" t="n"/>
      <c r="G260" s="481" t="n"/>
    </row>
    <row r="261">
      <c r="A261" s="481" t="n"/>
      <c r="B261" s="481" t="n"/>
      <c r="C261" s="481" t="n"/>
      <c r="D261" s="481" t="n"/>
      <c r="E261" s="481" t="n"/>
      <c r="F261" s="481" t="n"/>
      <c r="G261" s="481" t="n"/>
    </row>
    <row r="262">
      <c r="A262" s="481" t="n"/>
      <c r="B262" s="481" t="n"/>
      <c r="C262" s="481" t="n"/>
      <c r="D262" s="481" t="n"/>
      <c r="E262" s="481" t="n"/>
      <c r="F262" s="481" t="n"/>
      <c r="G262" s="481" t="n"/>
    </row>
    <row r="263">
      <c r="A263" s="481" t="n"/>
      <c r="B263" s="481" t="n"/>
      <c r="C263" s="481" t="n"/>
      <c r="D263" s="481" t="n"/>
      <c r="E263" s="481" t="n"/>
      <c r="F263" s="481" t="n"/>
      <c r="G263" s="481" t="n"/>
    </row>
    <row r="264">
      <c r="A264" s="481" t="n"/>
      <c r="B264" s="481" t="n"/>
      <c r="C264" s="481" t="n"/>
      <c r="D264" s="481" t="n"/>
      <c r="E264" s="481" t="n"/>
      <c r="F264" s="481" t="n"/>
      <c r="G264" s="481" t="n"/>
    </row>
    <row r="265">
      <c r="A265" s="481" t="n"/>
      <c r="B265" s="481" t="n"/>
      <c r="C265" s="481" t="n"/>
      <c r="D265" s="481" t="n"/>
      <c r="E265" s="481" t="n"/>
      <c r="F265" s="481" t="n"/>
      <c r="G265" s="481" t="n"/>
    </row>
    <row r="266">
      <c r="A266" s="481" t="n"/>
      <c r="B266" s="481" t="n"/>
      <c r="C266" s="481" t="n"/>
      <c r="D266" s="481" t="n"/>
      <c r="E266" s="481" t="n"/>
      <c r="F266" s="481" t="n"/>
      <c r="G266" s="481" t="n"/>
    </row>
    <row r="267">
      <c r="A267" s="481" t="n"/>
      <c r="B267" s="481" t="n"/>
      <c r="C267" s="481" t="n"/>
      <c r="D267" s="481" t="n"/>
      <c r="E267" s="481" t="n"/>
      <c r="F267" s="481" t="n"/>
      <c r="G267" s="481" t="n"/>
    </row>
    <row r="268">
      <c r="A268" s="481" t="n"/>
      <c r="B268" s="481" t="n"/>
      <c r="C268" s="481" t="n"/>
      <c r="D268" s="481" t="n"/>
      <c r="E268" s="481" t="n"/>
      <c r="F268" s="481" t="n"/>
      <c r="G268" s="481" t="n"/>
    </row>
    <row r="269">
      <c r="A269" s="481" t="n"/>
      <c r="B269" s="481" t="n"/>
      <c r="C269" s="481" t="n"/>
      <c r="D269" s="481" t="n"/>
      <c r="E269" s="481" t="n"/>
      <c r="F269" s="481" t="n"/>
      <c r="G269" s="481" t="n"/>
    </row>
    <row r="270">
      <c r="A270" s="481" t="n"/>
      <c r="B270" s="481" t="n"/>
      <c r="C270" s="481" t="n"/>
      <c r="D270" s="481" t="n"/>
      <c r="E270" s="481" t="n"/>
      <c r="F270" s="481" t="n"/>
      <c r="G270" s="481" t="n"/>
    </row>
    <row r="271">
      <c r="A271" s="481" t="n"/>
      <c r="B271" s="481" t="n"/>
      <c r="C271" s="481" t="n"/>
      <c r="D271" s="481" t="n"/>
      <c r="E271" s="481" t="n"/>
      <c r="F271" s="481" t="n"/>
      <c r="G271" s="481" t="n"/>
    </row>
    <row r="272">
      <c r="A272" s="481" t="n"/>
      <c r="B272" s="481" t="n"/>
      <c r="C272" s="481" t="n"/>
      <c r="D272" s="481" t="n"/>
      <c r="E272" s="481" t="n"/>
      <c r="F272" s="481" t="n"/>
      <c r="G272" s="481" t="n"/>
    </row>
    <row r="273">
      <c r="A273" s="481" t="n"/>
      <c r="B273" s="481" t="n"/>
      <c r="C273" s="481" t="n"/>
      <c r="D273" s="481" t="n"/>
      <c r="E273" s="481" t="n"/>
      <c r="F273" s="481" t="n"/>
      <c r="G273" s="481" t="n"/>
    </row>
    <row r="274">
      <c r="A274" s="481" t="n"/>
      <c r="B274" s="481" t="n"/>
      <c r="C274" s="481" t="n"/>
      <c r="D274" s="481" t="n"/>
      <c r="E274" s="481" t="n"/>
      <c r="F274" s="481" t="n"/>
      <c r="G274" s="481" t="n"/>
    </row>
    <row r="275">
      <c r="A275" s="481" t="n"/>
      <c r="B275" s="481" t="n"/>
      <c r="C275" s="481" t="n"/>
      <c r="D275" s="481" t="n"/>
      <c r="E275" s="481" t="n"/>
      <c r="F275" s="481" t="n"/>
      <c r="G275" s="481" t="n"/>
    </row>
    <row r="276">
      <c r="A276" s="481" t="n"/>
      <c r="B276" s="481" t="n"/>
      <c r="C276" s="481" t="n"/>
      <c r="D276" s="481" t="n"/>
      <c r="E276" s="481" t="n"/>
      <c r="F276" s="481" t="n"/>
      <c r="G276" s="481" t="n"/>
    </row>
    <row r="277">
      <c r="A277" s="481" t="n"/>
      <c r="B277" s="481" t="n"/>
      <c r="C277" s="481" t="n"/>
      <c r="D277" s="481" t="n"/>
      <c r="E277" s="481" t="n"/>
      <c r="F277" s="481" t="n"/>
      <c r="G277" s="481" t="n"/>
    </row>
    <row r="278">
      <c r="A278" s="481" t="n"/>
      <c r="B278" s="481" t="n"/>
      <c r="C278" s="481" t="n"/>
      <c r="D278" s="481" t="n"/>
      <c r="E278" s="481" t="n"/>
      <c r="F278" s="481" t="n"/>
      <c r="G278" s="481" t="n"/>
    </row>
    <row r="279">
      <c r="A279" s="481" t="n"/>
      <c r="B279" s="481" t="n"/>
      <c r="C279" s="481" t="n"/>
      <c r="D279" s="481" t="n"/>
      <c r="E279" s="481" t="n"/>
      <c r="F279" s="481" t="n"/>
      <c r="G279" s="481" t="n"/>
    </row>
    <row r="280">
      <c r="A280" s="481" t="n"/>
      <c r="B280" s="481" t="n"/>
      <c r="C280" s="481" t="n"/>
      <c r="D280" s="481" t="n"/>
      <c r="E280" s="481" t="n"/>
      <c r="F280" s="481" t="n"/>
      <c r="G280" s="481" t="n"/>
    </row>
    <row r="281">
      <c r="A281" s="481" t="n"/>
      <c r="B281" s="481" t="n"/>
      <c r="C281" s="481" t="n"/>
      <c r="D281" s="481" t="n"/>
      <c r="E281" s="481" t="n"/>
      <c r="F281" s="481" t="n"/>
      <c r="G281" s="481" t="n"/>
    </row>
    <row r="282">
      <c r="A282" s="481" t="n"/>
      <c r="B282" s="481" t="n"/>
      <c r="C282" s="481" t="n"/>
      <c r="D282" s="481" t="n"/>
      <c r="E282" s="481" t="n"/>
      <c r="F282" s="481" t="n"/>
      <c r="G282" s="481" t="n"/>
    </row>
    <row r="283">
      <c r="A283" s="481" t="n"/>
      <c r="B283" s="481" t="n"/>
      <c r="C283" s="481" t="n"/>
      <c r="D283" s="481" t="n"/>
      <c r="E283" s="481" t="n"/>
      <c r="F283" s="481" t="n"/>
      <c r="G283" s="481" t="n"/>
    </row>
    <row r="284">
      <c r="A284" s="481" t="n"/>
      <c r="B284" s="481" t="n"/>
      <c r="C284" s="481" t="n"/>
      <c r="D284" s="481" t="n"/>
      <c r="E284" s="481" t="n"/>
      <c r="F284" s="481" t="n"/>
      <c r="G284" s="481" t="n"/>
    </row>
    <row r="285">
      <c r="A285" s="481" t="n"/>
      <c r="B285" s="481" t="n"/>
      <c r="C285" s="481" t="n"/>
      <c r="D285" s="481" t="n"/>
      <c r="E285" s="481" t="n"/>
      <c r="F285" s="481" t="n"/>
      <c r="G285" s="481" t="n"/>
    </row>
    <row r="286">
      <c r="A286" s="481" t="n"/>
      <c r="B286" s="481" t="n"/>
      <c r="C286" s="481" t="n"/>
      <c r="D286" s="481" t="n"/>
      <c r="E286" s="481" t="n"/>
      <c r="F286" s="481" t="n"/>
      <c r="G286" s="481" t="n"/>
    </row>
    <row r="287">
      <c r="A287" s="481" t="n"/>
      <c r="B287" s="481" t="n"/>
      <c r="C287" s="481" t="n"/>
      <c r="D287" s="481" t="n"/>
      <c r="E287" s="481" t="n"/>
      <c r="F287" s="481" t="n"/>
      <c r="G287" s="481" t="n"/>
    </row>
    <row r="288">
      <c r="A288" s="481" t="n"/>
      <c r="B288" s="481" t="n"/>
      <c r="C288" s="481" t="n"/>
      <c r="D288" s="481" t="n"/>
      <c r="E288" s="481" t="n"/>
      <c r="F288" s="481" t="n"/>
      <c r="G288" s="481" t="n"/>
    </row>
    <row r="289">
      <c r="A289" s="481" t="n"/>
      <c r="B289" s="481" t="n"/>
      <c r="C289" s="481" t="n"/>
      <c r="D289" s="481" t="n"/>
      <c r="E289" s="481" t="n"/>
      <c r="F289" s="481" t="n"/>
      <c r="G289" s="481" t="n"/>
    </row>
    <row r="290">
      <c r="A290" s="481" t="n"/>
      <c r="B290" s="481" t="n"/>
      <c r="C290" s="481" t="n"/>
      <c r="D290" s="481" t="n"/>
      <c r="E290" s="481" t="n"/>
      <c r="F290" s="481" t="n"/>
      <c r="G290" s="481" t="n"/>
    </row>
    <row r="291">
      <c r="A291" s="481" t="n"/>
      <c r="B291" s="481" t="n"/>
      <c r="C291" s="481" t="n"/>
      <c r="D291" s="481" t="n"/>
      <c r="E291" s="481" t="n"/>
      <c r="F291" s="481" t="n"/>
      <c r="G291" s="481" t="n"/>
    </row>
    <row r="292">
      <c r="A292" s="481" t="n"/>
      <c r="B292" s="481" t="n"/>
      <c r="C292" s="481" t="n"/>
      <c r="D292" s="481" t="n"/>
      <c r="E292" s="481" t="n"/>
      <c r="F292" s="481" t="n"/>
      <c r="G292" s="481" t="n"/>
    </row>
    <row r="293">
      <c r="A293" s="481" t="n"/>
      <c r="B293" s="481" t="n"/>
      <c r="C293" s="481" t="n"/>
      <c r="D293" s="481" t="n"/>
      <c r="E293" s="481" t="n"/>
      <c r="F293" s="481" t="n"/>
      <c r="G293" s="481" t="n"/>
    </row>
    <row r="294">
      <c r="A294" s="481" t="n"/>
      <c r="B294" s="481" t="n"/>
      <c r="C294" s="481" t="n"/>
      <c r="D294" s="481" t="n"/>
      <c r="E294" s="481" t="n"/>
      <c r="F294" s="481" t="n"/>
      <c r="G294" s="481" t="n"/>
    </row>
    <row r="295">
      <c r="A295" s="481" t="n"/>
      <c r="B295" s="481" t="n"/>
      <c r="C295" s="481" t="n"/>
      <c r="D295" s="481" t="n"/>
      <c r="E295" s="481" t="n"/>
      <c r="F295" s="481" t="n"/>
      <c r="G295" s="481" t="n"/>
    </row>
    <row r="296">
      <c r="A296" s="481" t="n"/>
      <c r="B296" s="481" t="n"/>
      <c r="C296" s="481" t="n"/>
      <c r="D296" s="481" t="n"/>
      <c r="E296" s="481" t="n"/>
      <c r="F296" s="481" t="n"/>
      <c r="G296" s="481" t="n"/>
    </row>
    <row r="297">
      <c r="A297" s="481" t="n"/>
      <c r="B297" s="481" t="n"/>
      <c r="C297" s="481" t="n"/>
      <c r="D297" s="481" t="n"/>
      <c r="E297" s="481" t="n"/>
      <c r="F297" s="481" t="n"/>
      <c r="G297" s="481" t="n"/>
    </row>
    <row r="298">
      <c r="A298" s="481" t="n"/>
      <c r="B298" s="481" t="n"/>
      <c r="C298" s="481" t="n"/>
      <c r="D298" s="481" t="n"/>
      <c r="E298" s="481" t="n"/>
      <c r="F298" s="481" t="n"/>
      <c r="G298" s="481" t="n"/>
    </row>
    <row r="299">
      <c r="A299" s="481" t="n"/>
      <c r="B299" s="481" t="n"/>
      <c r="C299" s="481" t="n"/>
      <c r="D299" s="481" t="n"/>
      <c r="E299" s="481" t="n"/>
      <c r="F299" s="481" t="n"/>
      <c r="G299" s="481" t="n"/>
    </row>
    <row r="300">
      <c r="A300" s="481" t="n"/>
      <c r="B300" s="481" t="n"/>
      <c r="C300" s="481" t="n"/>
      <c r="D300" s="481" t="n"/>
      <c r="E300" s="481" t="n"/>
      <c r="F300" s="481" t="n"/>
      <c r="G300" s="481" t="n"/>
    </row>
    <row r="301">
      <c r="A301" s="481" t="n"/>
      <c r="B301" s="481" t="n"/>
      <c r="C301" s="481" t="n"/>
      <c r="D301" s="481" t="n"/>
      <c r="E301" s="481" t="n"/>
      <c r="F301" s="481" t="n"/>
      <c r="G301" s="481" t="n"/>
    </row>
    <row r="302">
      <c r="A302" s="481" t="n"/>
      <c r="B302" s="481" t="n"/>
      <c r="C302" s="481" t="n"/>
      <c r="D302" s="481" t="n"/>
      <c r="E302" s="481" t="n"/>
      <c r="F302" s="481" t="n"/>
      <c r="G302" s="481" t="n"/>
    </row>
    <row r="303">
      <c r="A303" s="481" t="n"/>
      <c r="B303" s="481" t="n"/>
      <c r="C303" s="481" t="n"/>
      <c r="D303" s="481" t="n"/>
      <c r="E303" s="481" t="n"/>
      <c r="F303" s="481" t="n"/>
      <c r="G303" s="481" t="n"/>
    </row>
    <row r="304">
      <c r="A304" s="481" t="n"/>
      <c r="B304" s="481" t="n"/>
      <c r="C304" s="481" t="n"/>
      <c r="D304" s="481" t="n"/>
      <c r="E304" s="481" t="n"/>
      <c r="F304" s="481" t="n"/>
      <c r="G304" s="481" t="n"/>
    </row>
    <row r="305">
      <c r="A305" s="481" t="n"/>
      <c r="B305" s="481" t="n"/>
      <c r="C305" s="481" t="n"/>
      <c r="D305" s="481" t="n"/>
      <c r="E305" s="481" t="n"/>
      <c r="F305" s="481" t="n"/>
      <c r="G305" s="481" t="n"/>
    </row>
    <row r="306">
      <c r="A306" s="481" t="n"/>
      <c r="B306" s="481" t="n"/>
      <c r="C306" s="481" t="n"/>
      <c r="D306" s="481" t="n"/>
      <c r="E306" s="481" t="n"/>
      <c r="F306" s="481" t="n"/>
      <c r="G306" s="481" t="n"/>
    </row>
    <row r="307">
      <c r="A307" s="481" t="n"/>
      <c r="B307" s="481" t="n"/>
      <c r="C307" s="481" t="n"/>
      <c r="D307" s="481" t="n"/>
      <c r="E307" s="481" t="n"/>
      <c r="F307" s="481" t="n"/>
      <c r="G307" s="481" t="n"/>
    </row>
    <row r="308">
      <c r="A308" s="481" t="n"/>
      <c r="B308" s="481" t="n"/>
      <c r="C308" s="481" t="n"/>
      <c r="D308" s="481" t="n"/>
      <c r="E308" s="481" t="n"/>
      <c r="F308" s="481" t="n"/>
      <c r="G308" s="481" t="n"/>
    </row>
    <row r="309">
      <c r="A309" s="481" t="n"/>
      <c r="B309" s="481" t="n"/>
      <c r="C309" s="481" t="n"/>
      <c r="D309" s="481" t="n"/>
      <c r="E309" s="481" t="n"/>
      <c r="F309" s="481" t="n"/>
      <c r="G309" s="481" t="n"/>
    </row>
    <row r="310">
      <c r="A310" s="481" t="n"/>
      <c r="B310" s="481" t="n"/>
      <c r="C310" s="481" t="n"/>
      <c r="D310" s="481" t="n"/>
      <c r="E310" s="481" t="n"/>
      <c r="F310" s="481" t="n"/>
      <c r="G310" s="481" t="n"/>
    </row>
    <row r="311">
      <c r="A311" s="481" t="n"/>
      <c r="B311" s="481" t="n"/>
      <c r="C311" s="481" t="n"/>
      <c r="D311" s="481" t="n"/>
      <c r="E311" s="481" t="n"/>
      <c r="F311" s="481" t="n"/>
      <c r="G311" s="481" t="n"/>
    </row>
    <row r="312">
      <c r="A312" s="481" t="n"/>
      <c r="B312" s="481" t="n"/>
      <c r="C312" s="481" t="n"/>
      <c r="D312" s="481" t="n"/>
      <c r="E312" s="481" t="n"/>
      <c r="F312" s="481" t="n"/>
      <c r="G312" s="481" t="n"/>
    </row>
    <row r="313">
      <c r="A313" s="481" t="n"/>
      <c r="B313" s="481" t="n"/>
      <c r="C313" s="481" t="n"/>
      <c r="D313" s="481" t="n"/>
      <c r="E313" s="481" t="n"/>
      <c r="F313" s="481" t="n"/>
      <c r="G313" s="481" t="n"/>
    </row>
    <row r="314">
      <c r="A314" s="481" t="n"/>
      <c r="B314" s="481" t="n"/>
      <c r="C314" s="481" t="n"/>
      <c r="D314" s="481" t="n"/>
      <c r="E314" s="481" t="n"/>
      <c r="F314" s="481" t="n"/>
      <c r="G314" s="481" t="n"/>
    </row>
    <row r="315">
      <c r="A315" s="481" t="n"/>
      <c r="B315" s="481" t="n"/>
      <c r="C315" s="481" t="n"/>
      <c r="D315" s="481" t="n"/>
      <c r="E315" s="481" t="n"/>
      <c r="F315" s="481" t="n"/>
      <c r="G315" s="481" t="n"/>
    </row>
    <row r="316">
      <c r="A316" s="481" t="n"/>
      <c r="B316" s="481" t="n"/>
      <c r="C316" s="481" t="n"/>
      <c r="D316" s="481" t="n"/>
      <c r="E316" s="481" t="n"/>
      <c r="F316" s="481" t="n"/>
      <c r="G316" s="481" t="n"/>
    </row>
    <row r="317">
      <c r="A317" s="481" t="n"/>
      <c r="B317" s="481" t="n"/>
      <c r="C317" s="481" t="n"/>
      <c r="D317" s="481" t="n"/>
      <c r="E317" s="481" t="n"/>
      <c r="F317" s="481" t="n"/>
      <c r="G317" s="481" t="n"/>
    </row>
    <row r="318">
      <c r="A318" s="481" t="n"/>
      <c r="B318" s="481" t="n"/>
      <c r="C318" s="481" t="n"/>
      <c r="D318" s="481" t="n"/>
      <c r="E318" s="481" t="n"/>
      <c r="F318" s="481" t="n"/>
      <c r="G318" s="481" t="n"/>
    </row>
    <row r="319">
      <c r="A319" s="481" t="n"/>
      <c r="B319" s="481" t="n"/>
      <c r="C319" s="481" t="n"/>
      <c r="D319" s="481" t="n"/>
      <c r="E319" s="481" t="n"/>
      <c r="F319" s="481" t="n"/>
      <c r="G319" s="481" t="n"/>
    </row>
    <row r="320">
      <c r="A320" s="481" t="n"/>
      <c r="B320" s="481" t="n"/>
      <c r="C320" s="481" t="n"/>
      <c r="D320" s="481" t="n"/>
      <c r="E320" s="481" t="n"/>
      <c r="F320" s="481" t="n"/>
      <c r="G320" s="481" t="n"/>
    </row>
    <row r="321">
      <c r="A321" s="481" t="n"/>
      <c r="B321" s="481" t="n"/>
      <c r="C321" s="481" t="n"/>
      <c r="D321" s="481" t="n"/>
      <c r="E321" s="481" t="n"/>
      <c r="F321" s="481" t="n"/>
      <c r="G321" s="481" t="n"/>
    </row>
    <row r="322">
      <c r="A322" s="481" t="n"/>
      <c r="B322" s="481" t="n"/>
      <c r="C322" s="481" t="n"/>
      <c r="D322" s="481" t="n"/>
      <c r="E322" s="481" t="n"/>
      <c r="F322" s="481" t="n"/>
      <c r="G322" s="481" t="n"/>
    </row>
    <row r="323">
      <c r="A323" s="481" t="n"/>
      <c r="B323" s="481" t="n"/>
      <c r="C323" s="481" t="n"/>
      <c r="D323" s="481" t="n"/>
      <c r="E323" s="481" t="n"/>
      <c r="F323" s="481" t="n"/>
      <c r="G323" s="481" t="n"/>
    </row>
    <row r="324">
      <c r="A324" s="481" t="n"/>
      <c r="B324" s="481" t="n"/>
      <c r="C324" s="481" t="n"/>
      <c r="D324" s="481" t="n"/>
      <c r="E324" s="481" t="n"/>
      <c r="F324" s="481" t="n"/>
      <c r="G324" s="481" t="n"/>
    </row>
    <row r="325">
      <c r="A325" s="481" t="n"/>
      <c r="B325" s="481" t="n"/>
      <c r="C325" s="481" t="n"/>
      <c r="D325" s="481" t="n"/>
      <c r="E325" s="481" t="n"/>
      <c r="F325" s="481" t="n"/>
      <c r="G325" s="481" t="n"/>
    </row>
    <row r="326">
      <c r="A326" s="481" t="n"/>
      <c r="B326" s="481" t="n"/>
      <c r="C326" s="481" t="n"/>
      <c r="D326" s="481" t="n"/>
      <c r="E326" s="481" t="n"/>
      <c r="F326" s="481" t="n"/>
      <c r="G326" s="481" t="n"/>
    </row>
    <row r="327">
      <c r="A327" s="481" t="n"/>
      <c r="B327" s="481" t="n"/>
      <c r="C327" s="481" t="n"/>
      <c r="D327" s="481" t="n"/>
      <c r="E327" s="481" t="n"/>
      <c r="F327" s="481" t="n"/>
      <c r="G327" s="481" t="n"/>
    </row>
    <row r="328">
      <c r="A328" s="481" t="n"/>
      <c r="B328" s="481" t="n"/>
      <c r="C328" s="481" t="n"/>
      <c r="D328" s="481" t="n"/>
      <c r="E328" s="481" t="n"/>
      <c r="F328" s="481" t="n"/>
      <c r="G328" s="481" t="n"/>
    </row>
    <row r="329">
      <c r="A329" s="481" t="n"/>
      <c r="B329" s="481" t="n"/>
      <c r="C329" s="481" t="n"/>
      <c r="D329" s="481" t="n"/>
      <c r="E329" s="481" t="n"/>
      <c r="F329" s="481" t="n"/>
      <c r="G329" s="481" t="n"/>
    </row>
    <row r="330">
      <c r="A330" s="481" t="n"/>
      <c r="B330" s="481" t="n"/>
      <c r="C330" s="481" t="n"/>
      <c r="D330" s="481" t="n"/>
      <c r="E330" s="481" t="n"/>
      <c r="F330" s="481" t="n"/>
      <c r="G330" s="481" t="n"/>
    </row>
    <row r="331">
      <c r="A331" s="481" t="n"/>
      <c r="B331" s="481" t="n"/>
      <c r="C331" s="481" t="n"/>
      <c r="D331" s="481" t="n"/>
      <c r="E331" s="481" t="n"/>
      <c r="F331" s="481" t="n"/>
      <c r="G331" s="481" t="n"/>
    </row>
    <row r="332">
      <c r="A332" s="481" t="n"/>
      <c r="B332" s="481" t="n"/>
      <c r="C332" s="481" t="n"/>
      <c r="D332" s="481" t="n"/>
      <c r="E332" s="481" t="n"/>
      <c r="F332" s="481" t="n"/>
      <c r="G332" s="481" t="n"/>
    </row>
    <row r="333">
      <c r="A333" s="481" t="n"/>
      <c r="B333" s="481" t="n"/>
      <c r="C333" s="481" t="n"/>
      <c r="D333" s="481" t="n"/>
      <c r="E333" s="481" t="n"/>
      <c r="F333" s="481" t="n"/>
      <c r="G333" s="481" t="n"/>
    </row>
    <row r="334">
      <c r="A334" s="481" t="n"/>
      <c r="B334" s="481" t="n"/>
      <c r="C334" s="481" t="n"/>
      <c r="D334" s="481" t="n"/>
      <c r="E334" s="481" t="n"/>
      <c r="F334" s="481" t="n"/>
      <c r="G334" s="481" t="n"/>
    </row>
    <row r="335">
      <c r="A335" s="481" t="n"/>
      <c r="B335" s="481" t="n"/>
      <c r="C335" s="481" t="n"/>
      <c r="D335" s="481" t="n"/>
      <c r="E335" s="481" t="n"/>
      <c r="F335" s="481" t="n"/>
      <c r="G335" s="481" t="n"/>
    </row>
    <row r="336">
      <c r="A336" s="481" t="n"/>
      <c r="B336" s="481" t="n"/>
      <c r="C336" s="481" t="n"/>
      <c r="D336" s="481" t="n"/>
      <c r="E336" s="481" t="n"/>
      <c r="F336" s="481" t="n"/>
      <c r="G336" s="481" t="n"/>
    </row>
    <row r="337">
      <c r="A337" s="481" t="n"/>
      <c r="B337" s="481" t="n"/>
      <c r="C337" s="481" t="n"/>
      <c r="D337" s="481" t="n"/>
      <c r="E337" s="481" t="n"/>
      <c r="F337" s="481" t="n"/>
      <c r="G337" s="481" t="n"/>
    </row>
    <row r="338">
      <c r="A338" s="481" t="n"/>
      <c r="B338" s="481" t="n"/>
      <c r="C338" s="481" t="n"/>
      <c r="D338" s="481" t="n"/>
      <c r="E338" s="481" t="n"/>
      <c r="F338" s="481" t="n"/>
      <c r="G338" s="481" t="n"/>
    </row>
    <row r="339">
      <c r="A339" s="481" t="n"/>
      <c r="B339" s="481" t="n"/>
      <c r="C339" s="481" t="n"/>
      <c r="D339" s="481" t="n"/>
      <c r="E339" s="481" t="n"/>
      <c r="F339" s="481" t="n"/>
      <c r="G339" s="481" t="n"/>
    </row>
    <row r="340">
      <c r="A340" s="481" t="n"/>
      <c r="B340" s="481" t="n"/>
      <c r="C340" s="481" t="n"/>
      <c r="D340" s="481" t="n"/>
      <c r="E340" s="481" t="n"/>
      <c r="F340" s="481" t="n"/>
      <c r="G340" s="481" t="n"/>
    </row>
    <row r="341">
      <c r="A341" s="481" t="n"/>
      <c r="B341" s="481" t="n"/>
      <c r="C341" s="481" t="n"/>
      <c r="D341" s="481" t="n"/>
      <c r="E341" s="481" t="n"/>
      <c r="F341" s="481" t="n"/>
      <c r="G341" s="481" t="n"/>
    </row>
    <row r="342">
      <c r="A342" s="481" t="n"/>
      <c r="B342" s="481" t="n"/>
      <c r="C342" s="481" t="n"/>
      <c r="D342" s="481" t="n"/>
      <c r="E342" s="481" t="n"/>
      <c r="F342" s="481" t="n"/>
      <c r="G342" s="481" t="n"/>
    </row>
    <row r="343">
      <c r="A343" s="481" t="n"/>
      <c r="B343" s="481" t="n"/>
      <c r="C343" s="481" t="n"/>
      <c r="D343" s="481" t="n"/>
      <c r="E343" s="481" t="n"/>
      <c r="F343" s="481" t="n"/>
      <c r="G343" s="481" t="n"/>
    </row>
    <row r="344">
      <c r="A344" s="481" t="n"/>
      <c r="B344" s="481" t="n"/>
      <c r="C344" s="481" t="n"/>
      <c r="D344" s="481" t="n"/>
      <c r="E344" s="481" t="n"/>
      <c r="F344" s="481" t="n"/>
      <c r="G344" s="481" t="n"/>
    </row>
    <row r="345">
      <c r="A345" s="481" t="n"/>
      <c r="B345" s="481" t="n"/>
      <c r="C345" s="481" t="n"/>
      <c r="D345" s="481" t="n"/>
      <c r="E345" s="481" t="n"/>
      <c r="F345" s="481" t="n"/>
      <c r="G345" s="481" t="n"/>
    </row>
    <row r="346">
      <c r="A346" s="481" t="n"/>
      <c r="B346" s="481" t="n"/>
      <c r="C346" s="481" t="n"/>
      <c r="D346" s="481" t="n"/>
      <c r="E346" s="481" t="n"/>
      <c r="F346" s="481" t="n"/>
      <c r="G346" s="481" t="n"/>
    </row>
    <row r="347">
      <c r="A347" s="481" t="n"/>
      <c r="B347" s="481" t="n"/>
      <c r="C347" s="481" t="n"/>
      <c r="D347" s="481" t="n"/>
      <c r="E347" s="481" t="n"/>
      <c r="F347" s="481" t="n"/>
      <c r="G347" s="481" t="n"/>
    </row>
    <row r="348">
      <c r="A348" s="481" t="n"/>
      <c r="B348" s="481" t="n"/>
      <c r="C348" s="481" t="n"/>
      <c r="D348" s="481" t="n"/>
      <c r="E348" s="481" t="n"/>
      <c r="F348" s="481" t="n"/>
      <c r="G348" s="481" t="n"/>
    </row>
    <row r="349">
      <c r="A349" s="481" t="n"/>
      <c r="B349" s="481" t="n"/>
      <c r="C349" s="481" t="n"/>
      <c r="D349" s="481" t="n"/>
      <c r="E349" s="481" t="n"/>
      <c r="F349" s="481" t="n"/>
      <c r="G349" s="481" t="n"/>
    </row>
    <row r="350">
      <c r="A350" s="481" t="n"/>
      <c r="B350" s="481" t="n"/>
      <c r="C350" s="481" t="n"/>
      <c r="D350" s="481" t="n"/>
      <c r="E350" s="481" t="n"/>
      <c r="F350" s="481" t="n"/>
      <c r="G350" s="481" t="n"/>
    </row>
    <row r="351">
      <c r="A351" s="481" t="n"/>
      <c r="B351" s="481" t="n"/>
      <c r="C351" s="481" t="n"/>
      <c r="D351" s="481" t="n"/>
      <c r="E351" s="481" t="n"/>
      <c r="F351" s="481" t="n"/>
      <c r="G351" s="481" t="n"/>
    </row>
    <row r="352">
      <c r="A352" s="481" t="n"/>
      <c r="B352" s="481" t="n"/>
      <c r="C352" s="481" t="n"/>
      <c r="D352" s="481" t="n"/>
      <c r="E352" s="481" t="n"/>
      <c r="F352" s="481" t="n"/>
      <c r="G352" s="481" t="n"/>
    </row>
    <row r="353">
      <c r="A353" s="481" t="n"/>
      <c r="B353" s="481" t="n"/>
      <c r="C353" s="481" t="n"/>
      <c r="D353" s="481" t="n"/>
      <c r="E353" s="481" t="n"/>
      <c r="F353" s="481" t="n"/>
      <c r="G353" s="481" t="n"/>
    </row>
    <row r="354">
      <c r="A354" s="481" t="n"/>
      <c r="B354" s="481" t="n"/>
      <c r="C354" s="481" t="n"/>
      <c r="D354" s="481" t="n"/>
      <c r="E354" s="481" t="n"/>
      <c r="F354" s="481" t="n"/>
      <c r="G354" s="481" t="n"/>
    </row>
    <row r="355">
      <c r="A355" s="481" t="n"/>
      <c r="B355" s="481" t="n"/>
      <c r="C355" s="481" t="n"/>
      <c r="D355" s="481" t="n"/>
      <c r="E355" s="481" t="n"/>
      <c r="F355" s="481" t="n"/>
      <c r="G355" s="481" t="n"/>
    </row>
    <row r="356">
      <c r="A356" s="481" t="n"/>
      <c r="B356" s="481" t="n"/>
      <c r="C356" s="481" t="n"/>
      <c r="D356" s="481" t="n"/>
      <c r="E356" s="481" t="n"/>
      <c r="F356" s="481" t="n"/>
      <c r="G356" s="481" t="n"/>
    </row>
    <row r="357">
      <c r="A357" s="481" t="n"/>
      <c r="B357" s="481" t="n"/>
      <c r="C357" s="481" t="n"/>
      <c r="D357" s="481" t="n"/>
      <c r="E357" s="481" t="n"/>
      <c r="F357" s="481" t="n"/>
      <c r="G357" s="481" t="n"/>
    </row>
    <row r="358">
      <c r="A358" s="481" t="n"/>
      <c r="B358" s="481" t="n"/>
      <c r="C358" s="481" t="n"/>
      <c r="D358" s="481" t="n"/>
      <c r="E358" s="481" t="n"/>
      <c r="F358" s="481" t="n"/>
      <c r="G358" s="481" t="n"/>
    </row>
    <row r="359">
      <c r="A359" s="481" t="n"/>
      <c r="B359" s="481" t="n"/>
      <c r="C359" s="481" t="n"/>
      <c r="D359" s="481" t="n"/>
      <c r="E359" s="481" t="n"/>
      <c r="F359" s="481" t="n"/>
      <c r="G359" s="481" t="n"/>
    </row>
    <row r="360">
      <c r="A360" s="481" t="n"/>
      <c r="B360" s="481" t="n"/>
      <c r="C360" s="481" t="n"/>
      <c r="D360" s="481" t="n"/>
      <c r="E360" s="481" t="n"/>
      <c r="F360" s="481" t="n"/>
      <c r="G360" s="481" t="n"/>
    </row>
    <row r="361">
      <c r="A361" s="481" t="n"/>
      <c r="B361" s="481" t="n"/>
      <c r="C361" s="481" t="n"/>
      <c r="D361" s="481" t="n"/>
      <c r="E361" s="481" t="n"/>
      <c r="F361" s="481" t="n"/>
      <c r="G361" s="481" t="n"/>
    </row>
    <row r="362">
      <c r="A362" s="481" t="n"/>
      <c r="B362" s="481" t="n"/>
      <c r="C362" s="481" t="n"/>
      <c r="D362" s="481" t="n"/>
      <c r="E362" s="481" t="n"/>
      <c r="F362" s="481" t="n"/>
      <c r="G362" s="481" t="n"/>
    </row>
    <row r="363">
      <c r="A363" s="481" t="n"/>
      <c r="B363" s="481" t="n"/>
      <c r="C363" s="481" t="n"/>
      <c r="D363" s="481" t="n"/>
      <c r="E363" s="481" t="n"/>
      <c r="F363" s="481" t="n"/>
      <c r="G363" s="481" t="n"/>
    </row>
    <row r="364">
      <c r="A364" s="481" t="n"/>
      <c r="B364" s="481" t="n"/>
      <c r="C364" s="481" t="n"/>
      <c r="D364" s="481" t="n"/>
      <c r="E364" s="481" t="n"/>
      <c r="F364" s="481" t="n"/>
      <c r="G364" s="481" t="n"/>
    </row>
    <row r="365">
      <c r="A365" s="481" t="n"/>
      <c r="B365" s="481" t="n"/>
      <c r="C365" s="481" t="n"/>
      <c r="D365" s="481" t="n"/>
      <c r="E365" s="481" t="n"/>
      <c r="F365" s="481" t="n"/>
      <c r="G365" s="481" t="n"/>
    </row>
    <row r="366">
      <c r="A366" s="481" t="n"/>
      <c r="B366" s="481" t="n"/>
      <c r="C366" s="481" t="n"/>
      <c r="D366" s="481" t="n"/>
      <c r="E366" s="481" t="n"/>
      <c r="F366" s="481" t="n"/>
      <c r="G366" s="481" t="n"/>
    </row>
    <row r="367">
      <c r="A367" s="481" t="n"/>
      <c r="B367" s="481" t="n"/>
      <c r="C367" s="481" t="n"/>
      <c r="D367" s="481" t="n"/>
      <c r="E367" s="481" t="n"/>
      <c r="F367" s="481" t="n"/>
      <c r="G367" s="481" t="n"/>
    </row>
    <row r="368">
      <c r="A368" s="481" t="n"/>
      <c r="B368" s="481" t="n"/>
      <c r="C368" s="481" t="n"/>
      <c r="D368" s="481" t="n"/>
      <c r="E368" s="481" t="n"/>
      <c r="F368" s="481" t="n"/>
      <c r="G368" s="481" t="n"/>
    </row>
    <row r="369">
      <c r="A369" s="481" t="n"/>
      <c r="B369" s="481" t="n"/>
      <c r="C369" s="481" t="n"/>
      <c r="D369" s="481" t="n"/>
      <c r="E369" s="481" t="n"/>
      <c r="F369" s="481" t="n"/>
      <c r="G369" s="481" t="n"/>
    </row>
    <row r="370">
      <c r="A370" s="481" t="n"/>
      <c r="B370" s="481" t="n"/>
      <c r="C370" s="481" t="n"/>
      <c r="D370" s="481" t="n"/>
      <c r="E370" s="481" t="n"/>
      <c r="F370" s="481" t="n"/>
      <c r="G370" s="481" t="n"/>
    </row>
    <row r="371">
      <c r="A371" s="481" t="n"/>
      <c r="B371" s="481" t="n"/>
      <c r="C371" s="481" t="n"/>
      <c r="D371" s="481" t="n"/>
      <c r="E371" s="481" t="n"/>
      <c r="F371" s="481" t="n"/>
      <c r="G371" s="481" t="n"/>
    </row>
    <row r="372">
      <c r="A372" s="481" t="n"/>
      <c r="B372" s="481" t="n"/>
      <c r="C372" s="481" t="n"/>
      <c r="D372" s="481" t="n"/>
      <c r="E372" s="481" t="n"/>
      <c r="F372" s="481" t="n"/>
      <c r="G372" s="481" t="n"/>
    </row>
    <row r="373">
      <c r="A373" s="481" t="n"/>
      <c r="B373" s="481" t="n"/>
      <c r="C373" s="481" t="n"/>
      <c r="D373" s="481" t="n"/>
      <c r="E373" s="481" t="n"/>
      <c r="F373" s="481" t="n"/>
      <c r="G373" s="481" t="n"/>
    </row>
    <row r="374">
      <c r="A374" s="481" t="n"/>
      <c r="B374" s="481" t="n"/>
      <c r="C374" s="481" t="n"/>
      <c r="D374" s="481" t="n"/>
      <c r="E374" s="481" t="n"/>
      <c r="F374" s="481" t="n"/>
      <c r="G374" s="481" t="n"/>
    </row>
    <row r="375">
      <c r="A375" s="481" t="n"/>
      <c r="B375" s="481" t="n"/>
      <c r="C375" s="481" t="n"/>
      <c r="D375" s="481" t="n"/>
      <c r="E375" s="481" t="n"/>
      <c r="F375" s="481" t="n"/>
      <c r="G375" s="481" t="n"/>
    </row>
    <row r="376">
      <c r="A376" s="481" t="n"/>
      <c r="B376" s="481" t="n"/>
      <c r="C376" s="481" t="n"/>
      <c r="D376" s="481" t="n"/>
      <c r="E376" s="481" t="n"/>
      <c r="F376" s="481" t="n"/>
      <c r="G376" s="481" t="n"/>
    </row>
    <row r="377">
      <c r="A377" s="481" t="n"/>
      <c r="B377" s="481" t="n"/>
      <c r="C377" s="481" t="n"/>
      <c r="D377" s="481" t="n"/>
      <c r="E377" s="481" t="n"/>
      <c r="F377" s="481" t="n"/>
      <c r="G377" s="481" t="n"/>
    </row>
    <row r="378">
      <c r="A378" s="481" t="n"/>
      <c r="B378" s="481" t="n"/>
      <c r="C378" s="481" t="n"/>
      <c r="D378" s="481" t="n"/>
      <c r="E378" s="481" t="n"/>
      <c r="F378" s="481" t="n"/>
      <c r="G378" s="481" t="n"/>
    </row>
    <row r="379">
      <c r="A379" s="481" t="n"/>
      <c r="B379" s="481" t="n"/>
      <c r="C379" s="481" t="n"/>
      <c r="D379" s="481" t="n"/>
      <c r="E379" s="481" t="n"/>
      <c r="F379" s="481" t="n"/>
      <c r="G379" s="481" t="n"/>
    </row>
    <row r="380">
      <c r="A380" s="481" t="n"/>
      <c r="B380" s="481" t="n"/>
      <c r="C380" s="481" t="n"/>
      <c r="D380" s="481" t="n"/>
      <c r="E380" s="481" t="n"/>
      <c r="F380" s="481" t="n"/>
      <c r="G380" s="481" t="n"/>
    </row>
    <row r="381">
      <c r="A381" s="481" t="n"/>
      <c r="B381" s="481" t="n"/>
      <c r="C381" s="481" t="n"/>
      <c r="D381" s="481" t="n"/>
      <c r="E381" s="481" t="n"/>
      <c r="F381" s="481" t="n"/>
      <c r="G381" s="481" t="n"/>
    </row>
    <row r="382">
      <c r="A382" s="481" t="n"/>
      <c r="B382" s="481" t="n"/>
      <c r="C382" s="481" t="n"/>
      <c r="D382" s="481" t="n"/>
      <c r="E382" s="481" t="n"/>
      <c r="F382" s="481" t="n"/>
      <c r="G382" s="481" t="n"/>
    </row>
    <row r="383">
      <c r="A383" s="481" t="n"/>
      <c r="B383" s="481" t="n"/>
      <c r="C383" s="481" t="n"/>
      <c r="D383" s="481" t="n"/>
      <c r="E383" s="481" t="n"/>
      <c r="F383" s="481" t="n"/>
      <c r="G383" s="481" t="n"/>
    </row>
    <row r="384">
      <c r="A384" s="481" t="n"/>
      <c r="B384" s="481" t="n"/>
      <c r="C384" s="481" t="n"/>
      <c r="D384" s="481" t="n"/>
      <c r="E384" s="481" t="n"/>
      <c r="F384" s="481" t="n"/>
      <c r="G384" s="481" t="n"/>
    </row>
    <row r="385">
      <c r="A385" s="481" t="n"/>
      <c r="B385" s="481" t="n"/>
      <c r="C385" s="481" t="n"/>
      <c r="D385" s="481" t="n"/>
      <c r="E385" s="481" t="n"/>
      <c r="F385" s="481" t="n"/>
      <c r="G385" s="481" t="n"/>
    </row>
    <row r="386">
      <c r="A386" s="481" t="n"/>
      <c r="B386" s="481" t="n"/>
      <c r="C386" s="481" t="n"/>
      <c r="D386" s="481" t="n"/>
      <c r="E386" s="481" t="n"/>
      <c r="F386" s="481" t="n"/>
      <c r="G386" s="481" t="n"/>
    </row>
    <row r="387">
      <c r="A387" s="481" t="n"/>
      <c r="B387" s="481" t="n"/>
      <c r="C387" s="481" t="n"/>
      <c r="D387" s="481" t="n"/>
      <c r="E387" s="481" t="n"/>
      <c r="F387" s="481" t="n"/>
      <c r="G387" s="481" t="n"/>
    </row>
    <row r="388">
      <c r="A388" s="481" t="n"/>
      <c r="B388" s="481" t="n"/>
      <c r="C388" s="481" t="n"/>
      <c r="D388" s="481" t="n"/>
      <c r="E388" s="481" t="n"/>
      <c r="F388" s="481" t="n"/>
      <c r="G388" s="481" t="n"/>
    </row>
    <row r="389">
      <c r="A389" s="481" t="n"/>
      <c r="B389" s="481" t="n"/>
      <c r="C389" s="481" t="n"/>
      <c r="D389" s="481" t="n"/>
      <c r="E389" s="481" t="n"/>
      <c r="F389" s="481" t="n"/>
      <c r="G389" s="481" t="n"/>
    </row>
    <row r="390">
      <c r="A390" s="481" t="n"/>
      <c r="B390" s="481" t="n"/>
      <c r="C390" s="481" t="n"/>
      <c r="D390" s="481" t="n"/>
      <c r="E390" s="481" t="n"/>
      <c r="F390" s="481" t="n"/>
      <c r="G390" s="481" t="n"/>
    </row>
    <row r="391">
      <c r="A391" s="481" t="n"/>
      <c r="B391" s="481" t="n"/>
      <c r="C391" s="481" t="n"/>
      <c r="D391" s="481" t="n"/>
      <c r="E391" s="481" t="n"/>
      <c r="F391" s="481" t="n"/>
      <c r="G391" s="481" t="n"/>
    </row>
    <row r="392">
      <c r="A392" s="481" t="n"/>
      <c r="B392" s="481" t="n"/>
      <c r="C392" s="481" t="n"/>
      <c r="D392" s="481" t="n"/>
      <c r="E392" s="481" t="n"/>
      <c r="F392" s="481" t="n"/>
      <c r="G392" s="481" t="n"/>
    </row>
    <row r="393">
      <c r="A393" s="481" t="n"/>
      <c r="B393" s="481" t="n"/>
      <c r="C393" s="481" t="n"/>
      <c r="D393" s="481" t="n"/>
      <c r="E393" s="481" t="n"/>
      <c r="F393" s="481" t="n"/>
      <c r="G393" s="481" t="n"/>
    </row>
    <row r="394">
      <c r="A394" s="481" t="n"/>
      <c r="B394" s="481" t="n"/>
      <c r="C394" s="481" t="n"/>
      <c r="D394" s="481" t="n"/>
      <c r="E394" s="481" t="n"/>
      <c r="F394" s="481" t="n"/>
      <c r="G394" s="481" t="n"/>
    </row>
    <row r="395">
      <c r="A395" s="481" t="n"/>
      <c r="B395" s="481" t="n"/>
      <c r="C395" s="481" t="n"/>
      <c r="D395" s="481" t="n"/>
      <c r="E395" s="481" t="n"/>
      <c r="F395" s="481" t="n"/>
      <c r="G395" s="481" t="n"/>
    </row>
    <row r="396">
      <c r="A396" s="481" t="n"/>
      <c r="B396" s="481" t="n"/>
      <c r="C396" s="481" t="n"/>
      <c r="D396" s="481" t="n"/>
      <c r="E396" s="481" t="n"/>
      <c r="F396" s="481" t="n"/>
      <c r="G396" s="481" t="n"/>
    </row>
    <row r="397">
      <c r="A397" s="481" t="n"/>
      <c r="B397" s="481" t="n"/>
      <c r="C397" s="481" t="n"/>
      <c r="D397" s="481" t="n"/>
      <c r="E397" s="481" t="n"/>
      <c r="F397" s="481" t="n"/>
      <c r="G397" s="481" t="n"/>
    </row>
    <row r="398">
      <c r="A398" s="481" t="n"/>
      <c r="B398" s="481" t="n"/>
      <c r="C398" s="481" t="n"/>
      <c r="D398" s="481" t="n"/>
      <c r="E398" s="481" t="n"/>
      <c r="F398" s="481" t="n"/>
      <c r="G398" s="481" t="n"/>
    </row>
    <row r="399">
      <c r="A399" s="481" t="n"/>
      <c r="B399" s="481" t="n"/>
      <c r="C399" s="481" t="n"/>
      <c r="D399" s="481" t="n"/>
      <c r="E399" s="481" t="n"/>
      <c r="F399" s="481" t="n"/>
      <c r="G399" s="481" t="n"/>
    </row>
    <row r="400">
      <c r="A400" s="481" t="n"/>
      <c r="B400" s="481" t="n"/>
      <c r="C400" s="481" t="n"/>
      <c r="D400" s="481" t="n"/>
      <c r="E400" s="481" t="n"/>
      <c r="F400" s="481" t="n"/>
      <c r="G400" s="481" t="n"/>
    </row>
    <row r="401">
      <c r="A401" s="481" t="n"/>
      <c r="B401" s="481" t="n"/>
      <c r="C401" s="481" t="n"/>
      <c r="D401" s="481" t="n"/>
      <c r="E401" s="481" t="n"/>
      <c r="F401" s="481" t="n"/>
      <c r="G401" s="481" t="n"/>
    </row>
    <row r="402">
      <c r="A402" s="481" t="n"/>
      <c r="B402" s="481" t="n"/>
      <c r="C402" s="481" t="n"/>
      <c r="D402" s="481" t="n"/>
      <c r="E402" s="481" t="n"/>
      <c r="F402" s="481" t="n"/>
      <c r="G402" s="481" t="n"/>
    </row>
    <row r="403">
      <c r="A403" s="481" t="n"/>
      <c r="B403" s="481" t="n"/>
      <c r="C403" s="481" t="n"/>
      <c r="D403" s="481" t="n"/>
      <c r="E403" s="481" t="n"/>
      <c r="F403" s="481" t="n"/>
      <c r="G403" s="481" t="n"/>
    </row>
    <row r="404">
      <c r="A404" s="481" t="n"/>
      <c r="B404" s="481" t="n"/>
      <c r="C404" s="481" t="n"/>
      <c r="D404" s="481" t="n"/>
      <c r="E404" s="481" t="n"/>
      <c r="F404" s="481" t="n"/>
      <c r="G404" s="481" t="n"/>
    </row>
    <row r="405">
      <c r="A405" s="481" t="n"/>
      <c r="B405" s="481" t="n"/>
      <c r="C405" s="481" t="n"/>
      <c r="D405" s="481" t="n"/>
      <c r="E405" s="481" t="n"/>
      <c r="F405" s="481" t="n"/>
      <c r="G405" s="481" t="n"/>
    </row>
    <row r="406">
      <c r="A406" s="481" t="n"/>
      <c r="B406" s="481" t="n"/>
      <c r="C406" s="481" t="n"/>
      <c r="D406" s="481" t="n"/>
      <c r="E406" s="481" t="n"/>
      <c r="F406" s="481" t="n"/>
      <c r="G406" s="481" t="n"/>
    </row>
    <row r="407">
      <c r="A407" s="481" t="n"/>
      <c r="B407" s="481" t="n"/>
      <c r="C407" s="481" t="n"/>
      <c r="D407" s="481" t="n"/>
      <c r="E407" s="481" t="n"/>
      <c r="F407" s="481" t="n"/>
      <c r="G407" s="481" t="n"/>
    </row>
    <row r="408">
      <c r="A408" s="481" t="n"/>
      <c r="B408" s="481" t="n"/>
      <c r="C408" s="481" t="n"/>
      <c r="D408" s="481" t="n"/>
      <c r="E408" s="481" t="n"/>
      <c r="F408" s="481" t="n"/>
      <c r="G408" s="481" t="n"/>
    </row>
    <row r="409">
      <c r="A409" s="481" t="n"/>
      <c r="B409" s="481" t="n"/>
      <c r="C409" s="481" t="n"/>
      <c r="D409" s="481" t="n"/>
      <c r="E409" s="481" t="n"/>
      <c r="F409" s="481" t="n"/>
      <c r="G409" s="481" t="n"/>
    </row>
    <row r="410">
      <c r="A410" s="481" t="n"/>
      <c r="B410" s="481" t="n"/>
      <c r="C410" s="481" t="n"/>
      <c r="D410" s="481" t="n"/>
      <c r="E410" s="481" t="n"/>
      <c r="F410" s="481" t="n"/>
      <c r="G410" s="481" t="n"/>
    </row>
    <row r="411">
      <c r="A411" s="481" t="n"/>
      <c r="B411" s="481" t="n"/>
      <c r="C411" s="481" t="n"/>
      <c r="D411" s="481" t="n"/>
      <c r="E411" s="481" t="n"/>
      <c r="F411" s="481" t="n"/>
      <c r="G411" s="481" t="n"/>
    </row>
    <row r="412">
      <c r="A412" s="481" t="n"/>
      <c r="B412" s="481" t="n"/>
      <c r="C412" s="481" t="n"/>
      <c r="D412" s="481" t="n"/>
      <c r="E412" s="481" t="n"/>
      <c r="F412" s="481" t="n"/>
      <c r="G412" s="481" t="n"/>
    </row>
    <row r="413">
      <c r="A413" s="481" t="n"/>
      <c r="B413" s="481" t="n"/>
      <c r="C413" s="481" t="n"/>
      <c r="D413" s="481" t="n"/>
      <c r="E413" s="481" t="n"/>
      <c r="F413" s="481" t="n"/>
      <c r="G413" s="481" t="n"/>
    </row>
    <row r="414">
      <c r="A414" s="481" t="n"/>
      <c r="B414" s="481" t="n"/>
      <c r="C414" s="481" t="n"/>
      <c r="D414" s="481" t="n"/>
      <c r="E414" s="481" t="n"/>
      <c r="F414" s="481" t="n"/>
      <c r="G414" s="481" t="n"/>
    </row>
    <row r="415">
      <c r="A415" s="481" t="n"/>
      <c r="B415" s="481" t="n"/>
      <c r="C415" s="481" t="n"/>
      <c r="D415" s="481" t="n"/>
      <c r="E415" s="481" t="n"/>
      <c r="F415" s="481" t="n"/>
      <c r="G415" s="481" t="n"/>
    </row>
    <row r="416">
      <c r="A416" s="481" t="n"/>
      <c r="B416" s="481" t="n"/>
      <c r="C416" s="481" t="n"/>
      <c r="D416" s="481" t="n"/>
      <c r="E416" s="481" t="n"/>
      <c r="F416" s="481" t="n"/>
      <c r="G416" s="481" t="n"/>
    </row>
    <row r="417">
      <c r="A417" s="481" t="n"/>
      <c r="B417" s="481" t="n"/>
      <c r="C417" s="481" t="n"/>
      <c r="D417" s="481" t="n"/>
      <c r="E417" s="481" t="n"/>
      <c r="F417" s="481" t="n"/>
      <c r="G417" s="481" t="n"/>
    </row>
    <row r="418">
      <c r="A418" s="481" t="n"/>
      <c r="B418" s="481" t="n"/>
      <c r="C418" s="481" t="n"/>
      <c r="D418" s="481" t="n"/>
      <c r="E418" s="481" t="n"/>
      <c r="F418" s="481" t="n"/>
      <c r="G418" s="481" t="n"/>
    </row>
    <row r="419">
      <c r="A419" s="481" t="n"/>
      <c r="B419" s="481" t="n"/>
      <c r="C419" s="481" t="n"/>
      <c r="D419" s="481" t="n"/>
      <c r="E419" s="481" t="n"/>
      <c r="F419" s="481" t="n"/>
      <c r="G419" s="481" t="n"/>
    </row>
    <row r="420">
      <c r="A420" s="481" t="n"/>
      <c r="B420" s="481" t="n"/>
      <c r="C420" s="481" t="n"/>
      <c r="D420" s="481" t="n"/>
      <c r="E420" s="481" t="n"/>
      <c r="F420" s="481" t="n"/>
      <c r="G420" s="481" t="n"/>
    </row>
    <row r="421">
      <c r="A421" s="481" t="n"/>
      <c r="B421" s="481" t="n"/>
      <c r="C421" s="481" t="n"/>
      <c r="D421" s="481" t="n"/>
      <c r="E421" s="481" t="n"/>
      <c r="F421" s="481" t="n"/>
      <c r="G421" s="481" t="n"/>
    </row>
    <row r="422">
      <c r="A422" s="481" t="n"/>
      <c r="B422" s="481" t="n"/>
      <c r="C422" s="481" t="n"/>
      <c r="D422" s="481" t="n"/>
      <c r="E422" s="481" t="n"/>
      <c r="F422" s="481" t="n"/>
      <c r="G422" s="481" t="n"/>
    </row>
    <row r="423">
      <c r="A423" s="481" t="n"/>
      <c r="B423" s="481" t="n"/>
      <c r="C423" s="481" t="n"/>
      <c r="D423" s="481" t="n"/>
      <c r="E423" s="481" t="n"/>
      <c r="F423" s="481" t="n"/>
      <c r="G423" s="481" t="n"/>
    </row>
    <row r="424">
      <c r="A424" s="481" t="n"/>
      <c r="B424" s="481" t="n"/>
      <c r="C424" s="481" t="n"/>
      <c r="D424" s="481" t="n"/>
      <c r="E424" s="481" t="n"/>
      <c r="F424" s="481" t="n"/>
      <c r="G424" s="481" t="n"/>
    </row>
    <row r="425">
      <c r="A425" s="481" t="n"/>
      <c r="B425" s="481" t="n"/>
      <c r="C425" s="481" t="n"/>
      <c r="D425" s="481" t="n"/>
      <c r="E425" s="481" t="n"/>
      <c r="F425" s="481" t="n"/>
      <c r="G425" s="481" t="n"/>
    </row>
    <row r="426">
      <c r="A426" s="481" t="n"/>
      <c r="B426" s="481" t="n"/>
      <c r="C426" s="481" t="n"/>
      <c r="D426" s="481" t="n"/>
      <c r="E426" s="481" t="n"/>
      <c r="F426" s="481" t="n"/>
      <c r="G426" s="481" t="n"/>
    </row>
    <row r="427">
      <c r="A427" s="481" t="n"/>
      <c r="B427" s="481" t="n"/>
      <c r="C427" s="481" t="n"/>
      <c r="D427" s="481" t="n"/>
      <c r="E427" s="481" t="n"/>
      <c r="F427" s="481" t="n"/>
      <c r="G427" s="481" t="n"/>
    </row>
    <row r="428">
      <c r="A428" s="481" t="n"/>
      <c r="B428" s="481" t="n"/>
      <c r="C428" s="481" t="n"/>
      <c r="D428" s="481" t="n"/>
      <c r="E428" s="481" t="n"/>
      <c r="F428" s="481" t="n"/>
      <c r="G428" s="481" t="n"/>
    </row>
    <row r="429">
      <c r="A429" s="481" t="n"/>
      <c r="B429" s="481" t="n"/>
      <c r="C429" s="481" t="n"/>
      <c r="D429" s="481" t="n"/>
      <c r="E429" s="481" t="n"/>
      <c r="F429" s="481" t="n"/>
      <c r="G429" s="481" t="n"/>
    </row>
    <row r="430">
      <c r="A430" s="481" t="n"/>
      <c r="B430" s="481" t="n"/>
      <c r="C430" s="481" t="n"/>
      <c r="D430" s="481" t="n"/>
      <c r="E430" s="481" t="n"/>
      <c r="F430" s="481" t="n"/>
      <c r="G430" s="481" t="n"/>
    </row>
    <row r="431">
      <c r="A431" s="481" t="n"/>
      <c r="B431" s="481" t="n"/>
      <c r="C431" s="481" t="n"/>
      <c r="D431" s="481" t="n"/>
      <c r="E431" s="481" t="n"/>
      <c r="F431" s="481" t="n"/>
      <c r="G431" s="481" t="n"/>
    </row>
    <row r="432">
      <c r="A432" s="481" t="n"/>
      <c r="B432" s="481" t="n"/>
      <c r="C432" s="481" t="n"/>
      <c r="D432" s="481" t="n"/>
      <c r="E432" s="481" t="n"/>
      <c r="F432" s="481" t="n"/>
      <c r="G432" s="481" t="n"/>
    </row>
    <row r="433">
      <c r="A433" s="481" t="n"/>
      <c r="B433" s="481" t="n"/>
      <c r="C433" s="481" t="n"/>
      <c r="D433" s="481" t="n"/>
      <c r="E433" s="481" t="n"/>
      <c r="F433" s="481" t="n"/>
      <c r="G433" s="481" t="n"/>
    </row>
    <row r="434">
      <c r="A434" s="481" t="n"/>
      <c r="B434" s="481" t="n"/>
      <c r="C434" s="481" t="n"/>
      <c r="D434" s="481" t="n"/>
      <c r="E434" s="481" t="n"/>
      <c r="F434" s="481" t="n"/>
      <c r="G434" s="481" t="n"/>
    </row>
    <row r="435">
      <c r="A435" s="481" t="n"/>
      <c r="B435" s="481" t="n"/>
      <c r="C435" s="481" t="n"/>
      <c r="D435" s="481" t="n"/>
      <c r="E435" s="481" t="n"/>
      <c r="F435" s="481" t="n"/>
      <c r="G435" s="481" t="n"/>
    </row>
    <row r="436">
      <c r="A436" s="481" t="n"/>
      <c r="B436" s="481" t="n"/>
      <c r="C436" s="481" t="n"/>
      <c r="D436" s="481" t="n"/>
      <c r="E436" s="481" t="n"/>
      <c r="F436" s="481" t="n"/>
      <c r="G436" s="481" t="n"/>
    </row>
    <row r="437">
      <c r="A437" s="481" t="n"/>
      <c r="B437" s="481" t="n"/>
      <c r="C437" s="481" t="n"/>
      <c r="D437" s="481" t="n"/>
      <c r="E437" s="481" t="n"/>
      <c r="F437" s="481" t="n"/>
      <c r="G437" s="481" t="n"/>
    </row>
    <row r="438">
      <c r="A438" s="481" t="n"/>
      <c r="B438" s="481" t="n"/>
      <c r="C438" s="481" t="n"/>
      <c r="D438" s="481" t="n"/>
      <c r="E438" s="481" t="n"/>
      <c r="F438" s="481" t="n"/>
      <c r="G438" s="481" t="n"/>
    </row>
    <row r="439">
      <c r="A439" s="481" t="n"/>
      <c r="B439" s="481" t="n"/>
      <c r="C439" s="481" t="n"/>
      <c r="D439" s="481" t="n"/>
      <c r="E439" s="481" t="n"/>
      <c r="F439" s="481" t="n"/>
      <c r="G439" s="481" t="n"/>
    </row>
    <row r="440">
      <c r="A440" s="481" t="n"/>
      <c r="B440" s="481" t="n"/>
      <c r="C440" s="481" t="n"/>
      <c r="D440" s="481" t="n"/>
      <c r="E440" s="481" t="n"/>
      <c r="F440" s="481" t="n"/>
      <c r="G440" s="481" t="n"/>
    </row>
    <row r="441">
      <c r="A441" s="481" t="n"/>
      <c r="B441" s="481" t="n"/>
      <c r="C441" s="481" t="n"/>
      <c r="D441" s="481" t="n"/>
      <c r="E441" s="481" t="n"/>
      <c r="F441" s="481" t="n"/>
      <c r="G441" s="481" t="n"/>
    </row>
    <row r="442">
      <c r="A442" s="481" t="n"/>
      <c r="B442" s="481" t="n"/>
      <c r="C442" s="481" t="n"/>
      <c r="D442" s="481" t="n"/>
      <c r="E442" s="481" t="n"/>
      <c r="F442" s="481" t="n"/>
      <c r="G442" s="481" t="n"/>
    </row>
    <row r="443">
      <c r="A443" s="481" t="n"/>
      <c r="B443" s="481" t="n"/>
      <c r="C443" s="481" t="n"/>
      <c r="D443" s="481" t="n"/>
      <c r="E443" s="481" t="n"/>
      <c r="F443" s="481" t="n"/>
      <c r="G443" s="481" t="n"/>
    </row>
    <row r="444">
      <c r="A444" s="481" t="n"/>
      <c r="B444" s="481" t="n"/>
      <c r="C444" s="481" t="n"/>
      <c r="D444" s="481" t="n"/>
      <c r="E444" s="481" t="n"/>
      <c r="F444" s="481" t="n"/>
      <c r="G444" s="481" t="n"/>
    </row>
    <row r="445">
      <c r="A445" s="481" t="n"/>
      <c r="B445" s="481" t="n"/>
      <c r="C445" s="481" t="n"/>
      <c r="D445" s="481" t="n"/>
      <c r="E445" s="481" t="n"/>
      <c r="F445" s="481" t="n"/>
      <c r="G445" s="481" t="n"/>
    </row>
    <row r="446">
      <c r="A446" s="481" t="n"/>
      <c r="B446" s="481" t="n"/>
      <c r="C446" s="481" t="n"/>
      <c r="D446" s="481" t="n"/>
      <c r="E446" s="481" t="n"/>
      <c r="F446" s="481" t="n"/>
      <c r="G446" s="481" t="n"/>
    </row>
    <row r="447">
      <c r="A447" s="481" t="n"/>
      <c r="B447" s="481" t="n"/>
      <c r="C447" s="481" t="n"/>
      <c r="D447" s="481" t="n"/>
      <c r="E447" s="481" t="n"/>
      <c r="F447" s="481" t="n"/>
      <c r="G447" s="481" t="n"/>
    </row>
    <row r="448">
      <c r="A448" s="481" t="n"/>
      <c r="B448" s="481" t="n"/>
      <c r="C448" s="481" t="n"/>
      <c r="D448" s="481" t="n"/>
      <c r="E448" s="481" t="n"/>
      <c r="F448" s="481" t="n"/>
      <c r="G448" s="481" t="n"/>
    </row>
    <row r="449">
      <c r="A449" s="481" t="n"/>
      <c r="B449" s="481" t="n"/>
      <c r="C449" s="481" t="n"/>
      <c r="D449" s="481" t="n"/>
      <c r="E449" s="481" t="n"/>
      <c r="F449" s="481" t="n"/>
      <c r="G449" s="481" t="n"/>
    </row>
    <row r="450">
      <c r="A450" s="481" t="n"/>
      <c r="B450" s="481" t="n"/>
      <c r="C450" s="481" t="n"/>
      <c r="D450" s="481" t="n"/>
      <c r="E450" s="481" t="n"/>
      <c r="F450" s="481" t="n"/>
      <c r="G450" s="481" t="n"/>
    </row>
    <row r="451">
      <c r="A451" s="481" t="n"/>
      <c r="B451" s="481" t="n"/>
      <c r="C451" s="481" t="n"/>
      <c r="D451" s="481" t="n"/>
      <c r="E451" s="481" t="n"/>
      <c r="F451" s="481" t="n"/>
      <c r="G451" s="481" t="n"/>
    </row>
    <row r="452">
      <c r="A452" s="481" t="n"/>
      <c r="B452" s="481" t="n"/>
      <c r="C452" s="481" t="n"/>
      <c r="D452" s="481" t="n"/>
      <c r="E452" s="481" t="n"/>
      <c r="F452" s="481" t="n"/>
      <c r="G452" s="481" t="n"/>
    </row>
    <row r="453">
      <c r="A453" s="481" t="n"/>
      <c r="B453" s="481" t="n"/>
      <c r="C453" s="481" t="n"/>
      <c r="D453" s="481" t="n"/>
      <c r="E453" s="481" t="n"/>
      <c r="F453" s="481" t="n"/>
      <c r="G453" s="481" t="n"/>
    </row>
    <row r="454">
      <c r="A454" s="481" t="n"/>
      <c r="B454" s="481" t="n"/>
      <c r="C454" s="481" t="n"/>
      <c r="D454" s="481" t="n"/>
      <c r="E454" s="481" t="n"/>
      <c r="F454" s="481" t="n"/>
      <c r="G454" s="481" t="n"/>
    </row>
    <row r="455">
      <c r="A455" s="481" t="n"/>
      <c r="B455" s="481" t="n"/>
      <c r="C455" s="481" t="n"/>
      <c r="D455" s="481" t="n"/>
      <c r="E455" s="481" t="n"/>
      <c r="F455" s="481" t="n"/>
      <c r="G455" s="481" t="n"/>
    </row>
    <row r="456">
      <c r="A456" s="481" t="n"/>
      <c r="B456" s="481" t="n"/>
      <c r="C456" s="481" t="n"/>
      <c r="D456" s="481" t="n"/>
      <c r="E456" s="481" t="n"/>
      <c r="F456" s="481" t="n"/>
      <c r="G456" s="481" t="n"/>
    </row>
    <row r="457">
      <c r="A457" s="481" t="n"/>
      <c r="B457" s="481" t="n"/>
      <c r="C457" s="481" t="n"/>
      <c r="D457" s="481" t="n"/>
      <c r="E457" s="481" t="n"/>
      <c r="F457" s="481" t="n"/>
      <c r="G457" s="481" t="n"/>
    </row>
    <row r="458">
      <c r="A458" s="481" t="n"/>
      <c r="B458" s="481" t="n"/>
      <c r="C458" s="481" t="n"/>
      <c r="D458" s="481" t="n"/>
      <c r="E458" s="481" t="n"/>
      <c r="F458" s="481" t="n"/>
      <c r="G458" s="481" t="n"/>
    </row>
    <row r="459">
      <c r="A459" s="481" t="n"/>
      <c r="B459" s="481" t="n"/>
      <c r="C459" s="481" t="n"/>
      <c r="D459" s="481" t="n"/>
      <c r="E459" s="481" t="n"/>
      <c r="F459" s="481" t="n"/>
      <c r="G459" s="481" t="n"/>
    </row>
    <row r="460">
      <c r="A460" s="481" t="n"/>
      <c r="B460" s="481" t="n"/>
      <c r="C460" s="481" t="n"/>
      <c r="D460" s="481" t="n"/>
      <c r="E460" s="481" t="n"/>
      <c r="F460" s="481" t="n"/>
      <c r="G460" s="481" t="n"/>
    </row>
    <row r="461">
      <c r="A461" s="481" t="n"/>
      <c r="B461" s="481" t="n"/>
      <c r="C461" s="481" t="n"/>
      <c r="D461" s="481" t="n"/>
      <c r="E461" s="481" t="n"/>
      <c r="F461" s="481" t="n"/>
      <c r="G461" s="481" t="n"/>
    </row>
    <row r="462">
      <c r="A462" s="481" t="n"/>
      <c r="B462" s="481" t="n"/>
      <c r="C462" s="481" t="n"/>
      <c r="D462" s="481" t="n"/>
      <c r="E462" s="481" t="n"/>
      <c r="F462" s="481" t="n"/>
      <c r="G462" s="481" t="n"/>
    </row>
    <row r="463">
      <c r="A463" s="481" t="n"/>
      <c r="B463" s="481" t="n"/>
      <c r="C463" s="481" t="n"/>
      <c r="D463" s="481" t="n"/>
      <c r="E463" s="481" t="n"/>
      <c r="F463" s="481" t="n"/>
      <c r="G463" s="481" t="n"/>
    </row>
    <row r="464">
      <c r="A464" s="481" t="n"/>
      <c r="B464" s="481" t="n"/>
      <c r="C464" s="481" t="n"/>
      <c r="D464" s="481" t="n"/>
      <c r="E464" s="481" t="n"/>
      <c r="F464" s="481" t="n"/>
      <c r="G464" s="481" t="n"/>
    </row>
    <row r="465">
      <c r="A465" s="481" t="n"/>
      <c r="B465" s="481" t="n"/>
      <c r="C465" s="481" t="n"/>
      <c r="D465" s="481" t="n"/>
      <c r="E465" s="481" t="n"/>
      <c r="F465" s="481" t="n"/>
      <c r="G465" s="481" t="n"/>
    </row>
    <row r="466">
      <c r="A466" s="481" t="n"/>
      <c r="B466" s="481" t="n"/>
      <c r="C466" s="481" t="n"/>
      <c r="D466" s="481" t="n"/>
      <c r="E466" s="481" t="n"/>
      <c r="F466" s="481" t="n"/>
      <c r="G466" s="481" t="n"/>
    </row>
    <row r="467">
      <c r="A467" s="481" t="n"/>
      <c r="B467" s="481" t="n"/>
      <c r="C467" s="481" t="n"/>
      <c r="D467" s="481" t="n"/>
      <c r="E467" s="481" t="n"/>
      <c r="F467" s="481" t="n"/>
      <c r="G467" s="481" t="n"/>
    </row>
    <row r="468">
      <c r="A468" s="481" t="n"/>
      <c r="B468" s="481" t="n"/>
      <c r="C468" s="481" t="n"/>
      <c r="D468" s="481" t="n"/>
      <c r="E468" s="481" t="n"/>
      <c r="F468" s="481" t="n"/>
      <c r="G468" s="481" t="n"/>
    </row>
    <row r="469">
      <c r="A469" s="481" t="n"/>
      <c r="B469" s="481" t="n"/>
      <c r="C469" s="481" t="n"/>
      <c r="D469" s="481" t="n"/>
      <c r="E469" s="481" t="n"/>
      <c r="F469" s="481" t="n"/>
      <c r="G469" s="481" t="n"/>
    </row>
    <row r="470">
      <c r="A470" s="481" t="n"/>
      <c r="B470" s="481" t="n"/>
      <c r="C470" s="481" t="n"/>
      <c r="D470" s="481" t="n"/>
      <c r="E470" s="481" t="n"/>
      <c r="F470" s="481" t="n"/>
      <c r="G470" s="481" t="n"/>
    </row>
    <row r="471">
      <c r="A471" s="481" t="n"/>
      <c r="B471" s="481" t="n"/>
      <c r="C471" s="481" t="n"/>
      <c r="D471" s="481" t="n"/>
      <c r="E471" s="481" t="n"/>
      <c r="F471" s="481" t="n"/>
      <c r="G471" s="481" t="n"/>
    </row>
    <row r="472">
      <c r="A472" s="481" t="n"/>
      <c r="B472" s="481" t="n"/>
      <c r="C472" s="481" t="n"/>
      <c r="D472" s="481" t="n"/>
      <c r="E472" s="481" t="n"/>
      <c r="F472" s="481" t="n"/>
      <c r="G472" s="481" t="n"/>
    </row>
    <row r="473">
      <c r="A473" s="481" t="n"/>
      <c r="B473" s="481" t="n"/>
      <c r="C473" s="481" t="n"/>
      <c r="D473" s="481" t="n"/>
      <c r="E473" s="481" t="n"/>
      <c r="F473" s="481" t="n"/>
      <c r="G473" s="481" t="n"/>
    </row>
    <row r="474">
      <c r="A474" s="481" t="n"/>
      <c r="B474" s="481" t="n"/>
      <c r="C474" s="481" t="n"/>
      <c r="D474" s="481" t="n"/>
      <c r="E474" s="481" t="n"/>
      <c r="F474" s="481" t="n"/>
      <c r="G474" s="481" t="n"/>
    </row>
    <row r="475">
      <c r="A475" s="481" t="n"/>
      <c r="B475" s="481" t="n"/>
      <c r="C475" s="481" t="n"/>
      <c r="D475" s="481" t="n"/>
      <c r="E475" s="481" t="n"/>
      <c r="F475" s="481" t="n"/>
      <c r="G475" s="481" t="n"/>
    </row>
    <row r="476">
      <c r="A476" s="481" t="n"/>
      <c r="B476" s="481" t="n"/>
      <c r="C476" s="481" t="n"/>
      <c r="D476" s="481" t="n"/>
      <c r="E476" s="481" t="n"/>
      <c r="F476" s="481" t="n"/>
      <c r="G476" s="481" t="n"/>
    </row>
    <row r="477">
      <c r="A477" s="481" t="n"/>
      <c r="B477" s="481" t="n"/>
      <c r="C477" s="481" t="n"/>
      <c r="D477" s="481" t="n"/>
      <c r="E477" s="481" t="n"/>
      <c r="F477" s="481" t="n"/>
      <c r="G477" s="481" t="n"/>
    </row>
    <row r="478">
      <c r="A478" s="481" t="n"/>
      <c r="B478" s="481" t="n"/>
      <c r="C478" s="481" t="n"/>
      <c r="D478" s="481" t="n"/>
      <c r="E478" s="481" t="n"/>
      <c r="F478" s="481" t="n"/>
      <c r="G478" s="481" t="n"/>
    </row>
    <row r="479">
      <c r="A479" s="481" t="n"/>
      <c r="B479" s="481" t="n"/>
      <c r="C479" s="481" t="n"/>
      <c r="D479" s="481" t="n"/>
      <c r="E479" s="481" t="n"/>
      <c r="F479" s="481" t="n"/>
      <c r="G479" s="481" t="n"/>
    </row>
    <row r="480">
      <c r="A480" s="481" t="n"/>
      <c r="B480" s="481" t="n"/>
      <c r="C480" s="481" t="n"/>
      <c r="D480" s="481" t="n"/>
      <c r="E480" s="481" t="n"/>
      <c r="F480" s="481" t="n"/>
      <c r="G480" s="481" t="n"/>
    </row>
    <row r="481">
      <c r="A481" s="481" t="n"/>
      <c r="B481" s="481" t="n"/>
      <c r="C481" s="481" t="n"/>
      <c r="D481" s="481" t="n"/>
      <c r="E481" s="481" t="n"/>
      <c r="F481" s="481" t="n"/>
      <c r="G481" s="481" t="n"/>
    </row>
    <row r="482">
      <c r="A482" s="481" t="n"/>
      <c r="B482" s="481" t="n"/>
      <c r="C482" s="481" t="n"/>
      <c r="D482" s="481" t="n"/>
      <c r="E482" s="481" t="n"/>
      <c r="F482" s="481" t="n"/>
      <c r="G482" s="481" t="n"/>
    </row>
    <row r="483">
      <c r="A483" s="481" t="n"/>
      <c r="B483" s="481" t="n"/>
      <c r="C483" s="481" t="n"/>
      <c r="D483" s="481" t="n"/>
      <c r="E483" s="481" t="n"/>
      <c r="F483" s="481" t="n"/>
      <c r="G483" s="481" t="n"/>
    </row>
    <row r="484">
      <c r="A484" s="481" t="n"/>
      <c r="B484" s="481" t="n"/>
      <c r="C484" s="481" t="n"/>
      <c r="D484" s="481" t="n"/>
      <c r="E484" s="481" t="n"/>
      <c r="F484" s="481" t="n"/>
      <c r="G484" s="481" t="n"/>
    </row>
    <row r="485">
      <c r="A485" s="481" t="n"/>
      <c r="B485" s="481" t="n"/>
      <c r="C485" s="481" t="n"/>
      <c r="D485" s="481" t="n"/>
      <c r="E485" s="481" t="n"/>
      <c r="F485" s="481" t="n"/>
      <c r="G485" s="481" t="n"/>
    </row>
    <row r="486">
      <c r="A486" s="481" t="n"/>
      <c r="B486" s="481" t="n"/>
      <c r="C486" s="481" t="n"/>
      <c r="D486" s="481" t="n"/>
      <c r="E486" s="481" t="n"/>
      <c r="F486" s="481" t="n"/>
      <c r="G486" s="481" t="n"/>
    </row>
    <row r="487">
      <c r="A487" s="481" t="n"/>
      <c r="B487" s="481" t="n"/>
      <c r="C487" s="481" t="n"/>
      <c r="D487" s="481" t="n"/>
      <c r="E487" s="481" t="n"/>
      <c r="F487" s="481" t="n"/>
      <c r="G487" s="481" t="n"/>
    </row>
    <row r="488">
      <c r="A488" s="481" t="n"/>
      <c r="B488" s="481" t="n"/>
      <c r="C488" s="481" t="n"/>
      <c r="D488" s="481" t="n"/>
      <c r="E488" s="481" t="n"/>
      <c r="F488" s="481" t="n"/>
      <c r="G488" s="481" t="n"/>
    </row>
    <row r="489">
      <c r="A489" s="481" t="n"/>
      <c r="B489" s="481" t="n"/>
      <c r="C489" s="481" t="n"/>
      <c r="D489" s="481" t="n"/>
      <c r="E489" s="481" t="n"/>
      <c r="F489" s="481" t="n"/>
      <c r="G489" s="481" t="n"/>
    </row>
    <row r="490">
      <c r="A490" s="481" t="n"/>
      <c r="B490" s="481" t="n"/>
      <c r="C490" s="481" t="n"/>
      <c r="D490" s="481" t="n"/>
      <c r="E490" s="481" t="n"/>
      <c r="F490" s="481" t="n"/>
      <c r="G490" s="481" t="n"/>
    </row>
    <row r="491">
      <c r="A491" s="481" t="n"/>
      <c r="B491" s="481" t="n"/>
      <c r="C491" s="481" t="n"/>
      <c r="D491" s="481" t="n"/>
      <c r="E491" s="481" t="n"/>
      <c r="F491" s="481" t="n"/>
      <c r="G491" s="481" t="n"/>
    </row>
    <row r="492">
      <c r="A492" s="481" t="n"/>
      <c r="B492" s="481" t="n"/>
      <c r="C492" s="481" t="n"/>
      <c r="D492" s="481" t="n"/>
      <c r="E492" s="481" t="n"/>
      <c r="F492" s="481" t="n"/>
      <c r="G492" s="481" t="n"/>
    </row>
    <row r="493">
      <c r="A493" s="481" t="n"/>
      <c r="B493" s="481" t="n"/>
      <c r="C493" s="481" t="n"/>
      <c r="D493" s="481" t="n"/>
      <c r="E493" s="481" t="n"/>
      <c r="F493" s="481" t="n"/>
      <c r="G493" s="481" t="n"/>
    </row>
    <row r="494">
      <c r="A494" s="481" t="n"/>
      <c r="B494" s="481" t="n"/>
      <c r="C494" s="481" t="n"/>
      <c r="D494" s="481" t="n"/>
      <c r="E494" s="481" t="n"/>
      <c r="F494" s="481" t="n"/>
      <c r="G494" s="481" t="n"/>
    </row>
    <row r="495">
      <c r="A495" s="481" t="n"/>
      <c r="B495" s="481" t="n"/>
      <c r="C495" s="481" t="n"/>
      <c r="D495" s="481" t="n"/>
      <c r="E495" s="481" t="n"/>
      <c r="F495" s="481" t="n"/>
      <c r="G495" s="481" t="n"/>
    </row>
    <row r="496">
      <c r="A496" s="481" t="n"/>
      <c r="B496" s="481" t="n"/>
      <c r="C496" s="481" t="n"/>
      <c r="D496" s="481" t="n"/>
      <c r="E496" s="481" t="n"/>
      <c r="F496" s="481" t="n"/>
      <c r="G496" s="481" t="n"/>
    </row>
    <row r="497">
      <c r="A497" s="481" t="n"/>
      <c r="B497" s="481" t="n"/>
      <c r="C497" s="481" t="n"/>
      <c r="D497" s="481" t="n"/>
      <c r="E497" s="481" t="n"/>
      <c r="F497" s="481" t="n"/>
      <c r="G497" s="481" t="n"/>
    </row>
    <row r="498">
      <c r="A498" s="481" t="n"/>
      <c r="B498" s="481" t="n"/>
      <c r="C498" s="481" t="n"/>
      <c r="D498" s="481" t="n"/>
      <c r="E498" s="481" t="n"/>
      <c r="F498" s="481" t="n"/>
      <c r="G498" s="481" t="n"/>
    </row>
    <row r="499">
      <c r="A499" s="481" t="n"/>
      <c r="B499" s="481" t="n"/>
      <c r="C499" s="481" t="n"/>
      <c r="D499" s="481" t="n"/>
      <c r="E499" s="481" t="n"/>
      <c r="F499" s="481" t="n"/>
      <c r="G499" s="481" t="n"/>
    </row>
    <row r="500">
      <c r="A500" s="481" t="n"/>
      <c r="B500" s="481" t="n"/>
      <c r="C500" s="481" t="n"/>
      <c r="D500" s="481" t="n"/>
      <c r="E500" s="481" t="n"/>
      <c r="F500" s="481" t="n"/>
      <c r="G500" s="481" t="n"/>
    </row>
    <row r="501">
      <c r="A501" s="481" t="n"/>
      <c r="B501" s="481" t="n"/>
      <c r="C501" s="481" t="n"/>
      <c r="D501" s="481" t="n"/>
      <c r="E501" s="481" t="n"/>
      <c r="F501" s="481" t="n"/>
      <c r="G501" s="481" t="n"/>
    </row>
    <row r="502">
      <c r="A502" s="481" t="n"/>
      <c r="B502" s="481" t="n"/>
      <c r="C502" s="481" t="n"/>
      <c r="D502" s="481" t="n"/>
      <c r="E502" s="481" t="n"/>
      <c r="F502" s="481" t="n"/>
      <c r="G502" s="481" t="n"/>
    </row>
    <row r="503">
      <c r="A503" s="481" t="n"/>
      <c r="B503" s="481" t="n"/>
      <c r="C503" s="481" t="n"/>
      <c r="D503" s="481" t="n"/>
      <c r="E503" s="481" t="n"/>
      <c r="F503" s="481" t="n"/>
      <c r="G503" s="481" t="n"/>
    </row>
    <row r="504">
      <c r="A504" s="481" t="n"/>
      <c r="B504" s="481" t="n"/>
      <c r="C504" s="481" t="n"/>
      <c r="D504" s="481" t="n"/>
      <c r="E504" s="481" t="n"/>
      <c r="F504" s="481" t="n"/>
      <c r="G504" s="481" t="n"/>
    </row>
    <row r="505">
      <c r="A505" s="481" t="n"/>
      <c r="B505" s="481" t="n"/>
      <c r="C505" s="481" t="n"/>
      <c r="D505" s="481" t="n"/>
      <c r="E505" s="481" t="n"/>
      <c r="F505" s="481" t="n"/>
      <c r="G505" s="481" t="n"/>
    </row>
    <row r="506">
      <c r="A506" s="481" t="n"/>
      <c r="B506" s="481" t="n"/>
      <c r="C506" s="481" t="n"/>
      <c r="D506" s="481" t="n"/>
      <c r="E506" s="481" t="n"/>
      <c r="F506" s="481" t="n"/>
      <c r="G506" s="481" t="n"/>
    </row>
    <row r="507">
      <c r="A507" s="481" t="n"/>
      <c r="B507" s="481" t="n"/>
      <c r="C507" s="481" t="n"/>
      <c r="D507" s="481" t="n"/>
      <c r="E507" s="481" t="n"/>
      <c r="F507" s="481" t="n"/>
      <c r="G507" s="481" t="n"/>
    </row>
    <row r="508">
      <c r="A508" s="481" t="n"/>
      <c r="B508" s="481" t="n"/>
      <c r="C508" s="481" t="n"/>
      <c r="D508" s="481" t="n"/>
      <c r="E508" s="481" t="n"/>
      <c r="F508" s="481" t="n"/>
      <c r="G508" s="481" t="n"/>
    </row>
    <row r="509">
      <c r="A509" s="481" t="n"/>
      <c r="B509" s="481" t="n"/>
      <c r="C509" s="481" t="n"/>
      <c r="D509" s="481" t="n"/>
      <c r="E509" s="481" t="n"/>
      <c r="F509" s="481" t="n"/>
      <c r="G509" s="481" t="n"/>
    </row>
    <row r="510">
      <c r="A510" s="481" t="n"/>
      <c r="B510" s="481" t="n"/>
      <c r="C510" s="481" t="n"/>
      <c r="D510" s="481" t="n"/>
      <c r="E510" s="481" t="n"/>
      <c r="F510" s="481" t="n"/>
      <c r="G510" s="481" t="n"/>
    </row>
    <row r="511">
      <c r="A511" s="481" t="n"/>
      <c r="B511" s="481" t="n"/>
      <c r="C511" s="481" t="n"/>
      <c r="D511" s="481" t="n"/>
      <c r="E511" s="481" t="n"/>
      <c r="F511" s="481" t="n"/>
      <c r="G511" s="481" t="n"/>
    </row>
    <row r="512">
      <c r="A512" s="481" t="n"/>
      <c r="B512" s="481" t="n"/>
      <c r="C512" s="481" t="n"/>
      <c r="D512" s="481" t="n"/>
      <c r="E512" s="481" t="n"/>
      <c r="F512" s="481" t="n"/>
      <c r="G512" s="481" t="n"/>
    </row>
    <row r="513">
      <c r="A513" s="481" t="n"/>
      <c r="B513" s="481" t="n"/>
      <c r="C513" s="481" t="n"/>
      <c r="D513" s="481" t="n"/>
      <c r="E513" s="481" t="n"/>
      <c r="F513" s="481" t="n"/>
      <c r="G513" s="481" t="n"/>
    </row>
    <row r="514">
      <c r="A514" s="481" t="n"/>
      <c r="B514" s="481" t="n"/>
      <c r="C514" s="481" t="n"/>
      <c r="D514" s="481" t="n"/>
      <c r="E514" s="481" t="n"/>
      <c r="F514" s="481" t="n"/>
      <c r="G514" s="481" t="n"/>
    </row>
    <row r="515">
      <c r="A515" s="481" t="n"/>
      <c r="B515" s="481" t="n"/>
      <c r="C515" s="481" t="n"/>
      <c r="D515" s="481" t="n"/>
      <c r="E515" s="481" t="n"/>
      <c r="F515" s="481" t="n"/>
      <c r="G515" s="481" t="n"/>
    </row>
    <row r="516">
      <c r="A516" s="481" t="n"/>
      <c r="B516" s="481" t="n"/>
      <c r="C516" s="481" t="n"/>
      <c r="D516" s="481" t="n"/>
      <c r="E516" s="481" t="n"/>
      <c r="F516" s="481" t="n"/>
      <c r="G516" s="481" t="n"/>
    </row>
    <row r="517">
      <c r="A517" s="481" t="n"/>
      <c r="B517" s="481" t="n"/>
      <c r="C517" s="481" t="n"/>
      <c r="D517" s="481" t="n"/>
      <c r="E517" s="481" t="n"/>
      <c r="F517" s="481" t="n"/>
      <c r="G517" s="481" t="n"/>
    </row>
    <row r="518">
      <c r="A518" s="481" t="n"/>
      <c r="B518" s="481" t="n"/>
      <c r="C518" s="481" t="n"/>
      <c r="D518" s="481" t="n"/>
      <c r="E518" s="481" t="n"/>
      <c r="F518" s="481" t="n"/>
      <c r="G518" s="481" t="n"/>
    </row>
    <row r="519">
      <c r="A519" s="481" t="n"/>
      <c r="B519" s="481" t="n"/>
      <c r="C519" s="481" t="n"/>
      <c r="D519" s="481" t="n"/>
      <c r="E519" s="481" t="n"/>
      <c r="F519" s="481" t="n"/>
      <c r="G519" s="481" t="n"/>
    </row>
    <row r="520">
      <c r="A520" s="481" t="n"/>
      <c r="B520" s="481" t="n"/>
      <c r="C520" s="481" t="n"/>
      <c r="D520" s="481" t="n"/>
      <c r="E520" s="481" t="n"/>
      <c r="F520" s="481" t="n"/>
      <c r="G520" s="481" t="n"/>
    </row>
    <row r="521">
      <c r="A521" s="481" t="n"/>
      <c r="B521" s="481" t="n"/>
      <c r="C521" s="481" t="n"/>
      <c r="D521" s="481" t="n"/>
      <c r="E521" s="481" t="n"/>
      <c r="F521" s="481" t="n"/>
      <c r="G521" s="481" t="n"/>
    </row>
    <row r="522">
      <c r="A522" s="481" t="n"/>
      <c r="B522" s="481" t="n"/>
      <c r="C522" s="481" t="n"/>
      <c r="D522" s="481" t="n"/>
      <c r="E522" s="481" t="n"/>
      <c r="F522" s="481" t="n"/>
      <c r="G522" s="481" t="n"/>
    </row>
    <row r="523">
      <c r="A523" s="481" t="n"/>
      <c r="B523" s="481" t="n"/>
      <c r="C523" s="481" t="n"/>
      <c r="D523" s="481" t="n"/>
      <c r="E523" s="481" t="n"/>
      <c r="F523" s="481" t="n"/>
      <c r="G523" s="481" t="n"/>
    </row>
    <row r="524">
      <c r="A524" s="481" t="n"/>
      <c r="B524" s="481" t="n"/>
      <c r="C524" s="481" t="n"/>
      <c r="D524" s="481" t="n"/>
      <c r="E524" s="481" t="n"/>
      <c r="F524" s="481" t="n"/>
      <c r="G524" s="481" t="n"/>
    </row>
    <row r="525">
      <c r="A525" s="481" t="n"/>
      <c r="B525" s="481" t="n"/>
      <c r="C525" s="481" t="n"/>
      <c r="D525" s="481" t="n"/>
      <c r="E525" s="481" t="n"/>
      <c r="F525" s="481" t="n"/>
      <c r="G525" s="481" t="n"/>
    </row>
    <row r="526">
      <c r="A526" s="481" t="n"/>
      <c r="B526" s="481" t="n"/>
      <c r="C526" s="481" t="n"/>
      <c r="D526" s="481" t="n"/>
      <c r="E526" s="481" t="n"/>
      <c r="F526" s="481" t="n"/>
      <c r="G526" s="481" t="n"/>
    </row>
    <row r="527">
      <c r="A527" s="481" t="n"/>
      <c r="B527" s="481" t="n"/>
      <c r="C527" s="481" t="n"/>
      <c r="D527" s="481" t="n"/>
      <c r="E527" s="481" t="n"/>
      <c r="F527" s="481" t="n"/>
      <c r="G527" s="481" t="n"/>
    </row>
    <row r="528">
      <c r="A528" s="481" t="n"/>
      <c r="B528" s="481" t="n"/>
      <c r="C528" s="481" t="n"/>
      <c r="D528" s="481" t="n"/>
      <c r="E528" s="481" t="n"/>
      <c r="F528" s="481" t="n"/>
      <c r="G528" s="481" t="n"/>
    </row>
    <row r="529">
      <c r="A529" s="481" t="n"/>
      <c r="B529" s="481" t="n"/>
      <c r="C529" s="481" t="n"/>
      <c r="D529" s="481" t="n"/>
      <c r="E529" s="481" t="n"/>
      <c r="F529" s="481" t="n"/>
      <c r="G529" s="481" t="n"/>
    </row>
    <row r="530">
      <c r="A530" s="481" t="n"/>
      <c r="B530" s="481" t="n"/>
      <c r="C530" s="481" t="n"/>
      <c r="D530" s="481" t="n"/>
      <c r="E530" s="481" t="n"/>
      <c r="F530" s="481" t="n"/>
      <c r="G530" s="481" t="n"/>
    </row>
    <row r="531">
      <c r="A531" s="481" t="n"/>
      <c r="B531" s="481" t="n"/>
      <c r="C531" s="481" t="n"/>
      <c r="D531" s="481" t="n"/>
      <c r="E531" s="481" t="n"/>
      <c r="F531" s="481" t="n"/>
      <c r="G531" s="481" t="n"/>
    </row>
    <row r="532">
      <c r="A532" s="481" t="n"/>
      <c r="B532" s="481" t="n"/>
      <c r="C532" s="481" t="n"/>
      <c r="D532" s="481" t="n"/>
      <c r="E532" s="481" t="n"/>
      <c r="F532" s="481" t="n"/>
      <c r="G532" s="481" t="n"/>
    </row>
    <row r="533">
      <c r="A533" s="481" t="n"/>
      <c r="B533" s="481" t="n"/>
      <c r="C533" s="481" t="n"/>
      <c r="D533" s="481" t="n"/>
      <c r="E533" s="481" t="n"/>
      <c r="F533" s="481" t="n"/>
      <c r="G533" s="481" t="n"/>
    </row>
    <row r="534">
      <c r="A534" s="481" t="n"/>
      <c r="B534" s="481" t="n"/>
      <c r="C534" s="481" t="n"/>
      <c r="D534" s="481" t="n"/>
      <c r="E534" s="481" t="n"/>
      <c r="F534" s="481" t="n"/>
      <c r="G534" s="481" t="n"/>
    </row>
    <row r="535">
      <c r="A535" s="481" t="n"/>
      <c r="B535" s="481" t="n"/>
      <c r="C535" s="481" t="n"/>
      <c r="D535" s="481" t="n"/>
      <c r="E535" s="481" t="n"/>
      <c r="F535" s="481" t="n"/>
      <c r="G535" s="481" t="n"/>
    </row>
    <row r="536">
      <c r="A536" s="481" t="n"/>
      <c r="B536" s="481" t="n"/>
      <c r="C536" s="481" t="n"/>
      <c r="D536" s="481" t="n"/>
      <c r="E536" s="481" t="n"/>
      <c r="F536" s="481" t="n"/>
      <c r="G536" s="481" t="n"/>
    </row>
    <row r="537">
      <c r="A537" s="481" t="n"/>
      <c r="B537" s="481" t="n"/>
      <c r="C537" s="481" t="n"/>
      <c r="D537" s="481" t="n"/>
      <c r="E537" s="481" t="n"/>
      <c r="F537" s="481" t="n"/>
      <c r="G537" s="481" t="n"/>
    </row>
    <row r="538">
      <c r="A538" s="481" t="n"/>
      <c r="B538" s="481" t="n"/>
      <c r="C538" s="481" t="n"/>
      <c r="D538" s="481" t="n"/>
      <c r="E538" s="481" t="n"/>
      <c r="F538" s="481" t="n"/>
      <c r="G538" s="481" t="n"/>
    </row>
    <row r="539">
      <c r="A539" s="481" t="n"/>
      <c r="B539" s="481" t="n"/>
      <c r="C539" s="481" t="n"/>
      <c r="D539" s="481" t="n"/>
      <c r="E539" s="481" t="n"/>
      <c r="F539" s="481" t="n"/>
      <c r="G539" s="481" t="n"/>
    </row>
    <row r="540">
      <c r="A540" s="481" t="n"/>
      <c r="B540" s="481" t="n"/>
      <c r="C540" s="481" t="n"/>
      <c r="D540" s="481" t="n"/>
      <c r="E540" s="481" t="n"/>
      <c r="F540" s="481" t="n"/>
      <c r="G540" s="481" t="n"/>
    </row>
    <row r="541">
      <c r="A541" s="481" t="n"/>
      <c r="B541" s="481" t="n"/>
      <c r="C541" s="481" t="n"/>
      <c r="D541" s="481" t="n"/>
      <c r="E541" s="481" t="n"/>
      <c r="F541" s="481" t="n"/>
      <c r="G541" s="481" t="n"/>
    </row>
    <row r="542">
      <c r="A542" s="481" t="n"/>
      <c r="B542" s="481" t="n"/>
      <c r="C542" s="481" t="n"/>
      <c r="D542" s="481" t="n"/>
      <c r="E542" s="481" t="n"/>
      <c r="F542" s="481" t="n"/>
      <c r="G542" s="481" t="n"/>
    </row>
    <row r="543">
      <c r="A543" s="481" t="n"/>
      <c r="B543" s="481" t="n"/>
      <c r="C543" s="481" t="n"/>
      <c r="D543" s="481" t="n"/>
      <c r="E543" s="481" t="n"/>
      <c r="F543" s="481" t="n"/>
      <c r="G543" s="481" t="n"/>
    </row>
    <row r="544">
      <c r="A544" s="481" t="n"/>
      <c r="B544" s="481" t="n"/>
      <c r="C544" s="481" t="n"/>
      <c r="D544" s="481" t="n"/>
      <c r="E544" s="481" t="n"/>
      <c r="F544" s="481" t="n"/>
      <c r="G544" s="481" t="n"/>
    </row>
    <row r="545">
      <c r="A545" s="481" t="n"/>
      <c r="B545" s="481" t="n"/>
      <c r="C545" s="481" t="n"/>
      <c r="D545" s="481" t="n"/>
      <c r="E545" s="481" t="n"/>
      <c r="F545" s="481" t="n"/>
      <c r="G545" s="481" t="n"/>
    </row>
    <row r="546">
      <c r="A546" s="481" t="n"/>
      <c r="B546" s="481" t="n"/>
      <c r="C546" s="481" t="n"/>
      <c r="D546" s="481" t="n"/>
      <c r="E546" s="481" t="n"/>
      <c r="F546" s="481" t="n"/>
      <c r="G546" s="481" t="n"/>
    </row>
    <row r="547">
      <c r="A547" s="481" t="n"/>
      <c r="B547" s="481" t="n"/>
      <c r="C547" s="481" t="n"/>
      <c r="D547" s="481" t="n"/>
      <c r="E547" s="481" t="n"/>
      <c r="F547" s="481" t="n"/>
      <c r="G547" s="481" t="n"/>
    </row>
    <row r="548">
      <c r="A548" s="481" t="n"/>
      <c r="B548" s="481" t="n"/>
      <c r="C548" s="481" t="n"/>
      <c r="D548" s="481" t="n"/>
      <c r="E548" s="481" t="n"/>
      <c r="F548" s="481" t="n"/>
      <c r="G548" s="481" t="n"/>
    </row>
    <row r="549">
      <c r="A549" s="481" t="n"/>
      <c r="B549" s="481" t="n"/>
      <c r="C549" s="481" t="n"/>
      <c r="D549" s="481" t="n"/>
      <c r="E549" s="481" t="n"/>
      <c r="F549" s="481" t="n"/>
      <c r="G549" s="481" t="n"/>
    </row>
    <row r="550">
      <c r="A550" s="481" t="n"/>
      <c r="B550" s="481" t="n"/>
      <c r="C550" s="481" t="n"/>
      <c r="D550" s="481" t="n"/>
      <c r="E550" s="481" t="n"/>
      <c r="F550" s="481" t="n"/>
      <c r="G550" s="481" t="n"/>
    </row>
    <row r="551">
      <c r="A551" s="481" t="n"/>
      <c r="B551" s="481" t="n"/>
      <c r="C551" s="481" t="n"/>
      <c r="D551" s="481" t="n"/>
      <c r="E551" s="481" t="n"/>
      <c r="F551" s="481" t="n"/>
      <c r="G551" s="481" t="n"/>
    </row>
    <row r="552">
      <c r="A552" s="481" t="n"/>
      <c r="B552" s="481" t="n"/>
      <c r="C552" s="481" t="n"/>
      <c r="D552" s="481" t="n"/>
      <c r="E552" s="481" t="n"/>
      <c r="F552" s="481" t="n"/>
      <c r="G552" s="481" t="n"/>
    </row>
    <row r="553">
      <c r="A553" s="481" t="n"/>
      <c r="B553" s="481" t="n"/>
      <c r="C553" s="481" t="n"/>
      <c r="D553" s="481" t="n"/>
      <c r="E553" s="481" t="n"/>
      <c r="F553" s="481" t="n"/>
      <c r="G553" s="481" t="n"/>
    </row>
    <row r="554">
      <c r="A554" s="481" t="n"/>
      <c r="B554" s="481" t="n"/>
      <c r="C554" s="481" t="n"/>
      <c r="D554" s="481" t="n"/>
      <c r="E554" s="481" t="n"/>
      <c r="F554" s="481" t="n"/>
      <c r="G554" s="481" t="n"/>
    </row>
    <row r="555">
      <c r="A555" s="481" t="n"/>
      <c r="B555" s="481" t="n"/>
      <c r="C555" s="481" t="n"/>
      <c r="D555" s="481" t="n"/>
      <c r="E555" s="481" t="n"/>
      <c r="F555" s="481" t="n"/>
      <c r="G555" s="481" t="n"/>
    </row>
    <row r="556">
      <c r="A556" s="481" t="n"/>
      <c r="B556" s="481" t="n"/>
      <c r="C556" s="481" t="n"/>
      <c r="D556" s="481" t="n"/>
      <c r="E556" s="481" t="n"/>
      <c r="F556" s="481" t="n"/>
      <c r="G556" s="481" t="n"/>
    </row>
    <row r="557">
      <c r="A557" s="481" t="n"/>
      <c r="B557" s="481" t="n"/>
      <c r="C557" s="481" t="n"/>
      <c r="D557" s="481" t="n"/>
      <c r="E557" s="481" t="n"/>
      <c r="F557" s="481" t="n"/>
      <c r="G557" s="481" t="n"/>
    </row>
    <row r="558">
      <c r="A558" s="481" t="n"/>
      <c r="B558" s="481" t="n"/>
      <c r="C558" s="481" t="n"/>
      <c r="D558" s="481" t="n"/>
      <c r="E558" s="481" t="n"/>
      <c r="F558" s="481" t="n"/>
      <c r="G558" s="481" t="n"/>
    </row>
    <row r="559">
      <c r="A559" s="481" t="n"/>
      <c r="B559" s="481" t="n"/>
      <c r="C559" s="481" t="n"/>
      <c r="D559" s="481" t="n"/>
      <c r="E559" s="481" t="n"/>
      <c r="F559" s="481" t="n"/>
      <c r="G559" s="481" t="n"/>
    </row>
    <row r="560">
      <c r="A560" s="481" t="n"/>
      <c r="B560" s="481" t="n"/>
      <c r="C560" s="481" t="n"/>
      <c r="D560" s="481" t="n"/>
      <c r="E560" s="481" t="n"/>
      <c r="F560" s="481" t="n"/>
      <c r="G560" s="481" t="n"/>
    </row>
    <row r="561">
      <c r="A561" s="481" t="n"/>
      <c r="B561" s="481" t="n"/>
      <c r="C561" s="481" t="n"/>
      <c r="D561" s="481" t="n"/>
      <c r="E561" s="481" t="n"/>
      <c r="F561" s="481" t="n"/>
      <c r="G561" s="481" t="n"/>
    </row>
    <row r="562">
      <c r="A562" s="481" t="n"/>
      <c r="B562" s="481" t="n"/>
      <c r="C562" s="481" t="n"/>
      <c r="D562" s="481" t="n"/>
      <c r="E562" s="481" t="n"/>
      <c r="F562" s="481" t="n"/>
      <c r="G562" s="481" t="n"/>
    </row>
    <row r="563">
      <c r="A563" s="481" t="n"/>
      <c r="B563" s="481" t="n"/>
      <c r="C563" s="481" t="n"/>
      <c r="D563" s="481" t="n"/>
      <c r="E563" s="481" t="n"/>
      <c r="F563" s="481" t="n"/>
      <c r="G563" s="481" t="n"/>
    </row>
    <row r="564">
      <c r="A564" s="481" t="n"/>
      <c r="B564" s="481" t="n"/>
      <c r="C564" s="481" t="n"/>
      <c r="D564" s="481" t="n"/>
      <c r="E564" s="481" t="n"/>
      <c r="F564" s="481" t="n"/>
      <c r="G564" s="481" t="n"/>
    </row>
    <row r="565">
      <c r="A565" s="481" t="n"/>
      <c r="B565" s="481" t="n"/>
      <c r="C565" s="481" t="n"/>
      <c r="D565" s="481" t="n"/>
      <c r="E565" s="481" t="n"/>
      <c r="F565" s="481" t="n"/>
      <c r="G565" s="481" t="n"/>
    </row>
    <row r="566">
      <c r="A566" s="481" t="n"/>
      <c r="B566" s="481" t="n"/>
      <c r="C566" s="481" t="n"/>
      <c r="D566" s="481" t="n"/>
      <c r="E566" s="481" t="n"/>
      <c r="F566" s="481" t="n"/>
      <c r="G566" s="481" t="n"/>
    </row>
    <row r="567">
      <c r="A567" s="481" t="n"/>
      <c r="B567" s="481" t="n"/>
      <c r="C567" s="481" t="n"/>
      <c r="D567" s="481" t="n"/>
      <c r="E567" s="481" t="n"/>
      <c r="F567" s="481" t="n"/>
      <c r="G567" s="481" t="n"/>
    </row>
    <row r="568">
      <c r="A568" s="481" t="n"/>
      <c r="B568" s="481" t="n"/>
      <c r="C568" s="481" t="n"/>
      <c r="D568" s="481" t="n"/>
      <c r="E568" s="481" t="n"/>
      <c r="F568" s="481" t="n"/>
      <c r="G568" s="481" t="n"/>
    </row>
    <row r="569">
      <c r="A569" s="481" t="n"/>
      <c r="B569" s="481" t="n"/>
      <c r="C569" s="481" t="n"/>
      <c r="D569" s="481" t="n"/>
      <c r="E569" s="481" t="n"/>
      <c r="F569" s="481" t="n"/>
      <c r="G569" s="481" t="n"/>
    </row>
    <row r="570">
      <c r="A570" s="481" t="n"/>
      <c r="B570" s="481" t="n"/>
      <c r="C570" s="481" t="n"/>
      <c r="D570" s="481" t="n"/>
      <c r="E570" s="481" t="n"/>
      <c r="F570" s="481" t="n"/>
      <c r="G570" s="481" t="n"/>
    </row>
    <row r="571">
      <c r="A571" s="481" t="n"/>
      <c r="B571" s="481" t="n"/>
      <c r="C571" s="481" t="n"/>
      <c r="D571" s="481" t="n"/>
      <c r="E571" s="481" t="n"/>
      <c r="F571" s="481" t="n"/>
      <c r="G571" s="481" t="n"/>
    </row>
    <row r="572">
      <c r="A572" s="481" t="n"/>
      <c r="B572" s="481" t="n"/>
      <c r="C572" s="481" t="n"/>
      <c r="D572" s="481" t="n"/>
      <c r="E572" s="481" t="n"/>
      <c r="F572" s="481" t="n"/>
      <c r="G572" s="481" t="n"/>
    </row>
    <row r="573">
      <c r="A573" s="481" t="n"/>
      <c r="B573" s="481" t="n"/>
      <c r="C573" s="481" t="n"/>
      <c r="D573" s="481" t="n"/>
      <c r="E573" s="481" t="n"/>
      <c r="F573" s="481" t="n"/>
      <c r="G573" s="481" t="n"/>
    </row>
    <row r="574">
      <c r="A574" s="481" t="n"/>
      <c r="B574" s="481" t="n"/>
      <c r="C574" s="481" t="n"/>
      <c r="D574" s="481" t="n"/>
      <c r="E574" s="481" t="n"/>
      <c r="F574" s="481" t="n"/>
      <c r="G574" s="481" t="n"/>
    </row>
    <row r="575">
      <c r="A575" s="481" t="n"/>
      <c r="B575" s="481" t="n"/>
      <c r="C575" s="481" t="n"/>
      <c r="D575" s="481" t="n"/>
      <c r="E575" s="481" t="n"/>
      <c r="F575" s="481" t="n"/>
      <c r="G575" s="481" t="n"/>
    </row>
    <row r="576">
      <c r="A576" s="481" t="n"/>
      <c r="B576" s="481" t="n"/>
      <c r="C576" s="481" t="n"/>
      <c r="D576" s="481" t="n"/>
      <c r="E576" s="481" t="n"/>
      <c r="F576" s="481" t="n"/>
      <c r="G576" s="481" t="n"/>
    </row>
    <row r="577">
      <c r="A577" s="481" t="n"/>
      <c r="B577" s="481" t="n"/>
      <c r="C577" s="481" t="n"/>
      <c r="D577" s="481" t="n"/>
      <c r="E577" s="481" t="n"/>
      <c r="F577" s="481" t="n"/>
      <c r="G577" s="481" t="n"/>
    </row>
    <row r="578">
      <c r="A578" s="481" t="n"/>
      <c r="B578" s="481" t="n"/>
      <c r="C578" s="481" t="n"/>
      <c r="D578" s="481" t="n"/>
      <c r="E578" s="481" t="n"/>
      <c r="F578" s="481" t="n"/>
      <c r="G578" s="481" t="n"/>
    </row>
    <row r="579">
      <c r="A579" s="481" t="n"/>
      <c r="B579" s="481" t="n"/>
      <c r="C579" s="481" t="n"/>
      <c r="D579" s="481" t="n"/>
      <c r="E579" s="481" t="n"/>
      <c r="F579" s="481" t="n"/>
      <c r="G579" s="481" t="n"/>
    </row>
    <row r="580">
      <c r="A580" s="481" t="n"/>
      <c r="B580" s="481" t="n"/>
      <c r="C580" s="481" t="n"/>
      <c r="D580" s="481" t="n"/>
      <c r="E580" s="481" t="n"/>
      <c r="F580" s="481" t="n"/>
      <c r="G580" s="481" t="n"/>
    </row>
    <row r="581">
      <c r="A581" s="481" t="n"/>
      <c r="B581" s="481" t="n"/>
      <c r="C581" s="481" t="n"/>
      <c r="D581" s="481" t="n"/>
      <c r="E581" s="481" t="n"/>
      <c r="F581" s="481" t="n"/>
      <c r="G581" s="481" t="n"/>
    </row>
    <row r="582">
      <c r="A582" s="481" t="n"/>
      <c r="B582" s="481" t="n"/>
      <c r="C582" s="481" t="n"/>
      <c r="D582" s="481" t="n"/>
      <c r="E582" s="481" t="n"/>
      <c r="F582" s="481" t="n"/>
      <c r="G582" s="481" t="n"/>
    </row>
    <row r="583">
      <c r="A583" s="481" t="n"/>
      <c r="B583" s="481" t="n"/>
      <c r="C583" s="481" t="n"/>
      <c r="D583" s="481" t="n"/>
      <c r="E583" s="481" t="n"/>
      <c r="F583" s="481" t="n"/>
      <c r="G583" s="481" t="n"/>
    </row>
    <row r="584">
      <c r="A584" s="481" t="n"/>
      <c r="B584" s="481" t="n"/>
      <c r="C584" s="481" t="n"/>
      <c r="D584" s="481" t="n"/>
      <c r="E584" s="481" t="n"/>
      <c r="F584" s="481" t="n"/>
      <c r="G584" s="481" t="n"/>
    </row>
    <row r="585">
      <c r="A585" s="481" t="n"/>
      <c r="B585" s="481" t="n"/>
      <c r="C585" s="481" t="n"/>
      <c r="D585" s="481" t="n"/>
      <c r="E585" s="481" t="n"/>
      <c r="F585" s="481" t="n"/>
      <c r="G585" s="481" t="n"/>
    </row>
    <row r="586">
      <c r="A586" s="481" t="n"/>
      <c r="B586" s="481" t="n"/>
      <c r="C586" s="481" t="n"/>
      <c r="D586" s="481" t="n"/>
      <c r="E586" s="481" t="n"/>
      <c r="F586" s="481" t="n"/>
      <c r="G586" s="481" t="n"/>
    </row>
    <row r="587">
      <c r="A587" s="481" t="n"/>
      <c r="B587" s="481" t="n"/>
      <c r="C587" s="481" t="n"/>
      <c r="D587" s="481" t="n"/>
      <c r="E587" s="481" t="n"/>
      <c r="F587" s="481" t="n"/>
      <c r="G587" s="481" t="n"/>
    </row>
    <row r="588">
      <c r="A588" s="481" t="n"/>
      <c r="B588" s="481" t="n"/>
      <c r="C588" s="481" t="n"/>
      <c r="D588" s="481" t="n"/>
      <c r="E588" s="481" t="n"/>
      <c r="F588" s="481" t="n"/>
      <c r="G588" s="481" t="n"/>
    </row>
    <row r="589">
      <c r="A589" s="481" t="n"/>
      <c r="B589" s="481" t="n"/>
      <c r="C589" s="481" t="n"/>
      <c r="D589" s="481" t="n"/>
      <c r="E589" s="481" t="n"/>
      <c r="F589" s="481" t="n"/>
      <c r="G589" s="481" t="n"/>
    </row>
    <row r="590">
      <c r="A590" s="481" t="n"/>
      <c r="B590" s="481" t="n"/>
      <c r="C590" s="481" t="n"/>
      <c r="D590" s="481" t="n"/>
      <c r="E590" s="481" t="n"/>
      <c r="F590" s="481" t="n"/>
      <c r="G590" s="481" t="n"/>
    </row>
    <row r="591">
      <c r="A591" s="481" t="n"/>
      <c r="B591" s="481" t="n"/>
      <c r="C591" s="481" t="n"/>
      <c r="D591" s="481" t="n"/>
      <c r="E591" s="481" t="n"/>
      <c r="F591" s="481" t="n"/>
      <c r="G591" s="481" t="n"/>
    </row>
    <row r="592">
      <c r="A592" s="481" t="n"/>
      <c r="B592" s="481" t="n"/>
      <c r="C592" s="481" t="n"/>
      <c r="D592" s="481" t="n"/>
      <c r="E592" s="481" t="n"/>
      <c r="F592" s="481" t="n"/>
      <c r="G592" s="481" t="n"/>
    </row>
    <row r="593">
      <c r="A593" s="481" t="n"/>
      <c r="B593" s="481" t="n"/>
      <c r="C593" s="481" t="n"/>
      <c r="D593" s="481" t="n"/>
      <c r="E593" s="481" t="n"/>
      <c r="F593" s="481" t="n"/>
      <c r="G593" s="481" t="n"/>
    </row>
    <row r="594">
      <c r="A594" s="481" t="n"/>
      <c r="B594" s="481" t="n"/>
      <c r="C594" s="481" t="n"/>
      <c r="D594" s="481" t="n"/>
      <c r="E594" s="481" t="n"/>
      <c r="F594" s="481" t="n"/>
      <c r="G594" s="481" t="n"/>
    </row>
    <row r="595">
      <c r="A595" s="481" t="n"/>
      <c r="B595" s="481" t="n"/>
      <c r="C595" s="481" t="n"/>
      <c r="D595" s="481" t="n"/>
      <c r="E595" s="481" t="n"/>
      <c r="F595" s="481" t="n"/>
      <c r="G595" s="481" t="n"/>
    </row>
    <row r="596">
      <c r="A596" s="481" t="n"/>
      <c r="B596" s="481" t="n"/>
      <c r="C596" s="481" t="n"/>
      <c r="D596" s="481" t="n"/>
      <c r="E596" s="481" t="n"/>
      <c r="F596" s="481" t="n"/>
      <c r="G596" s="481" t="n"/>
    </row>
    <row r="597">
      <c r="A597" s="481" t="n"/>
      <c r="B597" s="481" t="n"/>
      <c r="C597" s="481" t="n"/>
      <c r="D597" s="481" t="n"/>
      <c r="E597" s="481" t="n"/>
      <c r="F597" s="481" t="n"/>
      <c r="G597" s="481" t="n"/>
    </row>
    <row r="598">
      <c r="A598" s="481" t="n"/>
      <c r="B598" s="481" t="n"/>
      <c r="C598" s="481" t="n"/>
      <c r="D598" s="481" t="n"/>
      <c r="E598" s="481" t="n"/>
      <c r="F598" s="481" t="n"/>
      <c r="G598" s="481" t="n"/>
    </row>
    <row r="599">
      <c r="A599" s="481" t="n"/>
      <c r="B599" s="481" t="n"/>
      <c r="C599" s="481" t="n"/>
      <c r="D599" s="481" t="n"/>
      <c r="E599" s="481" t="n"/>
      <c r="F599" s="481" t="n"/>
      <c r="G599" s="481" t="n"/>
    </row>
    <row r="600">
      <c r="A600" s="481" t="n"/>
      <c r="B600" s="481" t="n"/>
      <c r="C600" s="481" t="n"/>
      <c r="D600" s="481" t="n"/>
      <c r="E600" s="481" t="n"/>
      <c r="F600" s="481" t="n"/>
      <c r="G600" s="481" t="n"/>
    </row>
    <row r="601">
      <c r="A601" s="481" t="n"/>
      <c r="B601" s="481" t="n"/>
      <c r="C601" s="481" t="n"/>
      <c r="D601" s="481" t="n"/>
      <c r="E601" s="481" t="n"/>
      <c r="F601" s="481" t="n"/>
      <c r="G601" s="481" t="n"/>
    </row>
    <row r="602">
      <c r="A602" s="481" t="n"/>
      <c r="B602" s="481" t="n"/>
      <c r="C602" s="481" t="n"/>
      <c r="D602" s="481" t="n"/>
      <c r="E602" s="481" t="n"/>
      <c r="F602" s="481" t="n"/>
      <c r="G602" s="481" t="n"/>
    </row>
    <row r="603">
      <c r="A603" s="481" t="n"/>
      <c r="B603" s="481" t="n"/>
      <c r="C603" s="481" t="n"/>
      <c r="D603" s="481" t="n"/>
      <c r="E603" s="481" t="n"/>
      <c r="F603" s="481" t="n"/>
      <c r="G603" s="481" t="n"/>
    </row>
    <row r="604">
      <c r="A604" s="481" t="n"/>
      <c r="B604" s="481" t="n"/>
      <c r="C604" s="481" t="n"/>
      <c r="D604" s="481" t="n"/>
      <c r="E604" s="481" t="n"/>
      <c r="F604" s="481" t="n"/>
      <c r="G604" s="481" t="n"/>
    </row>
    <row r="605">
      <c r="A605" s="481" t="n"/>
      <c r="B605" s="481" t="n"/>
      <c r="C605" s="481" t="n"/>
      <c r="D605" s="481" t="n"/>
      <c r="E605" s="481" t="n"/>
      <c r="F605" s="481" t="n"/>
      <c r="G605" s="481" t="n"/>
    </row>
    <row r="606">
      <c r="A606" s="481" t="n"/>
      <c r="B606" s="481" t="n"/>
      <c r="C606" s="481" t="n"/>
      <c r="D606" s="481" t="n"/>
      <c r="E606" s="481" t="n"/>
      <c r="F606" s="481" t="n"/>
      <c r="G606" s="481" t="n"/>
    </row>
    <row r="607">
      <c r="A607" s="481" t="n"/>
      <c r="B607" s="481" t="n"/>
      <c r="C607" s="481" t="n"/>
      <c r="D607" s="481" t="n"/>
      <c r="E607" s="481" t="n"/>
      <c r="F607" s="481" t="n"/>
      <c r="G607" s="481" t="n"/>
    </row>
    <row r="608">
      <c r="A608" s="481" t="n"/>
      <c r="B608" s="481" t="n"/>
      <c r="C608" s="481" t="n"/>
      <c r="D608" s="481" t="n"/>
      <c r="E608" s="481" t="n"/>
      <c r="F608" s="481" t="n"/>
      <c r="G608" s="481" t="n"/>
    </row>
    <row r="609">
      <c r="A609" s="481" t="n"/>
      <c r="B609" s="481" t="n"/>
      <c r="C609" s="481" t="n"/>
      <c r="D609" s="481" t="n"/>
      <c r="E609" s="481" t="n"/>
      <c r="F609" s="481" t="n"/>
      <c r="G609" s="481" t="n"/>
    </row>
    <row r="610">
      <c r="A610" s="481" t="n"/>
      <c r="B610" s="481" t="n"/>
      <c r="C610" s="481" t="n"/>
      <c r="D610" s="481" t="n"/>
      <c r="E610" s="481" t="n"/>
      <c r="F610" s="481" t="n"/>
      <c r="G610" s="481" t="n"/>
    </row>
    <row r="611">
      <c r="A611" s="481" t="n"/>
      <c r="B611" s="481" t="n"/>
      <c r="C611" s="481" t="n"/>
      <c r="D611" s="481" t="n"/>
      <c r="E611" s="481" t="n"/>
      <c r="F611" s="481" t="n"/>
      <c r="G611" s="481" t="n"/>
    </row>
    <row r="612">
      <c r="A612" s="481" t="n"/>
      <c r="B612" s="481" t="n"/>
      <c r="C612" s="481" t="n"/>
      <c r="D612" s="481" t="n"/>
      <c r="E612" s="481" t="n"/>
      <c r="F612" s="481" t="n"/>
      <c r="G612" s="481" t="n"/>
    </row>
    <row r="613">
      <c r="A613" s="481" t="n"/>
      <c r="B613" s="481" t="n"/>
      <c r="C613" s="481" t="n"/>
      <c r="D613" s="481" t="n"/>
      <c r="E613" s="481" t="n"/>
      <c r="F613" s="481" t="n"/>
      <c r="G613" s="481" t="n"/>
    </row>
    <row r="614">
      <c r="A614" s="481" t="n"/>
      <c r="B614" s="481" t="n"/>
      <c r="C614" s="481" t="n"/>
      <c r="D614" s="481" t="n"/>
      <c r="E614" s="481" t="n"/>
      <c r="F614" s="481" t="n"/>
      <c r="G614" s="481" t="n"/>
    </row>
    <row r="615">
      <c r="A615" s="481" t="n"/>
      <c r="B615" s="481" t="n"/>
      <c r="C615" s="481" t="n"/>
      <c r="D615" s="481" t="n"/>
      <c r="E615" s="481" t="n"/>
      <c r="F615" s="481" t="n"/>
      <c r="G615" s="481" t="n"/>
    </row>
    <row r="616">
      <c r="A616" s="481" t="n"/>
      <c r="B616" s="481" t="n"/>
      <c r="C616" s="481" t="n"/>
      <c r="D616" s="481" t="n"/>
      <c r="E616" s="481" t="n"/>
      <c r="F616" s="481" t="n"/>
      <c r="G616" s="481" t="n"/>
    </row>
    <row r="617">
      <c r="A617" s="481" t="n"/>
      <c r="B617" s="481" t="n"/>
      <c r="C617" s="481" t="n"/>
      <c r="D617" s="481" t="n"/>
      <c r="E617" s="481" t="n"/>
      <c r="F617" s="481" t="n"/>
      <c r="G617" s="481" t="n"/>
    </row>
    <row r="618">
      <c r="A618" s="481" t="n"/>
      <c r="B618" s="481" t="n"/>
      <c r="C618" s="481" t="n"/>
      <c r="D618" s="481" t="n"/>
      <c r="E618" s="481" t="n"/>
      <c r="F618" s="481" t="n"/>
      <c r="G618" s="481" t="n"/>
    </row>
    <row r="619">
      <c r="A619" s="481" t="n"/>
      <c r="B619" s="481" t="n"/>
      <c r="C619" s="481" t="n"/>
      <c r="D619" s="481" t="n"/>
      <c r="E619" s="481" t="n"/>
      <c r="F619" s="481" t="n"/>
      <c r="G619" s="481" t="n"/>
    </row>
    <row r="620">
      <c r="A620" s="481" t="n"/>
      <c r="B620" s="481" t="n"/>
      <c r="C620" s="481" t="n"/>
      <c r="D620" s="481" t="n"/>
      <c r="E620" s="481" t="n"/>
      <c r="F620" s="481" t="n"/>
      <c r="G620" s="481" t="n"/>
    </row>
    <row r="621">
      <c r="A621" s="481" t="n"/>
      <c r="B621" s="481" t="n"/>
      <c r="C621" s="481" t="n"/>
      <c r="D621" s="481" t="n"/>
      <c r="E621" s="481" t="n"/>
      <c r="F621" s="481" t="n"/>
      <c r="G621" s="481" t="n"/>
    </row>
    <row r="622">
      <c r="A622" s="481" t="n"/>
      <c r="B622" s="481" t="n"/>
      <c r="C622" s="481" t="n"/>
      <c r="D622" s="481" t="n"/>
      <c r="E622" s="481" t="n"/>
      <c r="F622" s="481" t="n"/>
      <c r="G622" s="481" t="n"/>
    </row>
    <row r="623">
      <c r="A623" s="481" t="n"/>
      <c r="B623" s="481" t="n"/>
      <c r="C623" s="481" t="n"/>
      <c r="D623" s="481" t="n"/>
      <c r="E623" s="481" t="n"/>
      <c r="F623" s="481" t="n"/>
      <c r="G623" s="481" t="n"/>
    </row>
    <row r="624">
      <c r="A624" s="481" t="n"/>
      <c r="B624" s="481" t="n"/>
      <c r="C624" s="481" t="n"/>
      <c r="D624" s="481" t="n"/>
      <c r="E624" s="481" t="n"/>
      <c r="F624" s="481" t="n"/>
      <c r="G624" s="481" t="n"/>
    </row>
    <row r="625">
      <c r="A625" s="481" t="n"/>
      <c r="B625" s="481" t="n"/>
      <c r="C625" s="481" t="n"/>
      <c r="D625" s="481" t="n"/>
      <c r="E625" s="481" t="n"/>
      <c r="F625" s="481" t="n"/>
      <c r="G625" s="481" t="n"/>
    </row>
    <row r="626">
      <c r="A626" s="481" t="n"/>
      <c r="B626" s="481" t="n"/>
      <c r="C626" s="481" t="n"/>
      <c r="D626" s="481" t="n"/>
      <c r="E626" s="481" t="n"/>
      <c r="F626" s="481" t="n"/>
      <c r="G626" s="481" t="n"/>
    </row>
    <row r="627">
      <c r="A627" s="481" t="n"/>
      <c r="B627" s="481" t="n"/>
      <c r="C627" s="481" t="n"/>
      <c r="D627" s="481" t="n"/>
      <c r="E627" s="481" t="n"/>
      <c r="F627" s="481" t="n"/>
      <c r="G627" s="481" t="n"/>
    </row>
    <row r="628">
      <c r="A628" s="481" t="n"/>
      <c r="B628" s="481" t="n"/>
      <c r="C628" s="481" t="n"/>
      <c r="D628" s="481" t="n"/>
      <c r="E628" s="481" t="n"/>
      <c r="F628" s="481" t="n"/>
      <c r="G628" s="481" t="n"/>
    </row>
    <row r="629">
      <c r="A629" s="481" t="n"/>
      <c r="B629" s="481" t="n"/>
      <c r="C629" s="481" t="n"/>
      <c r="D629" s="481" t="n"/>
      <c r="E629" s="481" t="n"/>
      <c r="F629" s="481" t="n"/>
      <c r="G629" s="481" t="n"/>
    </row>
    <row r="630">
      <c r="A630" s="481" t="n"/>
      <c r="B630" s="481" t="n"/>
      <c r="C630" s="481" t="n"/>
      <c r="D630" s="481" t="n"/>
      <c r="E630" s="481" t="n"/>
      <c r="F630" s="481" t="n"/>
      <c r="G630" s="481" t="n"/>
    </row>
    <row r="631">
      <c r="A631" s="481" t="n"/>
      <c r="B631" s="481" t="n"/>
      <c r="C631" s="481" t="n"/>
      <c r="D631" s="481" t="n"/>
      <c r="E631" s="481" t="n"/>
      <c r="F631" s="481" t="n"/>
      <c r="G631" s="481" t="n"/>
    </row>
    <row r="632">
      <c r="A632" s="481" t="n"/>
      <c r="B632" s="481" t="n"/>
      <c r="C632" s="481" t="n"/>
      <c r="D632" s="481" t="n"/>
      <c r="E632" s="481" t="n"/>
      <c r="F632" s="481" t="n"/>
      <c r="G632" s="481" t="n"/>
    </row>
    <row r="633">
      <c r="A633" s="481" t="n"/>
      <c r="B633" s="481" t="n"/>
      <c r="C633" s="481" t="n"/>
      <c r="D633" s="481" t="n"/>
      <c r="E633" s="481" t="n"/>
      <c r="F633" s="481" t="n"/>
      <c r="G633" s="481" t="n"/>
    </row>
    <row r="634">
      <c r="A634" s="481" t="n"/>
      <c r="B634" s="481" t="n"/>
      <c r="C634" s="481" t="n"/>
      <c r="D634" s="481" t="n"/>
      <c r="E634" s="481" t="n"/>
      <c r="F634" s="481" t="n"/>
      <c r="G634" s="481" t="n"/>
    </row>
    <row r="635">
      <c r="A635" s="481" t="n"/>
      <c r="B635" s="481" t="n"/>
      <c r="C635" s="481" t="n"/>
      <c r="D635" s="481" t="n"/>
      <c r="E635" s="481" t="n"/>
      <c r="F635" s="481" t="n"/>
      <c r="G635" s="481" t="n"/>
    </row>
    <row r="636">
      <c r="A636" s="481" t="n"/>
      <c r="B636" s="481" t="n"/>
      <c r="C636" s="481" t="n"/>
      <c r="D636" s="481" t="n"/>
      <c r="E636" s="481" t="n"/>
      <c r="F636" s="481" t="n"/>
      <c r="G636" s="481" t="n"/>
    </row>
    <row r="637">
      <c r="A637" s="481" t="n"/>
      <c r="B637" s="481" t="n"/>
      <c r="C637" s="481" t="n"/>
      <c r="D637" s="481" t="n"/>
      <c r="E637" s="481" t="n"/>
      <c r="F637" s="481" t="n"/>
      <c r="G637" s="481" t="n"/>
    </row>
    <row r="638">
      <c r="A638" s="481" t="n"/>
      <c r="B638" s="481" t="n"/>
      <c r="C638" s="481" t="n"/>
      <c r="D638" s="481" t="n"/>
      <c r="E638" s="481" t="n"/>
      <c r="F638" s="481" t="n"/>
      <c r="G638" s="481" t="n"/>
    </row>
    <row r="639">
      <c r="A639" s="481" t="n"/>
      <c r="B639" s="481" t="n"/>
      <c r="C639" s="481" t="n"/>
      <c r="D639" s="481" t="n"/>
      <c r="E639" s="481" t="n"/>
      <c r="F639" s="481" t="n"/>
      <c r="G639" s="481" t="n"/>
    </row>
    <row r="640">
      <c r="A640" s="481" t="n"/>
      <c r="B640" s="481" t="n"/>
      <c r="C640" s="481" t="n"/>
      <c r="D640" s="481" t="n"/>
      <c r="E640" s="481" t="n"/>
      <c r="F640" s="481" t="n"/>
      <c r="G640" s="481" t="n"/>
    </row>
    <row r="641">
      <c r="A641" s="481" t="n"/>
      <c r="B641" s="481" t="n"/>
      <c r="C641" s="481" t="n"/>
      <c r="D641" s="481" t="n"/>
      <c r="E641" s="481" t="n"/>
      <c r="F641" s="481" t="n"/>
      <c r="G641" s="481" t="n"/>
    </row>
    <row r="642">
      <c r="A642" s="481" t="n"/>
      <c r="B642" s="481" t="n"/>
      <c r="C642" s="481" t="n"/>
      <c r="D642" s="481" t="n"/>
      <c r="E642" s="481" t="n"/>
      <c r="F642" s="481" t="n"/>
      <c r="G642" s="481" t="n"/>
    </row>
    <row r="643">
      <c r="A643" s="481" t="n"/>
      <c r="B643" s="481" t="n"/>
      <c r="C643" s="481" t="n"/>
      <c r="D643" s="481" t="n"/>
      <c r="E643" s="481" t="n"/>
      <c r="F643" s="481" t="n"/>
      <c r="G643" s="481" t="n"/>
    </row>
    <row r="644">
      <c r="A644" s="481" t="n"/>
      <c r="B644" s="481" t="n"/>
      <c r="C644" s="481" t="n"/>
      <c r="D644" s="481" t="n"/>
      <c r="E644" s="481" t="n"/>
      <c r="F644" s="481" t="n"/>
      <c r="G644" s="481" t="n"/>
    </row>
    <row r="645">
      <c r="A645" s="481" t="n"/>
      <c r="B645" s="481" t="n"/>
      <c r="C645" s="481" t="n"/>
      <c r="D645" s="481" t="n"/>
      <c r="E645" s="481" t="n"/>
      <c r="F645" s="481" t="n"/>
      <c r="G645" s="481" t="n"/>
    </row>
    <row r="646">
      <c r="A646" s="481" t="n"/>
      <c r="B646" s="481" t="n"/>
      <c r="C646" s="481" t="n"/>
      <c r="D646" s="481" t="n"/>
      <c r="E646" s="481" t="n"/>
      <c r="F646" s="481" t="n"/>
      <c r="G646" s="481" t="n"/>
    </row>
    <row r="647">
      <c r="A647" s="481" t="n"/>
      <c r="B647" s="481" t="n"/>
      <c r="C647" s="481" t="n"/>
      <c r="D647" s="481" t="n"/>
      <c r="E647" s="481" t="n"/>
      <c r="F647" s="481" t="n"/>
      <c r="G647" s="481" t="n"/>
    </row>
    <row r="648">
      <c r="A648" s="481" t="n"/>
      <c r="B648" s="481" t="n"/>
      <c r="C648" s="481" t="n"/>
      <c r="D648" s="481" t="n"/>
      <c r="E648" s="481" t="n"/>
      <c r="F648" s="481" t="n"/>
      <c r="G648" s="481" t="n"/>
    </row>
    <row r="649">
      <c r="A649" s="481" t="n"/>
      <c r="B649" s="481" t="n"/>
      <c r="C649" s="481" t="n"/>
      <c r="D649" s="481" t="n"/>
      <c r="E649" s="481" t="n"/>
      <c r="F649" s="481" t="n"/>
      <c r="G649" s="481" t="n"/>
    </row>
    <row r="650">
      <c r="A650" s="481" t="n"/>
      <c r="B650" s="481" t="n"/>
      <c r="C650" s="481" t="n"/>
      <c r="D650" s="481" t="n"/>
      <c r="E650" s="481" t="n"/>
      <c r="F650" s="481" t="n"/>
      <c r="G650" s="481" t="n"/>
    </row>
    <row r="651">
      <c r="A651" s="481" t="n"/>
      <c r="B651" s="481" t="n"/>
      <c r="C651" s="481" t="n"/>
      <c r="D651" s="481" t="n"/>
      <c r="E651" s="481" t="n"/>
      <c r="F651" s="481" t="n"/>
      <c r="G651" s="481" t="n"/>
    </row>
    <row r="652">
      <c r="A652" s="481" t="n"/>
      <c r="B652" s="481" t="n"/>
      <c r="C652" s="481" t="n"/>
      <c r="D652" s="481" t="n"/>
      <c r="E652" s="481" t="n"/>
      <c r="F652" s="481" t="n"/>
      <c r="G652" s="481" t="n"/>
    </row>
    <row r="653">
      <c r="A653" s="481" t="n"/>
      <c r="B653" s="481" t="n"/>
      <c r="C653" s="481" t="n"/>
      <c r="D653" s="481" t="n"/>
      <c r="E653" s="481" t="n"/>
      <c r="F653" s="481" t="n"/>
      <c r="G653" s="481" t="n"/>
    </row>
    <row r="654">
      <c r="A654" s="481" t="n"/>
      <c r="B654" s="481" t="n"/>
      <c r="C654" s="481" t="n"/>
      <c r="D654" s="481" t="n"/>
      <c r="E654" s="481" t="n"/>
      <c r="F654" s="481" t="n"/>
      <c r="G654" s="481" t="n"/>
    </row>
    <row r="655">
      <c r="A655" s="481" t="n"/>
      <c r="B655" s="481" t="n"/>
      <c r="C655" s="481" t="n"/>
      <c r="D655" s="481" t="n"/>
      <c r="E655" s="481" t="n"/>
      <c r="F655" s="481" t="n"/>
      <c r="G655" s="481" t="n"/>
    </row>
    <row r="656">
      <c r="A656" s="481" t="n"/>
      <c r="B656" s="481" t="n"/>
      <c r="C656" s="481" t="n"/>
      <c r="D656" s="481" t="n"/>
      <c r="E656" s="481" t="n"/>
      <c r="F656" s="481" t="n"/>
      <c r="G656" s="481" t="n"/>
    </row>
    <row r="657">
      <c r="A657" s="481" t="n"/>
      <c r="B657" s="481" t="n"/>
      <c r="C657" s="481" t="n"/>
      <c r="D657" s="481" t="n"/>
      <c r="E657" s="481" t="n"/>
      <c r="F657" s="481" t="n"/>
      <c r="G657" s="481" t="n"/>
    </row>
    <row r="658">
      <c r="A658" s="481" t="n"/>
      <c r="B658" s="481" t="n"/>
      <c r="C658" s="481" t="n"/>
      <c r="D658" s="481" t="n"/>
      <c r="E658" s="481" t="n"/>
      <c r="F658" s="481" t="n"/>
      <c r="G658" s="481" t="n"/>
    </row>
    <row r="659">
      <c r="A659" s="481" t="n"/>
      <c r="B659" s="481" t="n"/>
      <c r="C659" s="481" t="n"/>
      <c r="D659" s="481" t="n"/>
      <c r="E659" s="481" t="n"/>
      <c r="F659" s="481" t="n"/>
      <c r="G659" s="481" t="n"/>
    </row>
    <row r="660">
      <c r="A660" s="481" t="n"/>
      <c r="B660" s="481" t="n"/>
      <c r="C660" s="481" t="n"/>
      <c r="D660" s="481" t="n"/>
      <c r="E660" s="481" t="n"/>
      <c r="F660" s="481" t="n"/>
      <c r="G660" s="481" t="n"/>
    </row>
    <row r="661">
      <c r="A661" s="481" t="n"/>
      <c r="B661" s="481" t="n"/>
      <c r="C661" s="481" t="n"/>
      <c r="D661" s="481" t="n"/>
      <c r="E661" s="481" t="n"/>
      <c r="F661" s="481" t="n"/>
      <c r="G661" s="481" t="n"/>
    </row>
    <row r="662">
      <c r="A662" s="481" t="n"/>
      <c r="B662" s="481" t="n"/>
      <c r="C662" s="481" t="n"/>
      <c r="D662" s="481" t="n"/>
      <c r="E662" s="481" t="n"/>
      <c r="F662" s="481" t="n"/>
      <c r="G662" s="481" t="n"/>
    </row>
    <row r="663">
      <c r="A663" s="481" t="n"/>
      <c r="B663" s="481" t="n"/>
      <c r="C663" s="481" t="n"/>
      <c r="D663" s="481" t="n"/>
      <c r="E663" s="481" t="n"/>
      <c r="F663" s="481" t="n"/>
      <c r="G663" s="481" t="n"/>
    </row>
    <row r="664">
      <c r="A664" s="481" t="n"/>
      <c r="B664" s="481" t="n"/>
      <c r="C664" s="481" t="n"/>
      <c r="D664" s="481" t="n"/>
      <c r="E664" s="481" t="n"/>
      <c r="F664" s="481" t="n"/>
      <c r="G664" s="481" t="n"/>
    </row>
    <row r="665">
      <c r="A665" s="481" t="n"/>
      <c r="B665" s="481" t="n"/>
      <c r="C665" s="481" t="n"/>
      <c r="D665" s="481" t="n"/>
      <c r="E665" s="481" t="n"/>
      <c r="F665" s="481" t="n"/>
      <c r="G665" s="481" t="n"/>
    </row>
    <row r="666">
      <c r="A666" s="481" t="n"/>
      <c r="B666" s="481" t="n"/>
      <c r="C666" s="481" t="n"/>
      <c r="D666" s="481" t="n"/>
      <c r="E666" s="481" t="n"/>
      <c r="F666" s="481" t="n"/>
      <c r="G666" s="481" t="n"/>
    </row>
    <row r="667">
      <c r="A667" s="481" t="n"/>
      <c r="B667" s="481" t="n"/>
      <c r="C667" s="481" t="n"/>
      <c r="D667" s="481" t="n"/>
      <c r="E667" s="481" t="n"/>
      <c r="F667" s="481" t="n"/>
      <c r="G667" s="481" t="n"/>
    </row>
    <row r="668">
      <c r="A668" s="481" t="n"/>
      <c r="B668" s="481" t="n"/>
      <c r="C668" s="481" t="n"/>
      <c r="D668" s="481" t="n"/>
      <c r="E668" s="481" t="n"/>
      <c r="F668" s="481" t="n"/>
      <c r="G668" s="481" t="n"/>
    </row>
    <row r="669">
      <c r="A669" s="481" t="n"/>
      <c r="B669" s="481" t="n"/>
      <c r="C669" s="481" t="n"/>
      <c r="D669" s="481" t="n"/>
      <c r="E669" s="481" t="n"/>
      <c r="F669" s="481" t="n"/>
      <c r="G669" s="481" t="n"/>
    </row>
    <row r="670">
      <c r="A670" s="481" t="n"/>
      <c r="B670" s="481" t="n"/>
      <c r="C670" s="481" t="n"/>
      <c r="D670" s="481" t="n"/>
      <c r="E670" s="481" t="n"/>
      <c r="F670" s="481" t="n"/>
      <c r="G670" s="481" t="n"/>
    </row>
    <row r="671">
      <c r="A671" s="481" t="n"/>
      <c r="B671" s="481" t="n"/>
      <c r="C671" s="481" t="n"/>
      <c r="D671" s="481" t="n"/>
      <c r="E671" s="481" t="n"/>
      <c r="F671" s="481" t="n"/>
      <c r="G671" s="481" t="n"/>
    </row>
    <row r="672">
      <c r="A672" s="481" t="n"/>
      <c r="B672" s="481" t="n"/>
      <c r="C672" s="481" t="n"/>
      <c r="D672" s="481" t="n"/>
      <c r="E672" s="481" t="n"/>
      <c r="F672" s="481" t="n"/>
      <c r="G672" s="481" t="n"/>
    </row>
    <row r="673">
      <c r="A673" s="481" t="n"/>
      <c r="B673" s="481" t="n"/>
      <c r="C673" s="481" t="n"/>
      <c r="D673" s="481" t="n"/>
      <c r="E673" s="481" t="n"/>
      <c r="F673" s="481" t="n"/>
      <c r="G673" s="481" t="n"/>
    </row>
    <row r="674">
      <c r="A674" s="481" t="n"/>
      <c r="B674" s="481" t="n"/>
      <c r="C674" s="481" t="n"/>
      <c r="D674" s="481" t="n"/>
      <c r="E674" s="481" t="n"/>
      <c r="F674" s="481" t="n"/>
      <c r="G674" s="481" t="n"/>
    </row>
    <row r="675">
      <c r="A675" s="481" t="n"/>
      <c r="B675" s="481" t="n"/>
      <c r="C675" s="481" t="n"/>
      <c r="D675" s="481" t="n"/>
      <c r="E675" s="481" t="n"/>
      <c r="F675" s="481" t="n"/>
      <c r="G675" s="481" t="n"/>
    </row>
    <row r="676">
      <c r="A676" s="481" t="n"/>
      <c r="B676" s="481" t="n"/>
      <c r="C676" s="481" t="n"/>
      <c r="D676" s="481" t="n"/>
      <c r="E676" s="481" t="n"/>
      <c r="F676" s="481" t="n"/>
      <c r="G676" s="481" t="n"/>
    </row>
    <row r="677">
      <c r="A677" s="481" t="n"/>
      <c r="B677" s="481" t="n"/>
      <c r="C677" s="481" t="n"/>
      <c r="D677" s="481" t="n"/>
      <c r="E677" s="481" t="n"/>
      <c r="F677" s="481" t="n"/>
      <c r="G677" s="481" t="n"/>
    </row>
    <row r="678">
      <c r="A678" s="481" t="n"/>
      <c r="B678" s="481" t="n"/>
      <c r="C678" s="481" t="n"/>
      <c r="D678" s="481" t="n"/>
      <c r="E678" s="481" t="n"/>
      <c r="F678" s="481" t="n"/>
      <c r="G678" s="481" t="n"/>
    </row>
    <row r="679">
      <c r="A679" s="481" t="n"/>
      <c r="B679" s="481" t="n"/>
      <c r="C679" s="481" t="n"/>
      <c r="D679" s="481" t="n"/>
      <c r="E679" s="481" t="n"/>
      <c r="F679" s="481" t="n"/>
      <c r="G679" s="481" t="n"/>
    </row>
    <row r="680">
      <c r="A680" s="481" t="n"/>
      <c r="B680" s="481" t="n"/>
      <c r="C680" s="481" t="n"/>
      <c r="D680" s="481" t="n"/>
      <c r="E680" s="481" t="n"/>
      <c r="F680" s="481" t="n"/>
      <c r="G680" s="481" t="n"/>
    </row>
    <row r="681">
      <c r="A681" s="481" t="n"/>
      <c r="B681" s="481" t="n"/>
      <c r="C681" s="481" t="n"/>
      <c r="D681" s="481" t="n"/>
      <c r="E681" s="481" t="n"/>
      <c r="F681" s="481" t="n"/>
      <c r="G681" s="481" t="n"/>
    </row>
    <row r="682">
      <c r="A682" s="481" t="n"/>
      <c r="B682" s="481" t="n"/>
      <c r="C682" s="481" t="n"/>
      <c r="D682" s="481" t="n"/>
      <c r="E682" s="481" t="n"/>
      <c r="F682" s="481" t="n"/>
      <c r="G682" s="481" t="n"/>
    </row>
    <row r="683">
      <c r="A683" s="481" t="n"/>
      <c r="B683" s="481" t="n"/>
      <c r="C683" s="481" t="n"/>
      <c r="D683" s="481" t="n"/>
      <c r="E683" s="481" t="n"/>
      <c r="F683" s="481" t="n"/>
      <c r="G683" s="481" t="n"/>
    </row>
    <row r="684">
      <c r="A684" s="481" t="n"/>
      <c r="B684" s="481" t="n"/>
      <c r="C684" s="481" t="n"/>
      <c r="D684" s="481" t="n"/>
      <c r="E684" s="481" t="n"/>
      <c r="F684" s="481" t="n"/>
      <c r="G684" s="481" t="n"/>
    </row>
    <row r="685">
      <c r="A685" s="481" t="n"/>
      <c r="B685" s="481" t="n"/>
      <c r="C685" s="481" t="n"/>
      <c r="D685" s="481" t="n"/>
      <c r="E685" s="481" t="n"/>
      <c r="F685" s="481" t="n"/>
      <c r="G685" s="481" t="n"/>
    </row>
    <row r="686">
      <c r="A686" s="481" t="n"/>
      <c r="B686" s="481" t="n"/>
      <c r="C686" s="481" t="n"/>
      <c r="D686" s="481" t="n"/>
      <c r="E686" s="481" t="n"/>
      <c r="F686" s="481" t="n"/>
      <c r="G686" s="481" t="n"/>
    </row>
    <row r="687">
      <c r="A687" s="481" t="n"/>
      <c r="B687" s="481" t="n"/>
      <c r="C687" s="481" t="n"/>
      <c r="D687" s="481" t="n"/>
      <c r="E687" s="481" t="n"/>
      <c r="F687" s="481" t="n"/>
      <c r="G687" s="481" t="n"/>
    </row>
    <row r="688">
      <c r="A688" s="481" t="n"/>
      <c r="B688" s="481" t="n"/>
      <c r="C688" s="481" t="n"/>
      <c r="D688" s="481" t="n"/>
      <c r="E688" s="481" t="n"/>
      <c r="F688" s="481" t="n"/>
      <c r="G688" s="481" t="n"/>
    </row>
    <row r="689">
      <c r="A689" s="481" t="n"/>
      <c r="B689" s="481" t="n"/>
      <c r="C689" s="481" t="n"/>
      <c r="D689" s="481" t="n"/>
      <c r="E689" s="481" t="n"/>
      <c r="F689" s="481" t="n"/>
      <c r="G689" s="481" t="n"/>
    </row>
    <row r="690">
      <c r="A690" s="481" t="n"/>
      <c r="B690" s="481" t="n"/>
      <c r="C690" s="481" t="n"/>
      <c r="D690" s="481" t="n"/>
      <c r="E690" s="481" t="n"/>
      <c r="F690" s="481" t="n"/>
      <c r="G690" s="481" t="n"/>
    </row>
    <row r="691">
      <c r="A691" s="481" t="n"/>
      <c r="B691" s="481" t="n"/>
      <c r="C691" s="481" t="n"/>
      <c r="D691" s="481" t="n"/>
      <c r="E691" s="481" t="n"/>
      <c r="F691" s="481" t="n"/>
      <c r="G691" s="481" t="n"/>
    </row>
    <row r="692">
      <c r="A692" s="481" t="n"/>
      <c r="B692" s="481" t="n"/>
      <c r="C692" s="481" t="n"/>
      <c r="D692" s="481" t="n"/>
      <c r="E692" s="481" t="n"/>
      <c r="F692" s="481" t="n"/>
      <c r="G692" s="481" t="n"/>
    </row>
    <row r="693">
      <c r="A693" s="481" t="n"/>
      <c r="B693" s="481" t="n"/>
      <c r="C693" s="481" t="n"/>
      <c r="D693" s="481" t="n"/>
      <c r="E693" s="481" t="n"/>
      <c r="F693" s="481" t="n"/>
      <c r="G693" s="481" t="n"/>
    </row>
    <row r="694">
      <c r="A694" s="481" t="n"/>
      <c r="B694" s="481" t="n"/>
      <c r="C694" s="481" t="n"/>
      <c r="D694" s="481" t="n"/>
      <c r="E694" s="481" t="n"/>
      <c r="F694" s="481" t="n"/>
      <c r="G694" s="481" t="n"/>
    </row>
    <row r="695">
      <c r="A695" s="481" t="n"/>
      <c r="B695" s="481" t="n"/>
      <c r="C695" s="481" t="n"/>
      <c r="D695" s="481" t="n"/>
      <c r="E695" s="481" t="n"/>
      <c r="F695" s="481" t="n"/>
      <c r="G695" s="481" t="n"/>
    </row>
    <row r="696">
      <c r="A696" s="481" t="n"/>
      <c r="B696" s="481" t="n"/>
      <c r="C696" s="481" t="n"/>
      <c r="D696" s="481" t="n"/>
      <c r="E696" s="481" t="n"/>
      <c r="F696" s="481" t="n"/>
      <c r="G696" s="481" t="n"/>
    </row>
    <row r="697">
      <c r="A697" s="481" t="n"/>
      <c r="B697" s="481" t="n"/>
      <c r="C697" s="481" t="n"/>
      <c r="D697" s="481" t="n"/>
      <c r="E697" s="481" t="n"/>
      <c r="F697" s="481" t="n"/>
      <c r="G697" s="481" t="n"/>
    </row>
    <row r="698">
      <c r="A698" s="481" t="n"/>
      <c r="B698" s="481" t="n"/>
      <c r="C698" s="481" t="n"/>
      <c r="D698" s="481" t="n"/>
      <c r="E698" s="481" t="n"/>
      <c r="F698" s="481" t="n"/>
      <c r="G698" s="481" t="n"/>
    </row>
    <row r="699">
      <c r="A699" s="481" t="n"/>
      <c r="B699" s="481" t="n"/>
      <c r="C699" s="481" t="n"/>
      <c r="D699" s="481" t="n"/>
      <c r="E699" s="481" t="n"/>
      <c r="F699" s="481" t="n"/>
      <c r="G699" s="481" t="n"/>
    </row>
    <row r="700">
      <c r="A700" s="481" t="n"/>
      <c r="B700" s="481" t="n"/>
      <c r="C700" s="481" t="n"/>
      <c r="D700" s="481" t="n"/>
      <c r="E700" s="481" t="n"/>
      <c r="F700" s="481" t="n"/>
      <c r="G700" s="481" t="n"/>
    </row>
    <row r="701">
      <c r="A701" s="481" t="n"/>
      <c r="B701" s="481" t="n"/>
      <c r="C701" s="481" t="n"/>
      <c r="D701" s="481" t="n"/>
      <c r="E701" s="481" t="n"/>
      <c r="F701" s="481" t="n"/>
      <c r="G701" s="481" t="n"/>
    </row>
    <row r="702">
      <c r="A702" s="481" t="n"/>
      <c r="B702" s="481" t="n"/>
      <c r="C702" s="481" t="n"/>
      <c r="D702" s="481" t="n"/>
      <c r="E702" s="481" t="n"/>
      <c r="F702" s="481" t="n"/>
      <c r="G702" s="481" t="n"/>
    </row>
    <row r="703">
      <c r="A703" s="481" t="n"/>
      <c r="B703" s="481" t="n"/>
      <c r="C703" s="481" t="n"/>
      <c r="D703" s="481" t="n"/>
      <c r="E703" s="481" t="n"/>
      <c r="F703" s="481" t="n"/>
      <c r="G703" s="481" t="n"/>
    </row>
    <row r="704">
      <c r="A704" s="481" t="n"/>
      <c r="B704" s="481" t="n"/>
      <c r="C704" s="481" t="n"/>
      <c r="D704" s="481" t="n"/>
      <c r="E704" s="481" t="n"/>
      <c r="F704" s="481" t="n"/>
      <c r="G704" s="481" t="n"/>
    </row>
    <row r="705">
      <c r="A705" s="481" t="n"/>
      <c r="B705" s="481" t="n"/>
      <c r="C705" s="481" t="n"/>
      <c r="D705" s="481" t="n"/>
      <c r="E705" s="481" t="n"/>
      <c r="F705" s="481" t="n"/>
      <c r="G705" s="481" t="n"/>
    </row>
    <row r="706">
      <c r="A706" s="481" t="n"/>
      <c r="B706" s="481" t="n"/>
      <c r="C706" s="481" t="n"/>
      <c r="D706" s="481" t="n"/>
      <c r="E706" s="481" t="n"/>
      <c r="F706" s="481" t="n"/>
      <c r="G706" s="481" t="n"/>
    </row>
    <row r="707">
      <c r="A707" s="481" t="n"/>
      <c r="B707" s="481" t="n"/>
      <c r="C707" s="481" t="n"/>
      <c r="D707" s="481" t="n"/>
      <c r="E707" s="481" t="n"/>
      <c r="F707" s="481" t="n"/>
      <c r="G707" s="481" t="n"/>
    </row>
    <row r="708">
      <c r="A708" s="481" t="n"/>
      <c r="B708" s="481" t="n"/>
      <c r="C708" s="481" t="n"/>
      <c r="D708" s="481" t="n"/>
      <c r="E708" s="481" t="n"/>
      <c r="F708" s="481" t="n"/>
      <c r="G708" s="481" t="n"/>
    </row>
    <row r="709">
      <c r="A709" s="481" t="n"/>
      <c r="B709" s="481" t="n"/>
      <c r="C709" s="481" t="n"/>
      <c r="D709" s="481" t="n"/>
      <c r="E709" s="481" t="n"/>
      <c r="F709" s="481" t="n"/>
      <c r="G709" s="481" t="n"/>
    </row>
    <row r="710">
      <c r="A710" s="481" t="n"/>
      <c r="B710" s="481" t="n"/>
      <c r="C710" s="481" t="n"/>
      <c r="D710" s="481" t="n"/>
      <c r="E710" s="481" t="n"/>
      <c r="F710" s="481" t="n"/>
      <c r="G710" s="481" t="n"/>
    </row>
    <row r="711">
      <c r="A711" s="481" t="n"/>
      <c r="B711" s="481" t="n"/>
      <c r="C711" s="481" t="n"/>
      <c r="D711" s="481" t="n"/>
      <c r="E711" s="481" t="n"/>
      <c r="F711" s="481" t="n"/>
      <c r="G711" s="481" t="n"/>
    </row>
    <row r="712">
      <c r="A712" s="481" t="n"/>
      <c r="B712" s="481" t="n"/>
      <c r="C712" s="481" t="n"/>
      <c r="D712" s="481" t="n"/>
      <c r="E712" s="481" t="n"/>
      <c r="F712" s="481" t="n"/>
      <c r="G712" s="481" t="n"/>
    </row>
    <row r="713">
      <c r="A713" s="481" t="n"/>
      <c r="B713" s="481" t="n"/>
      <c r="C713" s="481" t="n"/>
      <c r="D713" s="481" t="n"/>
      <c r="E713" s="481" t="n"/>
      <c r="F713" s="481" t="n"/>
      <c r="G713" s="481" t="n"/>
    </row>
    <row r="714">
      <c r="A714" s="481" t="n"/>
      <c r="B714" s="481" t="n"/>
      <c r="C714" s="481" t="n"/>
      <c r="D714" s="481" t="n"/>
      <c r="E714" s="481" t="n"/>
      <c r="F714" s="481" t="n"/>
      <c r="G714" s="481" t="n"/>
    </row>
    <row r="715">
      <c r="A715" s="481" t="n"/>
      <c r="B715" s="481" t="n"/>
      <c r="C715" s="481" t="n"/>
      <c r="D715" s="481" t="n"/>
      <c r="E715" s="481" t="n"/>
      <c r="F715" s="481" t="n"/>
      <c r="G715" s="481" t="n"/>
    </row>
    <row r="716">
      <c r="A716" s="481" t="n"/>
      <c r="B716" s="481" t="n"/>
      <c r="C716" s="481" t="n"/>
      <c r="D716" s="481" t="n"/>
      <c r="E716" s="481" t="n"/>
      <c r="F716" s="481" t="n"/>
      <c r="G716" s="481" t="n"/>
    </row>
    <row r="717">
      <c r="A717" s="481" t="n"/>
      <c r="B717" s="481" t="n"/>
      <c r="C717" s="481" t="n"/>
      <c r="D717" s="481" t="n"/>
      <c r="E717" s="481" t="n"/>
      <c r="F717" s="481" t="n"/>
      <c r="G717" s="481" t="n"/>
    </row>
    <row r="718">
      <c r="A718" s="481" t="n"/>
      <c r="B718" s="481" t="n"/>
      <c r="C718" s="481" t="n"/>
      <c r="D718" s="481" t="n"/>
      <c r="E718" s="481" t="n"/>
      <c r="F718" s="481" t="n"/>
      <c r="G718" s="481" t="n"/>
    </row>
    <row r="719">
      <c r="A719" s="481" t="n"/>
      <c r="B719" s="481" t="n"/>
      <c r="C719" s="481" t="n"/>
      <c r="D719" s="481" t="n"/>
      <c r="E719" s="481" t="n"/>
      <c r="F719" s="481" t="n"/>
      <c r="G719" s="481" t="n"/>
    </row>
    <row r="720">
      <c r="A720" s="481" t="n"/>
      <c r="B720" s="481" t="n"/>
      <c r="C720" s="481" t="n"/>
      <c r="D720" s="481" t="n"/>
      <c r="E720" s="481" t="n"/>
      <c r="F720" s="481" t="n"/>
      <c r="G720" s="481" t="n"/>
    </row>
    <row r="721">
      <c r="A721" s="481" t="n"/>
      <c r="B721" s="481" t="n"/>
      <c r="C721" s="481" t="n"/>
      <c r="D721" s="481" t="n"/>
      <c r="E721" s="481" t="n"/>
      <c r="F721" s="481" t="n"/>
      <c r="G721" s="481" t="n"/>
    </row>
    <row r="722">
      <c r="A722" s="481" t="n"/>
      <c r="B722" s="481" t="n"/>
      <c r="C722" s="481" t="n"/>
      <c r="D722" s="481" t="n"/>
      <c r="E722" s="481" t="n"/>
      <c r="F722" s="481" t="n"/>
      <c r="G722" s="481" t="n"/>
    </row>
    <row r="723">
      <c r="A723" s="481" t="n"/>
      <c r="B723" s="481" t="n"/>
      <c r="C723" s="481" t="n"/>
      <c r="D723" s="481" t="n"/>
      <c r="E723" s="481" t="n"/>
      <c r="F723" s="481" t="n"/>
      <c r="G723" s="481" t="n"/>
    </row>
    <row r="724">
      <c r="A724" s="481" t="n"/>
      <c r="B724" s="481" t="n"/>
      <c r="C724" s="481" t="n"/>
      <c r="D724" s="481" t="n"/>
      <c r="E724" s="481" t="n"/>
      <c r="F724" s="481" t="n"/>
      <c r="G724" s="481" t="n"/>
    </row>
    <row r="725">
      <c r="A725" s="481" t="n"/>
      <c r="B725" s="481" t="n"/>
      <c r="C725" s="481" t="n"/>
      <c r="D725" s="481" t="n"/>
      <c r="E725" s="481" t="n"/>
      <c r="F725" s="481" t="n"/>
      <c r="G725" s="481" t="n"/>
    </row>
    <row r="726">
      <c r="A726" s="481" t="n"/>
      <c r="B726" s="481" t="n"/>
      <c r="C726" s="481" t="n"/>
      <c r="D726" s="481" t="n"/>
      <c r="E726" s="481" t="n"/>
      <c r="F726" s="481" t="n"/>
      <c r="G726" s="481" t="n"/>
    </row>
    <row r="727">
      <c r="A727" s="481" t="n"/>
      <c r="B727" s="481" t="n"/>
      <c r="C727" s="481" t="n"/>
      <c r="D727" s="481" t="n"/>
      <c r="E727" s="481" t="n"/>
      <c r="F727" s="481" t="n"/>
      <c r="G727" s="481" t="n"/>
    </row>
    <row r="728">
      <c r="A728" s="481" t="n"/>
      <c r="B728" s="481" t="n"/>
      <c r="C728" s="481" t="n"/>
      <c r="D728" s="481" t="n"/>
      <c r="E728" s="481" t="n"/>
      <c r="F728" s="481" t="n"/>
      <c r="G728" s="481" t="n"/>
    </row>
    <row r="729">
      <c r="A729" s="481" t="n"/>
      <c r="B729" s="481" t="n"/>
      <c r="C729" s="481" t="n"/>
      <c r="D729" s="481" t="n"/>
      <c r="E729" s="481" t="n"/>
      <c r="F729" s="481" t="n"/>
      <c r="G729" s="481" t="n"/>
    </row>
    <row r="730">
      <c r="A730" s="481" t="n"/>
      <c r="B730" s="481" t="n"/>
      <c r="C730" s="481" t="n"/>
      <c r="D730" s="481" t="n"/>
      <c r="E730" s="481" t="n"/>
      <c r="F730" s="481" t="n"/>
      <c r="G730" s="481" t="n"/>
    </row>
    <row r="731">
      <c r="A731" s="481" t="n"/>
      <c r="B731" s="481" t="n"/>
      <c r="C731" s="481" t="n"/>
      <c r="D731" s="481" t="n"/>
      <c r="E731" s="481" t="n"/>
      <c r="F731" s="481" t="n"/>
      <c r="G731" s="481" t="n"/>
    </row>
    <row r="732">
      <c r="A732" s="481" t="n"/>
      <c r="B732" s="481" t="n"/>
      <c r="C732" s="481" t="n"/>
      <c r="D732" s="481" t="n"/>
      <c r="E732" s="481" t="n"/>
      <c r="F732" s="481" t="n"/>
      <c r="G732" s="481" t="n"/>
    </row>
    <row r="733">
      <c r="A733" s="481" t="n"/>
      <c r="B733" s="481" t="n"/>
      <c r="C733" s="481" t="n"/>
      <c r="D733" s="481" t="n"/>
      <c r="E733" s="481" t="n"/>
      <c r="F733" s="481" t="n"/>
      <c r="G733" s="481" t="n"/>
    </row>
    <row r="734">
      <c r="A734" s="481" t="n"/>
      <c r="B734" s="481" t="n"/>
      <c r="C734" s="481" t="n"/>
      <c r="D734" s="481" t="n"/>
      <c r="E734" s="481" t="n"/>
      <c r="F734" s="481" t="n"/>
      <c r="G734" s="481" t="n"/>
    </row>
    <row r="735">
      <c r="A735" s="481" t="n"/>
      <c r="B735" s="481" t="n"/>
      <c r="C735" s="481" t="n"/>
      <c r="D735" s="481" t="n"/>
      <c r="E735" s="481" t="n"/>
      <c r="F735" s="481" t="n"/>
      <c r="G735" s="481" t="n"/>
    </row>
    <row r="736">
      <c r="A736" s="481" t="n"/>
      <c r="B736" s="481" t="n"/>
      <c r="C736" s="481" t="n"/>
      <c r="D736" s="481" t="n"/>
      <c r="E736" s="481" t="n"/>
      <c r="F736" s="481" t="n"/>
      <c r="G736" s="481" t="n"/>
    </row>
    <row r="737">
      <c r="A737" s="481" t="n"/>
      <c r="B737" s="481" t="n"/>
      <c r="C737" s="481" t="n"/>
      <c r="D737" s="481" t="n"/>
      <c r="E737" s="481" t="n"/>
      <c r="F737" s="481" t="n"/>
      <c r="G737" s="481" t="n"/>
    </row>
    <row r="738">
      <c r="A738" s="481" t="n"/>
      <c r="B738" s="481" t="n"/>
      <c r="C738" s="481" t="n"/>
      <c r="D738" s="481" t="n"/>
      <c r="E738" s="481" t="n"/>
      <c r="F738" s="481" t="n"/>
      <c r="G738" s="481" t="n"/>
    </row>
    <row r="739">
      <c r="A739" s="481" t="n"/>
      <c r="B739" s="481" t="n"/>
      <c r="C739" s="481" t="n"/>
      <c r="D739" s="481" t="n"/>
      <c r="E739" s="481" t="n"/>
      <c r="F739" s="481" t="n"/>
      <c r="G739" s="481" t="n"/>
    </row>
    <row r="740">
      <c r="A740" s="481" t="n"/>
      <c r="B740" s="481" t="n"/>
      <c r="C740" s="481" t="n"/>
      <c r="D740" s="481" t="n"/>
      <c r="E740" s="481" t="n"/>
      <c r="F740" s="481" t="n"/>
      <c r="G740" s="481" t="n"/>
    </row>
    <row r="741">
      <c r="A741" s="481" t="n"/>
      <c r="B741" s="481" t="n"/>
      <c r="C741" s="481" t="n"/>
      <c r="D741" s="481" t="n"/>
      <c r="E741" s="481" t="n"/>
      <c r="F741" s="481" t="n"/>
      <c r="G741" s="481" t="n"/>
    </row>
    <row r="742">
      <c r="A742" s="481" t="n"/>
      <c r="B742" s="481" t="n"/>
      <c r="C742" s="481" t="n"/>
      <c r="D742" s="481" t="n"/>
      <c r="E742" s="481" t="n"/>
      <c r="F742" s="481" t="n"/>
      <c r="G742" s="481" t="n"/>
    </row>
    <row r="743">
      <c r="A743" s="481" t="n"/>
      <c r="B743" s="481" t="n"/>
      <c r="C743" s="481" t="n"/>
      <c r="D743" s="481" t="n"/>
      <c r="E743" s="481" t="n"/>
      <c r="F743" s="481" t="n"/>
      <c r="G743" s="481" t="n"/>
    </row>
    <row r="744">
      <c r="A744" s="481" t="n"/>
      <c r="B744" s="481" t="n"/>
      <c r="C744" s="481" t="n"/>
      <c r="D744" s="481" t="n"/>
      <c r="E744" s="481" t="n"/>
      <c r="F744" s="481" t="n"/>
      <c r="G744" s="481" t="n"/>
    </row>
    <row r="745">
      <c r="A745" s="481" t="n"/>
      <c r="B745" s="481" t="n"/>
      <c r="C745" s="481" t="n"/>
      <c r="D745" s="481" t="n"/>
      <c r="E745" s="481" t="n"/>
      <c r="F745" s="481" t="n"/>
      <c r="G745" s="481" t="n"/>
    </row>
    <row r="746">
      <c r="A746" s="481" t="n"/>
      <c r="B746" s="481" t="n"/>
      <c r="C746" s="481" t="n"/>
      <c r="D746" s="481" t="n"/>
      <c r="E746" s="481" t="n"/>
      <c r="F746" s="481" t="n"/>
      <c r="G746" s="481" t="n"/>
    </row>
    <row r="747">
      <c r="A747" s="481" t="n"/>
      <c r="B747" s="481" t="n"/>
      <c r="C747" s="481" t="n"/>
      <c r="D747" s="481" t="n"/>
      <c r="E747" s="481" t="n"/>
      <c r="F747" s="481" t="n"/>
      <c r="G747" s="481" t="n"/>
    </row>
    <row r="748">
      <c r="A748" s="481" t="n"/>
      <c r="B748" s="481" t="n"/>
      <c r="C748" s="481" t="n"/>
      <c r="D748" s="481" t="n"/>
      <c r="E748" s="481" t="n"/>
      <c r="F748" s="481" t="n"/>
      <c r="G748" s="481" t="n"/>
    </row>
    <row r="749">
      <c r="A749" s="481" t="n"/>
      <c r="B749" s="481" t="n"/>
      <c r="C749" s="481" t="n"/>
      <c r="D749" s="481" t="n"/>
      <c r="E749" s="481" t="n"/>
      <c r="F749" s="481" t="n"/>
      <c r="G749" s="481" t="n"/>
    </row>
    <row r="750">
      <c r="A750" s="481" t="n"/>
      <c r="B750" s="481" t="n"/>
      <c r="C750" s="481" t="n"/>
      <c r="D750" s="481" t="n"/>
      <c r="E750" s="481" t="n"/>
      <c r="F750" s="481" t="n"/>
      <c r="G750" s="481" t="n"/>
    </row>
    <row r="751">
      <c r="A751" s="481" t="n"/>
      <c r="B751" s="481" t="n"/>
      <c r="C751" s="481" t="n"/>
      <c r="D751" s="481" t="n"/>
      <c r="E751" s="481" t="n"/>
      <c r="F751" s="481" t="n"/>
      <c r="G751" s="481" t="n"/>
    </row>
    <row r="752">
      <c r="A752" s="481" t="n"/>
      <c r="B752" s="481" t="n"/>
      <c r="C752" s="481" t="n"/>
      <c r="D752" s="481" t="n"/>
      <c r="E752" s="481" t="n"/>
      <c r="F752" s="481" t="n"/>
      <c r="G752" s="481" t="n"/>
    </row>
    <row r="753">
      <c r="A753" s="481" t="n"/>
      <c r="B753" s="481" t="n"/>
      <c r="C753" s="481" t="n"/>
      <c r="D753" s="481" t="n"/>
      <c r="E753" s="481" t="n"/>
      <c r="F753" s="481" t="n"/>
      <c r="G753" s="481" t="n"/>
    </row>
    <row r="754">
      <c r="A754" s="481" t="n"/>
      <c r="B754" s="481" t="n"/>
      <c r="C754" s="481" t="n"/>
      <c r="D754" s="481" t="n"/>
      <c r="E754" s="481" t="n"/>
      <c r="F754" s="481" t="n"/>
      <c r="G754" s="481" t="n"/>
    </row>
    <row r="755">
      <c r="A755" s="481" t="n"/>
      <c r="B755" s="481" t="n"/>
      <c r="C755" s="481" t="n"/>
      <c r="D755" s="481" t="n"/>
      <c r="E755" s="481" t="n"/>
      <c r="F755" s="481" t="n"/>
      <c r="G755" s="481" t="n"/>
    </row>
    <row r="756">
      <c r="A756" s="481" t="n"/>
      <c r="B756" s="481" t="n"/>
      <c r="C756" s="481" t="n"/>
      <c r="D756" s="481" t="n"/>
      <c r="E756" s="481" t="n"/>
      <c r="F756" s="481" t="n"/>
      <c r="G756" s="481" t="n"/>
    </row>
    <row r="757">
      <c r="A757" s="481" t="n"/>
      <c r="B757" s="481" t="n"/>
      <c r="C757" s="481" t="n"/>
      <c r="D757" s="481" t="n"/>
      <c r="E757" s="481" t="n"/>
      <c r="F757" s="481" t="n"/>
      <c r="G757" s="481" t="n"/>
    </row>
    <row r="758">
      <c r="A758" s="481" t="n"/>
      <c r="B758" s="481" t="n"/>
      <c r="C758" s="481" t="n"/>
      <c r="D758" s="481" t="n"/>
      <c r="E758" s="481" t="n"/>
      <c r="F758" s="481" t="n"/>
      <c r="G758" s="481" t="n"/>
    </row>
    <row r="759">
      <c r="A759" s="481" t="n"/>
      <c r="B759" s="481" t="n"/>
      <c r="C759" s="481" t="n"/>
      <c r="D759" s="481" t="n"/>
      <c r="E759" s="481" t="n"/>
      <c r="F759" s="481" t="n"/>
      <c r="G759" s="481" t="n"/>
    </row>
    <row r="760">
      <c r="A760" s="481" t="n"/>
      <c r="B760" s="481" t="n"/>
      <c r="C760" s="481" t="n"/>
      <c r="D760" s="481" t="n"/>
      <c r="E760" s="481" t="n"/>
      <c r="F760" s="481" t="n"/>
      <c r="G760" s="481" t="n"/>
    </row>
    <row r="761">
      <c r="A761" s="481" t="n"/>
      <c r="B761" s="481" t="n"/>
      <c r="C761" s="481" t="n"/>
      <c r="D761" s="481" t="n"/>
      <c r="E761" s="481" t="n"/>
      <c r="F761" s="481" t="n"/>
      <c r="G761" s="481" t="n"/>
    </row>
    <row r="762">
      <c r="A762" s="481" t="n"/>
      <c r="B762" s="481" t="n"/>
      <c r="C762" s="481" t="n"/>
      <c r="D762" s="481" t="n"/>
      <c r="E762" s="481" t="n"/>
      <c r="F762" s="481" t="n"/>
      <c r="G762" s="481" t="n"/>
    </row>
    <row r="763">
      <c r="A763" s="481" t="n"/>
      <c r="B763" s="481" t="n"/>
      <c r="C763" s="481" t="n"/>
      <c r="D763" s="481" t="n"/>
      <c r="E763" s="481" t="n"/>
      <c r="F763" s="481" t="n"/>
      <c r="G763" s="481" t="n"/>
    </row>
    <row r="764">
      <c r="A764" s="481" t="n"/>
      <c r="B764" s="481" t="n"/>
      <c r="C764" s="481" t="n"/>
      <c r="D764" s="481" t="n"/>
      <c r="E764" s="481" t="n"/>
      <c r="F764" s="481" t="n"/>
      <c r="G764" s="481" t="n"/>
    </row>
    <row r="765">
      <c r="A765" s="481" t="n"/>
      <c r="B765" s="481" t="n"/>
      <c r="C765" s="481" t="n"/>
      <c r="D765" s="481" t="n"/>
      <c r="E765" s="481" t="n"/>
      <c r="F765" s="481" t="n"/>
      <c r="G765" s="481" t="n"/>
    </row>
    <row r="766">
      <c r="A766" s="481" t="n"/>
      <c r="B766" s="481" t="n"/>
      <c r="C766" s="481" t="n"/>
      <c r="D766" s="481" t="n"/>
      <c r="E766" s="481" t="n"/>
      <c r="F766" s="481" t="n"/>
      <c r="G766" s="481" t="n"/>
    </row>
    <row r="767">
      <c r="A767" s="481" t="n"/>
      <c r="B767" s="481" t="n"/>
      <c r="C767" s="481" t="n"/>
      <c r="D767" s="481" t="n"/>
      <c r="E767" s="481" t="n"/>
      <c r="F767" s="481" t="n"/>
      <c r="G767" s="481" t="n"/>
    </row>
    <row r="768">
      <c r="A768" s="481" t="n"/>
      <c r="B768" s="481" t="n"/>
      <c r="C768" s="481" t="n"/>
      <c r="D768" s="481" t="n"/>
      <c r="E768" s="481" t="n"/>
      <c r="F768" s="481" t="n"/>
      <c r="G768" s="481" t="n"/>
    </row>
    <row r="769">
      <c r="A769" s="481" t="n"/>
      <c r="B769" s="481" t="n"/>
      <c r="C769" s="481" t="n"/>
      <c r="D769" s="481" t="n"/>
      <c r="E769" s="481" t="n"/>
      <c r="F769" s="481" t="n"/>
      <c r="G769" s="481" t="n"/>
    </row>
    <row r="770">
      <c r="A770" s="481" t="n"/>
      <c r="B770" s="481" t="n"/>
      <c r="C770" s="481" t="n"/>
      <c r="D770" s="481" t="n"/>
      <c r="E770" s="481" t="n"/>
      <c r="F770" s="481" t="n"/>
      <c r="G770" s="481" t="n"/>
    </row>
    <row r="771">
      <c r="A771" s="481" t="n"/>
      <c r="B771" s="481" t="n"/>
      <c r="C771" s="481" t="n"/>
      <c r="D771" s="481" t="n"/>
      <c r="E771" s="481" t="n"/>
      <c r="F771" s="481" t="n"/>
      <c r="G771" s="481" t="n"/>
    </row>
    <row r="772">
      <c r="A772" s="481" t="n"/>
      <c r="B772" s="481" t="n"/>
      <c r="C772" s="481" t="n"/>
      <c r="D772" s="481" t="n"/>
      <c r="E772" s="481" t="n"/>
      <c r="F772" s="481" t="n"/>
      <c r="G772" s="481" t="n"/>
    </row>
    <row r="773">
      <c r="A773" s="481" t="n"/>
      <c r="B773" s="481" t="n"/>
      <c r="C773" s="481" t="n"/>
      <c r="D773" s="481" t="n"/>
      <c r="E773" s="481" t="n"/>
      <c r="F773" s="481" t="n"/>
      <c r="G773" s="481" t="n"/>
    </row>
    <row r="774">
      <c r="A774" s="481" t="n"/>
      <c r="B774" s="481" t="n"/>
      <c r="C774" s="481" t="n"/>
      <c r="D774" s="481" t="n"/>
      <c r="E774" s="481" t="n"/>
      <c r="F774" s="481" t="n"/>
      <c r="G774" s="481" t="n"/>
    </row>
    <row r="775">
      <c r="A775" s="481" t="n"/>
      <c r="B775" s="481" t="n"/>
      <c r="C775" s="481" t="n"/>
      <c r="D775" s="481" t="n"/>
      <c r="E775" s="481" t="n"/>
      <c r="F775" s="481" t="n"/>
      <c r="G775" s="481" t="n"/>
    </row>
    <row r="776">
      <c r="A776" s="481" t="n"/>
      <c r="B776" s="481" t="n"/>
      <c r="C776" s="481" t="n"/>
      <c r="D776" s="481" t="n"/>
      <c r="E776" s="481" t="n"/>
      <c r="F776" s="481" t="n"/>
      <c r="G776" s="481" t="n"/>
    </row>
    <row r="777">
      <c r="A777" s="481" t="n"/>
      <c r="B777" s="481" t="n"/>
      <c r="C777" s="481" t="n"/>
      <c r="D777" s="481" t="n"/>
      <c r="E777" s="481" t="n"/>
      <c r="F777" s="481" t="n"/>
      <c r="G777" s="481" t="n"/>
    </row>
    <row r="778">
      <c r="A778" s="481" t="n"/>
      <c r="B778" s="481" t="n"/>
      <c r="C778" s="481" t="n"/>
      <c r="D778" s="481" t="n"/>
      <c r="E778" s="481" t="n"/>
      <c r="F778" s="481" t="n"/>
      <c r="G778" s="481" t="n"/>
    </row>
    <row r="779">
      <c r="A779" s="481" t="n"/>
      <c r="B779" s="481" t="n"/>
      <c r="C779" s="481" t="n"/>
      <c r="D779" s="481" t="n"/>
      <c r="E779" s="481" t="n"/>
      <c r="F779" s="481" t="n"/>
      <c r="G779" s="481" t="n"/>
    </row>
    <row r="780">
      <c r="A780" s="481" t="n"/>
      <c r="B780" s="481" t="n"/>
      <c r="C780" s="481" t="n"/>
      <c r="D780" s="481" t="n"/>
      <c r="E780" s="481" t="n"/>
      <c r="F780" s="481" t="n"/>
      <c r="G780" s="481" t="n"/>
    </row>
    <row r="781">
      <c r="A781" s="481" t="n"/>
      <c r="B781" s="481" t="n"/>
      <c r="C781" s="481" t="n"/>
      <c r="D781" s="481" t="n"/>
      <c r="E781" s="481" t="n"/>
      <c r="F781" s="481" t="n"/>
      <c r="G781" s="481" t="n"/>
    </row>
    <row r="782">
      <c r="A782" s="481" t="n"/>
      <c r="B782" s="481" t="n"/>
      <c r="C782" s="481" t="n"/>
      <c r="D782" s="481" t="n"/>
      <c r="E782" s="481" t="n"/>
      <c r="F782" s="481" t="n"/>
      <c r="G782" s="481" t="n"/>
    </row>
    <row r="783">
      <c r="A783" s="481" t="n"/>
      <c r="B783" s="481" t="n"/>
      <c r="C783" s="481" t="n"/>
      <c r="D783" s="481" t="n"/>
      <c r="E783" s="481" t="n"/>
      <c r="F783" s="481" t="n"/>
      <c r="G783" s="481" t="n"/>
    </row>
    <row r="784">
      <c r="A784" s="481" t="n"/>
      <c r="B784" s="481" t="n"/>
      <c r="C784" s="481" t="n"/>
      <c r="D784" s="481" t="n"/>
      <c r="E784" s="481" t="n"/>
      <c r="F784" s="481" t="n"/>
      <c r="G784" s="481" t="n"/>
    </row>
    <row r="785">
      <c r="A785" s="481" t="n"/>
      <c r="B785" s="481" t="n"/>
      <c r="C785" s="481" t="n"/>
      <c r="D785" s="481" t="n"/>
      <c r="E785" s="481" t="n"/>
      <c r="F785" s="481" t="n"/>
      <c r="G785" s="481" t="n"/>
    </row>
    <row r="786">
      <c r="A786" s="481" t="n"/>
      <c r="B786" s="481" t="n"/>
      <c r="C786" s="481" t="n"/>
      <c r="D786" s="481" t="n"/>
      <c r="E786" s="481" t="n"/>
      <c r="F786" s="481" t="n"/>
      <c r="G786" s="481" t="n"/>
    </row>
    <row r="787">
      <c r="A787" s="481" t="n"/>
      <c r="B787" s="481" t="n"/>
      <c r="C787" s="481" t="n"/>
      <c r="D787" s="481" t="n"/>
      <c r="E787" s="481" t="n"/>
      <c r="F787" s="481" t="n"/>
      <c r="G787" s="481" t="n"/>
    </row>
    <row r="788">
      <c r="A788" s="481" t="n"/>
      <c r="B788" s="481" t="n"/>
      <c r="C788" s="481" t="n"/>
      <c r="D788" s="481" t="n"/>
      <c r="E788" s="481" t="n"/>
      <c r="F788" s="481" t="n"/>
      <c r="G788" s="481" t="n"/>
    </row>
    <row r="789">
      <c r="A789" s="481" t="n"/>
      <c r="B789" s="481" t="n"/>
      <c r="C789" s="481" t="n"/>
      <c r="D789" s="481" t="n"/>
      <c r="E789" s="481" t="n"/>
      <c r="F789" s="481" t="n"/>
      <c r="G789" s="481" t="n"/>
    </row>
    <row r="790">
      <c r="A790" s="481" t="n"/>
      <c r="B790" s="481" t="n"/>
      <c r="C790" s="481" t="n"/>
      <c r="D790" s="481" t="n"/>
      <c r="E790" s="481" t="n"/>
      <c r="F790" s="481" t="n"/>
      <c r="G790" s="481" t="n"/>
    </row>
    <row r="791">
      <c r="A791" s="481" t="n"/>
      <c r="B791" s="481" t="n"/>
      <c r="C791" s="481" t="n"/>
      <c r="D791" s="481" t="n"/>
      <c r="E791" s="481" t="n"/>
      <c r="F791" s="481" t="n"/>
      <c r="G791" s="481" t="n"/>
    </row>
    <row r="792">
      <c r="A792" s="481" t="n"/>
      <c r="B792" s="481" t="n"/>
      <c r="C792" s="481" t="n"/>
      <c r="D792" s="481" t="n"/>
      <c r="E792" s="481" t="n"/>
      <c r="F792" s="481" t="n"/>
      <c r="G792" s="481" t="n"/>
    </row>
    <row r="793">
      <c r="A793" s="481" t="n"/>
      <c r="B793" s="481" t="n"/>
      <c r="C793" s="481" t="n"/>
      <c r="D793" s="481" t="n"/>
      <c r="E793" s="481" t="n"/>
      <c r="F793" s="481" t="n"/>
      <c r="G793" s="481" t="n"/>
    </row>
    <row r="794">
      <c r="A794" s="481" t="n"/>
      <c r="B794" s="481" t="n"/>
      <c r="C794" s="481" t="n"/>
      <c r="D794" s="481" t="n"/>
      <c r="E794" s="481" t="n"/>
      <c r="F794" s="481" t="n"/>
      <c r="G794" s="481" t="n"/>
    </row>
    <row r="795">
      <c r="A795" s="481" t="n"/>
      <c r="B795" s="481" t="n"/>
      <c r="C795" s="481" t="n"/>
      <c r="D795" s="481" t="n"/>
      <c r="E795" s="481" t="n"/>
      <c r="F795" s="481" t="n"/>
      <c r="G795" s="481" t="n"/>
    </row>
    <row r="796">
      <c r="A796" s="481" t="n"/>
      <c r="B796" s="481" t="n"/>
      <c r="C796" s="481" t="n"/>
      <c r="D796" s="481" t="n"/>
      <c r="E796" s="481" t="n"/>
      <c r="F796" s="481" t="n"/>
      <c r="G796" s="481" t="n"/>
    </row>
    <row r="797">
      <c r="A797" s="481" t="n"/>
      <c r="B797" s="481" t="n"/>
      <c r="C797" s="481" t="n"/>
      <c r="D797" s="481" t="n"/>
      <c r="E797" s="481" t="n"/>
      <c r="F797" s="481" t="n"/>
      <c r="G797" s="481" t="n"/>
    </row>
    <row r="798">
      <c r="A798" s="481" t="n"/>
      <c r="B798" s="481" t="n"/>
      <c r="C798" s="481" t="n"/>
      <c r="D798" s="481" t="n"/>
      <c r="E798" s="481" t="n"/>
      <c r="F798" s="481" t="n"/>
      <c r="G798" s="481" t="n"/>
    </row>
    <row r="799">
      <c r="A799" s="481" t="n"/>
      <c r="B799" s="481" t="n"/>
      <c r="C799" s="481" t="n"/>
      <c r="D799" s="481" t="n"/>
      <c r="E799" s="481" t="n"/>
      <c r="F799" s="481" t="n"/>
      <c r="G799" s="481" t="n"/>
    </row>
    <row r="800">
      <c r="A800" s="481" t="n"/>
      <c r="B800" s="481" t="n"/>
      <c r="C800" s="481" t="n"/>
      <c r="D800" s="481" t="n"/>
      <c r="E800" s="481" t="n"/>
      <c r="F800" s="481" t="n"/>
      <c r="G800" s="481" t="n"/>
    </row>
    <row r="801">
      <c r="A801" s="481" t="n"/>
      <c r="B801" s="481" t="n"/>
      <c r="C801" s="481" t="n"/>
      <c r="D801" s="481" t="n"/>
      <c r="E801" s="481" t="n"/>
      <c r="F801" s="481" t="n"/>
      <c r="G801" s="481" t="n"/>
    </row>
    <row r="802">
      <c r="A802" s="481" t="n"/>
      <c r="B802" s="481" t="n"/>
      <c r="C802" s="481" t="n"/>
      <c r="D802" s="481" t="n"/>
      <c r="E802" s="481" t="n"/>
      <c r="F802" s="481" t="n"/>
      <c r="G802" s="481" t="n"/>
    </row>
    <row r="803">
      <c r="A803" s="481" t="n"/>
      <c r="B803" s="481" t="n"/>
      <c r="C803" s="481" t="n"/>
      <c r="D803" s="481" t="n"/>
      <c r="E803" s="481" t="n"/>
      <c r="F803" s="481" t="n"/>
      <c r="G803" s="481" t="n"/>
    </row>
    <row r="804">
      <c r="A804" s="481" t="n"/>
      <c r="B804" s="481" t="n"/>
      <c r="C804" s="481" t="n"/>
      <c r="D804" s="481" t="n"/>
      <c r="E804" s="481" t="n"/>
      <c r="F804" s="481" t="n"/>
      <c r="G804" s="481" t="n"/>
    </row>
    <row r="805">
      <c r="A805" s="481" t="n"/>
      <c r="B805" s="481" t="n"/>
      <c r="C805" s="481" t="n"/>
      <c r="D805" s="481" t="n"/>
      <c r="E805" s="481" t="n"/>
      <c r="F805" s="481" t="n"/>
      <c r="G805" s="481" t="n"/>
    </row>
    <row r="806">
      <c r="A806" s="481" t="n"/>
      <c r="B806" s="481" t="n"/>
      <c r="C806" s="481" t="n"/>
      <c r="D806" s="481" t="n"/>
      <c r="E806" s="481" t="n"/>
      <c r="F806" s="481" t="n"/>
      <c r="G806" s="481" t="n"/>
    </row>
    <row r="807">
      <c r="A807" s="481" t="n"/>
      <c r="B807" s="481" t="n"/>
      <c r="C807" s="481" t="n"/>
      <c r="D807" s="481" t="n"/>
      <c r="E807" s="481" t="n"/>
      <c r="F807" s="481" t="n"/>
      <c r="G807" s="481" t="n"/>
    </row>
    <row r="808">
      <c r="A808" s="481" t="n"/>
      <c r="B808" s="481" t="n"/>
      <c r="C808" s="481" t="n"/>
      <c r="D808" s="481" t="n"/>
      <c r="E808" s="481" t="n"/>
      <c r="F808" s="481" t="n"/>
      <c r="G808" s="481" t="n"/>
    </row>
    <row r="809">
      <c r="A809" s="481" t="n"/>
      <c r="B809" s="481" t="n"/>
      <c r="C809" s="481" t="n"/>
      <c r="D809" s="481" t="n"/>
      <c r="E809" s="481" t="n"/>
      <c r="F809" s="481" t="n"/>
      <c r="G809" s="481" t="n"/>
    </row>
    <row r="810">
      <c r="A810" s="481" t="n"/>
      <c r="B810" s="481" t="n"/>
      <c r="C810" s="481" t="n"/>
      <c r="D810" s="481" t="n"/>
      <c r="E810" s="481" t="n"/>
      <c r="F810" s="481" t="n"/>
      <c r="G810" s="481" t="n"/>
    </row>
    <row r="811">
      <c r="A811" s="481" t="n"/>
      <c r="B811" s="481" t="n"/>
      <c r="C811" s="481" t="n"/>
      <c r="D811" s="481" t="n"/>
      <c r="E811" s="481" t="n"/>
      <c r="F811" s="481" t="n"/>
      <c r="G811" s="481" t="n"/>
    </row>
    <row r="812">
      <c r="A812" s="481" t="n"/>
      <c r="B812" s="481" t="n"/>
      <c r="C812" s="481" t="n"/>
      <c r="D812" s="481" t="n"/>
      <c r="E812" s="481" t="n"/>
      <c r="F812" s="481" t="n"/>
      <c r="G812" s="481" t="n"/>
    </row>
    <row r="813">
      <c r="A813" s="481" t="n"/>
      <c r="B813" s="481" t="n"/>
      <c r="C813" s="481" t="n"/>
      <c r="D813" s="481" t="n"/>
      <c r="E813" s="481" t="n"/>
      <c r="F813" s="481" t="n"/>
      <c r="G813" s="481" t="n"/>
    </row>
    <row r="814">
      <c r="A814" s="481" t="n"/>
      <c r="B814" s="481" t="n"/>
      <c r="C814" s="481" t="n"/>
      <c r="D814" s="481" t="n"/>
      <c r="E814" s="481" t="n"/>
      <c r="F814" s="481" t="n"/>
      <c r="G814" s="481" t="n"/>
    </row>
    <row r="815">
      <c r="A815" s="481" t="n"/>
      <c r="B815" s="481" t="n"/>
      <c r="C815" s="481" t="n"/>
      <c r="D815" s="481" t="n"/>
      <c r="E815" s="481" t="n"/>
      <c r="F815" s="481" t="n"/>
      <c r="G815" s="481" t="n"/>
    </row>
    <row r="816">
      <c r="A816" s="481" t="n"/>
      <c r="B816" s="481" t="n"/>
      <c r="C816" s="481" t="n"/>
      <c r="D816" s="481" t="n"/>
      <c r="E816" s="481" t="n"/>
      <c r="F816" s="481" t="n"/>
      <c r="G816" s="481" t="n"/>
    </row>
    <row r="817">
      <c r="A817" s="481" t="n"/>
      <c r="B817" s="481" t="n"/>
      <c r="C817" s="481" t="n"/>
      <c r="D817" s="481" t="n"/>
      <c r="E817" s="481" t="n"/>
      <c r="F817" s="481" t="n"/>
      <c r="G817" s="481" t="n"/>
    </row>
    <row r="818">
      <c r="A818" s="481" t="n"/>
      <c r="B818" s="481" t="n"/>
      <c r="C818" s="481" t="n"/>
      <c r="D818" s="481" t="n"/>
      <c r="E818" s="481" t="n"/>
      <c r="F818" s="481" t="n"/>
      <c r="G818" s="481" t="n"/>
    </row>
    <row r="819">
      <c r="A819" s="481" t="n"/>
      <c r="B819" s="481" t="n"/>
      <c r="C819" s="481" t="n"/>
      <c r="D819" s="481" t="n"/>
      <c r="E819" s="481" t="n"/>
      <c r="F819" s="481" t="n"/>
      <c r="G819" s="481" t="n"/>
    </row>
    <row r="820">
      <c r="A820" s="481" t="n"/>
      <c r="B820" s="481" t="n"/>
      <c r="C820" s="481" t="n"/>
      <c r="D820" s="481" t="n"/>
      <c r="E820" s="481" t="n"/>
      <c r="F820" s="481" t="n"/>
      <c r="G820" s="481" t="n"/>
    </row>
    <row r="821">
      <c r="A821" s="481" t="n"/>
      <c r="B821" s="481" t="n"/>
      <c r="C821" s="481" t="n"/>
      <c r="D821" s="481" t="n"/>
      <c r="E821" s="481" t="n"/>
      <c r="F821" s="481" t="n"/>
      <c r="G821" s="481" t="n"/>
    </row>
    <row r="822">
      <c r="A822" s="481" t="n"/>
      <c r="B822" s="481" t="n"/>
      <c r="C822" s="481" t="n"/>
      <c r="D822" s="481" t="n"/>
      <c r="E822" s="481" t="n"/>
      <c r="F822" s="481" t="n"/>
      <c r="G822" s="481" t="n"/>
    </row>
    <row r="823">
      <c r="A823" s="481" t="n"/>
      <c r="B823" s="481" t="n"/>
      <c r="C823" s="481" t="n"/>
      <c r="D823" s="481" t="n"/>
      <c r="E823" s="481" t="n"/>
      <c r="F823" s="481" t="n"/>
      <c r="G823" s="481" t="n"/>
    </row>
    <row r="824">
      <c r="A824" s="481" t="n"/>
      <c r="B824" s="481" t="n"/>
      <c r="C824" s="481" t="n"/>
      <c r="D824" s="481" t="n"/>
      <c r="E824" s="481" t="n"/>
      <c r="F824" s="481" t="n"/>
      <c r="G824" s="481" t="n"/>
    </row>
    <row r="825">
      <c r="A825" s="481" t="n"/>
      <c r="B825" s="481" t="n"/>
      <c r="C825" s="481" t="n"/>
      <c r="D825" s="481" t="n"/>
      <c r="E825" s="481" t="n"/>
      <c r="F825" s="481" t="n"/>
      <c r="G825" s="481" t="n"/>
    </row>
    <row r="826">
      <c r="A826" s="481" t="n"/>
      <c r="B826" s="481" t="n"/>
      <c r="C826" s="481" t="n"/>
      <c r="D826" s="481" t="n"/>
      <c r="E826" s="481" t="n"/>
      <c r="F826" s="481" t="n"/>
      <c r="G826" s="481" t="n"/>
    </row>
    <row r="827">
      <c r="A827" s="481" t="n"/>
      <c r="B827" s="481" t="n"/>
      <c r="C827" s="481" t="n"/>
      <c r="D827" s="481" t="n"/>
      <c r="E827" s="481" t="n"/>
      <c r="F827" s="481" t="n"/>
      <c r="G827" s="481" t="n"/>
    </row>
    <row r="828">
      <c r="A828" s="481" t="n"/>
      <c r="B828" s="481" t="n"/>
      <c r="C828" s="481" t="n"/>
      <c r="D828" s="481" t="n"/>
      <c r="E828" s="481" t="n"/>
      <c r="F828" s="481" t="n"/>
      <c r="G828" s="481" t="n"/>
    </row>
    <row r="829">
      <c r="A829" s="481" t="n"/>
      <c r="B829" s="481" t="n"/>
      <c r="C829" s="481" t="n"/>
      <c r="D829" s="481" t="n"/>
      <c r="E829" s="481" t="n"/>
      <c r="F829" s="481" t="n"/>
      <c r="G829" s="481" t="n"/>
    </row>
    <row r="830">
      <c r="A830" s="481" t="n"/>
      <c r="B830" s="481" t="n"/>
      <c r="C830" s="481" t="n"/>
      <c r="D830" s="481" t="n"/>
      <c r="E830" s="481" t="n"/>
      <c r="F830" s="481" t="n"/>
      <c r="G830" s="481" t="n"/>
    </row>
    <row r="831">
      <c r="A831" s="481" t="n"/>
      <c r="B831" s="481" t="n"/>
      <c r="C831" s="481" t="n"/>
      <c r="D831" s="481" t="n"/>
      <c r="E831" s="481" t="n"/>
      <c r="F831" s="481" t="n"/>
      <c r="G831" s="481" t="n"/>
    </row>
    <row r="832">
      <c r="A832" s="481" t="n"/>
      <c r="B832" s="481" t="n"/>
      <c r="C832" s="481" t="n"/>
      <c r="D832" s="481" t="n"/>
      <c r="E832" s="481" t="n"/>
      <c r="F832" s="481" t="n"/>
      <c r="G832" s="481" t="n"/>
    </row>
    <row r="833">
      <c r="A833" s="481" t="n"/>
      <c r="B833" s="481" t="n"/>
      <c r="C833" s="481" t="n"/>
      <c r="D833" s="481" t="n"/>
      <c r="E833" s="481" t="n"/>
      <c r="F833" s="481" t="n"/>
      <c r="G833" s="481" t="n"/>
    </row>
    <row r="834">
      <c r="A834" s="481" t="n"/>
      <c r="B834" s="481" t="n"/>
      <c r="C834" s="481" t="n"/>
      <c r="D834" s="481" t="n"/>
      <c r="E834" s="481" t="n"/>
      <c r="F834" s="481" t="n"/>
      <c r="G834" s="481" t="n"/>
    </row>
    <row r="835">
      <c r="A835" s="481" t="n"/>
      <c r="B835" s="481" t="n"/>
      <c r="C835" s="481" t="n"/>
      <c r="D835" s="481" t="n"/>
      <c r="E835" s="481" t="n"/>
      <c r="F835" s="481" t="n"/>
      <c r="G835" s="481" t="n"/>
    </row>
    <row r="836">
      <c r="A836" s="481" t="n"/>
      <c r="B836" s="481" t="n"/>
      <c r="C836" s="481" t="n"/>
      <c r="D836" s="481" t="n"/>
      <c r="E836" s="481" t="n"/>
      <c r="F836" s="481" t="n"/>
      <c r="G836" s="481" t="n"/>
    </row>
    <row r="837">
      <c r="A837" s="481" t="n"/>
      <c r="B837" s="481" t="n"/>
      <c r="C837" s="481" t="n"/>
      <c r="D837" s="481" t="n"/>
      <c r="E837" s="481" t="n"/>
      <c r="F837" s="481" t="n"/>
      <c r="G837" s="481" t="n"/>
    </row>
    <row r="838">
      <c r="A838" s="481" t="n"/>
      <c r="B838" s="481" t="n"/>
      <c r="C838" s="481" t="n"/>
      <c r="D838" s="481" t="n"/>
      <c r="E838" s="481" t="n"/>
      <c r="F838" s="481" t="n"/>
      <c r="G838" s="481" t="n"/>
    </row>
    <row r="839">
      <c r="A839" s="481" t="n"/>
      <c r="B839" s="481" t="n"/>
      <c r="C839" s="481" t="n"/>
      <c r="D839" s="481" t="n"/>
      <c r="E839" s="481" t="n"/>
      <c r="F839" s="481" t="n"/>
      <c r="G839" s="481" t="n"/>
    </row>
    <row r="840">
      <c r="A840" s="481" t="n"/>
      <c r="B840" s="481" t="n"/>
      <c r="C840" s="481" t="n"/>
      <c r="D840" s="481" t="n"/>
      <c r="E840" s="481" t="n"/>
      <c r="F840" s="481" t="n"/>
      <c r="G840" s="481" t="n"/>
    </row>
    <row r="841">
      <c r="A841" s="481" t="n"/>
      <c r="B841" s="481" t="n"/>
      <c r="C841" s="481" t="n"/>
      <c r="D841" s="481" t="n"/>
      <c r="E841" s="481" t="n"/>
      <c r="F841" s="481" t="n"/>
      <c r="G841" s="481" t="n"/>
    </row>
    <row r="842">
      <c r="A842" s="481" t="n"/>
      <c r="B842" s="481" t="n"/>
      <c r="C842" s="481" t="n"/>
      <c r="D842" s="481" t="n"/>
      <c r="E842" s="481" t="n"/>
      <c r="F842" s="481" t="n"/>
      <c r="G842" s="481" t="n"/>
    </row>
    <row r="843">
      <c r="A843" s="481" t="n"/>
      <c r="B843" s="481" t="n"/>
      <c r="C843" s="481" t="n"/>
      <c r="D843" s="481" t="n"/>
      <c r="E843" s="481" t="n"/>
      <c r="F843" s="481" t="n"/>
      <c r="G843" s="481" t="n"/>
    </row>
    <row r="844">
      <c r="A844" s="481" t="n"/>
      <c r="B844" s="481" t="n"/>
      <c r="C844" s="481" t="n"/>
      <c r="D844" s="481" t="n"/>
      <c r="E844" s="481" t="n"/>
      <c r="F844" s="481" t="n"/>
      <c r="G844" s="481" t="n"/>
    </row>
    <row r="845">
      <c r="A845" s="481" t="n"/>
      <c r="B845" s="481" t="n"/>
      <c r="C845" s="481" t="n"/>
      <c r="D845" s="481" t="n"/>
      <c r="E845" s="481" t="n"/>
      <c r="F845" s="481" t="n"/>
      <c r="G845" s="481" t="n"/>
    </row>
    <row r="846">
      <c r="A846" s="481" t="n"/>
      <c r="B846" s="481" t="n"/>
      <c r="C846" s="481" t="n"/>
      <c r="D846" s="481" t="n"/>
      <c r="E846" s="481" t="n"/>
      <c r="F846" s="481" t="n"/>
      <c r="G846" s="481" t="n"/>
    </row>
    <row r="847">
      <c r="A847" s="481" t="n"/>
      <c r="B847" s="481" t="n"/>
      <c r="C847" s="481" t="n"/>
      <c r="D847" s="481" t="n"/>
      <c r="E847" s="481" t="n"/>
      <c r="F847" s="481" t="n"/>
      <c r="G847" s="481" t="n"/>
    </row>
    <row r="848">
      <c r="A848" s="481" t="n"/>
      <c r="B848" s="481" t="n"/>
      <c r="C848" s="481" t="n"/>
      <c r="D848" s="481" t="n"/>
      <c r="E848" s="481" t="n"/>
      <c r="F848" s="481" t="n"/>
      <c r="G848" s="481" t="n"/>
    </row>
    <row r="849">
      <c r="A849" s="481" t="n"/>
      <c r="B849" s="481" t="n"/>
      <c r="C849" s="481" t="n"/>
      <c r="D849" s="481" t="n"/>
      <c r="E849" s="481" t="n"/>
      <c r="F849" s="481" t="n"/>
      <c r="G849" s="481" t="n"/>
    </row>
    <row r="850">
      <c r="A850" s="481" t="n"/>
      <c r="B850" s="481" t="n"/>
      <c r="C850" s="481" t="n"/>
      <c r="D850" s="481" t="n"/>
      <c r="E850" s="481" t="n"/>
      <c r="F850" s="481" t="n"/>
      <c r="G850" s="481" t="n"/>
    </row>
    <row r="851">
      <c r="A851" s="481" t="n"/>
      <c r="B851" s="481" t="n"/>
      <c r="C851" s="481" t="n"/>
      <c r="D851" s="481" t="n"/>
      <c r="E851" s="481" t="n"/>
      <c r="F851" s="481" t="n"/>
      <c r="G851" s="481" t="n"/>
    </row>
    <row r="852">
      <c r="A852" s="481" t="n"/>
      <c r="B852" s="481" t="n"/>
      <c r="C852" s="481" t="n"/>
      <c r="D852" s="481" t="n"/>
      <c r="E852" s="481" t="n"/>
      <c r="F852" s="481" t="n"/>
      <c r="G852" s="481" t="n"/>
    </row>
    <row r="853">
      <c r="A853" s="481" t="n"/>
      <c r="B853" s="481" t="n"/>
      <c r="C853" s="481" t="n"/>
      <c r="D853" s="481" t="n"/>
      <c r="E853" s="481" t="n"/>
      <c r="F853" s="481" t="n"/>
      <c r="G853" s="481" t="n"/>
    </row>
    <row r="854">
      <c r="A854" s="481" t="n"/>
      <c r="B854" s="481" t="n"/>
      <c r="C854" s="481" t="n"/>
      <c r="D854" s="481" t="n"/>
      <c r="E854" s="481" t="n"/>
      <c r="F854" s="481" t="n"/>
      <c r="G854" s="481" t="n"/>
    </row>
    <row r="855">
      <c r="A855" s="481" t="n"/>
      <c r="B855" s="481" t="n"/>
      <c r="C855" s="481" t="n"/>
      <c r="D855" s="481" t="n"/>
      <c r="E855" s="481" t="n"/>
      <c r="F855" s="481" t="n"/>
      <c r="G855" s="481" t="n"/>
    </row>
    <row r="856">
      <c r="A856" s="481" t="n"/>
      <c r="B856" s="481" t="n"/>
      <c r="C856" s="481" t="n"/>
      <c r="D856" s="481" t="n"/>
      <c r="E856" s="481" t="n"/>
      <c r="F856" s="481" t="n"/>
      <c r="G856" s="481" t="n"/>
    </row>
    <row r="857">
      <c r="A857" s="481" t="n"/>
      <c r="B857" s="481" t="n"/>
      <c r="C857" s="481" t="n"/>
      <c r="D857" s="481" t="n"/>
      <c r="E857" s="481" t="n"/>
      <c r="F857" s="481" t="n"/>
      <c r="G857" s="481" t="n"/>
    </row>
    <row r="858">
      <c r="A858" s="481" t="n"/>
      <c r="B858" s="481" t="n"/>
      <c r="C858" s="481" t="n"/>
      <c r="D858" s="481" t="n"/>
      <c r="E858" s="481" t="n"/>
      <c r="F858" s="481" t="n"/>
      <c r="G858" s="481" t="n"/>
    </row>
    <row r="859">
      <c r="A859" s="481" t="n"/>
      <c r="B859" s="481" t="n"/>
      <c r="C859" s="481" t="n"/>
      <c r="D859" s="481" t="n"/>
      <c r="E859" s="481" t="n"/>
      <c r="F859" s="481" t="n"/>
      <c r="G859" s="481" t="n"/>
    </row>
    <row r="860">
      <c r="A860" s="481" t="n"/>
      <c r="B860" s="481" t="n"/>
      <c r="C860" s="481" t="n"/>
      <c r="D860" s="481" t="n"/>
      <c r="E860" s="481" t="n"/>
      <c r="F860" s="481" t="n"/>
      <c r="G860" s="481" t="n"/>
    </row>
    <row r="861">
      <c r="A861" s="481" t="n"/>
      <c r="B861" s="481" t="n"/>
      <c r="C861" s="481" t="n"/>
      <c r="D861" s="481" t="n"/>
      <c r="E861" s="481" t="n"/>
      <c r="F861" s="481" t="n"/>
      <c r="G861" s="481" t="n"/>
    </row>
    <row r="862">
      <c r="A862" s="481" t="n"/>
      <c r="B862" s="481" t="n"/>
      <c r="C862" s="481" t="n"/>
      <c r="D862" s="481" t="n"/>
      <c r="E862" s="481" t="n"/>
      <c r="F862" s="481" t="n"/>
      <c r="G862" s="481" t="n"/>
    </row>
    <row r="863">
      <c r="A863" s="481" t="n"/>
      <c r="B863" s="481" t="n"/>
      <c r="C863" s="481" t="n"/>
      <c r="D863" s="481" t="n"/>
      <c r="E863" s="481" t="n"/>
      <c r="F863" s="481" t="n"/>
      <c r="G863" s="481" t="n"/>
    </row>
    <row r="864">
      <c r="A864" s="481" t="n"/>
      <c r="B864" s="481" t="n"/>
      <c r="C864" s="481" t="n"/>
      <c r="D864" s="481" t="n"/>
      <c r="E864" s="481" t="n"/>
      <c r="F864" s="481" t="n"/>
      <c r="G864" s="481" t="n"/>
    </row>
    <row r="865">
      <c r="A865" s="481" t="n"/>
      <c r="B865" s="481" t="n"/>
      <c r="C865" s="481" t="n"/>
      <c r="D865" s="481" t="n"/>
      <c r="E865" s="481" t="n"/>
      <c r="F865" s="481" t="n"/>
      <c r="G865" s="481" t="n"/>
    </row>
    <row r="866">
      <c r="A866" s="481" t="n"/>
      <c r="B866" s="481" t="n"/>
      <c r="C866" s="481" t="n"/>
      <c r="D866" s="481" t="n"/>
      <c r="E866" s="481" t="n"/>
      <c r="F866" s="481" t="n"/>
      <c r="G866" s="481" t="n"/>
    </row>
    <row r="867">
      <c r="A867" s="481" t="n"/>
      <c r="B867" s="481" t="n"/>
      <c r="C867" s="481" t="n"/>
      <c r="D867" s="481" t="n"/>
      <c r="E867" s="481" t="n"/>
      <c r="F867" s="481" t="n"/>
      <c r="G867" s="481" t="n"/>
    </row>
    <row r="868">
      <c r="A868" s="481" t="n"/>
      <c r="B868" s="481" t="n"/>
      <c r="C868" s="481" t="n"/>
      <c r="D868" s="481" t="n"/>
      <c r="E868" s="481" t="n"/>
      <c r="F868" s="481" t="n"/>
      <c r="G868" s="481" t="n"/>
    </row>
    <row r="869">
      <c r="A869" s="481" t="n"/>
      <c r="B869" s="481" t="n"/>
      <c r="C869" s="481" t="n"/>
      <c r="D869" s="481" t="n"/>
      <c r="E869" s="481" t="n"/>
      <c r="F869" s="481" t="n"/>
      <c r="G869" s="481" t="n"/>
    </row>
    <row r="870">
      <c r="A870" s="481" t="n"/>
      <c r="B870" s="481" t="n"/>
      <c r="C870" s="481" t="n"/>
      <c r="D870" s="481" t="n"/>
      <c r="E870" s="481" t="n"/>
      <c r="F870" s="481" t="n"/>
      <c r="G870" s="481" t="n"/>
    </row>
    <row r="871">
      <c r="A871" s="481" t="n"/>
      <c r="B871" s="481" t="n"/>
      <c r="C871" s="481" t="n"/>
      <c r="D871" s="481" t="n"/>
      <c r="E871" s="481" t="n"/>
      <c r="F871" s="481" t="n"/>
      <c r="G871" s="481" t="n"/>
    </row>
    <row r="872">
      <c r="A872" s="481" t="n"/>
      <c r="B872" s="481" t="n"/>
      <c r="C872" s="481" t="n"/>
      <c r="D872" s="481" t="n"/>
      <c r="E872" s="481" t="n"/>
      <c r="F872" s="481" t="n"/>
      <c r="G872" s="481" t="n"/>
    </row>
    <row r="873">
      <c r="A873" s="481" t="n"/>
      <c r="B873" s="481" t="n"/>
      <c r="C873" s="481" t="n"/>
      <c r="D873" s="481" t="n"/>
      <c r="E873" s="481" t="n"/>
      <c r="F873" s="481" t="n"/>
      <c r="G873" s="481" t="n"/>
    </row>
    <row r="874">
      <c r="A874" s="481" t="n"/>
      <c r="B874" s="481" t="n"/>
      <c r="C874" s="481" t="n"/>
      <c r="D874" s="481" t="n"/>
      <c r="E874" s="481" t="n"/>
      <c r="F874" s="481" t="n"/>
      <c r="G874" s="481" t="n"/>
    </row>
    <row r="875">
      <c r="A875" s="481" t="n"/>
      <c r="B875" s="481" t="n"/>
      <c r="C875" s="481" t="n"/>
      <c r="D875" s="481" t="n"/>
      <c r="E875" s="481" t="n"/>
      <c r="F875" s="481" t="n"/>
      <c r="G875" s="481" t="n"/>
    </row>
    <row r="876">
      <c r="A876" s="481" t="n"/>
      <c r="B876" s="481" t="n"/>
      <c r="C876" s="481" t="n"/>
      <c r="D876" s="481" t="n"/>
      <c r="E876" s="481" t="n"/>
      <c r="F876" s="481" t="n"/>
      <c r="G876" s="481" t="n"/>
    </row>
    <row r="877">
      <c r="A877" s="481" t="n"/>
      <c r="B877" s="481" t="n"/>
      <c r="C877" s="481" t="n"/>
      <c r="D877" s="481" t="n"/>
      <c r="E877" s="481" t="n"/>
      <c r="F877" s="481" t="n"/>
      <c r="G877" s="481" t="n"/>
    </row>
    <row r="878">
      <c r="A878" s="481" t="n"/>
      <c r="B878" s="481" t="n"/>
      <c r="C878" s="481" t="n"/>
      <c r="D878" s="481" t="n"/>
      <c r="E878" s="481" t="n"/>
      <c r="F878" s="481" t="n"/>
      <c r="G878" s="481" t="n"/>
    </row>
    <row r="879">
      <c r="A879" s="481" t="n"/>
      <c r="B879" s="481" t="n"/>
      <c r="C879" s="481" t="n"/>
      <c r="D879" s="481" t="n"/>
      <c r="E879" s="481" t="n"/>
      <c r="F879" s="481" t="n"/>
      <c r="G879" s="481" t="n"/>
    </row>
    <row r="880">
      <c r="A880" s="481" t="n"/>
      <c r="B880" s="481" t="n"/>
      <c r="C880" s="481" t="n"/>
      <c r="D880" s="481" t="n"/>
      <c r="E880" s="481" t="n"/>
      <c r="F880" s="481" t="n"/>
      <c r="G880" s="481" t="n"/>
    </row>
    <row r="881">
      <c r="A881" s="481" t="n"/>
      <c r="B881" s="481" t="n"/>
      <c r="C881" s="481" t="n"/>
      <c r="D881" s="481" t="n"/>
      <c r="E881" s="481" t="n"/>
      <c r="F881" s="481" t="n"/>
      <c r="G881" s="481" t="n"/>
    </row>
    <row r="882">
      <c r="A882" s="481" t="n"/>
      <c r="B882" s="481" t="n"/>
      <c r="C882" s="481" t="n"/>
      <c r="D882" s="481" t="n"/>
      <c r="E882" s="481" t="n"/>
      <c r="F882" s="481" t="n"/>
      <c r="G882" s="481" t="n"/>
    </row>
    <row r="883">
      <c r="A883" s="481" t="n"/>
      <c r="B883" s="481" t="n"/>
      <c r="C883" s="481" t="n"/>
      <c r="D883" s="481" t="n"/>
      <c r="E883" s="481" t="n"/>
      <c r="F883" s="481" t="n"/>
      <c r="G883" s="481" t="n"/>
    </row>
    <row r="884">
      <c r="A884" s="481" t="n"/>
      <c r="B884" s="481" t="n"/>
      <c r="C884" s="481" t="n"/>
      <c r="D884" s="481" t="n"/>
      <c r="E884" s="481" t="n"/>
      <c r="F884" s="481" t="n"/>
      <c r="G884" s="481" t="n"/>
    </row>
    <row r="885">
      <c r="A885" s="481" t="n"/>
      <c r="B885" s="481" t="n"/>
      <c r="C885" s="481" t="n"/>
      <c r="D885" s="481" t="n"/>
      <c r="E885" s="481" t="n"/>
      <c r="F885" s="481" t="n"/>
      <c r="G885" s="481" t="n"/>
    </row>
    <row r="886">
      <c r="A886" s="481" t="n"/>
      <c r="B886" s="481" t="n"/>
      <c r="C886" s="481" t="n"/>
      <c r="D886" s="481" t="n"/>
      <c r="E886" s="481" t="n"/>
      <c r="F886" s="481" t="n"/>
      <c r="G886" s="481" t="n"/>
    </row>
    <row r="887">
      <c r="A887" s="481" t="n"/>
      <c r="B887" s="481" t="n"/>
      <c r="C887" s="481" t="n"/>
      <c r="D887" s="481" t="n"/>
      <c r="E887" s="481" t="n"/>
      <c r="F887" s="481" t="n"/>
      <c r="G887" s="481" t="n"/>
    </row>
    <row r="888">
      <c r="A888" s="481" t="n"/>
      <c r="B888" s="481" t="n"/>
      <c r="C888" s="481" t="n"/>
      <c r="D888" s="481" t="n"/>
      <c r="E888" s="481" t="n"/>
      <c r="F888" s="481" t="n"/>
      <c r="G888" s="481" t="n"/>
    </row>
    <row r="889">
      <c r="A889" s="481" t="n"/>
      <c r="B889" s="481" t="n"/>
      <c r="C889" s="481" t="n"/>
      <c r="D889" s="481" t="n"/>
      <c r="E889" s="481" t="n"/>
      <c r="F889" s="481" t="n"/>
      <c r="G889" s="481" t="n"/>
    </row>
    <row r="890">
      <c r="A890" s="481" t="n"/>
      <c r="B890" s="481" t="n"/>
      <c r="C890" s="481" t="n"/>
      <c r="D890" s="481" t="n"/>
      <c r="E890" s="481" t="n"/>
      <c r="F890" s="481" t="n"/>
      <c r="G890" s="481" t="n"/>
    </row>
    <row r="891">
      <c r="A891" s="481" t="n"/>
      <c r="B891" s="481" t="n"/>
      <c r="C891" s="481" t="n"/>
      <c r="D891" s="481" t="n"/>
      <c r="E891" s="481" t="n"/>
      <c r="F891" s="481" t="n"/>
      <c r="G891" s="481" t="n"/>
    </row>
    <row r="892">
      <c r="A892" s="481" t="n"/>
      <c r="B892" s="481" t="n"/>
      <c r="C892" s="481" t="n"/>
      <c r="D892" s="481" t="n"/>
      <c r="E892" s="481" t="n"/>
      <c r="F892" s="481" t="n"/>
      <c r="G892" s="481" t="n"/>
    </row>
    <row r="893">
      <c r="A893" s="481" t="n"/>
      <c r="B893" s="481" t="n"/>
      <c r="C893" s="481" t="n"/>
      <c r="D893" s="481" t="n"/>
      <c r="E893" s="481" t="n"/>
      <c r="F893" s="481" t="n"/>
      <c r="G893" s="481" t="n"/>
    </row>
    <row r="894">
      <c r="A894" s="481" t="n"/>
      <c r="B894" s="481" t="n"/>
      <c r="C894" s="481" t="n"/>
      <c r="D894" s="481" t="n"/>
      <c r="E894" s="481" t="n"/>
      <c r="F894" s="481" t="n"/>
      <c r="G894" s="481" t="n"/>
    </row>
    <row r="895">
      <c r="A895" s="481" t="n"/>
      <c r="B895" s="481" t="n"/>
      <c r="C895" s="481" t="n"/>
      <c r="D895" s="481" t="n"/>
      <c r="E895" s="481" t="n"/>
      <c r="F895" s="481" t="n"/>
      <c r="G895" s="481" t="n"/>
    </row>
    <row r="896">
      <c r="A896" s="481" t="n"/>
      <c r="B896" s="481" t="n"/>
      <c r="C896" s="481" t="n"/>
      <c r="D896" s="481" t="n"/>
      <c r="E896" s="481" t="n"/>
      <c r="F896" s="481" t="n"/>
      <c r="G896" s="481" t="n"/>
    </row>
    <row r="897">
      <c r="A897" s="481" t="n"/>
      <c r="B897" s="481" t="n"/>
      <c r="C897" s="481" t="n"/>
      <c r="D897" s="481" t="n"/>
      <c r="E897" s="481" t="n"/>
      <c r="F897" s="481" t="n"/>
      <c r="G897" s="481" t="n"/>
    </row>
    <row r="898">
      <c r="A898" s="481" t="n"/>
      <c r="B898" s="481" t="n"/>
      <c r="C898" s="481" t="n"/>
      <c r="D898" s="481" t="n"/>
      <c r="E898" s="481" t="n"/>
      <c r="F898" s="481" t="n"/>
      <c r="G898" s="481" t="n"/>
    </row>
    <row r="899">
      <c r="A899" s="481" t="n"/>
      <c r="B899" s="481" t="n"/>
      <c r="C899" s="481" t="n"/>
      <c r="D899" s="481" t="n"/>
      <c r="E899" s="481" t="n"/>
      <c r="F899" s="481" t="n"/>
      <c r="G899" s="481" t="n"/>
    </row>
    <row r="900">
      <c r="A900" s="481" t="n"/>
      <c r="B900" s="481" t="n"/>
      <c r="C900" s="481" t="n"/>
      <c r="D900" s="481" t="n"/>
      <c r="E900" s="481" t="n"/>
      <c r="F900" s="481" t="n"/>
      <c r="G900" s="481" t="n"/>
    </row>
    <row r="901">
      <c r="A901" s="481" t="n"/>
      <c r="B901" s="481" t="n"/>
      <c r="C901" s="481" t="n"/>
      <c r="D901" s="481" t="n"/>
      <c r="E901" s="481" t="n"/>
      <c r="F901" s="481" t="n"/>
      <c r="G901" s="481" t="n"/>
    </row>
    <row r="902">
      <c r="A902" s="481" t="n"/>
      <c r="B902" s="481" t="n"/>
      <c r="C902" s="481" t="n"/>
      <c r="D902" s="481" t="n"/>
      <c r="E902" s="481" t="n"/>
      <c r="F902" s="481" t="n"/>
      <c r="G902" s="481" t="n"/>
    </row>
    <row r="903">
      <c r="A903" s="481" t="n"/>
      <c r="B903" s="481" t="n"/>
      <c r="C903" s="481" t="n"/>
      <c r="D903" s="481" t="n"/>
      <c r="E903" s="481" t="n"/>
      <c r="F903" s="481" t="n"/>
      <c r="G903" s="481" t="n"/>
    </row>
    <row r="904">
      <c r="A904" s="481" t="n"/>
      <c r="B904" s="481" t="n"/>
      <c r="C904" s="481" t="n"/>
      <c r="D904" s="481" t="n"/>
      <c r="E904" s="481" t="n"/>
      <c r="F904" s="481" t="n"/>
      <c r="G904" s="481" t="n"/>
    </row>
    <row r="905">
      <c r="A905" s="481" t="n"/>
      <c r="B905" s="481" t="n"/>
      <c r="C905" s="481" t="n"/>
      <c r="D905" s="481" t="n"/>
      <c r="E905" s="481" t="n"/>
      <c r="F905" s="481" t="n"/>
      <c r="G905" s="481" t="n"/>
    </row>
    <row r="906">
      <c r="A906" s="481" t="n"/>
      <c r="B906" s="481" t="n"/>
      <c r="C906" s="481" t="n"/>
      <c r="D906" s="481" t="n"/>
      <c r="E906" s="481" t="n"/>
      <c r="F906" s="481" t="n"/>
      <c r="G906" s="481" t="n"/>
    </row>
    <row r="907">
      <c r="A907" s="481" t="n"/>
      <c r="B907" s="481" t="n"/>
      <c r="C907" s="481" t="n"/>
      <c r="D907" s="481" t="n"/>
      <c r="E907" s="481" t="n"/>
      <c r="F907" s="481" t="n"/>
      <c r="G907" s="481" t="n"/>
    </row>
    <row r="908">
      <c r="A908" s="481" t="n"/>
      <c r="B908" s="481" t="n"/>
      <c r="C908" s="481" t="n"/>
      <c r="D908" s="481" t="n"/>
      <c r="E908" s="481" t="n"/>
      <c r="F908" s="481" t="n"/>
      <c r="G908" s="481" t="n"/>
    </row>
    <row r="909">
      <c r="A909" s="481" t="n"/>
      <c r="B909" s="481" t="n"/>
      <c r="C909" s="481" t="n"/>
      <c r="D909" s="481" t="n"/>
      <c r="E909" s="481" t="n"/>
      <c r="F909" s="481" t="n"/>
      <c r="G909" s="481" t="n"/>
    </row>
    <row r="910">
      <c r="A910" s="481" t="n"/>
      <c r="B910" s="481" t="n"/>
      <c r="C910" s="481" t="n"/>
      <c r="D910" s="481" t="n"/>
      <c r="E910" s="481" t="n"/>
      <c r="F910" s="481" t="n"/>
      <c r="G910" s="481" t="n"/>
    </row>
    <row r="911">
      <c r="A911" s="481" t="n"/>
      <c r="B911" s="481" t="n"/>
      <c r="C911" s="481" t="n"/>
      <c r="D911" s="481" t="n"/>
      <c r="E911" s="481" t="n"/>
      <c r="F911" s="481" t="n"/>
      <c r="G911" s="481" t="n"/>
    </row>
    <row r="912">
      <c r="A912" s="481" t="n"/>
      <c r="B912" s="481" t="n"/>
      <c r="C912" s="481" t="n"/>
      <c r="D912" s="481" t="n"/>
      <c r="E912" s="481" t="n"/>
      <c r="F912" s="481" t="n"/>
      <c r="G912" s="481" t="n"/>
    </row>
    <row r="913">
      <c r="A913" s="481" t="n"/>
      <c r="B913" s="481" t="n"/>
      <c r="C913" s="481" t="n"/>
      <c r="D913" s="481" t="n"/>
      <c r="E913" s="481" t="n"/>
      <c r="F913" s="481" t="n"/>
      <c r="G913" s="481" t="n"/>
    </row>
    <row r="914">
      <c r="A914" s="481" t="n"/>
      <c r="B914" s="481" t="n"/>
      <c r="C914" s="481" t="n"/>
      <c r="D914" s="481" t="n"/>
      <c r="E914" s="481" t="n"/>
      <c r="F914" s="481" t="n"/>
      <c r="G914" s="481" t="n"/>
    </row>
    <row r="915">
      <c r="A915" s="481" t="n"/>
      <c r="B915" s="481" t="n"/>
      <c r="C915" s="481" t="n"/>
      <c r="D915" s="481" t="n"/>
      <c r="E915" s="481" t="n"/>
      <c r="F915" s="481" t="n"/>
      <c r="G915" s="481" t="n"/>
    </row>
    <row r="916">
      <c r="A916" s="481" t="n"/>
      <c r="B916" s="481" t="n"/>
      <c r="C916" s="481" t="n"/>
      <c r="D916" s="481" t="n"/>
      <c r="E916" s="481" t="n"/>
      <c r="F916" s="481" t="n"/>
      <c r="G916" s="481" t="n"/>
    </row>
    <row r="917">
      <c r="A917" s="481" t="n"/>
      <c r="B917" s="481" t="n"/>
      <c r="C917" s="481" t="n"/>
      <c r="D917" s="481" t="n"/>
      <c r="E917" s="481" t="n"/>
      <c r="F917" s="481" t="n"/>
      <c r="G917" s="481" t="n"/>
    </row>
    <row r="918">
      <c r="A918" s="481" t="n"/>
      <c r="B918" s="481" t="n"/>
      <c r="C918" s="481" t="n"/>
      <c r="D918" s="481" t="n"/>
      <c r="E918" s="481" t="n"/>
      <c r="F918" s="481" t="n"/>
      <c r="G918" s="481" t="n"/>
    </row>
    <row r="919">
      <c r="A919" s="481" t="n"/>
      <c r="B919" s="481" t="n"/>
      <c r="C919" s="481" t="n"/>
      <c r="D919" s="481" t="n"/>
      <c r="E919" s="481" t="n"/>
      <c r="F919" s="481" t="n"/>
      <c r="G919" s="481" t="n"/>
    </row>
    <row r="920">
      <c r="A920" s="481" t="n"/>
      <c r="B920" s="481" t="n"/>
      <c r="C920" s="481" t="n"/>
      <c r="D920" s="481" t="n"/>
      <c r="E920" s="481" t="n"/>
      <c r="F920" s="481" t="n"/>
      <c r="G920" s="481" t="n"/>
    </row>
    <row r="921">
      <c r="A921" s="481" t="n"/>
      <c r="B921" s="481" t="n"/>
      <c r="C921" s="481" t="n"/>
      <c r="D921" s="481" t="n"/>
      <c r="E921" s="481" t="n"/>
      <c r="F921" s="481" t="n"/>
      <c r="G921" s="481" t="n"/>
    </row>
    <row r="922">
      <c r="A922" s="481" t="n"/>
      <c r="B922" s="481" t="n"/>
      <c r="C922" s="481" t="n"/>
      <c r="D922" s="481" t="n"/>
      <c r="E922" s="481" t="n"/>
      <c r="F922" s="481" t="n"/>
      <c r="G922" s="481" t="n"/>
    </row>
    <row r="923">
      <c r="A923" s="481" t="n"/>
      <c r="B923" s="481" t="n"/>
      <c r="C923" s="481" t="n"/>
      <c r="D923" s="481" t="n"/>
      <c r="E923" s="481" t="n"/>
      <c r="F923" s="481" t="n"/>
      <c r="G923" s="481" t="n"/>
    </row>
    <row r="924">
      <c r="A924" s="481" t="n"/>
      <c r="B924" s="481" t="n"/>
      <c r="C924" s="481" t="n"/>
      <c r="D924" s="481" t="n"/>
      <c r="E924" s="481" t="n"/>
      <c r="F924" s="481" t="n"/>
      <c r="G924" s="481" t="n"/>
    </row>
    <row r="925">
      <c r="A925" s="481" t="n"/>
      <c r="B925" s="481" t="n"/>
      <c r="C925" s="481" t="n"/>
      <c r="D925" s="481" t="n"/>
      <c r="E925" s="481" t="n"/>
      <c r="F925" s="481" t="n"/>
      <c r="G925" s="481" t="n"/>
    </row>
    <row r="926">
      <c r="A926" s="481" t="n"/>
      <c r="B926" s="481" t="n"/>
      <c r="C926" s="481" t="n"/>
      <c r="D926" s="481" t="n"/>
      <c r="E926" s="481" t="n"/>
      <c r="F926" s="481" t="n"/>
      <c r="G926" s="481" t="n"/>
    </row>
    <row r="927">
      <c r="A927" s="481" t="n"/>
      <c r="B927" s="481" t="n"/>
      <c r="C927" s="481" t="n"/>
      <c r="D927" s="481" t="n"/>
      <c r="E927" s="481" t="n"/>
      <c r="F927" s="481" t="n"/>
      <c r="G927" s="481" t="n"/>
    </row>
    <row r="928">
      <c r="A928" s="481" t="n"/>
      <c r="B928" s="481" t="n"/>
      <c r="C928" s="481" t="n"/>
      <c r="D928" s="481" t="n"/>
      <c r="E928" s="481" t="n"/>
      <c r="F928" s="481" t="n"/>
      <c r="G928" s="481" t="n"/>
    </row>
    <row r="929">
      <c r="A929" s="481" t="n"/>
      <c r="B929" s="481" t="n"/>
      <c r="C929" s="481" t="n"/>
      <c r="D929" s="481" t="n"/>
      <c r="E929" s="481" t="n"/>
      <c r="F929" s="481" t="n"/>
      <c r="G929" s="481" t="n"/>
    </row>
    <row r="930">
      <c r="A930" s="481" t="n"/>
      <c r="B930" s="481" t="n"/>
      <c r="C930" s="481" t="n"/>
      <c r="D930" s="481" t="n"/>
      <c r="E930" s="481" t="n"/>
      <c r="F930" s="481" t="n"/>
      <c r="G930" s="481" t="n"/>
    </row>
    <row r="931">
      <c r="A931" s="481" t="n"/>
      <c r="B931" s="481" t="n"/>
      <c r="C931" s="481" t="n"/>
      <c r="D931" s="481" t="n"/>
      <c r="E931" s="481" t="n"/>
      <c r="F931" s="481" t="n"/>
      <c r="G931" s="481" t="n"/>
    </row>
    <row r="932">
      <c r="A932" s="481" t="n"/>
      <c r="B932" s="481" t="n"/>
      <c r="C932" s="481" t="n"/>
      <c r="D932" s="481" t="n"/>
      <c r="E932" s="481" t="n"/>
      <c r="F932" s="481" t="n"/>
      <c r="G932" s="481" t="n"/>
    </row>
    <row r="933">
      <c r="A933" s="481" t="n"/>
      <c r="B933" s="481" t="n"/>
      <c r="C933" s="481" t="n"/>
      <c r="D933" s="481" t="n"/>
      <c r="E933" s="481" t="n"/>
      <c r="F933" s="481" t="n"/>
      <c r="G933" s="481" t="n"/>
    </row>
    <row r="934">
      <c r="A934" s="481" t="n"/>
      <c r="B934" s="481" t="n"/>
      <c r="C934" s="481" t="n"/>
      <c r="D934" s="481" t="n"/>
      <c r="E934" s="481" t="n"/>
      <c r="F934" s="481" t="n"/>
      <c r="G934" s="481" t="n"/>
    </row>
    <row r="935">
      <c r="A935" s="481" t="n"/>
      <c r="B935" s="481" t="n"/>
      <c r="C935" s="481" t="n"/>
      <c r="D935" s="481" t="n"/>
      <c r="E935" s="481" t="n"/>
      <c r="F935" s="481" t="n"/>
      <c r="G935" s="481" t="n"/>
    </row>
    <row r="936">
      <c r="A936" s="481" t="n"/>
      <c r="B936" s="481" t="n"/>
      <c r="C936" s="481" t="n"/>
      <c r="D936" s="481" t="n"/>
      <c r="E936" s="481" t="n"/>
      <c r="F936" s="481" t="n"/>
      <c r="G936" s="481" t="n"/>
    </row>
    <row r="937">
      <c r="A937" s="481" t="n"/>
      <c r="B937" s="481" t="n"/>
      <c r="C937" s="481" t="n"/>
      <c r="D937" s="481" t="n"/>
      <c r="E937" s="481" t="n"/>
      <c r="F937" s="481" t="n"/>
      <c r="G937" s="481" t="n"/>
    </row>
    <row r="938">
      <c r="A938" s="481" t="n"/>
      <c r="B938" s="481" t="n"/>
      <c r="C938" s="481" t="n"/>
      <c r="D938" s="481" t="n"/>
      <c r="E938" s="481" t="n"/>
      <c r="F938" s="481" t="n"/>
      <c r="G938" s="481" t="n"/>
    </row>
    <row r="939">
      <c r="A939" s="481" t="n"/>
      <c r="B939" s="481" t="n"/>
      <c r="C939" s="481" t="n"/>
      <c r="D939" s="481" t="n"/>
      <c r="E939" s="481" t="n"/>
      <c r="F939" s="481" t="n"/>
      <c r="G939" s="481" t="n"/>
    </row>
    <row r="940">
      <c r="A940" s="481" t="n"/>
      <c r="B940" s="481" t="n"/>
      <c r="C940" s="481" t="n"/>
      <c r="D940" s="481" t="n"/>
      <c r="E940" s="481" t="n"/>
      <c r="F940" s="481" t="n"/>
      <c r="G940" s="481" t="n"/>
    </row>
    <row r="941">
      <c r="A941" s="481" t="n"/>
      <c r="B941" s="481" t="n"/>
      <c r="C941" s="481" t="n"/>
      <c r="D941" s="481" t="n"/>
      <c r="E941" s="481" t="n"/>
      <c r="F941" s="481" t="n"/>
      <c r="G941" s="481" t="n"/>
    </row>
    <row r="942">
      <c r="A942" s="481" t="n"/>
      <c r="B942" s="481" t="n"/>
      <c r="C942" s="481" t="n"/>
      <c r="D942" s="481" t="n"/>
      <c r="E942" s="481" t="n"/>
      <c r="F942" s="481" t="n"/>
      <c r="G942" s="481" t="n"/>
    </row>
    <row r="943">
      <c r="A943" s="481" t="n"/>
      <c r="B943" s="481" t="n"/>
      <c r="C943" s="481" t="n"/>
      <c r="D943" s="481" t="n"/>
      <c r="E943" s="481" t="n"/>
      <c r="F943" s="481" t="n"/>
      <c r="G943" s="481" t="n"/>
    </row>
    <row r="944">
      <c r="A944" s="481" t="n"/>
      <c r="B944" s="481" t="n"/>
      <c r="C944" s="481" t="n"/>
      <c r="D944" s="481" t="n"/>
      <c r="E944" s="481" t="n"/>
      <c r="F944" s="481" t="n"/>
      <c r="G944" s="481" t="n"/>
    </row>
    <row r="945">
      <c r="A945" s="481" t="n"/>
      <c r="B945" s="481" t="n"/>
      <c r="C945" s="481" t="n"/>
      <c r="D945" s="481" t="n"/>
      <c r="E945" s="481" t="n"/>
      <c r="F945" s="481" t="n"/>
      <c r="G945" s="481" t="n"/>
    </row>
    <row r="946">
      <c r="A946" s="481" t="n"/>
      <c r="B946" s="481" t="n"/>
      <c r="C946" s="481" t="n"/>
      <c r="D946" s="481" t="n"/>
      <c r="E946" s="481" t="n"/>
      <c r="F946" s="481" t="n"/>
      <c r="G946" s="481" t="n"/>
    </row>
    <row r="947">
      <c r="A947" s="481" t="n"/>
      <c r="B947" s="481" t="n"/>
      <c r="C947" s="481" t="n"/>
      <c r="D947" s="481" t="n"/>
      <c r="E947" s="481" t="n"/>
      <c r="F947" s="481" t="n"/>
      <c r="G947" s="481" t="n"/>
    </row>
    <row r="948">
      <c r="A948" s="481" t="n"/>
      <c r="B948" s="481" t="n"/>
      <c r="C948" s="481" t="n"/>
      <c r="D948" s="481" t="n"/>
      <c r="E948" s="481" t="n"/>
      <c r="F948" s="481" t="n"/>
      <c r="G948" s="481" t="n"/>
    </row>
    <row r="949">
      <c r="A949" s="481" t="n"/>
      <c r="B949" s="481" t="n"/>
      <c r="C949" s="481" t="n"/>
      <c r="D949" s="481" t="n"/>
      <c r="E949" s="481" t="n"/>
      <c r="F949" s="481" t="n"/>
      <c r="G949" s="481" t="n"/>
    </row>
    <row r="950">
      <c r="A950" s="481" t="n"/>
      <c r="B950" s="481" t="n"/>
      <c r="C950" s="481" t="n"/>
      <c r="D950" s="481" t="n"/>
      <c r="E950" s="481" t="n"/>
      <c r="F950" s="481" t="n"/>
      <c r="G950" s="481" t="n"/>
    </row>
    <row r="951">
      <c r="A951" s="481" t="n"/>
      <c r="B951" s="481" t="n"/>
      <c r="C951" s="481" t="n"/>
      <c r="D951" s="481" t="n"/>
      <c r="E951" s="481" t="n"/>
      <c r="F951" s="481" t="n"/>
      <c r="G951" s="481" t="n"/>
    </row>
    <row r="952">
      <c r="A952" s="481" t="n"/>
      <c r="B952" s="481" t="n"/>
      <c r="C952" s="481" t="n"/>
      <c r="D952" s="481" t="n"/>
      <c r="E952" s="481" t="n"/>
      <c r="F952" s="481" t="n"/>
      <c r="G952" s="481" t="n"/>
    </row>
    <row r="953">
      <c r="A953" s="481" t="n"/>
      <c r="B953" s="481" t="n"/>
      <c r="C953" s="481" t="n"/>
      <c r="D953" s="481" t="n"/>
      <c r="E953" s="481" t="n"/>
      <c r="F953" s="481" t="n"/>
      <c r="G953" s="481" t="n"/>
    </row>
    <row r="954">
      <c r="A954" s="481" t="n"/>
      <c r="B954" s="481" t="n"/>
      <c r="C954" s="481" t="n"/>
      <c r="D954" s="481" t="n"/>
      <c r="E954" s="481" t="n"/>
      <c r="F954" s="481" t="n"/>
      <c r="G954" s="481" t="n"/>
    </row>
    <row r="955">
      <c r="A955" s="481" t="n"/>
      <c r="B955" s="481" t="n"/>
      <c r="C955" s="481" t="n"/>
      <c r="D955" s="481" t="n"/>
      <c r="E955" s="481" t="n"/>
      <c r="F955" s="481" t="n"/>
      <c r="G955" s="481" t="n"/>
    </row>
    <row r="956">
      <c r="A956" s="481" t="n"/>
      <c r="B956" s="481" t="n"/>
      <c r="C956" s="481" t="n"/>
      <c r="D956" s="481" t="n"/>
      <c r="E956" s="481" t="n"/>
      <c r="F956" s="481" t="n"/>
      <c r="G956" s="481" t="n"/>
    </row>
    <row r="957">
      <c r="A957" s="481" t="n"/>
      <c r="B957" s="481" t="n"/>
      <c r="C957" s="481" t="n"/>
      <c r="D957" s="481" t="n"/>
      <c r="E957" s="481" t="n"/>
      <c r="F957" s="481" t="n"/>
      <c r="G957" s="481" t="n"/>
    </row>
    <row r="958">
      <c r="A958" s="481" t="n"/>
      <c r="B958" s="481" t="n"/>
      <c r="C958" s="481" t="n"/>
      <c r="D958" s="481" t="n"/>
      <c r="E958" s="481" t="n"/>
      <c r="F958" s="481" t="n"/>
      <c r="G958" s="481" t="n"/>
    </row>
    <row r="959">
      <c r="A959" s="481" t="n"/>
      <c r="B959" s="481" t="n"/>
      <c r="C959" s="481" t="n"/>
      <c r="D959" s="481" t="n"/>
      <c r="E959" s="481" t="n"/>
      <c r="F959" s="481" t="n"/>
      <c r="G959" s="481" t="n"/>
    </row>
    <row r="960">
      <c r="A960" s="481" t="n"/>
      <c r="B960" s="481" t="n"/>
      <c r="C960" s="481" t="n"/>
      <c r="D960" s="481" t="n"/>
      <c r="E960" s="481" t="n"/>
      <c r="F960" s="481" t="n"/>
      <c r="G960" s="481" t="n"/>
    </row>
    <row r="961">
      <c r="A961" s="481" t="n"/>
      <c r="B961" s="481" t="n"/>
      <c r="C961" s="481" t="n"/>
      <c r="D961" s="481" t="n"/>
      <c r="E961" s="481" t="n"/>
      <c r="F961" s="481" t="n"/>
      <c r="G961" s="481" t="n"/>
    </row>
    <row r="962">
      <c r="A962" s="481" t="n"/>
      <c r="B962" s="481" t="n"/>
      <c r="C962" s="481" t="n"/>
      <c r="D962" s="481" t="n"/>
      <c r="E962" s="481" t="n"/>
      <c r="F962" s="481" t="n"/>
      <c r="G962" s="481" t="n"/>
    </row>
    <row r="963">
      <c r="A963" s="481" t="n"/>
      <c r="B963" s="481" t="n"/>
      <c r="C963" s="481" t="n"/>
      <c r="D963" s="481" t="n"/>
      <c r="E963" s="481" t="n"/>
      <c r="F963" s="481" t="n"/>
      <c r="G963" s="481" t="n"/>
    </row>
    <row r="964">
      <c r="A964" s="481" t="n"/>
      <c r="B964" s="481" t="n"/>
      <c r="C964" s="481" t="n"/>
      <c r="D964" s="481" t="n"/>
      <c r="E964" s="481" t="n"/>
      <c r="F964" s="481" t="n"/>
      <c r="G964" s="481" t="n"/>
    </row>
    <row r="965">
      <c r="A965" s="481" t="n"/>
      <c r="B965" s="481" t="n"/>
      <c r="C965" s="481" t="n"/>
      <c r="D965" s="481" t="n"/>
      <c r="E965" s="481" t="n"/>
      <c r="F965" s="481" t="n"/>
      <c r="G965" s="481" t="n"/>
    </row>
    <row r="966">
      <c r="A966" s="481" t="n"/>
      <c r="B966" s="481" t="n"/>
      <c r="C966" s="481" t="n"/>
      <c r="D966" s="481" t="n"/>
      <c r="E966" s="481" t="n"/>
      <c r="F966" s="481" t="n"/>
      <c r="G966" s="481" t="n"/>
    </row>
    <row r="967">
      <c r="A967" s="481" t="n"/>
      <c r="B967" s="481" t="n"/>
      <c r="C967" s="481" t="n"/>
      <c r="D967" s="481" t="n"/>
      <c r="E967" s="481" t="n"/>
      <c r="F967" s="481" t="n"/>
      <c r="G967" s="481" t="n"/>
    </row>
    <row r="968">
      <c r="A968" s="481" t="n"/>
      <c r="B968" s="481" t="n"/>
      <c r="C968" s="481" t="n"/>
      <c r="D968" s="481" t="n"/>
      <c r="E968" s="481" t="n"/>
      <c r="F968" s="481" t="n"/>
      <c r="G968" s="481" t="n"/>
    </row>
    <row r="969">
      <c r="A969" s="481" t="n"/>
      <c r="B969" s="481" t="n"/>
      <c r="C969" s="481" t="n"/>
      <c r="D969" s="481" t="n"/>
      <c r="E969" s="481" t="n"/>
      <c r="F969" s="481" t="n"/>
      <c r="G969" s="481" t="n"/>
    </row>
    <row r="970">
      <c r="A970" s="481" t="n"/>
      <c r="B970" s="481" t="n"/>
      <c r="C970" s="481" t="n"/>
      <c r="D970" s="481" t="n"/>
      <c r="E970" s="481" t="n"/>
      <c r="F970" s="481" t="n"/>
      <c r="G970" s="481" t="n"/>
    </row>
    <row r="971">
      <c r="A971" s="481" t="n"/>
      <c r="B971" s="481" t="n"/>
      <c r="C971" s="481" t="n"/>
      <c r="D971" s="481" t="n"/>
      <c r="E971" s="481" t="n"/>
      <c r="F971" s="481" t="n"/>
      <c r="G971" s="481" t="n"/>
    </row>
    <row r="972">
      <c r="A972" s="481" t="n"/>
      <c r="B972" s="481" t="n"/>
      <c r="C972" s="481" t="n"/>
      <c r="D972" s="481" t="n"/>
      <c r="E972" s="481" t="n"/>
      <c r="F972" s="481" t="n"/>
      <c r="G972" s="481" t="n"/>
    </row>
    <row r="973">
      <c r="A973" s="481" t="n"/>
      <c r="B973" s="481" t="n"/>
      <c r="C973" s="481" t="n"/>
      <c r="D973" s="481" t="n"/>
      <c r="E973" s="481" t="n"/>
      <c r="F973" s="481" t="n"/>
      <c r="G973" s="481" t="n"/>
    </row>
    <row r="974">
      <c r="A974" s="481" t="n"/>
      <c r="B974" s="481" t="n"/>
      <c r="C974" s="481" t="n"/>
      <c r="D974" s="481" t="n"/>
      <c r="E974" s="481" t="n"/>
      <c r="F974" s="481" t="n"/>
      <c r="G974" s="481" t="n"/>
    </row>
    <row r="975">
      <c r="A975" s="481" t="n"/>
      <c r="B975" s="481" t="n"/>
      <c r="C975" s="481" t="n"/>
      <c r="D975" s="481" t="n"/>
      <c r="E975" s="481" t="n"/>
      <c r="F975" s="481" t="n"/>
      <c r="G975" s="481" t="n"/>
    </row>
    <row r="976">
      <c r="A976" s="481" t="n"/>
      <c r="B976" s="481" t="n"/>
      <c r="C976" s="481" t="n"/>
      <c r="D976" s="481" t="n"/>
      <c r="E976" s="481" t="n"/>
      <c r="F976" s="481" t="n"/>
      <c r="G976" s="481" t="n"/>
    </row>
    <row r="977">
      <c r="A977" s="481" t="n"/>
      <c r="B977" s="481" t="n"/>
      <c r="C977" s="481" t="n"/>
      <c r="D977" s="481" t="n"/>
      <c r="E977" s="481" t="n"/>
      <c r="F977" s="481" t="n"/>
      <c r="G977" s="481" t="n"/>
    </row>
    <row r="978">
      <c r="A978" s="481" t="n"/>
      <c r="B978" s="481" t="n"/>
      <c r="C978" s="481" t="n"/>
      <c r="D978" s="481" t="n"/>
      <c r="E978" s="481" t="n"/>
      <c r="F978" s="481" t="n"/>
      <c r="G978" s="481" t="n"/>
    </row>
    <row r="979">
      <c r="A979" s="481" t="n"/>
      <c r="B979" s="481" t="n"/>
      <c r="C979" s="481" t="n"/>
      <c r="D979" s="481" t="n"/>
      <c r="E979" s="481" t="n"/>
      <c r="F979" s="481" t="n"/>
      <c r="G979" s="481" t="n"/>
    </row>
    <row r="980">
      <c r="A980" s="481" t="n"/>
      <c r="B980" s="481" t="n"/>
      <c r="C980" s="481" t="n"/>
      <c r="D980" s="481" t="n"/>
      <c r="E980" s="481" t="n"/>
      <c r="F980" s="481" t="n"/>
      <c r="G980" s="481" t="n"/>
    </row>
    <row r="981">
      <c r="A981" s="481" t="n"/>
      <c r="B981" s="481" t="n"/>
      <c r="C981" s="481" t="n"/>
      <c r="D981" s="481" t="n"/>
      <c r="E981" s="481" t="n"/>
      <c r="F981" s="481" t="n"/>
      <c r="G981" s="481" t="n"/>
    </row>
    <row r="982">
      <c r="A982" s="481" t="n"/>
      <c r="B982" s="481" t="n"/>
      <c r="C982" s="481" t="n"/>
      <c r="D982" s="481" t="n"/>
      <c r="E982" s="481" t="n"/>
      <c r="F982" s="481" t="n"/>
      <c r="G982" s="481" t="n"/>
    </row>
    <row r="983">
      <c r="A983" s="481" t="n"/>
      <c r="B983" s="481" t="n"/>
      <c r="C983" s="481" t="n"/>
      <c r="D983" s="481" t="n"/>
      <c r="E983" s="481" t="n"/>
      <c r="F983" s="481" t="n"/>
      <c r="G983" s="481" t="n"/>
    </row>
    <row r="984">
      <c r="A984" s="481" t="n"/>
      <c r="B984" s="481" t="n"/>
      <c r="C984" s="481" t="n"/>
      <c r="D984" s="481" t="n"/>
      <c r="E984" s="481" t="n"/>
      <c r="F984" s="481" t="n"/>
      <c r="G984" s="481" t="n"/>
    </row>
    <row r="985">
      <c r="A985" s="481" t="n"/>
      <c r="B985" s="481" t="n"/>
      <c r="C985" s="481" t="n"/>
      <c r="D985" s="481" t="n"/>
      <c r="E985" s="481" t="n"/>
      <c r="F985" s="481" t="n"/>
      <c r="G985" s="481" t="n"/>
    </row>
    <row r="986">
      <c r="A986" s="481" t="n"/>
      <c r="B986" s="481" t="n"/>
      <c r="C986" s="481" t="n"/>
      <c r="D986" s="481" t="n"/>
      <c r="E986" s="481" t="n"/>
      <c r="F986" s="481" t="n"/>
      <c r="G986" s="481" t="n"/>
    </row>
    <row r="987">
      <c r="A987" s="481" t="n"/>
      <c r="B987" s="481" t="n"/>
      <c r="C987" s="481" t="n"/>
      <c r="D987" s="481" t="n"/>
      <c r="E987" s="481" t="n"/>
      <c r="F987" s="481" t="n"/>
      <c r="G987" s="481" t="n"/>
    </row>
    <row r="988">
      <c r="A988" s="481" t="n"/>
      <c r="B988" s="481" t="n"/>
      <c r="C988" s="481" t="n"/>
      <c r="D988" s="481" t="n"/>
      <c r="E988" s="481" t="n"/>
      <c r="F988" s="481" t="n"/>
      <c r="G988" s="481" t="n"/>
    </row>
    <row r="989">
      <c r="A989" s="481" t="n"/>
      <c r="B989" s="481" t="n"/>
      <c r="C989" s="481" t="n"/>
      <c r="D989" s="481" t="n"/>
      <c r="E989" s="481" t="n"/>
      <c r="F989" s="481" t="n"/>
      <c r="G989" s="481" t="n"/>
    </row>
    <row r="990">
      <c r="A990" s="481" t="n"/>
      <c r="B990" s="481" t="n"/>
      <c r="C990" s="481" t="n"/>
      <c r="D990" s="481" t="n"/>
      <c r="E990" s="481" t="n"/>
      <c r="F990" s="481" t="n"/>
      <c r="G990" s="481" t="n"/>
    </row>
    <row r="991">
      <c r="A991" s="481" t="n"/>
      <c r="B991" s="481" t="n"/>
      <c r="C991" s="481" t="n"/>
      <c r="D991" s="481" t="n"/>
      <c r="E991" s="481" t="n"/>
      <c r="F991" s="481" t="n"/>
      <c r="G991" s="481" t="n"/>
    </row>
    <row r="992">
      <c r="A992" s="481" t="n"/>
      <c r="B992" s="481" t="n"/>
      <c r="C992" s="481" t="n"/>
      <c r="D992" s="481" t="n"/>
      <c r="E992" s="481" t="n"/>
      <c r="F992" s="481" t="n"/>
      <c r="G992" s="481" t="n"/>
    </row>
    <row r="993">
      <c r="A993" s="481" t="n"/>
      <c r="B993" s="481" t="n"/>
      <c r="C993" s="481" t="n"/>
      <c r="D993" s="481" t="n"/>
      <c r="E993" s="481" t="n"/>
      <c r="F993" s="481" t="n"/>
      <c r="G993" s="481" t="n"/>
    </row>
    <row r="994">
      <c r="A994" s="481" t="n"/>
      <c r="B994" s="481" t="n"/>
      <c r="C994" s="481" t="n"/>
      <c r="D994" s="481" t="n"/>
      <c r="E994" s="481" t="n"/>
      <c r="F994" s="481" t="n"/>
      <c r="G994" s="481" t="n"/>
    </row>
    <row r="995">
      <c r="A995" s="481" t="n"/>
      <c r="B995" s="481" t="n"/>
      <c r="C995" s="481" t="n"/>
      <c r="D995" s="481" t="n"/>
      <c r="E995" s="481" t="n"/>
      <c r="F995" s="481" t="n"/>
      <c r="G995" s="481" t="n"/>
    </row>
    <row r="996">
      <c r="A996" s="481" t="n"/>
      <c r="B996" s="481" t="n"/>
      <c r="C996" s="481" t="n"/>
      <c r="D996" s="481" t="n"/>
      <c r="E996" s="481" t="n"/>
      <c r="F996" s="481" t="n"/>
      <c r="G996" s="481" t="n"/>
    </row>
    <row r="997">
      <c r="A997" s="481" t="n"/>
      <c r="B997" s="481" t="n"/>
      <c r="C997" s="481" t="n"/>
      <c r="D997" s="481" t="n"/>
      <c r="E997" s="481" t="n"/>
      <c r="F997" s="481" t="n"/>
      <c r="G997" s="481" t="n"/>
    </row>
    <row r="998">
      <c r="A998" s="481" t="n"/>
      <c r="B998" s="481" t="n"/>
      <c r="C998" s="481" t="n"/>
      <c r="D998" s="481" t="n"/>
      <c r="E998" s="481" t="n"/>
      <c r="F998" s="481" t="n"/>
      <c r="G998" s="481" t="n"/>
    </row>
    <row r="999">
      <c r="A999" s="481" t="n"/>
      <c r="B999" s="481" t="n"/>
      <c r="C999" s="481" t="n"/>
      <c r="D999" s="481" t="n"/>
      <c r="E999" s="481" t="n"/>
      <c r="F999" s="481" t="n"/>
      <c r="G999" s="481" t="n"/>
    </row>
    <row r="1000">
      <c r="A1000" s="481" t="n"/>
      <c r="B1000" s="481" t="n"/>
      <c r="C1000" s="481" t="n"/>
      <c r="D1000" s="481" t="n"/>
      <c r="E1000" s="481" t="n"/>
      <c r="F1000" s="481" t="n"/>
      <c r="G1000" s="481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topic</t>
        </is>
      </c>
      <c r="C1" s="556" t="inlineStr">
        <is>
          <t>metric</t>
        </is>
      </c>
      <c r="D1" s="556" t="inlineStr">
        <is>
          <t>value</t>
        </is>
      </c>
      <c r="E1" s="556" t="inlineStr">
        <is>
          <t>unit</t>
        </is>
      </c>
      <c r="F1" s="556" t="inlineStr">
        <is>
          <t>source_ref</t>
        </is>
      </c>
      <c r="G1" s="556" t="inlineStr">
        <is>
          <t>status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6" customWidth="1" min="5" max="5"/>
    <col width="12" customWidth="1" min="6" max="6"/>
  </cols>
  <sheetData>
    <row r="1" ht="20" customHeight="1">
      <c r="A1" s="556" t="inlineStr">
        <is>
          <t>period</t>
        </is>
      </c>
      <c r="B1" s="556" t="inlineStr">
        <is>
          <t>period_ordinal</t>
        </is>
      </c>
      <c r="C1" s="556" t="inlineStr">
        <is>
          <t>period_type</t>
        </is>
      </c>
      <c r="D1" s="556" t="inlineStr">
        <is>
          <t>fiscal_year</t>
        </is>
      </c>
      <c r="E1" s="556" t="inlineStr">
        <is>
          <t>fiscal_quarter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2" customWidth="1" min="11" max="11"/>
    <col width="24" customWidth="1" min="12" max="12"/>
  </cols>
  <sheetData>
    <row r="1" ht="20" customHeight="1">
      <c r="A1" s="556" t="inlineStr">
        <is>
          <t>field</t>
        </is>
      </c>
      <c r="B1" s="556" t="inlineStr">
        <is>
          <t>display_name</t>
        </is>
      </c>
      <c r="C1" s="556" t="inlineStr">
        <is>
          <t>metric_type</t>
        </is>
      </c>
      <c r="D1" s="556" t="inlineStr">
        <is>
          <t>source_policy</t>
        </is>
      </c>
      <c r="E1" s="556" t="inlineStr">
        <is>
          <t>status</t>
        </is>
      </c>
      <c r="F1" s="556" t="inlineStr">
        <is>
          <t>reason</t>
        </is>
      </c>
      <c r="G1" s="556" t="inlineStr">
        <is>
          <t>sheet</t>
        </is>
      </c>
      <c r="H1" s="556" t="inlineStr">
        <is>
          <t>target</t>
        </is>
      </c>
      <c r="I1" s="556" t="inlineStr">
        <is>
          <t>binding_id</t>
        </is>
      </c>
      <c r="J1" s="556" t="inlineStr">
        <is>
          <t>review_status</t>
        </is>
      </c>
      <c r="K1" s="556" t="inlineStr">
        <is>
          <t>reserved</t>
        </is>
      </c>
      <c r="L1" s="556" t="inlineStr">
        <is>
          <t>has_hidden_value_issue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flag_id</t>
        </is>
      </c>
      <c r="B1" s="556" t="inlineStr">
        <is>
          <t>metric</t>
        </is>
      </c>
      <c r="C1" s="556" t="inlineStr">
        <is>
          <t>period</t>
        </is>
      </c>
      <c r="D1" s="556" t="inlineStr">
        <is>
          <t>status</t>
        </is>
      </c>
      <c r="E1" s="556" t="inlineStr">
        <is>
          <t>reason</t>
        </is>
      </c>
      <c r="F1" s="556" t="inlineStr">
        <is>
          <t>source_ref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flag_id</t>
        </is>
      </c>
      <c r="B1" s="556" t="inlineStr">
        <is>
          <t>input_key</t>
        </is>
      </c>
      <c r="C1" s="556" t="inlineStr">
        <is>
          <t>value</t>
        </is>
      </c>
      <c r="D1" s="556" t="inlineStr">
        <is>
          <t>unit</t>
        </is>
      </c>
      <c r="E1" s="556" t="inlineStr">
        <is>
          <t>period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metric</t>
        </is>
      </c>
      <c r="B1" s="556" t="inlineStr">
        <is>
          <t>period</t>
        </is>
      </c>
      <c r="C1" s="556" t="inlineStr">
        <is>
          <t>value</t>
        </is>
      </c>
      <c r="D1" s="556" t="inlineStr">
        <is>
          <t>unit</t>
        </is>
      </c>
      <c r="E1" s="556" t="inlineStr">
        <is>
          <t>source_ref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capacity</t>
        </is>
      </c>
      <c r="C1" s="556" t="inlineStr">
        <is>
          <t>drawn</t>
        </is>
      </c>
      <c r="D1" s="556" t="inlineStr">
        <is>
          <t>availability</t>
        </is>
      </c>
      <c r="E1" s="556" t="inlineStr">
        <is>
          <t>covenant_status</t>
        </is>
      </c>
      <c r="F1" s="556" t="inlineStr">
        <is>
          <t>source_ref</t>
        </is>
      </c>
      <c r="G1" s="556" t="inlineStr">
        <is>
          <t>status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instrument</t>
        </is>
      </c>
      <c r="B1" s="556" t="inlineStr">
        <is>
          <t>principal</t>
        </is>
      </c>
      <c r="C1" s="556" t="inlineStr">
        <is>
          <t>coupon</t>
        </is>
      </c>
      <c r="D1" s="556" t="inlineStr">
        <is>
          <t>maturity</t>
        </is>
      </c>
      <c r="E1" s="556" t="inlineStr">
        <is>
          <t>secured</t>
        </is>
      </c>
      <c r="F1" s="556" t="inlineStr">
        <is>
          <t>source_ref</t>
        </is>
      </c>
      <c r="G1" s="556" t="inlineStr">
        <is>
          <t>status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metric</t>
        </is>
      </c>
      <c r="B1" s="556" t="inlineStr">
        <is>
          <t>value</t>
        </is>
      </c>
      <c r="C1" s="556" t="inlineStr">
        <is>
          <t>period</t>
        </is>
      </c>
      <c r="D1" s="556" t="inlineStr">
        <is>
          <t>unit</t>
        </is>
      </c>
      <c r="E1" s="556" t="inlineStr">
        <is>
          <t>source_ref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period</t>
        </is>
      </c>
      <c r="B1" s="556" t="inlineStr">
        <is>
          <t>topic</t>
        </is>
      </c>
      <c r="C1" s="556" t="inlineStr">
        <is>
          <t>note</t>
        </is>
      </c>
      <c r="D1" s="556" t="inlineStr">
        <is>
          <t>covenant</t>
        </is>
      </c>
      <c r="E1" s="556" t="inlineStr">
        <is>
          <t>source_ref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6" t="inlineStr">
        <is>
          <t>period</t>
        </is>
      </c>
      <c r="B1" s="556" t="inlineStr">
        <is>
          <t>gross_debt</t>
        </is>
      </c>
      <c r="C1" s="556" t="inlineStr">
        <is>
          <t>net_debt</t>
        </is>
      </c>
      <c r="D1" s="556" t="inlineStr">
        <is>
          <t>liquidity</t>
        </is>
      </c>
      <c r="E1" s="556" t="inlineStr">
        <is>
          <t>leverage</t>
        </is>
      </c>
      <c r="F1" s="556" t="inlineStr">
        <is>
          <t>coverage</t>
        </is>
      </c>
      <c r="G1" s="556" t="inlineStr">
        <is>
          <t>source_ref</t>
        </is>
      </c>
      <c r="H1" s="556" t="inlineStr">
        <is>
          <t>status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gaap_value</t>
        </is>
      </c>
      <c r="D1" s="556" t="inlineStr">
        <is>
          <t>adjusted_value</t>
        </is>
      </c>
      <c r="E1" s="556" t="inlineStr">
        <is>
          <t>adjustments</t>
        </is>
      </c>
      <c r="F1" s="556" t="inlineStr">
        <is>
          <t>credibility</t>
        </is>
      </c>
      <c r="G1" s="556" t="inlineStr">
        <is>
          <t>source_ref</t>
        </is>
      </c>
      <c r="H1" s="556" t="inlineStr">
        <is>
          <t>status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gaap_value</t>
        </is>
      </c>
      <c r="D1" s="556" t="inlineStr">
        <is>
          <t>adjusted_value</t>
        </is>
      </c>
      <c r="E1" s="556" t="inlineStr">
        <is>
          <t>unit</t>
        </is>
      </c>
      <c r="F1" s="556" t="inlineStr">
        <is>
          <t>source_ref</t>
        </is>
      </c>
      <c r="G1" s="556" t="inlineStr">
        <is>
          <t>status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adjustment</t>
        </is>
      </c>
      <c r="C1" s="556" t="inlineStr">
        <is>
          <t>amount</t>
        </is>
      </c>
      <c r="D1" s="556" t="inlineStr">
        <is>
          <t>tax_treatment</t>
        </is>
      </c>
      <c r="E1" s="556" t="inlineStr">
        <is>
          <t>recurring</t>
        </is>
      </c>
      <c r="F1" s="556" t="inlineStr">
        <is>
          <t>source_ref</t>
        </is>
      </c>
      <c r="G1" s="556" t="inlineStr">
        <is>
          <t>status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7" customWidth="1" min="3" max="3"/>
    <col width="13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5" customWidth="1" min="13" max="13"/>
    <col width="21" customWidth="1" min="14" max="14"/>
    <col width="18" customWidth="1" min="15" max="15"/>
    <col width="12" customWidth="1" min="16" max="16"/>
    <col width="12" customWidth="1" min="17" max="17"/>
    <col width="12" customWidth="1" min="18" max="18"/>
  </cols>
  <sheetData>
    <row r="1" ht="20" customHeight="1">
      <c r="A1" s="556" t="inlineStr">
        <is>
          <t>scenario_id</t>
        </is>
      </c>
      <c r="B1" s="556" t="inlineStr">
        <is>
          <t>driver_id</t>
        </is>
      </c>
      <c r="C1" s="556" t="inlineStr">
        <is>
          <t>profile_pack_id</t>
        </is>
      </c>
      <c r="D1" s="556" t="inlineStr">
        <is>
          <t>driver_type</t>
        </is>
      </c>
      <c r="E1" s="556" t="inlineStr">
        <is>
          <t>metric</t>
        </is>
      </c>
      <c r="F1" s="556" t="inlineStr">
        <is>
          <t>impact_metric</t>
        </is>
      </c>
      <c r="G1" s="556" t="inlineStr">
        <is>
          <t>value</t>
        </is>
      </c>
      <c r="H1" s="556" t="inlineStr">
        <is>
          <t>unit</t>
        </is>
      </c>
      <c r="I1" s="556" t="inlineStr">
        <is>
          <t>horizon</t>
        </is>
      </c>
      <c r="J1" s="556" t="inlineStr">
        <is>
          <t>dimension_id</t>
        </is>
      </c>
      <c r="K1" s="556" t="inlineStr">
        <is>
          <t>member</t>
        </is>
      </c>
      <c r="L1" s="556" t="inlineStr">
        <is>
          <t>source_classification</t>
        </is>
      </c>
      <c r="M1" s="556" t="inlineStr">
        <is>
          <t>tax_treatment</t>
        </is>
      </c>
      <c r="N1" s="556" t="inlineStr">
        <is>
          <t>cash_classification</t>
        </is>
      </c>
      <c r="O1" s="556" t="inlineStr">
        <is>
          <t>propagation_rule</t>
        </is>
      </c>
      <c r="P1" s="556" t="inlineStr">
        <is>
          <t>status</t>
        </is>
      </c>
      <c r="Q1" s="556" t="inlineStr">
        <is>
          <t>source_ref</t>
        </is>
      </c>
      <c r="R1" s="556" t="inlineStr">
        <is>
          <t>reason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2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56" t="inlineStr">
        <is>
          <t>scenario_id</t>
        </is>
      </c>
      <c r="B1" s="556" t="inlineStr">
        <is>
          <t>adjustment</t>
        </is>
      </c>
      <c r="C1" s="556" t="inlineStr">
        <is>
          <t>pretax_value</t>
        </is>
      </c>
      <c r="D1" s="556" t="inlineStr">
        <is>
          <t>tax_rate</t>
        </is>
      </c>
      <c r="E1" s="556" t="inlineStr">
        <is>
          <t>after_tax_value</t>
        </is>
      </c>
      <c r="F1" s="556" t="inlineStr">
        <is>
          <t>source_ref</t>
        </is>
      </c>
      <c r="G1" s="556" t="inlineStr">
        <is>
          <t>status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8" customWidth="1" min="13" max="13"/>
    <col width="12" customWidth="1" min="14" max="14"/>
    <col width="12" customWidth="1" min="15" max="15"/>
    <col width="12" customWidth="1" min="16" max="16"/>
    <col width="17" customWidth="1" min="17" max="17"/>
  </cols>
  <sheetData>
    <row r="1" ht="20" customHeight="1">
      <c r="A1" s="556" t="inlineStr">
        <is>
          <t>scenario_id</t>
        </is>
      </c>
      <c r="B1" s="556" t="inlineStr">
        <is>
          <t>assumption_id</t>
        </is>
      </c>
      <c r="C1" s="556" t="inlineStr">
        <is>
          <t>metric</t>
        </is>
      </c>
      <c r="D1" s="556" t="inlineStr">
        <is>
          <t>value_kind</t>
        </is>
      </c>
      <c r="E1" s="556" t="inlineStr">
        <is>
          <t>value</t>
        </is>
      </c>
      <c r="F1" s="556" t="inlineStr">
        <is>
          <t>low_value</t>
        </is>
      </c>
      <c r="G1" s="556" t="inlineStr">
        <is>
          <t>high_value</t>
        </is>
      </c>
      <c r="H1" s="556" t="inlineStr">
        <is>
          <t>unit</t>
        </is>
      </c>
      <c r="I1" s="556" t="inlineStr">
        <is>
          <t>horizon</t>
        </is>
      </c>
      <c r="J1" s="556" t="inlineStr">
        <is>
          <t>dimension_id</t>
        </is>
      </c>
      <c r="K1" s="556" t="inlineStr">
        <is>
          <t>member</t>
        </is>
      </c>
      <c r="L1" s="556" t="inlineStr">
        <is>
          <t>source_classification</t>
        </is>
      </c>
      <c r="M1" s="556" t="inlineStr">
        <is>
          <t>propagation_rule</t>
        </is>
      </c>
      <c r="N1" s="556" t="inlineStr">
        <is>
          <t>status</t>
        </is>
      </c>
      <c r="O1" s="556" t="inlineStr">
        <is>
          <t>source_ref</t>
        </is>
      </c>
      <c r="P1" s="556" t="inlineStr">
        <is>
          <t>reason</t>
        </is>
      </c>
      <c r="Q1" s="556" t="inlineStr">
        <is>
          <t>profile_pack_id</t>
        </is>
      </c>
    </row>
    <row r="2"/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instrument</t>
        </is>
      </c>
      <c r="B1" s="556" t="inlineStr">
        <is>
          <t>bucket</t>
        </is>
      </c>
      <c r="C1" s="556" t="inlineStr">
        <is>
          <t>amount</t>
        </is>
      </c>
      <c r="D1" s="556" t="inlineStr">
        <is>
          <t>unit</t>
        </is>
      </c>
      <c r="E1" s="556" t="inlineStr">
        <is>
          <t>maturity</t>
        </is>
      </c>
      <c r="F1" s="556" t="inlineStr">
        <is>
          <t>source_ref</t>
        </is>
      </c>
      <c r="G1" s="556" t="inlineStr">
        <is>
          <t>status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bucket</t>
        </is>
      </c>
      <c r="B1" s="556" t="inlineStr">
        <is>
          <t>amount</t>
        </is>
      </c>
      <c r="C1" s="556" t="inlineStr">
        <is>
          <t>unit</t>
        </is>
      </c>
      <c r="D1" s="556" t="inlineStr">
        <is>
          <t>as_of</t>
        </is>
      </c>
      <c r="E1" s="556" t="inlineStr">
        <is>
          <t>source_ref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6" t="inlineStr">
        <is>
          <t>period</t>
        </is>
      </c>
      <c r="B1" s="556" t="inlineStr">
        <is>
          <t>opening</t>
        </is>
      </c>
      <c r="C1" s="556" t="inlineStr">
        <is>
          <t>debt_issued</t>
        </is>
      </c>
      <c r="D1" s="556" t="inlineStr">
        <is>
          <t>debt_repaid</t>
        </is>
      </c>
      <c r="E1" s="556" t="inlineStr">
        <is>
          <t>other</t>
        </is>
      </c>
      <c r="F1" s="556" t="inlineStr">
        <is>
          <t>closing</t>
        </is>
      </c>
      <c r="G1" s="556" t="inlineStr">
        <is>
          <t>source_ref</t>
        </is>
      </c>
      <c r="H1" s="556" t="inlineStr">
        <is>
          <t>status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6" t="inlineStr">
        <is>
          <t>period</t>
        </is>
      </c>
      <c r="B1" s="556" t="inlineStr">
        <is>
          <t>instrument</t>
        </is>
      </c>
      <c r="C1" s="556" t="inlineStr">
        <is>
          <t>principal</t>
        </is>
      </c>
      <c r="D1" s="556" t="inlineStr">
        <is>
          <t>coupon</t>
        </is>
      </c>
      <c r="E1" s="556" t="inlineStr">
        <is>
          <t>maturity</t>
        </is>
      </c>
      <c r="F1" s="556" t="inlineStr">
        <is>
          <t>secured</t>
        </is>
      </c>
      <c r="G1" s="556" t="inlineStr">
        <is>
          <t>source_ref</t>
        </is>
      </c>
      <c r="H1" s="556" t="inlineStr">
        <is>
          <t>status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5" customWidth="1" min="4" max="4"/>
    <col width="12" customWidth="1" min="5" max="5"/>
    <col width="12" customWidth="1" min="6" max="6"/>
  </cols>
  <sheetData>
    <row r="1" ht="20" customHeight="1">
      <c r="A1" s="556" t="inlineStr">
        <is>
          <t>scenario_id</t>
        </is>
      </c>
      <c r="B1" s="556" t="inlineStr">
        <is>
          <t>row_driver</t>
        </is>
      </c>
      <c r="C1" s="556" t="inlineStr">
        <is>
          <t>column_driver</t>
        </is>
      </c>
      <c r="D1" s="556" t="inlineStr">
        <is>
          <t>output_metric</t>
        </is>
      </c>
      <c r="E1" s="556" t="inlineStr">
        <is>
          <t>value</t>
        </is>
      </c>
      <c r="F1" s="556" t="inlineStr">
        <is>
          <t>status</t>
        </is>
      </c>
    </row>
    <row r="2">
      <c r="A2">
        <f>"dcf"</f>
        <v/>
      </c>
      <c r="B2" s="500">
        <f>IF('Valuation'!$G$227="","",'Valuation'!$G$227)</f>
        <v/>
      </c>
      <c r="C2" s="500">
        <f>IF('Valuation'!$H$226="","",'Valuation'!$H$226)</f>
        <v/>
      </c>
      <c r="D2" t="inlineStr">
        <is>
          <t>implied_price</t>
        </is>
      </c>
      <c r="E2" s="507">
        <f>IF('Valuation'!$H$227="","",'Valuation'!$H$227)</f>
        <v/>
      </c>
      <c r="F2">
        <f>IF(E2="","unavailable","calculated")</f>
        <v/>
      </c>
    </row>
    <row r="3">
      <c r="A3">
        <f>"dcf"</f>
        <v/>
      </c>
      <c r="B3" s="500">
        <f>IF('Valuation'!$G$227="","",'Valuation'!$G$227)</f>
        <v/>
      </c>
      <c r="C3" s="500">
        <f>IF('Valuation'!$I$226="","",'Valuation'!$I$226)</f>
        <v/>
      </c>
      <c r="D3" t="inlineStr">
        <is>
          <t>implied_price</t>
        </is>
      </c>
      <c r="E3" s="507">
        <f>IF('Valuation'!$I$227="","",'Valuation'!$I$227)</f>
        <v/>
      </c>
      <c r="F3">
        <f>IF(E3="","unavailable","calculated")</f>
        <v/>
      </c>
    </row>
    <row r="4">
      <c r="A4">
        <f>"dcf"</f>
        <v/>
      </c>
      <c r="B4" s="500">
        <f>IF('Valuation'!$G$227="","",'Valuation'!$G$227)</f>
        <v/>
      </c>
      <c r="C4" s="500">
        <f>IF('Valuation'!$J$226="","",'Valuation'!$J$226)</f>
        <v/>
      </c>
      <c r="D4" t="inlineStr">
        <is>
          <t>implied_price</t>
        </is>
      </c>
      <c r="E4" s="507">
        <f>IF('Valuation'!$J$227="","",'Valuation'!$J$227)</f>
        <v/>
      </c>
      <c r="F4">
        <f>IF(E4="","unavailable","calculated")</f>
        <v/>
      </c>
    </row>
    <row r="5">
      <c r="A5">
        <f>"dcf"</f>
        <v/>
      </c>
      <c r="B5" s="500">
        <f>IF('Valuation'!$G$227="","",'Valuation'!$G$227)</f>
        <v/>
      </c>
      <c r="C5" s="500">
        <f>IF('Valuation'!$K$226="","",'Valuation'!$K$226)</f>
        <v/>
      </c>
      <c r="D5" t="inlineStr">
        <is>
          <t>implied_price</t>
        </is>
      </c>
      <c r="E5" s="507">
        <f>IF('Valuation'!$K$227="","",'Valuation'!$K$227)</f>
        <v/>
      </c>
      <c r="F5">
        <f>IF(E5="","unavailable","calculated")</f>
        <v/>
      </c>
    </row>
    <row r="6">
      <c r="A6">
        <f>"dcf"</f>
        <v/>
      </c>
      <c r="B6" s="500">
        <f>IF('Valuation'!$G$227="","",'Valuation'!$G$227)</f>
        <v/>
      </c>
      <c r="C6" s="500">
        <f>IF('Valuation'!$L$226="","",'Valuation'!$L$226)</f>
        <v/>
      </c>
      <c r="D6" t="inlineStr">
        <is>
          <t>implied_price</t>
        </is>
      </c>
      <c r="E6" s="507">
        <f>IF('Valuation'!$L$227="","",'Valuation'!$L$227)</f>
        <v/>
      </c>
      <c r="F6">
        <f>IF(E6="","unavailable","calculated")</f>
        <v/>
      </c>
    </row>
    <row r="7">
      <c r="A7">
        <f>"dcf"</f>
        <v/>
      </c>
      <c r="B7" s="500">
        <f>IF('Valuation'!$G$228="","",'Valuation'!$G$228)</f>
        <v/>
      </c>
      <c r="C7" s="500">
        <f>IF('Valuation'!$H$226="","",'Valuation'!$H$226)</f>
        <v/>
      </c>
      <c r="D7" t="inlineStr">
        <is>
          <t>implied_price</t>
        </is>
      </c>
      <c r="E7" s="507">
        <f>IF('Valuation'!$H$228="","",'Valuation'!$H$228)</f>
        <v/>
      </c>
      <c r="F7">
        <f>IF(E7="","unavailable","calculated")</f>
        <v/>
      </c>
    </row>
    <row r="8">
      <c r="A8">
        <f>"dcf"</f>
        <v/>
      </c>
      <c r="B8" s="500">
        <f>IF('Valuation'!$G$228="","",'Valuation'!$G$228)</f>
        <v/>
      </c>
      <c r="C8" s="500">
        <f>IF('Valuation'!$I$226="","",'Valuation'!$I$226)</f>
        <v/>
      </c>
      <c r="D8" t="inlineStr">
        <is>
          <t>implied_price</t>
        </is>
      </c>
      <c r="E8" s="507">
        <f>IF('Valuation'!$I$228="","",'Valuation'!$I$228)</f>
        <v/>
      </c>
      <c r="F8">
        <f>IF(E8="","unavailable","calculated")</f>
        <v/>
      </c>
    </row>
    <row r="9">
      <c r="A9">
        <f>"dcf"</f>
        <v/>
      </c>
      <c r="B9" s="500">
        <f>IF('Valuation'!$G$228="","",'Valuation'!$G$228)</f>
        <v/>
      </c>
      <c r="C9" s="500">
        <f>IF('Valuation'!$J$226="","",'Valuation'!$J$226)</f>
        <v/>
      </c>
      <c r="D9" t="inlineStr">
        <is>
          <t>implied_price</t>
        </is>
      </c>
      <c r="E9" s="507">
        <f>IF('Valuation'!$J$228="","",'Valuation'!$J$228)</f>
        <v/>
      </c>
      <c r="F9">
        <f>IF(E9="","unavailable","calculated")</f>
        <v/>
      </c>
    </row>
    <row r="10">
      <c r="A10">
        <f>"dcf"</f>
        <v/>
      </c>
      <c r="B10" s="500">
        <f>IF('Valuation'!$G$228="","",'Valuation'!$G$228)</f>
        <v/>
      </c>
      <c r="C10" s="500">
        <f>IF('Valuation'!$K$226="","",'Valuation'!$K$226)</f>
        <v/>
      </c>
      <c r="D10" t="inlineStr">
        <is>
          <t>implied_price</t>
        </is>
      </c>
      <c r="E10" s="507">
        <f>IF('Valuation'!$K$228="","",'Valuation'!$K$228)</f>
        <v/>
      </c>
      <c r="F10">
        <f>IF(E10="","unavailable","calculated")</f>
        <v/>
      </c>
    </row>
    <row r="11">
      <c r="A11">
        <f>"dcf"</f>
        <v/>
      </c>
      <c r="B11" s="500">
        <f>IF('Valuation'!$G$228="","",'Valuation'!$G$228)</f>
        <v/>
      </c>
      <c r="C11" s="500">
        <f>IF('Valuation'!$L$226="","",'Valuation'!$L$226)</f>
        <v/>
      </c>
      <c r="D11" t="inlineStr">
        <is>
          <t>implied_price</t>
        </is>
      </c>
      <c r="E11" s="507">
        <f>IF('Valuation'!$L$228="","",'Valuation'!$L$228)</f>
        <v/>
      </c>
      <c r="F11">
        <f>IF(E11="","unavailable","calculated")</f>
        <v/>
      </c>
    </row>
    <row r="12">
      <c r="A12">
        <f>"dcf"</f>
        <v/>
      </c>
      <c r="B12" s="500">
        <f>IF('Valuation'!$G$229="","",'Valuation'!$G$229)</f>
        <v/>
      </c>
      <c r="C12" s="500">
        <f>IF('Valuation'!$H$226="","",'Valuation'!$H$226)</f>
        <v/>
      </c>
      <c r="D12" t="inlineStr">
        <is>
          <t>implied_price</t>
        </is>
      </c>
      <c r="E12" s="507">
        <f>IF('Valuation'!$H$229="","",'Valuation'!$H$229)</f>
        <v/>
      </c>
      <c r="F12">
        <f>IF(E12="","unavailable","calculated")</f>
        <v/>
      </c>
    </row>
    <row r="13">
      <c r="A13">
        <f>"dcf"</f>
        <v/>
      </c>
      <c r="B13" s="500">
        <f>IF('Valuation'!$G$229="","",'Valuation'!$G$229)</f>
        <v/>
      </c>
      <c r="C13" s="500">
        <f>IF('Valuation'!$I$226="","",'Valuation'!$I$226)</f>
        <v/>
      </c>
      <c r="D13" t="inlineStr">
        <is>
          <t>implied_price</t>
        </is>
      </c>
      <c r="E13" s="507">
        <f>IF('Valuation'!$I$229="","",'Valuation'!$I$229)</f>
        <v/>
      </c>
      <c r="F13">
        <f>IF(E13="","unavailable","calculated")</f>
        <v/>
      </c>
    </row>
    <row r="14">
      <c r="A14">
        <f>"dcf"</f>
        <v/>
      </c>
      <c r="B14" s="500">
        <f>IF('Valuation'!$G$229="","",'Valuation'!$G$229)</f>
        <v/>
      </c>
      <c r="C14" s="500">
        <f>IF('Valuation'!$J$226="","",'Valuation'!$J$226)</f>
        <v/>
      </c>
      <c r="D14" t="inlineStr">
        <is>
          <t>implied_price</t>
        </is>
      </c>
      <c r="E14" s="507">
        <f>IF('Valuation'!$J$229="","",'Valuation'!$J$229)</f>
        <v/>
      </c>
      <c r="F14">
        <f>IF(E14="","unavailable","calculated")</f>
        <v/>
      </c>
    </row>
    <row r="15">
      <c r="A15">
        <f>"dcf"</f>
        <v/>
      </c>
      <c r="B15" s="500">
        <f>IF('Valuation'!$G$229="","",'Valuation'!$G$229)</f>
        <v/>
      </c>
      <c r="C15" s="500">
        <f>IF('Valuation'!$K$226="","",'Valuation'!$K$226)</f>
        <v/>
      </c>
      <c r="D15" t="inlineStr">
        <is>
          <t>implied_price</t>
        </is>
      </c>
      <c r="E15" s="507">
        <f>IF('Valuation'!$K$229="","",'Valuation'!$K$229)</f>
        <v/>
      </c>
      <c r="F15">
        <f>IF(E15="","unavailable","calculated")</f>
        <v/>
      </c>
    </row>
    <row r="16">
      <c r="A16">
        <f>"dcf"</f>
        <v/>
      </c>
      <c r="B16" s="500">
        <f>IF('Valuation'!$G$229="","",'Valuation'!$G$229)</f>
        <v/>
      </c>
      <c r="C16" s="500">
        <f>IF('Valuation'!$L$226="","",'Valuation'!$L$226)</f>
        <v/>
      </c>
      <c r="D16" t="inlineStr">
        <is>
          <t>implied_price</t>
        </is>
      </c>
      <c r="E16" s="507">
        <f>IF('Valuation'!$L$229="","",'Valuation'!$L$229)</f>
        <v/>
      </c>
      <c r="F16">
        <f>IF(E16="","unavailable","calculated")</f>
        <v/>
      </c>
    </row>
    <row r="17">
      <c r="A17">
        <f>"dcf"</f>
        <v/>
      </c>
      <c r="B17" s="500">
        <f>IF('Valuation'!$G$230="","",'Valuation'!$G$230)</f>
        <v/>
      </c>
      <c r="C17" s="500">
        <f>IF('Valuation'!$H$226="","",'Valuation'!$H$226)</f>
        <v/>
      </c>
      <c r="D17" t="inlineStr">
        <is>
          <t>implied_price</t>
        </is>
      </c>
      <c r="E17" s="507">
        <f>IF('Valuation'!$H$230="","",'Valuation'!$H$230)</f>
        <v/>
      </c>
      <c r="F17">
        <f>IF(E17="","unavailable","calculated")</f>
        <v/>
      </c>
    </row>
    <row r="18">
      <c r="A18">
        <f>"dcf"</f>
        <v/>
      </c>
      <c r="B18" s="500">
        <f>IF('Valuation'!$G$230="","",'Valuation'!$G$230)</f>
        <v/>
      </c>
      <c r="C18" s="500">
        <f>IF('Valuation'!$I$226="","",'Valuation'!$I$226)</f>
        <v/>
      </c>
      <c r="D18" t="inlineStr">
        <is>
          <t>implied_price</t>
        </is>
      </c>
      <c r="E18" s="507">
        <f>IF('Valuation'!$I$230="","",'Valuation'!$I$230)</f>
        <v/>
      </c>
      <c r="F18">
        <f>IF(E18="","unavailable","calculated")</f>
        <v/>
      </c>
    </row>
    <row r="19">
      <c r="A19">
        <f>"dcf"</f>
        <v/>
      </c>
      <c r="B19" s="500">
        <f>IF('Valuation'!$G$230="","",'Valuation'!$G$230)</f>
        <v/>
      </c>
      <c r="C19" s="500">
        <f>IF('Valuation'!$J$226="","",'Valuation'!$J$226)</f>
        <v/>
      </c>
      <c r="D19" t="inlineStr">
        <is>
          <t>implied_price</t>
        </is>
      </c>
      <c r="E19" s="507">
        <f>IF('Valuation'!$J$230="","",'Valuation'!$J$230)</f>
        <v/>
      </c>
      <c r="F19">
        <f>IF(E19="","unavailable","calculated")</f>
        <v/>
      </c>
    </row>
    <row r="20">
      <c r="A20">
        <f>"dcf"</f>
        <v/>
      </c>
      <c r="B20" s="500">
        <f>IF('Valuation'!$G$230="","",'Valuation'!$G$230)</f>
        <v/>
      </c>
      <c r="C20" s="500">
        <f>IF('Valuation'!$K$226="","",'Valuation'!$K$226)</f>
        <v/>
      </c>
      <c r="D20" t="inlineStr">
        <is>
          <t>implied_price</t>
        </is>
      </c>
      <c r="E20" s="507">
        <f>IF('Valuation'!$K$230="","",'Valuation'!$K$230)</f>
        <v/>
      </c>
      <c r="F20">
        <f>IF(E20="","unavailable","calculated")</f>
        <v/>
      </c>
    </row>
    <row r="21">
      <c r="A21">
        <f>"dcf"</f>
        <v/>
      </c>
      <c r="B21" s="500">
        <f>IF('Valuation'!$G$230="","",'Valuation'!$G$230)</f>
        <v/>
      </c>
      <c r="C21" s="500">
        <f>IF('Valuation'!$L$226="","",'Valuation'!$L$226)</f>
        <v/>
      </c>
      <c r="D21" t="inlineStr">
        <is>
          <t>implied_price</t>
        </is>
      </c>
      <c r="E21" s="507">
        <f>IF('Valuation'!$L$230="","",'Valuation'!$L$230)</f>
        <v/>
      </c>
      <c r="F21">
        <f>IF(E21="","unavailable","calculated")</f>
        <v/>
      </c>
    </row>
    <row r="22">
      <c r="A22">
        <f>"dcf"</f>
        <v/>
      </c>
      <c r="B22" s="500">
        <f>IF('Valuation'!$G$231="","",'Valuation'!$G$231)</f>
        <v/>
      </c>
      <c r="C22" s="500">
        <f>IF('Valuation'!$H$226="","",'Valuation'!$H$226)</f>
        <v/>
      </c>
      <c r="D22" t="inlineStr">
        <is>
          <t>implied_price</t>
        </is>
      </c>
      <c r="E22" s="507">
        <f>IF('Valuation'!$H$231="","",'Valuation'!$H$231)</f>
        <v/>
      </c>
      <c r="F22">
        <f>IF(E22="","unavailable","calculated")</f>
        <v/>
      </c>
    </row>
    <row r="23">
      <c r="A23">
        <f>"dcf"</f>
        <v/>
      </c>
      <c r="B23" s="500">
        <f>IF('Valuation'!$G$231="","",'Valuation'!$G$231)</f>
        <v/>
      </c>
      <c r="C23" s="500">
        <f>IF('Valuation'!$I$226="","",'Valuation'!$I$226)</f>
        <v/>
      </c>
      <c r="D23" t="inlineStr">
        <is>
          <t>implied_price</t>
        </is>
      </c>
      <c r="E23" s="507">
        <f>IF('Valuation'!$I$231="","",'Valuation'!$I$231)</f>
        <v/>
      </c>
      <c r="F23">
        <f>IF(E23="","unavailable","calculated")</f>
        <v/>
      </c>
    </row>
    <row r="24">
      <c r="A24">
        <f>"dcf"</f>
        <v/>
      </c>
      <c r="B24" s="500">
        <f>IF('Valuation'!$G$231="","",'Valuation'!$G$231)</f>
        <v/>
      </c>
      <c r="C24" s="500">
        <f>IF('Valuation'!$J$226="","",'Valuation'!$J$226)</f>
        <v/>
      </c>
      <c r="D24" t="inlineStr">
        <is>
          <t>implied_price</t>
        </is>
      </c>
      <c r="E24" s="507">
        <f>IF('Valuation'!$J$231="","",'Valuation'!$J$231)</f>
        <v/>
      </c>
      <c r="F24">
        <f>IF(E24="","unavailable","calculated")</f>
        <v/>
      </c>
    </row>
    <row r="25">
      <c r="A25">
        <f>"dcf"</f>
        <v/>
      </c>
      <c r="B25" s="500">
        <f>IF('Valuation'!$G$231="","",'Valuation'!$G$231)</f>
        <v/>
      </c>
      <c r="C25" s="500">
        <f>IF('Valuation'!$K$226="","",'Valuation'!$K$226)</f>
        <v/>
      </c>
      <c r="D25" t="inlineStr">
        <is>
          <t>implied_price</t>
        </is>
      </c>
      <c r="E25" s="507">
        <f>IF('Valuation'!$K$231="","",'Valuation'!$K$231)</f>
        <v/>
      </c>
      <c r="F25">
        <f>IF(E25="","unavailable","calculated")</f>
        <v/>
      </c>
    </row>
    <row r="26">
      <c r="A26">
        <f>"dcf"</f>
        <v/>
      </c>
      <c r="B26" s="500">
        <f>IF('Valuation'!$G$231="","",'Valuation'!$G$231)</f>
        <v/>
      </c>
      <c r="C26" s="500">
        <f>IF('Valuation'!$L$226="","",'Valuation'!$L$226)</f>
        <v/>
      </c>
      <c r="D26" t="inlineStr">
        <is>
          <t>implied_price</t>
        </is>
      </c>
      <c r="E26" s="507">
        <f>IF('Valuation'!$L$231="","",'Valuation'!$L$231)</f>
        <v/>
      </c>
      <c r="F26">
        <f>IF(E26="","unavailable","calculated")</f>
        <v/>
      </c>
    </row>
    <row r="27">
      <c r="A27">
        <f>"dcf"</f>
        <v/>
      </c>
      <c r="B27" s="500">
        <f>IF('Valuation'!$G$232="","",'Valuation'!$G$232)</f>
        <v/>
      </c>
      <c r="C27" s="500">
        <f>IF('Valuation'!$H$226="","",'Valuation'!$H$226)</f>
        <v/>
      </c>
      <c r="D27" t="inlineStr">
        <is>
          <t>implied_price</t>
        </is>
      </c>
      <c r="E27" s="507">
        <f>IF('Valuation'!$H$232="","",'Valuation'!$H$232)</f>
        <v/>
      </c>
      <c r="F27">
        <f>IF(E27="","unavailable","calculated")</f>
        <v/>
      </c>
    </row>
    <row r="28">
      <c r="A28">
        <f>"dcf"</f>
        <v/>
      </c>
      <c r="B28" s="500">
        <f>IF('Valuation'!$G$232="","",'Valuation'!$G$232)</f>
        <v/>
      </c>
      <c r="C28" s="500">
        <f>IF('Valuation'!$I$226="","",'Valuation'!$I$226)</f>
        <v/>
      </c>
      <c r="D28" t="inlineStr">
        <is>
          <t>implied_price</t>
        </is>
      </c>
      <c r="E28" s="507">
        <f>IF('Valuation'!$I$232="","",'Valuation'!$I$232)</f>
        <v/>
      </c>
      <c r="F28">
        <f>IF(E28="","unavailable","calculated")</f>
        <v/>
      </c>
    </row>
    <row r="29">
      <c r="A29">
        <f>"dcf"</f>
        <v/>
      </c>
      <c r="B29" s="500">
        <f>IF('Valuation'!$G$232="","",'Valuation'!$G$232)</f>
        <v/>
      </c>
      <c r="C29" s="500">
        <f>IF('Valuation'!$J$226="","",'Valuation'!$J$226)</f>
        <v/>
      </c>
      <c r="D29" t="inlineStr">
        <is>
          <t>implied_price</t>
        </is>
      </c>
      <c r="E29" s="507">
        <f>IF('Valuation'!$J$232="","",'Valuation'!$J$232)</f>
        <v/>
      </c>
      <c r="F29">
        <f>IF(E29="","unavailable","calculated")</f>
        <v/>
      </c>
    </row>
    <row r="30">
      <c r="A30">
        <f>"dcf"</f>
        <v/>
      </c>
      <c r="B30" s="500">
        <f>IF('Valuation'!$G$232="","",'Valuation'!$G$232)</f>
        <v/>
      </c>
      <c r="C30" s="500">
        <f>IF('Valuation'!$K$226="","",'Valuation'!$K$226)</f>
        <v/>
      </c>
      <c r="D30" t="inlineStr">
        <is>
          <t>implied_price</t>
        </is>
      </c>
      <c r="E30" s="507">
        <f>IF('Valuation'!$K$232="","",'Valuation'!$K$232)</f>
        <v/>
      </c>
      <c r="F30">
        <f>IF(E30="","unavailable","calculated")</f>
        <v/>
      </c>
    </row>
    <row r="31">
      <c r="A31">
        <f>"dcf"</f>
        <v/>
      </c>
      <c r="B31" s="500">
        <f>IF('Valuation'!$G$232="","",'Valuation'!$G$232)</f>
        <v/>
      </c>
      <c r="C31" s="500">
        <f>IF('Valuation'!$L$226="","",'Valuation'!$L$226)</f>
        <v/>
      </c>
      <c r="D31" t="inlineStr">
        <is>
          <t>implied_price</t>
        </is>
      </c>
      <c r="E31" s="507">
        <f>IF('Valuation'!$L$232="","",'Valuation'!$L$232)</f>
        <v/>
      </c>
      <c r="F31">
        <f>IF(E31="","unavailable","calculated")</f>
        <v/>
      </c>
    </row>
    <row r="32">
      <c r="A32">
        <f>"dcf"</f>
        <v/>
      </c>
      <c r="B32" s="500">
        <f>IF('Valuation'!$G$233="","",'Valuation'!$G$233)</f>
        <v/>
      </c>
      <c r="C32" s="500">
        <f>IF('Valuation'!$H$226="","",'Valuation'!$H$226)</f>
        <v/>
      </c>
      <c r="D32" t="inlineStr">
        <is>
          <t>implied_price</t>
        </is>
      </c>
      <c r="E32" s="507">
        <f>IF('Valuation'!$H$233="","",'Valuation'!$H$233)</f>
        <v/>
      </c>
      <c r="F32">
        <f>IF(E32="","unavailable","calculated")</f>
        <v/>
      </c>
    </row>
    <row r="33">
      <c r="A33">
        <f>"dcf"</f>
        <v/>
      </c>
      <c r="B33" s="500">
        <f>IF('Valuation'!$G$233="","",'Valuation'!$G$233)</f>
        <v/>
      </c>
      <c r="C33" s="500">
        <f>IF('Valuation'!$I$226="","",'Valuation'!$I$226)</f>
        <v/>
      </c>
      <c r="D33" t="inlineStr">
        <is>
          <t>implied_price</t>
        </is>
      </c>
      <c r="E33" s="507">
        <f>IF('Valuation'!$I$233="","",'Valuation'!$I$233)</f>
        <v/>
      </c>
      <c r="F33">
        <f>IF(E33="","unavailable","calculated")</f>
        <v/>
      </c>
    </row>
    <row r="34">
      <c r="A34">
        <f>"dcf"</f>
        <v/>
      </c>
      <c r="B34" s="500">
        <f>IF('Valuation'!$G$233="","",'Valuation'!$G$233)</f>
        <v/>
      </c>
      <c r="C34" s="500">
        <f>IF('Valuation'!$J$226="","",'Valuation'!$J$226)</f>
        <v/>
      </c>
      <c r="D34" t="inlineStr">
        <is>
          <t>implied_price</t>
        </is>
      </c>
      <c r="E34" s="507">
        <f>IF('Valuation'!$J$233="","",'Valuation'!$J$233)</f>
        <v/>
      </c>
      <c r="F34">
        <f>IF(E34="","unavailable","calculated")</f>
        <v/>
      </c>
    </row>
    <row r="35">
      <c r="A35">
        <f>"dcf"</f>
        <v/>
      </c>
      <c r="B35" s="500">
        <f>IF('Valuation'!$G$233="","",'Valuation'!$G$233)</f>
        <v/>
      </c>
      <c r="C35" s="500">
        <f>IF('Valuation'!$K$226="","",'Valuation'!$K$226)</f>
        <v/>
      </c>
      <c r="D35" t="inlineStr">
        <is>
          <t>implied_price</t>
        </is>
      </c>
      <c r="E35" s="507">
        <f>IF('Valuation'!$K$233="","",'Valuation'!$K$233)</f>
        <v/>
      </c>
      <c r="F35">
        <f>IF(E35="","unavailable","calculated")</f>
        <v/>
      </c>
    </row>
    <row r="36">
      <c r="A36">
        <f>"dcf"</f>
        <v/>
      </c>
      <c r="B36" s="500">
        <f>IF('Valuation'!$G$233="","",'Valuation'!$G$233)</f>
        <v/>
      </c>
      <c r="C36" s="500">
        <f>IF('Valuation'!$L$226="","",'Valuation'!$L$226)</f>
        <v/>
      </c>
      <c r="D36" t="inlineStr">
        <is>
          <t>implied_price</t>
        </is>
      </c>
      <c r="E36" s="507">
        <f>IF('Valuation'!$L$233="","",'Valuation'!$L$233)</f>
        <v/>
      </c>
      <c r="F36">
        <f>IF(E36="","unavailable","calculated")</f>
        <v/>
      </c>
    </row>
    <row r="37">
      <c r="A37">
        <f>"dcf"</f>
        <v/>
      </c>
      <c r="B37" s="500">
        <f>IF('Valuation'!$G$234="","",'Valuation'!$G$234)</f>
        <v/>
      </c>
      <c r="C37" s="500">
        <f>IF('Valuation'!$H$226="","",'Valuation'!$H$226)</f>
        <v/>
      </c>
      <c r="D37" t="inlineStr">
        <is>
          <t>implied_price</t>
        </is>
      </c>
      <c r="E37" s="507">
        <f>IF('Valuation'!$H$234="","",'Valuation'!$H$234)</f>
        <v/>
      </c>
      <c r="F37">
        <f>IF(E37="","unavailable","calculated")</f>
        <v/>
      </c>
    </row>
    <row r="38">
      <c r="A38">
        <f>"dcf"</f>
        <v/>
      </c>
      <c r="B38" s="500">
        <f>IF('Valuation'!$G$234="","",'Valuation'!$G$234)</f>
        <v/>
      </c>
      <c r="C38" s="500">
        <f>IF('Valuation'!$I$226="","",'Valuation'!$I$226)</f>
        <v/>
      </c>
      <c r="D38" t="inlineStr">
        <is>
          <t>implied_price</t>
        </is>
      </c>
      <c r="E38" s="507">
        <f>IF('Valuation'!$I$234="","",'Valuation'!$I$234)</f>
        <v/>
      </c>
      <c r="F38">
        <f>IF(E38="","unavailable","calculated")</f>
        <v/>
      </c>
    </row>
    <row r="39">
      <c r="A39">
        <f>"dcf"</f>
        <v/>
      </c>
      <c r="B39" s="500">
        <f>IF('Valuation'!$G$234="","",'Valuation'!$G$234)</f>
        <v/>
      </c>
      <c r="C39" s="500">
        <f>IF('Valuation'!$J$226="","",'Valuation'!$J$226)</f>
        <v/>
      </c>
      <c r="D39" t="inlineStr">
        <is>
          <t>implied_price</t>
        </is>
      </c>
      <c r="E39" s="507">
        <f>IF('Valuation'!$J$234="","",'Valuation'!$J$234)</f>
        <v/>
      </c>
      <c r="F39">
        <f>IF(E39="","unavailable","calculated")</f>
        <v/>
      </c>
    </row>
    <row r="40">
      <c r="A40">
        <f>"dcf"</f>
        <v/>
      </c>
      <c r="B40" s="500">
        <f>IF('Valuation'!$G$234="","",'Valuation'!$G$234)</f>
        <v/>
      </c>
      <c r="C40" s="500">
        <f>IF('Valuation'!$K$226="","",'Valuation'!$K$226)</f>
        <v/>
      </c>
      <c r="D40" t="inlineStr">
        <is>
          <t>implied_price</t>
        </is>
      </c>
      <c r="E40" s="507">
        <f>IF('Valuation'!$K$234="","",'Valuation'!$K$234)</f>
        <v/>
      </c>
      <c r="F40">
        <f>IF(E40="","unavailable","calculated")</f>
        <v/>
      </c>
    </row>
    <row r="41">
      <c r="A41">
        <f>"dcf"</f>
        <v/>
      </c>
      <c r="B41" s="500">
        <f>IF('Valuation'!$G$234="","",'Valuation'!$G$234)</f>
        <v/>
      </c>
      <c r="C41" s="500">
        <f>IF('Valuation'!$L$226="","",'Valuation'!$L$226)</f>
        <v/>
      </c>
      <c r="D41" t="inlineStr">
        <is>
          <t>implied_price</t>
        </is>
      </c>
      <c r="E41" s="507">
        <f>IF('Valuation'!$L$234="","",'Valuation'!$L$234)</f>
        <v/>
      </c>
      <c r="F41">
        <f>IF(E41="","unavailable","calculated")</f>
        <v/>
      </c>
    </row>
    <row r="42">
      <c r="A42">
        <f>IF(ScenarioProfile="","",ScenarioProfile)</f>
        <v/>
      </c>
      <c r="B42">
        <f>IF(ScenarioProfile="","","selected_scenario")</f>
        <v/>
      </c>
      <c r="C42">
        <f>IF(AsOfQuarter="","",AsOfQuarter)</f>
        <v/>
      </c>
      <c r="D42" t="inlineStr">
        <is>
          <t>scenario_implied_price</t>
        </is>
      </c>
      <c r="E42" s="507">
        <f>IF(ScenarioImpliedPrice="","",ScenarioImpliedPrice)</f>
        <v/>
      </c>
      <c r="F42">
        <f>IF(E42="","unavailable","calculated")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6" t="inlineStr">
        <is>
          <t>promise_key</t>
        </is>
      </c>
      <c r="B1" s="556" t="inlineStr">
        <is>
          <t>metric</t>
        </is>
      </c>
      <c r="C1" s="556" t="inlineStr">
        <is>
          <t>horizon</t>
        </is>
      </c>
      <c r="D1" s="556" t="inlineStr">
        <is>
          <t>stage</t>
        </is>
      </c>
      <c r="E1" s="556" t="inlineStr">
        <is>
          <t>value</t>
        </is>
      </c>
      <c r="F1" s="556" t="inlineStr">
        <is>
          <t>actual</t>
        </is>
      </c>
      <c r="G1" s="556" t="inlineStr">
        <is>
          <t>status</t>
        </is>
      </c>
      <c r="H1" s="556" t="inlineStr">
        <is>
          <t>source_ref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2" customWidth="1" min="8" max="8"/>
    <col width="12" customWidth="1" min="9" max="9"/>
  </cols>
  <sheetData>
    <row r="1" ht="20" customHeight="1">
      <c r="A1" s="556" t="inlineStr">
        <is>
          <t>period</t>
        </is>
      </c>
      <c r="B1" s="556" t="inlineStr">
        <is>
          <t>adjustment</t>
        </is>
      </c>
      <c r="C1" s="556" t="inlineStr">
        <is>
          <t>amount</t>
        </is>
      </c>
      <c r="D1" s="556" t="inlineStr">
        <is>
          <t>unit</t>
        </is>
      </c>
      <c r="E1" s="556" t="inlineStr">
        <is>
          <t>recurring</t>
        </is>
      </c>
      <c r="F1" s="556" t="inlineStr">
        <is>
          <t>cash_noncash</t>
        </is>
      </c>
      <c r="G1" s="556" t="inlineStr">
        <is>
          <t>tax_treatment</t>
        </is>
      </c>
      <c r="H1" s="556" t="inlineStr">
        <is>
          <t>source_ref</t>
        </is>
      </c>
      <c r="I1" s="556" t="inlineStr">
        <is>
          <t>status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</cols>
  <sheetData>
    <row r="1" ht="20" customHeight="1">
      <c r="A1" s="556" t="inlineStr">
        <is>
          <t>source_ref</t>
        </is>
      </c>
      <c r="B1" s="556" t="inlineStr">
        <is>
          <t>page</t>
        </is>
      </c>
      <c r="C1" s="556" t="inlineStr">
        <is>
          <t>row_key</t>
        </is>
      </c>
      <c r="D1" s="556" t="inlineStr">
        <is>
          <t>text</t>
        </is>
      </c>
      <c r="E1" s="556" t="inlineStr">
        <is>
          <t>parser_status</t>
        </is>
      </c>
      <c r="F1" s="556" t="inlineStr">
        <is>
          <t>review_status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