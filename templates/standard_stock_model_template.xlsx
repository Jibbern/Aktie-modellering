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annual_financial_period_headers">'BS_Segments'!$B$82</definedName>
    <definedName name="bs_annual_financial_revenue_series">'BS_Segments'!$B$83</definedName>
    <definedName name="bs_annual_financial_gross_profit_series">'BS_Segments'!$B$84</definedName>
    <definedName name="bs_annual_financial_operating_income_series">'BS_Segments'!$B$86</definedName>
    <definedName name="bs_annual_financial_base_ebitda_series">'BS_Segments'!$B$88</definedName>
    <definedName name="bs_annual_financial_adjusted_ebitda_series">'BS_Segments'!$B$90</definedName>
    <definedName name="bs_annual_financial_net_income_series">'BS_Segments'!$B$92</definedName>
    <definedName name="bs_annual_financial_operating_cash_flow_series">'BS_Segments'!$B$94</definedName>
    <definedName name="bs_annual_financial_capital_expenditures_series">'BS_Segments'!$B$95</definedName>
    <definedName name="bs_annual_financial_shares_outstanding_series">'BS_Segments'!$B$98</definedName>
    <definedName name="bs_annual_financial_eps_series">'BS_Segments'!$B$99</definedName>
    <definedName name="bs_annual_financial_total_equity_series">'BS_Segments'!$B$100</definedName>
    <definedName name="bs_annual_financial_cash_series">'BS_Segments'!$B$102</definedName>
    <definedName name="bs_annual_financial_debt_core_series">'BS_Segments'!$B$103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1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  <numFmt numFmtId="183" formatCode="#,##0.000;[Red]-#,##0.000"/>
    <numFmt numFmtId="184" formatCode="0.0000000000"/>
  </numFmts>
  <fonts count="4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0" fillId="19" borderId="2" pivotButton="0" quotePrefix="0" xfId="0"/>
    <xf numFmtId="177" fontId="0" fillId="13" borderId="2" pivotButton="0" quotePrefix="0" xfId="0"/>
    <xf numFmtId="178" fontId="0" fillId="13" borderId="2" pivotButton="0" quotePrefix="0" xfId="0"/>
    <xf numFmtId="181" fontId="0" fillId="13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8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8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8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  <xf numFmtId="1" fontId="0" fillId="0" borderId="0" pivotButton="0" quotePrefix="0" xfId="0"/>
    <xf numFmtId="184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2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3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3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3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3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3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3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3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3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3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3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3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3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4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4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4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4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4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4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4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4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4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4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4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4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4">
        <f>IF(OR(B262="",B9="",B9=0),"",B262/B9)</f>
        <v/>
      </c>
      <c r="C13" s="444">
        <f>IF(OR(C262="",C9="",C9=0),"",C262/C9)</f>
        <v/>
      </c>
      <c r="D13" s="444">
        <f>IF(OR(D262="",D9="",D9=0),"",D262/D9)</f>
        <v/>
      </c>
      <c r="E13" s="444">
        <f>IF(OR(E262="",E9="",E9=0),"",E262/E9)</f>
        <v/>
      </c>
      <c r="F13" s="444">
        <f>IF(OR(F262="",F9="",F9=0),"",F262/F9)</f>
        <v/>
      </c>
      <c r="G13" s="444">
        <f>IF(OR(G262="",G9="",G9=0),"",G262/G9)</f>
        <v/>
      </c>
      <c r="H13" s="444">
        <f>IF(OR(H262="",H9="",H9=0),"",H262/H9)</f>
        <v/>
      </c>
      <c r="I13" s="444">
        <f>IF(OR(I262="",I9="",I9=0),"",I262/I9)</f>
        <v/>
      </c>
      <c r="J13" s="444">
        <f>IF(OR(J262="",J9="",J9=0),"",J262/J9)</f>
        <v/>
      </c>
      <c r="K13" s="444">
        <f>IF(OR(K262="",K9="",K9=0),"",K262/K9)</f>
        <v/>
      </c>
      <c r="L13" s="444">
        <f>IF(OR(L262="",L9="",L9=0),"",L262/L9)</f>
        <v/>
      </c>
      <c r="M13" s="444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4">
        <f>IF(OR(B32="",B9="",B9=0),"",B32/B9)</f>
        <v/>
      </c>
      <c r="C14" s="444">
        <f>IF(OR(C32="",C9="",C9=0),"",C32/C9)</f>
        <v/>
      </c>
      <c r="D14" s="444">
        <f>IF(OR(D32="",D9="",D9=0),"",D32/D9)</f>
        <v/>
      </c>
      <c r="E14" s="444">
        <f>IF(OR(E32="",E9="",E9=0),"",E32/E9)</f>
        <v/>
      </c>
      <c r="F14" s="444">
        <f>IF(OR(F32="",F9="",F9=0),"",F32/F9)</f>
        <v/>
      </c>
      <c r="G14" s="444">
        <f>IF(OR(G32="",G9="",G9=0),"",G32/G9)</f>
        <v/>
      </c>
      <c r="H14" s="444">
        <f>IF(OR(H32="",H9="",H9=0),"",H32/H9)</f>
        <v/>
      </c>
      <c r="I14" s="444">
        <f>IF(OR(I32="",I9="",I9=0),"",I32/I9)</f>
        <v/>
      </c>
      <c r="J14" s="444">
        <f>IF(OR(J32="",J9="",J9=0),"",J32/J9)</f>
        <v/>
      </c>
      <c r="K14" s="444">
        <f>IF(OR(K32="",K9="",K9=0),"",K32/K9)</f>
        <v/>
      </c>
      <c r="L14" s="444">
        <f>IF(OR(L32="",L9="",L9=0),"",L32/L9)</f>
        <v/>
      </c>
      <c r="M14" s="444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4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4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4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4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4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4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4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4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4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4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4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4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4">
        <f>IF(OR(B18="",B9="",B9=0),"",B18/B9)</f>
        <v/>
      </c>
      <c r="C19" s="444">
        <f>IF(OR(C18="",C9="",C9=0),"",C18/C9)</f>
        <v/>
      </c>
      <c r="D19" s="444">
        <f>IF(OR(D18="",D9="",D9=0),"",D18/D9)</f>
        <v/>
      </c>
      <c r="E19" s="444">
        <f>IF(OR(E18="",E9="",E9=0),"",E18/E9)</f>
        <v/>
      </c>
      <c r="F19" s="444">
        <f>IF(OR(F18="",F9="",F9=0),"",F18/F9)</f>
        <v/>
      </c>
      <c r="G19" s="444">
        <f>IF(OR(G18="",G9="",G9=0),"",G18/G9)</f>
        <v/>
      </c>
      <c r="H19" s="444">
        <f>IF(OR(H18="",H9="",H9=0),"",H18/H9)</f>
        <v/>
      </c>
      <c r="I19" s="444">
        <f>IF(OR(I18="",I9="",I9=0),"",I18/I9)</f>
        <v/>
      </c>
      <c r="J19" s="444">
        <f>IF(OR(J18="",J9="",J9=0),"",J18/J9)</f>
        <v/>
      </c>
      <c r="K19" s="444">
        <f>IF(OR(K18="",K9="",K9=0),"",K18/K9)</f>
        <v/>
      </c>
      <c r="L19" s="444">
        <f>IF(OR(L18="",L9="",L9=0),"",L18/L9)</f>
        <v/>
      </c>
      <c r="M19" s="444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4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4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4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4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4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4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4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4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4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4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4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4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3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3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3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3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3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3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3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3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3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3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3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3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4">
        <f>IF(OR(B21="",B10="",B10=0),"",B21/B10)</f>
        <v/>
      </c>
      <c r="C22" s="444">
        <f>IF(OR(C21="",C10="",C10=0),"",C21/C10)</f>
        <v/>
      </c>
      <c r="D22" s="444">
        <f>IF(OR(D21="",D10="",D10=0),"",D21/D10)</f>
        <v/>
      </c>
      <c r="E22" s="444">
        <f>IF(OR(E21="",E10="",E10=0),"",E21/E10)</f>
        <v/>
      </c>
      <c r="F22" s="444">
        <f>IF(OR(F21="",F10="",F10=0),"",F21/F10)</f>
        <v/>
      </c>
      <c r="G22" s="444">
        <f>IF(OR(G21="",G10="",G10=0),"",G21/G10)</f>
        <v/>
      </c>
      <c r="H22" s="444">
        <f>IF(OR(H21="",H10="",H10=0),"",H21/H10)</f>
        <v/>
      </c>
      <c r="I22" s="444">
        <f>IF(OR(I21="",I10="",I10=0),"",I21/I10)</f>
        <v/>
      </c>
      <c r="J22" s="444">
        <f>IF(OR(J21="",J10="",J10=0),"",J21/J10)</f>
        <v/>
      </c>
      <c r="K22" s="444">
        <f>IF(OR(K21="",K10="",K10=0),"",K21/K10)</f>
        <v/>
      </c>
      <c r="L22" s="444">
        <f>IF(OR(L21="",L10="",L10=0),"",L21/L10)</f>
        <v/>
      </c>
      <c r="M22" s="444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3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3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3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3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3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3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3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3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3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3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3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3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3">
        <f>IF(OR(B24="",B18=""),"",B24-B18)</f>
        <v/>
      </c>
      <c r="C26" s="443">
        <f>IF(OR(C24="",C18=""),"",C24-C18)</f>
        <v/>
      </c>
      <c r="D26" s="443">
        <f>IF(OR(D24="",D18=""),"",D24-D18)</f>
        <v/>
      </c>
      <c r="E26" s="443">
        <f>IF(OR(E24="",E18=""),"",E24-E18)</f>
        <v/>
      </c>
      <c r="F26" s="443">
        <f>IF(OR(F24="",F18=""),"",F24-F18)</f>
        <v/>
      </c>
      <c r="G26" s="443">
        <f>IF(OR(G24="",G18=""),"",G24-G18)</f>
        <v/>
      </c>
      <c r="H26" s="443">
        <f>IF(OR(H24="",H18=""),"",H24-H18)</f>
        <v/>
      </c>
      <c r="I26" s="443">
        <f>IF(OR(I24="",I18=""),"",I24-I18)</f>
        <v/>
      </c>
      <c r="J26" s="443">
        <f>IF(OR(J24="",J18=""),"",J24-J18)</f>
        <v/>
      </c>
      <c r="K26" s="443">
        <f>IF(OR(K24="",K18=""),"",K24-K18)</f>
        <v/>
      </c>
      <c r="L26" s="443">
        <f>IF(OR(L24="",L18=""),"",L24-L18)</f>
        <v/>
      </c>
      <c r="M26" s="443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4">
        <f>IF(OR(B24="",B9="",B9=0),"",B24/B9)</f>
        <v/>
      </c>
      <c r="C27" s="444">
        <f>IF(OR(C24="",C9="",C9=0),"",C24/C9)</f>
        <v/>
      </c>
      <c r="D27" s="444">
        <f>IF(OR(D24="",D9="",D9=0),"",D24/D9)</f>
        <v/>
      </c>
      <c r="E27" s="444">
        <f>IF(OR(E24="",E9="",E9=0),"",E24/E9)</f>
        <v/>
      </c>
      <c r="F27" s="444">
        <f>IF(OR(F24="",F9="",F9=0),"",F24/F9)</f>
        <v/>
      </c>
      <c r="G27" s="444">
        <f>IF(OR(G24="",G9="",G9=0),"",G24/G9)</f>
        <v/>
      </c>
      <c r="H27" s="444">
        <f>IF(OR(H24="",H9="",H9=0),"",H24/H9)</f>
        <v/>
      </c>
      <c r="I27" s="444">
        <f>IF(OR(I24="",I9="",I9=0),"",I24/I9)</f>
        <v/>
      </c>
      <c r="J27" s="444">
        <f>IF(OR(J24="",J9="",J9=0),"",J24/J9)</f>
        <v/>
      </c>
      <c r="K27" s="444">
        <f>IF(OR(K24="",K9="",K9=0),"",K24/K9)</f>
        <v/>
      </c>
      <c r="L27" s="444">
        <f>IF(OR(L24="",L9="",L9=0),"",L24/L9)</f>
        <v/>
      </c>
      <c r="M27" s="444">
        <f>IF(OR(M24="",M9="",M9=0),"",M24/M9)</f>
        <v/>
      </c>
      <c r="N27" s="22" t="n"/>
      <c r="O27" s="445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4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4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4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4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4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4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4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4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4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4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4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4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6" t="inlineStr">
        <is>
          <t>Metric</t>
        </is>
      </c>
      <c r="P28" s="46" t="n"/>
      <c r="Q28" s="446" t="inlineStr">
        <is>
          <t>Stated in</t>
        </is>
      </c>
      <c r="R28" s="446" t="inlineStr">
        <is>
          <t>Applies to</t>
        </is>
      </c>
      <c r="S28" s="446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6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4">
        <f>IF(OR(B25="",B10="",B10=0),"",B25/B10)</f>
        <v/>
      </c>
      <c r="C29" s="444">
        <f>IF(OR(C25="",C10="",C10=0),"",C25/C10)</f>
        <v/>
      </c>
      <c r="D29" s="444">
        <f>IF(OR(D25="",D10="",D10=0),"",D25/D10)</f>
        <v/>
      </c>
      <c r="E29" s="444">
        <f>IF(OR(E25="",E10="",E10=0),"",E25/E10)</f>
        <v/>
      </c>
      <c r="F29" s="444">
        <f>IF(OR(F25="",F10="",F10=0),"",F25/F10)</f>
        <v/>
      </c>
      <c r="G29" s="444">
        <f>IF(OR(G25="",G10="",G10=0),"",G25/G10)</f>
        <v/>
      </c>
      <c r="H29" s="444">
        <f>IF(OR(H25="",H10="",H10=0),"",H25/H10)</f>
        <v/>
      </c>
      <c r="I29" s="444">
        <f>IF(OR(I25="",I10="",I10=0),"",I25/I10)</f>
        <v/>
      </c>
      <c r="J29" s="444">
        <f>IF(OR(J25="",J10="",J10=0),"",J25/J10)</f>
        <v/>
      </c>
      <c r="K29" s="444">
        <f>IF(OR(K25="",K10="",K10=0),"",K25/K10)</f>
        <v/>
      </c>
      <c r="L29" s="444">
        <f>IF(OR(L25="",L10="",L10=0),"",L25/L10)</f>
        <v/>
      </c>
      <c r="M29" s="444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4">
        <f>IF(OR(B32="",B9="",B9=0),"",B32/B9)</f>
        <v/>
      </c>
      <c r="C33" s="444">
        <f>IF(OR(C32="",C9="",C9=0),"",C32/C9)</f>
        <v/>
      </c>
      <c r="D33" s="444">
        <f>IF(OR(D32="",D9="",D9=0),"",D32/D9)</f>
        <v/>
      </c>
      <c r="E33" s="444">
        <f>IF(OR(E32="",E9="",E9=0),"",E32/E9)</f>
        <v/>
      </c>
      <c r="F33" s="444">
        <f>IF(OR(F32="",F9="",F9=0),"",F32/F9)</f>
        <v/>
      </c>
      <c r="G33" s="444">
        <f>IF(OR(G32="",G9="",G9=0),"",G32/G9)</f>
        <v/>
      </c>
      <c r="H33" s="444">
        <f>IF(OR(H32="",H9="",H9=0),"",H32/H9)</f>
        <v/>
      </c>
      <c r="I33" s="444">
        <f>IF(OR(I32="",I9="",I9=0),"",I32/I9)</f>
        <v/>
      </c>
      <c r="J33" s="444">
        <f>IF(OR(J32="",J9="",J9=0),"",J32/J9)</f>
        <v/>
      </c>
      <c r="K33" s="444">
        <f>IF(OR(K32="",K9="",K9=0),"",K32/K9)</f>
        <v/>
      </c>
      <c r="L33" s="444">
        <f>IF(OR(L32="",L9="",L9=0),"",L32/L9)</f>
        <v/>
      </c>
      <c r="M33" s="444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3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3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3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3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3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3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3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3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3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3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3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3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4">
        <f>IF(OR(B34="",B10="",B10=0),"",B34/B10)</f>
        <v/>
      </c>
      <c r="C35" s="444">
        <f>IF(OR(C34="",C10="",C10=0),"",C34/C10)</f>
        <v/>
      </c>
      <c r="D35" s="444">
        <f>IF(OR(D34="",D10="",D10=0),"",D34/D10)</f>
        <v/>
      </c>
      <c r="E35" s="444">
        <f>IF(OR(E34="",E10="",E10=0),"",E34/E10)</f>
        <v/>
      </c>
      <c r="F35" s="444">
        <f>IF(OR(F34="",F10="",F10=0),"",F34/F10)</f>
        <v/>
      </c>
      <c r="G35" s="444">
        <f>IF(OR(G34="",G10="",G10=0),"",G34/G10)</f>
        <v/>
      </c>
      <c r="H35" s="444">
        <f>IF(OR(H34="",H10="",H10=0),"",H34/H10)</f>
        <v/>
      </c>
      <c r="I35" s="444">
        <f>IF(OR(I34="",I10="",I10=0),"",I34/I10)</f>
        <v/>
      </c>
      <c r="J35" s="444">
        <f>IF(OR(J34="",J10="",J10=0),"",J34/J10)</f>
        <v/>
      </c>
      <c r="K35" s="444">
        <f>IF(OR(K34="",K10="",K10=0),"",K34/K10)</f>
        <v/>
      </c>
      <c r="L35" s="444">
        <f>IF(OR(L34="",L10="",L10=0),"",L34/L10)</f>
        <v/>
      </c>
      <c r="M35" s="444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4">
        <f>IF(OR(B36="",B9="",B9=0),"",B36/B9)</f>
        <v/>
      </c>
      <c r="C37" s="444">
        <f>IF(OR(C36="",C9="",C9=0),"",C36/C9)</f>
        <v/>
      </c>
      <c r="D37" s="444">
        <f>IF(OR(D36="",D9="",D9=0),"",D36/D9)</f>
        <v/>
      </c>
      <c r="E37" s="444">
        <f>IF(OR(E36="",E9="",E9=0),"",E36/E9)</f>
        <v/>
      </c>
      <c r="F37" s="444">
        <f>IF(OR(F36="",F9="",F9=0),"",F36/F9)</f>
        <v/>
      </c>
      <c r="G37" s="444">
        <f>IF(OR(G36="",G9="",G9=0),"",G36/G9)</f>
        <v/>
      </c>
      <c r="H37" s="444">
        <f>IF(OR(H36="",H9="",H9=0),"",H36/H9)</f>
        <v/>
      </c>
      <c r="I37" s="444">
        <f>IF(OR(I36="",I9="",I9=0),"",I36/I9)</f>
        <v/>
      </c>
      <c r="J37" s="444">
        <f>IF(OR(J36="",J9="",J9=0),"",J36/J9)</f>
        <v/>
      </c>
      <c r="K37" s="444">
        <f>IF(OR(K36="",K9="",K9=0),"",K36/K9)</f>
        <v/>
      </c>
      <c r="L37" s="444">
        <f>IF(OR(L36="",L9="",L9=0),"",L36/L9)</f>
        <v/>
      </c>
      <c r="M37" s="444">
        <f>IF(OR(M36="",M9="",M9=0),"",M36/M9)</f>
        <v/>
      </c>
      <c r="N37" s="22" t="n"/>
      <c r="O37" s="442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4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4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4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4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4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4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4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4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4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4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4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4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6" t="inlineStr">
        <is>
          <t>Driver group</t>
        </is>
      </c>
      <c r="P38" s="47" t="n"/>
      <c r="Q38" s="46" t="n"/>
      <c r="R38" s="446" t="inlineStr">
        <is>
          <t>Driver</t>
        </is>
      </c>
      <c r="S38" s="47" t="n"/>
      <c r="T38" s="46" t="n"/>
      <c r="U38" s="447" t="inlineStr">
        <is>
          <t>Why it matters</t>
        </is>
      </c>
      <c r="V38" s="47" t="n"/>
      <c r="W38" s="47" t="n"/>
      <c r="X38" s="47" t="n"/>
      <c r="Y38" s="47" t="n"/>
      <c r="Z38" s="46" t="n"/>
      <c r="AA38" s="446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3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3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3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3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3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3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3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3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3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3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3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3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4">
        <f>IF(OR(B39="",B10="",B10=0),"",B39/B10)</f>
        <v/>
      </c>
      <c r="C40" s="444">
        <f>IF(OR(C39="",C10="",C10=0),"",C39/C10)</f>
        <v/>
      </c>
      <c r="D40" s="444">
        <f>IF(OR(D39="",D10="",D10=0),"",D39/D10)</f>
        <v/>
      </c>
      <c r="E40" s="444">
        <f>IF(OR(E39="",E10="",E10=0),"",E39/E10)</f>
        <v/>
      </c>
      <c r="F40" s="444">
        <f>IF(OR(F39="",F10="",F10=0),"",F39/F10)</f>
        <v/>
      </c>
      <c r="G40" s="444">
        <f>IF(OR(G39="",G10="",G10=0),"",G39/G10)</f>
        <v/>
      </c>
      <c r="H40" s="444">
        <f>IF(OR(H39="",H10="",H10=0),"",H39/H10)</f>
        <v/>
      </c>
      <c r="I40" s="444">
        <f>IF(OR(I39="",I10="",I10=0),"",I39/I10)</f>
        <v/>
      </c>
      <c r="J40" s="444">
        <f>IF(OR(J39="",J10="",J10=0),"",J39/J10)</f>
        <v/>
      </c>
      <c r="K40" s="444">
        <f>IF(OR(K39="",K10="",K10=0),"",K39/K10)</f>
        <v/>
      </c>
      <c r="L40" s="444">
        <f>IF(OR(L39="",L10="",L10=0),"",L39/L10)</f>
        <v/>
      </c>
      <c r="M40" s="444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4">
        <f>IF(OR(B44="",B9="",B9=0),"",B44/B9)</f>
        <v/>
      </c>
      <c r="C45" s="444">
        <f>IF(OR(C44="",C9="",C9=0),"",C44/C9)</f>
        <v/>
      </c>
      <c r="D45" s="444">
        <f>IF(OR(D44="",D9="",D9=0),"",D44/D9)</f>
        <v/>
      </c>
      <c r="E45" s="444">
        <f>IF(OR(E44="",E9="",E9=0),"",E44/E9)</f>
        <v/>
      </c>
      <c r="F45" s="444">
        <f>IF(OR(F44="",F9="",F9=0),"",F44/F9)</f>
        <v/>
      </c>
      <c r="G45" s="444">
        <f>IF(OR(G44="",G9="",G9=0),"",G44/G9)</f>
        <v/>
      </c>
      <c r="H45" s="444">
        <f>IF(OR(H44="",H9="",H9=0),"",H44/H9)</f>
        <v/>
      </c>
      <c r="I45" s="444">
        <f>IF(OR(I44="",I9="",I9=0),"",I44/I9)</f>
        <v/>
      </c>
      <c r="J45" s="444">
        <f>IF(OR(J44="",J9="",J9=0),"",J44/J9)</f>
        <v/>
      </c>
      <c r="K45" s="444">
        <f>IF(OR(K44="",K9="",K9=0),"",K44/K9)</f>
        <v/>
      </c>
      <c r="L45" s="444">
        <f>IF(OR(L44="",L9="",L9=0),"",L44/L9)</f>
        <v/>
      </c>
      <c r="M45" s="444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4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4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4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4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4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4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4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4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4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4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4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4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3">
        <f>IF(OR(B43="",B44=""),"",B43-B44)</f>
        <v/>
      </c>
      <c r="C47" s="443">
        <f>IF(OR(C43="",C44=""),"",C43-C44)</f>
        <v/>
      </c>
      <c r="D47" s="443">
        <f>IF(OR(D43="",D44=""),"",D43-D44)</f>
        <v/>
      </c>
      <c r="E47" s="443">
        <f>IF(OR(E43="",E44=""),"",E43-E44)</f>
        <v/>
      </c>
      <c r="F47" s="443">
        <f>IF(OR(F43="",F44=""),"",F43-F44)</f>
        <v/>
      </c>
      <c r="G47" s="443">
        <f>IF(OR(G43="",G44=""),"",G43-G44)</f>
        <v/>
      </c>
      <c r="H47" s="443">
        <f>IF(OR(H43="",H44=""),"",H43-H44)</f>
        <v/>
      </c>
      <c r="I47" s="443">
        <f>IF(OR(I43="",I44=""),"",I43-I44)</f>
        <v/>
      </c>
      <c r="J47" s="443">
        <f>IF(OR(J43="",J44=""),"",J43-J44)</f>
        <v/>
      </c>
      <c r="K47" s="443">
        <f>IF(OR(K43="",K44=""),"",K43-K44)</f>
        <v/>
      </c>
      <c r="L47" s="443">
        <f>IF(OR(L43="",L44=""),"",L43-L44)</f>
        <v/>
      </c>
      <c r="M47" s="443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3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3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3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3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3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3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3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3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3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3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3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3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2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3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3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3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3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3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3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3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3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3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3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3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3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6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3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3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3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3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3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3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3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3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3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3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3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3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6" t="inlineStr">
        <is>
          <t>Bridge item</t>
        </is>
      </c>
      <c r="P50" s="47" t="n"/>
      <c r="Q50" s="47" t="n"/>
      <c r="R50" s="47" t="n"/>
      <c r="S50" s="47" t="n"/>
      <c r="T50" s="46" t="n"/>
      <c r="U50" s="446" t="inlineStr">
        <is>
          <t>Value</t>
        </is>
      </c>
      <c r="V50" s="47" t="n"/>
      <c r="W50" s="46" t="n"/>
      <c r="X50" s="446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48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48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49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0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4">
        <f>IF(OR(B47="",B9="",B9=0),"",B47/B9)</f>
        <v/>
      </c>
      <c r="C57" s="444">
        <f>IF(OR(C47="",C9="",C9=0),"",C47/C9)</f>
        <v/>
      </c>
      <c r="D57" s="444">
        <f>IF(OR(D47="",D9="",D9=0),"",D47/D9)</f>
        <v/>
      </c>
      <c r="E57" s="444">
        <f>IF(OR(E47="",E9="",E9=0),"",E47/E9)</f>
        <v/>
      </c>
      <c r="F57" s="444">
        <f>IF(OR(F47="",F9="",F9=0),"",F47/F9)</f>
        <v/>
      </c>
      <c r="G57" s="444">
        <f>IF(OR(G47="",G9="",G9=0),"",G47/G9)</f>
        <v/>
      </c>
      <c r="H57" s="444">
        <f>IF(OR(H47="",H9="",H9=0),"",H47/H9)</f>
        <v/>
      </c>
      <c r="I57" s="444">
        <f>IF(OR(I47="",I9="",I9=0),"",I47/I9)</f>
        <v/>
      </c>
      <c r="J57" s="444">
        <f>IF(OR(J47="",J9="",J9=0),"",J47/J9)</f>
        <v/>
      </c>
      <c r="K57" s="444">
        <f>IF(OR(K47="",K9="",K9=0),"",K47/K9)</f>
        <v/>
      </c>
      <c r="L57" s="444">
        <f>IF(OR(L47="",L9="",L9=0),"",L47/L9)</f>
        <v/>
      </c>
      <c r="M57" s="444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0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4">
        <f>IF(OR(B49="",B10="",B10=0),"",B49/B10)</f>
        <v/>
      </c>
      <c r="C58" s="444">
        <f>IF(OR(C49="",C10="",C10=0),"",C49/C10)</f>
        <v/>
      </c>
      <c r="D58" s="444">
        <f>IF(OR(D49="",D10="",D10=0),"",D49/D10)</f>
        <v/>
      </c>
      <c r="E58" s="444">
        <f>IF(OR(E49="",E10="",E10=0),"",E49/E10)</f>
        <v/>
      </c>
      <c r="F58" s="444">
        <f>IF(OR(F49="",F10="",F10=0),"",F49/F10)</f>
        <v/>
      </c>
      <c r="G58" s="444">
        <f>IF(OR(G49="",G10="",G10=0),"",G49/G10)</f>
        <v/>
      </c>
      <c r="H58" s="444">
        <f>IF(OR(H49="",H10="",H10=0),"",H49/H10)</f>
        <v/>
      </c>
      <c r="I58" s="444">
        <f>IF(OR(I49="",I10="",I10=0),"",I49/I10)</f>
        <v/>
      </c>
      <c r="J58" s="444">
        <f>IF(OR(J49="",J10="",J10=0),"",J49/J10)</f>
        <v/>
      </c>
      <c r="K58" s="444">
        <f>IF(OR(K49="",K10="",K10=0),"",K49/K10)</f>
        <v/>
      </c>
      <c r="L58" s="444">
        <f>IF(OR(L49="",L10="",L10=0),"",L49/L10)</f>
        <v/>
      </c>
      <c r="M58" s="444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1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n"/>
      <c r="P59" s="47" t="n"/>
      <c r="Q59" s="47" t="n"/>
      <c r="R59" s="47" t="n"/>
      <c r="S59" s="47" t="n"/>
      <c r="T59" s="46" t="n"/>
      <c r="U59" s="448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1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2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n"/>
      <c r="P62" s="47" t="n"/>
      <c r="Q62" s="47" t="n"/>
      <c r="R62" s="47" t="n"/>
      <c r="S62" s="47" t="n"/>
      <c r="T62" s="46" t="n"/>
      <c r="U62" s="453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3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3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3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3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3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3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3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3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3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3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3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3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6" t="inlineStr">
        <is>
          <t>Output</t>
        </is>
      </c>
      <c r="P63" s="47" t="n"/>
      <c r="Q63" s="47" t="n"/>
      <c r="R63" s="47" t="n"/>
      <c r="S63" s="47" t="n"/>
      <c r="T63" s="46" t="n"/>
      <c r="U63" s="446" t="inlineStr">
        <is>
          <t>Value</t>
        </is>
      </c>
      <c r="V63" s="47" t="n"/>
      <c r="W63" s="46" t="n"/>
      <c r="X63" s="446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3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3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3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3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3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3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3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3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3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3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3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3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4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3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3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3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3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3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3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3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3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3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3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3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3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5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3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3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3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3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3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3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3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3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3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3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3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3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4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3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3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3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3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3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3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3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3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3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3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3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3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5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4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5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4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4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3">
        <f>IF(OR(B72="",B70=""),"",B72-B70)</f>
        <v/>
      </c>
      <c r="C73" s="443">
        <f>IF(OR(C72="",C70=""),"",C72-C70)</f>
        <v/>
      </c>
      <c r="D73" s="443">
        <f>IF(OR(D72="",D70=""),"",D72-D70)</f>
        <v/>
      </c>
      <c r="E73" s="443">
        <f>IF(OR(E72="",E70=""),"",E72-E70)</f>
        <v/>
      </c>
      <c r="F73" s="443">
        <f>IF(OR(F72="",F70=""),"",F72-F70)</f>
        <v/>
      </c>
      <c r="G73" s="443">
        <f>IF(OR(G72="",G70=""),"",G72-G70)</f>
        <v/>
      </c>
      <c r="H73" s="443">
        <f>IF(OR(H72="",H70=""),"",H72-H70)</f>
        <v/>
      </c>
      <c r="I73" s="443">
        <f>IF(OR(I72="",I70=""),"",I72-I70)</f>
        <v/>
      </c>
      <c r="J73" s="443">
        <f>IF(OR(J72="",J70=""),"",J72-J70)</f>
        <v/>
      </c>
      <c r="K73" s="443">
        <f>IF(OR(K72="",K70=""),"",K72-K70)</f>
        <v/>
      </c>
      <c r="L73" s="443">
        <f>IF(OR(L72="",L70=""),"",L72-L70)</f>
        <v/>
      </c>
      <c r="M73" s="443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6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3">
        <f>""</f>
        <v/>
      </c>
      <c r="C74" s="443">
        <f>IF(OR(C73="",B73=""),"",C73-B73)</f>
        <v/>
      </c>
      <c r="D74" s="443">
        <f>IF(OR(D73="",C73=""),"",D73-C73)</f>
        <v/>
      </c>
      <c r="E74" s="443">
        <f>IF(OR(E73="",D73=""),"",E73-D73)</f>
        <v/>
      </c>
      <c r="F74" s="443">
        <f>IF(OR(F73="",E73=""),"",F73-E73)</f>
        <v/>
      </c>
      <c r="G74" s="443">
        <f>IF(OR(G73="",F73=""),"",G73-F73)</f>
        <v/>
      </c>
      <c r="H74" s="443">
        <f>IF(OR(H73="",G73=""),"",H73-G73)</f>
        <v/>
      </c>
      <c r="I74" s="443">
        <f>IF(OR(I73="",H73=""),"",I73-H73)</f>
        <v/>
      </c>
      <c r="J74" s="443">
        <f>IF(OR(J73="",I73=""),"",J73-I73)</f>
        <v/>
      </c>
      <c r="K74" s="443">
        <f>IF(OR(K73="",J73=""),"",K73-J73)</f>
        <v/>
      </c>
      <c r="L74" s="443">
        <f>IF(OR(L73="",K73=""),"",L73-K73)</f>
        <v/>
      </c>
      <c r="M74" s="443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57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3">
        <f>""</f>
        <v/>
      </c>
      <c r="C75" s="443">
        <f>""</f>
        <v/>
      </c>
      <c r="D75" s="443">
        <f>""</f>
        <v/>
      </c>
      <c r="E75" s="443">
        <f>""</f>
        <v/>
      </c>
      <c r="F75" s="443">
        <f>IF(OR(F73="",B73=""),"",F73-B73)</f>
        <v/>
      </c>
      <c r="G75" s="443">
        <f>IF(OR(G73="",C73=""),"",G73-C73)</f>
        <v/>
      </c>
      <c r="H75" s="443">
        <f>IF(OR(H73="",D73=""),"",H73-D73)</f>
        <v/>
      </c>
      <c r="I75" s="443">
        <f>IF(OR(I73="",E73=""),"",I73-E73)</f>
        <v/>
      </c>
      <c r="J75" s="443">
        <f>IF(OR(J73="",F73=""),"",J73-F73)</f>
        <v/>
      </c>
      <c r="K75" s="443">
        <f>IF(OR(K73="",G73=""),"",K73-G73)</f>
        <v/>
      </c>
      <c r="L75" s="443">
        <f>IF(OR(L73="",H73=""),"",L73-H73)</f>
        <v/>
      </c>
      <c r="M75" s="443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6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3">
        <f>IF(B73="","",-B73)</f>
        <v/>
      </c>
      <c r="C77" s="443">
        <f>IF(C73="","",-C73)</f>
        <v/>
      </c>
      <c r="D77" s="443">
        <f>IF(D73="","",-D73)</f>
        <v/>
      </c>
      <c r="E77" s="443">
        <f>IF(E73="","",-E73)</f>
        <v/>
      </c>
      <c r="F77" s="443">
        <f>IF(F73="","",-F73)</f>
        <v/>
      </c>
      <c r="G77" s="443">
        <f>IF(G73="","",-G73)</f>
        <v/>
      </c>
      <c r="H77" s="443">
        <f>IF(H73="","",-H73)</f>
        <v/>
      </c>
      <c r="I77" s="443">
        <f>IF(I73="","",-I73)</f>
        <v/>
      </c>
      <c r="J77" s="443">
        <f>IF(J73="","",-J73)</f>
        <v/>
      </c>
      <c r="K77" s="443">
        <f>IF(K73="","",-K73)</f>
        <v/>
      </c>
      <c r="L77" s="443">
        <f>IF(L73="","",-L73)</f>
        <v/>
      </c>
      <c r="M77" s="443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3">
        <f>IF(OR(B70="",B71="",B72=""),"",B70+B71-B72)</f>
        <v/>
      </c>
      <c r="C78" s="443">
        <f>IF(OR(C70="",C71="",C72=""),"",C70+C71-C72)</f>
        <v/>
      </c>
      <c r="D78" s="443">
        <f>IF(OR(D70="",D71="",D72=""),"",D70+D71-D72)</f>
        <v/>
      </c>
      <c r="E78" s="443">
        <f>IF(OR(E70="",E71="",E72=""),"",E70+E71-E72)</f>
        <v/>
      </c>
      <c r="F78" s="443">
        <f>IF(OR(F70="",F71="",F72=""),"",F70+F71-F72)</f>
        <v/>
      </c>
      <c r="G78" s="443">
        <f>IF(OR(G70="",G71="",G72=""),"",G70+G71-G72)</f>
        <v/>
      </c>
      <c r="H78" s="443">
        <f>IF(OR(H70="",H71="",H72=""),"",H70+H71-H72)</f>
        <v/>
      </c>
      <c r="I78" s="443">
        <f>IF(OR(I70="",I71="",I72=""),"",I70+I71-I72)</f>
        <v/>
      </c>
      <c r="J78" s="443">
        <f>IF(OR(J70="",J71="",J72=""),"",J70+J71-J72)</f>
        <v/>
      </c>
      <c r="K78" s="443">
        <f>IF(OR(K70="",K71="",K72=""),"",K70+K71-K72)</f>
        <v/>
      </c>
      <c r="L78" s="443">
        <f>IF(OR(L70="",L71="",L72=""),"",L70+L71-L72)</f>
        <v/>
      </c>
      <c r="M78" s="443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3">
        <f>IF(OR(B70="",B72="",B79=""),"",B72+B79-B70)</f>
        <v/>
      </c>
      <c r="C80" s="443">
        <f>IF(OR(C70="",C72="",C79=""),"",C72+C79-C70)</f>
        <v/>
      </c>
      <c r="D80" s="443">
        <f>IF(OR(D70="",D72="",D79=""),"",D72+D79-D70)</f>
        <v/>
      </c>
      <c r="E80" s="443">
        <f>IF(OR(E70="",E72="",E79=""),"",E72+E79-E70)</f>
        <v/>
      </c>
      <c r="F80" s="443">
        <f>IF(OR(F70="",F72="",F79=""),"",F72+F79-F70)</f>
        <v/>
      </c>
      <c r="G80" s="443">
        <f>IF(OR(G70="",G72="",G79=""),"",G72+G79-G70)</f>
        <v/>
      </c>
      <c r="H80" s="443">
        <f>IF(OR(H70="",H72="",H79=""),"",H72+H79-H70)</f>
        <v/>
      </c>
      <c r="I80" s="443">
        <f>IF(OR(I70="",I72="",I79=""),"",I72+I79-I70)</f>
        <v/>
      </c>
      <c r="J80" s="443">
        <f>IF(OR(J70="",J72="",J79=""),"",J72+J79-J70)</f>
        <v/>
      </c>
      <c r="K80" s="443">
        <f>IF(OR(K70="",K72="",K79=""),"",K72+K79-K70)</f>
        <v/>
      </c>
      <c r="L80" s="443">
        <f>IF(OR(L70="",L72="",L79=""),"",L72+L79-L70)</f>
        <v/>
      </c>
      <c r="M80" s="443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3">
        <f>IF(OR(B70="",B71="",B72="",B79=""),"",B72+B79-B70-B71)</f>
        <v/>
      </c>
      <c r="C81" s="443">
        <f>IF(OR(C70="",C71="",C72="",C79=""),"",C72+C79-C70-C71)</f>
        <v/>
      </c>
      <c r="D81" s="443">
        <f>IF(OR(D70="",D71="",D72="",D79=""),"",D72+D79-D70-D71)</f>
        <v/>
      </c>
      <c r="E81" s="443">
        <f>IF(OR(E70="",E71="",E72="",E79=""),"",E72+E79-E70-E71)</f>
        <v/>
      </c>
      <c r="F81" s="443">
        <f>IF(OR(F70="",F71="",F72="",F79=""),"",F72+F79-F70-F71)</f>
        <v/>
      </c>
      <c r="G81" s="443">
        <f>IF(OR(G70="",G71="",G72="",G79=""),"",G72+G79-G70-G71)</f>
        <v/>
      </c>
      <c r="H81" s="443">
        <f>IF(OR(H70="",H71="",H72="",H79=""),"",H72+H79-H70-H71)</f>
        <v/>
      </c>
      <c r="I81" s="443">
        <f>IF(OR(I70="",I71="",I72="",I79=""),"",I72+I79-I70-I71)</f>
        <v/>
      </c>
      <c r="J81" s="443">
        <f>IF(OR(J70="",J71="",J72="",J79=""),"",J72+J79-J70-J71)</f>
        <v/>
      </c>
      <c r="K81" s="443">
        <f>IF(OR(K70="",K71="",K72="",K79=""),"",K72+K79-K70-K71)</f>
        <v/>
      </c>
      <c r="L81" s="443">
        <f>IF(OR(L70="",L71="",L72="",L79=""),"",L72+L79-L70-L71)</f>
        <v/>
      </c>
      <c r="M81" s="443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3">
        <f>IF(B21="","",B21)</f>
        <v/>
      </c>
      <c r="C84" s="443">
        <f>IF(C21="","",C21)</f>
        <v/>
      </c>
      <c r="D84" s="443">
        <f>IF(D21="","",D21)</f>
        <v/>
      </c>
      <c r="E84" s="443">
        <f>IF(E21="","",E21)</f>
        <v/>
      </c>
      <c r="F84" s="443">
        <f>IF(F21="","",F21)</f>
        <v/>
      </c>
      <c r="G84" s="443">
        <f>IF(G21="","",G21)</f>
        <v/>
      </c>
      <c r="H84" s="443">
        <f>IF(H21="","",H21)</f>
        <v/>
      </c>
      <c r="I84" s="443">
        <f>IF(I21="","",I21)</f>
        <v/>
      </c>
      <c r="J84" s="443">
        <f>IF(J21="","",J21)</f>
        <v/>
      </c>
      <c r="K84" s="443">
        <f>IF(K21="","",K21)</f>
        <v/>
      </c>
      <c r="L84" s="443">
        <f>IF(L21="","",L21)</f>
        <v/>
      </c>
      <c r="M84" s="443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3">
        <f>IF(B25="","",B25)</f>
        <v/>
      </c>
      <c r="C85" s="443">
        <f>IF(C25="","",C25)</f>
        <v/>
      </c>
      <c r="D85" s="443">
        <f>IF(D25="","",D25)</f>
        <v/>
      </c>
      <c r="E85" s="443">
        <f>IF(E25="","",E25)</f>
        <v/>
      </c>
      <c r="F85" s="443">
        <f>IF(F25="","",F25)</f>
        <v/>
      </c>
      <c r="G85" s="443">
        <f>IF(G25="","",G25)</f>
        <v/>
      </c>
      <c r="H85" s="443">
        <f>IF(H25="","",H25)</f>
        <v/>
      </c>
      <c r="I85" s="443">
        <f>IF(I25="","",I25)</f>
        <v/>
      </c>
      <c r="J85" s="443">
        <f>IF(J25="","",J25)</f>
        <v/>
      </c>
      <c r="K85" s="443">
        <f>IF(K25="","",K25)</f>
        <v/>
      </c>
      <c r="L85" s="443">
        <f>IF(L25="","",L25)</f>
        <v/>
      </c>
      <c r="M85" s="443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58">
        <f>IF(OR(B73="",B84="",B84=0),"",B73/B84)</f>
        <v/>
      </c>
      <c r="C86" s="458">
        <f>IF(OR(C73="",C84="",C84=0),"",C73/C84)</f>
        <v/>
      </c>
      <c r="D86" s="458">
        <f>IF(OR(D73="",D84="",D84=0),"",D73/D84)</f>
        <v/>
      </c>
      <c r="E86" s="458">
        <f>IF(OR(E73="",E84="",E84=0),"",E73/E84)</f>
        <v/>
      </c>
      <c r="F86" s="458">
        <f>IF(OR(F73="",F84="",F84=0),"",F73/F84)</f>
        <v/>
      </c>
      <c r="G86" s="458">
        <f>IF(OR(G73="",G84="",G84=0),"",G73/G84)</f>
        <v/>
      </c>
      <c r="H86" s="458">
        <f>IF(OR(H73="",H84="",H84=0),"",H73/H84)</f>
        <v/>
      </c>
      <c r="I86" s="458">
        <f>IF(OR(I73="",I84="",I84=0),"",I73/I84)</f>
        <v/>
      </c>
      <c r="J86" s="458">
        <f>IF(OR(J73="",J84="",J84=0),"",J73/J84)</f>
        <v/>
      </c>
      <c r="K86" s="458">
        <f>IF(OR(K73="",K84="",K84=0),"",K73/K84)</f>
        <v/>
      </c>
      <c r="L86" s="458">
        <f>IF(OR(L73="",L84="",L84=0),"",L73/L84)</f>
        <v/>
      </c>
      <c r="M86" s="458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58">
        <f>IF(OR(B73="",B85="",B85=0),"",B73/B85)</f>
        <v/>
      </c>
      <c r="C87" s="458">
        <f>IF(OR(C73="",C85="",C85=0),"",C73/C85)</f>
        <v/>
      </c>
      <c r="D87" s="458">
        <f>IF(OR(D73="",D85="",D85=0),"",D73/D85)</f>
        <v/>
      </c>
      <c r="E87" s="458">
        <f>IF(OR(E73="",E85="",E85=0),"",E73/E85)</f>
        <v/>
      </c>
      <c r="F87" s="458">
        <f>IF(OR(F73="",F85="",F85=0),"",F73/F85)</f>
        <v/>
      </c>
      <c r="G87" s="458">
        <f>IF(OR(G73="",G85="",G85=0),"",G73/G85)</f>
        <v/>
      </c>
      <c r="H87" s="458">
        <f>IF(OR(H73="",H85="",H85=0),"",H73/H85)</f>
        <v/>
      </c>
      <c r="I87" s="458">
        <f>IF(OR(I73="",I85="",I85=0),"",I73/I85)</f>
        <v/>
      </c>
      <c r="J87" s="458">
        <f>IF(OR(J73="",J85="",J85=0),"",J73/J85)</f>
        <v/>
      </c>
      <c r="K87" s="458">
        <f>IF(OR(K73="",K85="",K85=0),"",K73/K85)</f>
        <v/>
      </c>
      <c r="L87" s="458">
        <f>IF(OR(L73="",L85="",L85=0),"",L73/L85)</f>
        <v/>
      </c>
      <c r="M87" s="458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58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58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58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58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58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58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58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58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58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58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58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58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58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58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58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58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58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58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58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58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58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58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58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58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4">
        <f>IF(OR(B49="",B21="",B21=0),"",B49/B21)</f>
        <v/>
      </c>
      <c r="C90" s="444">
        <f>IF(OR(C49="",C21="",C21=0),"",C49/C21)</f>
        <v/>
      </c>
      <c r="D90" s="444">
        <f>IF(OR(D49="",D21="",D21=0),"",D49/D21)</f>
        <v/>
      </c>
      <c r="E90" s="444">
        <f>IF(OR(E49="",E21="",E21=0),"",E49/E21)</f>
        <v/>
      </c>
      <c r="F90" s="444">
        <f>IF(OR(F49="",F21="",F21=0),"",F49/F21)</f>
        <v/>
      </c>
      <c r="G90" s="444">
        <f>IF(OR(G49="",G21="",G21=0),"",G49/G21)</f>
        <v/>
      </c>
      <c r="H90" s="444">
        <f>IF(OR(H49="",H21="",H21=0),"",H49/H21)</f>
        <v/>
      </c>
      <c r="I90" s="444">
        <f>IF(OR(I49="",I21="",I21=0),"",I49/I21)</f>
        <v/>
      </c>
      <c r="J90" s="444">
        <f>IF(OR(J49="",J21="",J21=0),"",J49/J21)</f>
        <v/>
      </c>
      <c r="K90" s="444">
        <f>IF(OR(K49="",K21="",K21=0),"",K49/K21)</f>
        <v/>
      </c>
      <c r="L90" s="444">
        <f>IF(OR(L49="",L21="",L21=0),"",L49/L21)</f>
        <v/>
      </c>
      <c r="M90" s="444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59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59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59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59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59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59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59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59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59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59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59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59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59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59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59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59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59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59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59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59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59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59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59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59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4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4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4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4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4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4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4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4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4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4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4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4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0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0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0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0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0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0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0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0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0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0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0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0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0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0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0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0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0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0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0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0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0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0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0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0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0">
        <f>IF(OR(B268="",B103="",B103=0),"",B268/B103)</f>
        <v/>
      </c>
      <c r="C113" s="460">
        <f>IF(OR(C268="",C103="",C103=0),"",C268/C103)</f>
        <v/>
      </c>
      <c r="D113" s="460">
        <f>IF(OR(D268="",D103="",D103=0),"",D268/D103)</f>
        <v/>
      </c>
      <c r="E113" s="460">
        <f>IF(OR(E268="",E103="",E103=0),"",E268/E103)</f>
        <v/>
      </c>
      <c r="F113" s="460">
        <f>IF(OR(F268="",F103="",F103=0),"",F268/F103)</f>
        <v/>
      </c>
      <c r="G113" s="460">
        <f>IF(OR(G268="",G103="",G103=0),"",G268/G103)</f>
        <v/>
      </c>
      <c r="H113" s="460">
        <f>IF(OR(H268="",H103="",H103=0),"",H268/H103)</f>
        <v/>
      </c>
      <c r="I113" s="460">
        <f>IF(OR(I268="",I103="",I103=0),"",I268/I103)</f>
        <v/>
      </c>
      <c r="J113" s="460">
        <f>IF(OR(J268="",J103="",J103=0),"",J268/J103)</f>
        <v/>
      </c>
      <c r="K113" s="460">
        <f>IF(OR(K268="",K103="",K103=0),"",K268/K103)</f>
        <v/>
      </c>
      <c r="L113" s="460">
        <f>IF(OR(L268="",L103="",L103=0),"",L268/L103)</f>
        <v/>
      </c>
      <c r="M113" s="460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0">
        <f>IF(OR(B268="",B269="",B270="",B103="",B103=0),"",(B268-B269-B270)/B103)</f>
        <v/>
      </c>
      <c r="C114" s="460">
        <f>IF(OR(C268="",C269="",C270="",C103="",C103=0),"",(C268-C269-C270)/C103)</f>
        <v/>
      </c>
      <c r="D114" s="460">
        <f>IF(OR(D268="",D269="",D270="",D103="",D103=0),"",(D268-D269-D270)/D103)</f>
        <v/>
      </c>
      <c r="E114" s="460">
        <f>IF(OR(E268="",E269="",E270="",E103="",E103=0),"",(E268-E269-E270)/E103)</f>
        <v/>
      </c>
      <c r="F114" s="460">
        <f>IF(OR(F268="",F269="",F270="",F103="",F103=0),"",(F268-F269-F270)/F103)</f>
        <v/>
      </c>
      <c r="G114" s="460">
        <f>IF(OR(G268="",G269="",G270="",G103="",G103=0),"",(G268-G269-G270)/G103)</f>
        <v/>
      </c>
      <c r="H114" s="460">
        <f>IF(OR(H268="",H269="",H270="",H103="",H103=0),"",(H268-H269-H270)/H103)</f>
        <v/>
      </c>
      <c r="I114" s="460">
        <f>IF(OR(I268="",I269="",I270="",I103="",I103=0),"",(I268-I269-I270)/I103)</f>
        <v/>
      </c>
      <c r="J114" s="460">
        <f>IF(OR(J268="",J269="",J270="",J103="",J103=0),"",(J268-J269-J270)/J103)</f>
        <v/>
      </c>
      <c r="K114" s="460">
        <f>IF(OR(K268="",K269="",K270="",K103="",K103=0),"",(K268-K269-K270)/K103)</f>
        <v/>
      </c>
      <c r="L114" s="460">
        <f>IF(OR(L268="",L269="",L270="",L103="",L103=0),"",(L268-L269-L270)/L103)</f>
        <v/>
      </c>
      <c r="M114" s="460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0">
        <f>IF(OR(B49="",B102="",B102=0),"",B49/B102)</f>
        <v/>
      </c>
      <c r="C115" s="460">
        <f>IF(OR(C49="",C102="",C102=0),"",C49/C102)</f>
        <v/>
      </c>
      <c r="D115" s="460">
        <f>IF(OR(D49="",D102="",D102=0),"",D49/D102)</f>
        <v/>
      </c>
      <c r="E115" s="460">
        <f>IF(OR(E49="",E102="",E102=0),"",E49/E102)</f>
        <v/>
      </c>
      <c r="F115" s="460">
        <f>IF(OR(F49="",F102="",F102=0),"",F49/F102)</f>
        <v/>
      </c>
      <c r="G115" s="460">
        <f>IF(OR(G49="",G102="",G102=0),"",G49/G102)</f>
        <v/>
      </c>
      <c r="H115" s="460">
        <f>IF(OR(H49="",H102="",H102=0),"",H49/H102)</f>
        <v/>
      </c>
      <c r="I115" s="460">
        <f>IF(OR(I49="",I102="",I102=0),"",I49/I102)</f>
        <v/>
      </c>
      <c r="J115" s="460">
        <f>IF(OR(J49="",J102="",J102=0),"",J49/J102)</f>
        <v/>
      </c>
      <c r="K115" s="460">
        <f>IF(OR(K49="",K102="",K102=0),"",K49/K102)</f>
        <v/>
      </c>
      <c r="L115" s="460">
        <f>IF(OR(L49="",L102="",L102=0),"",L49/L102)</f>
        <v/>
      </c>
      <c r="M115" s="460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1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2" t="inlineStr">
        <is>
          <t>Principal due ($m)</t>
        </is>
      </c>
      <c r="C123" s="462" t="inlineStr">
        <is>
          <t>Rate type</t>
        </is>
      </c>
      <c r="D123" s="462" t="inlineStr">
        <is>
          <t>Coupon/Spread %</t>
        </is>
      </c>
      <c r="F123" s="462" t="inlineStr">
        <is>
          <t>Maturity</t>
        </is>
      </c>
      <c r="G123" s="462" t="inlineStr">
        <is>
          <t>Conversion price</t>
        </is>
      </c>
      <c r="I123" s="462" t="inlineStr">
        <is>
          <t>Added shares on full conversion (m)</t>
        </is>
      </c>
      <c r="L123" s="462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1" t="inlineStr">
        <is>
          <t>Hidden value flags</t>
        </is>
      </c>
      <c r="N137" s="463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4" t="inlineStr">
        <is>
          <t>Summary</t>
        </is>
      </c>
      <c r="C138" s="464" t="inlineStr"/>
      <c r="D138" s="464" t="inlineStr"/>
      <c r="E138" s="464" t="inlineStr"/>
      <c r="F138" s="464" t="inlineStr">
        <is>
          <t>Score</t>
        </is>
      </c>
      <c r="G138" s="464" t="inlineStr">
        <is>
          <t>State</t>
        </is>
      </c>
      <c r="H138" s="464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5" t="n"/>
      <c r="G139" s="466" t="n"/>
      <c r="H139" s="466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67" t="n"/>
      <c r="C140" s="28" t="n"/>
      <c r="D140" s="28" t="n"/>
      <c r="E140" s="28" t="n"/>
      <c r="F140" s="468" t="n"/>
      <c r="G140" s="469" t="n"/>
      <c r="H140" s="469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67" t="n"/>
      <c r="C141" s="28" t="n"/>
      <c r="D141" s="28" t="n"/>
      <c r="E141" s="28" t="n"/>
      <c r="F141" s="468" t="n"/>
      <c r="G141" s="469" t="n"/>
      <c r="H141" s="469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67" t="n"/>
      <c r="C142" s="28" t="n"/>
      <c r="D142" s="28" t="n"/>
      <c r="E142" s="28" t="n"/>
      <c r="F142" s="468" t="n"/>
      <c r="G142" s="469" t="n"/>
      <c r="H142" s="469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67" t="n"/>
      <c r="C143" s="28" t="n"/>
      <c r="D143" s="28" t="n"/>
      <c r="E143" s="28" t="n"/>
      <c r="F143" s="468" t="n"/>
      <c r="G143" s="469" t="n"/>
      <c r="H143" s="469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1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1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70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71" t="inlineStr">
        <is>
          <t>Δ</t>
        </is>
      </c>
      <c r="C159" s="471" t="inlineStr">
        <is>
          <t>Direction</t>
        </is>
      </c>
      <c r="D159" s="471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2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3" t="inlineStr">
        <is>
          <t>Flag</t>
        </is>
      </c>
      <c r="B169" s="473" t="inlineStr">
        <is>
          <t>Status</t>
        </is>
      </c>
      <c r="C169" s="474" t="inlineStr">
        <is>
          <t>Evidence</t>
        </is>
      </c>
      <c r="I169" s="473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5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6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7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7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7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7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7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7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7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8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8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9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9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80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80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1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2" t="n"/>
      <c r="E218" s="22" t="n"/>
      <c r="F218" s="22" t="n"/>
      <c r="G218" s="48" t="inlineStr">
        <is>
          <t>Starting FCFF ($m)</t>
        </is>
      </c>
      <c r="J218" s="480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2" t="n"/>
      <c r="E219" s="22" t="n"/>
      <c r="F219" s="22" t="n"/>
      <c r="G219" s="48" t="inlineStr">
        <is>
          <t>Growth (projection period)</t>
        </is>
      </c>
      <c r="J219" s="479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43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2" t="n"/>
      <c r="E220" s="22" t="n"/>
      <c r="F220" s="22" t="n"/>
      <c r="G220" s="48" t="inlineStr">
        <is>
          <t>Terminal growth</t>
        </is>
      </c>
      <c r="J220" s="479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79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43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3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4" t="n"/>
      <c r="I226" s="485" t="n"/>
      <c r="J226" s="485" t="n"/>
      <c r="K226" s="485" t="n"/>
      <c r="L226" s="48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4" t="n"/>
      <c r="H227" s="486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86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86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86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86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85" t="n"/>
      <c r="H228" s="486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87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88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89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86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85" t="n"/>
      <c r="H229" s="486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90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1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2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86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85" t="n"/>
      <c r="H230" s="486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90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1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2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86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85" t="n"/>
      <c r="H231" s="486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90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1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2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86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85" t="n"/>
      <c r="H232" s="486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3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4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495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86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4" t="n"/>
      <c r="H233" s="486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86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86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86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86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496" t="n"/>
      <c r="H234" s="497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497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497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497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497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498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99" t="n"/>
      <c r="L236" s="125" t="inlineStr">
        <is>
          <t>Market cap ($m)</t>
        </is>
      </c>
      <c r="N236" s="500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79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500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79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500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80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500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80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1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43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1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43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77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43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2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43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IF(OR(NOT(ISNUMBER(N237)),NOT(ISNUMBER(DCF_WACC)),NOT(ISNUMBER(DCF_FCFF)),N237&lt;=0,DCF_WACC&lt;=0),"",IF(N237+DCF_FCFF=0,"",(N237*DCF_WACC-DCF_FCFF)/(N237+DCF_FCFF)))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3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4" t="n"/>
      <c r="E247" s="499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4" t="n"/>
      <c r="E248" s="499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4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4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99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99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99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99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5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06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44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43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06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07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08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IF(OR(NOT(ISNUMBER(ScenarioFCF)),NOT(ISNUMBER(ScenarioImpliedPrice)),NOT(ISNUMBER(ScenarioShares)),ScenarioImpliedPrice&lt;=0,ScenarioShares&lt;=0),"",ScenarioFCF/(ScenarioImpliedPrice*ScenarioShares))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06" t="n"/>
      <c r="C262" s="506" t="n"/>
      <c r="D262" s="506" t="n"/>
      <c r="E262" s="506" t="n"/>
      <c r="F262" s="506" t="n"/>
      <c r="G262" s="506" t="n"/>
      <c r="H262" s="506" t="n"/>
      <c r="I262" s="506" t="n"/>
      <c r="J262" s="506" t="n"/>
      <c r="K262" s="506" t="n"/>
      <c r="L262" s="506" t="n"/>
      <c r="M262" s="506" t="n"/>
    </row>
    <row r="263" hidden="1">
      <c r="A263" t="inlineStr">
        <is>
          <t>Formula input: interest_expense</t>
        </is>
      </c>
      <c r="B263" s="506" t="n"/>
      <c r="C263" s="506" t="n"/>
      <c r="D263" s="506" t="n"/>
      <c r="E263" s="506" t="n"/>
      <c r="F263" s="506" t="n"/>
      <c r="G263" s="506" t="n"/>
      <c r="H263" s="506" t="n"/>
      <c r="I263" s="506" t="n"/>
      <c r="J263" s="506" t="n"/>
      <c r="K263" s="506" t="n"/>
      <c r="L263" s="506" t="n"/>
      <c r="M263" s="506" t="n"/>
    </row>
    <row r="264" hidden="1">
      <c r="A264" t="inlineStr">
        <is>
          <t>Formula input: dividends_cash</t>
        </is>
      </c>
      <c r="B264" s="506" t="n"/>
      <c r="C264" s="506" t="n"/>
      <c r="D264" s="506" t="n"/>
      <c r="E264" s="506" t="n"/>
      <c r="F264" s="506" t="n"/>
      <c r="G264" s="506" t="n"/>
      <c r="H264" s="506" t="n"/>
      <c r="I264" s="506" t="n"/>
      <c r="J264" s="506" t="n"/>
      <c r="K264" s="506" t="n"/>
      <c r="L264" s="506" t="n"/>
      <c r="M264" s="506" t="n"/>
    </row>
    <row r="265" hidden="1">
      <c r="A265" t="inlineStr">
        <is>
          <t>Formula input: acquisitions_cash</t>
        </is>
      </c>
      <c r="B265" s="506" t="n"/>
      <c r="C265" s="506" t="n"/>
      <c r="D265" s="506" t="n"/>
      <c r="E265" s="506" t="n"/>
      <c r="F265" s="506" t="n"/>
      <c r="G265" s="506" t="n"/>
      <c r="H265" s="506" t="n"/>
      <c r="I265" s="506" t="n"/>
      <c r="J265" s="506" t="n"/>
      <c r="K265" s="506" t="n"/>
      <c r="L265" s="506" t="n"/>
      <c r="M265" s="506" t="n"/>
    </row>
    <row r="266" hidden="1">
      <c r="A266" t="inlineStr">
        <is>
          <t>Formula input: debt_repayment</t>
        </is>
      </c>
      <c r="B266" s="506" t="n"/>
      <c r="C266" s="506" t="n"/>
      <c r="D266" s="506" t="n"/>
      <c r="E266" s="506" t="n"/>
      <c r="F266" s="506" t="n"/>
      <c r="G266" s="506" t="n"/>
      <c r="H266" s="506" t="n"/>
      <c r="I266" s="506" t="n"/>
      <c r="J266" s="506" t="n"/>
      <c r="K266" s="506" t="n"/>
      <c r="L266" s="506" t="n"/>
      <c r="M266" s="506" t="n"/>
    </row>
    <row r="267" hidden="1">
      <c r="A267" t="inlineStr">
        <is>
          <t>Formula input: debt_issuance</t>
        </is>
      </c>
      <c r="B267" s="506" t="n"/>
      <c r="C267" s="506" t="n"/>
      <c r="D267" s="506" t="n"/>
      <c r="E267" s="506" t="n"/>
      <c r="F267" s="506" t="n"/>
      <c r="G267" s="506" t="n"/>
      <c r="H267" s="506" t="n"/>
      <c r="I267" s="506" t="n"/>
      <c r="J267" s="506" t="n"/>
      <c r="K267" s="506" t="n"/>
      <c r="L267" s="506" t="n"/>
      <c r="M267" s="506" t="n"/>
    </row>
    <row r="268" hidden="1">
      <c r="A268" t="inlineStr">
        <is>
          <t>Formula input: total_equity</t>
        </is>
      </c>
      <c r="B268" s="506" t="n"/>
      <c r="C268" s="506" t="n"/>
      <c r="D268" s="506" t="n"/>
      <c r="E268" s="506" t="n"/>
      <c r="F268" s="506" t="n"/>
      <c r="G268" s="506" t="n"/>
      <c r="H268" s="506" t="n"/>
      <c r="I268" s="506" t="n"/>
      <c r="J268" s="506" t="n"/>
      <c r="K268" s="506" t="n"/>
      <c r="L268" s="506" t="n"/>
      <c r="M268" s="506" t="n"/>
    </row>
    <row r="269" hidden="1">
      <c r="A269" t="inlineStr">
        <is>
          <t>Formula input: goodwill</t>
        </is>
      </c>
      <c r="B269" s="506" t="n"/>
      <c r="C269" s="506" t="n"/>
      <c r="D269" s="506" t="n"/>
      <c r="E269" s="506" t="n"/>
      <c r="F269" s="506" t="n"/>
      <c r="G269" s="506" t="n"/>
      <c r="H269" s="506" t="n"/>
      <c r="I269" s="506" t="n"/>
      <c r="J269" s="506" t="n"/>
      <c r="K269" s="506" t="n"/>
      <c r="L269" s="506" t="n"/>
      <c r="M269" s="506" t="n"/>
    </row>
    <row r="270" hidden="1">
      <c r="A270" t="inlineStr">
        <is>
          <t>Formula input: intangibles</t>
        </is>
      </c>
      <c r="B270" s="506" t="n"/>
      <c r="C270" s="506" t="n"/>
      <c r="D270" s="506" t="n"/>
      <c r="E270" s="506" t="n"/>
      <c r="F270" s="506" t="n"/>
      <c r="G270" s="506" t="n"/>
      <c r="H270" s="506" t="n"/>
      <c r="I270" s="506" t="n"/>
      <c r="J270" s="506" t="n"/>
      <c r="K270" s="506" t="n"/>
      <c r="L270" s="506" t="n"/>
      <c r="M270" s="506" t="n"/>
    </row>
    <row r="271" hidden="1">
      <c r="A271" t="inlineStr">
        <is>
          <t>Formula output: operating_cash_flow_ttm</t>
        </is>
      </c>
      <c r="B271" s="50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0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0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0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0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0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0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0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0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0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0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0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395">
    <mergeCell ref="O49:T49"/>
    <mergeCell ref="C183:H183"/>
    <mergeCell ref="S25:Z25"/>
    <mergeCell ref="B139:E139"/>
    <mergeCell ref="O207:S207"/>
    <mergeCell ref="X55:AC55"/>
    <mergeCell ref="O50:T50"/>
    <mergeCell ref="X73:AC73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X63:AC63"/>
    <mergeCell ref="F203:J203"/>
    <mergeCell ref="O16:P1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F212:J212"/>
    <mergeCell ref="O33:P33"/>
    <mergeCell ref="U56:W56"/>
    <mergeCell ref="X74:AC74"/>
    <mergeCell ref="X68:AC68"/>
    <mergeCell ref="F214:J214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G225:L225"/>
    <mergeCell ref="O64:T64"/>
    <mergeCell ref="O35:P35"/>
    <mergeCell ref="U64:W64"/>
    <mergeCell ref="O193:S193"/>
    <mergeCell ref="A51:M51"/>
    <mergeCell ref="R46:T46"/>
    <mergeCell ref="U51:W51"/>
    <mergeCell ref="O72:T72"/>
    <mergeCell ref="AA8:AC8"/>
    <mergeCell ref="G123:H1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U61:W61"/>
    <mergeCell ref="O13:P13"/>
    <mergeCell ref="O15:P15"/>
    <mergeCell ref="B193:C193"/>
    <mergeCell ref="R45:T45"/>
    <mergeCell ref="B192:S192"/>
    <mergeCell ref="O25:P25"/>
    <mergeCell ref="U38:Z38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AA33:AC33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O42:Q42"/>
    <mergeCell ref="U52:W52"/>
    <mergeCell ref="X75:AC75"/>
    <mergeCell ref="R43:T43"/>
    <mergeCell ref="O60:T60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6"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4" showDropDown="0" showInputMessage="0" showErrorMessage="1" allowBlank="1" errorTitle="Invalid scenario input" error="Enter a value compatible with the declared scenario contract." type="custom" errorStyle="stop">
      <formula1>=OR(D214="",ISNUMBER(D214))</formula1>
    </dataValidation>
    <dataValidation sqref="D215" showDropDown="0" showInputMessage="0" showErrorMessage="1" allowBlank="1" errorTitle="Invalid scenario input" error="Enter a value compatible with the declared scenario contract." type="custom" errorStyle="stop">
      <formula1>=OR(D215="",ISNUMBER(D215))</formula1>
    </dataValidation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D247" showDropDown="0" showInputMessage="0" showErrorMessage="1" allowBlank="1" errorTitle="Invalid scenario input" error="Enter a value compatible with the declared scenario contract." type="custom" errorStyle="stop">
      <formula1>=OR(D247="",ISNUMBER(D247))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D248" showDropDown="0" showInputMessage="0" showErrorMessage="1" allowBlank="1" errorTitle="Invalid scenario input" error="Enter a value compatible with the declared scenario contract." type="custom" errorStyle="stop">
      <formula1>=OR(D248="",ISNUMBER(D248))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249:D250" showDropDown="0" showInputMessage="0" showErrorMessage="1" allowBlank="1" errorTitle="Invalid scenario input" error="Enter a value compatible with the declared scenario contract." type="custom" errorStyle="stop">
      <formula1>=OR(D249="",ISNUMBER(D249))</formula1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09" t="n"/>
      <c r="C9" s="509" t="n"/>
      <c r="D9" s="509" t="n"/>
      <c r="E9" s="509" t="n"/>
      <c r="F9" s="509" t="n"/>
      <c r="G9" s="509" t="n"/>
      <c r="H9" s="509" t="n"/>
      <c r="I9" s="509" t="n"/>
      <c r="J9" s="509" t="n"/>
      <c r="K9" s="509" t="n"/>
      <c r="L9" s="509" t="n"/>
      <c r="M9" s="509" t="n"/>
    </row>
    <row r="10" ht="18" customHeight="1">
      <c r="A10" s="179" t="inlineStr">
        <is>
          <t>Restricted cash</t>
        </is>
      </c>
      <c r="B10" s="509" t="n"/>
      <c r="C10" s="509" t="n"/>
      <c r="D10" s="509" t="n"/>
      <c r="E10" s="509" t="n"/>
      <c r="F10" s="509" t="n"/>
      <c r="G10" s="509" t="n"/>
      <c r="H10" s="509" t="n"/>
      <c r="I10" s="509" t="n"/>
      <c r="J10" s="509" t="n"/>
      <c r="K10" s="509" t="n"/>
      <c r="L10" s="509" t="n"/>
      <c r="M10" s="509" t="n"/>
    </row>
    <row r="11" ht="18" customHeight="1">
      <c r="A11" s="179" t="inlineStr">
        <is>
          <t>Total cash + restricted cash</t>
        </is>
      </c>
      <c r="B11" s="510">
        <f>IF(OR(B9="",B10=""),"",B9+B10)</f>
        <v/>
      </c>
      <c r="C11" s="510">
        <f>IF(OR(C9="",C10=""),"",C9+C10)</f>
        <v/>
      </c>
      <c r="D11" s="510">
        <f>IF(OR(D9="",D10=""),"",D9+D10)</f>
        <v/>
      </c>
      <c r="E11" s="510">
        <f>IF(OR(E9="",E10=""),"",E9+E10)</f>
        <v/>
      </c>
      <c r="F11" s="510">
        <f>IF(OR(F9="",F10=""),"",F9+F10)</f>
        <v/>
      </c>
      <c r="G11" s="510">
        <f>IF(OR(G9="",G10=""),"",G9+G10)</f>
        <v/>
      </c>
      <c r="H11" s="510">
        <f>IF(OR(H9="",H10=""),"",H9+H10)</f>
        <v/>
      </c>
      <c r="I11" s="510">
        <f>IF(OR(I9="",I10=""),"",I9+I10)</f>
        <v/>
      </c>
      <c r="J11" s="510">
        <f>IF(OR(J9="",J10=""),"",J9+J10)</f>
        <v/>
      </c>
      <c r="K11" s="510">
        <f>IF(OR(K9="",K10=""),"",K9+K10)</f>
        <v/>
      </c>
      <c r="L11" s="510">
        <f>IF(OR(L9="",L10=""),"",L9+L10)</f>
        <v/>
      </c>
      <c r="M11" s="510">
        <f>IF(OR(M9="",M10=""),"",M9+M10)</f>
        <v/>
      </c>
    </row>
    <row r="12" ht="18" customHeight="1">
      <c r="A12" s="179" t="inlineStr">
        <is>
          <t>Δ Cash QoQ ($m)</t>
        </is>
      </c>
      <c r="B12" s="510">
        <f>""</f>
        <v/>
      </c>
      <c r="C12" s="510">
        <f>IF(OR(C9="",B9=""),"",C9-B9)</f>
        <v/>
      </c>
      <c r="D12" s="510">
        <f>IF(OR(D9="",C9=""),"",D9-C9)</f>
        <v/>
      </c>
      <c r="E12" s="510">
        <f>IF(OR(E9="",D9=""),"",E9-D9)</f>
        <v/>
      </c>
      <c r="F12" s="510">
        <f>IF(OR(F9="",E9=""),"",F9-E9)</f>
        <v/>
      </c>
      <c r="G12" s="510">
        <f>IF(OR(G9="",F9=""),"",G9-F9)</f>
        <v/>
      </c>
      <c r="H12" s="510">
        <f>IF(OR(H9="",G9=""),"",H9-G9)</f>
        <v/>
      </c>
      <c r="I12" s="510">
        <f>IF(OR(I9="",H9=""),"",I9-H9)</f>
        <v/>
      </c>
      <c r="J12" s="510">
        <f>IF(OR(J9="",I9=""),"",J9-I9)</f>
        <v/>
      </c>
      <c r="K12" s="510">
        <f>IF(OR(K9="",J9=""),"",K9-J9)</f>
        <v/>
      </c>
      <c r="L12" s="510">
        <f>IF(OR(L9="",K9=""),"",L9-K9)</f>
        <v/>
      </c>
      <c r="M12" s="510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09" t="n"/>
      <c r="C13" s="509" t="n"/>
      <c r="D13" s="509" t="n"/>
      <c r="E13" s="509" t="n"/>
      <c r="F13" s="509" t="n"/>
      <c r="G13" s="509" t="n"/>
      <c r="H13" s="509" t="n"/>
      <c r="I13" s="509" t="n"/>
      <c r="J13" s="509" t="n"/>
      <c r="K13" s="509" t="n"/>
      <c r="L13" s="509" t="n"/>
      <c r="M13" s="509" t="n"/>
    </row>
    <row r="14" ht="18" customHeight="1">
      <c r="A14" s="179" t="inlineStr">
        <is>
          <t>Accounts receivable (net)</t>
        </is>
      </c>
      <c r="B14" s="509" t="n"/>
      <c r="C14" s="509" t="n"/>
      <c r="D14" s="509" t="n"/>
      <c r="E14" s="509" t="n"/>
      <c r="F14" s="509" t="n"/>
      <c r="G14" s="509" t="n"/>
      <c r="H14" s="509" t="n"/>
      <c r="I14" s="509" t="n"/>
      <c r="J14" s="509" t="n"/>
      <c r="K14" s="509" t="n"/>
      <c r="L14" s="509" t="n"/>
      <c r="M14" s="509" t="n"/>
    </row>
    <row r="15" ht="18" customHeight="1">
      <c r="A15" s="179" t="inlineStr">
        <is>
          <t>Inventory</t>
        </is>
      </c>
      <c r="B15" s="509" t="n"/>
      <c r="C15" s="509" t="n"/>
      <c r="D15" s="509" t="n"/>
      <c r="E15" s="509" t="n"/>
      <c r="F15" s="509" t="n"/>
      <c r="G15" s="509" t="n"/>
      <c r="H15" s="509" t="n"/>
      <c r="I15" s="509" t="n"/>
      <c r="J15" s="509" t="n"/>
      <c r="K15" s="509" t="n"/>
      <c r="L15" s="509" t="n"/>
      <c r="M15" s="509" t="n"/>
    </row>
    <row r="16" ht="18" customHeight="1">
      <c r="A16" s="179" t="inlineStr">
        <is>
          <t>Derivative financial instruments (asset)</t>
        </is>
      </c>
      <c r="B16" s="509" t="n"/>
      <c r="C16" s="509" t="n"/>
      <c r="D16" s="509" t="n"/>
      <c r="E16" s="509" t="n"/>
      <c r="F16" s="509" t="n"/>
      <c r="G16" s="509" t="n"/>
      <c r="H16" s="509" t="n"/>
      <c r="I16" s="509" t="n"/>
      <c r="J16" s="509" t="n"/>
      <c r="K16" s="509" t="n"/>
      <c r="L16" s="509" t="n"/>
      <c r="M16" s="509" t="n"/>
    </row>
    <row r="17" ht="18" customHeight="1">
      <c r="A17" s="179" t="inlineStr">
        <is>
          <t>Prepaid &amp; other current assets</t>
        </is>
      </c>
      <c r="B17" s="509" t="n"/>
      <c r="C17" s="509" t="n"/>
      <c r="D17" s="509" t="n"/>
      <c r="E17" s="509" t="n"/>
      <c r="F17" s="509" t="n"/>
      <c r="G17" s="509" t="n"/>
      <c r="H17" s="509" t="n"/>
      <c r="I17" s="509" t="n"/>
      <c r="J17" s="509" t="n"/>
      <c r="K17" s="509" t="n"/>
      <c r="L17" s="509" t="n"/>
      <c r="M17" s="509" t="n"/>
    </row>
    <row r="18" ht="18" customHeight="1">
      <c r="A18" s="179" t="inlineStr">
        <is>
          <t>Total current assets</t>
        </is>
      </c>
      <c r="B18" s="509" t="n"/>
      <c r="C18" s="509" t="n"/>
      <c r="D18" s="509" t="n"/>
      <c r="E18" s="509" t="n"/>
      <c r="F18" s="509" t="n"/>
      <c r="G18" s="509" t="n"/>
      <c r="H18" s="509" t="n"/>
      <c r="I18" s="509" t="n"/>
      <c r="J18" s="509" t="n"/>
      <c r="K18" s="509" t="n"/>
      <c r="L18" s="509" t="n"/>
      <c r="M18" s="509" t="n"/>
    </row>
    <row r="19" ht="18" customHeight="1">
      <c r="A19" s="179" t="inlineStr">
        <is>
          <t>Property, plant &amp; equipment (net)</t>
        </is>
      </c>
      <c r="B19" s="509" t="n"/>
      <c r="C19" s="509" t="n"/>
      <c r="D19" s="509" t="n"/>
      <c r="E19" s="509" t="n"/>
      <c r="F19" s="509" t="n"/>
      <c r="G19" s="509" t="n"/>
      <c r="H19" s="509" t="n"/>
      <c r="I19" s="509" t="n"/>
      <c r="J19" s="509" t="n"/>
      <c r="K19" s="509" t="n"/>
      <c r="L19" s="509" t="n"/>
      <c r="M19" s="509" t="n"/>
    </row>
    <row r="20" ht="18" customHeight="1">
      <c r="A20" s="179" t="inlineStr">
        <is>
          <t>Operating lease right-of-use assets</t>
        </is>
      </c>
      <c r="B20" s="509" t="n"/>
      <c r="C20" s="509" t="n"/>
      <c r="D20" s="509" t="n"/>
      <c r="E20" s="509" t="n"/>
      <c r="F20" s="509" t="n"/>
      <c r="G20" s="509" t="n"/>
      <c r="H20" s="509" t="n"/>
      <c r="I20" s="509" t="n"/>
      <c r="J20" s="509" t="n"/>
      <c r="K20" s="509" t="n"/>
      <c r="L20" s="509" t="n"/>
      <c r="M20" s="509" t="n"/>
    </row>
    <row r="21" ht="18" customHeight="1">
      <c r="A21" s="179" t="inlineStr">
        <is>
          <t>Deferred income taxes, net</t>
        </is>
      </c>
      <c r="B21" s="509" t="n"/>
      <c r="C21" s="509" t="n"/>
      <c r="D21" s="509" t="n"/>
      <c r="E21" s="509" t="n"/>
      <c r="F21" s="509" t="n"/>
      <c r="G21" s="509" t="n"/>
      <c r="H21" s="509" t="n"/>
      <c r="I21" s="509" t="n"/>
      <c r="J21" s="509" t="n"/>
      <c r="K21" s="509" t="n"/>
      <c r="L21" s="509" t="n"/>
      <c r="M21" s="509" t="n"/>
    </row>
    <row r="22" ht="18" customHeight="1">
      <c r="A22" s="179" t="inlineStr">
        <is>
          <t>Goodwill</t>
        </is>
      </c>
      <c r="B22" s="509" t="n"/>
      <c r="C22" s="509" t="n"/>
      <c r="D22" s="509" t="n"/>
      <c r="E22" s="509" t="n"/>
      <c r="F22" s="509" t="n"/>
      <c r="G22" s="509" t="n"/>
      <c r="H22" s="509" t="n"/>
      <c r="I22" s="509" t="n"/>
      <c r="J22" s="509" t="n"/>
      <c r="K22" s="509" t="n"/>
      <c r="L22" s="509" t="n"/>
      <c r="M22" s="509" t="n"/>
    </row>
    <row r="23" ht="18" customHeight="1">
      <c r="A23" s="179" t="inlineStr">
        <is>
          <t>Intangibles (net)</t>
        </is>
      </c>
      <c r="B23" s="509" t="n"/>
      <c r="C23" s="509" t="n"/>
      <c r="D23" s="509" t="n"/>
      <c r="E23" s="509" t="n"/>
      <c r="F23" s="509" t="n"/>
      <c r="G23" s="509" t="n"/>
      <c r="H23" s="509" t="n"/>
      <c r="I23" s="509" t="n"/>
      <c r="J23" s="509" t="n"/>
      <c r="K23" s="509" t="n"/>
      <c r="L23" s="509" t="n"/>
      <c r="M23" s="509" t="n"/>
    </row>
    <row r="24" ht="18" customHeight="1">
      <c r="A24" s="179" t="inlineStr">
        <is>
          <t>Other long-term assets</t>
        </is>
      </c>
      <c r="B24" s="509" t="n"/>
      <c r="C24" s="509" t="n"/>
      <c r="D24" s="509" t="n"/>
      <c r="E24" s="509" t="n"/>
      <c r="F24" s="509" t="n"/>
      <c r="G24" s="509" t="n"/>
      <c r="H24" s="509" t="n"/>
      <c r="I24" s="509" t="n"/>
      <c r="J24" s="509" t="n"/>
      <c r="K24" s="509" t="n"/>
      <c r="L24" s="509" t="n"/>
      <c r="M24" s="509" t="n"/>
    </row>
    <row r="25" ht="18" customHeight="1">
      <c r="A25" s="179" t="inlineStr">
        <is>
          <t>Total assets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</row>
    <row r="26" ht="18" customHeight="1">
      <c r="A26" s="179" t="inlineStr">
        <is>
          <t>Goodwill % of assets</t>
        </is>
      </c>
      <c r="B26" s="511">
        <f>IF(OR(B22="",B25="",B25=0),"",B22/B25)</f>
        <v/>
      </c>
      <c r="C26" s="511">
        <f>IF(OR(C22="",C25="",C25=0),"",C22/C25)</f>
        <v/>
      </c>
      <c r="D26" s="511">
        <f>IF(OR(D22="",D25="",D25=0),"",D22/D25)</f>
        <v/>
      </c>
      <c r="E26" s="511">
        <f>IF(OR(E22="",E25="",E25=0),"",E22/E25)</f>
        <v/>
      </c>
      <c r="F26" s="511">
        <f>IF(OR(F22="",F25="",F25=0),"",F22/F25)</f>
        <v/>
      </c>
      <c r="G26" s="511">
        <f>IF(OR(G22="",G25="",G25=0),"",G22/G25)</f>
        <v/>
      </c>
      <c r="H26" s="511">
        <f>IF(OR(H22="",H25="",H25=0),"",H22/H25)</f>
        <v/>
      </c>
      <c r="I26" s="511">
        <f>IF(OR(I22="",I25="",I25=0),"",I22/I25)</f>
        <v/>
      </c>
      <c r="J26" s="511">
        <f>IF(OR(J22="",J25="",J25=0),"",J22/J25)</f>
        <v/>
      </c>
      <c r="K26" s="511">
        <f>IF(OR(K22="",K25="",K25=0),"",K22/K25)</f>
        <v/>
      </c>
      <c r="L26" s="511">
        <f>IF(OR(L22="",L25="",L25=0),"",L22/L25)</f>
        <v/>
      </c>
      <c r="M26" s="511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09" t="n"/>
      <c r="C28" s="509" t="n"/>
      <c r="D28" s="509" t="n"/>
      <c r="E28" s="509" t="n"/>
      <c r="F28" s="509" t="n"/>
      <c r="G28" s="509" t="n"/>
      <c r="H28" s="509" t="n"/>
      <c r="I28" s="509" t="n"/>
      <c r="J28" s="509" t="n"/>
      <c r="K28" s="509" t="n"/>
      <c r="L28" s="509" t="n"/>
      <c r="M28" s="509" t="n"/>
    </row>
    <row r="29" ht="18" customHeight="1">
      <c r="A29" s="179" t="inlineStr">
        <is>
          <t>Accrued liabilities</t>
        </is>
      </c>
      <c r="B29" s="509" t="n"/>
      <c r="C29" s="509" t="n"/>
      <c r="D29" s="509" t="n"/>
      <c r="E29" s="509" t="n"/>
      <c r="F29" s="509" t="n"/>
      <c r="G29" s="509" t="n"/>
      <c r="H29" s="509" t="n"/>
      <c r="I29" s="509" t="n"/>
      <c r="J29" s="509" t="n"/>
      <c r="K29" s="509" t="n"/>
      <c r="L29" s="509" t="n"/>
      <c r="M29" s="509" t="n"/>
    </row>
    <row r="30" ht="18" customHeight="1">
      <c r="A30" s="179" t="inlineStr">
        <is>
          <t>Deferred revenue / customer deposits</t>
        </is>
      </c>
      <c r="B30" s="509" t="n"/>
      <c r="C30" s="509" t="n"/>
      <c r="D30" s="509" t="n"/>
      <c r="E30" s="509" t="n"/>
      <c r="F30" s="509" t="n"/>
      <c r="G30" s="509" t="n"/>
      <c r="H30" s="509" t="n"/>
      <c r="I30" s="509" t="n"/>
      <c r="J30" s="509" t="n"/>
      <c r="K30" s="509" t="n"/>
      <c r="L30" s="509" t="n"/>
      <c r="M30" s="509" t="n"/>
    </row>
    <row r="31" ht="18" customHeight="1">
      <c r="A31" s="179" t="inlineStr">
        <is>
          <t>Derivative financial instruments (liability)</t>
        </is>
      </c>
      <c r="B31" s="509" t="n"/>
      <c r="C31" s="509" t="n"/>
      <c r="D31" s="509" t="n"/>
      <c r="E31" s="509" t="n"/>
      <c r="F31" s="509" t="n"/>
      <c r="G31" s="509" t="n"/>
      <c r="H31" s="509" t="n"/>
      <c r="I31" s="509" t="n"/>
      <c r="J31" s="509" t="n"/>
      <c r="K31" s="509" t="n"/>
      <c r="L31" s="509" t="n"/>
      <c r="M31" s="509" t="n"/>
    </row>
    <row r="32" ht="18" customHeight="1">
      <c r="A32" s="179" t="inlineStr">
        <is>
          <t>Short-term borrowings</t>
        </is>
      </c>
      <c r="B32" s="509" t="n"/>
      <c r="C32" s="509" t="n"/>
      <c r="D32" s="509" t="n"/>
      <c r="E32" s="509" t="n"/>
      <c r="F32" s="509" t="n"/>
      <c r="G32" s="509" t="n"/>
      <c r="H32" s="509" t="n"/>
      <c r="I32" s="509" t="n"/>
      <c r="J32" s="509" t="n"/>
      <c r="K32" s="509" t="n"/>
      <c r="L32" s="509" t="n"/>
      <c r="M32" s="509" t="n"/>
    </row>
    <row r="33" ht="18" customHeight="1">
      <c r="A33" s="179" t="inlineStr">
        <is>
          <t>Current maturities of long-term debt</t>
        </is>
      </c>
      <c r="B33" s="509" t="n"/>
      <c r="C33" s="509" t="n"/>
      <c r="D33" s="509" t="n"/>
      <c r="E33" s="509" t="n"/>
      <c r="F33" s="509" t="n"/>
      <c r="G33" s="509" t="n"/>
      <c r="H33" s="509" t="n"/>
      <c r="I33" s="509" t="n"/>
      <c r="J33" s="509" t="n"/>
      <c r="K33" s="509" t="n"/>
      <c r="L33" s="509" t="n"/>
      <c r="M33" s="509" t="n"/>
    </row>
    <row r="34" ht="18" customHeight="1">
      <c r="A34" s="179" t="inlineStr">
        <is>
          <t>Operating lease current liabilities</t>
        </is>
      </c>
      <c r="B34" s="509" t="n"/>
      <c r="C34" s="509" t="n"/>
      <c r="D34" s="509" t="n"/>
      <c r="E34" s="509" t="n"/>
      <c r="F34" s="509" t="n"/>
      <c r="G34" s="509" t="n"/>
      <c r="H34" s="509" t="n"/>
      <c r="I34" s="509" t="n"/>
      <c r="J34" s="509" t="n"/>
      <c r="K34" s="509" t="n"/>
      <c r="L34" s="509" t="n"/>
      <c r="M34" s="509" t="n"/>
    </row>
    <row r="35" ht="18" customHeight="1">
      <c r="A35" s="179" t="inlineStr">
        <is>
          <t>Total current liabilities</t>
        </is>
      </c>
      <c r="B35" s="509" t="n"/>
      <c r="C35" s="509" t="n"/>
      <c r="D35" s="509" t="n"/>
      <c r="E35" s="509" t="n"/>
      <c r="F35" s="509" t="n"/>
      <c r="G35" s="509" t="n"/>
      <c r="H35" s="509" t="n"/>
      <c r="I35" s="509" t="n"/>
      <c r="J35" s="509" t="n"/>
      <c r="K35" s="509" t="n"/>
      <c r="L35" s="509" t="n"/>
      <c r="M35" s="509" t="n"/>
    </row>
    <row r="36" ht="18" customHeight="1">
      <c r="A36" s="179" t="inlineStr">
        <is>
          <t>Net working capital</t>
        </is>
      </c>
      <c r="B36" s="510">
        <f>IF(OR(B18="",B35=""),"",B18-B35)</f>
        <v/>
      </c>
      <c r="C36" s="510">
        <f>IF(OR(C18="",C35=""),"",C18-C35)</f>
        <v/>
      </c>
      <c r="D36" s="510">
        <f>IF(OR(D18="",D35=""),"",D18-D35)</f>
        <v/>
      </c>
      <c r="E36" s="510">
        <f>IF(OR(E18="",E35=""),"",E18-E35)</f>
        <v/>
      </c>
      <c r="F36" s="510">
        <f>IF(OR(F18="",F35=""),"",F18-F35)</f>
        <v/>
      </c>
      <c r="G36" s="510">
        <f>IF(OR(G18="",G35=""),"",G18-G35)</f>
        <v/>
      </c>
      <c r="H36" s="510">
        <f>IF(OR(H18="",H35=""),"",H18-H35)</f>
        <v/>
      </c>
      <c r="I36" s="510">
        <f>IF(OR(I18="",I35=""),"",I18-I35)</f>
        <v/>
      </c>
      <c r="J36" s="510">
        <f>IF(OR(J18="",J35=""),"",J18-J35)</f>
        <v/>
      </c>
      <c r="K36" s="510">
        <f>IF(OR(K18="",K35=""),"",K18-K35)</f>
        <v/>
      </c>
      <c r="L36" s="510">
        <f>IF(OR(L18="",L35=""),"",L18-L35)</f>
        <v/>
      </c>
      <c r="M36" s="510">
        <f>IF(OR(M18="",M35=""),"",M18-M35)</f>
        <v/>
      </c>
    </row>
    <row r="37" ht="18" customHeight="1">
      <c r="A37" s="179" t="inlineStr">
        <is>
          <t>Δ NWC QoQ</t>
        </is>
      </c>
      <c r="B37" s="510">
        <f>""</f>
        <v/>
      </c>
      <c r="C37" s="510">
        <f>IF(OR(C36="",B36=""),"",C36-B36)</f>
        <v/>
      </c>
      <c r="D37" s="510">
        <f>IF(OR(D36="",C36=""),"",D36-C36)</f>
        <v/>
      </c>
      <c r="E37" s="510">
        <f>IF(OR(E36="",D36=""),"",E36-D36)</f>
        <v/>
      </c>
      <c r="F37" s="510">
        <f>IF(OR(F36="",E36=""),"",F36-E36)</f>
        <v/>
      </c>
      <c r="G37" s="510">
        <f>IF(OR(G36="",F36=""),"",G36-F36)</f>
        <v/>
      </c>
      <c r="H37" s="510">
        <f>IF(OR(H36="",G36=""),"",H36-G36)</f>
        <v/>
      </c>
      <c r="I37" s="510">
        <f>IF(OR(I36="",H36=""),"",I36-H36)</f>
        <v/>
      </c>
      <c r="J37" s="510">
        <f>IF(OR(J36="",I36=""),"",J36-I36)</f>
        <v/>
      </c>
      <c r="K37" s="510">
        <f>IF(OR(K36="",J36=""),"",K36-J36)</f>
        <v/>
      </c>
      <c r="L37" s="510">
        <f>IF(OR(L36="",K36=""),"",L36-K36)</f>
        <v/>
      </c>
      <c r="M37" s="510">
        <f>IF(OR(M36="",L36=""),"",M36-L36)</f>
        <v/>
      </c>
    </row>
    <row r="38" ht="18" customHeight="1">
      <c r="A38" s="179" t="inlineStr">
        <is>
          <t>Current ratio</t>
        </is>
      </c>
      <c r="B38" s="511">
        <f>IF(OR(B18="",B35="",B35=0),"",B18/B35)</f>
        <v/>
      </c>
      <c r="C38" s="511">
        <f>IF(OR(C18="",C35="",C35=0),"",C18/C35)</f>
        <v/>
      </c>
      <c r="D38" s="511">
        <f>IF(OR(D18="",D35="",D35=0),"",D18/D35)</f>
        <v/>
      </c>
      <c r="E38" s="511">
        <f>IF(OR(E18="",E35="",E35=0),"",E18/E35)</f>
        <v/>
      </c>
      <c r="F38" s="511">
        <f>IF(OR(F18="",F35="",F35=0),"",F18/F35)</f>
        <v/>
      </c>
      <c r="G38" s="511">
        <f>IF(OR(G18="",G35="",G35=0),"",G18/G35)</f>
        <v/>
      </c>
      <c r="H38" s="511">
        <f>IF(OR(H18="",H35="",H35=0),"",H18/H35)</f>
        <v/>
      </c>
      <c r="I38" s="511">
        <f>IF(OR(I18="",I35="",I35=0),"",I18/I35)</f>
        <v/>
      </c>
      <c r="J38" s="511">
        <f>IF(OR(J18="",J35="",J35=0),"",J18/J35)</f>
        <v/>
      </c>
      <c r="K38" s="511">
        <f>IF(OR(K18="",K35="",K35=0),"",K18/K35)</f>
        <v/>
      </c>
      <c r="L38" s="511">
        <f>IF(OR(L18="",L35="",L35=0),"",L18/L35)</f>
        <v/>
      </c>
      <c r="M38" s="511">
        <f>IF(OR(M18="",M35="",M35=0),"",M18/M35)</f>
        <v/>
      </c>
    </row>
    <row r="39" ht="18" customHeight="1">
      <c r="A39" s="179" t="inlineStr">
        <is>
          <t>Quick ratio</t>
        </is>
      </c>
      <c r="B39" s="511">
        <f>IF(OR(B18="",B15="",B35="",B35=0),"",(B18-B15)/B35)</f>
        <v/>
      </c>
      <c r="C39" s="511">
        <f>IF(OR(C18="",C15="",C35="",C35=0),"",(C18-C15)/C35)</f>
        <v/>
      </c>
      <c r="D39" s="511">
        <f>IF(OR(D18="",D15="",D35="",D35=0),"",(D18-D15)/D35)</f>
        <v/>
      </c>
      <c r="E39" s="511">
        <f>IF(OR(E18="",E15="",E35="",E35=0),"",(E18-E15)/E35)</f>
        <v/>
      </c>
      <c r="F39" s="511">
        <f>IF(OR(F18="",F15="",F35="",F35=0),"",(F18-F15)/F35)</f>
        <v/>
      </c>
      <c r="G39" s="511">
        <f>IF(OR(G18="",G15="",G35="",G35=0),"",(G18-G15)/G35)</f>
        <v/>
      </c>
      <c r="H39" s="511">
        <f>IF(OR(H18="",H15="",H35="",H35=0),"",(H18-H15)/H35)</f>
        <v/>
      </c>
      <c r="I39" s="511">
        <f>IF(OR(I18="",I15="",I35="",I35=0),"",(I18-I15)/I35)</f>
        <v/>
      </c>
      <c r="J39" s="511">
        <f>IF(OR(J18="",J15="",J35="",J35=0),"",(J18-J15)/J35)</f>
        <v/>
      </c>
      <c r="K39" s="511">
        <f>IF(OR(K18="",K15="",K35="",K35=0),"",(K18-K15)/K35)</f>
        <v/>
      </c>
      <c r="L39" s="511">
        <f>IF(OR(L18="",L15="",L35="",L35=0),"",(L18-L15)/L35)</f>
        <v/>
      </c>
      <c r="M39" s="511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09" t="n"/>
      <c r="C40" s="509" t="n"/>
      <c r="D40" s="509" t="n"/>
      <c r="E40" s="509" t="n"/>
      <c r="F40" s="509" t="n"/>
      <c r="G40" s="509" t="n"/>
      <c r="H40" s="509" t="n"/>
      <c r="I40" s="509" t="n"/>
      <c r="J40" s="509" t="n"/>
      <c r="K40" s="509" t="n"/>
      <c r="L40" s="509" t="n"/>
      <c r="M40" s="509" t="n"/>
    </row>
    <row r="41" ht="18" customHeight="1">
      <c r="A41" s="179" t="inlineStr">
        <is>
          <t>Δ Total debt QoQ ($m)</t>
        </is>
      </c>
      <c r="B41" s="510">
        <f>""</f>
        <v/>
      </c>
      <c r="C41" s="510">
        <f>IF(OR(C40="",B40=""),"",C40-B40)</f>
        <v/>
      </c>
      <c r="D41" s="510">
        <f>IF(OR(D40="",C40=""),"",D40-C40)</f>
        <v/>
      </c>
      <c r="E41" s="510">
        <f>IF(OR(E40="",D40=""),"",E40-D40)</f>
        <v/>
      </c>
      <c r="F41" s="510">
        <f>IF(OR(F40="",E40=""),"",F40-E40)</f>
        <v/>
      </c>
      <c r="G41" s="510">
        <f>IF(OR(G40="",F40=""),"",G40-F40)</f>
        <v/>
      </c>
      <c r="H41" s="510">
        <f>IF(OR(H40="",G40=""),"",H40-G40)</f>
        <v/>
      </c>
      <c r="I41" s="510">
        <f>IF(OR(I40="",H40=""),"",I40-H40)</f>
        <v/>
      </c>
      <c r="J41" s="510">
        <f>IF(OR(J40="",I40=""),"",J40-I40)</f>
        <v/>
      </c>
      <c r="K41" s="510">
        <f>IF(OR(K40="",J40=""),"",K40-J40)</f>
        <v/>
      </c>
      <c r="L41" s="510">
        <f>IF(OR(L40="",K40=""),"",L40-K40)</f>
        <v/>
      </c>
      <c r="M41" s="510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09" t="n"/>
      <c r="C42" s="509" t="n"/>
      <c r="D42" s="509" t="n"/>
      <c r="E42" s="509" t="n"/>
      <c r="F42" s="509" t="n"/>
      <c r="G42" s="509" t="n"/>
      <c r="H42" s="509" t="n"/>
      <c r="I42" s="509" t="n"/>
      <c r="J42" s="509" t="n"/>
      <c r="K42" s="509" t="n"/>
      <c r="L42" s="509" t="n"/>
      <c r="M42" s="509" t="n"/>
    </row>
    <row r="43" ht="18" customHeight="1">
      <c r="A43" s="179" t="inlineStr">
        <is>
          <t>Pension / OPEB obligation (net)</t>
        </is>
      </c>
      <c r="B43" s="509" t="n"/>
      <c r="C43" s="509" t="n"/>
      <c r="D43" s="509" t="n"/>
      <c r="E43" s="509" t="n"/>
      <c r="F43" s="509" t="n"/>
      <c r="G43" s="509" t="n"/>
      <c r="H43" s="509" t="n"/>
      <c r="I43" s="509" t="n"/>
      <c r="J43" s="509" t="n"/>
      <c r="K43" s="509" t="n"/>
      <c r="L43" s="509" t="n"/>
      <c r="M43" s="509" t="n"/>
    </row>
    <row r="44" ht="18" customHeight="1">
      <c r="A44" s="179" t="inlineStr">
        <is>
          <t>Other long-term liabilities</t>
        </is>
      </c>
      <c r="B44" s="509" t="n"/>
      <c r="C44" s="509" t="n"/>
      <c r="D44" s="509" t="n"/>
      <c r="E44" s="509" t="n"/>
      <c r="F44" s="509" t="n"/>
      <c r="G44" s="509" t="n"/>
      <c r="H44" s="509" t="n"/>
      <c r="I44" s="509" t="n"/>
      <c r="J44" s="509" t="n"/>
      <c r="K44" s="509" t="n"/>
      <c r="L44" s="509" t="n"/>
      <c r="M44" s="509" t="n"/>
    </row>
    <row r="45" ht="18" customHeight="1">
      <c r="A45" s="179" t="inlineStr">
        <is>
          <t>Total liabilities</t>
        </is>
      </c>
      <c r="B45" s="509" t="n"/>
      <c r="C45" s="509" t="n"/>
      <c r="D45" s="509" t="n"/>
      <c r="E45" s="509" t="n"/>
      <c r="F45" s="509" t="n"/>
      <c r="G45" s="509" t="n"/>
      <c r="H45" s="509" t="n"/>
      <c r="I45" s="509" t="n"/>
      <c r="J45" s="509" t="n"/>
      <c r="K45" s="509" t="n"/>
      <c r="L45" s="509" t="n"/>
      <c r="M45" s="509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09" t="n"/>
      <c r="C47" s="509" t="n"/>
      <c r="D47" s="509" t="n"/>
      <c r="E47" s="509" t="n"/>
      <c r="F47" s="509" t="n"/>
      <c r="G47" s="509" t="n"/>
      <c r="H47" s="509" t="n"/>
      <c r="I47" s="509" t="n"/>
      <c r="J47" s="509" t="n"/>
      <c r="K47" s="509" t="n"/>
      <c r="L47" s="509" t="n"/>
      <c r="M47" s="509" t="n"/>
    </row>
    <row r="48" ht="18" customHeight="1">
      <c r="A48" s="179" t="inlineStr">
        <is>
          <t>Shares outstanding (m)</t>
        </is>
      </c>
      <c r="B48" s="512" t="n"/>
      <c r="C48" s="512" t="n"/>
      <c r="D48" s="512" t="n"/>
      <c r="E48" s="512" t="n"/>
      <c r="F48" s="512" t="n"/>
      <c r="G48" s="512" t="n"/>
      <c r="H48" s="512" t="n"/>
      <c r="I48" s="512" t="n"/>
      <c r="J48" s="512" t="n"/>
      <c r="K48" s="512" t="n"/>
      <c r="L48" s="512" t="n"/>
      <c r="M48" s="512" t="n"/>
    </row>
    <row r="49" ht="18" customHeight="1">
      <c r="A49" s="179" t="inlineStr">
        <is>
          <t>Shares diluted (m)</t>
        </is>
      </c>
      <c r="B49" s="512" t="n"/>
      <c r="C49" s="512" t="n"/>
      <c r="D49" s="512" t="n"/>
      <c r="E49" s="512" t="n"/>
      <c r="F49" s="512" t="n"/>
      <c r="G49" s="512" t="n"/>
      <c r="H49" s="512" t="n"/>
      <c r="I49" s="512" t="n"/>
      <c r="J49" s="512" t="n"/>
      <c r="K49" s="512" t="n"/>
      <c r="L49" s="512" t="n"/>
      <c r="M49" s="512" t="n"/>
    </row>
    <row r="50" ht="18" customHeight="1">
      <c r="A50" s="177" t="n"/>
      <c r="B50" s="513" t="n"/>
      <c r="C50" s="513" t="n"/>
      <c r="D50" s="513" t="n"/>
      <c r="E50" s="513" t="n"/>
      <c r="F50" s="513" t="n"/>
      <c r="G50" s="513" t="n"/>
      <c r="H50" s="513" t="n"/>
      <c r="I50" s="513" t="n"/>
      <c r="J50" s="513" t="n"/>
      <c r="K50" s="513" t="n"/>
      <c r="L50" s="513" t="n"/>
      <c r="M50" s="513" t="n"/>
    </row>
    <row r="51" ht="18" customHeight="1">
      <c r="A51" s="179" t="inlineStr">
        <is>
          <t>Inventory YoY</t>
        </is>
      </c>
      <c r="B51" s="511">
        <f>""</f>
        <v/>
      </c>
      <c r="C51" s="511">
        <f>""</f>
        <v/>
      </c>
      <c r="D51" s="511">
        <f>""</f>
        <v/>
      </c>
      <c r="E51" s="511">
        <f>""</f>
        <v/>
      </c>
      <c r="F51" s="511">
        <f>IF(OR(B15="",F15="",B15=0),"",F15/B15-1)</f>
        <v/>
      </c>
      <c r="G51" s="511">
        <f>IF(OR(C15="",G15="",C15=0),"",G15/C15-1)</f>
        <v/>
      </c>
      <c r="H51" s="511">
        <f>IF(OR(D15="",H15="",D15=0),"",H15/D15-1)</f>
        <v/>
      </c>
      <c r="I51" s="511">
        <f>IF(OR(E15="",I15="",E15=0),"",I15/E15-1)</f>
        <v/>
      </c>
      <c r="J51" s="511">
        <f>IF(OR(F15="",J15="",F15=0),"",J15/F15-1)</f>
        <v/>
      </c>
      <c r="K51" s="511">
        <f>IF(OR(G15="",K15="",G15=0),"",K15/G15-1)</f>
        <v/>
      </c>
      <c r="L51" s="511">
        <f>IF(OR(H15="",L15="",H15=0),"",L15/H15-1)</f>
        <v/>
      </c>
      <c r="M51" s="511">
        <f>IF(OR(I15="",M15="",I15=0),"",M15/I15-1)</f>
        <v/>
      </c>
    </row>
    <row r="52" ht="18" customHeight="1">
      <c r="A52" s="179" t="inlineStr">
        <is>
          <t>Sales YoY</t>
        </is>
      </c>
      <c r="B52" s="511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1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1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1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1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1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1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1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1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1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1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1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1">
        <f>IF(OR(B51="",B52=""),"",B51-B52)</f>
        <v/>
      </c>
      <c r="C53" s="511">
        <f>IF(OR(C51="",C52=""),"",C51-C52)</f>
        <v/>
      </c>
      <c r="D53" s="511">
        <f>IF(OR(D51="",D52=""),"",D51-D52)</f>
        <v/>
      </c>
      <c r="E53" s="511">
        <f>IF(OR(E51="",E52=""),"",E51-E52)</f>
        <v/>
      </c>
      <c r="F53" s="511">
        <f>IF(OR(F51="",F52=""),"",F51-F52)</f>
        <v/>
      </c>
      <c r="G53" s="511">
        <f>IF(OR(G51="",G52=""),"",G51-G52)</f>
        <v/>
      </c>
      <c r="H53" s="511">
        <f>IF(OR(H51="",H52=""),"",H51-H52)</f>
        <v/>
      </c>
      <c r="I53" s="511">
        <f>IF(OR(I51="",I52=""),"",I51-I52)</f>
        <v/>
      </c>
      <c r="J53" s="511">
        <f>IF(OR(J51="",J52=""),"",J51-J52)</f>
        <v/>
      </c>
      <c r="K53" s="511">
        <f>IF(OR(K51="",K52=""),"",K51-K52)</f>
        <v/>
      </c>
      <c r="L53" s="511">
        <f>IF(OR(L51="",L52=""),"",L51-L52)</f>
        <v/>
      </c>
      <c r="M53" s="511">
        <f>IF(OR(M51="",M52=""),"",M51-M52)</f>
        <v/>
      </c>
    </row>
    <row r="54" ht="18" customHeight="1">
      <c r="A54" s="179" t="inlineStr">
        <is>
          <t>Net cash</t>
        </is>
      </c>
      <c r="B54" s="510">
        <f>IF(OR(B9="",B13="",B40=""),"",B9+B13-B40)</f>
        <v/>
      </c>
      <c r="C54" s="510">
        <f>IF(OR(C9="",C13="",C40=""),"",C9+C13-C40)</f>
        <v/>
      </c>
      <c r="D54" s="510">
        <f>IF(OR(D9="",D13="",D40=""),"",D9+D13-D40)</f>
        <v/>
      </c>
      <c r="E54" s="510">
        <f>IF(OR(E9="",E13="",E40=""),"",E9+E13-E40)</f>
        <v/>
      </c>
      <c r="F54" s="510">
        <f>IF(OR(F9="",F13="",F40=""),"",F9+F13-F40)</f>
        <v/>
      </c>
      <c r="G54" s="510">
        <f>IF(OR(G9="",G13="",G40=""),"",G9+G13-G40)</f>
        <v/>
      </c>
      <c r="H54" s="510">
        <f>IF(OR(H9="",H13="",H40=""),"",H9+H13-H40)</f>
        <v/>
      </c>
      <c r="I54" s="510">
        <f>IF(OR(I9="",I13="",I40=""),"",I9+I13-I40)</f>
        <v/>
      </c>
      <c r="J54" s="510">
        <f>IF(OR(J9="",J13="",J40=""),"",J9+J13-J40)</f>
        <v/>
      </c>
      <c r="K54" s="510">
        <f>IF(OR(K9="",K13="",K40=""),"",K9+K13-K40)</f>
        <v/>
      </c>
      <c r="L54" s="510">
        <f>IF(OR(L9="",L13="",L40=""),"",L9+L13-L40)</f>
        <v/>
      </c>
      <c r="M54" s="510">
        <f>IF(OR(M9="",M13="",M40=""),"",M9+M13-M40)</f>
        <v/>
      </c>
    </row>
    <row r="55" ht="18" customHeight="1">
      <c r="A55" s="179" t="inlineStr">
        <is>
          <t>Total lease liabilities</t>
        </is>
      </c>
      <c r="B55" s="510">
        <f>IF(OR(B34="",B42=""),"",B34+B42)</f>
        <v/>
      </c>
      <c r="C55" s="510">
        <f>IF(OR(C34="",C42=""),"",C34+C42)</f>
        <v/>
      </c>
      <c r="D55" s="510">
        <f>IF(OR(D34="",D42=""),"",D34+D42)</f>
        <v/>
      </c>
      <c r="E55" s="510">
        <f>IF(OR(E34="",E42=""),"",E34+E42)</f>
        <v/>
      </c>
      <c r="F55" s="510">
        <f>IF(OR(F34="",F42=""),"",F34+F42)</f>
        <v/>
      </c>
      <c r="G55" s="510">
        <f>IF(OR(G34="",G42=""),"",G34+G42)</f>
        <v/>
      </c>
      <c r="H55" s="510">
        <f>IF(OR(H34="",H42=""),"",H34+H42)</f>
        <v/>
      </c>
      <c r="I55" s="510">
        <f>IF(OR(I34="",I42=""),"",I34+I42)</f>
        <v/>
      </c>
      <c r="J55" s="510">
        <f>IF(OR(J34="",J42=""),"",J34+J42)</f>
        <v/>
      </c>
      <c r="K55" s="510">
        <f>IF(OR(K34="",K42=""),"",K34+K42)</f>
        <v/>
      </c>
      <c r="L55" s="510">
        <f>IF(OR(L34="",L42=""),"",L34+L42)</f>
        <v/>
      </c>
      <c r="M55" s="510">
        <f>IF(OR(M34="",M42=""),"",M34+M42)</f>
        <v/>
      </c>
    </row>
    <row r="56" ht="18" customHeight="1">
      <c r="A56" s="179" t="inlineStr">
        <is>
          <t>Diluted shares YoY</t>
        </is>
      </c>
      <c r="B56" s="511">
        <f>""</f>
        <v/>
      </c>
      <c r="C56" s="511">
        <f>""</f>
        <v/>
      </c>
      <c r="D56" s="511">
        <f>""</f>
        <v/>
      </c>
      <c r="E56" s="511">
        <f>""</f>
        <v/>
      </c>
      <c r="F56" s="511">
        <f>IF(OR(B49="",F49="",B49=0),"",F49/B49-1)</f>
        <v/>
      </c>
      <c r="G56" s="511">
        <f>IF(OR(C49="",G49="",C49=0),"",G49/C49-1)</f>
        <v/>
      </c>
      <c r="H56" s="511">
        <f>IF(OR(D49="",H49="",D49=0),"",H49/D49-1)</f>
        <v/>
      </c>
      <c r="I56" s="511">
        <f>IF(OR(E49="",I49="",E49=0),"",I49/E49-1)</f>
        <v/>
      </c>
      <c r="J56" s="511">
        <f>IF(OR(F49="",J49="",F49=0),"",J49/F49-1)</f>
        <v/>
      </c>
      <c r="K56" s="511">
        <f>IF(OR(G49="",K49="",G49=0),"",K49/G49-1)</f>
        <v/>
      </c>
      <c r="L56" s="511">
        <f>IF(OR(H49="",L49="",H49=0),"",L49/H49-1)</f>
        <v/>
      </c>
      <c r="M56" s="511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>
      <c r="A81" s="197" t="inlineStr">
        <is>
          <t>Annual financial history</t>
        </is>
      </c>
      <c r="B81" s="198" t="n"/>
      <c r="C81" s="198" t="n"/>
      <c r="D81" s="198" t="n"/>
      <c r="E81" s="198" t="n"/>
      <c r="F81" s="198" t="n"/>
      <c r="G81" s="198" t="n"/>
      <c r="H81" s="198" t="n"/>
      <c r="I81" s="198" t="n"/>
    </row>
    <row r="82">
      <c r="A82" s="200" t="inlineStr">
        <is>
          <t>Fiscal year</t>
        </is>
      </c>
      <c r="B82" s="34" t="n"/>
      <c r="C82" s="34" t="n"/>
      <c r="D82" s="34" t="n"/>
      <c r="E82" s="174" t="n"/>
      <c r="F82" s="174" t="n"/>
      <c r="G82" s="174" t="n"/>
      <c r="H82" s="174" t="n"/>
      <c r="I82" s="174" t="n"/>
    </row>
    <row r="83">
      <c r="A83" s="177" t="inlineStr">
        <is>
          <t>Revenue</t>
        </is>
      </c>
      <c r="B83" s="514" t="n"/>
      <c r="C83" s="514" t="n"/>
      <c r="D83" s="514" t="n"/>
      <c r="E83" s="514" t="n"/>
      <c r="F83" s="514" t="n"/>
      <c r="G83" s="514" t="n"/>
      <c r="H83" s="514" t="n"/>
      <c r="I83" s="514" t="n"/>
    </row>
    <row r="84">
      <c r="A84" s="177" t="inlineStr">
        <is>
          <t>Gross profit</t>
        </is>
      </c>
      <c r="B84" s="514" t="n"/>
      <c r="C84" s="514" t="n"/>
      <c r="D84" s="514" t="n"/>
      <c r="E84" s="514" t="n"/>
      <c r="F84" s="514" t="n"/>
      <c r="G84" s="514" t="n"/>
      <c r="H84" s="514" t="n"/>
      <c r="I84" s="514" t="n"/>
    </row>
    <row r="85">
      <c r="A85" s="177" t="inlineStr">
        <is>
          <t>Gross margin %</t>
        </is>
      </c>
      <c r="B85" s="515">
        <f>IF(OR(B84="",B83="",B83=0),"",B84/B83)</f>
        <v/>
      </c>
      <c r="C85" s="515">
        <f>IF(OR(C84="",C83="",C83=0),"",C84/C83)</f>
        <v/>
      </c>
      <c r="D85" s="515">
        <f>IF(OR(D84="",D83="",D83=0),"",D84/D83)</f>
        <v/>
      </c>
      <c r="E85" s="515">
        <f>IF(OR(E84="",E83="",E83=0),"",E84/E83)</f>
        <v/>
      </c>
      <c r="F85" s="515">
        <f>IF(OR(F84="",F83="",F83=0),"",F84/F83)</f>
        <v/>
      </c>
      <c r="G85" s="515">
        <f>IF(OR(G84="",G83="",G83=0),"",G84/G83)</f>
        <v/>
      </c>
      <c r="H85" s="515">
        <f>IF(OR(H84="",H83="",H83=0),"",H84/H83)</f>
        <v/>
      </c>
      <c r="I85" s="515">
        <f>IF(OR(I84="",I83="",I83=0),"",I84/I83)</f>
        <v/>
      </c>
    </row>
    <row r="86">
      <c r="A86" s="177" t="inlineStr">
        <is>
          <t>Operating income</t>
        </is>
      </c>
      <c r="B86" s="514" t="n"/>
      <c r="C86" s="514" t="n"/>
      <c r="D86" s="514" t="n"/>
      <c r="E86" s="514" t="n"/>
      <c r="F86" s="514" t="n"/>
      <c r="G86" s="514" t="n"/>
      <c r="H86" s="514" t="n"/>
      <c r="I86" s="514" t="n"/>
    </row>
    <row r="87">
      <c r="A87" s="177" t="inlineStr">
        <is>
          <t>Operating margin %</t>
        </is>
      </c>
      <c r="B87" s="515">
        <f>IF(OR(B86="",B83="",B83=0),"",B86/B83)</f>
        <v/>
      </c>
      <c r="C87" s="515">
        <f>IF(OR(C86="",C83="",C83=0),"",C86/C83)</f>
        <v/>
      </c>
      <c r="D87" s="515">
        <f>IF(OR(D86="",D83="",D83=0),"",D86/D83)</f>
        <v/>
      </c>
      <c r="E87" s="515">
        <f>IF(OR(E86="",E83="",E83=0),"",E86/E83)</f>
        <v/>
      </c>
      <c r="F87" s="515">
        <f>IF(OR(F86="",F83="",F83=0),"",F86/F83)</f>
        <v/>
      </c>
      <c r="G87" s="515">
        <f>IF(OR(G86="",G83="",G83=0),"",G86/G83)</f>
        <v/>
      </c>
      <c r="H87" s="515">
        <f>IF(OR(H86="",H83="",H83=0),"",H86/H83)</f>
        <v/>
      </c>
      <c r="I87" s="515">
        <f>IF(OR(I86="",I83="",I83=0),"",I86/I83)</f>
        <v/>
      </c>
    </row>
    <row r="88">
      <c r="A88" s="177" t="inlineStr">
        <is>
          <t>EBITDA (base)</t>
        </is>
      </c>
      <c r="B88" s="514" t="n"/>
      <c r="C88" s="514" t="n"/>
      <c r="D88" s="514" t="n"/>
      <c r="E88" s="514" t="n"/>
      <c r="F88" s="514" t="n"/>
      <c r="G88" s="514" t="n"/>
      <c r="H88" s="514" t="n"/>
      <c r="I88" s="514" t="n"/>
    </row>
    <row r="89">
      <c r="A89" s="177" t="inlineStr">
        <is>
          <t>EBITDA margin %</t>
        </is>
      </c>
      <c r="B89" s="515">
        <f>IF(OR(B88="",B83="",B83=0),"",B88/B83)</f>
        <v/>
      </c>
      <c r="C89" s="515">
        <f>IF(OR(C88="",C83="",C83=0),"",C88/C83)</f>
        <v/>
      </c>
      <c r="D89" s="515">
        <f>IF(OR(D88="",D83="",D83=0),"",D88/D83)</f>
        <v/>
      </c>
      <c r="E89" s="515">
        <f>IF(OR(E88="",E83="",E83=0),"",E88/E83)</f>
        <v/>
      </c>
      <c r="F89" s="515">
        <f>IF(OR(F88="",F83="",F83=0),"",F88/F83)</f>
        <v/>
      </c>
      <c r="G89" s="515">
        <f>IF(OR(G88="",G83="",G83=0),"",G88/G83)</f>
        <v/>
      </c>
      <c r="H89" s="515">
        <f>IF(OR(H88="",H83="",H83=0),"",H88/H83)</f>
        <v/>
      </c>
      <c r="I89" s="515">
        <f>IF(OR(I88="",I83="",I83=0),"",I88/I83)</f>
        <v/>
      </c>
    </row>
    <row r="90">
      <c r="A90" s="177" t="inlineStr">
        <is>
          <t>Adjusted EBITDA</t>
        </is>
      </c>
      <c r="B90" s="514" t="n"/>
      <c r="C90" s="514" t="n"/>
      <c r="D90" s="514" t="n"/>
      <c r="E90" s="514" t="n"/>
      <c r="F90" s="514" t="n"/>
      <c r="G90" s="514" t="n"/>
      <c r="H90" s="514" t="n"/>
      <c r="I90" s="514" t="n"/>
    </row>
    <row r="91">
      <c r="A91" s="177" t="inlineStr">
        <is>
          <t>Adjusted EBITDA margin %</t>
        </is>
      </c>
      <c r="B91" s="515">
        <f>IF(OR(B90="",B83="",B83=0),"",B90/B83)</f>
        <v/>
      </c>
      <c r="C91" s="515">
        <f>IF(OR(C90="",C83="",C83=0),"",C90/C83)</f>
        <v/>
      </c>
      <c r="D91" s="515">
        <f>IF(OR(D90="",D83="",D83=0),"",D90/D83)</f>
        <v/>
      </c>
      <c r="E91" s="515">
        <f>IF(OR(E90="",E83="",E83=0),"",E90/E83)</f>
        <v/>
      </c>
      <c r="F91" s="515">
        <f>IF(OR(F90="",F83="",F83=0),"",F90/F83)</f>
        <v/>
      </c>
      <c r="G91" s="515">
        <f>IF(OR(G90="",G83="",G83=0),"",G90/G83)</f>
        <v/>
      </c>
      <c r="H91" s="515">
        <f>IF(OR(H90="",H83="",H83=0),"",H90/H83)</f>
        <v/>
      </c>
      <c r="I91" s="515">
        <f>IF(OR(I90="",I83="",I83=0),"",I90/I83)</f>
        <v/>
      </c>
    </row>
    <row r="92">
      <c r="A92" s="177" t="inlineStr">
        <is>
          <t>Net income</t>
        </is>
      </c>
      <c r="B92" s="514" t="n"/>
      <c r="C92" s="514" t="n"/>
      <c r="D92" s="514" t="n"/>
      <c r="E92" s="514" t="n"/>
      <c r="F92" s="514" t="n"/>
      <c r="G92" s="514" t="n"/>
      <c r="H92" s="514" t="n"/>
      <c r="I92" s="514" t="n"/>
    </row>
    <row r="93">
      <c r="A93" s="177" t="inlineStr">
        <is>
          <t>Net margin %</t>
        </is>
      </c>
      <c r="B93" s="515">
        <f>IF(OR(B92="",B83="",B83=0),"",B92/B83)</f>
        <v/>
      </c>
      <c r="C93" s="515">
        <f>IF(OR(C92="",C83="",C83=0),"",C92/C83)</f>
        <v/>
      </c>
      <c r="D93" s="515">
        <f>IF(OR(D92="",D83="",D83=0),"",D92/D83)</f>
        <v/>
      </c>
      <c r="E93" s="515">
        <f>IF(OR(E92="",E83="",E83=0),"",E92/E83)</f>
        <v/>
      </c>
      <c r="F93" s="515">
        <f>IF(OR(F92="",F83="",F83=0),"",F92/F83)</f>
        <v/>
      </c>
      <c r="G93" s="515">
        <f>IF(OR(G92="",G83="",G83=0),"",G92/G83)</f>
        <v/>
      </c>
      <c r="H93" s="515">
        <f>IF(OR(H92="",H83="",H83=0),"",H92/H83)</f>
        <v/>
      </c>
      <c r="I93" s="515">
        <f>IF(OR(I92="",I83="",I83=0),"",I92/I83)</f>
        <v/>
      </c>
    </row>
    <row r="94">
      <c r="A94" s="177" t="inlineStr">
        <is>
          <t>CFO</t>
        </is>
      </c>
      <c r="B94" s="514" t="n"/>
      <c r="C94" s="514" t="n"/>
      <c r="D94" s="514" t="n"/>
      <c r="E94" s="514" t="n"/>
      <c r="F94" s="514" t="n"/>
      <c r="G94" s="514" t="n"/>
      <c r="H94" s="514" t="n"/>
      <c r="I94" s="514" t="n"/>
    </row>
    <row r="95">
      <c r="A95" s="177" t="inlineStr">
        <is>
          <t>Capex</t>
        </is>
      </c>
      <c r="B95" s="514" t="n"/>
      <c r="C95" s="514" t="n"/>
      <c r="D95" s="514" t="n"/>
      <c r="E95" s="514" t="n"/>
      <c r="F95" s="514" t="n"/>
      <c r="G95" s="514" t="n"/>
      <c r="H95" s="514" t="n"/>
      <c r="I95" s="514" t="n"/>
    </row>
    <row r="96">
      <c r="A96" s="177" t="inlineStr">
        <is>
          <t>FCF (CFO - Capex)</t>
        </is>
      </c>
      <c r="B96" s="514">
        <f>IF(OR(B94="",B95=""),"",B94-B95)</f>
        <v/>
      </c>
      <c r="C96" s="514">
        <f>IF(OR(C94="",C95=""),"",C94-C95)</f>
        <v/>
      </c>
      <c r="D96" s="514">
        <f>IF(OR(D94="",D95=""),"",D94-D95)</f>
        <v/>
      </c>
      <c r="E96" s="514">
        <f>IF(OR(E94="",E95=""),"",E94-E95)</f>
        <v/>
      </c>
      <c r="F96" s="514">
        <f>IF(OR(F94="",F95=""),"",F94-F95)</f>
        <v/>
      </c>
      <c r="G96" s="514">
        <f>IF(OR(G94="",G95=""),"",G94-G95)</f>
        <v/>
      </c>
      <c r="H96" s="514">
        <f>IF(OR(H94="",H95=""),"",H94-H95)</f>
        <v/>
      </c>
      <c r="I96" s="514">
        <f>IF(OR(I94="",I95=""),"",I94-I95)</f>
        <v/>
      </c>
    </row>
    <row r="97">
      <c r="A97" s="177" t="inlineStr">
        <is>
          <t>FCF margin %</t>
        </is>
      </c>
      <c r="B97" s="515">
        <f>IF(OR(B96="",B83="",B83=0),"",B96/B83)</f>
        <v/>
      </c>
      <c r="C97" s="515">
        <f>IF(OR(C96="",C83="",C83=0),"",C96/C83)</f>
        <v/>
      </c>
      <c r="D97" s="515">
        <f>IF(OR(D96="",D83="",D83=0),"",D96/D83)</f>
        <v/>
      </c>
      <c r="E97" s="515">
        <f>IF(OR(E96="",E83="",E83=0),"",E96/E83)</f>
        <v/>
      </c>
      <c r="F97" s="515">
        <f>IF(OR(F96="",F83="",F83=0),"",F96/F83)</f>
        <v/>
      </c>
      <c r="G97" s="515">
        <f>IF(OR(G96="",G83="",G83=0),"",G96/G83)</f>
        <v/>
      </c>
      <c r="H97" s="515">
        <f>IF(OR(H96="",H83="",H83=0),"",H96/H83)</f>
        <v/>
      </c>
      <c r="I97" s="515">
        <f>IF(OR(I96="",I83="",I83=0),"",I96/I83)</f>
        <v/>
      </c>
    </row>
    <row r="98">
      <c r="A98" s="177" t="inlineStr">
        <is>
          <t>Shares outstanding (year-end, m)</t>
        </is>
      </c>
      <c r="B98" s="514" t="n"/>
      <c r="C98" s="514" t="n"/>
      <c r="D98" s="514" t="n"/>
      <c r="E98" s="514" t="n"/>
      <c r="F98" s="514" t="n"/>
      <c r="G98" s="514" t="n"/>
      <c r="H98" s="514" t="n"/>
      <c r="I98" s="514" t="n"/>
    </row>
    <row r="99">
      <c r="A99" s="177" t="inlineStr">
        <is>
          <t>Diluted EPS (GAAP)</t>
        </is>
      </c>
      <c r="B99" s="516" t="n"/>
      <c r="C99" s="516" t="n"/>
      <c r="D99" s="516" t="n"/>
      <c r="E99" s="516" t="n"/>
      <c r="F99" s="516" t="n"/>
      <c r="G99" s="516" t="n"/>
      <c r="H99" s="516" t="n"/>
      <c r="I99" s="516" t="n"/>
    </row>
    <row r="100">
      <c r="A100" s="177" t="inlineStr">
        <is>
          <t>Total equity</t>
        </is>
      </c>
      <c r="B100" s="514" t="n"/>
      <c r="C100" s="514" t="n"/>
      <c r="D100" s="514" t="n"/>
      <c r="E100" s="514" t="n"/>
      <c r="F100" s="514" t="n"/>
      <c r="G100" s="514" t="n"/>
      <c r="H100" s="514" t="n"/>
      <c r="I100" s="514" t="n"/>
    </row>
    <row r="101">
      <c r="A101" s="177" t="inlineStr">
        <is>
          <t>Book value/share</t>
        </is>
      </c>
      <c r="B101" s="516">
        <f>IF(OR(B100="",B98="",B98=0),"",B100/B98)</f>
        <v/>
      </c>
      <c r="C101" s="516">
        <f>IF(OR(C100="",C98="",C98=0),"",C100/C98)</f>
        <v/>
      </c>
      <c r="D101" s="516">
        <f>IF(OR(D100="",D98="",D98=0),"",D100/D98)</f>
        <v/>
      </c>
      <c r="E101" s="516">
        <f>IF(OR(E100="",E98="",E98=0),"",E100/E98)</f>
        <v/>
      </c>
      <c r="F101" s="516">
        <f>IF(OR(F100="",F98="",F98=0),"",F100/F98)</f>
        <v/>
      </c>
      <c r="G101" s="516">
        <f>IF(OR(G100="",G98="",G98=0),"",G100/G98)</f>
        <v/>
      </c>
      <c r="H101" s="516">
        <f>IF(OR(H100="",H98="",H98=0),"",H100/H98)</f>
        <v/>
      </c>
      <c r="I101" s="516">
        <f>IF(OR(I100="",I98="",I98=0),"",I100/I98)</f>
        <v/>
      </c>
    </row>
    <row r="102">
      <c r="A102" s="177" t="inlineStr">
        <is>
          <t>Cash</t>
        </is>
      </c>
      <c r="B102" s="514" t="n"/>
      <c r="C102" s="514" t="n"/>
      <c r="D102" s="514" t="n"/>
      <c r="E102" s="514" t="n"/>
      <c r="F102" s="514" t="n"/>
      <c r="G102" s="514" t="n"/>
      <c r="H102" s="514" t="n"/>
      <c r="I102" s="514" t="n"/>
    </row>
    <row r="103">
      <c r="A103" s="177" t="inlineStr">
        <is>
          <t>Debt (core borrowings)</t>
        </is>
      </c>
      <c r="B103" s="514" t="n"/>
      <c r="C103" s="514" t="n"/>
      <c r="D103" s="514" t="n"/>
      <c r="E103" s="514" t="n"/>
      <c r="F103" s="514" t="n"/>
      <c r="G103" s="514" t="n"/>
      <c r="H103" s="514" t="n"/>
      <c r="I103" s="514" t="n"/>
    </row>
    <row r="104">
      <c r="A104" s="177" t="inlineStr">
        <is>
          <t>Net debt</t>
        </is>
      </c>
      <c r="B104" s="514">
        <f>IF(OR(B103="",B102=""),"",B103-B102)</f>
        <v/>
      </c>
      <c r="C104" s="514">
        <f>IF(OR(C103="",C102=""),"",C103-C102)</f>
        <v/>
      </c>
      <c r="D104" s="514">
        <f>IF(OR(D103="",D102=""),"",D103-D102)</f>
        <v/>
      </c>
      <c r="E104" s="514">
        <f>IF(OR(E103="",E102=""),"",E103-E102)</f>
        <v/>
      </c>
      <c r="F104" s="514">
        <f>IF(OR(F103="",F102=""),"",F103-F102)</f>
        <v/>
      </c>
      <c r="G104" s="514">
        <f>IF(OR(G103="",G102=""),"",G103-G102)</f>
        <v/>
      </c>
      <c r="H104" s="514">
        <f>IF(OR(H103="",H102=""),"",H103-H102)</f>
        <v/>
      </c>
      <c r="I104" s="514">
        <f>IF(OR(I103="",I102=""),"",I103-I102)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">
    <mergeCell ref="B6:M6"/>
    <mergeCell ref="A81:I81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17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18" t="n"/>
      <c r="J40" s="518" t="n"/>
      <c r="K40" s="518" t="n"/>
      <c r="L40" s="518" t="n"/>
      <c r="M40" s="518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57">
        <f>IF(Price="","",Price)</f>
        <v/>
      </c>
      <c r="C15" s="457">
        <f>IF(Price="","",Price)</f>
        <v/>
      </c>
      <c r="D15" s="457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19">
        <f>IF(IF(PerShareMode="Outstanding",Shares,IF(PerShareMode="Diluted",SharesDiluted,""))="","",IF(PerShareMode="Outstanding",Shares,IF(PerShareMode="Diluted",SharesDiluted,"")))</f>
        <v/>
      </c>
      <c r="C16" s="519">
        <f>IF(IF(PerShareMode="Outstanding",Shares,IF(PerShareMode="Diluted",SharesDiluted,""))="","",IF(PerShareMode="Outstanding",Shares,IF(PerShareMode="Diluted",SharesDiluted,"")))</f>
        <v/>
      </c>
      <c r="D16" s="519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4">
        <f>IF(NetDebt="","",NetDebt)</f>
        <v/>
      </c>
      <c r="C17" s="454">
        <f>IF(NetDebt="","",NetDebt)</f>
        <v/>
      </c>
      <c r="D17" s="454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55">
        <f>IF(Revenue_TTM="","",Revenue_TTM)</f>
        <v/>
      </c>
      <c r="C18" s="455">
        <f>IF(Revenue_TTM="","",Revenue_TTM)</f>
        <v/>
      </c>
      <c r="D18" s="455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4">
        <f>IF(NetIncome_TTM="","",NetIncome_TTM)</f>
        <v/>
      </c>
      <c r="C19" s="454">
        <f>IF(NetIncome_TTM="","",NetIncome_TTM)</f>
        <v/>
      </c>
      <c r="D19" s="454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55">
        <f>IF(Base_EBITDA="","",Base_EBITDA)</f>
        <v/>
      </c>
      <c r="C20" s="455">
        <f>IF(Base_EBITDA="","",Base_EBITDA)</f>
        <v/>
      </c>
      <c r="D20" s="455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4">
        <f>IF(Adj_EBITDA="","",Adj_EBITDA)</f>
        <v/>
      </c>
      <c r="C21" s="454">
        <f>IF(Adj_EBITDA="","",Adj_EBITDA)</f>
        <v/>
      </c>
      <c r="D21" s="454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55">
        <f>IF(FCF_TTM="","",FCF_TTM)</f>
        <v/>
      </c>
      <c r="C22" s="455">
        <f>IF(FCF_TTM="","",FCF_TTM)</f>
        <v/>
      </c>
      <c r="D22" s="455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20" t="n"/>
      <c r="C23" s="520" t="n"/>
      <c r="D23" s="520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21" t="n"/>
      <c r="C24" s="521" t="n"/>
      <c r="D24" s="521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22" t="n"/>
      <c r="C25" s="522" t="n"/>
      <c r="D25" s="522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23" t="n"/>
      <c r="C26" s="523" t="n"/>
      <c r="D26" s="523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22" t="n"/>
      <c r="C27" s="522" t="n"/>
      <c r="D27" s="522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24" t="n"/>
      <c r="C28" s="524" t="n"/>
      <c r="D28" s="524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25" t="n"/>
      <c r="C29" s="525" t="n"/>
      <c r="D29" s="525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26" t="n"/>
      <c r="C30" s="526" t="n"/>
      <c r="D30" s="526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27" t="n"/>
      <c r="C31" s="527" t="n"/>
      <c r="D31" s="527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26" t="n"/>
      <c r="C32" s="526" t="n"/>
      <c r="D32" s="526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27" t="n"/>
      <c r="C33" s="527" t="n"/>
      <c r="D33" s="527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23" t="n"/>
      <c r="C34" s="523" t="n"/>
      <c r="D34" s="523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499" t="n"/>
      <c r="C35" s="499" t="n"/>
      <c r="D35" s="499" t="n"/>
    </row>
    <row r="36" ht="21" customHeight="1">
      <c r="A36" s="254" t="inlineStr">
        <is>
          <t>Share issuance (m shares)</t>
        </is>
      </c>
      <c r="B36" s="499" t="n"/>
      <c r="C36" s="499" t="n"/>
      <c r="D36" s="499" t="n"/>
    </row>
    <row r="37" ht="21" customHeight="1">
      <c r="A37" s="296" t="inlineStr">
        <is>
          <t>Debt paydown ($m)</t>
        </is>
      </c>
      <c r="B37" s="528" t="n"/>
      <c r="C37" s="528" t="n"/>
      <c r="D37" s="528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29" t="n"/>
      <c r="C38" s="530" t="n"/>
      <c r="D38" s="530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499" t="n"/>
      <c r="C39" s="499" t="n"/>
      <c r="D39" s="499" t="n"/>
    </row>
    <row r="40" ht="21" customHeight="1">
      <c r="A40" s="67" t="inlineStr">
        <is>
          <t>Target EV/Revenue (x)</t>
        </is>
      </c>
      <c r="B40" s="531" t="n"/>
      <c r="C40" s="525" t="n"/>
      <c r="D40" s="532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33" t="n"/>
      <c r="C41" s="524" t="n"/>
      <c r="D41" s="532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499" t="n"/>
      <c r="C42" s="499" t="n"/>
      <c r="D42" s="499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4">
        <f>IF(OR(B27="",B28="",B29=""),"",IF(B29="taxable",B27*(1-B28),IF(OR(B29="non_taxable",B29="non_taxable_credit"),B27,IF(OR(B29="cash_only",B29="no_eps_impact"),0,""))))</f>
        <v/>
      </c>
      <c r="C50" s="454">
        <f>IF(OR(C27="",C28="",C29=""),"",IF(C29="taxable",C27*(1-C28),IF(OR(C29="non_taxable",C29="non_taxable_credit"),C27,IF(OR(C29="cash_only",C29="no_eps_impact"),0,""))))</f>
        <v/>
      </c>
      <c r="D50" s="454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55">
        <f>IF(OR(B28="",B30="",B31=""),"",IF(B31="taxable",B30*(1-B28),IF(B31="non_taxable",B30,"")))</f>
        <v/>
      </c>
      <c r="C51" s="455">
        <f>IF(OR(C28="",C30="",C31=""),"",IF(C31="taxable",C30*(1-C28),IF(C31="non_taxable",C30,"")))</f>
        <v/>
      </c>
      <c r="D51" s="455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4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4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4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19">
        <f>IF(OR(B34="",B36="",AND(B34&lt;&gt;0,OR(B35="",B35&lt;=0))),"",-IF(B34=0,0,B34/B35)+B36)</f>
        <v/>
      </c>
      <c r="C53" s="519">
        <f>IF(OR(C34="",C36="",AND(C34&lt;&gt;0,OR(C35="",C35&lt;=0))),"",-IF(C34=0,0,C34/C35)+C36)</f>
        <v/>
      </c>
      <c r="D53" s="519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34">
        <f>IF(F85="","",F85)</f>
        <v/>
      </c>
      <c r="C56" s="535">
        <f>IF(F86="","",F86)</f>
        <v/>
      </c>
      <c r="D56" s="534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55">
        <f>IF(D85="","",D85)</f>
        <v/>
      </c>
      <c r="C57" s="506">
        <f>IF(D86="","",D86)</f>
        <v/>
      </c>
      <c r="D57" s="455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4">
        <f>IF(E85="","",E85)</f>
        <v/>
      </c>
      <c r="C58" s="506">
        <f>IF(E86="","",E86)</f>
        <v/>
      </c>
      <c r="D58" s="454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36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37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38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37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38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37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39">
        <f>IF(ISNUMBER('Valuation'!N244),'Valuation'!N244,"")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38">
        <f>IF(OR(B18="",ResolvedRevenueGrowth_Bear=""),"",B18*(1+ResolvedRevenueGrowth_Bear))</f>
        <v/>
      </c>
      <c r="C85" s="506">
        <f>IF(OR(B85="",B25=""),"",B85*B25)</f>
        <v/>
      </c>
      <c r="D85" s="454">
        <f>IF(OR(B85="",B26=""),"",B85*B26)</f>
        <v/>
      </c>
      <c r="E85" s="454">
        <f>IF(OR(B22="",B52=""),"",B22+B52)</f>
        <v/>
      </c>
      <c r="F85" s="534">
        <f>IF(OR(B19="",B50="",B51="",G85="",G85&lt;=0),"",(B19+B50-B51)/G85)</f>
        <v/>
      </c>
      <c r="G85" s="540">
        <f>IF(OR(B16="",B53=""),"",IF(B16+B53&lt;=0,"",B16+B53))</f>
        <v/>
      </c>
      <c r="H85" s="454">
        <f>IF(OR(B17="",B34="",B37=""),"",B17+B34-B37)</f>
        <v/>
      </c>
      <c r="I85" s="457">
        <f>IF(OR(D85="",B38="",H85="",G85="",G85&lt;=0),"",(D85*B38-H85)/G85)</f>
        <v/>
      </c>
      <c r="J85" s="541">
        <f>IF(OR(I85="",B15="",B15&lt;=0),"",I85/B15-1)</f>
        <v/>
      </c>
    </row>
    <row r="86" ht="30" customHeight="1">
      <c r="A86" s="53" t="inlineStr">
        <is>
          <t>Base</t>
        </is>
      </c>
      <c r="B86" s="537">
        <f>IF(OR(C18="",ResolvedRevenueGrowth_Base=""),"",C18*(1+ResolvedRevenueGrowth_Base))</f>
        <v/>
      </c>
      <c r="C86" s="506">
        <f>IF(OR(B86="",C25=""),"",B86*C25)</f>
        <v/>
      </c>
      <c r="D86" s="455">
        <f>IF(OR(B86="",C26=""),"",B86*C26)</f>
        <v/>
      </c>
      <c r="E86" s="455">
        <f>IF(OR(C22="",C52=""),"",C22+C52)</f>
        <v/>
      </c>
      <c r="F86" s="542">
        <f>IF(OR(C19="",C50="",C51="",G86="",G86&lt;=0),"",(C19+C50-C51)/G86)</f>
        <v/>
      </c>
      <c r="G86" s="519">
        <f>IF(OR(C16="",C53=""),"",IF(C16+C53&lt;=0,"",C16+C53))</f>
        <v/>
      </c>
      <c r="H86" s="455">
        <f>IF(OR(C17="",C34="",C37=""),"",C17+C34-C37)</f>
        <v/>
      </c>
      <c r="I86" s="456">
        <f>IF(OR(D86="",C38="",H86="",G86="",G86&lt;=0),"",(D86*C38-H86)/G86)</f>
        <v/>
      </c>
      <c r="J86" s="543">
        <f>IF(OR(I86="",C15="",C15&lt;=0),"",I86/C15-1)</f>
        <v/>
      </c>
    </row>
    <row r="87" ht="30" customHeight="1">
      <c r="A87" s="52" t="inlineStr">
        <is>
          <t>Bull</t>
        </is>
      </c>
      <c r="B87" s="538">
        <f>IF(OR(D18="",ResolvedRevenueGrowth_Bull=""),"",D18*(1+ResolvedRevenueGrowth_Bull))</f>
        <v/>
      </c>
      <c r="C87" s="506">
        <f>IF(OR(B87="",D25=""),"",B87*D25)</f>
        <v/>
      </c>
      <c r="D87" s="454">
        <f>IF(OR(B87="",D26=""),"",B87*D26)</f>
        <v/>
      </c>
      <c r="E87" s="454">
        <f>IF(OR(D22="",D52=""),"",D22+D52)</f>
        <v/>
      </c>
      <c r="F87" s="534">
        <f>IF(OR(D19="",D50="",D51="",G87="",G87&lt;=0),"",(D19+D50-D51)/G87)</f>
        <v/>
      </c>
      <c r="G87" s="540">
        <f>IF(OR(D16="",D53=""),"",IF(D16+D53&lt;=0,"",D16+D53))</f>
        <v/>
      </c>
      <c r="H87" s="454">
        <f>IF(OR(D17="",D34="",D37=""),"",D17+D34-D37)</f>
        <v/>
      </c>
      <c r="I87" s="457">
        <f>IF(OR(D87="",D38="",H87="",G87="",G87&lt;=0),"",(D87*D38-H87)/G87)</f>
        <v/>
      </c>
      <c r="J87" s="541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28" t="n"/>
      <c r="C160" s="528" t="n"/>
      <c r="D160" s="528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44" t="n"/>
      <c r="B161" s="457">
        <f>IF(OR($A161="",B$160=""),"",$A161*B$160)</f>
        <v/>
      </c>
      <c r="C161" s="457">
        <f>IF(OR($A161="",C$160=""),"",$A161*C$160)</f>
        <v/>
      </c>
      <c r="D161" s="457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45" t="n"/>
      <c r="B162" s="456">
        <f>IF(OR($A162="",B$160=""),"",$A162*B$160)</f>
        <v/>
      </c>
      <c r="C162" s="456">
        <f>IF(OR($A162="",C$160=""),"",$A162*C$160)</f>
        <v/>
      </c>
      <c r="D162" s="456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44" t="n"/>
      <c r="B163" s="457">
        <f>IF(OR($A163="",B$160=""),"",$A163*B$160)</f>
        <v/>
      </c>
      <c r="C163" s="457">
        <f>IF(OR($A163="",C$160=""),"",$A163*C$160)</f>
        <v/>
      </c>
      <c r="D163" s="457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28" t="n"/>
      <c r="C171" s="528" t="n"/>
      <c r="D171" s="528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20" t="n"/>
      <c r="B172" s="457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57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57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21" t="n"/>
      <c r="B173" s="456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56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56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20" t="n"/>
      <c r="B174" s="457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57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57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28" t="n"/>
      <c r="C177" s="528" t="n"/>
      <c r="D177" s="546" t="n"/>
    </row>
    <row r="178" ht="21" customHeight="1">
      <c r="A178" s="522" t="n"/>
      <c r="B178" s="457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57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36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23" t="n"/>
      <c r="B179" s="456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56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47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22" t="n"/>
      <c r="B180" s="457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57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36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9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7:D27" showDropDown="0" showInputMessage="0" showErrorMessage="1" allowBlank="1" errorTitle="Invalid scenario input" error="Enter a value compatible with the declared scenario contract." type="custom" errorStyle="stop">
      <formula1>=OR(B27="",ISNUMBER(B27))</formula1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0:D30" showDropDown="0" showInputMessage="0" showErrorMessage="1" allowBlank="1" errorTitle="Invalid scenario input" error="Enter a value compatible with the declared scenario contract." type="custom" errorStyle="stop">
      <formula1>=OR(B30="",ISNUMBER(B30))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2:D33" showDropDown="0" showInputMessage="0" showErrorMessage="1" allowBlank="1" errorTitle="Invalid scenario input" error="Enter a value compatible with the declared scenario contract." type="custom" errorStyle="stop">
      <formula1>=OR(B32="",ISNUMBER(B32))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61:A163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72:A17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A178:A18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48" t="n"/>
      <c r="D5" s="308" t="n"/>
      <c r="E5" s="308" t="n"/>
      <c r="F5" s="308" t="n"/>
      <c r="G5" s="548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49" t="n"/>
      <c r="D6" s="308" t="n"/>
      <c r="E6" s="308" t="n"/>
      <c r="F6" s="308" t="n"/>
      <c r="G6" s="549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48" t="n"/>
      <c r="D7" s="308" t="n"/>
      <c r="E7" s="308" t="n"/>
      <c r="F7" s="308" t="n"/>
      <c r="G7" s="548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49" t="n"/>
      <c r="D8" s="308" t="n"/>
      <c r="E8" s="308" t="n"/>
      <c r="F8" s="308" t="n"/>
      <c r="G8" s="549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48" t="n"/>
      <c r="D9" s="308" t="n"/>
      <c r="E9" s="308" t="n"/>
      <c r="F9" s="308" t="n"/>
      <c r="G9" s="548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50" t="n"/>
      <c r="I13" s="548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50" t="n"/>
      <c r="I14" s="549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50" t="n"/>
      <c r="I15" s="548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50" t="n"/>
      <c r="I16" s="549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50" t="n"/>
      <c r="I17" s="548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50" t="n"/>
      <c r="I18" s="549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50" t="n"/>
      <c r="I19" s="548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50" t="n"/>
      <c r="I20" s="549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50" t="n"/>
      <c r="I24" s="548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50" t="n"/>
      <c r="I25" s="549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50" t="n"/>
      <c r="I26" s="548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50" t="n"/>
      <c r="I30" s="548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50" t="n"/>
      <c r="I31" s="549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50" t="n"/>
      <c r="I35" s="548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48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49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48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49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48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49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48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49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48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49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48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49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48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49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48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49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48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50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50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50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50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50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50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50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50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50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50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50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50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50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50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50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50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50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50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50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50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50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51" t="inlineStr">
        <is>
          <t>issue_id</t>
        </is>
      </c>
      <c r="B1" s="551" t="inlineStr">
        <is>
          <t>severity</t>
        </is>
      </c>
      <c r="C1" s="551" t="inlineStr">
        <is>
          <t>rule_id</t>
        </is>
      </c>
      <c r="D1" s="551" t="inlineStr">
        <is>
          <t>issue_type</t>
        </is>
      </c>
      <c r="E1" s="551" t="inlineStr">
        <is>
          <t>section</t>
        </is>
      </c>
      <c r="F1" s="551" t="inlineStr">
        <is>
          <t>root_cause</t>
        </is>
      </c>
      <c r="G1" s="551" t="inlineStr">
        <is>
          <t>message</t>
        </is>
      </c>
      <c r="H1" s="551" t="inlineStr">
        <is>
          <t>suggested_action</t>
        </is>
      </c>
      <c r="I1" s="551" t="inlineStr">
        <is>
          <t>occurrence_count</t>
        </is>
      </c>
      <c r="J1" s="551" t="inlineStr">
        <is>
          <t>visibility_disposition</t>
        </is>
      </c>
      <c r="K1" s="551" t="inlineStr">
        <is>
          <t>promotion_blocking</t>
        </is>
      </c>
      <c r="L1" s="551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51" t="inlineStr">
        <is>
          <t>issue_id</t>
        </is>
      </c>
      <c r="B1" s="551" t="inlineStr">
        <is>
          <t>severity</t>
        </is>
      </c>
      <c r="C1" s="551" t="inlineStr">
        <is>
          <t>rule_id</t>
        </is>
      </c>
      <c r="D1" s="551" t="inlineStr">
        <is>
          <t>section</t>
        </is>
      </c>
      <c r="E1" s="551" t="inlineStr">
        <is>
          <t>normalized_path</t>
        </is>
      </c>
      <c r="F1" s="551" t="inlineStr">
        <is>
          <t>business_row_key</t>
        </is>
      </c>
      <c r="G1" s="551" t="inlineStr">
        <is>
          <t>message</t>
        </is>
      </c>
      <c r="H1" s="551" t="inlineStr">
        <is>
          <t>suggested_action</t>
        </is>
      </c>
      <c r="I1" s="551" t="inlineStr">
        <is>
          <t>occurrence_count</t>
        </is>
      </c>
      <c r="J1" s="551" t="inlineStr">
        <is>
          <t>promotion_blocking</t>
        </is>
      </c>
      <c r="K1" s="551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51" t="inlineStr">
        <is>
          <t>rule_id</t>
        </is>
      </c>
      <c r="B1" s="551" t="inlineStr">
        <is>
          <t>status</t>
        </is>
      </c>
      <c r="C1" s="551" t="inlineStr">
        <is>
          <t>unique_issue_count</t>
        </is>
      </c>
      <c r="D1" s="551" t="inlineStr">
        <is>
          <t>occurrence_count</t>
        </is>
      </c>
      <c r="E1" s="551" t="inlineStr">
        <is>
          <t>blocking_count</t>
        </is>
      </c>
      <c r="F1" s="551" t="inlineStr">
        <is>
          <t>actionable_count</t>
        </is>
      </c>
      <c r="G1" s="551" t="inlineStr">
        <is>
          <t>affected_sections</t>
        </is>
      </c>
      <c r="H1" s="551" t="inlineStr">
        <is>
          <t>interpretation</t>
        </is>
      </c>
      <c r="I1" s="551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value</t>
        </is>
      </c>
      <c r="D1" s="552" t="inlineStr">
        <is>
          <t>unit</t>
        </is>
      </c>
      <c r="E1" s="552" t="inlineStr">
        <is>
          <t>source_ref</t>
        </is>
      </c>
      <c r="F1" s="552" t="inlineStr">
        <is>
          <t>status</t>
        </is>
      </c>
      <c r="G1" s="552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value</t>
        </is>
      </c>
      <c r="D1" s="552" t="inlineStr">
        <is>
          <t>unit</t>
        </is>
      </c>
      <c r="E1" s="552" t="inlineStr">
        <is>
          <t>source_ref</t>
        </is>
      </c>
      <c r="F1" s="552" t="inlineStr">
        <is>
          <t>status</t>
        </is>
      </c>
      <c r="G1" s="552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value</t>
        </is>
      </c>
      <c r="D1" s="552" t="inlineStr">
        <is>
          <t>unit</t>
        </is>
      </c>
      <c r="E1" s="552" t="inlineStr">
        <is>
          <t>source_ref</t>
        </is>
      </c>
      <c r="F1" s="552" t="inlineStr">
        <is>
          <t>status</t>
        </is>
      </c>
      <c r="G1" s="552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period</t>
        </is>
      </c>
      <c r="B1" s="552" t="inlineStr">
        <is>
          <t>theme</t>
        </is>
      </c>
      <c r="C1" s="552" t="inlineStr">
        <is>
          <t>metric</t>
        </is>
      </c>
      <c r="D1" s="552" t="inlineStr">
        <is>
          <t>note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evidence_key</t>
        </is>
      </c>
      <c r="B1" s="552" t="inlineStr">
        <is>
          <t>period</t>
        </is>
      </c>
      <c r="C1" s="552" t="inlineStr">
        <is>
          <t>topic</t>
        </is>
      </c>
      <c r="D1" s="552" t="inlineStr">
        <is>
          <t>text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period</t>
        </is>
      </c>
      <c r="B1" s="552" t="inlineStr">
        <is>
          <t>topic</t>
        </is>
      </c>
      <c r="C1" s="552" t="inlineStr">
        <is>
          <t>narrative_type</t>
        </is>
      </c>
      <c r="D1" s="552" t="inlineStr">
        <is>
          <t>text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52" t="inlineStr">
        <is>
          <t>metric</t>
        </is>
      </c>
      <c r="B1" s="552" t="inlineStr">
        <is>
          <t>value</t>
        </is>
      </c>
      <c r="C1" s="552" t="inlineStr">
        <is>
          <t>unit</t>
        </is>
      </c>
      <c r="D1" s="552" t="inlineStr">
        <is>
          <t>as_of</t>
        </is>
      </c>
      <c r="E1" s="552" t="inlineStr">
        <is>
          <t>lineage_ref</t>
        </is>
      </c>
      <c r="F1" s="552" t="inlineStr">
        <is>
          <t>status</t>
        </is>
      </c>
      <c r="G1" s="552" t="inlineStr">
        <is>
          <t>definition</t>
        </is>
      </c>
      <c r="H1" s="552" t="inlineStr">
        <is>
          <t>resolved_revenue_growth_bear</t>
        </is>
      </c>
      <c r="I1" s="552" t="inlineStr">
        <is>
          <t>resolved_revenue_growth_base</t>
        </is>
      </c>
      <c r="J1" s="552" t="inlineStr">
        <is>
          <t>resolved_revenue_growth_bull</t>
        </is>
      </c>
      <c r="K1" s="552" t="inlineStr">
        <is>
          <t>resolved_revenue_growth_custom</t>
        </is>
      </c>
    </row>
    <row r="2">
      <c r="A2" t="inlineStr">
        <is>
          <t>price</t>
        </is>
      </c>
      <c r="B2" s="508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39">
        <f>_xlfn.LET(_xlpm.scenarioKey,"bear",_xlpm.userGrowth,'{ticker}_Investment_Case'!$B$24,_xlpm.scenarioHorizon,'{ticker}_Investment_Case'!$B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I2" s="539">
        <f>_xlfn.LET(_xlpm.scenarioKey,"base",_xlpm.userGrowth,'{ticker}_Investment_Case'!$C$24,_xlpm.scenarioHorizon,'{ticker}_Investment_Case'!$C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J2" s="539">
        <f>_xlfn.LET(_xlpm.scenarioKey,"bull",_xlpm.userGrowth,'{ticker}_Investment_Case'!$D$24,_xlpm.scenarioHorizon,'{ticker}_Investment_Case'!$D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K2" s="539">
        <f>_xlfn.LET(_xlpm.scenarioKey,"custom",_xlpm.userGrowth,ScenarioGrowth,_xlpm.scenarioHorizon,ScenarioHorizon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</row>
    <row r="3">
      <c r="A3" t="inlineStr">
        <is>
          <t>market_cap</t>
        </is>
      </c>
      <c r="B3" s="506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06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53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53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53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1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06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08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06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06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06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06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54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06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35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06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08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39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promise_key</t>
        </is>
      </c>
      <c r="B1" s="552" t="inlineStr">
        <is>
          <t>period</t>
        </is>
      </c>
      <c r="C1" s="552" t="inlineStr">
        <is>
          <t>metric</t>
        </is>
      </c>
      <c r="D1" s="552" t="inlineStr">
        <is>
          <t>evidence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previous_guide</t>
        </is>
      </c>
      <c r="D1" s="552" t="inlineStr">
        <is>
          <t>current_guide</t>
        </is>
      </c>
      <c r="E1" s="552" t="inlineStr">
        <is>
          <t>actual</t>
        </is>
      </c>
      <c r="F1" s="552" t="inlineStr">
        <is>
          <t>status</t>
        </is>
      </c>
      <c r="G1" s="552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metric</t>
        </is>
      </c>
      <c r="B1" s="552" t="inlineStr">
        <is>
          <t>horizon</t>
        </is>
      </c>
      <c r="C1" s="552" t="inlineStr">
        <is>
          <t>period</t>
        </is>
      </c>
      <c r="D1" s="552" t="inlineStr">
        <is>
          <t>value</t>
        </is>
      </c>
      <c r="E1" s="552" t="inlineStr">
        <is>
          <t>unit</t>
        </is>
      </c>
      <c r="F1" s="552" t="inlineStr">
        <is>
          <t>status</t>
        </is>
      </c>
      <c r="G1" s="552" t="inlineStr">
        <is>
          <t>source_ref</t>
        </is>
      </c>
      <c r="H1" s="552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period_ordinal</t>
        </is>
      </c>
      <c r="C1" s="552" t="inlineStr">
        <is>
          <t>metric</t>
        </is>
      </c>
      <c r="D1" s="552" t="inlineStr">
        <is>
          <t>value</t>
        </is>
      </c>
      <c r="E1" s="552" t="inlineStr">
        <is>
          <t>unit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topic</t>
        </is>
      </c>
      <c r="C1" s="552" t="inlineStr">
        <is>
          <t>metric</t>
        </is>
      </c>
      <c r="D1" s="552" t="inlineStr">
        <is>
          <t>value</t>
        </is>
      </c>
      <c r="E1" s="552" t="inlineStr">
        <is>
          <t>unit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52" t="inlineStr">
        <is>
          <t>period</t>
        </is>
      </c>
      <c r="B1" s="552" t="inlineStr">
        <is>
          <t>period_ordinal</t>
        </is>
      </c>
      <c r="C1" s="552" t="inlineStr">
        <is>
          <t>period_type</t>
        </is>
      </c>
      <c r="D1" s="552" t="inlineStr">
        <is>
          <t>fiscal_year</t>
        </is>
      </c>
      <c r="E1" s="552" t="inlineStr">
        <is>
          <t>fiscal_quarter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52" t="inlineStr">
        <is>
          <t>display_rank</t>
        </is>
      </c>
      <c r="B1" s="552" t="inlineStr">
        <is>
          <t>candidate_key</t>
        </is>
      </c>
      <c r="C1" s="552" t="inlineStr">
        <is>
          <t>signal_id</t>
        </is>
      </c>
      <c r="D1" s="552" t="inlineStr">
        <is>
          <t>display_name</t>
        </is>
      </c>
      <c r="E1" s="552" t="inlineStr">
        <is>
          <t>score</t>
        </is>
      </c>
      <c r="F1" s="552" t="inlineStr">
        <is>
          <t>triggered</t>
        </is>
      </c>
      <c r="G1" s="552" t="inlineStr">
        <is>
          <t>state</t>
        </is>
      </c>
      <c r="H1" s="552" t="inlineStr">
        <is>
          <t>severity</t>
        </is>
      </c>
      <c r="I1" s="552" t="inlineStr">
        <is>
          <t>as_of_period</t>
        </is>
      </c>
      <c r="J1" s="552" t="inlineStr">
        <is>
          <t>reason</t>
        </is>
      </c>
      <c r="K1" s="552" t="inlineStr">
        <is>
          <t>evidence_ids</t>
        </is>
      </c>
      <c r="L1" s="552" t="inlineStr">
        <is>
          <t>source_refs</t>
        </is>
      </c>
      <c r="M1" s="552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52" t="inlineStr">
        <is>
          <t>candidate_key</t>
        </is>
      </c>
      <c r="B1" s="552" t="inlineStr">
        <is>
          <t>signal_id</t>
        </is>
      </c>
      <c r="C1" s="552" t="inlineStr">
        <is>
          <t>display_name</t>
        </is>
      </c>
      <c r="D1" s="552" t="inlineStr">
        <is>
          <t>profile_id</t>
        </is>
      </c>
      <c r="E1" s="552" t="inlineStr">
        <is>
          <t>as_of_period</t>
        </is>
      </c>
      <c r="F1" s="552" t="inlineStr">
        <is>
          <t>expected_state</t>
        </is>
      </c>
      <c r="G1" s="552" t="inlineStr">
        <is>
          <t>expected_triggered</t>
        </is>
      </c>
      <c r="H1" s="552" t="inlineStr">
        <is>
          <t>expected_score</t>
        </is>
      </c>
      <c r="I1" s="552" t="inlineStr">
        <is>
          <t>expected_score_denominator</t>
        </is>
      </c>
      <c r="J1" s="552" t="inlineStr">
        <is>
          <t>expected_severity</t>
        </is>
      </c>
      <c r="K1" s="552" t="inlineStr">
        <is>
          <t>priority</t>
        </is>
      </c>
      <c r="L1" s="552" t="inlineStr">
        <is>
          <t>reasons</t>
        </is>
      </c>
      <c r="M1" s="552" t="inlineStr">
        <is>
          <t>evidence_ids</t>
        </is>
      </c>
      <c r="N1" s="552" t="inlineStr">
        <is>
          <t>source_refs</t>
        </is>
      </c>
      <c r="O1" s="552" t="inlineStr">
        <is>
          <t>resolved_metric_keys</t>
        </is>
      </c>
      <c r="P1" s="552" t="inlineStr">
        <is>
          <t>recompute_record_keys</t>
        </is>
      </c>
      <c r="Q1" s="552" t="inlineStr">
        <is>
          <t>module_eligible</t>
        </is>
      </c>
      <c r="R1" s="552" t="inlineStr">
        <is>
          <t>recomputed_state</t>
        </is>
      </c>
      <c r="S1" s="552" t="inlineStr">
        <is>
          <t>recomputed_triggered</t>
        </is>
      </c>
      <c r="T1" s="552" t="inlineStr">
        <is>
          <t>recomputed_score</t>
        </is>
      </c>
      <c r="U1" s="552" t="inlineStr">
        <is>
          <t>parity_status</t>
        </is>
      </c>
      <c r="V1" s="552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55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55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55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55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55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55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55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52" t="inlineStr">
        <is>
          <t>record_key</t>
        </is>
      </c>
      <c r="B1" s="552" t="inlineStr">
        <is>
          <t>candidate_key</t>
        </is>
      </c>
      <c r="C1" s="552" t="inlineStr">
        <is>
          <t>signal_id</t>
        </is>
      </c>
      <c r="D1" s="552" t="inlineStr">
        <is>
          <t>record_type</t>
        </is>
      </c>
      <c r="E1" s="552" t="inlineStr">
        <is>
          <t>stage</t>
        </is>
      </c>
      <c r="F1" s="552" t="inlineStr">
        <is>
          <t>item_id</t>
        </is>
      </c>
      <c r="G1" s="552" t="inlineStr">
        <is>
          <t>metric_key</t>
        </is>
      </c>
      <c r="H1" s="552" t="inlineStr">
        <is>
          <t>operator</t>
        </is>
      </c>
      <c r="I1" s="552" t="inlineStr">
        <is>
          <t>right_metric_key</t>
        </is>
      </c>
      <c r="J1" s="552" t="inlineStr">
        <is>
          <t>threshold</t>
        </is>
      </c>
      <c r="K1" s="552" t="inlineStr">
        <is>
          <t>required_component</t>
        </is>
      </c>
      <c r="L1" s="552" t="inlineStr">
        <is>
          <t>weight</t>
        </is>
      </c>
      <c r="M1" s="552" t="inlineStr">
        <is>
          <t>normalization_direction</t>
        </is>
      </c>
      <c r="N1" s="552" t="inlineStr">
        <is>
          <t>normalization_threshold</t>
        </is>
      </c>
      <c r="O1" s="552" t="inlineStr">
        <is>
          <t>normalization_span</t>
        </is>
      </c>
      <c r="P1" s="552" t="inlineStr">
        <is>
          <t>normalization_base</t>
        </is>
      </c>
      <c r="Q1" s="552" t="inlineStr">
        <is>
          <t>expected_value</t>
        </is>
      </c>
      <c r="R1" s="552" t="inlineStr">
        <is>
          <t>expected_comparison</t>
        </is>
      </c>
      <c r="S1" s="552" t="inlineStr">
        <is>
          <t>expected_passed</t>
        </is>
      </c>
      <c r="T1" s="552" t="inlineStr">
        <is>
          <t>expected_included_weight</t>
        </is>
      </c>
      <c r="U1" s="552" t="inlineStr">
        <is>
          <t>expected_normalized_score</t>
        </is>
      </c>
      <c r="V1" s="552" t="inlineStr">
        <is>
          <t>expected_weighted_score</t>
        </is>
      </c>
      <c r="W1" s="552" t="inlineStr">
        <is>
          <t>expected_status</t>
        </is>
      </c>
      <c r="X1" s="552" t="inlineStr">
        <is>
          <t>recomputed_value</t>
        </is>
      </c>
      <c r="Y1" s="552" t="inlineStr">
        <is>
          <t>recomputed_aux</t>
        </is>
      </c>
      <c r="Z1" s="552" t="inlineStr">
        <is>
          <t>recomputed_result</t>
        </is>
      </c>
      <c r="AA1" s="552" t="inlineStr">
        <is>
          <t>recomputed_included_weight</t>
        </is>
      </c>
      <c r="AB1" s="552" t="inlineStr">
        <is>
          <t>recomputed_normalized_score</t>
        </is>
      </c>
      <c r="AC1" s="552" t="inlineStr">
        <is>
          <t>recomputed_weighted_score</t>
        </is>
      </c>
      <c r="AD1" s="552" t="inlineStr">
        <is>
          <t>row_parity</t>
        </is>
      </c>
      <c r="AE1" s="552" t="inlineStr">
        <is>
          <t>reserved</t>
        </is>
      </c>
      <c r="AF1" s="552" t="inlineStr">
        <is>
          <t>summary_candidate_key</t>
        </is>
      </c>
      <c r="AG1" s="552" t="inlineStr">
        <is>
          <t>summary_signal_id</t>
        </is>
      </c>
      <c r="AH1" s="552" t="inlineStr">
        <is>
          <t>eligibility_mode</t>
        </is>
      </c>
      <c r="AI1" s="552" t="inlineStr">
        <is>
          <t>trigger_mode</t>
        </is>
      </c>
      <c r="AJ1" s="552" t="inlineStr">
        <is>
          <t>near_miss_mode</t>
        </is>
      </c>
      <c r="AK1" s="552" t="inlineStr">
        <is>
          <t>minimum_trigger_predicates</t>
        </is>
      </c>
      <c r="AL1" s="552" t="inlineStr">
        <is>
          <t>reweight_available_components</t>
        </is>
      </c>
      <c r="AM1" s="552" t="inlineStr">
        <is>
          <t>expected_state</t>
        </is>
      </c>
      <c r="AN1" s="552" t="inlineStr">
        <is>
          <t>expected_triggered</t>
        </is>
      </c>
      <c r="AO1" s="552" t="inlineStr">
        <is>
          <t>expected_score</t>
        </is>
      </c>
      <c r="AP1" s="552" t="inlineStr">
        <is>
          <t>expected_score_denominator</t>
        </is>
      </c>
      <c r="AQ1" s="552" t="inlineStr">
        <is>
          <t>recomputed_eligibility</t>
        </is>
      </c>
      <c r="AR1" s="552" t="inlineStr">
        <is>
          <t>recomputed_trigger</t>
        </is>
      </c>
      <c r="AS1" s="552" t="inlineStr">
        <is>
          <t>recomputed_near_miss</t>
        </is>
      </c>
      <c r="AT1" s="552" t="inlineStr">
        <is>
          <t>recomputed_score_denominator</t>
        </is>
      </c>
      <c r="AU1" s="552" t="inlineStr">
        <is>
          <t>recomputed_score</t>
        </is>
      </c>
      <c r="AV1" s="552" t="inlineStr">
        <is>
          <t>recomputed_state</t>
        </is>
      </c>
      <c r="AW1" s="552" t="inlineStr">
        <is>
          <t>recomputed_triggered</t>
        </is>
      </c>
      <c r="AX1" s="552" t="inlineStr">
        <is>
          <t>candidate_parity</t>
        </is>
      </c>
    </row>
    <row r="2">
      <c r="X2" s="556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56">
        <f>IF($AF2="","",SUMIFS($AA$2:$AA$92,$B$2:$B$92,$AF2,$D$2:$D$92,"score_component"))</f>
        <v/>
      </c>
      <c r="AU2" s="555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56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56">
        <f>IF($AF3="","",SUMIFS($AA$2:$AA$92,$B$2:$B$92,$AF3,$D$2:$D$92,"score_component"))</f>
        <v/>
      </c>
      <c r="AU3" s="555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56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56">
        <f>IF($AF4="","",SUMIFS($AA$2:$AA$92,$B$2:$B$92,$AF4,$D$2:$D$92,"score_component"))</f>
        <v/>
      </c>
      <c r="AU4" s="555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56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56">
        <f>IF($AF5="","",SUMIFS($AA$2:$AA$92,$B$2:$B$92,$AF5,$D$2:$D$92,"score_component"))</f>
        <v/>
      </c>
      <c r="AU5" s="555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56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56">
        <f>IF($AF6="","",SUMIFS($AA$2:$AA$92,$B$2:$B$92,$AF6,$D$2:$D$92,"score_component"))</f>
        <v/>
      </c>
      <c r="AU6" s="555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56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56">
        <f>IF($AF7="","",SUMIFS($AA$2:$AA$92,$B$2:$B$92,$AF7,$D$2:$D$92,"score_component"))</f>
        <v/>
      </c>
      <c r="AU7" s="555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56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56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56">
        <f>IF($AF8="","",SUMIFS($AA$2:$AA$92,$B$2:$B$92,$AF8,$D$2:$D$92,"score_component"))</f>
        <v/>
      </c>
      <c r="AU8" s="555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56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56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56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56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56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56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56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56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56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56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56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56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56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56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56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56">
        <f>IF($Z16,$L16,0)</f>
        <v/>
      </c>
      <c r="AB16" s="556">
        <f>IF(NOT($Z16),"",IF(OR(NOT(ISNUMBER($N16)),NOT(ISNUMBER($O16)),$O16&lt;=0,NOT(ISNUMBER($P16)),AND($M16&lt;&gt;"higher",$M16&lt;&gt;"lower")),"",MAX(0,MIN(1,IF($M16="lower",($N16-$X16)/$O16+$P16,($X16-$N16)/$O16+$P16)))))</f>
        <v/>
      </c>
      <c r="AC16" s="556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56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56">
        <f>IF($Z17,$L17,0)</f>
        <v/>
      </c>
      <c r="AB17" s="556">
        <f>IF(NOT($Z17),"",IF(OR(NOT(ISNUMBER($N17)),NOT(ISNUMBER($O17)),$O17&lt;=0,NOT(ISNUMBER($P17)),AND($M17&lt;&gt;"higher",$M17&lt;&gt;"lower")),"",MAX(0,MIN(1,IF($M17="lower",($N17-$X17)/$O17+$P17,($X17-$N17)/$O17+$P17)))))</f>
        <v/>
      </c>
      <c r="AC17" s="556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56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56">
        <f>IF($Z18,$L18,0)</f>
        <v/>
      </c>
      <c r="AB18" s="556">
        <f>IF(NOT($Z18),"",IF(OR(NOT(ISNUMBER($N18)),NOT(ISNUMBER($O18)),$O18&lt;=0,NOT(ISNUMBER($P18)),AND($M18&lt;&gt;"higher",$M18&lt;&gt;"lower")),"",MAX(0,MIN(1,IF($M18="lower",($N18-$X18)/$O18+$P18,($X18-$N18)/$O18+$P18)))))</f>
        <v/>
      </c>
      <c r="AC18" s="556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56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56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56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56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56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56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56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56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56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56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56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56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56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56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56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56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56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56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56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56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56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56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56">
        <f>IF($Z32,$L32,0)</f>
        <v/>
      </c>
      <c r="AB32" s="556">
        <f>IF(NOT($Z32),"",IF(OR(NOT(ISNUMBER($N32)),NOT(ISNUMBER($O32)),$O32&lt;=0,NOT(ISNUMBER($P32)),AND($M32&lt;&gt;"higher",$M32&lt;&gt;"lower")),"",MAX(0,MIN(1,IF($M32="lower",($N32-$X32)/$O32+$P32,($X32-$N32)/$O32+$P32)))))</f>
        <v/>
      </c>
      <c r="AC32" s="556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56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56">
        <f>IF($Z33,$L33,0)</f>
        <v/>
      </c>
      <c r="AB33" s="556">
        <f>IF(NOT($Z33),"",IF(OR(NOT(ISNUMBER($N33)),NOT(ISNUMBER($O33)),$O33&lt;=0,NOT(ISNUMBER($P33)),AND($M33&lt;&gt;"higher",$M33&lt;&gt;"lower")),"",MAX(0,MIN(1,IF($M33="lower",($N33-$X33)/$O33+$P33,($X33-$N33)/$O33+$P33)))))</f>
        <v/>
      </c>
      <c r="AC33" s="556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56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56">
        <f>IF($Z34,$L34,0)</f>
        <v/>
      </c>
      <c r="AB34" s="556">
        <f>IF(NOT($Z34),"",IF(OR(NOT(ISNUMBER($N34)),NOT(ISNUMBER($O34)),$O34&lt;=0,NOT(ISNUMBER($P34)),AND($M34&lt;&gt;"higher",$M34&lt;&gt;"lower")),"",MAX(0,MIN(1,IF($M34="lower",($N34-$X34)/$O34+$P34,($X34-$N34)/$O34+$P34)))))</f>
        <v/>
      </c>
      <c r="AC34" s="556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56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56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56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56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56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56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56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56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56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56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56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56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56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56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56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56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56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56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56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56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56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56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56">
        <f>IF($Z48,$L48,0)</f>
        <v/>
      </c>
      <c r="AB48" s="556">
        <f>IF(NOT($Z48),"",IF(OR(NOT(ISNUMBER($N48)),NOT(ISNUMBER($O48)),$O48&lt;=0,NOT(ISNUMBER($P48)),AND($M48&lt;&gt;"higher",$M48&lt;&gt;"lower")),"",MAX(0,MIN(1,IF($M48="lower",($N48-$X48)/$O48+$P48,($X48-$N48)/$O48+$P48)))))</f>
        <v/>
      </c>
      <c r="AC48" s="556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56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56">
        <f>IF($Z49,$L49,0)</f>
        <v/>
      </c>
      <c r="AB49" s="556">
        <f>IF(NOT($Z49),"",IF(OR(NOT(ISNUMBER($N49)),NOT(ISNUMBER($O49)),$O49&lt;=0,NOT(ISNUMBER($P49)),AND($M49&lt;&gt;"higher",$M49&lt;&gt;"lower")),"",MAX(0,MIN(1,IF($M49="lower",($N49-$X49)/$O49+$P49,($X49-$N49)/$O49+$P49)))))</f>
        <v/>
      </c>
      <c r="AC49" s="556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56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56">
        <f>IF($Z50,$L50,0)</f>
        <v/>
      </c>
      <c r="AB50" s="556">
        <f>IF(NOT($Z50),"",IF(OR(NOT(ISNUMBER($N50)),NOT(ISNUMBER($O50)),$O50&lt;=0,NOT(ISNUMBER($P50)),AND($M50&lt;&gt;"higher",$M50&lt;&gt;"lower")),"",MAX(0,MIN(1,IF($M50="lower",($N50-$X50)/$O50+$P50,($X50-$N50)/$O50+$P50)))))</f>
        <v/>
      </c>
      <c r="AC50" s="556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56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56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56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56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56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56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56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56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56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56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56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56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56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56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56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56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56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56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56">
        <f>IF($Z62,$L62,0)</f>
        <v/>
      </c>
      <c r="AB62" s="556">
        <f>IF(NOT($Z62),"",IF(OR(NOT(ISNUMBER($N62)),NOT(ISNUMBER($O62)),$O62&lt;=0,NOT(ISNUMBER($P62)),AND($M62&lt;&gt;"higher",$M62&lt;&gt;"lower")),"",MAX(0,MIN(1,IF($M62="lower",($N62-$X62)/$O62+$P62,($X62-$N62)/$O62+$P62)))))</f>
        <v/>
      </c>
      <c r="AC62" s="556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56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56">
        <f>IF($Z63,$L63,0)</f>
        <v/>
      </c>
      <c r="AB63" s="556">
        <f>IF(NOT($Z63),"",IF(OR(NOT(ISNUMBER($N63)),NOT(ISNUMBER($O63)),$O63&lt;=0,NOT(ISNUMBER($P63)),AND($M63&lt;&gt;"higher",$M63&lt;&gt;"lower")),"",MAX(0,MIN(1,IF($M63="lower",($N63-$X63)/$O63+$P63,($X63-$N63)/$O63+$P63)))))</f>
        <v/>
      </c>
      <c r="AC63" s="556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56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56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56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56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56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56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56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56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56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56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56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56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56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56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56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56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56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56">
        <f>IF($Z74,$L74,0)</f>
        <v/>
      </c>
      <c r="AB74" s="556">
        <f>IF(NOT($Z74),"",IF(OR(NOT(ISNUMBER($N74)),NOT(ISNUMBER($O74)),$O74&lt;=0,NOT(ISNUMBER($P74)),AND($M74&lt;&gt;"higher",$M74&lt;&gt;"lower")),"",MAX(0,MIN(1,IF($M74="lower",($N74-$X74)/$O74+$P74,($X74-$N74)/$O74+$P74)))))</f>
        <v/>
      </c>
      <c r="AC74" s="556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56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56">
        <f>IF($Z75,$L75,0)</f>
        <v/>
      </c>
      <c r="AB75" s="556">
        <f>IF(NOT($Z75),"",IF(OR(NOT(ISNUMBER($N75)),NOT(ISNUMBER($O75)),$O75&lt;=0,NOT(ISNUMBER($P75)),AND($M75&lt;&gt;"higher",$M75&lt;&gt;"lower")),"",MAX(0,MIN(1,IF($M75="lower",($N75-$X75)/$O75+$P75,($X75-$N75)/$O75+$P75)))))</f>
        <v/>
      </c>
      <c r="AC75" s="556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56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56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56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56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56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56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56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56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56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56">
        <f>IF($Z81,$L81,0)</f>
        <v/>
      </c>
      <c r="AB81" s="556">
        <f>IF(NOT($Z81),"",IF(OR(NOT(ISNUMBER($N81)),NOT(ISNUMBER($O81)),$O81&lt;=0,NOT(ISNUMBER($P81)),AND($M81&lt;&gt;"higher",$M81&lt;&gt;"lower")),"",MAX(0,MIN(1,IF($M81="lower",($N81-$X81)/$O81+$P81,($X81-$N81)/$O81+$P81)))))</f>
        <v/>
      </c>
      <c r="AC81" s="556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56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56">
        <f>IF($Z82,$L82,0)</f>
        <v/>
      </c>
      <c r="AB82" s="556">
        <f>IF(NOT($Z82),"",IF(OR(NOT(ISNUMBER($N82)),NOT(ISNUMBER($O82)),$O82&lt;=0,NOT(ISNUMBER($P82)),AND($M82&lt;&gt;"higher",$M82&lt;&gt;"lower")),"",MAX(0,MIN(1,IF($M82="lower",($N82-$X82)/$O82+$P82,($X82-$N82)/$O82+$P82)))))</f>
        <v/>
      </c>
      <c r="AC82" s="556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56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56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56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56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56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56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56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56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56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56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56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56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56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56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56">
        <f>IF($Z90,$L90,0)</f>
        <v/>
      </c>
      <c r="AB90" s="556">
        <f>IF(NOT($Z90),"",IF(OR(NOT(ISNUMBER($N90)),NOT(ISNUMBER($O90)),$O90&lt;=0,NOT(ISNUMBER($P90)),AND($M90&lt;&gt;"higher",$M90&lt;&gt;"lower")),"",MAX(0,MIN(1,IF($M90="lower",($N90-$X90)/$O90+$P90,($X90-$N90)/$O90+$P90)))))</f>
        <v/>
      </c>
      <c r="AC90" s="556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56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56">
        <f>IF($Z91,$L91,0)</f>
        <v/>
      </c>
      <c r="AB91" s="556">
        <f>IF(NOT($Z91),"",IF(OR(NOT(ISNUMBER($N91)),NOT(ISNUMBER($O91)),$O91&lt;=0,NOT(ISNUMBER($P91)),AND($M91&lt;&gt;"higher",$M91&lt;&gt;"lower")),"",MAX(0,MIN(1,IF($M91="lower",($N91-$X91)/$O91+$P91,($X91-$N91)/$O91+$P91)))))</f>
        <v/>
      </c>
      <c r="AC91" s="556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56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56">
        <f>IF($Z92,$L92,0)</f>
        <v/>
      </c>
      <c r="AB92" s="556">
        <f>IF(NOT($Z92),"",IF(OR(NOT(ISNUMBER($N92)),NOT(ISNUMBER($O92)),$O92&lt;=0,NOT(ISNUMBER($P92)),AND($M92&lt;&gt;"higher",$M92&lt;&gt;"lower")),"",MAX(0,MIN(1,IF($M92="lower",($N92-$X92)/$O92+$P92,($X92-$N92)/$O92+$P92)))))</f>
        <v/>
      </c>
      <c r="AC92" s="556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52" t="inlineStr">
        <is>
          <t>metric_key</t>
        </is>
      </c>
      <c r="B1" s="552" t="inlineStr">
        <is>
          <t>metric_id</t>
        </is>
      </c>
      <c r="C1" s="552" t="inlineStr">
        <is>
          <t>value</t>
        </is>
      </c>
      <c r="D1" s="552" t="inlineStr">
        <is>
          <t>unit</t>
        </is>
      </c>
      <c r="E1" s="552" t="inlineStr">
        <is>
          <t>period</t>
        </is>
      </c>
      <c r="F1" s="552" t="inlineStr">
        <is>
          <t>period_role</t>
        </is>
      </c>
      <c r="G1" s="552" t="inlineStr">
        <is>
          <t>dimension_id</t>
        </is>
      </c>
      <c r="H1" s="552" t="inlineStr">
        <is>
          <t>member</t>
        </is>
      </c>
      <c r="I1" s="552" t="inlineStr">
        <is>
          <t>status</t>
        </is>
      </c>
      <c r="J1" s="552" t="inlineStr">
        <is>
          <t>reason</t>
        </is>
      </c>
      <c r="K1" s="552" t="inlineStr">
        <is>
          <t>evidence_ids</t>
        </is>
      </c>
      <c r="L1" s="552" t="inlineStr">
        <is>
          <t>source_refs</t>
        </is>
      </c>
      <c r="M1" s="552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capacity</t>
        </is>
      </c>
      <c r="C1" s="552" t="inlineStr">
        <is>
          <t>drawn</t>
        </is>
      </c>
      <c r="D1" s="552" t="inlineStr">
        <is>
          <t>availability</t>
        </is>
      </c>
      <c r="E1" s="552" t="inlineStr">
        <is>
          <t>covenant_status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instrument</t>
        </is>
      </c>
      <c r="B1" s="552" t="inlineStr">
        <is>
          <t>principal</t>
        </is>
      </c>
      <c r="C1" s="552" t="inlineStr">
        <is>
          <t>coupon</t>
        </is>
      </c>
      <c r="D1" s="552" t="inlineStr">
        <is>
          <t>maturity</t>
        </is>
      </c>
      <c r="E1" s="552" t="inlineStr">
        <is>
          <t>secured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metric</t>
        </is>
      </c>
      <c r="B1" s="552" t="inlineStr">
        <is>
          <t>value</t>
        </is>
      </c>
      <c r="C1" s="552" t="inlineStr">
        <is>
          <t>period</t>
        </is>
      </c>
      <c r="D1" s="552" t="inlineStr">
        <is>
          <t>unit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period</t>
        </is>
      </c>
      <c r="B1" s="552" t="inlineStr">
        <is>
          <t>topic</t>
        </is>
      </c>
      <c r="C1" s="552" t="inlineStr">
        <is>
          <t>note</t>
        </is>
      </c>
      <c r="D1" s="552" t="inlineStr">
        <is>
          <t>covenant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period</t>
        </is>
      </c>
      <c r="B1" s="552" t="inlineStr">
        <is>
          <t>gross_debt</t>
        </is>
      </c>
      <c r="C1" s="552" t="inlineStr">
        <is>
          <t>net_debt</t>
        </is>
      </c>
      <c r="D1" s="552" t="inlineStr">
        <is>
          <t>liquidity</t>
        </is>
      </c>
      <c r="E1" s="552" t="inlineStr">
        <is>
          <t>leverage</t>
        </is>
      </c>
      <c r="F1" s="552" t="inlineStr">
        <is>
          <t>coverage</t>
        </is>
      </c>
      <c r="G1" s="552" t="inlineStr">
        <is>
          <t>source_ref</t>
        </is>
      </c>
      <c r="H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gaap_value</t>
        </is>
      </c>
      <c r="D1" s="552" t="inlineStr">
        <is>
          <t>adjusted_value</t>
        </is>
      </c>
      <c r="E1" s="552" t="inlineStr">
        <is>
          <t>adjustments</t>
        </is>
      </c>
      <c r="F1" s="552" t="inlineStr">
        <is>
          <t>credibility</t>
        </is>
      </c>
      <c r="G1" s="552" t="inlineStr">
        <is>
          <t>source_ref</t>
        </is>
      </c>
      <c r="H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metric</t>
        </is>
      </c>
      <c r="C1" s="552" t="inlineStr">
        <is>
          <t>gaap_value</t>
        </is>
      </c>
      <c r="D1" s="552" t="inlineStr">
        <is>
          <t>adjusted_value</t>
        </is>
      </c>
      <c r="E1" s="552" t="inlineStr">
        <is>
          <t>unit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period</t>
        </is>
      </c>
      <c r="B1" s="552" t="inlineStr">
        <is>
          <t>adjustment</t>
        </is>
      </c>
      <c r="C1" s="552" t="inlineStr">
        <is>
          <t>amount</t>
        </is>
      </c>
      <c r="D1" s="552" t="inlineStr">
        <is>
          <t>tax_treatment</t>
        </is>
      </c>
      <c r="E1" s="552" t="inlineStr">
        <is>
          <t>recurring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52" t="inlineStr">
        <is>
          <t>scenario_id</t>
        </is>
      </c>
      <c r="B1" s="552" t="inlineStr">
        <is>
          <t>driver_id</t>
        </is>
      </c>
      <c r="C1" s="552" t="inlineStr">
        <is>
          <t>profile_pack_id</t>
        </is>
      </c>
      <c r="D1" s="552" t="inlineStr">
        <is>
          <t>driver_type</t>
        </is>
      </c>
      <c r="E1" s="552" t="inlineStr">
        <is>
          <t>metric</t>
        </is>
      </c>
      <c r="F1" s="552" t="inlineStr">
        <is>
          <t>impact_metric</t>
        </is>
      </c>
      <c r="G1" s="552" t="inlineStr">
        <is>
          <t>value</t>
        </is>
      </c>
      <c r="H1" s="552" t="inlineStr">
        <is>
          <t>unit</t>
        </is>
      </c>
      <c r="I1" s="552" t="inlineStr">
        <is>
          <t>horizon</t>
        </is>
      </c>
      <c r="J1" s="552" t="inlineStr">
        <is>
          <t>dimension_id</t>
        </is>
      </c>
      <c r="K1" s="552" t="inlineStr">
        <is>
          <t>member</t>
        </is>
      </c>
      <c r="L1" s="552" t="inlineStr">
        <is>
          <t>source_classification</t>
        </is>
      </c>
      <c r="M1" s="552" t="inlineStr">
        <is>
          <t>tax_treatment</t>
        </is>
      </c>
      <c r="N1" s="552" t="inlineStr">
        <is>
          <t>cash_classification</t>
        </is>
      </c>
      <c r="O1" s="552" t="inlineStr">
        <is>
          <t>propagation_rule</t>
        </is>
      </c>
      <c r="P1" s="552" t="inlineStr">
        <is>
          <t>status</t>
        </is>
      </c>
      <c r="Q1" s="552" t="inlineStr">
        <is>
          <t>source_ref</t>
        </is>
      </c>
      <c r="R1" s="552" t="inlineStr">
        <is>
          <t>reason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52" t="inlineStr">
        <is>
          <t>scenario_id</t>
        </is>
      </c>
      <c r="B1" s="552" t="inlineStr">
        <is>
          <t>adjustment</t>
        </is>
      </c>
      <c r="C1" s="552" t="inlineStr">
        <is>
          <t>pretax_value</t>
        </is>
      </c>
      <c r="D1" s="552" t="inlineStr">
        <is>
          <t>tax_rate</t>
        </is>
      </c>
      <c r="E1" s="552" t="inlineStr">
        <is>
          <t>after_tax_value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52" t="inlineStr">
        <is>
          <t>scenario_id</t>
        </is>
      </c>
      <c r="B1" s="552" t="inlineStr">
        <is>
          <t>assumption_id</t>
        </is>
      </c>
      <c r="C1" s="552" t="inlineStr">
        <is>
          <t>metric</t>
        </is>
      </c>
      <c r="D1" s="552" t="inlineStr">
        <is>
          <t>value_kind</t>
        </is>
      </c>
      <c r="E1" s="552" t="inlineStr">
        <is>
          <t>value</t>
        </is>
      </c>
      <c r="F1" s="552" t="inlineStr">
        <is>
          <t>low_value</t>
        </is>
      </c>
      <c r="G1" s="552" t="inlineStr">
        <is>
          <t>high_value</t>
        </is>
      </c>
      <c r="H1" s="552" t="inlineStr">
        <is>
          <t>unit</t>
        </is>
      </c>
      <c r="I1" s="552" t="inlineStr">
        <is>
          <t>horizon</t>
        </is>
      </c>
      <c r="J1" s="552" t="inlineStr">
        <is>
          <t>dimension_id</t>
        </is>
      </c>
      <c r="K1" s="552" t="inlineStr">
        <is>
          <t>member</t>
        </is>
      </c>
      <c r="L1" s="552" t="inlineStr">
        <is>
          <t>source_classification</t>
        </is>
      </c>
      <c r="M1" s="552" t="inlineStr">
        <is>
          <t>propagation_rule</t>
        </is>
      </c>
      <c r="N1" s="552" t="inlineStr">
        <is>
          <t>status</t>
        </is>
      </c>
      <c r="O1" s="552" t="inlineStr">
        <is>
          <t>source_ref</t>
        </is>
      </c>
      <c r="P1" s="552" t="inlineStr">
        <is>
          <t>reason</t>
        </is>
      </c>
      <c r="Q1" s="552" t="inlineStr">
        <is>
          <t>profile_pack_id</t>
        </is>
      </c>
    </row>
    <row r="2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52" t="inlineStr">
        <is>
          <t>instrument</t>
        </is>
      </c>
      <c r="B1" s="552" t="inlineStr">
        <is>
          <t>bucket</t>
        </is>
      </c>
      <c r="C1" s="552" t="inlineStr">
        <is>
          <t>amount</t>
        </is>
      </c>
      <c r="D1" s="552" t="inlineStr">
        <is>
          <t>unit</t>
        </is>
      </c>
      <c r="E1" s="552" t="inlineStr">
        <is>
          <t>maturity</t>
        </is>
      </c>
      <c r="F1" s="552" t="inlineStr">
        <is>
          <t>source_ref</t>
        </is>
      </c>
      <c r="G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52" t="inlineStr">
        <is>
          <t>bucket</t>
        </is>
      </c>
      <c r="B1" s="552" t="inlineStr">
        <is>
          <t>amount</t>
        </is>
      </c>
      <c r="C1" s="552" t="inlineStr">
        <is>
          <t>unit</t>
        </is>
      </c>
      <c r="D1" s="552" t="inlineStr">
        <is>
          <t>as_of</t>
        </is>
      </c>
      <c r="E1" s="552" t="inlineStr">
        <is>
          <t>source_ref</t>
        </is>
      </c>
      <c r="F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period</t>
        </is>
      </c>
      <c r="B1" s="552" t="inlineStr">
        <is>
          <t>opening</t>
        </is>
      </c>
      <c r="C1" s="552" t="inlineStr">
        <is>
          <t>debt_issued</t>
        </is>
      </c>
      <c r="D1" s="552" t="inlineStr">
        <is>
          <t>debt_repaid</t>
        </is>
      </c>
      <c r="E1" s="552" t="inlineStr">
        <is>
          <t>other</t>
        </is>
      </c>
      <c r="F1" s="552" t="inlineStr">
        <is>
          <t>closing</t>
        </is>
      </c>
      <c r="G1" s="552" t="inlineStr">
        <is>
          <t>source_ref</t>
        </is>
      </c>
      <c r="H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period</t>
        </is>
      </c>
      <c r="B1" s="552" t="inlineStr">
        <is>
          <t>instrument</t>
        </is>
      </c>
      <c r="C1" s="552" t="inlineStr">
        <is>
          <t>principal</t>
        </is>
      </c>
      <c r="D1" s="552" t="inlineStr">
        <is>
          <t>coupon</t>
        </is>
      </c>
      <c r="E1" s="552" t="inlineStr">
        <is>
          <t>maturity</t>
        </is>
      </c>
      <c r="F1" s="552" t="inlineStr">
        <is>
          <t>secured</t>
        </is>
      </c>
      <c r="G1" s="552" t="inlineStr">
        <is>
          <t>source_ref</t>
        </is>
      </c>
      <c r="H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52" t="inlineStr">
        <is>
          <t>scenario_id</t>
        </is>
      </c>
      <c r="B1" s="552" t="inlineStr">
        <is>
          <t>row_driver</t>
        </is>
      </c>
      <c r="C1" s="552" t="inlineStr">
        <is>
          <t>column_driver</t>
        </is>
      </c>
      <c r="D1" s="552" t="inlineStr">
        <is>
          <t>output_metric</t>
        </is>
      </c>
      <c r="E1" s="552" t="inlineStr">
        <is>
          <t>value</t>
        </is>
      </c>
      <c r="F1" s="552" t="inlineStr">
        <is>
          <t>status</t>
        </is>
      </c>
    </row>
    <row r="2">
      <c r="A2">
        <f>"dcf"</f>
        <v/>
      </c>
      <c r="B2" s="501">
        <f>IF('Valuation'!$G$227="","",'Valuation'!$G$227)</f>
        <v/>
      </c>
      <c r="C2" s="501">
        <f>IF('Valuation'!$H$226="","",'Valuation'!$H$226)</f>
        <v/>
      </c>
      <c r="D2" t="inlineStr">
        <is>
          <t>implied_price</t>
        </is>
      </c>
      <c r="E2" s="508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1">
        <f>IF('Valuation'!$G$227="","",'Valuation'!$G$227)</f>
        <v/>
      </c>
      <c r="C3" s="501">
        <f>IF('Valuation'!$I$226="","",'Valuation'!$I$226)</f>
        <v/>
      </c>
      <c r="D3" t="inlineStr">
        <is>
          <t>implied_price</t>
        </is>
      </c>
      <c r="E3" s="508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1">
        <f>IF('Valuation'!$G$227="","",'Valuation'!$G$227)</f>
        <v/>
      </c>
      <c r="C4" s="501">
        <f>IF('Valuation'!$J$226="","",'Valuation'!$J$226)</f>
        <v/>
      </c>
      <c r="D4" t="inlineStr">
        <is>
          <t>implied_price</t>
        </is>
      </c>
      <c r="E4" s="508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1">
        <f>IF('Valuation'!$G$227="","",'Valuation'!$G$227)</f>
        <v/>
      </c>
      <c r="C5" s="501">
        <f>IF('Valuation'!$K$226="","",'Valuation'!$K$226)</f>
        <v/>
      </c>
      <c r="D5" t="inlineStr">
        <is>
          <t>implied_price</t>
        </is>
      </c>
      <c r="E5" s="508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1">
        <f>IF('Valuation'!$G$227="","",'Valuation'!$G$227)</f>
        <v/>
      </c>
      <c r="C6" s="501">
        <f>IF('Valuation'!$L$226="","",'Valuation'!$L$226)</f>
        <v/>
      </c>
      <c r="D6" t="inlineStr">
        <is>
          <t>implied_price</t>
        </is>
      </c>
      <c r="E6" s="508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1">
        <f>IF('Valuation'!$G$228="","",'Valuation'!$G$228)</f>
        <v/>
      </c>
      <c r="C7" s="501">
        <f>IF('Valuation'!$H$226="","",'Valuation'!$H$226)</f>
        <v/>
      </c>
      <c r="D7" t="inlineStr">
        <is>
          <t>implied_price</t>
        </is>
      </c>
      <c r="E7" s="508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1">
        <f>IF('Valuation'!$G$228="","",'Valuation'!$G$228)</f>
        <v/>
      </c>
      <c r="C8" s="501">
        <f>IF('Valuation'!$I$226="","",'Valuation'!$I$226)</f>
        <v/>
      </c>
      <c r="D8" t="inlineStr">
        <is>
          <t>implied_price</t>
        </is>
      </c>
      <c r="E8" s="508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1">
        <f>IF('Valuation'!$G$228="","",'Valuation'!$G$228)</f>
        <v/>
      </c>
      <c r="C9" s="501">
        <f>IF('Valuation'!$J$226="","",'Valuation'!$J$226)</f>
        <v/>
      </c>
      <c r="D9" t="inlineStr">
        <is>
          <t>implied_price</t>
        </is>
      </c>
      <c r="E9" s="508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1">
        <f>IF('Valuation'!$G$228="","",'Valuation'!$G$228)</f>
        <v/>
      </c>
      <c r="C10" s="501">
        <f>IF('Valuation'!$K$226="","",'Valuation'!$K$226)</f>
        <v/>
      </c>
      <c r="D10" t="inlineStr">
        <is>
          <t>implied_price</t>
        </is>
      </c>
      <c r="E10" s="508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1">
        <f>IF('Valuation'!$G$228="","",'Valuation'!$G$228)</f>
        <v/>
      </c>
      <c r="C11" s="501">
        <f>IF('Valuation'!$L$226="","",'Valuation'!$L$226)</f>
        <v/>
      </c>
      <c r="D11" t="inlineStr">
        <is>
          <t>implied_price</t>
        </is>
      </c>
      <c r="E11" s="508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1">
        <f>IF('Valuation'!$G$229="","",'Valuation'!$G$229)</f>
        <v/>
      </c>
      <c r="C12" s="501">
        <f>IF('Valuation'!$H$226="","",'Valuation'!$H$226)</f>
        <v/>
      </c>
      <c r="D12" t="inlineStr">
        <is>
          <t>implied_price</t>
        </is>
      </c>
      <c r="E12" s="508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1">
        <f>IF('Valuation'!$G$229="","",'Valuation'!$G$229)</f>
        <v/>
      </c>
      <c r="C13" s="501">
        <f>IF('Valuation'!$I$226="","",'Valuation'!$I$226)</f>
        <v/>
      </c>
      <c r="D13" t="inlineStr">
        <is>
          <t>implied_price</t>
        </is>
      </c>
      <c r="E13" s="508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1">
        <f>IF('Valuation'!$G$229="","",'Valuation'!$G$229)</f>
        <v/>
      </c>
      <c r="C14" s="501">
        <f>IF('Valuation'!$J$226="","",'Valuation'!$J$226)</f>
        <v/>
      </c>
      <c r="D14" t="inlineStr">
        <is>
          <t>implied_price</t>
        </is>
      </c>
      <c r="E14" s="508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1">
        <f>IF('Valuation'!$G$229="","",'Valuation'!$G$229)</f>
        <v/>
      </c>
      <c r="C15" s="501">
        <f>IF('Valuation'!$K$226="","",'Valuation'!$K$226)</f>
        <v/>
      </c>
      <c r="D15" t="inlineStr">
        <is>
          <t>implied_price</t>
        </is>
      </c>
      <c r="E15" s="508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1">
        <f>IF('Valuation'!$G$229="","",'Valuation'!$G$229)</f>
        <v/>
      </c>
      <c r="C16" s="501">
        <f>IF('Valuation'!$L$226="","",'Valuation'!$L$226)</f>
        <v/>
      </c>
      <c r="D16" t="inlineStr">
        <is>
          <t>implied_price</t>
        </is>
      </c>
      <c r="E16" s="508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1">
        <f>IF('Valuation'!$G$230="","",'Valuation'!$G$230)</f>
        <v/>
      </c>
      <c r="C17" s="501">
        <f>IF('Valuation'!$H$226="","",'Valuation'!$H$226)</f>
        <v/>
      </c>
      <c r="D17" t="inlineStr">
        <is>
          <t>implied_price</t>
        </is>
      </c>
      <c r="E17" s="508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1">
        <f>IF('Valuation'!$G$230="","",'Valuation'!$G$230)</f>
        <v/>
      </c>
      <c r="C18" s="501">
        <f>IF('Valuation'!$I$226="","",'Valuation'!$I$226)</f>
        <v/>
      </c>
      <c r="D18" t="inlineStr">
        <is>
          <t>implied_price</t>
        </is>
      </c>
      <c r="E18" s="508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1">
        <f>IF('Valuation'!$G$230="","",'Valuation'!$G$230)</f>
        <v/>
      </c>
      <c r="C19" s="501">
        <f>IF('Valuation'!$J$226="","",'Valuation'!$J$226)</f>
        <v/>
      </c>
      <c r="D19" t="inlineStr">
        <is>
          <t>implied_price</t>
        </is>
      </c>
      <c r="E19" s="508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1">
        <f>IF('Valuation'!$G$230="","",'Valuation'!$G$230)</f>
        <v/>
      </c>
      <c r="C20" s="501">
        <f>IF('Valuation'!$K$226="","",'Valuation'!$K$226)</f>
        <v/>
      </c>
      <c r="D20" t="inlineStr">
        <is>
          <t>implied_price</t>
        </is>
      </c>
      <c r="E20" s="508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1">
        <f>IF('Valuation'!$G$230="","",'Valuation'!$G$230)</f>
        <v/>
      </c>
      <c r="C21" s="501">
        <f>IF('Valuation'!$L$226="","",'Valuation'!$L$226)</f>
        <v/>
      </c>
      <c r="D21" t="inlineStr">
        <is>
          <t>implied_price</t>
        </is>
      </c>
      <c r="E21" s="508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1">
        <f>IF('Valuation'!$G$231="","",'Valuation'!$G$231)</f>
        <v/>
      </c>
      <c r="C22" s="501">
        <f>IF('Valuation'!$H$226="","",'Valuation'!$H$226)</f>
        <v/>
      </c>
      <c r="D22" t="inlineStr">
        <is>
          <t>implied_price</t>
        </is>
      </c>
      <c r="E22" s="508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1">
        <f>IF('Valuation'!$G$231="","",'Valuation'!$G$231)</f>
        <v/>
      </c>
      <c r="C23" s="501">
        <f>IF('Valuation'!$I$226="","",'Valuation'!$I$226)</f>
        <v/>
      </c>
      <c r="D23" t="inlineStr">
        <is>
          <t>implied_price</t>
        </is>
      </c>
      <c r="E23" s="508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1">
        <f>IF('Valuation'!$G$231="","",'Valuation'!$G$231)</f>
        <v/>
      </c>
      <c r="C24" s="501">
        <f>IF('Valuation'!$J$226="","",'Valuation'!$J$226)</f>
        <v/>
      </c>
      <c r="D24" t="inlineStr">
        <is>
          <t>implied_price</t>
        </is>
      </c>
      <c r="E24" s="508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1">
        <f>IF('Valuation'!$G$231="","",'Valuation'!$G$231)</f>
        <v/>
      </c>
      <c r="C25" s="501">
        <f>IF('Valuation'!$K$226="","",'Valuation'!$K$226)</f>
        <v/>
      </c>
      <c r="D25" t="inlineStr">
        <is>
          <t>implied_price</t>
        </is>
      </c>
      <c r="E25" s="508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1">
        <f>IF('Valuation'!$G$231="","",'Valuation'!$G$231)</f>
        <v/>
      </c>
      <c r="C26" s="501">
        <f>IF('Valuation'!$L$226="","",'Valuation'!$L$226)</f>
        <v/>
      </c>
      <c r="D26" t="inlineStr">
        <is>
          <t>implied_price</t>
        </is>
      </c>
      <c r="E26" s="508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1">
        <f>IF('Valuation'!$G$232="","",'Valuation'!$G$232)</f>
        <v/>
      </c>
      <c r="C27" s="501">
        <f>IF('Valuation'!$H$226="","",'Valuation'!$H$226)</f>
        <v/>
      </c>
      <c r="D27" t="inlineStr">
        <is>
          <t>implied_price</t>
        </is>
      </c>
      <c r="E27" s="508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1">
        <f>IF('Valuation'!$G$232="","",'Valuation'!$G$232)</f>
        <v/>
      </c>
      <c r="C28" s="501">
        <f>IF('Valuation'!$I$226="","",'Valuation'!$I$226)</f>
        <v/>
      </c>
      <c r="D28" t="inlineStr">
        <is>
          <t>implied_price</t>
        </is>
      </c>
      <c r="E28" s="508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1">
        <f>IF('Valuation'!$G$232="","",'Valuation'!$G$232)</f>
        <v/>
      </c>
      <c r="C29" s="501">
        <f>IF('Valuation'!$J$226="","",'Valuation'!$J$226)</f>
        <v/>
      </c>
      <c r="D29" t="inlineStr">
        <is>
          <t>implied_price</t>
        </is>
      </c>
      <c r="E29" s="508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1">
        <f>IF('Valuation'!$G$232="","",'Valuation'!$G$232)</f>
        <v/>
      </c>
      <c r="C30" s="501">
        <f>IF('Valuation'!$K$226="","",'Valuation'!$K$226)</f>
        <v/>
      </c>
      <c r="D30" t="inlineStr">
        <is>
          <t>implied_price</t>
        </is>
      </c>
      <c r="E30" s="508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1">
        <f>IF('Valuation'!$G$232="","",'Valuation'!$G$232)</f>
        <v/>
      </c>
      <c r="C31" s="501">
        <f>IF('Valuation'!$L$226="","",'Valuation'!$L$226)</f>
        <v/>
      </c>
      <c r="D31" t="inlineStr">
        <is>
          <t>implied_price</t>
        </is>
      </c>
      <c r="E31" s="508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1">
        <f>IF('Valuation'!$G$233="","",'Valuation'!$G$233)</f>
        <v/>
      </c>
      <c r="C32" s="501">
        <f>IF('Valuation'!$H$226="","",'Valuation'!$H$226)</f>
        <v/>
      </c>
      <c r="D32" t="inlineStr">
        <is>
          <t>implied_price</t>
        </is>
      </c>
      <c r="E32" s="508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1">
        <f>IF('Valuation'!$G$233="","",'Valuation'!$G$233)</f>
        <v/>
      </c>
      <c r="C33" s="501">
        <f>IF('Valuation'!$I$226="","",'Valuation'!$I$226)</f>
        <v/>
      </c>
      <c r="D33" t="inlineStr">
        <is>
          <t>implied_price</t>
        </is>
      </c>
      <c r="E33" s="508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1">
        <f>IF('Valuation'!$G$233="","",'Valuation'!$G$233)</f>
        <v/>
      </c>
      <c r="C34" s="501">
        <f>IF('Valuation'!$J$226="","",'Valuation'!$J$226)</f>
        <v/>
      </c>
      <c r="D34" t="inlineStr">
        <is>
          <t>implied_price</t>
        </is>
      </c>
      <c r="E34" s="508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1">
        <f>IF('Valuation'!$G$233="","",'Valuation'!$G$233)</f>
        <v/>
      </c>
      <c r="C35" s="501">
        <f>IF('Valuation'!$K$226="","",'Valuation'!$K$226)</f>
        <v/>
      </c>
      <c r="D35" t="inlineStr">
        <is>
          <t>implied_price</t>
        </is>
      </c>
      <c r="E35" s="508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1">
        <f>IF('Valuation'!$G$233="","",'Valuation'!$G$233)</f>
        <v/>
      </c>
      <c r="C36" s="501">
        <f>IF('Valuation'!$L$226="","",'Valuation'!$L$226)</f>
        <v/>
      </c>
      <c r="D36" t="inlineStr">
        <is>
          <t>implied_price</t>
        </is>
      </c>
      <c r="E36" s="508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1">
        <f>IF('Valuation'!$G$234="","",'Valuation'!$G$234)</f>
        <v/>
      </c>
      <c r="C37" s="501">
        <f>IF('Valuation'!$H$226="","",'Valuation'!$H$226)</f>
        <v/>
      </c>
      <c r="D37" t="inlineStr">
        <is>
          <t>implied_price</t>
        </is>
      </c>
      <c r="E37" s="508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1">
        <f>IF('Valuation'!$G$234="","",'Valuation'!$G$234)</f>
        <v/>
      </c>
      <c r="C38" s="501">
        <f>IF('Valuation'!$I$226="","",'Valuation'!$I$226)</f>
        <v/>
      </c>
      <c r="D38" t="inlineStr">
        <is>
          <t>implied_price</t>
        </is>
      </c>
      <c r="E38" s="508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1">
        <f>IF('Valuation'!$G$234="","",'Valuation'!$G$234)</f>
        <v/>
      </c>
      <c r="C39" s="501">
        <f>IF('Valuation'!$J$226="","",'Valuation'!$J$226)</f>
        <v/>
      </c>
      <c r="D39" t="inlineStr">
        <is>
          <t>implied_price</t>
        </is>
      </c>
      <c r="E39" s="508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1">
        <f>IF('Valuation'!$G$234="","",'Valuation'!$G$234)</f>
        <v/>
      </c>
      <c r="C40" s="501">
        <f>IF('Valuation'!$K$226="","",'Valuation'!$K$226)</f>
        <v/>
      </c>
      <c r="D40" t="inlineStr">
        <is>
          <t>implied_price</t>
        </is>
      </c>
      <c r="E40" s="508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1">
        <f>IF('Valuation'!$G$234="","",'Valuation'!$G$234)</f>
        <v/>
      </c>
      <c r="C41" s="501">
        <f>IF('Valuation'!$L$226="","",'Valuation'!$L$226)</f>
        <v/>
      </c>
      <c r="D41" t="inlineStr">
        <is>
          <t>implied_price</t>
        </is>
      </c>
      <c r="E41" s="508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08">
        <f>IF(ScenarioImpliedPrice="","",ScenarioImpliedPrice)</f>
        <v/>
      </c>
      <c r="F42">
        <f>IF(E42="","unavailable","calculated")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52" t="inlineStr">
        <is>
          <t>promise_key</t>
        </is>
      </c>
      <c r="B1" s="552" t="inlineStr">
        <is>
          <t>metric</t>
        </is>
      </c>
      <c r="C1" s="552" t="inlineStr">
        <is>
          <t>horizon</t>
        </is>
      </c>
      <c r="D1" s="552" t="inlineStr">
        <is>
          <t>stage</t>
        </is>
      </c>
      <c r="E1" s="552" t="inlineStr">
        <is>
          <t>value</t>
        </is>
      </c>
      <c r="F1" s="552" t="inlineStr">
        <is>
          <t>actual</t>
        </is>
      </c>
      <c r="G1" s="552" t="inlineStr">
        <is>
          <t>status</t>
        </is>
      </c>
      <c r="H1" s="552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52" t="inlineStr">
        <is>
          <t>period</t>
        </is>
      </c>
      <c r="B1" s="552" t="inlineStr">
        <is>
          <t>adjustment</t>
        </is>
      </c>
      <c r="C1" s="552" t="inlineStr">
        <is>
          <t>amount</t>
        </is>
      </c>
      <c r="D1" s="552" t="inlineStr">
        <is>
          <t>unit</t>
        </is>
      </c>
      <c r="E1" s="552" t="inlineStr">
        <is>
          <t>recurring</t>
        </is>
      </c>
      <c r="F1" s="552" t="inlineStr">
        <is>
          <t>cash_noncash</t>
        </is>
      </c>
      <c r="G1" s="552" t="inlineStr">
        <is>
          <t>tax_treatment</t>
        </is>
      </c>
      <c r="H1" s="552" t="inlineStr">
        <is>
          <t>source_ref</t>
        </is>
      </c>
      <c r="I1" s="552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52" t="inlineStr">
        <is>
          <t>source_ref</t>
        </is>
      </c>
      <c r="B1" s="552" t="inlineStr">
        <is>
          <t>page</t>
        </is>
      </c>
      <c r="C1" s="552" t="inlineStr">
        <is>
          <t>row_key</t>
        </is>
      </c>
      <c r="D1" s="552" t="inlineStr">
        <is>
          <t>text</t>
        </is>
      </c>
      <c r="E1" s="552" t="inlineStr">
        <is>
          <t>parser_status</t>
        </is>
      </c>
      <c r="F1" s="552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