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ic_product_projection_rows">'{ticker}_Investment_Case_Data'!$T$2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debt_profile_resolved_rows">'Debt_Profile'!$A$4</definedName>
    <definedName name="revolver_history_resolved_rows">'Revolver_History'!$A$4</definedName>
    <definedName name="revolver_history_companion_rows">'Revolver_History'!$L$4</definedName>
    <definedName name="leverage_liquidity_resolved_rows">'Leverage_Liquidity'!$A$4</definedName>
    <definedName name="leverage_liquidity_availability_rows">'Leverage_Liquidity'!$G$4</definedName>
    <definedName name="leverage_liquidity_companion_rows">'Leverage_Liquidity'!$L$4</definedName>
    <definedName name="debt_credit_notes_resolved_rows">'Debt_Credit_Notes'!$A$4</definedName>
    <definedName name="debt_maturity_ladder_resolved_rows">'Debt_Maturity_Ladder'!$A$4</definedName>
    <definedName name="valuation_input_net_income_ttm">'Valuation'!$D$217</definedName>
    <definedName name="valuation_capital_return_latest_quarter_header">'Valuation'!$B$153</definedName>
    <definedName name="valuation_capital_return_ttm_header">'Valuation'!$C$153</definedName>
    <definedName name="valuation_capital_return_annual_header">'Valuation'!$D$153</definedName>
    <definedName name="valuation_capital_return_product_rows">'Valuation'!$A$154</definedName>
    <definedName name="valuation_capital_return_support_rows">'Valuation'!$AD$172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InvestmentCaseDimensionOptions">'{ticker}_Investment_Case_Data'!$AV$2:$AV$4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0"/>
</workbook>
</file>

<file path=xl/styles.xml><?xml version="1.0" encoding="utf-8"?>
<styleSheet xmlns="http://schemas.openxmlformats.org/spreadsheetml/2006/main">
  <numFmts count="24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-#,##0.0"/>
    <numFmt numFmtId="178" formatCode="0.00x;-0.00x"/>
    <numFmt numFmtId="179" formatCode="#,##0.0;-#,##0.0"/>
    <numFmt numFmtId="180" formatCode="0.0%;-0.0%"/>
    <numFmt numFmtId="181" formatCode="0.000;-0.000"/>
    <numFmt numFmtId="182" formatCode="$0.00;-$0.00"/>
    <numFmt numFmtId="183" formatCode="$#,##0.00;-$#,##0.00"/>
    <numFmt numFmtId="184" formatCode="#,##0.000;-#,##0.000"/>
    <numFmt numFmtId="185" formatCode="0.000x"/>
    <numFmt numFmtId="186" formatCode="0.0000000000"/>
    <numFmt numFmtId="187" formatCode="0.00;-0.00"/>
  </numFmts>
  <fonts count="5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  <font>
      <name val="Aptos Display"/>
      <b val="1"/>
      <color rgb="00FFFFFF"/>
      <sz val="14"/>
    </font>
    <font>
      <name val="Aptos"/>
      <color rgb="001F2933"/>
      <sz val="11"/>
    </font>
    <font>
      <name val="Aptos"/>
      <b val="1"/>
      <color rgb="001F2933"/>
      <sz val="11"/>
    </font>
    <font>
      <name val="Aptos"/>
      <i val="1"/>
      <color rgb="0052606D"/>
      <sz val="10"/>
    </font>
    <font>
      <name val="Aptos Display"/>
      <b val="1"/>
      <color rgb="00FFFFFF"/>
      <sz val="16"/>
    </font>
    <font>
      <name val="Aptos"/>
      <b val="1"/>
      <color rgb="00FFFFFF"/>
      <sz val="14"/>
    </font>
    <font>
      <name val="Aptos"/>
      <b val="1"/>
      <color rgb="001F1F1F"/>
      <sz val="11"/>
    </font>
    <font>
      <name val="Aptos"/>
      <color rgb="001F1F1F"/>
      <sz val="11"/>
    </font>
    <font>
      <name val="Aptos"/>
      <color rgb="00595959"/>
      <sz val="10"/>
    </font>
  </fonts>
  <fills count="35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  <fill>
      <patternFill patternType="solid">
        <fgColor rgb="001F4E78"/>
      </patternFill>
    </fill>
    <fill>
      <patternFill patternType="solid">
        <fgColor rgb="00D9E2F3"/>
      </patternFill>
    </fill>
  </fills>
  <borders count="56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  <border>
      <bottom style="thin">
        <color rgb="00D9E2F3"/>
      </bottom>
    </border>
  </borders>
  <cellStyleXfs count="1">
    <xf numFmtId="0" fontId="0" fillId="0" borderId="0"/>
  </cellStyleXfs>
  <cellXfs count="58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80" fontId="0" fillId="4" borderId="0" applyAlignment="1" pivotButton="0" quotePrefix="0" xfId="0">
      <alignment horizontal="center" vertical="center"/>
    </xf>
    <xf numFmtId="182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80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3" fontId="14" fillId="19" borderId="19" applyAlignment="1" pivotButton="0" quotePrefix="0" xfId="0">
      <alignment horizontal="left" vertical="center"/>
    </xf>
    <xf numFmtId="183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1" fontId="17" fillId="0" borderId="0" pivotButton="0" quotePrefix="0" xfId="0"/>
    <xf numFmtId="182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52" fillId="5" borderId="0" applyAlignment="1" pivotButton="0" quotePrefix="0" xfId="0">
      <alignment horizontal="left" vertical="center" wrapText="1"/>
    </xf>
    <xf numFmtId="0" fontId="53" fillId="11" borderId="0" applyAlignment="1" pivotButton="0" quotePrefix="0" xfId="0">
      <alignment horizontal="left" vertical="center" wrapText="1"/>
    </xf>
    <xf numFmtId="0" fontId="53" fillId="11" borderId="0" applyAlignment="1" pivotButton="0" quotePrefix="0" xfId="0">
      <alignment horizontal="center" vertical="center" wrapText="1"/>
    </xf>
    <xf numFmtId="0" fontId="54" fillId="0" borderId="55" applyAlignment="1" pivotButton="0" quotePrefix="0" xfId="0">
      <alignment horizontal="left" vertical="center" wrapText="1"/>
    </xf>
    <xf numFmtId="179" fontId="54" fillId="0" borderId="55" applyAlignment="1" pivotButton="0" quotePrefix="0" xfId="0">
      <alignment horizontal="left" vertical="center" wrapText="1"/>
    </xf>
    <xf numFmtId="0" fontId="55" fillId="0" borderId="55" applyAlignment="1" pivotButton="0" quotePrefix="0" xfId="0">
      <alignment horizontal="left" vertical="center" wrapText="1"/>
    </xf>
    <xf numFmtId="184" fontId="54" fillId="0" borderId="55" applyAlignment="1" pivotButton="0" quotePrefix="0" xfId="0">
      <alignment horizontal="left" vertical="center" wrapText="1"/>
    </xf>
    <xf numFmtId="187" fontId="54" fillId="0" borderId="55" applyAlignment="1" pivotButton="0" quotePrefix="0" xfId="0">
      <alignment horizontal="left" vertical="center" wrapText="1"/>
    </xf>
    <xf numFmtId="180" fontId="54" fillId="0" borderId="55" applyAlignment="1" pivotButton="0" quotePrefix="0" xfId="0">
      <alignment horizontal="left" vertical="center" wrapText="1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3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3" fontId="17" fillId="0" borderId="0" applyAlignment="1" pivotButton="0" quotePrefix="0" xfId="0">
      <alignment horizontal="right" vertical="bottom"/>
    </xf>
    <xf numFmtId="183" fontId="17" fillId="15" borderId="10" applyAlignment="1" pivotButton="0" quotePrefix="0" xfId="0">
      <alignment horizontal="right" vertical="bottom"/>
    </xf>
    <xf numFmtId="183" fontId="17" fillId="15" borderId="11" applyAlignment="1" pivotButton="0" quotePrefix="0" xfId="0">
      <alignment horizontal="right" vertical="bottom"/>
    </xf>
    <xf numFmtId="183" fontId="17" fillId="15" borderId="12" applyAlignment="1" pivotButton="0" quotePrefix="0" xfId="0">
      <alignment horizontal="right" vertical="bottom"/>
    </xf>
    <xf numFmtId="183" fontId="17" fillId="15" borderId="13" applyAlignment="1" pivotButton="0" quotePrefix="0" xfId="0">
      <alignment horizontal="right" vertical="bottom"/>
    </xf>
    <xf numFmtId="183" fontId="17" fillId="15" borderId="14" applyAlignment="1" pivotButton="0" quotePrefix="0" xfId="0">
      <alignment horizontal="right" vertical="bottom"/>
    </xf>
    <xf numFmtId="183" fontId="17" fillId="15" borderId="15" applyAlignment="1" pivotButton="0" quotePrefix="0" xfId="0">
      <alignment horizontal="right" vertical="bottom"/>
    </xf>
    <xf numFmtId="183" fontId="17" fillId="15" borderId="16" applyAlignment="1" pivotButton="0" quotePrefix="0" xfId="0">
      <alignment horizontal="right" vertical="bottom"/>
    </xf>
    <xf numFmtId="183" fontId="17" fillId="15" borderId="17" applyAlignment="1" pivotButton="0" quotePrefix="0" xfId="0">
      <alignment horizontal="right" vertical="bottom"/>
    </xf>
    <xf numFmtId="183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3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4" fontId="17" fillId="0" borderId="0" pivotButton="0" quotePrefix="0" xfId="0"/>
    <xf numFmtId="177" fontId="0" fillId="0" borderId="0" pivotButton="0" quotePrefix="0" xfId="0"/>
    <xf numFmtId="182" fontId="17" fillId="0" borderId="27" pivotButton="0" quotePrefix="0" xfId="0"/>
    <xf numFmtId="183" fontId="0" fillId="0" borderId="0" pivotButton="0" quotePrefix="0" xfId="0"/>
    <xf numFmtId="179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80" fontId="22" fillId="19" borderId="2" applyAlignment="1" pivotButton="0" quotePrefix="0" xfId="0">
      <alignment horizontal="right"/>
    </xf>
    <xf numFmtId="178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51" fillId="21" borderId="19" applyAlignment="1" pivotButton="0" quotePrefix="0" xfId="0">
      <alignment horizontal="center" vertical="center"/>
    </xf>
    <xf numFmtId="0" fontId="0" fillId="21" borderId="19" pivotButton="0" quotePrefix="0" xfId="0"/>
    <xf numFmtId="0" fontId="47" fillId="2" borderId="19" applyAlignment="1" pivotButton="0" quotePrefix="0" xfId="0">
      <alignment horizontal="left" vertical="center"/>
    </xf>
    <xf numFmtId="0" fontId="48" fillId="22" borderId="19" applyAlignment="1" pivotButton="0" quotePrefix="0" xfId="0">
      <alignment horizontal="left" vertical="center" wrapText="1"/>
    </xf>
    <xf numFmtId="0" fontId="48" fillId="0" borderId="22" applyAlignment="1" pivotButton="0" quotePrefix="0" xfId="0">
      <alignment horizontal="left" vertical="center" wrapText="1"/>
    </xf>
    <xf numFmtId="0" fontId="48" fillId="0" borderId="23" applyAlignment="1" pivotButton="0" quotePrefix="0" xfId="0">
      <alignment horizontal="left" vertical="center" wrapText="1"/>
    </xf>
    <xf numFmtId="0" fontId="48" fillId="0" borderId="0" applyAlignment="1" pivotButton="0" quotePrefix="0" xfId="0">
      <alignment horizontal="left" vertical="center" wrapText="1"/>
    </xf>
    <xf numFmtId="0" fontId="48" fillId="16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 wrapText="1"/>
    </xf>
    <xf numFmtId="0" fontId="50" fillId="19" borderId="19" applyAlignment="1" pivotButton="0" quotePrefix="0" xfId="0">
      <alignment horizontal="left" vertical="center" wrapText="1"/>
    </xf>
    <xf numFmtId="0" fontId="0" fillId="0" borderId="22" applyAlignment="1" pivotButton="0" quotePrefix="0" xfId="0">
      <alignment horizontal="left" vertical="center" wrapText="1"/>
    </xf>
    <xf numFmtId="0" fontId="0" fillId="0" borderId="23" applyAlignment="1" pivotButton="0" quotePrefix="0" xfId="0">
      <alignment horizontal="left" vertical="center" wrapText="1"/>
    </xf>
    <xf numFmtId="0" fontId="49" fillId="23" borderId="19" applyAlignment="1" pivotButton="0" quotePrefix="0" xfId="0">
      <alignment horizontal="center" vertical="center" wrapText="1"/>
    </xf>
    <xf numFmtId="170" fontId="49" fillId="23" borderId="19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49" fillId="24" borderId="19" applyAlignment="1" pivotButton="0" quotePrefix="0" xfId="0">
      <alignment horizontal="left" vertical="center" wrapText="1"/>
    </xf>
    <xf numFmtId="182" fontId="48" fillId="19" borderId="19" applyAlignment="1" pivotButton="0" quotePrefix="0" xfId="0">
      <alignment horizontal="left" vertical="center" wrapText="1"/>
    </xf>
    <xf numFmtId="184" fontId="48" fillId="19" borderId="19" applyAlignment="1" pivotButton="0" quotePrefix="0" xfId="0">
      <alignment horizontal="left" vertical="center" wrapText="1"/>
    </xf>
    <xf numFmtId="177" fontId="48" fillId="19" borderId="19" applyAlignment="1" pivotButton="0" quotePrefix="0" xfId="0">
      <alignment horizontal="left" vertical="center" wrapText="1"/>
    </xf>
    <xf numFmtId="180" fontId="48" fillId="19" borderId="19" applyAlignment="1" pivotButton="0" quotePrefix="0" xfId="0">
      <alignment horizontal="left" vertical="center" wrapText="1"/>
    </xf>
    <xf numFmtId="0" fontId="48" fillId="19" borderId="19" applyAlignment="1" pivotButton="0" quotePrefix="0" xfId="0">
      <alignment horizontal="left" vertical="center"/>
    </xf>
    <xf numFmtId="169" fontId="49" fillId="23" borderId="19" applyAlignment="1" pivotButton="0" quotePrefix="0" xfId="0">
      <alignment horizontal="center" vertical="center" wrapText="1"/>
    </xf>
    <xf numFmtId="166" fontId="49" fillId="23" borderId="19" applyAlignment="1" pivotButton="0" quotePrefix="0" xfId="0">
      <alignment horizontal="center" vertical="center" wrapText="1"/>
    </xf>
    <xf numFmtId="0" fontId="48" fillId="14" borderId="19" applyAlignment="1" applyProtection="1" pivotButton="0" quotePrefix="0" xfId="0">
      <alignment horizontal="left" vertical="center" wrapText="1"/>
      <protection locked="0" hidden="0"/>
    </xf>
    <xf numFmtId="169" fontId="48" fillId="19" borderId="19" applyAlignment="1" pivotButton="0" quotePrefix="0" xfId="0">
      <alignment horizontal="left" vertical="center" wrapText="1"/>
    </xf>
    <xf numFmtId="166" fontId="48" fillId="19" borderId="19" applyAlignment="1" pivotButton="0" quotePrefix="0" xfId="0">
      <alignment horizontal="left" vertical="center" wrapText="1"/>
    </xf>
    <xf numFmtId="180" fontId="48" fillId="14" borderId="19" applyAlignment="1" applyProtection="1" pivotButton="0" quotePrefix="0" xfId="0">
      <alignment horizontal="left" vertical="center" wrapText="1"/>
      <protection locked="0" hidden="0"/>
    </xf>
    <xf numFmtId="49" fontId="49" fillId="23" borderId="19" applyAlignment="1" pivotButton="0" quotePrefix="0" xfId="0">
      <alignment horizontal="center" vertical="center" wrapText="1"/>
    </xf>
    <xf numFmtId="177" fontId="48" fillId="14" borderId="19" applyAlignment="1" applyProtection="1" pivotButton="0" quotePrefix="0" xfId="0">
      <alignment horizontal="left" vertical="center" wrapText="1"/>
      <protection locked="0" hidden="0"/>
    </xf>
    <xf numFmtId="182" fontId="48" fillId="14" borderId="19" applyAlignment="1" applyProtection="1" pivotButton="0" quotePrefix="0" xfId="0">
      <alignment horizontal="left" vertical="center" wrapText="1"/>
      <protection locked="0" hidden="0"/>
    </xf>
    <xf numFmtId="184" fontId="48" fillId="14" borderId="19" applyAlignment="1" applyProtection="1" pivotButton="0" quotePrefix="0" xfId="0">
      <alignment horizontal="left" vertical="center" wrapText="1"/>
      <protection locked="0" hidden="0"/>
    </xf>
    <xf numFmtId="170" fontId="48" fillId="19" borderId="19" applyAlignment="1" pivotButton="0" quotePrefix="0" xfId="0">
      <alignment horizontal="left" vertical="center" wrapText="1"/>
    </xf>
    <xf numFmtId="178" fontId="48" fillId="19" borderId="19" applyAlignment="1" pivotButton="0" quotePrefix="0" xfId="0">
      <alignment horizontal="left" vertical="center" wrapText="1"/>
    </xf>
    <xf numFmtId="178" fontId="48" fillId="14" borderId="19" applyAlignment="1" applyProtection="1" pivotButton="0" quotePrefix="0" xfId="0">
      <alignment horizontal="left" vertical="center" wrapText="1"/>
      <protection locked="0" hidden="0"/>
    </xf>
    <xf numFmtId="1" fontId="48" fillId="19" borderId="19" applyAlignment="1" pivotButton="0" quotePrefix="0" xfId="0">
      <alignment horizontal="left" vertical="center" wrapText="1"/>
    </xf>
    <xf numFmtId="1" fontId="48" fillId="14" borderId="19" applyAlignment="1" applyProtection="1" pivotButton="0" quotePrefix="0" xfId="0">
      <alignment horizontal="left" vertical="center" wrapText="1"/>
      <protection locked="0" hidden="0"/>
    </xf>
    <xf numFmtId="0" fontId="47" fillId="2" borderId="19" applyAlignment="1" pivotButton="0" quotePrefix="0" xfId="0">
      <alignment horizontal="left" vertical="center" wrapText="1"/>
    </xf>
    <xf numFmtId="185" fontId="48" fillId="19" borderId="19" applyAlignment="1" pivotButton="0" quotePrefix="0" xfId="0">
      <alignment horizontal="left" vertical="center" wrapText="1"/>
    </xf>
    <xf numFmtId="170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/>
    </xf>
    <xf numFmtId="171" fontId="48" fillId="19" borderId="19" applyAlignment="1" pivotButton="0" quotePrefix="0" xfId="0">
      <alignment horizontal="left" vertical="center" wrapText="1"/>
    </xf>
    <xf numFmtId="166" fontId="49" fillId="24" borderId="19" applyAlignment="1" pivotButton="0" quotePrefix="0" xfId="0">
      <alignment horizontal="left" vertical="center" wrapText="1"/>
    </xf>
    <xf numFmtId="182" fontId="49" fillId="34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80" fontId="0" fillId="0" borderId="0" pivotButton="0" quotePrefix="0" xfId="0"/>
    <xf numFmtId="174" fontId="0" fillId="0" borderId="0" pivotButton="0" quotePrefix="0" xfId="0"/>
    <xf numFmtId="184" fontId="0" fillId="0" borderId="0" pivotButton="0" quotePrefix="0" xfId="0"/>
    <xf numFmtId="182" fontId="0" fillId="0" borderId="0" pivotButton="0" quotePrefix="0" xfId="0"/>
    <xf numFmtId="1" fontId="0" fillId="0" borderId="0" pivotButton="0" quotePrefix="0" xfId="0"/>
    <xf numFmtId="186" fontId="0" fillId="0" borderId="0" pivotButton="0" quotePrefix="0" xfId="0"/>
    <xf numFmtId="0" fontId="47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46" fillId="21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178" fontId="0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2F4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36" customHeight="1">
      <c r="A17" s="5" t="n"/>
    </row>
    <row r="18" ht="36" customHeight="1">
      <c r="A18" s="4" t="n"/>
    </row>
    <row r="19" ht="36" customHeight="1">
      <c r="A19" s="5" t="n"/>
    </row>
    <row r="20" ht="36" customHeight="1">
      <c r="A20" s="4" t="n"/>
    </row>
    <row r="21" ht="36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42" customHeight="1">
      <c r="A23" s="4" t="n"/>
    </row>
    <row r="24" ht="42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TTM ($m)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n"/>
      <c r="D27" s="16" t="n"/>
      <c r="E27" s="16" t="n"/>
      <c r="F27" s="16" t="n"/>
    </row>
    <row r="28" ht="22" customHeight="1">
      <c r="A28" s="9" t="inlineStr">
        <is>
          <t>Revenue, latest quarter ($m)</t>
        </is>
      </c>
      <c r="B28" s="17" t="n"/>
      <c r="C28" s="11" t="n"/>
      <c r="D28" s="12" t="n"/>
      <c r="E28" s="12" t="n"/>
      <c r="F28" s="12" t="n"/>
    </row>
    <row r="29" ht="22" customHeight="1">
      <c r="A29" s="13" t="inlineStr">
        <is>
          <t>Revenue growth YoY, latest quarter (%)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n"/>
      <c r="D29" s="16" t="n"/>
      <c r="E29" s="16" t="n"/>
      <c r="F29" s="16" t="n"/>
    </row>
    <row r="30" ht="22" customHeight="1">
      <c r="A30" s="9" t="inlineStr">
        <is>
          <t>Net income, latest quarter ($m)</t>
        </is>
      </c>
      <c r="B30" s="17" t="n"/>
      <c r="C30" s="11" t="n"/>
      <c r="D30" s="12" t="n"/>
      <c r="E30" s="12" t="n"/>
      <c r="F30" s="12" t="n"/>
    </row>
    <row r="31" ht="22" customHeight="1">
      <c r="A31" s="13" t="inlineStr">
        <is>
          <t>Net income growth YoY, latest quarter (%)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n"/>
      <c r="D31" s="16" t="n"/>
      <c r="E31" s="16" t="n"/>
      <c r="F31" s="16" t="n"/>
    </row>
    <row r="32" ht="22" customHeight="1">
      <c r="A32" s="9" t="inlineStr">
        <is>
          <t>GAAP diluted EPS ($/share)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n"/>
      <c r="D32" s="12" t="n"/>
      <c r="E32" s="12" t="n"/>
      <c r="F32" s="12" t="n"/>
    </row>
    <row r="33" ht="22" customHeight="1">
      <c r="A33" s="13" t="inlineStr">
        <is>
          <t>GAAP diluted EPS growth YoY (%)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n"/>
      <c r="D33" s="16" t="n"/>
      <c r="E33" s="16" t="n"/>
      <c r="F33" s="16" t="n"/>
    </row>
    <row r="34" ht="22" customHeight="1">
      <c r="A34" s="9" t="inlineStr">
        <is>
          <t>Total debt, latest quarter ($m)</t>
        </is>
      </c>
      <c r="B34" s="19" t="inlineStr">
        <is>
          <t>N/A</t>
        </is>
      </c>
      <c r="C34" s="11" t="n"/>
      <c r="D34" s="12" t="n"/>
      <c r="E34" s="12" t="n"/>
      <c r="F34" s="12" t="n"/>
    </row>
    <row r="35" ht="22" customHeight="1">
      <c r="A35" s="13" t="inlineStr">
        <is>
          <t>Debt-to-equity, latest quarter (x)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FCF TTM ($m)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n"/>
      <c r="D36" s="12" t="n"/>
      <c r="E36" s="12" t="n"/>
      <c r="F36" s="12" t="n"/>
    </row>
    <row r="37" ht="22" customHeight="1">
      <c r="A37" s="13" t="inlineStr">
        <is>
          <t>FCF growth YoY, latest quarter (%)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n"/>
      <c r="D37" s="16" t="n"/>
      <c r="E37" s="16" t="n"/>
      <c r="F37" s="16" t="n"/>
    </row>
    <row r="38" ht="22" customHeight="1">
      <c r="A38" s="9" t="inlineStr">
        <is>
          <t>P/E, price-linked (x)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P/S, price-linked (x)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 (x)</t>
        </is>
      </c>
      <c r="B41" s="19" t="n"/>
      <c r="C41" s="11" t="n"/>
      <c r="D41" s="12" t="n"/>
      <c r="E41" s="12" t="n"/>
      <c r="F41" s="12" t="n"/>
    </row>
    <row r="42" ht="22" customHeight="1">
      <c r="A42" s="13" t="inlineStr">
        <is>
          <t>Interest coverage, P&amp;L TTM (x)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n"/>
      <c r="D42" s="16" t="n"/>
      <c r="E42" s="16" t="n"/>
      <c r="F42" s="16" t="n"/>
    </row>
    <row r="43" ht="22" customHeight="1">
      <c r="A43" s="9" t="inlineStr">
        <is>
          <t>Interest coverage, cash TTM (x)</t>
        </is>
      </c>
      <c r="B43" s="19" t="inlineStr">
        <is>
          <t>N/A</t>
        </is>
      </c>
      <c r="C43" s="11" t="n"/>
      <c r="D43" s="12" t="n"/>
      <c r="E43" s="12" t="n"/>
      <c r="F43" s="12" t="n"/>
    </row>
    <row r="44" ht="22" customHeight="1">
      <c r="A44" s="13" t="inlineStr">
        <is>
          <t>Revolver availability ($m)</t>
        </is>
      </c>
      <c r="B44" s="20" t="n"/>
      <c r="C44" s="15" t="n"/>
      <c r="D44" s="446" t="n"/>
    </row>
    <row r="45" ht="22" customHeight="1">
      <c r="A45" s="9" t="inlineStr">
        <is>
          <t>Total liquidity ($m)</t>
        </is>
      </c>
      <c r="B45" s="17" t="n"/>
      <c r="C45" s="11" t="n"/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71"/>
  <sheetViews>
    <sheetView zoomScale="110" zoomScaleNormal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hidden="1" width="12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8" t="inlineStr">
        <is>
          <t>Output</t>
        </is>
      </c>
      <c r="P63" s="47" t="n"/>
      <c r="Q63" s="47" t="n"/>
      <c r="R63" s="47" t="n"/>
      <c r="S63" s="47" t="n"/>
      <c r="T63" s="46" t="n"/>
      <c r="U63" s="448" t="inlineStr">
        <is>
          <t>Value</t>
        </is>
      </c>
      <c r="V63" s="47" t="n"/>
      <c r="W63" s="46" t="n"/>
      <c r="X63" s="448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6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7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6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7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6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7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6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6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8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9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8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0">
        <f>IF(OR(B73="",B84="",B84=0),"",B73/B84)</f>
        <v/>
      </c>
      <c r="C86" s="460">
        <f>IF(OR(C73="",C84="",C84=0),"",C73/C84)</f>
        <v/>
      </c>
      <c r="D86" s="460">
        <f>IF(OR(D73="",D84="",D84=0),"",D73/D84)</f>
        <v/>
      </c>
      <c r="E86" s="460">
        <f>IF(OR(E73="",E84="",E84=0),"",E73/E84)</f>
        <v/>
      </c>
      <c r="F86" s="460">
        <f>IF(OR(F73="",F84="",F84=0),"",F73/F84)</f>
        <v/>
      </c>
      <c r="G86" s="460">
        <f>IF(OR(G73="",G84="",G84=0),"",G73/G84)</f>
        <v/>
      </c>
      <c r="H86" s="460">
        <f>IF(OR(H73="",H84="",H84=0),"",H73/H84)</f>
        <v/>
      </c>
      <c r="I86" s="460">
        <f>IF(OR(I73="",I84="",I84=0),"",I73/I84)</f>
        <v/>
      </c>
      <c r="J86" s="460">
        <f>IF(OR(J73="",J84="",J84=0),"",J73/J84)</f>
        <v/>
      </c>
      <c r="K86" s="460">
        <f>IF(OR(K73="",K84="",K84=0),"",K73/K84)</f>
        <v/>
      </c>
      <c r="L86" s="460">
        <f>IF(OR(L73="",L84="",L84=0),"",L73/L84)</f>
        <v/>
      </c>
      <c r="M86" s="460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0">
        <f>IF(OR(B73="",B85="",B85=0),"",B73/B85)</f>
        <v/>
      </c>
      <c r="C87" s="460">
        <f>IF(OR(C73="",C85="",C85=0),"",C73/C85)</f>
        <v/>
      </c>
      <c r="D87" s="460">
        <f>IF(OR(D73="",D85="",D85=0),"",D73/D85)</f>
        <v/>
      </c>
      <c r="E87" s="460">
        <f>IF(OR(E73="",E85="",E85=0),"",E73/E85)</f>
        <v/>
      </c>
      <c r="F87" s="460">
        <f>IF(OR(F73="",F85="",F85=0),"",F73/F85)</f>
        <v/>
      </c>
      <c r="G87" s="460">
        <f>IF(OR(G73="",G85="",G85=0),"",G73/G85)</f>
        <v/>
      </c>
      <c r="H87" s="460">
        <f>IF(OR(H73="",H85="",H85=0),"",H73/H85)</f>
        <v/>
      </c>
      <c r="I87" s="460">
        <f>IF(OR(I73="",I85="",I85=0),"",I73/I85)</f>
        <v/>
      </c>
      <c r="J87" s="460">
        <f>IF(OR(J73="",J85="",J85=0),"",J73/J85)</f>
        <v/>
      </c>
      <c r="K87" s="460">
        <f>IF(OR(K73="",K85="",K85=0),"",K73/K85)</f>
        <v/>
      </c>
      <c r="L87" s="460">
        <f>IF(OR(L73="",L85="",L85=0),"",L73/L85)</f>
        <v/>
      </c>
      <c r="M87" s="460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2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2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2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2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2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2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2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2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2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2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2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2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2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2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2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2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2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2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2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2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2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2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2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2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2">
        <f>IF(OR(B268="",B103="",B103=0),"",B268/B103)</f>
        <v/>
      </c>
      <c r="C113" s="462">
        <f>IF(OR(C268="",C103="",C103=0),"",C268/C103)</f>
        <v/>
      </c>
      <c r="D113" s="462">
        <f>IF(OR(D268="",D103="",D103=0),"",D268/D103)</f>
        <v/>
      </c>
      <c r="E113" s="462">
        <f>IF(OR(E268="",E103="",E103=0),"",E268/E103)</f>
        <v/>
      </c>
      <c r="F113" s="462">
        <f>IF(OR(F268="",F103="",F103=0),"",F268/F103)</f>
        <v/>
      </c>
      <c r="G113" s="462">
        <f>IF(OR(G268="",G103="",G103=0),"",G268/G103)</f>
        <v/>
      </c>
      <c r="H113" s="462">
        <f>IF(OR(H268="",H103="",H103=0),"",H268/H103)</f>
        <v/>
      </c>
      <c r="I113" s="462">
        <f>IF(OR(I268="",I103="",I103=0),"",I268/I103)</f>
        <v/>
      </c>
      <c r="J113" s="462">
        <f>IF(OR(J268="",J103="",J103=0),"",J268/J103)</f>
        <v/>
      </c>
      <c r="K113" s="462">
        <f>IF(OR(K268="",K103="",K103=0),"",K268/K103)</f>
        <v/>
      </c>
      <c r="L113" s="462">
        <f>IF(OR(L268="",L103="",L103=0),"",L268/L103)</f>
        <v/>
      </c>
      <c r="M113" s="462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2">
        <f>IF(OR(B268="",B269="",B270="",B103="",B103=0),"",(B268-B269-B270)/B103)</f>
        <v/>
      </c>
      <c r="C114" s="462">
        <f>IF(OR(C268="",C269="",C270="",C103="",C103=0),"",(C268-C269-C270)/C103)</f>
        <v/>
      </c>
      <c r="D114" s="462">
        <f>IF(OR(D268="",D269="",D270="",D103="",D103=0),"",(D268-D269-D270)/D103)</f>
        <v/>
      </c>
      <c r="E114" s="462">
        <f>IF(OR(E268="",E269="",E270="",E103="",E103=0),"",(E268-E269-E270)/E103)</f>
        <v/>
      </c>
      <c r="F114" s="462">
        <f>IF(OR(F268="",F269="",F270="",F103="",F103=0),"",(F268-F269-F270)/F103)</f>
        <v/>
      </c>
      <c r="G114" s="462">
        <f>IF(OR(G268="",G269="",G270="",G103="",G103=0),"",(G268-G269-G270)/G103)</f>
        <v/>
      </c>
      <c r="H114" s="462">
        <f>IF(OR(H268="",H269="",H270="",H103="",H103=0),"",(H268-H269-H270)/H103)</f>
        <v/>
      </c>
      <c r="I114" s="462">
        <f>IF(OR(I268="",I269="",I270="",I103="",I103=0),"",(I268-I269-I270)/I103)</f>
        <v/>
      </c>
      <c r="J114" s="462">
        <f>IF(OR(J268="",J269="",J270="",J103="",J103=0),"",(J268-J269-J270)/J103)</f>
        <v/>
      </c>
      <c r="K114" s="462">
        <f>IF(OR(K268="",K269="",K270="",K103="",K103=0),"",(K268-K269-K270)/K103)</f>
        <v/>
      </c>
      <c r="L114" s="462">
        <f>IF(OR(L268="",L269="",L270="",L103="",L103=0),"",(L268-L269-L270)/L103)</f>
        <v/>
      </c>
      <c r="M114" s="462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2">
        <f>IF(OR(B49="",B102="",B102=0),"",B49/B102)</f>
        <v/>
      </c>
      <c r="C115" s="462">
        <f>IF(OR(C49="",C102="",C102=0),"",C49/C102)</f>
        <v/>
      </c>
      <c r="D115" s="462">
        <f>IF(OR(D49="",D102="",D102=0),"",D49/D102)</f>
        <v/>
      </c>
      <c r="E115" s="462">
        <f>IF(OR(E49="",E102="",E102=0),"",E49/E102)</f>
        <v/>
      </c>
      <c r="F115" s="462">
        <f>IF(OR(F49="",F102="",F102=0),"",F49/F102)</f>
        <v/>
      </c>
      <c r="G115" s="462">
        <f>IF(OR(G49="",G102="",G102=0),"",G49/G102)</f>
        <v/>
      </c>
      <c r="H115" s="462">
        <f>IF(OR(H49="",H102="",H102=0),"",H49/H102)</f>
        <v/>
      </c>
      <c r="I115" s="462">
        <f>IF(OR(I49="",I102="",I102=0),"",I49/I102)</f>
        <v/>
      </c>
      <c r="J115" s="462">
        <f>IF(OR(J49="",J102="",J102=0),"",J49/J102)</f>
        <v/>
      </c>
      <c r="K115" s="462">
        <f>IF(OR(K49="",K102="",K102=0),"",K49/K102)</f>
        <v/>
      </c>
      <c r="L115" s="462">
        <f>IF(OR(L49="",L102="",L102=0),"",L49/L102)</f>
        <v/>
      </c>
      <c r="M115" s="462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3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4" t="inlineStr">
        <is>
          <t>Metric</t>
        </is>
      </c>
      <c r="B123" s="464" t="inlineStr">
        <is>
          <t>Value</t>
        </is>
      </c>
      <c r="C123" s="464" t="inlineStr">
        <is>
          <t>Unit</t>
        </is>
      </c>
      <c r="D123" s="464" t="inlineStr">
        <is>
          <t>As of</t>
        </is>
      </c>
      <c r="E123" s="464" t="inlineStr">
        <is>
          <t>Status</t>
        </is>
      </c>
      <c r="F123" s="464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5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5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5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5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5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5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6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5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3" t="inlineStr">
        <is>
          <t>Hidden value flags</t>
        </is>
      </c>
      <c r="N137" s="467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8" t="inlineStr">
        <is>
          <t>Summary</t>
        </is>
      </c>
      <c r="C138" s="468" t="inlineStr"/>
      <c r="D138" s="468" t="inlineStr"/>
      <c r="E138" s="468" t="inlineStr"/>
      <c r="F138" s="468" t="inlineStr">
        <is>
          <t>Score</t>
        </is>
      </c>
      <c r="G138" s="468" t="inlineStr">
        <is>
          <t>State</t>
        </is>
      </c>
      <c r="H138" s="468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9" t="n"/>
      <c r="G139" s="470" t="n"/>
      <c r="H139" s="470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1" t="n"/>
      <c r="C140" s="28" t="n"/>
      <c r="D140" s="28" t="n"/>
      <c r="E140" s="28" t="n"/>
      <c r="F140" s="472" t="n"/>
      <c r="G140" s="473" t="n"/>
      <c r="H140" s="473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1" t="n"/>
      <c r="C141" s="28" t="n"/>
      <c r="D141" s="28" t="n"/>
      <c r="E141" s="28" t="n"/>
      <c r="F141" s="472" t="n"/>
      <c r="G141" s="473" t="n"/>
      <c r="H141" s="473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1" t="n"/>
      <c r="C142" s="28" t="n"/>
      <c r="D142" s="28" t="n"/>
      <c r="E142" s="28" t="n"/>
      <c r="F142" s="472" t="n"/>
      <c r="G142" s="473" t="n"/>
      <c r="H142" s="473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1" t="n"/>
      <c r="C143" s="28" t="n"/>
      <c r="D143" s="28" t="n"/>
      <c r="E143" s="28" t="n"/>
      <c r="F143" s="472" t="n"/>
      <c r="G143" s="473" t="n"/>
      <c r="H143" s="473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24" customHeight="1">
      <c r="A152" s="474" t="inlineStr">
        <is>
          <t>Capital Return</t>
        </is>
      </c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42" customHeight="1">
      <c r="A153" s="475" t="inlineStr">
        <is>
          <t>Metric</t>
        </is>
      </c>
      <c r="B153" s="476" t="n"/>
      <c r="C153" s="476" t="n"/>
      <c r="D153" s="476" t="n"/>
      <c r="E153" s="475" t="inlineStr">
        <is>
          <t>State / context</t>
        </is>
      </c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24" customHeight="1">
      <c r="A154" s="477" t="n"/>
      <c r="B154" s="478" t="n"/>
      <c r="C154" s="478" t="n"/>
      <c r="D154" s="478" t="n"/>
      <c r="E154" s="479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24" customHeight="1">
      <c r="A155" s="477" t="n"/>
      <c r="B155" s="480" t="n"/>
      <c r="C155" s="480" t="n"/>
      <c r="D155" s="480" t="n"/>
      <c r="E155" s="479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24" customHeight="1">
      <c r="A156" s="477" t="n"/>
      <c r="B156" s="481" t="n"/>
      <c r="C156" s="481" t="n"/>
      <c r="D156" s="481" t="n"/>
      <c r="E156" s="479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24" customHeight="1">
      <c r="A157" s="477" t="n"/>
      <c r="B157" s="480" t="n"/>
      <c r="C157" s="480" t="n"/>
      <c r="D157" s="480" t="n"/>
      <c r="E157" s="479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24" customHeight="1">
      <c r="A158" s="477" t="n"/>
      <c r="B158" s="480" t="n"/>
      <c r="C158" s="480" t="n"/>
      <c r="D158" s="480" t="n"/>
      <c r="E158" s="479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24" customHeight="1">
      <c r="A159" s="477" t="n"/>
      <c r="B159" s="480" t="n"/>
      <c r="C159" s="480" t="n"/>
      <c r="D159" s="480" t="n"/>
      <c r="E159" s="479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24" customHeight="1">
      <c r="A160" s="477" t="n"/>
      <c r="B160" s="480" t="n"/>
      <c r="C160" s="480" t="n"/>
      <c r="D160" s="480" t="n"/>
      <c r="E160" s="479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24" customHeight="1">
      <c r="A161" s="477" t="n"/>
      <c r="B161" s="478" t="n"/>
      <c r="C161" s="478" t="n"/>
      <c r="D161" s="478" t="n"/>
      <c r="E161" s="479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24" customHeight="1">
      <c r="A162" s="477" t="n"/>
      <c r="B162" s="481" t="n"/>
      <c r="C162" s="481" t="n"/>
      <c r="D162" s="481" t="n"/>
      <c r="E162" s="479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24" customHeight="1">
      <c r="A163" s="477" t="n"/>
      <c r="B163" s="478" t="n"/>
      <c r="C163" s="478" t="n"/>
      <c r="D163" s="478" t="n"/>
      <c r="E163" s="479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24" customHeight="1">
      <c r="A164" s="477" t="n"/>
      <c r="B164" s="481" t="n"/>
      <c r="C164" s="481" t="n"/>
      <c r="D164" s="481" t="n"/>
      <c r="E164" s="479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24" customHeight="1">
      <c r="A165" s="477" t="n"/>
      <c r="B165" s="478" t="n"/>
      <c r="C165" s="478" t="n"/>
      <c r="D165" s="478" t="n"/>
      <c r="E165" s="479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24" customHeight="1">
      <c r="A166" s="477" t="n"/>
      <c r="B166" s="482" t="n"/>
      <c r="C166" s="482" t="n"/>
      <c r="D166" s="482" t="n"/>
      <c r="E166" s="479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24" customHeight="1">
      <c r="A167" s="477" t="n"/>
      <c r="B167" s="482" t="n"/>
      <c r="C167" s="482" t="n"/>
      <c r="D167" s="482" t="n"/>
      <c r="E167" s="479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24" customHeight="1">
      <c r="A168" s="477" t="n"/>
      <c r="B168" s="482" t="n"/>
      <c r="C168" s="482" t="n"/>
      <c r="D168" s="482" t="n"/>
      <c r="E168" s="479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inlineStr">
        <is>
          <t>row_key</t>
        </is>
      </c>
      <c r="AE171" s="22" t="inlineStr">
        <is>
          <t>metric_id</t>
        </is>
      </c>
      <c r="AF171" s="22" t="inlineStr">
        <is>
          <t>semantic_role</t>
        </is>
      </c>
      <c r="AG171" s="22" t="inlineStr">
        <is>
          <t>latest_record_id</t>
        </is>
      </c>
      <c r="AH171" s="22" t="inlineStr">
        <is>
          <t>ttm_record_id</t>
        </is>
      </c>
      <c r="AI171" s="22" t="inlineStr">
        <is>
          <t>annual_record_id</t>
        </is>
      </c>
      <c r="AJ171" t="inlineStr">
        <is>
          <t>latest_evidence_ref</t>
        </is>
      </c>
      <c r="AK171" t="inlineStr">
        <is>
          <t>ttm_evidence_ref</t>
        </is>
      </c>
      <c r="AL171" t="inlineStr">
        <is>
          <t>annual_evidence_ref</t>
        </is>
      </c>
      <c r="AM171" t="inlineStr">
        <is>
          <t>latest_classification</t>
        </is>
      </c>
      <c r="AN171" t="inlineStr">
        <is>
          <t>ttm_classification</t>
        </is>
      </c>
      <c r="AO171" t="inlineStr">
        <is>
          <t>annual_classification</t>
        </is>
      </c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83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84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85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85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85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85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85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85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85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86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86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87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87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88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88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9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90" t="n"/>
      <c r="E218" s="22" t="n"/>
      <c r="F218" s="22" t="n"/>
      <c r="G218" s="48" t="inlineStr">
        <is>
          <t>Starting FCFF ($m)</t>
        </is>
      </c>
      <c r="J218" s="488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90" t="n"/>
      <c r="E219" s="22" t="n"/>
      <c r="F219" s="22" t="n"/>
      <c r="G219" s="48" t="inlineStr">
        <is>
          <t>Growth (projection period)</t>
        </is>
      </c>
      <c r="J219" s="487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50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90" t="n"/>
      <c r="E220" s="22" t="n"/>
      <c r="F220" s="22" t="n"/>
      <c r="G220" s="48" t="inlineStr">
        <is>
          <t>Terminal growth</t>
        </is>
      </c>
      <c r="J220" s="487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87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50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91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92" t="n"/>
      <c r="I226" s="493" t="n"/>
      <c r="J226" s="493" t="n"/>
      <c r="K226" s="493" t="n"/>
      <c r="L226" s="492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92" t="n"/>
      <c r="H227" s="494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94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94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94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94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93" t="n"/>
      <c r="H228" s="494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95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96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97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94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93" t="n"/>
      <c r="H229" s="494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98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9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500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94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93" t="n"/>
      <c r="H230" s="494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98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9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500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94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93" t="n"/>
      <c r="H231" s="494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98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9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500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94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93" t="n"/>
      <c r="H232" s="494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501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502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503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94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92" t="n"/>
      <c r="H233" s="494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94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94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94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94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504" t="n"/>
      <c r="H234" s="505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505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505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505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505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506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507" t="n"/>
      <c r="L236" s="125" t="inlineStr">
        <is>
          <t>Market cap ($m)</t>
        </is>
      </c>
      <c r="N236" s="508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87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508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87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508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88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508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88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9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50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9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50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85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50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10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50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11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12" t="n"/>
      <c r="E247" s="507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12" t="n"/>
      <c r="E248" s="507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1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12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507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507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507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507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13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14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51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50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14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15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16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17" t="n"/>
      <c r="C262" s="517" t="n"/>
      <c r="D262" s="517" t="n"/>
      <c r="E262" s="517" t="n"/>
      <c r="F262" s="517" t="n"/>
      <c r="G262" s="517" t="n"/>
      <c r="H262" s="517" t="n"/>
      <c r="I262" s="517" t="n"/>
      <c r="J262" s="517" t="n"/>
      <c r="K262" s="517" t="n"/>
      <c r="L262" s="517" t="n"/>
      <c r="M262" s="517" t="n"/>
    </row>
    <row r="263" hidden="1">
      <c r="A263" t="inlineStr">
        <is>
          <t>Formula input: interest_expense</t>
        </is>
      </c>
      <c r="B263" s="517" t="n"/>
      <c r="C263" s="517" t="n"/>
      <c r="D263" s="517" t="n"/>
      <c r="E263" s="517" t="n"/>
      <c r="F263" s="517" t="n"/>
      <c r="G263" s="517" t="n"/>
      <c r="H263" s="517" t="n"/>
      <c r="I263" s="517" t="n"/>
      <c r="J263" s="517" t="n"/>
      <c r="K263" s="517" t="n"/>
      <c r="L263" s="517" t="n"/>
      <c r="M263" s="517" t="n"/>
    </row>
    <row r="264" hidden="1">
      <c r="A264" t="inlineStr">
        <is>
          <t>Formula input: dividends_cash</t>
        </is>
      </c>
      <c r="B264" s="517" t="n"/>
      <c r="C264" s="517" t="n"/>
      <c r="D264" s="517" t="n"/>
      <c r="E264" s="517" t="n"/>
      <c r="F264" s="517" t="n"/>
      <c r="G264" s="517" t="n"/>
      <c r="H264" s="517" t="n"/>
      <c r="I264" s="517" t="n"/>
      <c r="J264" s="517" t="n"/>
      <c r="K264" s="517" t="n"/>
      <c r="L264" s="517" t="n"/>
      <c r="M264" s="517" t="n"/>
    </row>
    <row r="265" hidden="1">
      <c r="A265" t="inlineStr">
        <is>
          <t>Formula input: acquisitions_cash</t>
        </is>
      </c>
      <c r="B265" s="517" t="n"/>
      <c r="C265" s="517" t="n"/>
      <c r="D265" s="517" t="n"/>
      <c r="E265" s="517" t="n"/>
      <c r="F265" s="517" t="n"/>
      <c r="G265" s="517" t="n"/>
      <c r="H265" s="517" t="n"/>
      <c r="I265" s="517" t="n"/>
      <c r="J265" s="517" t="n"/>
      <c r="K265" s="517" t="n"/>
      <c r="L265" s="517" t="n"/>
      <c r="M265" s="517" t="n"/>
    </row>
    <row r="266" hidden="1">
      <c r="A266" t="inlineStr">
        <is>
          <t>Formula input: debt_repayment</t>
        </is>
      </c>
      <c r="B266" s="517" t="n"/>
      <c r="C266" s="517" t="n"/>
      <c r="D266" s="517" t="n"/>
      <c r="E266" s="517" t="n"/>
      <c r="F266" s="517" t="n"/>
      <c r="G266" s="517" t="n"/>
      <c r="H266" s="517" t="n"/>
      <c r="I266" s="517" t="n"/>
      <c r="J266" s="517" t="n"/>
      <c r="K266" s="517" t="n"/>
      <c r="L266" s="517" t="n"/>
      <c r="M266" s="517" t="n"/>
    </row>
    <row r="267" hidden="1">
      <c r="A267" t="inlineStr">
        <is>
          <t>Formula input: debt_issuance</t>
        </is>
      </c>
      <c r="B267" s="517" t="n"/>
      <c r="C267" s="517" t="n"/>
      <c r="D267" s="517" t="n"/>
      <c r="E267" s="517" t="n"/>
      <c r="F267" s="517" t="n"/>
      <c r="G267" s="517" t="n"/>
      <c r="H267" s="517" t="n"/>
      <c r="I267" s="517" t="n"/>
      <c r="J267" s="517" t="n"/>
      <c r="K267" s="517" t="n"/>
      <c r="L267" s="517" t="n"/>
      <c r="M267" s="517" t="n"/>
    </row>
    <row r="268" hidden="1">
      <c r="A268" t="inlineStr">
        <is>
          <t>Formula input: total_equity</t>
        </is>
      </c>
      <c r="B268" s="517" t="n"/>
      <c r="C268" s="517" t="n"/>
      <c r="D268" s="517" t="n"/>
      <c r="E268" s="517" t="n"/>
      <c r="F268" s="517" t="n"/>
      <c r="G268" s="517" t="n"/>
      <c r="H268" s="517" t="n"/>
      <c r="I268" s="517" t="n"/>
      <c r="J268" s="517" t="n"/>
      <c r="K268" s="517" t="n"/>
      <c r="L268" s="517" t="n"/>
      <c r="M268" s="517" t="n"/>
    </row>
    <row r="269" hidden="1">
      <c r="A269" t="inlineStr">
        <is>
          <t>Formula input: goodwill</t>
        </is>
      </c>
      <c r="B269" s="517" t="n"/>
      <c r="C269" s="517" t="n"/>
      <c r="D269" s="517" t="n"/>
      <c r="E269" s="517" t="n"/>
      <c r="F269" s="517" t="n"/>
      <c r="G269" s="517" t="n"/>
      <c r="H269" s="517" t="n"/>
      <c r="I269" s="517" t="n"/>
      <c r="J269" s="517" t="n"/>
      <c r="K269" s="517" t="n"/>
      <c r="L269" s="517" t="n"/>
      <c r="M269" s="517" t="n"/>
    </row>
    <row r="270" hidden="1">
      <c r="A270" t="inlineStr">
        <is>
          <t>Formula input: intangibles</t>
        </is>
      </c>
      <c r="B270" s="517" t="n"/>
      <c r="C270" s="517" t="n"/>
      <c r="D270" s="517" t="n"/>
      <c r="E270" s="517" t="n"/>
      <c r="F270" s="517" t="n"/>
      <c r="G270" s="517" t="n"/>
      <c r="H270" s="517" t="n"/>
      <c r="I270" s="517" t="n"/>
      <c r="J270" s="517" t="n"/>
      <c r="K270" s="517" t="n"/>
      <c r="L270" s="517" t="n"/>
      <c r="M270" s="517" t="n"/>
    </row>
    <row r="271" hidden="1">
      <c r="A271" t="inlineStr">
        <is>
          <t>Formula output: operating_cash_flow_ttm</t>
        </is>
      </c>
      <c r="B271" s="514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14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14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14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14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14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14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14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14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14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14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14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36">
    <mergeCell ref="E153:M153"/>
    <mergeCell ref="E155:M155"/>
    <mergeCell ref="B139:E139"/>
    <mergeCell ref="O207:S207"/>
    <mergeCell ref="E157:M157"/>
    <mergeCell ref="X73:AC73"/>
    <mergeCell ref="Z53:AA53"/>
    <mergeCell ref="A31:M31"/>
    <mergeCell ref="O200:S200"/>
    <mergeCell ref="O32:P32"/>
    <mergeCell ref="B241:D241"/>
    <mergeCell ref="O202:S202"/>
    <mergeCell ref="U73:W73"/>
    <mergeCell ref="B205:C205"/>
    <mergeCell ref="O55:P55"/>
    <mergeCell ref="F237:K237"/>
    <mergeCell ref="B242:D242"/>
    <mergeCell ref="F130:M130"/>
    <mergeCell ref="X66:AC66"/>
    <mergeCell ref="U247:W247"/>
    <mergeCell ref="A42:M42"/>
    <mergeCell ref="B200:C200"/>
    <mergeCell ref="O63:T63"/>
    <mergeCell ref="O195:S195"/>
    <mergeCell ref="Q238:U238"/>
    <mergeCell ref="O74:T74"/>
    <mergeCell ref="F127:M127"/>
    <mergeCell ref="S17:W17"/>
    <mergeCell ref="B195:C195"/>
    <mergeCell ref="O27:AC27"/>
    <mergeCell ref="E154:M154"/>
    <mergeCell ref="B239:D239"/>
    <mergeCell ref="AA12:AC12"/>
    <mergeCell ref="F194:J194"/>
    <mergeCell ref="B5:M5"/>
    <mergeCell ref="AA14:AC14"/>
    <mergeCell ref="O51:P51"/>
    <mergeCell ref="B235:K235"/>
    <mergeCell ref="O58:P58"/>
    <mergeCell ref="A137:M137"/>
    <mergeCell ref="B213:C213"/>
    <mergeCell ref="U74:W74"/>
    <mergeCell ref="O208:S208"/>
    <mergeCell ref="S32:W32"/>
    <mergeCell ref="B244:D244"/>
    <mergeCell ref="A76:M76"/>
    <mergeCell ref="F238:K238"/>
    <mergeCell ref="F205:J205"/>
    <mergeCell ref="B208:C208"/>
    <mergeCell ref="S247:T247"/>
    <mergeCell ref="F240:K240"/>
    <mergeCell ref="B210:C210"/>
    <mergeCell ref="B260:D260"/>
    <mergeCell ref="Q56:W56"/>
    <mergeCell ref="X69:AC69"/>
    <mergeCell ref="O73:T73"/>
    <mergeCell ref="F200:J200"/>
    <mergeCell ref="O66:T66"/>
    <mergeCell ref="O68:T68"/>
    <mergeCell ref="S20:W20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X247:AA247"/>
    <mergeCell ref="F213:J213"/>
    <mergeCell ref="F215:J215"/>
    <mergeCell ref="H138:I138"/>
    <mergeCell ref="S33:W33"/>
    <mergeCell ref="K205:M205"/>
    <mergeCell ref="Q51:W51"/>
    <mergeCell ref="B261:D261"/>
    <mergeCell ref="S35:W35"/>
    <mergeCell ref="AA28:AC28"/>
    <mergeCell ref="F210:J210"/>
    <mergeCell ref="A3:M3"/>
    <mergeCell ref="B207:C207"/>
    <mergeCell ref="AA30:AC30"/>
    <mergeCell ref="A97:M97"/>
    <mergeCell ref="Q239:U239"/>
    <mergeCell ref="X52:Y52"/>
    <mergeCell ref="U72:W72"/>
    <mergeCell ref="F201:J201"/>
    <mergeCell ref="X63:AC63"/>
    <mergeCell ref="E163:M163"/>
    <mergeCell ref="F203:J203"/>
    <mergeCell ref="O16:P16"/>
    <mergeCell ref="N141:Q141"/>
    <mergeCell ref="Q52:W52"/>
    <mergeCell ref="Q236:U236"/>
    <mergeCell ref="U63:W63"/>
    <mergeCell ref="K197:M197"/>
    <mergeCell ref="F131:M131"/>
    <mergeCell ref="K201:M201"/>
    <mergeCell ref="O17:P17"/>
    <mergeCell ref="O11:P11"/>
    <mergeCell ref="Q237:U237"/>
    <mergeCell ref="B197:C197"/>
    <mergeCell ref="F216:J216"/>
    <mergeCell ref="AA34:AC34"/>
    <mergeCell ref="B259:D259"/>
    <mergeCell ref="F193:J193"/>
    <mergeCell ref="AA31:AC31"/>
    <mergeCell ref="K210:M210"/>
    <mergeCell ref="Q240:U240"/>
    <mergeCell ref="K193:M193"/>
    <mergeCell ref="N137:R137"/>
    <mergeCell ref="Q222:R222"/>
    <mergeCell ref="O194:S194"/>
    <mergeCell ref="F206:J206"/>
    <mergeCell ref="K209:M209"/>
    <mergeCell ref="K203:M203"/>
    <mergeCell ref="A116:M116"/>
    <mergeCell ref="S16:W16"/>
    <mergeCell ref="O19:P19"/>
    <mergeCell ref="B194:C194"/>
    <mergeCell ref="K217:O217"/>
    <mergeCell ref="A17:M17"/>
    <mergeCell ref="U66:W66"/>
    <mergeCell ref="Z54:AA54"/>
    <mergeCell ref="S18:W18"/>
    <mergeCell ref="N142:Q142"/>
    <mergeCell ref="K204:M204"/>
    <mergeCell ref="U68:W68"/>
    <mergeCell ref="O20:P20"/>
    <mergeCell ref="S11:W11"/>
    <mergeCell ref="O205:S205"/>
    <mergeCell ref="F125:M125"/>
    <mergeCell ref="X51:Y51"/>
    <mergeCell ref="A12:M12"/>
    <mergeCell ref="B216:C216"/>
    <mergeCell ref="E165:M165"/>
    <mergeCell ref="A106:M106"/>
    <mergeCell ref="F212:J212"/>
    <mergeCell ref="S12:W12"/>
    <mergeCell ref="O33:P33"/>
    <mergeCell ref="X74:AC74"/>
    <mergeCell ref="X68:AC68"/>
    <mergeCell ref="F214:J214"/>
    <mergeCell ref="O197:S197"/>
    <mergeCell ref="Z56:AA56"/>
    <mergeCell ref="U67:W67"/>
    <mergeCell ref="K206:M206"/>
    <mergeCell ref="O201:S201"/>
    <mergeCell ref="S19:W19"/>
    <mergeCell ref="Z51:AA51"/>
    <mergeCell ref="B237:D237"/>
    <mergeCell ref="A69:M69"/>
    <mergeCell ref="K220:O220"/>
    <mergeCell ref="U69:W69"/>
    <mergeCell ref="Q247:R247"/>
    <mergeCell ref="O49:AA49"/>
    <mergeCell ref="B201:C201"/>
    <mergeCell ref="K222:O222"/>
    <mergeCell ref="X67:AC67"/>
    <mergeCell ref="K221:O221"/>
    <mergeCell ref="B203:C203"/>
    <mergeCell ref="K223:O223"/>
    <mergeCell ref="O69:T69"/>
    <mergeCell ref="F128:M128"/>
    <mergeCell ref="B215:C215"/>
    <mergeCell ref="X64:AC64"/>
    <mergeCell ref="O210:S210"/>
    <mergeCell ref="F243:K243"/>
    <mergeCell ref="E166:M166"/>
    <mergeCell ref="Z50:AA50"/>
    <mergeCell ref="G225:L225"/>
    <mergeCell ref="S14:W14"/>
    <mergeCell ref="O54:P54"/>
    <mergeCell ref="O64:T64"/>
    <mergeCell ref="E168:M168"/>
    <mergeCell ref="O35:P35"/>
    <mergeCell ref="U64:W64"/>
    <mergeCell ref="O193:S193"/>
    <mergeCell ref="A51:M51"/>
    <mergeCell ref="S13:W13"/>
    <mergeCell ref="Z52:AA52"/>
    <mergeCell ref="O72:T72"/>
    <mergeCell ref="S15:W15"/>
    <mergeCell ref="Q54:W54"/>
    <mergeCell ref="AA8:AC8"/>
    <mergeCell ref="AA10:AC10"/>
    <mergeCell ref="O209:S209"/>
    <mergeCell ref="O203:S203"/>
    <mergeCell ref="F123:M123"/>
    <mergeCell ref="E161:M161"/>
    <mergeCell ref="B209:C209"/>
    <mergeCell ref="U75:W75"/>
    <mergeCell ref="O204:S204"/>
    <mergeCell ref="A122:M122"/>
    <mergeCell ref="F208:J208"/>
    <mergeCell ref="O29:P29"/>
    <mergeCell ref="Q57:W57"/>
    <mergeCell ref="S28:W28"/>
    <mergeCell ref="O31:P31"/>
    <mergeCell ref="AA21:AC21"/>
    <mergeCell ref="X72:AC72"/>
    <mergeCell ref="O67:T67"/>
    <mergeCell ref="X58:Y58"/>
    <mergeCell ref="A61:M61"/>
    <mergeCell ref="AA32:AC32"/>
    <mergeCell ref="F129:M129"/>
    <mergeCell ref="O56:P56"/>
    <mergeCell ref="U65:W65"/>
    <mergeCell ref="A56:M56"/>
    <mergeCell ref="B258:K258"/>
    <mergeCell ref="O57:P57"/>
    <mergeCell ref="Z55:AA55"/>
    <mergeCell ref="F196:J196"/>
    <mergeCell ref="B199:C199"/>
    <mergeCell ref="O9:P9"/>
    <mergeCell ref="E158:M158"/>
    <mergeCell ref="B243:D243"/>
    <mergeCell ref="AA18:AC18"/>
    <mergeCell ref="O206:S206"/>
    <mergeCell ref="B252:E252"/>
    <mergeCell ref="E162:M162"/>
    <mergeCell ref="Z58:AA58"/>
    <mergeCell ref="F126:M126"/>
    <mergeCell ref="AA11:AC11"/>
    <mergeCell ref="S34:W34"/>
    <mergeCell ref="E164:M164"/>
    <mergeCell ref="F209:J209"/>
    <mergeCell ref="Q58:W58"/>
    <mergeCell ref="AA29:AC29"/>
    <mergeCell ref="F211:J211"/>
    <mergeCell ref="S30:W30"/>
    <mergeCell ref="Q50:W50"/>
    <mergeCell ref="S29:W29"/>
    <mergeCell ref="S31:W31"/>
    <mergeCell ref="O75:T75"/>
    <mergeCell ref="O48:AA48"/>
    <mergeCell ref="A91:M91"/>
    <mergeCell ref="F124:M124"/>
    <mergeCell ref="G217:J217"/>
    <mergeCell ref="F204:J204"/>
    <mergeCell ref="F198:J198"/>
    <mergeCell ref="O70:T70"/>
    <mergeCell ref="L246:AA246"/>
    <mergeCell ref="E159:M159"/>
    <mergeCell ref="AA17:AC17"/>
    <mergeCell ref="F199:J199"/>
    <mergeCell ref="Q55:W55"/>
    <mergeCell ref="K196:M196"/>
    <mergeCell ref="S9:W9"/>
    <mergeCell ref="O12:P12"/>
    <mergeCell ref="L248:AA248"/>
    <mergeCell ref="AA19:AC19"/>
    <mergeCell ref="K198:M198"/>
    <mergeCell ref="O14:P14"/>
    <mergeCell ref="O13:P13"/>
    <mergeCell ref="O53:P53"/>
    <mergeCell ref="O15:P15"/>
    <mergeCell ref="B193:C193"/>
    <mergeCell ref="A152:M152"/>
    <mergeCell ref="Q53:W53"/>
    <mergeCell ref="B192:S192"/>
    <mergeCell ref="B211:C211"/>
    <mergeCell ref="O7:AC7"/>
    <mergeCell ref="O8:P8"/>
    <mergeCell ref="Q241:U241"/>
    <mergeCell ref="X54:Y54"/>
    <mergeCell ref="A101:M101"/>
    <mergeCell ref="F207:J207"/>
    <mergeCell ref="B212:C212"/>
    <mergeCell ref="B206:C206"/>
    <mergeCell ref="X56:Y56"/>
    <mergeCell ref="AA20:AC20"/>
    <mergeCell ref="F202:J202"/>
    <mergeCell ref="K199:M199"/>
    <mergeCell ref="X57:Y57"/>
    <mergeCell ref="A112:M112"/>
    <mergeCell ref="Z57:AA57"/>
    <mergeCell ref="AA35:AC35"/>
    <mergeCell ref="N139:Q139"/>
    <mergeCell ref="K207:M207"/>
    <mergeCell ref="N138:Q138"/>
    <mergeCell ref="H139:M139"/>
    <mergeCell ref="K200:M200"/>
    <mergeCell ref="O21:P21"/>
    <mergeCell ref="B196:C196"/>
    <mergeCell ref="N140:Q140"/>
    <mergeCell ref="K202:M202"/>
    <mergeCell ref="F241:K241"/>
    <mergeCell ref="L235:U235"/>
    <mergeCell ref="E160:M160"/>
    <mergeCell ref="AA33:AC33"/>
    <mergeCell ref="A8:M8"/>
    <mergeCell ref="O34:P34"/>
    <mergeCell ref="O28:P28"/>
    <mergeCell ref="B214:C214"/>
    <mergeCell ref="K195:M195"/>
    <mergeCell ref="O30:P30"/>
    <mergeCell ref="S8:W8"/>
    <mergeCell ref="X75:AC75"/>
    <mergeCell ref="O196:S196"/>
    <mergeCell ref="O198:S198"/>
    <mergeCell ref="X50:Y50"/>
    <mergeCell ref="X70:AC70"/>
    <mergeCell ref="B204:C204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S21:W21"/>
    <mergeCell ref="B202:C202"/>
    <mergeCell ref="O18:P18"/>
    <mergeCell ref="X65:AC65"/>
    <mergeCell ref="F244:K244"/>
    <mergeCell ref="E167:M167"/>
    <mergeCell ref="AA16:AC16"/>
    <mergeCell ref="K219:O219"/>
    <mergeCell ref="X53:Y53"/>
    <mergeCell ref="A83:M83"/>
    <mergeCell ref="F239:K239"/>
    <mergeCell ref="X55:Y55"/>
    <mergeCell ref="S10:W10"/>
    <mergeCell ref="O50:P50"/>
    <mergeCell ref="N143:Q143"/>
    <mergeCell ref="P217:S217"/>
    <mergeCell ref="O52:P52"/>
    <mergeCell ref="P234:Q234"/>
    <mergeCell ref="B236:D236"/>
    <mergeCell ref="AA9:AC9"/>
    <mergeCell ref="E156:M156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zoomScaleNormal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and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 ($m)</t>
        </is>
      </c>
      <c r="B9" s="518" t="n"/>
      <c r="C9" s="518" t="n"/>
      <c r="D9" s="518" t="n"/>
      <c r="E9" s="518" t="n"/>
      <c r="F9" s="518" t="n"/>
      <c r="G9" s="518" t="n"/>
      <c r="H9" s="518" t="n"/>
      <c r="I9" s="518" t="n"/>
      <c r="J9" s="518" t="n"/>
      <c r="K9" s="518" t="n"/>
      <c r="L9" s="518" t="n"/>
      <c r="M9" s="518" t="n"/>
    </row>
    <row r="10" ht="18" customHeight="1">
      <c r="A10" s="179" t="inlineStr">
        <is>
          <t>Restricted cash ($m)</t>
        </is>
      </c>
      <c r="B10" s="518" t="n"/>
      <c r="C10" s="518" t="n"/>
      <c r="D10" s="518" t="n"/>
      <c r="E10" s="518" t="n"/>
      <c r="F10" s="518" t="n"/>
      <c r="G10" s="518" t="n"/>
      <c r="H10" s="518" t="n"/>
      <c r="I10" s="518" t="n"/>
      <c r="J10" s="518" t="n"/>
      <c r="K10" s="518" t="n"/>
      <c r="L10" s="518" t="n"/>
      <c r="M10" s="518" t="n"/>
    </row>
    <row r="11" ht="18" customHeight="1">
      <c r="A11" s="179" t="inlineStr">
        <is>
          <t>Total cash + restricted cash ($m)</t>
        </is>
      </c>
      <c r="B11" s="519">
        <f>IF(OR(B9="",B10=""),"",B9+B10)</f>
        <v/>
      </c>
      <c r="C11" s="519">
        <f>IF(OR(C9="",C10=""),"",C9+C10)</f>
        <v/>
      </c>
      <c r="D11" s="519">
        <f>IF(OR(D9="",D10=""),"",D9+D10)</f>
        <v/>
      </c>
      <c r="E11" s="519">
        <f>IF(OR(E9="",E10=""),"",E9+E10)</f>
        <v/>
      </c>
      <c r="F11" s="519">
        <f>IF(OR(F9="",F10=""),"",F9+F10)</f>
        <v/>
      </c>
      <c r="G11" s="519">
        <f>IF(OR(G9="",G10=""),"",G9+G10)</f>
        <v/>
      </c>
      <c r="H11" s="519">
        <f>IF(OR(H9="",H10=""),"",H9+H10)</f>
        <v/>
      </c>
      <c r="I11" s="519">
        <f>IF(OR(I9="",I10=""),"",I9+I10)</f>
        <v/>
      </c>
      <c r="J11" s="519">
        <f>IF(OR(J9="",J10=""),"",J9+J10)</f>
        <v/>
      </c>
      <c r="K11" s="519">
        <f>IF(OR(K9="",K10=""),"",K9+K10)</f>
        <v/>
      </c>
      <c r="L11" s="519">
        <f>IF(OR(L9="",L10=""),"",L9+L10)</f>
        <v/>
      </c>
      <c r="M11" s="519">
        <f>IF(OR(M9="",M10=""),"",M9+M10)</f>
        <v/>
      </c>
    </row>
    <row r="12" ht="18" customHeight="1">
      <c r="A12" s="179" t="inlineStr">
        <is>
          <t>Δ Cash QoQ ($m)</t>
        </is>
      </c>
      <c r="B12" s="519">
        <f>""</f>
        <v/>
      </c>
      <c r="C12" s="519">
        <f>IF(OR(C9="",B9=""),"",C9-B9)</f>
        <v/>
      </c>
      <c r="D12" s="519">
        <f>IF(OR(D9="",C9=""),"",D9-C9)</f>
        <v/>
      </c>
      <c r="E12" s="519">
        <f>IF(OR(E9="",D9=""),"",E9-D9)</f>
        <v/>
      </c>
      <c r="F12" s="519">
        <f>IF(OR(F9="",E9=""),"",F9-E9)</f>
        <v/>
      </c>
      <c r="G12" s="519">
        <f>IF(OR(G9="",F9=""),"",G9-F9)</f>
        <v/>
      </c>
      <c r="H12" s="519">
        <f>IF(OR(H9="",G9=""),"",H9-G9)</f>
        <v/>
      </c>
      <c r="I12" s="519">
        <f>IF(OR(I9="",H9=""),"",I9-H9)</f>
        <v/>
      </c>
      <c r="J12" s="519">
        <f>IF(OR(J9="",I9=""),"",J9-I9)</f>
        <v/>
      </c>
      <c r="K12" s="519">
        <f>IF(OR(K9="",J9=""),"",K9-J9)</f>
        <v/>
      </c>
      <c r="L12" s="519">
        <f>IF(OR(L9="",K9=""),"",L9-K9)</f>
        <v/>
      </c>
      <c r="M12" s="519">
        <f>IF(OR(M9="",L9=""),"",M9-L9)</f>
        <v/>
      </c>
    </row>
    <row r="13" ht="18" customHeight="1">
      <c r="A13" s="179" t="inlineStr">
        <is>
          <t>Short-term investments / marketable securities ($m)</t>
        </is>
      </c>
      <c r="B13" s="518" t="n"/>
      <c r="C13" s="518" t="n"/>
      <c r="D13" s="518" t="n"/>
      <c r="E13" s="518" t="n"/>
      <c r="F13" s="518" t="n"/>
      <c r="G13" s="518" t="n"/>
      <c r="H13" s="518" t="n"/>
      <c r="I13" s="518" t="n"/>
      <c r="J13" s="518" t="n"/>
      <c r="K13" s="518" t="n"/>
      <c r="L13" s="518" t="n"/>
      <c r="M13" s="518" t="n"/>
    </row>
    <row r="14" ht="18" customHeight="1">
      <c r="A14" s="179" t="inlineStr">
        <is>
          <t>Accounts receivable (net) ($m)</t>
        </is>
      </c>
      <c r="B14" s="518" t="n"/>
      <c r="C14" s="518" t="n"/>
      <c r="D14" s="518" t="n"/>
      <c r="E14" s="518" t="n"/>
      <c r="F14" s="518" t="n"/>
      <c r="G14" s="518" t="n"/>
      <c r="H14" s="518" t="n"/>
      <c r="I14" s="518" t="n"/>
      <c r="J14" s="518" t="n"/>
      <c r="K14" s="518" t="n"/>
      <c r="L14" s="518" t="n"/>
      <c r="M14" s="518" t="n"/>
    </row>
    <row r="15" ht="18" customHeight="1">
      <c r="A15" s="179" t="inlineStr">
        <is>
          <t>Inventory ($m)</t>
        </is>
      </c>
      <c r="B15" s="518" t="n"/>
      <c r="C15" s="518" t="n"/>
      <c r="D15" s="518" t="n"/>
      <c r="E15" s="518" t="n"/>
      <c r="F15" s="518" t="n"/>
      <c r="G15" s="518" t="n"/>
      <c r="H15" s="518" t="n"/>
      <c r="I15" s="518" t="n"/>
      <c r="J15" s="518" t="n"/>
      <c r="K15" s="518" t="n"/>
      <c r="L15" s="518" t="n"/>
      <c r="M15" s="518" t="n"/>
    </row>
    <row r="16" ht="18" customHeight="1">
      <c r="A16" s="179" t="inlineStr">
        <is>
          <t>Derivative financial instruments (asset, $m)</t>
        </is>
      </c>
      <c r="B16" s="518" t="n"/>
      <c r="C16" s="518" t="n"/>
      <c r="D16" s="518" t="n"/>
      <c r="E16" s="518" t="n"/>
      <c r="F16" s="518" t="n"/>
      <c r="G16" s="518" t="n"/>
      <c r="H16" s="518" t="n"/>
      <c r="I16" s="518" t="n"/>
      <c r="J16" s="518" t="n"/>
      <c r="K16" s="518" t="n"/>
      <c r="L16" s="518" t="n"/>
      <c r="M16" s="518" t="n"/>
    </row>
    <row r="17" ht="18" customHeight="1">
      <c r="A17" s="179" t="inlineStr">
        <is>
          <t>Prepaid &amp; other current assets ($m)</t>
        </is>
      </c>
      <c r="B17" s="518" t="n"/>
      <c r="C17" s="518" t="n"/>
      <c r="D17" s="518" t="n"/>
      <c r="E17" s="518" t="n"/>
      <c r="F17" s="518" t="n"/>
      <c r="G17" s="518" t="n"/>
      <c r="H17" s="518" t="n"/>
      <c r="I17" s="518" t="n"/>
      <c r="J17" s="518" t="n"/>
      <c r="K17" s="518" t="n"/>
      <c r="L17" s="518" t="n"/>
      <c r="M17" s="518" t="n"/>
    </row>
    <row r="18" ht="18" customHeight="1">
      <c r="A18" s="179" t="inlineStr">
        <is>
          <t>Total current assets ($m)</t>
        </is>
      </c>
      <c r="B18" s="518" t="n"/>
      <c r="C18" s="518" t="n"/>
      <c r="D18" s="518" t="n"/>
      <c r="E18" s="518" t="n"/>
      <c r="F18" s="518" t="n"/>
      <c r="G18" s="518" t="n"/>
      <c r="H18" s="518" t="n"/>
      <c r="I18" s="518" t="n"/>
      <c r="J18" s="518" t="n"/>
      <c r="K18" s="518" t="n"/>
      <c r="L18" s="518" t="n"/>
      <c r="M18" s="518" t="n"/>
    </row>
    <row r="19" ht="18" customHeight="1">
      <c r="A19" s="179" t="inlineStr">
        <is>
          <t>Property, plant &amp; equipment (net, $m)</t>
        </is>
      </c>
      <c r="B19" s="518" t="n"/>
      <c r="C19" s="518" t="n"/>
      <c r="D19" s="518" t="n"/>
      <c r="E19" s="518" t="n"/>
      <c r="F19" s="518" t="n"/>
      <c r="G19" s="518" t="n"/>
      <c r="H19" s="518" t="n"/>
      <c r="I19" s="518" t="n"/>
      <c r="J19" s="518" t="n"/>
      <c r="K19" s="518" t="n"/>
      <c r="L19" s="518" t="n"/>
      <c r="M19" s="518" t="n"/>
    </row>
    <row r="20" ht="18" customHeight="1">
      <c r="A20" s="179" t="inlineStr">
        <is>
          <t>Operating lease right-of-use assets ($m)</t>
        </is>
      </c>
      <c r="B20" s="518" t="n"/>
      <c r="C20" s="518" t="n"/>
      <c r="D20" s="518" t="n"/>
      <c r="E20" s="518" t="n"/>
      <c r="F20" s="518" t="n"/>
      <c r="G20" s="518" t="n"/>
      <c r="H20" s="518" t="n"/>
      <c r="I20" s="518" t="n"/>
      <c r="J20" s="518" t="n"/>
      <c r="K20" s="518" t="n"/>
      <c r="L20" s="518" t="n"/>
      <c r="M20" s="518" t="n"/>
    </row>
    <row r="21" ht="18" customHeight="1">
      <c r="A21" s="179" t="inlineStr">
        <is>
          <t>Deferred income taxes, net ($m)</t>
        </is>
      </c>
      <c r="B21" s="518" t="n"/>
      <c r="C21" s="518" t="n"/>
      <c r="D21" s="518" t="n"/>
      <c r="E21" s="518" t="n"/>
      <c r="F21" s="518" t="n"/>
      <c r="G21" s="518" t="n"/>
      <c r="H21" s="518" t="n"/>
      <c r="I21" s="518" t="n"/>
      <c r="J21" s="518" t="n"/>
      <c r="K21" s="518" t="n"/>
      <c r="L21" s="518" t="n"/>
      <c r="M21" s="518" t="n"/>
    </row>
    <row r="22" ht="18" customHeight="1">
      <c r="A22" s="179" t="inlineStr">
        <is>
          <t>Goodwill ($m)</t>
        </is>
      </c>
      <c r="B22" s="518" t="n"/>
      <c r="C22" s="518" t="n"/>
      <c r="D22" s="518" t="n"/>
      <c r="E22" s="518" t="n"/>
      <c r="F22" s="518" t="n"/>
      <c r="G22" s="518" t="n"/>
      <c r="H22" s="518" t="n"/>
      <c r="I22" s="518" t="n"/>
      <c r="J22" s="518" t="n"/>
      <c r="K22" s="518" t="n"/>
      <c r="L22" s="518" t="n"/>
      <c r="M22" s="518" t="n"/>
    </row>
    <row r="23" ht="18" customHeight="1">
      <c r="A23" s="179" t="inlineStr">
        <is>
          <t>Intangibles (net, $m)</t>
        </is>
      </c>
      <c r="B23" s="518" t="n"/>
      <c r="C23" s="518" t="n"/>
      <c r="D23" s="518" t="n"/>
      <c r="E23" s="518" t="n"/>
      <c r="F23" s="518" t="n"/>
      <c r="G23" s="518" t="n"/>
      <c r="H23" s="518" t="n"/>
      <c r="I23" s="518" t="n"/>
      <c r="J23" s="518" t="n"/>
      <c r="K23" s="518" t="n"/>
      <c r="L23" s="518" t="n"/>
      <c r="M23" s="518" t="n"/>
    </row>
    <row r="24" ht="18" customHeight="1">
      <c r="A24" s="179" t="inlineStr">
        <is>
          <t>Other long-term assets ($m)</t>
        </is>
      </c>
      <c r="B24" s="518" t="n"/>
      <c r="C24" s="518" t="n"/>
      <c r="D24" s="518" t="n"/>
      <c r="E24" s="518" t="n"/>
      <c r="F24" s="518" t="n"/>
      <c r="G24" s="518" t="n"/>
      <c r="H24" s="518" t="n"/>
      <c r="I24" s="518" t="n"/>
      <c r="J24" s="518" t="n"/>
      <c r="K24" s="518" t="n"/>
      <c r="L24" s="518" t="n"/>
      <c r="M24" s="518" t="n"/>
    </row>
    <row r="25" ht="18" customHeight="1">
      <c r="A25" s="179" t="inlineStr">
        <is>
          <t>Total assets ($m)</t>
        </is>
      </c>
      <c r="B25" s="518" t="n"/>
      <c r="C25" s="518" t="n"/>
      <c r="D25" s="518" t="n"/>
      <c r="E25" s="518" t="n"/>
      <c r="F25" s="518" t="n"/>
      <c r="G25" s="518" t="n"/>
      <c r="H25" s="518" t="n"/>
      <c r="I25" s="518" t="n"/>
      <c r="J25" s="518" t="n"/>
      <c r="K25" s="518" t="n"/>
      <c r="L25" s="518" t="n"/>
      <c r="M25" s="518" t="n"/>
    </row>
    <row r="26" ht="18" customHeight="1">
      <c r="A26" s="179" t="inlineStr">
        <is>
          <t>Goodwill as % of assets (%)</t>
        </is>
      </c>
      <c r="B26" s="520">
        <f>IF(OR(B22="",B25="",B25=0),"",B22/B25)</f>
        <v/>
      </c>
      <c r="C26" s="520">
        <f>IF(OR(C22="",C25="",C25=0),"",C22/C25)</f>
        <v/>
      </c>
      <c r="D26" s="520">
        <f>IF(OR(D22="",D25="",D25=0),"",D22/D25)</f>
        <v/>
      </c>
      <c r="E26" s="520">
        <f>IF(OR(E22="",E25="",E25=0),"",E22/E25)</f>
        <v/>
      </c>
      <c r="F26" s="520">
        <f>IF(OR(F22="",F25="",F25=0),"",F22/F25)</f>
        <v/>
      </c>
      <c r="G26" s="520">
        <f>IF(OR(G22="",G25="",G25=0),"",G22/G25)</f>
        <v/>
      </c>
      <c r="H26" s="520">
        <f>IF(OR(H22="",H25="",H25=0),"",H22/H25)</f>
        <v/>
      </c>
      <c r="I26" s="520">
        <f>IF(OR(I22="",I25="",I25=0),"",I22/I25)</f>
        <v/>
      </c>
      <c r="J26" s="520">
        <f>IF(OR(J22="",J25="",J25=0),"",J22/J25)</f>
        <v/>
      </c>
      <c r="K26" s="520">
        <f>IF(OR(K22="",K25="",K25=0),"",K22/K25)</f>
        <v/>
      </c>
      <c r="L26" s="520">
        <f>IF(OR(L22="",L25="",L25=0),"",L22/L25)</f>
        <v/>
      </c>
      <c r="M26" s="520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 ($m)</t>
        </is>
      </c>
      <c r="B28" s="518" t="n"/>
      <c r="C28" s="518" t="n"/>
      <c r="D28" s="518" t="n"/>
      <c r="E28" s="518" t="n"/>
      <c r="F28" s="518" t="n"/>
      <c r="G28" s="518" t="n"/>
      <c r="H28" s="518" t="n"/>
      <c r="I28" s="518" t="n"/>
      <c r="J28" s="518" t="n"/>
      <c r="K28" s="518" t="n"/>
      <c r="L28" s="518" t="n"/>
      <c r="M28" s="518" t="n"/>
    </row>
    <row r="29" ht="18" customHeight="1">
      <c r="A29" s="179" t="inlineStr">
        <is>
          <t>Accrued liabilities ($m)</t>
        </is>
      </c>
      <c r="B29" s="518" t="n"/>
      <c r="C29" s="518" t="n"/>
      <c r="D29" s="518" t="n"/>
      <c r="E29" s="518" t="n"/>
      <c r="F29" s="518" t="n"/>
      <c r="G29" s="518" t="n"/>
      <c r="H29" s="518" t="n"/>
      <c r="I29" s="518" t="n"/>
      <c r="J29" s="518" t="n"/>
      <c r="K29" s="518" t="n"/>
      <c r="L29" s="518" t="n"/>
      <c r="M29" s="518" t="n"/>
    </row>
    <row r="30" ht="18" customHeight="1">
      <c r="A30" s="179" t="inlineStr">
        <is>
          <t>Deferred revenue / customer deposits ($m)</t>
        </is>
      </c>
      <c r="B30" s="518" t="n"/>
      <c r="C30" s="518" t="n"/>
      <c r="D30" s="518" t="n"/>
      <c r="E30" s="518" t="n"/>
      <c r="F30" s="518" t="n"/>
      <c r="G30" s="518" t="n"/>
      <c r="H30" s="518" t="n"/>
      <c r="I30" s="518" t="n"/>
      <c r="J30" s="518" t="n"/>
      <c r="K30" s="518" t="n"/>
      <c r="L30" s="518" t="n"/>
      <c r="M30" s="518" t="n"/>
    </row>
    <row r="31" ht="18" customHeight="1">
      <c r="A31" s="179" t="inlineStr">
        <is>
          <t>Derivative financial instruments (liability, $m)</t>
        </is>
      </c>
      <c r="B31" s="518" t="n"/>
      <c r="C31" s="518" t="n"/>
      <c r="D31" s="518" t="n"/>
      <c r="E31" s="518" t="n"/>
      <c r="F31" s="518" t="n"/>
      <c r="G31" s="518" t="n"/>
      <c r="H31" s="518" t="n"/>
      <c r="I31" s="518" t="n"/>
      <c r="J31" s="518" t="n"/>
      <c r="K31" s="518" t="n"/>
      <c r="L31" s="518" t="n"/>
      <c r="M31" s="518" t="n"/>
    </row>
    <row r="32" ht="18" customHeight="1">
      <c r="A32" s="179" t="inlineStr">
        <is>
          <t>Short-term borrowings ($m)</t>
        </is>
      </c>
      <c r="B32" s="518" t="n"/>
      <c r="C32" s="518" t="n"/>
      <c r="D32" s="518" t="n"/>
      <c r="E32" s="518" t="n"/>
      <c r="F32" s="518" t="n"/>
      <c r="G32" s="518" t="n"/>
      <c r="H32" s="518" t="n"/>
      <c r="I32" s="518" t="n"/>
      <c r="J32" s="518" t="n"/>
      <c r="K32" s="518" t="n"/>
      <c r="L32" s="518" t="n"/>
      <c r="M32" s="518" t="n"/>
    </row>
    <row r="33" ht="18" customHeight="1">
      <c r="A33" s="179" t="inlineStr">
        <is>
          <t>Current maturities of long-term debt ($m)</t>
        </is>
      </c>
      <c r="B33" s="518" t="n"/>
      <c r="C33" s="518" t="n"/>
      <c r="D33" s="518" t="n"/>
      <c r="E33" s="518" t="n"/>
      <c r="F33" s="518" t="n"/>
      <c r="G33" s="518" t="n"/>
      <c r="H33" s="518" t="n"/>
      <c r="I33" s="518" t="n"/>
      <c r="J33" s="518" t="n"/>
      <c r="K33" s="518" t="n"/>
      <c r="L33" s="518" t="n"/>
      <c r="M33" s="518" t="n"/>
    </row>
    <row r="34" ht="18" customHeight="1">
      <c r="A34" s="179" t="inlineStr">
        <is>
          <t>Operating lease current liabilities ($m)</t>
        </is>
      </c>
      <c r="B34" s="518" t="n"/>
      <c r="C34" s="518" t="n"/>
      <c r="D34" s="518" t="n"/>
      <c r="E34" s="518" t="n"/>
      <c r="F34" s="518" t="n"/>
      <c r="G34" s="518" t="n"/>
      <c r="H34" s="518" t="n"/>
      <c r="I34" s="518" t="n"/>
      <c r="J34" s="518" t="n"/>
      <c r="K34" s="518" t="n"/>
      <c r="L34" s="518" t="n"/>
      <c r="M34" s="518" t="n"/>
    </row>
    <row r="35" ht="18" customHeight="1">
      <c r="A35" s="179" t="inlineStr">
        <is>
          <t>Total current liabilities ($m)</t>
        </is>
      </c>
      <c r="B35" s="518" t="n"/>
      <c r="C35" s="518" t="n"/>
      <c r="D35" s="518" t="n"/>
      <c r="E35" s="518" t="n"/>
      <c r="F35" s="518" t="n"/>
      <c r="G35" s="518" t="n"/>
      <c r="H35" s="518" t="n"/>
      <c r="I35" s="518" t="n"/>
      <c r="J35" s="518" t="n"/>
      <c r="K35" s="518" t="n"/>
      <c r="L35" s="518" t="n"/>
      <c r="M35" s="518" t="n"/>
    </row>
    <row r="36" ht="18" customHeight="1">
      <c r="A36" s="179" t="inlineStr">
        <is>
          <t>Net working capital ($m)</t>
        </is>
      </c>
      <c r="B36" s="519">
        <f>IF(OR(B18="",B35=""),"",B18-B35)</f>
        <v/>
      </c>
      <c r="C36" s="519">
        <f>IF(OR(C18="",C35=""),"",C18-C35)</f>
        <v/>
      </c>
      <c r="D36" s="519">
        <f>IF(OR(D18="",D35=""),"",D18-D35)</f>
        <v/>
      </c>
      <c r="E36" s="519">
        <f>IF(OR(E18="",E35=""),"",E18-E35)</f>
        <v/>
      </c>
      <c r="F36" s="519">
        <f>IF(OR(F18="",F35=""),"",F18-F35)</f>
        <v/>
      </c>
      <c r="G36" s="519">
        <f>IF(OR(G18="",G35=""),"",G18-G35)</f>
        <v/>
      </c>
      <c r="H36" s="519">
        <f>IF(OR(H18="",H35=""),"",H18-H35)</f>
        <v/>
      </c>
      <c r="I36" s="519">
        <f>IF(OR(I18="",I35=""),"",I18-I35)</f>
        <v/>
      </c>
      <c r="J36" s="519">
        <f>IF(OR(J18="",J35=""),"",J18-J35)</f>
        <v/>
      </c>
      <c r="K36" s="519">
        <f>IF(OR(K18="",K35=""),"",K18-K35)</f>
        <v/>
      </c>
      <c r="L36" s="519">
        <f>IF(OR(L18="",L35=""),"",L18-L35)</f>
        <v/>
      </c>
      <c r="M36" s="519">
        <f>IF(OR(M18="",M35=""),"",M18-M35)</f>
        <v/>
      </c>
    </row>
    <row r="37" ht="18" customHeight="1">
      <c r="A37" s="179" t="inlineStr">
        <is>
          <t>Δ NWC QoQ ($m)</t>
        </is>
      </c>
      <c r="B37" s="519">
        <f>""</f>
        <v/>
      </c>
      <c r="C37" s="519">
        <f>IF(OR(C36="",B36=""),"",C36-B36)</f>
        <v/>
      </c>
      <c r="D37" s="519">
        <f>IF(OR(D36="",C36=""),"",D36-C36)</f>
        <v/>
      </c>
      <c r="E37" s="519">
        <f>IF(OR(E36="",D36=""),"",E36-D36)</f>
        <v/>
      </c>
      <c r="F37" s="519">
        <f>IF(OR(F36="",E36=""),"",F36-E36)</f>
        <v/>
      </c>
      <c r="G37" s="519">
        <f>IF(OR(G36="",F36=""),"",G36-F36)</f>
        <v/>
      </c>
      <c r="H37" s="519">
        <f>IF(OR(H36="",G36=""),"",H36-G36)</f>
        <v/>
      </c>
      <c r="I37" s="519">
        <f>IF(OR(I36="",H36=""),"",I36-H36)</f>
        <v/>
      </c>
      <c r="J37" s="519">
        <f>IF(OR(J36="",I36=""),"",J36-I36)</f>
        <v/>
      </c>
      <c r="K37" s="519">
        <f>IF(OR(K36="",J36=""),"",K36-J36)</f>
        <v/>
      </c>
      <c r="L37" s="519">
        <f>IF(OR(L36="",K36=""),"",L36-K36)</f>
        <v/>
      </c>
      <c r="M37" s="519">
        <f>IF(OR(M36="",L36=""),"",M36-L36)</f>
        <v/>
      </c>
    </row>
    <row r="38" ht="18" customHeight="1">
      <c r="A38" s="179" t="inlineStr">
        <is>
          <t>Current ratio (x)</t>
        </is>
      </c>
      <c r="B38" s="521">
        <f>IF(OR(B18="",B35="",B35=0),"",B18/B35)</f>
        <v/>
      </c>
      <c r="C38" s="521">
        <f>IF(OR(C18="",C35="",C35=0),"",C18/C35)</f>
        <v/>
      </c>
      <c r="D38" s="521">
        <f>IF(OR(D18="",D35="",D35=0),"",D18/D35)</f>
        <v/>
      </c>
      <c r="E38" s="521">
        <f>IF(OR(E18="",E35="",E35=0),"",E18/E35)</f>
        <v/>
      </c>
      <c r="F38" s="521">
        <f>IF(OR(F18="",F35="",F35=0),"",F18/F35)</f>
        <v/>
      </c>
      <c r="G38" s="521">
        <f>IF(OR(G18="",G35="",G35=0),"",G18/G35)</f>
        <v/>
      </c>
      <c r="H38" s="521">
        <f>IF(OR(H18="",H35="",H35=0),"",H18/H35)</f>
        <v/>
      </c>
      <c r="I38" s="521">
        <f>IF(OR(I18="",I35="",I35=0),"",I18/I35)</f>
        <v/>
      </c>
      <c r="J38" s="521">
        <f>IF(OR(J18="",J35="",J35=0),"",J18/J35)</f>
        <v/>
      </c>
      <c r="K38" s="521">
        <f>IF(OR(K18="",K35="",K35=0),"",K18/K35)</f>
        <v/>
      </c>
      <c r="L38" s="521">
        <f>IF(OR(L18="",L35="",L35=0),"",L18/L35)</f>
        <v/>
      </c>
      <c r="M38" s="521">
        <f>IF(OR(M18="",M35="",M35=0),"",M18/M35)</f>
        <v/>
      </c>
    </row>
    <row r="39" ht="18" customHeight="1">
      <c r="A39" s="179" t="inlineStr">
        <is>
          <t>Quick ratio (x)</t>
        </is>
      </c>
      <c r="B39" s="521">
        <f>IF(OR(B18="",B15="",B35="",B35=0),"",(B18-B15)/B35)</f>
        <v/>
      </c>
      <c r="C39" s="521">
        <f>IF(OR(C18="",C15="",C35="",C35=0),"",(C18-C15)/C35)</f>
        <v/>
      </c>
      <c r="D39" s="521">
        <f>IF(OR(D18="",D15="",D35="",D35=0),"",(D18-D15)/D35)</f>
        <v/>
      </c>
      <c r="E39" s="521">
        <f>IF(OR(E18="",E15="",E35="",E35=0),"",(E18-E15)/E35)</f>
        <v/>
      </c>
      <c r="F39" s="521">
        <f>IF(OR(F18="",F15="",F35="",F35=0),"",(F18-F15)/F35)</f>
        <v/>
      </c>
      <c r="G39" s="521">
        <f>IF(OR(G18="",G15="",G35="",G35=0),"",(G18-G15)/G35)</f>
        <v/>
      </c>
      <c r="H39" s="521">
        <f>IF(OR(H18="",H15="",H35="",H35=0),"",(H18-H15)/H35)</f>
        <v/>
      </c>
      <c r="I39" s="521">
        <f>IF(OR(I18="",I15="",I35="",I35=0),"",(I18-I15)/I35)</f>
        <v/>
      </c>
      <c r="J39" s="521">
        <f>IF(OR(J18="",J15="",J35="",J35=0),"",(J18-J15)/J35)</f>
        <v/>
      </c>
      <c r="K39" s="521">
        <f>IF(OR(K18="",K15="",K35="",K35=0),"",(K18-K15)/K35)</f>
        <v/>
      </c>
      <c r="L39" s="521">
        <f>IF(OR(L18="",L15="",L35="",L35=0),"",(L18-L15)/L35)</f>
        <v/>
      </c>
      <c r="M39" s="521">
        <f>IF(OR(M18="",M15="",M35="",M35=0),"",(M18-M15)/M35)</f>
        <v/>
      </c>
    </row>
    <row r="40" ht="18" customHeight="1">
      <c r="A40" s="179" t="inlineStr">
        <is>
          <t>Debt (core borrowings, $m)</t>
        </is>
      </c>
      <c r="B40" s="518" t="n"/>
      <c r="C40" s="518" t="n"/>
      <c r="D40" s="518" t="n"/>
      <c r="E40" s="518" t="n"/>
      <c r="F40" s="518" t="n"/>
      <c r="G40" s="518" t="n"/>
      <c r="H40" s="518" t="n"/>
      <c r="I40" s="518" t="n"/>
      <c r="J40" s="518" t="n"/>
      <c r="K40" s="518" t="n"/>
      <c r="L40" s="518" t="n"/>
      <c r="M40" s="518" t="n"/>
    </row>
    <row r="41" ht="18" customHeight="1">
      <c r="A41" s="179" t="inlineStr">
        <is>
          <t>Δ Total debt QoQ ($m)</t>
        </is>
      </c>
      <c r="B41" s="519">
        <f>""</f>
        <v/>
      </c>
      <c r="C41" s="519">
        <f>IF(OR(C40="",B40=""),"",C40-B40)</f>
        <v/>
      </c>
      <c r="D41" s="519">
        <f>IF(OR(D40="",C40=""),"",D40-C40)</f>
        <v/>
      </c>
      <c r="E41" s="519">
        <f>IF(OR(E40="",D40=""),"",E40-D40)</f>
        <v/>
      </c>
      <c r="F41" s="519">
        <f>IF(OR(F40="",E40=""),"",F40-E40)</f>
        <v/>
      </c>
      <c r="G41" s="519">
        <f>IF(OR(G40="",F40=""),"",G40-F40)</f>
        <v/>
      </c>
      <c r="H41" s="519">
        <f>IF(OR(H40="",G40=""),"",H40-G40)</f>
        <v/>
      </c>
      <c r="I41" s="519">
        <f>IF(OR(I40="",H40=""),"",I40-H40)</f>
        <v/>
      </c>
      <c r="J41" s="519">
        <f>IF(OR(J40="",I40=""),"",J40-I40)</f>
        <v/>
      </c>
      <c r="K41" s="519">
        <f>IF(OR(K40="",J40=""),"",K40-J40)</f>
        <v/>
      </c>
      <c r="L41" s="519">
        <f>IF(OR(L40="",K40=""),"",L40-K40)</f>
        <v/>
      </c>
      <c r="M41" s="519">
        <f>IF(OR(M40="",L40=""),"",M40-L40)</f>
        <v/>
      </c>
    </row>
    <row r="42" ht="18" customHeight="1">
      <c r="A42" s="179" t="inlineStr">
        <is>
          <t>Operating lease long-term liabilities ($m)</t>
        </is>
      </c>
      <c r="B42" s="518" t="n"/>
      <c r="C42" s="518" t="n"/>
      <c r="D42" s="518" t="n"/>
      <c r="E42" s="518" t="n"/>
      <c r="F42" s="518" t="n"/>
      <c r="G42" s="518" t="n"/>
      <c r="H42" s="518" t="n"/>
      <c r="I42" s="518" t="n"/>
      <c r="J42" s="518" t="n"/>
      <c r="K42" s="518" t="n"/>
      <c r="L42" s="518" t="n"/>
      <c r="M42" s="518" t="n"/>
    </row>
    <row r="43" ht="18" customHeight="1">
      <c r="A43" s="179" t="inlineStr">
        <is>
          <t>Pension / OPEB obligation (net, $m)</t>
        </is>
      </c>
      <c r="B43" s="518" t="n"/>
      <c r="C43" s="518" t="n"/>
      <c r="D43" s="518" t="n"/>
      <c r="E43" s="518" t="n"/>
      <c r="F43" s="518" t="n"/>
      <c r="G43" s="518" t="n"/>
      <c r="H43" s="518" t="n"/>
      <c r="I43" s="518" t="n"/>
      <c r="J43" s="518" t="n"/>
      <c r="K43" s="518" t="n"/>
      <c r="L43" s="518" t="n"/>
      <c r="M43" s="518" t="n"/>
    </row>
    <row r="44" ht="18" customHeight="1">
      <c r="A44" s="179" t="inlineStr">
        <is>
          <t>Other long-term liabilities ($m)</t>
        </is>
      </c>
      <c r="B44" s="518" t="n"/>
      <c r="C44" s="518" t="n"/>
      <c r="D44" s="518" t="n"/>
      <c r="E44" s="518" t="n"/>
      <c r="F44" s="518" t="n"/>
      <c r="G44" s="518" t="n"/>
      <c r="H44" s="518" t="n"/>
      <c r="I44" s="518" t="n"/>
      <c r="J44" s="518" t="n"/>
      <c r="K44" s="518" t="n"/>
      <c r="L44" s="518" t="n"/>
      <c r="M44" s="518" t="n"/>
    </row>
    <row r="45" ht="18" customHeight="1">
      <c r="A45" s="179" t="inlineStr">
        <is>
          <t>Total liabilities ($m)</t>
        </is>
      </c>
      <c r="B45" s="518" t="n"/>
      <c r="C45" s="518" t="n"/>
      <c r="D45" s="518" t="n"/>
      <c r="E45" s="518" t="n"/>
      <c r="F45" s="518" t="n"/>
      <c r="G45" s="518" t="n"/>
      <c r="H45" s="518" t="n"/>
      <c r="I45" s="518" t="n"/>
      <c r="J45" s="518" t="n"/>
      <c r="K45" s="518" t="n"/>
      <c r="L45" s="518" t="n"/>
      <c r="M45" s="518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 ($m)</t>
        </is>
      </c>
      <c r="B47" s="518" t="n"/>
      <c r="C47" s="518" t="n"/>
      <c r="D47" s="518" t="n"/>
      <c r="E47" s="518" t="n"/>
      <c r="F47" s="518" t="n"/>
      <c r="G47" s="518" t="n"/>
      <c r="H47" s="518" t="n"/>
      <c r="I47" s="518" t="n"/>
      <c r="J47" s="518" t="n"/>
      <c r="K47" s="518" t="n"/>
      <c r="L47" s="518" t="n"/>
      <c r="M47" s="518" t="n"/>
    </row>
    <row r="48" ht="18" customHeight="1">
      <c r="A48" s="179" t="inlineStr">
        <is>
          <t>Shares outstanding (m shares)</t>
        </is>
      </c>
      <c r="B48" s="522" t="n"/>
      <c r="C48" s="522" t="n"/>
      <c r="D48" s="522" t="n"/>
      <c r="E48" s="522" t="n"/>
      <c r="F48" s="522" t="n"/>
      <c r="G48" s="522" t="n"/>
      <c r="H48" s="522" t="n"/>
      <c r="I48" s="522" t="n"/>
      <c r="J48" s="522" t="n"/>
      <c r="K48" s="522" t="n"/>
      <c r="L48" s="522" t="n"/>
      <c r="M48" s="522" t="n"/>
    </row>
    <row r="49" ht="18" customHeight="1">
      <c r="A49" s="179" t="inlineStr">
        <is>
          <t>Shares diluted (m shares)</t>
        </is>
      </c>
      <c r="B49" s="522" t="n"/>
      <c r="C49" s="522" t="n"/>
      <c r="D49" s="522" t="n"/>
      <c r="E49" s="522" t="n"/>
      <c r="F49" s="522" t="n"/>
      <c r="G49" s="522" t="n"/>
      <c r="H49" s="522" t="n"/>
      <c r="I49" s="522" t="n"/>
      <c r="J49" s="522" t="n"/>
      <c r="K49" s="522" t="n"/>
      <c r="L49" s="522" t="n"/>
      <c r="M49" s="522" t="n"/>
    </row>
    <row r="50" ht="18" customHeight="1">
      <c r="A50" s="177" t="inlineStr">
        <is>
          <t>Retail balance-sheet diagnostics</t>
        </is>
      </c>
      <c r="B50" s="178" t="n"/>
      <c r="C50" s="178" t="n"/>
      <c r="D50" s="178" t="n"/>
      <c r="E50" s="178" t="n"/>
      <c r="F50" s="178" t="n"/>
      <c r="G50" s="178" t="n"/>
      <c r="H50" s="178" t="n"/>
      <c r="I50" s="178" t="n"/>
      <c r="J50" s="178" t="n"/>
      <c r="K50" s="178" t="n"/>
      <c r="L50" s="178" t="n"/>
      <c r="M50" s="178" t="n"/>
    </row>
    <row r="51" ht="18" customHeight="1">
      <c r="A51" s="179" t="inlineStr">
        <is>
          <t>Inventory YoY (%)</t>
        </is>
      </c>
      <c r="B51" s="520">
        <f>""</f>
        <v/>
      </c>
      <c r="C51" s="520">
        <f>""</f>
        <v/>
      </c>
      <c r="D51" s="520">
        <f>""</f>
        <v/>
      </c>
      <c r="E51" s="520">
        <f>""</f>
        <v/>
      </c>
      <c r="F51" s="520">
        <f>IF(OR(B15="",F15="",B15=0),"",F15/B15-1)</f>
        <v/>
      </c>
      <c r="G51" s="520">
        <f>IF(OR(C15="",G15="",C15=0),"",G15/C15-1)</f>
        <v/>
      </c>
      <c r="H51" s="520">
        <f>IF(OR(D15="",H15="",D15=0),"",H15/D15-1)</f>
        <v/>
      </c>
      <c r="I51" s="520">
        <f>IF(OR(E15="",I15="",E15=0),"",I15/E15-1)</f>
        <v/>
      </c>
      <c r="J51" s="520">
        <f>IF(OR(F15="",J15="",F15=0),"",J15/F15-1)</f>
        <v/>
      </c>
      <c r="K51" s="520">
        <f>IF(OR(G15="",K15="",G15=0),"",K15/G15-1)</f>
        <v/>
      </c>
      <c r="L51" s="520">
        <f>IF(OR(H15="",L15="",H15=0),"",L15/H15-1)</f>
        <v/>
      </c>
      <c r="M51" s="520">
        <f>IF(OR(I15="",M15="",I15=0),"",M15/I15-1)</f>
        <v/>
      </c>
    </row>
    <row r="52" ht="18" customHeight="1">
      <c r="A52" s="179" t="inlineStr">
        <is>
          <t>Sales YoY (%)</t>
        </is>
      </c>
      <c r="B52" s="520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20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20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20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20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20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20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20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20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20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20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20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growth less revenue growth (%)</t>
        </is>
      </c>
      <c r="B53" s="520">
        <f>IF(OR(B51="",B52=""),"",B51-B52)</f>
        <v/>
      </c>
      <c r="C53" s="520">
        <f>IF(OR(C51="",C52=""),"",C51-C52)</f>
        <v/>
      </c>
      <c r="D53" s="520">
        <f>IF(OR(D51="",D52=""),"",D51-D52)</f>
        <v/>
      </c>
      <c r="E53" s="520">
        <f>IF(OR(E51="",E52=""),"",E51-E52)</f>
        <v/>
      </c>
      <c r="F53" s="520">
        <f>IF(OR(F51="",F52=""),"",F51-F52)</f>
        <v/>
      </c>
      <c r="G53" s="520">
        <f>IF(OR(G51="",G52=""),"",G51-G52)</f>
        <v/>
      </c>
      <c r="H53" s="520">
        <f>IF(OR(H51="",H52=""),"",H51-H52)</f>
        <v/>
      </c>
      <c r="I53" s="520">
        <f>IF(OR(I51="",I52=""),"",I51-I52)</f>
        <v/>
      </c>
      <c r="J53" s="520">
        <f>IF(OR(J51="",J52=""),"",J51-J52)</f>
        <v/>
      </c>
      <c r="K53" s="520">
        <f>IF(OR(K51="",K52=""),"",K51-K52)</f>
        <v/>
      </c>
      <c r="L53" s="520">
        <f>IF(OR(L51="",L52=""),"",L51-L52)</f>
        <v/>
      </c>
      <c r="M53" s="520">
        <f>IF(OR(M51="",M52=""),"",M51-M52)</f>
        <v/>
      </c>
    </row>
    <row r="54" ht="18" customHeight="1">
      <c r="A54" s="179" t="inlineStr">
        <is>
          <t>Net cash ($m)</t>
        </is>
      </c>
      <c r="B54" s="519">
        <f>IF(OR(B9="",B13="",B40=""),"",B9+B13-B40)</f>
        <v/>
      </c>
      <c r="C54" s="519">
        <f>IF(OR(C9="",C13="",C40=""),"",C9+C13-C40)</f>
        <v/>
      </c>
      <c r="D54" s="519">
        <f>IF(OR(D9="",D13="",D40=""),"",D9+D13-D40)</f>
        <v/>
      </c>
      <c r="E54" s="519">
        <f>IF(OR(E9="",E13="",E40=""),"",E9+E13-E40)</f>
        <v/>
      </c>
      <c r="F54" s="519">
        <f>IF(OR(F9="",F13="",F40=""),"",F9+F13-F40)</f>
        <v/>
      </c>
      <c r="G54" s="519">
        <f>IF(OR(G9="",G13="",G40=""),"",G9+G13-G40)</f>
        <v/>
      </c>
      <c r="H54" s="519">
        <f>IF(OR(H9="",H13="",H40=""),"",H9+H13-H40)</f>
        <v/>
      </c>
      <c r="I54" s="519">
        <f>IF(OR(I9="",I13="",I40=""),"",I9+I13-I40)</f>
        <v/>
      </c>
      <c r="J54" s="519">
        <f>IF(OR(J9="",J13="",J40=""),"",J9+J13-J40)</f>
        <v/>
      </c>
      <c r="K54" s="519">
        <f>IF(OR(K9="",K13="",K40=""),"",K9+K13-K40)</f>
        <v/>
      </c>
      <c r="L54" s="519">
        <f>IF(OR(L9="",L13="",L40=""),"",L9+L13-L40)</f>
        <v/>
      </c>
      <c r="M54" s="519">
        <f>IF(OR(M9="",M13="",M40=""),"",M9+M13-M40)</f>
        <v/>
      </c>
    </row>
    <row r="55" ht="18" customHeight="1">
      <c r="A55" s="179" t="inlineStr">
        <is>
          <t>Total lease liabilities ($m)</t>
        </is>
      </c>
      <c r="B55" s="519">
        <f>IF(OR(B34="",B42=""),"",B34+B42)</f>
        <v/>
      </c>
      <c r="C55" s="519">
        <f>IF(OR(C34="",C42=""),"",C34+C42)</f>
        <v/>
      </c>
      <c r="D55" s="519">
        <f>IF(OR(D34="",D42=""),"",D34+D42)</f>
        <v/>
      </c>
      <c r="E55" s="519">
        <f>IF(OR(E34="",E42=""),"",E34+E42)</f>
        <v/>
      </c>
      <c r="F55" s="519">
        <f>IF(OR(F34="",F42=""),"",F34+F42)</f>
        <v/>
      </c>
      <c r="G55" s="519">
        <f>IF(OR(G34="",G42=""),"",G34+G42)</f>
        <v/>
      </c>
      <c r="H55" s="519">
        <f>IF(OR(H34="",H42=""),"",H34+H42)</f>
        <v/>
      </c>
      <c r="I55" s="519">
        <f>IF(OR(I34="",I42=""),"",I34+I42)</f>
        <v/>
      </c>
      <c r="J55" s="519">
        <f>IF(OR(J34="",J42=""),"",J34+J42)</f>
        <v/>
      </c>
      <c r="K55" s="519">
        <f>IF(OR(K34="",K42=""),"",K34+K42)</f>
        <v/>
      </c>
      <c r="L55" s="519">
        <f>IF(OR(L34="",L42=""),"",L34+L42)</f>
        <v/>
      </c>
      <c r="M55" s="519">
        <f>IF(OR(M34="",M42=""),"",M34+M42)</f>
        <v/>
      </c>
    </row>
    <row r="56" ht="18" customHeight="1">
      <c r="A56" s="179" t="inlineStr">
        <is>
          <t>Diluted shares YoY (%)</t>
        </is>
      </c>
      <c r="B56" s="520">
        <f>""</f>
        <v/>
      </c>
      <c r="C56" s="520">
        <f>""</f>
        <v/>
      </c>
      <c r="D56" s="520">
        <f>""</f>
        <v/>
      </c>
      <c r="E56" s="520">
        <f>""</f>
        <v/>
      </c>
      <c r="F56" s="520">
        <f>IF(OR(B49="",F49="",B49=0),"",F49/B49-1)</f>
        <v/>
      </c>
      <c r="G56" s="520">
        <f>IF(OR(C49="",G49="",C49=0),"",G49/C49-1)</f>
        <v/>
      </c>
      <c r="H56" s="520">
        <f>IF(OR(D49="",H49="",D49=0),"",H49/D49-1)</f>
        <v/>
      </c>
      <c r="I56" s="520">
        <f>IF(OR(E49="",I49="",E49=0),"",I49/E49-1)</f>
        <v/>
      </c>
      <c r="J56" s="520">
        <f>IF(OR(F49="",J49="",F49=0),"",J49/F49-1)</f>
        <v/>
      </c>
      <c r="K56" s="520">
        <f>IF(OR(G49="",K49="",G49=0),"",K49/G49-1)</f>
        <v/>
      </c>
      <c r="L56" s="520">
        <f>IF(OR(H49="",L49="",H49=0),"",L49/H49-1)</f>
        <v/>
      </c>
      <c r="M56" s="520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 revenue ($m)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inlineStr">
        <is>
          <t>Geography and brand are separate analytical views; Total Company must not be added across both dimensions.</t>
        </is>
      </c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 revenue ($m)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234" t="n"/>
      <c r="C70" s="234" t="n"/>
      <c r="D70" s="234" t="n"/>
      <c r="E70" s="234" t="n"/>
      <c r="F70" s="234" t="n"/>
      <c r="G70" s="234" t="n"/>
      <c r="H70" s="234" t="n"/>
      <c r="I70" s="23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 ht="18" customHeight="1"/>
    <row r="77" ht="18" customHeight="1"/>
    <row r="78" ht="18" customHeight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23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24" t="n"/>
      <c r="J40" s="524" t="n"/>
      <c r="K40" s="524" t="n"/>
      <c r="L40" s="524" t="n"/>
      <c r="M40" s="524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Q240"/>
  <sheetViews>
    <sheetView showGridLines="0" showOutlineSymbol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18" customWidth="1" min="9" max="9"/>
    <col width="18" customWidth="1" min="10" max="10"/>
    <col width="18" customWidth="1" min="11" max="11"/>
    <col width="18" customWidth="1" min="12" max="12"/>
    <col width="2.5" customWidth="1" min="13" max="13"/>
    <col hidden="1" width="2" customWidth="1" min="14" max="14"/>
    <col hidden="1" width="2" customWidth="1" min="15" max="15"/>
    <col hidden="1" width="2" customWidth="1" min="16" max="16"/>
    <col hidden="1" width="2" customWidth="1" min="17" max="17"/>
    <col hidden="1" width="2" customWidth="1" min="18" max="18"/>
    <col hidden="1" width="2" customWidth="1" min="19" max="19"/>
    <col hidden="1" width="2" customWidth="1" min="20" max="20"/>
    <col hidden="1" width="2" customWidth="1" min="21" max="21"/>
    <col hidden="1" width="2" customWidth="1" min="22" max="22"/>
    <col hidden="1" width="2" customWidth="1" min="23" max="23"/>
    <col hidden="1" width="2" customWidth="1" min="24" max="24"/>
    <col hidden="1" width="2" customWidth="1" min="25" max="25"/>
    <col hidden="1" width="2" customWidth="1" min="26" max="26"/>
    <col hidden="1" width="2" customWidth="1" min="27" max="27"/>
    <col hidden="1" width="2" customWidth="1" min="28" max="28"/>
    <col hidden="1" width="2" customWidth="1" min="29" max="29"/>
    <col hidden="1" width="2" customWidth="1" min="30" max="30"/>
    <col hidden="1" width="2" customWidth="1" min="31" max="31"/>
    <col hidden="1" width="2" customWidth="1" min="32" max="32"/>
    <col hidden="1" width="2" customWidth="1" min="33" max="33"/>
    <col hidden="1" width="2" customWidth="1" min="34" max="34"/>
    <col hidden="1" width="2" customWidth="1" min="35" max="35"/>
    <col hidden="1" width="2" customWidth="1" min="36" max="36"/>
    <col hidden="1" width="2" customWidth="1" min="37" max="37"/>
    <col hidden="1" width="2" customWidth="1" min="38" max="38"/>
    <col hidden="1" width="2" customWidth="1" min="39" max="39"/>
    <col hidden="1" width="2" customWidth="1" min="40" max="40"/>
    <col hidden="1" width="2" customWidth="1" min="41" max="41"/>
    <col hidden="1" width="2" customWidth="1" min="42" max="42"/>
    <col hidden="1" width="2" customWidth="1" min="43" max="43"/>
    <col hidden="1" width="2" customWidth="1" min="44" max="44"/>
    <col hidden="1" width="2" customWidth="1" min="45" max="45"/>
    <col hidden="1" width="2" customWidth="1" min="46" max="46"/>
    <col hidden="1" width="2" customWidth="1" min="47" max="47"/>
    <col hidden="1" width="2" customWidth="1" min="48" max="48"/>
    <col hidden="1" width="2" customWidth="1" min="49" max="49"/>
    <col hidden="1" width="2" customWidth="1" min="50" max="50"/>
    <col hidden="1" width="2" customWidth="1" min="51" max="51"/>
    <col hidden="1" width="2" customWidth="1" min="52" max="52"/>
    <col hidden="1" width="2" customWidth="1" min="53" max="53"/>
  </cols>
  <sheetData>
    <row r="1" ht="26" customHeight="1">
      <c r="A1" s="525" t="inlineStr"/>
      <c r="B1" s="526" t="n"/>
      <c r="C1" s="526" t="n"/>
      <c r="D1" s="526" t="n"/>
      <c r="E1" s="526" t="n"/>
      <c r="F1" s="526" t="n"/>
      <c r="G1" s="526" t="n"/>
      <c r="H1" s="526" t="n"/>
      <c r="I1" s="526" t="n"/>
      <c r="J1" s="526" t="n"/>
      <c r="K1" s="526" t="n"/>
      <c r="L1" s="526" t="n"/>
      <c r="M1" s="526" t="n"/>
    </row>
    <row r="2" ht="21" customHeight="1">
      <c r="A2" s="253" t="n"/>
    </row>
    <row r="3" ht="21" customHeight="1"/>
    <row r="4" ht="24" customHeight="1">
      <c r="A4" s="527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42" customHeight="1">
      <c r="A5" s="528" t="inlineStr">
        <is>
          <t>Model read</t>
        </is>
      </c>
      <c r="B5" s="528" t="n"/>
      <c r="C5" s="529" t="n"/>
      <c r="D5" s="529" t="n"/>
      <c r="E5" s="529" t="n"/>
      <c r="F5" s="529" t="n"/>
      <c r="G5" s="529" t="n"/>
      <c r="H5" s="529" t="n"/>
      <c r="I5" s="529" t="n"/>
      <c r="J5" s="530" t="n"/>
      <c r="K5" s="531" t="n"/>
      <c r="L5" s="531" t="n"/>
      <c r="M5" s="531" t="n"/>
    </row>
    <row r="6" ht="24" customHeight="1">
      <c r="A6" s="532" t="inlineStr">
        <is>
          <t>Why it can work</t>
        </is>
      </c>
      <c r="B6" s="532" t="n"/>
      <c r="C6" s="529" t="n"/>
      <c r="D6" s="529" t="n"/>
      <c r="E6" s="529" t="n"/>
      <c r="F6" s="529" t="n"/>
      <c r="G6" s="529" t="n"/>
      <c r="H6" s="529" t="n"/>
      <c r="I6" s="529" t="n"/>
      <c r="J6" s="530" t="n"/>
      <c r="K6" s="531" t="n"/>
      <c r="L6" s="531" t="n"/>
      <c r="M6" s="531" t="n"/>
    </row>
    <row r="7" ht="24" customHeight="1">
      <c r="A7" s="533" t="inlineStr">
        <is>
          <t>Key debate</t>
        </is>
      </c>
      <c r="B7" s="533" t="n"/>
      <c r="C7" s="529" t="n"/>
      <c r="D7" s="529" t="n"/>
      <c r="E7" s="529" t="n"/>
      <c r="F7" s="529" t="n"/>
      <c r="G7" s="529" t="n"/>
      <c r="H7" s="529" t="n"/>
      <c r="I7" s="529" t="n"/>
      <c r="J7" s="530" t="n"/>
      <c r="K7" s="531" t="n"/>
      <c r="L7" s="531" t="n"/>
      <c r="M7" s="531" t="n"/>
    </row>
    <row r="8" ht="24" customHeight="1">
      <c r="A8" s="532" t="inlineStr">
        <is>
          <t>Upside path</t>
        </is>
      </c>
      <c r="B8" s="532" t="n"/>
      <c r="C8" s="529" t="n"/>
      <c r="D8" s="529" t="n"/>
      <c r="E8" s="529" t="n"/>
      <c r="F8" s="529" t="n"/>
      <c r="G8" s="529" t="n"/>
      <c r="H8" s="529" t="n"/>
      <c r="I8" s="529" t="n"/>
      <c r="J8" s="530" t="n"/>
      <c r="K8" s="531" t="n"/>
      <c r="L8" s="531" t="n"/>
      <c r="M8" s="531" t="n"/>
    </row>
    <row r="9" ht="24" customHeight="1">
      <c r="A9" s="533" t="inlineStr">
        <is>
          <t>Downside path</t>
        </is>
      </c>
      <c r="B9" s="533" t="n"/>
      <c r="C9" s="529" t="n"/>
      <c r="D9" s="529" t="n"/>
      <c r="E9" s="529" t="n"/>
      <c r="F9" s="529" t="n"/>
      <c r="G9" s="529" t="n"/>
      <c r="H9" s="529" t="n"/>
      <c r="I9" s="529" t="n"/>
      <c r="J9" s="530" t="n"/>
      <c r="K9" s="531" t="n"/>
      <c r="L9" s="531" t="n"/>
      <c r="M9" s="531" t="n"/>
    </row>
    <row r="10" ht="24" customHeight="1">
      <c r="A10" s="532" t="inlineStr">
        <is>
          <t>Watch next</t>
        </is>
      </c>
      <c r="B10" s="532" t="n"/>
      <c r="C10" s="529" t="n"/>
      <c r="D10" s="529" t="n"/>
      <c r="E10" s="529" t="n"/>
      <c r="F10" s="529" t="n"/>
      <c r="G10" s="529" t="n"/>
      <c r="H10" s="529" t="n"/>
      <c r="I10" s="529" t="n"/>
      <c r="J10" s="530" t="n"/>
      <c r="K10" s="531" t="n"/>
      <c r="L10" s="531" t="n"/>
      <c r="M10" s="531" t="n"/>
    </row>
    <row r="11" ht="24" customHeight="1">
      <c r="A11" s="533" t="inlineStr">
        <is>
          <t>Current stance</t>
        </is>
      </c>
      <c r="B11" s="533" t="n"/>
      <c r="C11" s="529" t="n"/>
      <c r="D11" s="529" t="n"/>
      <c r="E11" s="529" t="n"/>
      <c r="F11" s="529" t="n"/>
      <c r="G11" s="529" t="n"/>
      <c r="H11" s="529" t="n"/>
      <c r="I11" s="529" t="n"/>
      <c r="J11" s="530" t="n"/>
      <c r="K11" s="531" t="n"/>
      <c r="L11" s="531" t="n"/>
      <c r="M11" s="531" t="n"/>
    </row>
    <row r="12" hidden="1" ht="21" customHeight="1">
      <c r="A12" t="inlineStr">
        <is>
          <t>Typed Scenario Inputs</t>
        </is>
      </c>
    </row>
    <row r="13" ht="26" customHeight="1">
      <c r="A13" s="527" t="inlineStr">
        <is>
          <t>Model Data and Guidance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7" t="n"/>
      <c r="K13" s="47" t="n"/>
      <c r="L13" s="47" t="n"/>
      <c r="M13" s="46" t="n"/>
    </row>
    <row r="14" ht="36" customHeight="1">
      <c r="A14" s="534" t="inlineStr">
        <is>
          <t>Read-only model data separates the latest completed year, exact four-quarter TTM, company guidance and the value passed into the scenario baseline.</t>
        </is>
      </c>
      <c r="B14" s="535" t="n"/>
      <c r="C14" s="535" t="n"/>
      <c r="D14" s="535" t="n"/>
      <c r="E14" s="535" t="n"/>
      <c r="F14" s="535" t="n"/>
      <c r="G14" s="535" t="n"/>
      <c r="H14" s="535" t="n"/>
      <c r="I14" s="535" t="n"/>
      <c r="J14" s="535" t="n"/>
      <c r="K14" s="535" t="n"/>
      <c r="L14" s="535" t="n"/>
      <c r="M14" s="536" t="n"/>
    </row>
    <row r="15" ht="28" customHeight="1">
      <c r="A15" s="537" t="inlineStr">
        <is>
          <t>Metric</t>
        </is>
      </c>
      <c r="B15" s="537">
        <f>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</f>
        <v/>
      </c>
      <c r="C15" s="537">
        <f>"Model default (TTM)"</f>
        <v/>
      </c>
      <c r="D15" s="537">
        <f>IF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="","Guidance (year)","Guidance ("&amp;RIGHT(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,4)&amp;" year)")</f>
        <v/>
      </c>
      <c r="E15" s="537">
        <f>IF(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="","Guidance (quarter)","Guidance ("&amp;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&amp;")")</f>
        <v/>
      </c>
      <c r="F15" s="538" t="inlineStr">
        <is>
          <t>Active value</t>
        </is>
      </c>
      <c r="G15" s="538" t="inlineStr">
        <is>
          <t>Active source</t>
        </is>
      </c>
      <c r="H15" s="539" t="n"/>
      <c r="I15" s="539" t="n"/>
      <c r="J15" s="539" t="n"/>
      <c r="K15" s="539" t="n"/>
      <c r="L15" s="540" t="n"/>
      <c r="M15" s="537" t="n"/>
    </row>
    <row r="16" ht="22" customHeight="1">
      <c r="A16" s="541" t="inlineStr">
        <is>
          <t>Market data</t>
        </is>
      </c>
      <c r="B16" s="541" t="n"/>
      <c r="C16" s="541" t="n"/>
      <c r="D16" s="541" t="n"/>
      <c r="E16" s="541" t="n"/>
      <c r="F16" s="541" t="n"/>
      <c r="G16" s="541" t="n"/>
      <c r="H16" s="541" t="n"/>
      <c r="I16" s="541" t="n"/>
      <c r="J16" s="541" t="n"/>
      <c r="K16" s="541" t="n"/>
      <c r="L16" s="541" t="n"/>
      <c r="M16" s="541" t="n"/>
    </row>
    <row r="17" ht="21" customHeight="1">
      <c r="A17" s="533">
        <f>IFERROR(IF(ISBLANK(INDEX('{ticker}_Investment_Case_Data'!$Y$2:$Y$201,MATCH("market_input|price",'{ticker}_Investment_Case_Data'!$W$2:$W$201,0))),"",IF(ISTEXT(INDEX('{ticker}_Investment_Case_Data'!$Y$2:$Y$201,MATCH("market_input|price",'{ticker}_Investment_Case_Data'!$W$2:$W$201,0))),INDEX('{ticker}_Investment_Case_Data'!$Y$2:$Y$201,MATCH("market_input|price",'{ticker}_Investment_Case_Data'!$W$2:$W$201,0)),"")),"")</f>
        <v/>
      </c>
      <c r="B17" s="542">
        <f>IFERROR(IF(ISBLANK(INDEX('{ticker}_Investment_Case_Data'!$AA$2:$AA$201,MATCH("market_input|price",'{ticker}_Investment_Case_Data'!$W$2:$W$201,0))),"",IF(ISNUMBER(INDEX('{ticker}_Investment_Case_Data'!$AA$2:$AA$201,MATCH("market_input|price",'{ticker}_Investment_Case_Data'!$W$2:$W$201,0))),INDEX('{ticker}_Investment_Case_Data'!$AA$2:$AA$201,MATCH("market_input|price",'{ticker}_Investment_Case_Data'!$W$2:$W$201,0)),"")),"")</f>
        <v/>
      </c>
      <c r="C17" s="542">
        <f>IFERROR(IF(ISBLANK(INDEX('{ticker}_Investment_Case_Data'!$AB$2:$AB$201,MATCH("market_input|price",'{ticker}_Investment_Case_Data'!$W$2:$W$201,0))),"",IF(ISNUMBER(INDEX('{ticker}_Investment_Case_Data'!$AB$2:$AB$201,MATCH("market_input|price",'{ticker}_Investment_Case_Data'!$W$2:$W$201,0))),INDEX('{ticker}_Investment_Case_Data'!$AB$2:$AB$201,MATCH("market_input|price",'{ticker}_Investment_Case_Data'!$W$2:$W$201,0)),"")),"")</f>
        <v/>
      </c>
      <c r="D17" s="533">
        <f>IFERROR(IF(ISBLANK(INDEX('{ticker}_Investment_Case_Data'!$AC$2:$AC$201,MATCH("market_input|price",'{ticker}_Investment_Case_Data'!$W$2:$W$201,0))),"",IF(ISTEXT(INDEX('{ticker}_Investment_Case_Data'!$AC$2:$AC$201,MATCH("market_input|price",'{ticker}_Investment_Case_Data'!$W$2:$W$201,0))),INDEX('{ticker}_Investment_Case_Data'!$AC$2:$AC$201,MATCH("market_input|price",'{ticker}_Investment_Case_Data'!$W$2:$W$201,0)),"")),"")</f>
        <v/>
      </c>
      <c r="E17" s="533">
        <f>IFERROR(IF(ISBLANK(INDEX('{ticker}_Investment_Case_Data'!$AF$2:$AF$201,MATCH("market_input|price",'{ticker}_Investment_Case_Data'!$W$2:$W$201,0))),"",IF(ISTEXT(INDEX('{ticker}_Investment_Case_Data'!$AF$2:$AF$201,MATCH("market_input|price",'{ticker}_Investment_Case_Data'!$W$2:$W$201,0))),INDEX('{ticker}_Investment_Case_Data'!$AF$2:$AF$201,MATCH("market_input|price",'{ticker}_Investment_Case_Data'!$W$2:$W$201,0)),"")),"")</f>
        <v/>
      </c>
      <c r="F17" s="542">
        <f>IF(ISNUMBER(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),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,"")</f>
        <v/>
      </c>
      <c r="G17" s="533">
        <f>IF(ISNUMBER(F17),IF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latest_completed_fy",IF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="","Model default (year)","Model default ("&amp;LEFT(IFERROR(IF(ISBLANK(INDEX('{ticker}_Investment_Case_Data'!$AK$2:$AK$201,MATCH("market_input|price",'{ticker}_Investment_Case_Data'!$W$2:$W$201,0))),"",IF(ISTEXT(INDEX('{ticker}_Investment_Case_Data'!$AK$2:$AK$201,MATCH("market_input|price",'{ticker}_Investment_Case_Data'!$W$2:$W$201,0))),INDEX('{ticker}_Investment_Case_Data'!$AK$2:$AK$201,MATCH("market_input|price",'{ticker}_Investment_Case_Data'!$W$2:$W$201,0)),"")),""),4)&amp;" year)"),"Model default (TTM)"),IF(OR(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manual_only",IFERROR(IF(ISBLANK(INDEX('{ticker}_Investment_Case_Data'!$AW$2:$AW$201,MATCH("market_input|price",'{ticker}_Investment_Case_Data'!$W$2:$W$201,0))),"",IF(ISTEXT(INDEX('{ticker}_Investment_Case_Data'!$AW$2:$AW$201,MATCH("market_input|price",'{ticker}_Investment_Case_Data'!$W$2:$W$201,0))),INDEX('{ticker}_Investment_Case_Data'!$AW$2:$AW$201,MATCH("market_input|price",'{ticker}_Investment_Case_Data'!$W$2:$W$201,0)),"")),"")="historical_context_only"),"Manual input required","Unavailable"))</f>
        <v/>
      </c>
      <c r="H17" s="535" t="n"/>
      <c r="I17" s="535" t="n"/>
      <c r="J17" s="535" t="n"/>
      <c r="K17" s="535" t="n"/>
      <c r="L17" s="536" t="n"/>
      <c r="M17" s="533" t="n"/>
    </row>
    <row r="18" ht="21" customHeight="1">
      <c r="A18" s="533">
        <f>IFERROR(IF(ISBLANK(INDEX('{ticker}_Investment_Case_Data'!$Y$2:$Y$201,MATCH("market_input|diluted_shares",'{ticker}_Investment_Case_Data'!$W$2:$W$201,0))),"",IF(ISTEXT(INDEX('{ticker}_Investment_Case_Data'!$Y$2:$Y$201,MATCH("market_input|diluted_shares",'{ticker}_Investment_Case_Data'!$W$2:$W$201,0))),INDEX('{ticker}_Investment_Case_Data'!$Y$2:$Y$201,MATCH("market_input|diluted_shares",'{ticker}_Investment_Case_Data'!$W$2:$W$201,0)),"")),"")</f>
        <v/>
      </c>
      <c r="B18" s="543">
        <f>IFERROR(IF(ISBLANK(INDEX('{ticker}_Investment_Case_Data'!$AA$2:$AA$201,MATCH("market_input|diluted_shares",'{ticker}_Investment_Case_Data'!$W$2:$W$201,0))),"",IF(ISNUMBER(INDEX('{ticker}_Investment_Case_Data'!$AA$2:$AA$201,MATCH("market_input|diluted_shares",'{ticker}_Investment_Case_Data'!$W$2:$W$201,0))),INDEX('{ticker}_Investment_Case_Data'!$AA$2:$AA$201,MATCH("market_input|diluted_shares",'{ticker}_Investment_Case_Data'!$W$2:$W$201,0)),"")),"")</f>
        <v/>
      </c>
      <c r="C18" s="543">
        <f>IFERROR(IF(ISBLANK(INDEX('{ticker}_Investment_Case_Data'!$AB$2:$AB$201,MATCH("market_input|diluted_shares",'{ticker}_Investment_Case_Data'!$W$2:$W$201,0))),"",IF(ISNUMBER(INDEX('{ticker}_Investment_Case_Data'!$AB$2:$AB$201,MATCH("market_input|diluted_shares",'{ticker}_Investment_Case_Data'!$W$2:$W$201,0))),INDEX('{ticker}_Investment_Case_Data'!$AB$2:$AB$201,MATCH("market_input|diluted_shares",'{ticker}_Investment_Case_Data'!$W$2:$W$201,0)),"")),"")</f>
        <v/>
      </c>
      <c r="D18" s="533">
        <f>IFERROR(IF(ISBLANK(INDEX('{ticker}_Investment_Case_Data'!$AC$2:$AC$201,MATCH("market_input|diluted_shares",'{ticker}_Investment_Case_Data'!$W$2:$W$201,0))),"",IF(ISTEXT(INDEX('{ticker}_Investment_Case_Data'!$AC$2:$AC$201,MATCH("market_input|diluted_shares",'{ticker}_Investment_Case_Data'!$W$2:$W$201,0))),INDEX('{ticker}_Investment_Case_Data'!$AC$2:$AC$201,MATCH("market_input|diluted_shares",'{ticker}_Investment_Case_Data'!$W$2:$W$201,0)),"")),"")</f>
        <v/>
      </c>
      <c r="E18" s="533">
        <f>IFERROR(IF(ISBLANK(INDEX('{ticker}_Investment_Case_Data'!$AF$2:$AF$201,MATCH("market_input|diluted_shares",'{ticker}_Investment_Case_Data'!$W$2:$W$201,0))),"",IF(ISTEXT(INDEX('{ticker}_Investment_Case_Data'!$AF$2:$AF$201,MATCH("market_input|diluted_shares",'{ticker}_Investment_Case_Data'!$W$2:$W$201,0))),INDEX('{ticker}_Investment_Case_Data'!$AF$2:$AF$201,MATCH("market_input|diluted_shares",'{ticker}_Investment_Case_Data'!$W$2:$W$201,0)),"")),"")</f>
        <v/>
      </c>
      <c r="F18" s="543">
        <f>IF(ISNUMBER(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),IFERROR(IF(ISBLANK(INDEX('{ticker}_Investment_Case_Data'!$AI$2:$AI$201,MATCH("market_input|diluted_shares",'{ticker}_Investment_Case_Data'!$W$2:$W$201,0))),"",IF(ISNUMBER(INDEX('{ticker}_Investment_Case_Data'!$AI$2:$AI$201,MATCH("market_input|diluted_shares",'{ticker}_Investment_Case_Data'!$W$2:$W$201,0))),INDEX('{ticker}_Investment_Case_Data'!$AI$2:$AI$201,MATCH("market_input|diluted_shares",'{ticker}_Investment_Case_Data'!$W$2:$W$201,0)),"")),""),"")</f>
        <v/>
      </c>
      <c r="G18" s="533">
        <f>IF(ISNUMBER(F18),IF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latest_completed_fy",IF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="","Model default (year)","Model default ("&amp;LEFT(IFERROR(IF(ISBLANK(INDEX('{ticker}_Investment_Case_Data'!$AK$2:$AK$201,MATCH("market_input|diluted_shares",'{ticker}_Investment_Case_Data'!$W$2:$W$201,0))),"",IF(ISTEXT(INDEX('{ticker}_Investment_Case_Data'!$AK$2:$AK$201,MATCH("market_input|diluted_shares",'{ticker}_Investment_Case_Data'!$W$2:$W$201,0))),INDEX('{ticker}_Investment_Case_Data'!$AK$2:$AK$201,MATCH("market_input|diluted_shares",'{ticker}_Investment_Case_Data'!$W$2:$W$201,0)),"")),""),4)&amp;" year)"),"Model default (TTM)"),IF(OR(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manual_only",IFERROR(IF(ISBLANK(INDEX('{ticker}_Investment_Case_Data'!$AW$2:$AW$201,MATCH("market_input|diluted_shares",'{ticker}_Investment_Case_Data'!$W$2:$W$201,0))),"",IF(ISTEXT(INDEX('{ticker}_Investment_Case_Data'!$AW$2:$AW$201,MATCH("market_input|diluted_shares",'{ticker}_Investment_Case_Data'!$W$2:$W$201,0))),INDEX('{ticker}_Investment_Case_Data'!$AW$2:$AW$201,MATCH("market_input|diluted_shares",'{ticker}_Investment_Case_Data'!$W$2:$W$201,0)),"")),"")="historical_context_only"),"Manual input required","Unavailable"))</f>
        <v/>
      </c>
      <c r="H18" s="535" t="n"/>
      <c r="I18" s="535" t="n"/>
      <c r="J18" s="535" t="n"/>
      <c r="K18" s="535" t="n"/>
      <c r="L18" s="536" t="n"/>
      <c r="M18" s="533" t="n"/>
    </row>
    <row r="19" ht="21" customHeight="1">
      <c r="A19" s="533">
        <f>IFERROR(IF(ISBLANK(INDEX('{ticker}_Investment_Case_Data'!$Y$2:$Y$201,MATCH("market_input|net_debt",'{ticker}_Investment_Case_Data'!$W$2:$W$201,0))),"",IF(ISTEXT(INDEX('{ticker}_Investment_Case_Data'!$Y$2:$Y$201,MATCH("market_input|net_debt",'{ticker}_Investment_Case_Data'!$W$2:$W$201,0))),INDEX('{ticker}_Investment_Case_Data'!$Y$2:$Y$201,MATCH("market_input|net_debt",'{ticker}_Investment_Case_Data'!$W$2:$W$201,0)),"")),"")</f>
        <v/>
      </c>
      <c r="B19" s="544">
        <f>IFERROR(IF(ISBLANK(INDEX('{ticker}_Investment_Case_Data'!$AA$2:$AA$201,MATCH("market_input|net_debt",'{ticker}_Investment_Case_Data'!$W$2:$W$201,0))),"",IF(ISNUMBER(INDEX('{ticker}_Investment_Case_Data'!$AA$2:$AA$201,MATCH("market_input|net_debt",'{ticker}_Investment_Case_Data'!$W$2:$W$201,0))),INDEX('{ticker}_Investment_Case_Data'!$AA$2:$AA$201,MATCH("market_input|net_debt",'{ticker}_Investment_Case_Data'!$W$2:$W$201,0)),"")),"")</f>
        <v/>
      </c>
      <c r="C19" s="544">
        <f>IFERROR(IF(ISBLANK(INDEX('{ticker}_Investment_Case_Data'!$AB$2:$AB$201,MATCH("market_input|net_debt",'{ticker}_Investment_Case_Data'!$W$2:$W$201,0))),"",IF(ISNUMBER(INDEX('{ticker}_Investment_Case_Data'!$AB$2:$AB$201,MATCH("market_input|net_debt",'{ticker}_Investment_Case_Data'!$W$2:$W$201,0))),INDEX('{ticker}_Investment_Case_Data'!$AB$2:$AB$201,MATCH("market_input|net_debt",'{ticker}_Investment_Case_Data'!$W$2:$W$201,0)),"")),"")</f>
        <v/>
      </c>
      <c r="D19" s="533">
        <f>IFERROR(IF(ISBLANK(INDEX('{ticker}_Investment_Case_Data'!$AC$2:$AC$201,MATCH("market_input|net_debt",'{ticker}_Investment_Case_Data'!$W$2:$W$201,0))),"",IF(ISTEXT(INDEX('{ticker}_Investment_Case_Data'!$AC$2:$AC$201,MATCH("market_input|net_debt",'{ticker}_Investment_Case_Data'!$W$2:$W$201,0))),INDEX('{ticker}_Investment_Case_Data'!$AC$2:$AC$201,MATCH("market_input|net_debt",'{ticker}_Investment_Case_Data'!$W$2:$W$201,0)),"")),"")</f>
        <v/>
      </c>
      <c r="E19" s="533">
        <f>IFERROR(IF(ISBLANK(INDEX('{ticker}_Investment_Case_Data'!$AF$2:$AF$201,MATCH("market_input|net_debt",'{ticker}_Investment_Case_Data'!$W$2:$W$201,0))),"",IF(ISTEXT(INDEX('{ticker}_Investment_Case_Data'!$AF$2:$AF$201,MATCH("market_input|net_debt",'{ticker}_Investment_Case_Data'!$W$2:$W$201,0))),INDEX('{ticker}_Investment_Case_Data'!$AF$2:$AF$201,MATCH("market_input|net_debt",'{ticker}_Investment_Case_Data'!$W$2:$W$201,0)),"")),"")</f>
        <v/>
      </c>
      <c r="F19" s="544">
        <f>IF(ISNUMBER(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),IFERROR(IF(ISBLANK(INDEX('{ticker}_Investment_Case_Data'!$AI$2:$AI$201,MATCH("market_input|net_debt",'{ticker}_Investment_Case_Data'!$W$2:$W$201,0))),"",IF(ISNUMBER(INDEX('{ticker}_Investment_Case_Data'!$AI$2:$AI$201,MATCH("market_input|net_debt",'{ticker}_Investment_Case_Data'!$W$2:$W$201,0))),INDEX('{ticker}_Investment_Case_Data'!$AI$2:$AI$201,MATCH("market_input|net_debt",'{ticker}_Investment_Case_Data'!$W$2:$W$201,0)),"")),""),"")</f>
        <v/>
      </c>
      <c r="G19" s="533">
        <f>IF(ISNUMBER(F19),IF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latest_completed_fy",IF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="","Model default (year)","Model default ("&amp;LEFT(IFERROR(IF(ISBLANK(INDEX('{ticker}_Investment_Case_Data'!$AK$2:$AK$201,MATCH("market_input|net_debt",'{ticker}_Investment_Case_Data'!$W$2:$W$201,0))),"",IF(ISTEXT(INDEX('{ticker}_Investment_Case_Data'!$AK$2:$AK$201,MATCH("market_input|net_debt",'{ticker}_Investment_Case_Data'!$W$2:$W$201,0))),INDEX('{ticker}_Investment_Case_Data'!$AK$2:$AK$201,MATCH("market_input|net_debt",'{ticker}_Investment_Case_Data'!$W$2:$W$201,0)),"")),""),4)&amp;" year)"),"Model default (TTM)"),IF(OR(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manual_only",IFERROR(IF(ISBLANK(INDEX('{ticker}_Investment_Case_Data'!$AW$2:$AW$201,MATCH("market_input|net_debt",'{ticker}_Investment_Case_Data'!$W$2:$W$201,0))),"",IF(ISTEXT(INDEX('{ticker}_Investment_Case_Data'!$AW$2:$AW$201,MATCH("market_input|net_debt",'{ticker}_Investment_Case_Data'!$W$2:$W$201,0))),INDEX('{ticker}_Investment_Case_Data'!$AW$2:$AW$201,MATCH("market_input|net_debt",'{ticker}_Investment_Case_Data'!$W$2:$W$201,0)),"")),"")="historical_context_only"),"Manual input required","Unavailable"))</f>
        <v/>
      </c>
      <c r="H19" s="535" t="n"/>
      <c r="I19" s="535" t="n"/>
      <c r="J19" s="535" t="n"/>
      <c r="K19" s="535" t="n"/>
      <c r="L19" s="536" t="n"/>
      <c r="M19" s="533" t="n"/>
    </row>
    <row r="20" ht="22" customHeight="1">
      <c r="A20" s="541" t="inlineStr">
        <is>
          <t>Operating performance</t>
        </is>
      </c>
      <c r="B20" s="541" t="n"/>
      <c r="C20" s="541" t="n"/>
      <c r="D20" s="541" t="n"/>
      <c r="E20" s="541" t="n"/>
      <c r="F20" s="541" t="n"/>
      <c r="G20" s="541" t="n"/>
      <c r="H20" s="541" t="n"/>
      <c r="I20" s="541" t="n"/>
      <c r="J20" s="541" t="n"/>
      <c r="K20" s="541" t="n"/>
      <c r="L20" s="541" t="n"/>
      <c r="M20" s="541" t="n"/>
    </row>
    <row r="21" ht="21" customHeight="1">
      <c r="A21" s="533">
        <f>IFERROR(IF(ISBLANK(INDEX('{ticker}_Investment_Case_Data'!$Y$2:$Y$201,MATCH("market_input|revenue",'{ticker}_Investment_Case_Data'!$W$2:$W$201,0))),"",IF(ISTEXT(INDEX('{ticker}_Investment_Case_Data'!$Y$2:$Y$201,MATCH("market_input|revenue",'{ticker}_Investment_Case_Data'!$W$2:$W$201,0))),INDEX('{ticker}_Investment_Case_Data'!$Y$2:$Y$201,MATCH("market_input|revenue",'{ticker}_Investment_Case_Data'!$W$2:$W$201,0)),"")),"")</f>
        <v/>
      </c>
      <c r="B21" s="544">
        <f>IFERROR(IF(ISBLANK(INDEX('{ticker}_Investment_Case_Data'!$AA$2:$AA$201,MATCH("market_input|revenue",'{ticker}_Investment_Case_Data'!$W$2:$W$201,0))),"",IF(ISNUMBER(INDEX('{ticker}_Investment_Case_Data'!$AA$2:$AA$201,MATCH("market_input|revenue",'{ticker}_Investment_Case_Data'!$W$2:$W$201,0))),INDEX('{ticker}_Investment_Case_Data'!$AA$2:$AA$201,MATCH("market_input|revenue",'{ticker}_Investment_Case_Data'!$W$2:$W$201,0)),"")),"")</f>
        <v/>
      </c>
      <c r="C21" s="544">
        <f>IFERROR(IF(ISBLANK(INDEX('{ticker}_Investment_Case_Data'!$AB$2:$AB$201,MATCH("market_input|revenue",'{ticker}_Investment_Case_Data'!$W$2:$W$201,0))),"",IF(ISNUMBER(INDEX('{ticker}_Investment_Case_Data'!$AB$2:$AB$201,MATCH("market_input|revenue",'{ticker}_Investment_Case_Data'!$W$2:$W$201,0))),INDEX('{ticker}_Investment_Case_Data'!$AB$2:$AB$201,MATCH("market_input|revenue",'{ticker}_Investment_Case_Data'!$W$2:$W$201,0)),"")),"")</f>
        <v/>
      </c>
      <c r="D21" s="533">
        <f>IFERROR(IF(ISBLANK(INDEX('{ticker}_Investment_Case_Data'!$AC$2:$AC$201,MATCH("market_input|revenue",'{ticker}_Investment_Case_Data'!$W$2:$W$201,0))),"",IF(ISTEXT(INDEX('{ticker}_Investment_Case_Data'!$AC$2:$AC$201,MATCH("market_input|revenue",'{ticker}_Investment_Case_Data'!$W$2:$W$201,0))),INDEX('{ticker}_Investment_Case_Data'!$AC$2:$AC$201,MATCH("market_input|revenue",'{ticker}_Investment_Case_Data'!$W$2:$W$201,0)),"")),"")</f>
        <v/>
      </c>
      <c r="E21" s="533">
        <f>IFERROR(IF(ISBLANK(INDEX('{ticker}_Investment_Case_Data'!$AF$2:$AF$201,MATCH("market_input|revenue",'{ticker}_Investment_Case_Data'!$W$2:$W$201,0))),"",IF(ISTEXT(INDEX('{ticker}_Investment_Case_Data'!$AF$2:$AF$201,MATCH("market_input|revenue",'{ticker}_Investment_Case_Data'!$W$2:$W$201,0))),INDEX('{ticker}_Investment_Case_Data'!$AF$2:$AF$201,MATCH("market_input|revenue",'{ticker}_Investment_Case_Data'!$W$2:$W$201,0)),"")),"")</f>
        <v/>
      </c>
      <c r="F21" s="544">
        <f>IF(ISNUMBER(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),IFERROR(IF(ISBLANK(INDEX('{ticker}_Investment_Case_Data'!$AI$2:$AI$201,MATCH("market_input|revenue",'{ticker}_Investment_Case_Data'!$W$2:$W$201,0))),"",IF(ISNUMBER(INDEX('{ticker}_Investment_Case_Data'!$AI$2:$AI$201,MATCH("market_input|revenue",'{ticker}_Investment_Case_Data'!$W$2:$W$201,0))),INDEX('{ticker}_Investment_Case_Data'!$AI$2:$AI$201,MATCH("market_input|revenue",'{ticker}_Investment_Case_Data'!$W$2:$W$201,0)),"")),""),"")</f>
        <v/>
      </c>
      <c r="G21" s="533">
        <f>IF(ISNUMBER(F21),IF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latest_completed_fy",IF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="","Model default (year)","Model default ("&amp;LEFT(IFERROR(IF(ISBLANK(INDEX('{ticker}_Investment_Case_Data'!$AK$2:$AK$201,MATCH("market_input|revenue",'{ticker}_Investment_Case_Data'!$W$2:$W$201,0))),"",IF(ISTEXT(INDEX('{ticker}_Investment_Case_Data'!$AK$2:$AK$201,MATCH("market_input|revenue",'{ticker}_Investment_Case_Data'!$W$2:$W$201,0))),INDEX('{ticker}_Investment_Case_Data'!$AK$2:$AK$201,MATCH("market_input|revenue",'{ticker}_Investment_Case_Data'!$W$2:$W$201,0)),"")),""),4)&amp;" year)"),"Model default (TTM)"),IF(OR(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manual_only",IFERROR(IF(ISBLANK(INDEX('{ticker}_Investment_Case_Data'!$AW$2:$AW$201,MATCH("market_input|revenue",'{ticker}_Investment_Case_Data'!$W$2:$W$201,0))),"",IF(ISTEXT(INDEX('{ticker}_Investment_Case_Data'!$AW$2:$AW$201,MATCH("market_input|revenue",'{ticker}_Investment_Case_Data'!$W$2:$W$201,0))),INDEX('{ticker}_Investment_Case_Data'!$AW$2:$AW$201,MATCH("market_input|revenue",'{ticker}_Investment_Case_Data'!$W$2:$W$201,0)),"")),"")="historical_context_only"),"Manual input required","Unavailable"))</f>
        <v/>
      </c>
      <c r="H21" s="535" t="n"/>
      <c r="I21" s="535" t="n"/>
      <c r="J21" s="535" t="n"/>
      <c r="K21" s="535" t="n"/>
      <c r="L21" s="536" t="n"/>
      <c r="M21" s="533" t="n"/>
    </row>
    <row r="22" ht="21" customHeight="1">
      <c r="A22" s="533">
        <f>IFERROR(IF(ISBLANK(INDEX('{ticker}_Investment_Case_Data'!$Y$2:$Y$201,MATCH("market_input|revenue_growth",'{ticker}_Investment_Case_Data'!$W$2:$W$201,0))),"",IF(ISTEXT(INDEX('{ticker}_Investment_Case_Data'!$Y$2:$Y$201,MATCH("market_input|revenue_growth",'{ticker}_Investment_Case_Data'!$W$2:$W$201,0))),INDEX('{ticker}_Investment_Case_Data'!$Y$2:$Y$201,MATCH("market_input|revenue_growth",'{ticker}_Investment_Case_Data'!$W$2:$W$201,0)),"")),"")</f>
        <v/>
      </c>
      <c r="B22" s="545">
        <f>IFERROR(IF(ISBLANK(INDEX('{ticker}_Investment_Case_Data'!$AA$2:$AA$201,MATCH("market_input|revenue_growth",'{ticker}_Investment_Case_Data'!$W$2:$W$201,0))),"",IF(ISNUMBER(INDEX('{ticker}_Investment_Case_Data'!$AA$2:$AA$201,MATCH("market_input|revenue_growth",'{ticker}_Investment_Case_Data'!$W$2:$W$201,0))),INDEX('{ticker}_Investment_Case_Data'!$AA$2:$AA$201,MATCH("market_input|revenue_growth",'{ticker}_Investment_Case_Data'!$W$2:$W$201,0)),"")),"")</f>
        <v/>
      </c>
      <c r="C22" s="545">
        <f>IFERROR(IF(ISBLANK(INDEX('{ticker}_Investment_Case_Data'!$AB$2:$AB$201,MATCH("market_input|revenue_growth",'{ticker}_Investment_Case_Data'!$W$2:$W$201,0))),"",IF(ISNUMBER(INDEX('{ticker}_Investment_Case_Data'!$AB$2:$AB$201,MATCH("market_input|revenue_growth",'{ticker}_Investment_Case_Data'!$W$2:$W$201,0))),INDEX('{ticker}_Investment_Case_Data'!$AB$2:$AB$201,MATCH("market_input|revenue_growth",'{ticker}_Investment_Case_Data'!$W$2:$W$201,0)),"")),"")</f>
        <v/>
      </c>
      <c r="D22" s="533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E22" s="533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F22" s="545">
        <f>IF(ISNUMBER(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),IFERROR(IF(ISBLANK(INDEX('{ticker}_Investment_Case_Data'!$AI$2:$AI$201,MATCH("market_input|revenue_growth",'{ticker}_Investment_Case_Data'!$W$2:$W$201,0))),"",IF(ISNUMBER(INDEX('{ticker}_Investment_Case_Data'!$AI$2:$AI$201,MATCH("market_input|revenue_growth",'{ticker}_Investment_Case_Data'!$W$2:$W$201,0))),INDEX('{ticker}_Investment_Case_Data'!$AI$2:$AI$201,MATCH("market_input|revenue_growth",'{ticker}_Investment_Case_Data'!$W$2:$W$201,0)),"")),""),"")</f>
        <v/>
      </c>
      <c r="G22" s="533">
        <f>IF(ISNUMBER(F22),IF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latest_completed_fy",IF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="","Model default (year)","Model default ("&amp;LEFT(IFERROR(IF(ISBLANK(INDEX('{ticker}_Investment_Case_Data'!$AK$2:$AK$201,MATCH("market_input|revenue_growth",'{ticker}_Investment_Case_Data'!$W$2:$W$201,0))),"",IF(ISTEXT(INDEX('{ticker}_Investment_Case_Data'!$AK$2:$AK$201,MATCH("market_input|revenue_growth",'{ticker}_Investment_Case_Data'!$W$2:$W$201,0))),INDEX('{ticker}_Investment_Case_Data'!$AK$2:$AK$201,MATCH("market_input|revenue_growth",'{ticker}_Investment_Case_Data'!$W$2:$W$201,0)),"")),""),4)&amp;" year)"),"Model default (TTM)"),IF(OR(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manual_only",IFERROR(IF(ISBLANK(INDEX('{ticker}_Investment_Case_Data'!$AW$2:$AW$201,MATCH("market_input|revenue_growth",'{ticker}_Investment_Case_Data'!$W$2:$W$201,0))),"",IF(ISTEXT(INDEX('{ticker}_Investment_Case_Data'!$AW$2:$AW$201,MATCH("market_input|revenue_growth",'{ticker}_Investment_Case_Data'!$W$2:$W$201,0))),INDEX('{ticker}_Investment_Case_Data'!$AW$2:$AW$201,MATCH("market_input|revenue_growth",'{ticker}_Investment_Case_Data'!$W$2:$W$201,0)),"")),"")="historical_context_only"),"Manual input required","Unavailable"))</f>
        <v/>
      </c>
      <c r="H22" s="535" t="n"/>
      <c r="I22" s="535" t="n"/>
      <c r="J22" s="535" t="n"/>
      <c r="K22" s="535" t="n"/>
      <c r="L22" s="536" t="n"/>
      <c r="M22" s="533" t="n"/>
    </row>
    <row r="23" ht="21" customHeight="1">
      <c r="A23" s="533">
        <f>IFERROR(IF(ISBLANK(INDEX('{ticker}_Investment_Case_Data'!$Y$2:$Y$201,MATCH("market_input|gross_margin",'{ticker}_Investment_Case_Data'!$W$2:$W$201,0))),"",IF(ISTEXT(INDEX('{ticker}_Investment_Case_Data'!$Y$2:$Y$201,MATCH("market_input|gross_margin",'{ticker}_Investment_Case_Data'!$W$2:$W$201,0))),INDEX('{ticker}_Investment_Case_Data'!$Y$2:$Y$201,MATCH("market_input|gross_margin",'{ticker}_Investment_Case_Data'!$W$2:$W$201,0)),"")),"")</f>
        <v/>
      </c>
      <c r="B23" s="545">
        <f>IFERROR(IF(ISBLANK(INDEX('{ticker}_Investment_Case_Data'!$AA$2:$AA$201,MATCH("market_input|gross_margin",'{ticker}_Investment_Case_Data'!$W$2:$W$201,0))),"",IF(ISNUMBER(INDEX('{ticker}_Investment_Case_Data'!$AA$2:$AA$201,MATCH("market_input|gross_margin",'{ticker}_Investment_Case_Data'!$W$2:$W$201,0))),INDEX('{ticker}_Investment_Case_Data'!$AA$2:$AA$201,MATCH("market_input|gross_margin",'{ticker}_Investment_Case_Data'!$W$2:$W$201,0)),"")),"")</f>
        <v/>
      </c>
      <c r="C23" s="545">
        <f>IFERROR(IF(ISBLANK(INDEX('{ticker}_Investment_Case_Data'!$AB$2:$AB$201,MATCH("market_input|gross_margin",'{ticker}_Investment_Case_Data'!$W$2:$W$201,0))),"",IF(ISNUMBER(INDEX('{ticker}_Investment_Case_Data'!$AB$2:$AB$201,MATCH("market_input|gross_margin",'{ticker}_Investment_Case_Data'!$W$2:$W$201,0))),INDEX('{ticker}_Investment_Case_Data'!$AB$2:$AB$201,MATCH("market_input|gross_margin",'{ticker}_Investment_Case_Data'!$W$2:$W$201,0)),"")),"")</f>
        <v/>
      </c>
      <c r="D23" s="533">
        <f>IFERROR(IF(ISBLANK(INDEX('{ticker}_Investment_Case_Data'!$AC$2:$AC$201,MATCH("market_input|gross_margin",'{ticker}_Investment_Case_Data'!$W$2:$W$201,0))),"",IF(ISTEXT(INDEX('{ticker}_Investment_Case_Data'!$AC$2:$AC$201,MATCH("market_input|gross_margin",'{ticker}_Investment_Case_Data'!$W$2:$W$201,0))),INDEX('{ticker}_Investment_Case_Data'!$AC$2:$AC$201,MATCH("market_input|gross_margin",'{ticker}_Investment_Case_Data'!$W$2:$W$201,0)),"")),"")</f>
        <v/>
      </c>
      <c r="E23" s="533">
        <f>IFERROR(IF(ISBLANK(INDEX('{ticker}_Investment_Case_Data'!$AF$2:$AF$201,MATCH("market_input|gross_margin",'{ticker}_Investment_Case_Data'!$W$2:$W$201,0))),"",IF(ISTEXT(INDEX('{ticker}_Investment_Case_Data'!$AF$2:$AF$201,MATCH("market_input|gross_margin",'{ticker}_Investment_Case_Data'!$W$2:$W$201,0))),INDEX('{ticker}_Investment_Case_Data'!$AF$2:$AF$201,MATCH("market_input|gross_margin",'{ticker}_Investment_Case_Data'!$W$2:$W$201,0)),"")),"")</f>
        <v/>
      </c>
      <c r="F23" s="545">
        <f>IF(ISNUMBER(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),IFERROR(IF(ISBLANK(INDEX('{ticker}_Investment_Case_Data'!$AI$2:$AI$201,MATCH("market_input|gross_margin",'{ticker}_Investment_Case_Data'!$W$2:$W$201,0))),"",IF(ISNUMBER(INDEX('{ticker}_Investment_Case_Data'!$AI$2:$AI$201,MATCH("market_input|gross_margin",'{ticker}_Investment_Case_Data'!$W$2:$W$201,0))),INDEX('{ticker}_Investment_Case_Data'!$AI$2:$AI$201,MATCH("market_input|gross_margin",'{ticker}_Investment_Case_Data'!$W$2:$W$201,0)),"")),""),"")</f>
        <v/>
      </c>
      <c r="G23" s="533">
        <f>IF(ISNUMBER(F23),IF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latest_completed_fy",IF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="","Model default (year)","Model default ("&amp;LEFT(IFERROR(IF(ISBLANK(INDEX('{ticker}_Investment_Case_Data'!$AK$2:$AK$201,MATCH("market_input|gross_margin",'{ticker}_Investment_Case_Data'!$W$2:$W$201,0))),"",IF(ISTEXT(INDEX('{ticker}_Investment_Case_Data'!$AK$2:$AK$201,MATCH("market_input|gross_margin",'{ticker}_Investment_Case_Data'!$W$2:$W$201,0))),INDEX('{ticker}_Investment_Case_Data'!$AK$2:$AK$201,MATCH("market_input|gross_margin",'{ticker}_Investment_Case_Data'!$W$2:$W$201,0)),"")),""),4)&amp;" year)"),"Model default (TTM)"),IF(OR(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manual_only",IFERROR(IF(ISBLANK(INDEX('{ticker}_Investment_Case_Data'!$AW$2:$AW$201,MATCH("market_input|gross_margin",'{ticker}_Investment_Case_Data'!$W$2:$W$201,0))),"",IF(ISTEXT(INDEX('{ticker}_Investment_Case_Data'!$AW$2:$AW$201,MATCH("market_input|gross_margin",'{ticker}_Investment_Case_Data'!$W$2:$W$201,0))),INDEX('{ticker}_Investment_Case_Data'!$AW$2:$AW$201,MATCH("market_input|gross_margin",'{ticker}_Investment_Case_Data'!$W$2:$W$201,0)),"")),"")="historical_context_only"),"Manual input required","Unavailable"))</f>
        <v/>
      </c>
      <c r="H23" s="535" t="n"/>
      <c r="I23" s="535" t="n"/>
      <c r="J23" s="535" t="n"/>
      <c r="K23" s="535" t="n"/>
      <c r="L23" s="536" t="n"/>
      <c r="M23" s="533" t="n"/>
    </row>
    <row r="24" ht="21" customHeight="1">
      <c r="A24" s="533">
        <f>IFERROR(IF(ISBLANK(INDEX('{ticker}_Investment_Case_Data'!$Y$2:$Y$201,MATCH("market_input|operating_margin",'{ticker}_Investment_Case_Data'!$W$2:$W$201,0))),"",IF(ISTEXT(INDEX('{ticker}_Investment_Case_Data'!$Y$2:$Y$201,MATCH("market_input|operating_margin",'{ticker}_Investment_Case_Data'!$W$2:$W$201,0))),INDEX('{ticker}_Investment_Case_Data'!$Y$2:$Y$201,MATCH("market_input|operating_margin",'{ticker}_Investment_Case_Data'!$W$2:$W$201,0)),"")),"")</f>
        <v/>
      </c>
      <c r="B24" s="545">
        <f>IFERROR(IF(ISBLANK(INDEX('{ticker}_Investment_Case_Data'!$AA$2:$AA$201,MATCH("market_input|operating_margin",'{ticker}_Investment_Case_Data'!$W$2:$W$201,0))),"",IF(ISNUMBER(INDEX('{ticker}_Investment_Case_Data'!$AA$2:$AA$201,MATCH("market_input|operating_margin",'{ticker}_Investment_Case_Data'!$W$2:$W$201,0))),INDEX('{ticker}_Investment_Case_Data'!$AA$2:$AA$201,MATCH("market_input|operating_margin",'{ticker}_Investment_Case_Data'!$W$2:$W$201,0)),"")),"")</f>
        <v/>
      </c>
      <c r="C24" s="545">
        <f>IFERROR(IF(ISBLANK(INDEX('{ticker}_Investment_Case_Data'!$AB$2:$AB$201,MATCH("market_input|operating_margin",'{ticker}_Investment_Case_Data'!$W$2:$W$201,0))),"",IF(ISNUMBER(INDEX('{ticker}_Investment_Case_Data'!$AB$2:$AB$201,MATCH("market_input|operating_margin",'{ticker}_Investment_Case_Data'!$W$2:$W$201,0))),INDEX('{ticker}_Investment_Case_Data'!$AB$2:$AB$201,MATCH("market_input|operating_margin",'{ticker}_Investment_Case_Data'!$W$2:$W$201,0)),"")),"")</f>
        <v/>
      </c>
      <c r="D24" s="533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E24" s="533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F24" s="545">
        <f>IF(ISNUMBER(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),IFERROR(IF(ISBLANK(INDEX('{ticker}_Investment_Case_Data'!$AI$2:$AI$201,MATCH("market_input|operating_margin",'{ticker}_Investment_Case_Data'!$W$2:$W$201,0))),"",IF(ISNUMBER(INDEX('{ticker}_Investment_Case_Data'!$AI$2:$AI$201,MATCH("market_input|operating_margin",'{ticker}_Investment_Case_Data'!$W$2:$W$201,0))),INDEX('{ticker}_Investment_Case_Data'!$AI$2:$AI$201,MATCH("market_input|operating_margin",'{ticker}_Investment_Case_Data'!$W$2:$W$201,0)),"")),""),"")</f>
        <v/>
      </c>
      <c r="G24" s="533">
        <f>IF(ISNUMBER(F24),IF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latest_completed_fy",IF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="","Model default (year)","Model default ("&amp;LEFT(IFERROR(IF(ISBLANK(INDEX('{ticker}_Investment_Case_Data'!$AK$2:$AK$201,MATCH("market_input|operating_margin",'{ticker}_Investment_Case_Data'!$W$2:$W$201,0))),"",IF(ISTEXT(INDEX('{ticker}_Investment_Case_Data'!$AK$2:$AK$201,MATCH("market_input|operating_margin",'{ticker}_Investment_Case_Data'!$W$2:$W$201,0))),INDEX('{ticker}_Investment_Case_Data'!$AK$2:$AK$201,MATCH("market_input|operating_margin",'{ticker}_Investment_Case_Data'!$W$2:$W$201,0)),"")),""),4)&amp;" year)"),"Model default (TTM)"),IF(OR(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manual_only",IFERROR(IF(ISBLANK(INDEX('{ticker}_Investment_Case_Data'!$AW$2:$AW$201,MATCH("market_input|operating_margin",'{ticker}_Investment_Case_Data'!$W$2:$W$201,0))),"",IF(ISTEXT(INDEX('{ticker}_Investment_Case_Data'!$AW$2:$AW$201,MATCH("market_input|operating_margin",'{ticker}_Investment_Case_Data'!$W$2:$W$201,0))),INDEX('{ticker}_Investment_Case_Data'!$AW$2:$AW$201,MATCH("market_input|operating_margin",'{ticker}_Investment_Case_Data'!$W$2:$W$201,0)),"")),"")="historical_context_only"),"Manual input required","Unavailable"))</f>
        <v/>
      </c>
      <c r="H24" s="535" t="n"/>
      <c r="I24" s="535" t="n"/>
      <c r="J24" s="535" t="n"/>
      <c r="K24" s="535" t="n"/>
      <c r="L24" s="536" t="n"/>
      <c r="M24" s="533" t="n"/>
    </row>
    <row r="25" ht="21" customHeight="1">
      <c r="A25" s="533">
        <f>IFERROR(IF(ISBLANK(INDEX('{ticker}_Investment_Case_Data'!$Y$2:$Y$201,MATCH("market_input|base_ebitda",'{ticker}_Investment_Case_Data'!$W$2:$W$201,0))),"",IF(ISTEXT(INDEX('{ticker}_Investment_Case_Data'!$Y$2:$Y$201,MATCH("market_input|base_ebitda",'{ticker}_Investment_Case_Data'!$W$2:$W$201,0))),INDEX('{ticker}_Investment_Case_Data'!$Y$2:$Y$201,MATCH("market_input|base_ebitda",'{ticker}_Investment_Case_Data'!$W$2:$W$201,0)),"")),"")</f>
        <v/>
      </c>
      <c r="B25" s="544">
        <f>IFERROR(IF(ISBLANK(INDEX('{ticker}_Investment_Case_Data'!$AA$2:$AA$201,MATCH("market_input|base_ebitda",'{ticker}_Investment_Case_Data'!$W$2:$W$201,0))),"",IF(ISNUMBER(INDEX('{ticker}_Investment_Case_Data'!$AA$2:$AA$201,MATCH("market_input|base_ebitda",'{ticker}_Investment_Case_Data'!$W$2:$W$201,0))),INDEX('{ticker}_Investment_Case_Data'!$AA$2:$AA$201,MATCH("market_input|base_ebitda",'{ticker}_Investment_Case_Data'!$W$2:$W$201,0)),"")),"")</f>
        <v/>
      </c>
      <c r="C25" s="544">
        <f>IFERROR(IF(ISBLANK(INDEX('{ticker}_Investment_Case_Data'!$AB$2:$AB$201,MATCH("market_input|base_ebitda",'{ticker}_Investment_Case_Data'!$W$2:$W$201,0))),"",IF(ISNUMBER(INDEX('{ticker}_Investment_Case_Data'!$AB$2:$AB$201,MATCH("market_input|base_ebitda",'{ticker}_Investment_Case_Data'!$W$2:$W$201,0))),INDEX('{ticker}_Investment_Case_Data'!$AB$2:$AB$201,MATCH("market_input|base_ebitda",'{ticker}_Investment_Case_Data'!$W$2:$W$201,0)),"")),"")</f>
        <v/>
      </c>
      <c r="D25" s="533">
        <f>IFERROR(IF(ISBLANK(INDEX('{ticker}_Investment_Case_Data'!$AC$2:$AC$201,MATCH("market_input|base_ebitda",'{ticker}_Investment_Case_Data'!$W$2:$W$201,0))),"",IF(ISTEXT(INDEX('{ticker}_Investment_Case_Data'!$AC$2:$AC$201,MATCH("market_input|base_ebitda",'{ticker}_Investment_Case_Data'!$W$2:$W$201,0))),INDEX('{ticker}_Investment_Case_Data'!$AC$2:$AC$201,MATCH("market_input|base_ebitda",'{ticker}_Investment_Case_Data'!$W$2:$W$201,0)),"")),"")</f>
        <v/>
      </c>
      <c r="E25" s="533">
        <f>IFERROR(IF(ISBLANK(INDEX('{ticker}_Investment_Case_Data'!$AF$2:$AF$201,MATCH("market_input|base_ebitda",'{ticker}_Investment_Case_Data'!$W$2:$W$201,0))),"",IF(ISTEXT(INDEX('{ticker}_Investment_Case_Data'!$AF$2:$AF$201,MATCH("market_input|base_ebitda",'{ticker}_Investment_Case_Data'!$W$2:$W$201,0))),INDEX('{ticker}_Investment_Case_Data'!$AF$2:$AF$201,MATCH("market_input|base_ebitda",'{ticker}_Investment_Case_Data'!$W$2:$W$201,0)),"")),"")</f>
        <v/>
      </c>
      <c r="F25" s="544">
        <f>IF(ISNUMBER(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),IFERROR(IF(ISBLANK(INDEX('{ticker}_Investment_Case_Data'!$AI$2:$AI$201,MATCH("market_input|base_ebitda",'{ticker}_Investment_Case_Data'!$W$2:$W$201,0))),"",IF(ISNUMBER(INDEX('{ticker}_Investment_Case_Data'!$AI$2:$AI$201,MATCH("market_input|base_ebitda",'{ticker}_Investment_Case_Data'!$W$2:$W$201,0))),INDEX('{ticker}_Investment_Case_Data'!$AI$2:$AI$201,MATCH("market_input|base_ebitda",'{ticker}_Investment_Case_Data'!$W$2:$W$201,0)),"")),""),"")</f>
        <v/>
      </c>
      <c r="G25" s="533">
        <f>IF(ISNUMBER(F25),IF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latest_completed_fy",IF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="","Model default (year)","Model default ("&amp;LEFT(IFERROR(IF(ISBLANK(INDEX('{ticker}_Investment_Case_Data'!$AK$2:$AK$201,MATCH("market_input|base_ebitda",'{ticker}_Investment_Case_Data'!$W$2:$W$201,0))),"",IF(ISTEXT(INDEX('{ticker}_Investment_Case_Data'!$AK$2:$AK$201,MATCH("market_input|base_ebitda",'{ticker}_Investment_Case_Data'!$W$2:$W$201,0))),INDEX('{ticker}_Investment_Case_Data'!$AK$2:$AK$201,MATCH("market_input|base_ebitda",'{ticker}_Investment_Case_Data'!$W$2:$W$201,0)),"")),""),4)&amp;" year)"),"Model default (TTM)"),IF(OR(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manual_only",IFERROR(IF(ISBLANK(INDEX('{ticker}_Investment_Case_Data'!$AW$2:$AW$201,MATCH("market_input|base_ebitda",'{ticker}_Investment_Case_Data'!$W$2:$W$201,0))),"",IF(ISTEXT(INDEX('{ticker}_Investment_Case_Data'!$AW$2:$AW$201,MATCH("market_input|base_ebitda",'{ticker}_Investment_Case_Data'!$W$2:$W$201,0))),INDEX('{ticker}_Investment_Case_Data'!$AW$2:$AW$201,MATCH("market_input|base_ebitda",'{ticker}_Investment_Case_Data'!$W$2:$W$201,0)),"")),"")="historical_context_only"),"Manual input required","Unavailable"))</f>
        <v/>
      </c>
      <c r="H25" s="535" t="n"/>
      <c r="I25" s="535" t="n"/>
      <c r="J25" s="535" t="n"/>
      <c r="K25" s="535" t="n"/>
      <c r="L25" s="536" t="n"/>
      <c r="M25" s="533" t="n"/>
    </row>
    <row r="26" ht="21" customHeight="1">
      <c r="A26" s="533">
        <f>IFERROR(IF(ISBLANK(INDEX('{ticker}_Investment_Case_Data'!$Y$2:$Y$201,MATCH("market_input|base_ebitda_margin",'{ticker}_Investment_Case_Data'!$W$2:$W$201,0))),"",IF(ISTEXT(INDEX('{ticker}_Investment_Case_Data'!$Y$2:$Y$201,MATCH("market_input|base_ebitda_margin",'{ticker}_Investment_Case_Data'!$W$2:$W$201,0))),INDEX('{ticker}_Investment_Case_Data'!$Y$2:$Y$201,MATCH("market_input|base_ebitda_margin",'{ticker}_Investment_Case_Data'!$W$2:$W$201,0)),"")),"")</f>
        <v/>
      </c>
      <c r="B26" s="545">
        <f>IFERROR(IF(ISBLANK(INDEX('{ticker}_Investment_Case_Data'!$AA$2:$AA$201,MATCH("market_input|base_ebitda_margin",'{ticker}_Investment_Case_Data'!$W$2:$W$201,0))),"",IF(ISNUMBER(INDEX('{ticker}_Investment_Case_Data'!$AA$2:$AA$201,MATCH("market_input|base_ebitda_margin",'{ticker}_Investment_Case_Data'!$W$2:$W$201,0))),INDEX('{ticker}_Investment_Case_Data'!$AA$2:$AA$201,MATCH("market_input|base_ebitda_margin",'{ticker}_Investment_Case_Data'!$W$2:$W$201,0)),"")),"")</f>
        <v/>
      </c>
      <c r="C26" s="545">
        <f>IFERROR(IF(ISBLANK(INDEX('{ticker}_Investment_Case_Data'!$AB$2:$AB$201,MATCH("market_input|base_ebitda_margin",'{ticker}_Investment_Case_Data'!$W$2:$W$201,0))),"",IF(ISNUMBER(INDEX('{ticker}_Investment_Case_Data'!$AB$2:$AB$201,MATCH("market_input|base_ebitda_margin",'{ticker}_Investment_Case_Data'!$W$2:$W$201,0))),INDEX('{ticker}_Investment_Case_Data'!$AB$2:$AB$201,MATCH("market_input|base_ebitda_margin",'{ticker}_Investment_Case_Data'!$W$2:$W$201,0)),"")),"")</f>
        <v/>
      </c>
      <c r="D26" s="533">
        <f>IFERROR(IF(ISBLANK(INDEX('{ticker}_Investment_Case_Data'!$AC$2:$AC$201,MATCH("market_input|base_ebitda_margin",'{ticker}_Investment_Case_Data'!$W$2:$W$201,0))),"",IF(ISTEXT(INDEX('{ticker}_Investment_Case_Data'!$AC$2:$AC$201,MATCH("market_input|base_ebitda_margin",'{ticker}_Investment_Case_Data'!$W$2:$W$201,0))),INDEX('{ticker}_Investment_Case_Data'!$AC$2:$AC$201,MATCH("market_input|base_ebitda_margin",'{ticker}_Investment_Case_Data'!$W$2:$W$201,0)),"")),"")</f>
        <v/>
      </c>
      <c r="E26" s="533">
        <f>IFERROR(IF(ISBLANK(INDEX('{ticker}_Investment_Case_Data'!$AF$2:$AF$201,MATCH("market_input|base_ebitda_margin",'{ticker}_Investment_Case_Data'!$W$2:$W$201,0))),"",IF(ISTEXT(INDEX('{ticker}_Investment_Case_Data'!$AF$2:$AF$201,MATCH("market_input|base_ebitda_margin",'{ticker}_Investment_Case_Data'!$W$2:$W$201,0))),INDEX('{ticker}_Investment_Case_Data'!$AF$2:$AF$201,MATCH("market_input|base_ebitda_margin",'{ticker}_Investment_Case_Data'!$W$2:$W$201,0)),"")),"")</f>
        <v/>
      </c>
      <c r="F26" s="545">
        <f>IF(ISNUMBER(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),IFERROR(IF(ISBLANK(INDEX('{ticker}_Investment_Case_Data'!$AI$2:$AI$201,MATCH("market_input|base_ebitda_margin",'{ticker}_Investment_Case_Data'!$W$2:$W$201,0))),"",IF(ISNUMBER(INDEX('{ticker}_Investment_Case_Data'!$AI$2:$AI$201,MATCH("market_input|base_ebitda_margin",'{ticker}_Investment_Case_Data'!$W$2:$W$201,0))),INDEX('{ticker}_Investment_Case_Data'!$AI$2:$AI$201,MATCH("market_input|base_ebitda_margin",'{ticker}_Investment_Case_Data'!$W$2:$W$201,0)),"")),""),"")</f>
        <v/>
      </c>
      <c r="G26" s="533">
        <f>IF(ISNUMBER(F26),IF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latest_completed_fy",IF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="","Model default (year)","Model default ("&amp;LEFT(IFERROR(IF(ISBLANK(INDEX('{ticker}_Investment_Case_Data'!$AK$2:$AK$201,MATCH("market_input|base_ebitda_margin",'{ticker}_Investment_Case_Data'!$W$2:$W$201,0))),"",IF(ISTEXT(INDEX('{ticker}_Investment_Case_Data'!$AK$2:$AK$201,MATCH("market_input|base_ebitda_margin",'{ticker}_Investment_Case_Data'!$W$2:$W$201,0))),INDEX('{ticker}_Investment_Case_Data'!$AK$2:$AK$201,MATCH("market_input|base_ebitda_margin",'{ticker}_Investment_Case_Data'!$W$2:$W$201,0)),"")),""),4)&amp;" year)"),"Model default (TTM)"),IF(OR(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manual_only",IFERROR(IF(ISBLANK(INDEX('{ticker}_Investment_Case_Data'!$AW$2:$AW$201,MATCH("market_input|base_ebitda_margin",'{ticker}_Investment_Case_Data'!$W$2:$W$201,0))),"",IF(ISTEXT(INDEX('{ticker}_Investment_Case_Data'!$AW$2:$AW$201,MATCH("market_input|base_ebitda_margin",'{ticker}_Investment_Case_Data'!$W$2:$W$201,0))),INDEX('{ticker}_Investment_Case_Data'!$AW$2:$AW$201,MATCH("market_input|base_ebitda_margin",'{ticker}_Investment_Case_Data'!$W$2:$W$201,0)),"")),"")="historical_context_only"),"Manual input required","Unavailable"))</f>
        <v/>
      </c>
      <c r="H26" s="535" t="n"/>
      <c r="I26" s="535" t="n"/>
      <c r="J26" s="535" t="n"/>
      <c r="K26" s="535" t="n"/>
      <c r="L26" s="536" t="n"/>
      <c r="M26" s="533" t="n"/>
    </row>
    <row r="27" ht="21" customHeight="1">
      <c r="A27" s="533">
        <f>IFERROR(IF(ISBLANK(INDEX('{ticker}_Investment_Case_Data'!$Y$2:$Y$201,MATCH("market_input|adjusted_ebitda",'{ticker}_Investment_Case_Data'!$W$2:$W$201,0))),"",IF(ISTEXT(INDEX('{ticker}_Investment_Case_Data'!$Y$2:$Y$201,MATCH("market_input|adjusted_ebitda",'{ticker}_Investment_Case_Data'!$W$2:$W$201,0))),INDEX('{ticker}_Investment_Case_Data'!$Y$2:$Y$201,MATCH("market_input|adjusted_ebitda",'{ticker}_Investment_Case_Data'!$W$2:$W$201,0)),"")),"")</f>
        <v/>
      </c>
      <c r="B27" s="544">
        <f>IFERROR(IF(ISBLANK(INDEX('{ticker}_Investment_Case_Data'!$AA$2:$AA$201,MATCH("market_input|adjusted_ebitda",'{ticker}_Investment_Case_Data'!$W$2:$W$201,0))),"",IF(ISNUMBER(INDEX('{ticker}_Investment_Case_Data'!$AA$2:$AA$201,MATCH("market_input|adjusted_ebitda",'{ticker}_Investment_Case_Data'!$W$2:$W$201,0))),INDEX('{ticker}_Investment_Case_Data'!$AA$2:$AA$201,MATCH("market_input|adjusted_ebitda",'{ticker}_Investment_Case_Data'!$W$2:$W$201,0)),"")),"")</f>
        <v/>
      </c>
      <c r="C27" s="544">
        <f>IFERROR(IF(ISBLANK(INDEX('{ticker}_Investment_Case_Data'!$AB$2:$AB$201,MATCH("market_input|adjusted_ebitda",'{ticker}_Investment_Case_Data'!$W$2:$W$201,0))),"",IF(ISNUMBER(INDEX('{ticker}_Investment_Case_Data'!$AB$2:$AB$201,MATCH("market_input|adjusted_ebitda",'{ticker}_Investment_Case_Data'!$W$2:$W$201,0))),INDEX('{ticker}_Investment_Case_Data'!$AB$2:$AB$201,MATCH("market_input|adjusted_ebitda",'{ticker}_Investment_Case_Data'!$W$2:$W$201,0)),"")),"")</f>
        <v/>
      </c>
      <c r="D27" s="533">
        <f>IFERROR(IF(ISBLANK(INDEX('{ticker}_Investment_Case_Data'!$AC$2:$AC$201,MATCH("market_input|adjusted_ebitda",'{ticker}_Investment_Case_Data'!$W$2:$W$201,0))),"",IF(ISTEXT(INDEX('{ticker}_Investment_Case_Data'!$AC$2:$AC$201,MATCH("market_input|adjusted_ebitda",'{ticker}_Investment_Case_Data'!$W$2:$W$201,0))),INDEX('{ticker}_Investment_Case_Data'!$AC$2:$AC$201,MATCH("market_input|adjusted_ebitda",'{ticker}_Investment_Case_Data'!$W$2:$W$201,0)),"")),"")</f>
        <v/>
      </c>
      <c r="E27" s="533">
        <f>IFERROR(IF(ISBLANK(INDEX('{ticker}_Investment_Case_Data'!$AF$2:$AF$201,MATCH("market_input|adjusted_ebitda",'{ticker}_Investment_Case_Data'!$W$2:$W$201,0))),"",IF(ISTEXT(INDEX('{ticker}_Investment_Case_Data'!$AF$2:$AF$201,MATCH("market_input|adjusted_ebitda",'{ticker}_Investment_Case_Data'!$W$2:$W$201,0))),INDEX('{ticker}_Investment_Case_Data'!$AF$2:$AF$201,MATCH("market_input|adjusted_ebitda",'{ticker}_Investment_Case_Data'!$W$2:$W$201,0)),"")),"")</f>
        <v/>
      </c>
      <c r="F27" s="544">
        <f>IF(ISNUMBER(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),IFERROR(IF(ISBLANK(INDEX('{ticker}_Investment_Case_Data'!$AI$2:$AI$201,MATCH("market_input|adjusted_ebitda",'{ticker}_Investment_Case_Data'!$W$2:$W$201,0))),"",IF(ISNUMBER(INDEX('{ticker}_Investment_Case_Data'!$AI$2:$AI$201,MATCH("market_input|adjusted_ebitda",'{ticker}_Investment_Case_Data'!$W$2:$W$201,0))),INDEX('{ticker}_Investment_Case_Data'!$AI$2:$AI$201,MATCH("market_input|adjusted_ebitda",'{ticker}_Investment_Case_Data'!$W$2:$W$201,0)),"")),""),"")</f>
        <v/>
      </c>
      <c r="G27" s="533">
        <f>IF(ISNUMBER(F27),IF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latest_completed_fy",IF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="","Model default (year)","Model default ("&amp;LEFT(IFERROR(IF(ISBLANK(INDEX('{ticker}_Investment_Case_Data'!$AK$2:$AK$201,MATCH("market_input|adjusted_ebitda",'{ticker}_Investment_Case_Data'!$W$2:$W$201,0))),"",IF(ISTEXT(INDEX('{ticker}_Investment_Case_Data'!$AK$2:$AK$201,MATCH("market_input|adjusted_ebitda",'{ticker}_Investment_Case_Data'!$W$2:$W$201,0))),INDEX('{ticker}_Investment_Case_Data'!$AK$2:$AK$201,MATCH("market_input|adjusted_ebitda",'{ticker}_Investment_Case_Data'!$W$2:$W$201,0)),"")),""),4)&amp;" year)"),"Model default (TTM)"),IF(OR(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manual_only",IFERROR(IF(ISBLANK(INDEX('{ticker}_Investment_Case_Data'!$AW$2:$AW$201,MATCH("market_input|adjusted_ebitda",'{ticker}_Investment_Case_Data'!$W$2:$W$201,0))),"",IF(ISTEXT(INDEX('{ticker}_Investment_Case_Data'!$AW$2:$AW$201,MATCH("market_input|adjusted_ebitda",'{ticker}_Investment_Case_Data'!$W$2:$W$201,0))),INDEX('{ticker}_Investment_Case_Data'!$AW$2:$AW$201,MATCH("market_input|adjusted_ebitda",'{ticker}_Investment_Case_Data'!$W$2:$W$201,0)),"")),"")="historical_context_only"),"Manual input required","Unavailable"))</f>
        <v/>
      </c>
      <c r="H27" s="535" t="n"/>
      <c r="I27" s="535" t="n"/>
      <c r="J27" s="535" t="n"/>
      <c r="K27" s="535" t="n"/>
      <c r="L27" s="536" t="n"/>
      <c r="M27" s="533" t="n"/>
    </row>
    <row r="28" ht="21" customHeight="1">
      <c r="A28" s="533">
        <f>IFERROR(IF(ISBLANK(INDEX('{ticker}_Investment_Case_Data'!$Y$2:$Y$201,MATCH("market_input|adjusted_ebitda_margin",'{ticker}_Investment_Case_Data'!$W$2:$W$201,0))),"",IF(ISTEXT(INDEX('{ticker}_Investment_Case_Data'!$Y$2:$Y$201,MATCH("market_input|adjusted_ebitda_margin",'{ticker}_Investment_Case_Data'!$W$2:$W$201,0))),INDEX('{ticker}_Investment_Case_Data'!$Y$2:$Y$201,MATCH("market_input|adjusted_ebitda_margin",'{ticker}_Investment_Case_Data'!$W$2:$W$201,0)),"")),"")</f>
        <v/>
      </c>
      <c r="B28" s="545">
        <f>IFERROR(IF(ISBLANK(INDEX('{ticker}_Investment_Case_Data'!$AA$2:$AA$201,MATCH("market_input|adjusted_ebitda_margin",'{ticker}_Investment_Case_Data'!$W$2:$W$201,0))),"",IF(ISNUMBER(INDEX('{ticker}_Investment_Case_Data'!$AA$2:$AA$201,MATCH("market_input|adjusted_ebitda_margin",'{ticker}_Investment_Case_Data'!$W$2:$W$201,0))),INDEX('{ticker}_Investment_Case_Data'!$AA$2:$AA$201,MATCH("market_input|adjusted_ebitda_margin",'{ticker}_Investment_Case_Data'!$W$2:$W$201,0)),"")),"")</f>
        <v/>
      </c>
      <c r="C28" s="545">
        <f>IFERROR(IF(ISBLANK(INDEX('{ticker}_Investment_Case_Data'!$AB$2:$AB$201,MATCH("market_input|adjusted_ebitda_margin",'{ticker}_Investment_Case_Data'!$W$2:$W$201,0))),"",IF(ISNUMBER(INDEX('{ticker}_Investment_Case_Data'!$AB$2:$AB$201,MATCH("market_input|adjusted_ebitda_margin",'{ticker}_Investment_Case_Data'!$W$2:$W$201,0))),INDEX('{ticker}_Investment_Case_Data'!$AB$2:$AB$201,MATCH("market_input|adjusted_ebitda_margin",'{ticker}_Investment_Case_Data'!$W$2:$W$201,0)),"")),"")</f>
        <v/>
      </c>
      <c r="D28" s="533">
        <f>IFERROR(IF(ISBLANK(INDEX('{ticker}_Investment_Case_Data'!$AC$2:$AC$201,MATCH("market_input|adjusted_ebitda_margin",'{ticker}_Investment_Case_Data'!$W$2:$W$201,0))),"",IF(ISTEXT(INDEX('{ticker}_Investment_Case_Data'!$AC$2:$AC$201,MATCH("market_input|adjusted_ebitda_margin",'{ticker}_Investment_Case_Data'!$W$2:$W$201,0))),INDEX('{ticker}_Investment_Case_Data'!$AC$2:$AC$201,MATCH("market_input|adjusted_ebitda_margin",'{ticker}_Investment_Case_Data'!$W$2:$W$201,0)),"")),"")</f>
        <v/>
      </c>
      <c r="E28" s="533">
        <f>IFERROR(IF(ISBLANK(INDEX('{ticker}_Investment_Case_Data'!$AF$2:$AF$201,MATCH("market_input|adjusted_ebitda_margin",'{ticker}_Investment_Case_Data'!$W$2:$W$201,0))),"",IF(ISTEXT(INDEX('{ticker}_Investment_Case_Data'!$AF$2:$AF$201,MATCH("market_input|adjusted_ebitda_margin",'{ticker}_Investment_Case_Data'!$W$2:$W$201,0))),INDEX('{ticker}_Investment_Case_Data'!$AF$2:$AF$201,MATCH("market_input|adjusted_ebitda_margin",'{ticker}_Investment_Case_Data'!$W$2:$W$201,0)),"")),"")</f>
        <v/>
      </c>
      <c r="F28" s="545">
        <f>IF(ISNUMBER(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),IFERROR(IF(ISBLANK(INDEX('{ticker}_Investment_Case_Data'!$AI$2:$AI$201,MATCH("market_input|adjusted_ebitda_margin",'{ticker}_Investment_Case_Data'!$W$2:$W$201,0))),"",IF(ISNUMBER(INDEX('{ticker}_Investment_Case_Data'!$AI$2:$AI$201,MATCH("market_input|adjusted_ebitda_margin",'{ticker}_Investment_Case_Data'!$W$2:$W$201,0))),INDEX('{ticker}_Investment_Case_Data'!$AI$2:$AI$201,MATCH("market_input|adjusted_ebitda_margin",'{ticker}_Investment_Case_Data'!$W$2:$W$201,0)),"")),""),"")</f>
        <v/>
      </c>
      <c r="G28" s="533">
        <f>IF(ISNUMBER(F28),IF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latest_completed_fy",IF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="","Model default (year)","Model default ("&amp;LEFT(IFERROR(IF(ISBLANK(INDEX('{ticker}_Investment_Case_Data'!$AK$2:$AK$201,MATCH("market_input|adjusted_ebitda_margin",'{ticker}_Investment_Case_Data'!$W$2:$W$201,0))),"",IF(ISTEXT(INDEX('{ticker}_Investment_Case_Data'!$AK$2:$AK$201,MATCH("market_input|adjusted_ebitda_margin",'{ticker}_Investment_Case_Data'!$W$2:$W$201,0))),INDEX('{ticker}_Investment_Case_Data'!$AK$2:$AK$201,MATCH("market_input|adjusted_ebitda_margin",'{ticker}_Investment_Case_Data'!$W$2:$W$201,0)),"")),""),4)&amp;" year)"),"Model default (TTM)"),IF(OR(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manual_only",IFERROR(IF(ISBLANK(INDEX('{ticker}_Investment_Case_Data'!$AW$2:$AW$201,MATCH("market_input|adjusted_ebitda_margin",'{ticker}_Investment_Case_Data'!$W$2:$W$201,0))),"",IF(ISTEXT(INDEX('{ticker}_Investment_Case_Data'!$AW$2:$AW$201,MATCH("market_input|adjusted_ebitda_margin",'{ticker}_Investment_Case_Data'!$W$2:$W$201,0))),INDEX('{ticker}_Investment_Case_Data'!$AW$2:$AW$201,MATCH("market_input|adjusted_ebitda_margin",'{ticker}_Investment_Case_Data'!$W$2:$W$201,0)),"")),"")="historical_context_only"),"Manual input required","Unavailable"))</f>
        <v/>
      </c>
      <c r="H28" s="535" t="n"/>
      <c r="I28" s="535" t="n"/>
      <c r="J28" s="535" t="n"/>
      <c r="K28" s="535" t="n"/>
      <c r="L28" s="536" t="n"/>
      <c r="M28" s="533" t="n"/>
    </row>
    <row r="29" ht="21" customHeight="1">
      <c r="A29" s="533">
        <f>IFERROR(IF(ISBLANK(INDEX('{ticker}_Investment_Case_Data'!$Y$2:$Y$201,MATCH("market_input|net_income",'{ticker}_Investment_Case_Data'!$W$2:$W$201,0))),"",IF(ISTEXT(INDEX('{ticker}_Investment_Case_Data'!$Y$2:$Y$201,MATCH("market_input|net_income",'{ticker}_Investment_Case_Data'!$W$2:$W$201,0))),INDEX('{ticker}_Investment_Case_Data'!$Y$2:$Y$201,MATCH("market_input|net_income",'{ticker}_Investment_Case_Data'!$W$2:$W$201,0)),"")),"")</f>
        <v/>
      </c>
      <c r="B29" s="544">
        <f>IFERROR(IF(ISBLANK(INDEX('{ticker}_Investment_Case_Data'!$AA$2:$AA$201,MATCH("market_input|net_income",'{ticker}_Investment_Case_Data'!$W$2:$W$201,0))),"",IF(ISNUMBER(INDEX('{ticker}_Investment_Case_Data'!$AA$2:$AA$201,MATCH("market_input|net_income",'{ticker}_Investment_Case_Data'!$W$2:$W$201,0))),INDEX('{ticker}_Investment_Case_Data'!$AA$2:$AA$201,MATCH("market_input|net_income",'{ticker}_Investment_Case_Data'!$W$2:$W$201,0)),"")),"")</f>
        <v/>
      </c>
      <c r="C29" s="544">
        <f>IFERROR(IF(ISBLANK(INDEX('{ticker}_Investment_Case_Data'!$AB$2:$AB$201,MATCH("market_input|net_income",'{ticker}_Investment_Case_Data'!$W$2:$W$201,0))),"",IF(ISNUMBER(INDEX('{ticker}_Investment_Case_Data'!$AB$2:$AB$201,MATCH("market_input|net_income",'{ticker}_Investment_Case_Data'!$W$2:$W$201,0))),INDEX('{ticker}_Investment_Case_Data'!$AB$2:$AB$201,MATCH("market_input|net_income",'{ticker}_Investment_Case_Data'!$W$2:$W$201,0)),"")),"")</f>
        <v/>
      </c>
      <c r="D29" s="533">
        <f>IFERROR(IF(ISBLANK(INDEX('{ticker}_Investment_Case_Data'!$AC$2:$AC$201,MATCH("market_input|net_income",'{ticker}_Investment_Case_Data'!$W$2:$W$201,0))),"",IF(ISTEXT(INDEX('{ticker}_Investment_Case_Data'!$AC$2:$AC$201,MATCH("market_input|net_income",'{ticker}_Investment_Case_Data'!$W$2:$W$201,0))),INDEX('{ticker}_Investment_Case_Data'!$AC$2:$AC$201,MATCH("market_input|net_income",'{ticker}_Investment_Case_Data'!$W$2:$W$201,0)),"")),"")</f>
        <v/>
      </c>
      <c r="E29" s="533">
        <f>IFERROR(IF(ISBLANK(INDEX('{ticker}_Investment_Case_Data'!$AF$2:$AF$201,MATCH("market_input|net_income",'{ticker}_Investment_Case_Data'!$W$2:$W$201,0))),"",IF(ISTEXT(INDEX('{ticker}_Investment_Case_Data'!$AF$2:$AF$201,MATCH("market_input|net_income",'{ticker}_Investment_Case_Data'!$W$2:$W$201,0))),INDEX('{ticker}_Investment_Case_Data'!$AF$2:$AF$201,MATCH("market_input|net_income",'{ticker}_Investment_Case_Data'!$W$2:$W$201,0)),"")),"")</f>
        <v/>
      </c>
      <c r="F29" s="544">
        <f>IF(ISNUMBER(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),IFERROR(IF(ISBLANK(INDEX('{ticker}_Investment_Case_Data'!$AI$2:$AI$201,MATCH("market_input|net_income",'{ticker}_Investment_Case_Data'!$W$2:$W$201,0))),"",IF(ISNUMBER(INDEX('{ticker}_Investment_Case_Data'!$AI$2:$AI$201,MATCH("market_input|net_income",'{ticker}_Investment_Case_Data'!$W$2:$W$201,0))),INDEX('{ticker}_Investment_Case_Data'!$AI$2:$AI$201,MATCH("market_input|net_income",'{ticker}_Investment_Case_Data'!$W$2:$W$201,0)),"")),""),"")</f>
        <v/>
      </c>
      <c r="G29" s="533">
        <f>IF(ISNUMBER(F29),IF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latest_completed_fy",IF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="","Model default (year)","Model default ("&amp;LEFT(IFERROR(IF(ISBLANK(INDEX('{ticker}_Investment_Case_Data'!$AK$2:$AK$201,MATCH("market_input|net_income",'{ticker}_Investment_Case_Data'!$W$2:$W$201,0))),"",IF(ISTEXT(INDEX('{ticker}_Investment_Case_Data'!$AK$2:$AK$201,MATCH("market_input|net_income",'{ticker}_Investment_Case_Data'!$W$2:$W$201,0))),INDEX('{ticker}_Investment_Case_Data'!$AK$2:$AK$201,MATCH("market_input|net_income",'{ticker}_Investment_Case_Data'!$W$2:$W$201,0)),"")),""),4)&amp;" year)"),"Model default (TTM)"),IF(OR(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manual_only",IFERROR(IF(ISBLANK(INDEX('{ticker}_Investment_Case_Data'!$AW$2:$AW$201,MATCH("market_input|net_income",'{ticker}_Investment_Case_Data'!$W$2:$W$201,0))),"",IF(ISTEXT(INDEX('{ticker}_Investment_Case_Data'!$AW$2:$AW$201,MATCH("market_input|net_income",'{ticker}_Investment_Case_Data'!$W$2:$W$201,0))),INDEX('{ticker}_Investment_Case_Data'!$AW$2:$AW$201,MATCH("market_input|net_income",'{ticker}_Investment_Case_Data'!$W$2:$W$201,0)),"")),"")="historical_context_only"),"Manual input required","Unavailable"))</f>
        <v/>
      </c>
      <c r="H29" s="535" t="n"/>
      <c r="I29" s="535" t="n"/>
      <c r="J29" s="535" t="n"/>
      <c r="K29" s="535" t="n"/>
      <c r="L29" s="536" t="n"/>
      <c r="M29" s="533" t="n"/>
    </row>
    <row r="30" ht="22" customHeight="1">
      <c r="A30" s="541" t="inlineStr">
        <is>
          <t>Cash flow and capital allocation</t>
        </is>
      </c>
      <c r="B30" s="541" t="n"/>
      <c r="C30" s="541" t="n"/>
      <c r="D30" s="541" t="n"/>
      <c r="E30" s="541" t="n"/>
      <c r="F30" s="541" t="n"/>
      <c r="G30" s="541" t="n"/>
      <c r="H30" s="541" t="n"/>
      <c r="I30" s="541" t="n"/>
      <c r="J30" s="541" t="n"/>
      <c r="K30" s="541" t="n"/>
      <c r="L30" s="541" t="n"/>
      <c r="M30" s="541" t="n"/>
    </row>
    <row r="31" ht="21" customHeight="1">
      <c r="A31" s="533">
        <f>IFERROR(IF(ISBLANK(INDEX('{ticker}_Investment_Case_Data'!$Y$2:$Y$201,MATCH("market_input|free_cash_flow",'{ticker}_Investment_Case_Data'!$W$2:$W$201,0))),"",IF(ISTEXT(INDEX('{ticker}_Investment_Case_Data'!$Y$2:$Y$201,MATCH("market_input|free_cash_flow",'{ticker}_Investment_Case_Data'!$W$2:$W$201,0))),INDEX('{ticker}_Investment_Case_Data'!$Y$2:$Y$201,MATCH("market_input|free_cash_flow",'{ticker}_Investment_Case_Data'!$W$2:$W$201,0)),"")),"")</f>
        <v/>
      </c>
      <c r="B31" s="544">
        <f>IFERROR(IF(ISBLANK(INDEX('{ticker}_Investment_Case_Data'!$AA$2:$AA$201,MATCH("market_input|free_cash_flow",'{ticker}_Investment_Case_Data'!$W$2:$W$201,0))),"",IF(ISNUMBER(INDEX('{ticker}_Investment_Case_Data'!$AA$2:$AA$201,MATCH("market_input|free_cash_flow",'{ticker}_Investment_Case_Data'!$W$2:$W$201,0))),INDEX('{ticker}_Investment_Case_Data'!$AA$2:$AA$201,MATCH("market_input|free_cash_flow",'{ticker}_Investment_Case_Data'!$W$2:$W$201,0)),"")),"")</f>
        <v/>
      </c>
      <c r="C31" s="544">
        <f>IFERROR(IF(ISBLANK(INDEX('{ticker}_Investment_Case_Data'!$AB$2:$AB$201,MATCH("market_input|free_cash_flow",'{ticker}_Investment_Case_Data'!$W$2:$W$201,0))),"",IF(ISNUMBER(INDEX('{ticker}_Investment_Case_Data'!$AB$2:$AB$201,MATCH("market_input|free_cash_flow",'{ticker}_Investment_Case_Data'!$W$2:$W$201,0))),INDEX('{ticker}_Investment_Case_Data'!$AB$2:$AB$201,MATCH("market_input|free_cash_flow",'{ticker}_Investment_Case_Data'!$W$2:$W$201,0)),"")),"")</f>
        <v/>
      </c>
      <c r="D31" s="533">
        <f>IFERROR(IF(ISBLANK(INDEX('{ticker}_Investment_Case_Data'!$AC$2:$AC$201,MATCH("market_input|free_cash_flow",'{ticker}_Investment_Case_Data'!$W$2:$W$201,0))),"",IF(ISTEXT(INDEX('{ticker}_Investment_Case_Data'!$AC$2:$AC$201,MATCH("market_input|free_cash_flow",'{ticker}_Investment_Case_Data'!$W$2:$W$201,0))),INDEX('{ticker}_Investment_Case_Data'!$AC$2:$AC$201,MATCH("market_input|free_cash_flow",'{ticker}_Investment_Case_Data'!$W$2:$W$201,0)),"")),"")</f>
        <v/>
      </c>
      <c r="E31" s="533">
        <f>IFERROR(IF(ISBLANK(INDEX('{ticker}_Investment_Case_Data'!$AF$2:$AF$201,MATCH("market_input|free_cash_flow",'{ticker}_Investment_Case_Data'!$W$2:$W$201,0))),"",IF(ISTEXT(INDEX('{ticker}_Investment_Case_Data'!$AF$2:$AF$201,MATCH("market_input|free_cash_flow",'{ticker}_Investment_Case_Data'!$W$2:$W$201,0))),INDEX('{ticker}_Investment_Case_Data'!$AF$2:$AF$201,MATCH("market_input|free_cash_flow",'{ticker}_Investment_Case_Data'!$W$2:$W$201,0)),"")),"")</f>
        <v/>
      </c>
      <c r="F31" s="544">
        <f>IF(ISNUMBER(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),IFERROR(IF(ISBLANK(INDEX('{ticker}_Investment_Case_Data'!$AI$2:$AI$201,MATCH("market_input|free_cash_flow",'{ticker}_Investment_Case_Data'!$W$2:$W$201,0))),"",IF(ISNUMBER(INDEX('{ticker}_Investment_Case_Data'!$AI$2:$AI$201,MATCH("market_input|free_cash_flow",'{ticker}_Investment_Case_Data'!$W$2:$W$201,0))),INDEX('{ticker}_Investment_Case_Data'!$AI$2:$AI$201,MATCH("market_input|free_cash_flow",'{ticker}_Investment_Case_Data'!$W$2:$W$201,0)),"")),""),"")</f>
        <v/>
      </c>
      <c r="G31" s="533">
        <f>IF(ISNUMBER(F31),IF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latest_completed_fy",IF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="","Model default (year)","Model default ("&amp;LEFT(IFERROR(IF(ISBLANK(INDEX('{ticker}_Investment_Case_Data'!$AK$2:$AK$201,MATCH("market_input|free_cash_flow",'{ticker}_Investment_Case_Data'!$W$2:$W$201,0))),"",IF(ISTEXT(INDEX('{ticker}_Investment_Case_Data'!$AK$2:$AK$201,MATCH("market_input|free_cash_flow",'{ticker}_Investment_Case_Data'!$W$2:$W$201,0))),INDEX('{ticker}_Investment_Case_Data'!$AK$2:$AK$201,MATCH("market_input|free_cash_flow",'{ticker}_Investment_Case_Data'!$W$2:$W$201,0)),"")),""),4)&amp;" year)"),"Model default (TTM)"),IF(OR(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manual_only",IFERROR(IF(ISBLANK(INDEX('{ticker}_Investment_Case_Data'!$AW$2:$AW$201,MATCH("market_input|free_cash_flow",'{ticker}_Investment_Case_Data'!$W$2:$W$201,0))),"",IF(ISTEXT(INDEX('{ticker}_Investment_Case_Data'!$AW$2:$AW$201,MATCH("market_input|free_cash_flow",'{ticker}_Investment_Case_Data'!$W$2:$W$201,0))),INDEX('{ticker}_Investment_Case_Data'!$AW$2:$AW$201,MATCH("market_input|free_cash_flow",'{ticker}_Investment_Case_Data'!$W$2:$W$201,0)),"")),"")="historical_context_only"),"Manual input required","Unavailable"))</f>
        <v/>
      </c>
      <c r="H31" s="535" t="n"/>
      <c r="I31" s="535" t="n"/>
      <c r="J31" s="535" t="n"/>
      <c r="K31" s="535" t="n"/>
      <c r="L31" s="536" t="n"/>
      <c r="M31" s="533" t="n"/>
    </row>
    <row r="32" ht="21" customHeight="1">
      <c r="A32" s="533">
        <f>IFERROR(IF(ISBLANK(INDEX('{ticker}_Investment_Case_Data'!$Y$2:$Y$201,MATCH("market_input|depreciation_amortization",'{ticker}_Investment_Case_Data'!$W$2:$W$201,0))),"",IF(ISTEXT(INDEX('{ticker}_Investment_Case_Data'!$Y$2:$Y$201,MATCH("market_input|depreciation_amortization",'{ticker}_Investment_Case_Data'!$W$2:$W$201,0))),INDEX('{ticker}_Investment_Case_Data'!$Y$2:$Y$201,MATCH("market_input|depreciation_amortization",'{ticker}_Investment_Case_Data'!$W$2:$W$201,0)),"")),"")</f>
        <v/>
      </c>
      <c r="B32" s="544">
        <f>IFERROR(IF(ISBLANK(INDEX('{ticker}_Investment_Case_Data'!$AA$2:$AA$201,MATCH("market_input|depreciation_amortization",'{ticker}_Investment_Case_Data'!$W$2:$W$201,0))),"",IF(ISNUMBER(INDEX('{ticker}_Investment_Case_Data'!$AA$2:$AA$201,MATCH("market_input|depreciation_amortization",'{ticker}_Investment_Case_Data'!$W$2:$W$201,0))),INDEX('{ticker}_Investment_Case_Data'!$AA$2:$AA$201,MATCH("market_input|depreciation_amortization",'{ticker}_Investment_Case_Data'!$W$2:$W$201,0)),"")),"")</f>
        <v/>
      </c>
      <c r="C32" s="544">
        <f>IFERROR(IF(ISBLANK(INDEX('{ticker}_Investment_Case_Data'!$AB$2:$AB$201,MATCH("market_input|depreciation_amortization",'{ticker}_Investment_Case_Data'!$W$2:$W$201,0))),"",IF(ISNUMBER(INDEX('{ticker}_Investment_Case_Data'!$AB$2:$AB$201,MATCH("market_input|depreciation_amortization",'{ticker}_Investment_Case_Data'!$W$2:$W$201,0))),INDEX('{ticker}_Investment_Case_Data'!$AB$2:$AB$201,MATCH("market_input|depreciation_amortization",'{ticker}_Investment_Case_Data'!$W$2:$W$201,0)),"")),"")</f>
        <v/>
      </c>
      <c r="D32" s="533">
        <f>IFERROR(IF(ISBLANK(INDEX('{ticker}_Investment_Case_Data'!$AC$2:$AC$201,MATCH("market_input|depreciation_amortization",'{ticker}_Investment_Case_Data'!$W$2:$W$201,0))),"",IF(ISTEXT(INDEX('{ticker}_Investment_Case_Data'!$AC$2:$AC$201,MATCH("market_input|depreciation_amortization",'{ticker}_Investment_Case_Data'!$W$2:$W$201,0))),INDEX('{ticker}_Investment_Case_Data'!$AC$2:$AC$201,MATCH("market_input|depreciation_amortization",'{ticker}_Investment_Case_Data'!$W$2:$W$201,0)),"")),"")</f>
        <v/>
      </c>
      <c r="E32" s="533">
        <f>IFERROR(IF(ISBLANK(INDEX('{ticker}_Investment_Case_Data'!$AF$2:$AF$201,MATCH("market_input|depreciation_amortization",'{ticker}_Investment_Case_Data'!$W$2:$W$201,0))),"",IF(ISTEXT(INDEX('{ticker}_Investment_Case_Data'!$AF$2:$AF$201,MATCH("market_input|depreciation_amortization",'{ticker}_Investment_Case_Data'!$W$2:$W$201,0))),INDEX('{ticker}_Investment_Case_Data'!$AF$2:$AF$201,MATCH("market_input|depreciation_amortization",'{ticker}_Investment_Case_Data'!$W$2:$W$201,0)),"")),"")</f>
        <v/>
      </c>
      <c r="F32" s="544">
        <f>IF(ISNUMBER(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),IFERROR(IF(ISBLANK(INDEX('{ticker}_Investment_Case_Data'!$AI$2:$AI$201,MATCH("market_input|depreciation_amortization",'{ticker}_Investment_Case_Data'!$W$2:$W$201,0))),"",IF(ISNUMBER(INDEX('{ticker}_Investment_Case_Data'!$AI$2:$AI$201,MATCH("market_input|depreciation_amortization",'{ticker}_Investment_Case_Data'!$W$2:$W$201,0))),INDEX('{ticker}_Investment_Case_Data'!$AI$2:$AI$201,MATCH("market_input|depreciation_amortization",'{ticker}_Investment_Case_Data'!$W$2:$W$201,0)),"")),""),"")</f>
        <v/>
      </c>
      <c r="G32" s="533">
        <f>IF(ISNUMBER(F32),IF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latest_completed_fy",IF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="","Model default (year)","Model default ("&amp;LEFT(IFERROR(IF(ISBLANK(INDEX('{ticker}_Investment_Case_Data'!$AK$2:$AK$201,MATCH("market_input|depreciation_amortization",'{ticker}_Investment_Case_Data'!$W$2:$W$201,0))),"",IF(ISTEXT(INDEX('{ticker}_Investment_Case_Data'!$AK$2:$AK$201,MATCH("market_input|depreciation_amortization",'{ticker}_Investment_Case_Data'!$W$2:$W$201,0))),INDEX('{ticker}_Investment_Case_Data'!$AK$2:$AK$201,MATCH("market_input|depreciation_amortization",'{ticker}_Investment_Case_Data'!$W$2:$W$201,0)),"")),""),4)&amp;" year)"),"Model default (TTM)"),IF(OR(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manual_only",IFERROR(IF(ISBLANK(INDEX('{ticker}_Investment_Case_Data'!$AW$2:$AW$201,MATCH("market_input|depreciation_amortization",'{ticker}_Investment_Case_Data'!$W$2:$W$201,0))),"",IF(ISTEXT(INDEX('{ticker}_Investment_Case_Data'!$AW$2:$AW$201,MATCH("market_input|depreciation_amortization",'{ticker}_Investment_Case_Data'!$W$2:$W$201,0))),INDEX('{ticker}_Investment_Case_Data'!$AW$2:$AW$201,MATCH("market_input|depreciation_amortization",'{ticker}_Investment_Case_Data'!$W$2:$W$201,0)),"")),"")="historical_context_only"),"Manual input required","Unavailable"))</f>
        <v/>
      </c>
      <c r="H32" s="535" t="n"/>
      <c r="I32" s="535" t="n"/>
      <c r="J32" s="535" t="n"/>
      <c r="K32" s="535" t="n"/>
      <c r="L32" s="536" t="n"/>
      <c r="M32" s="533" t="n"/>
    </row>
    <row r="33" ht="21" customHeight="1">
      <c r="A33" s="533">
        <f>IFERROR(IF(ISBLANK(INDEX('{ticker}_Investment_Case_Data'!$Y$2:$Y$201,MATCH("market_input|capital_expenditures",'{ticker}_Investment_Case_Data'!$W$2:$W$201,0))),"",IF(ISTEXT(INDEX('{ticker}_Investment_Case_Data'!$Y$2:$Y$201,MATCH("market_input|capital_expenditures",'{ticker}_Investment_Case_Data'!$W$2:$W$201,0))),INDEX('{ticker}_Investment_Case_Data'!$Y$2:$Y$201,MATCH("market_input|capital_expenditures",'{ticker}_Investment_Case_Data'!$W$2:$W$201,0)),"")),"")</f>
        <v/>
      </c>
      <c r="B33" s="544">
        <f>IFERROR(IF(ISBLANK(INDEX('{ticker}_Investment_Case_Data'!$AA$2:$AA$201,MATCH("market_input|capital_expenditures",'{ticker}_Investment_Case_Data'!$W$2:$W$201,0))),"",IF(ISNUMBER(INDEX('{ticker}_Investment_Case_Data'!$AA$2:$AA$201,MATCH("market_input|capital_expenditures",'{ticker}_Investment_Case_Data'!$W$2:$W$201,0))),INDEX('{ticker}_Investment_Case_Data'!$AA$2:$AA$201,MATCH("market_input|capital_expenditures",'{ticker}_Investment_Case_Data'!$W$2:$W$201,0)),"")),"")</f>
        <v/>
      </c>
      <c r="C33" s="544">
        <f>IFERROR(IF(ISBLANK(INDEX('{ticker}_Investment_Case_Data'!$AB$2:$AB$201,MATCH("market_input|capital_expenditures",'{ticker}_Investment_Case_Data'!$W$2:$W$201,0))),"",IF(ISNUMBER(INDEX('{ticker}_Investment_Case_Data'!$AB$2:$AB$201,MATCH("market_input|capital_expenditures",'{ticker}_Investment_Case_Data'!$W$2:$W$201,0))),INDEX('{ticker}_Investment_Case_Data'!$AB$2:$AB$201,MATCH("market_input|capital_expenditures",'{ticker}_Investment_Case_Data'!$W$2:$W$201,0)),"")),"")</f>
        <v/>
      </c>
      <c r="D33" s="533">
        <f>IFERROR(IF(ISBLANK(INDEX('{ticker}_Investment_Case_Data'!$AC$2:$AC$201,MATCH("market_input|capital_expenditures",'{ticker}_Investment_Case_Data'!$W$2:$W$201,0))),"",IF(ISTEXT(INDEX('{ticker}_Investment_Case_Data'!$AC$2:$AC$201,MATCH("market_input|capital_expenditures",'{ticker}_Investment_Case_Data'!$W$2:$W$201,0))),INDEX('{ticker}_Investment_Case_Data'!$AC$2:$AC$201,MATCH("market_input|capital_expenditures",'{ticker}_Investment_Case_Data'!$W$2:$W$201,0)),"")),"")</f>
        <v/>
      </c>
      <c r="E33" s="533">
        <f>IFERROR(IF(ISBLANK(INDEX('{ticker}_Investment_Case_Data'!$AF$2:$AF$201,MATCH("market_input|capital_expenditures",'{ticker}_Investment_Case_Data'!$W$2:$W$201,0))),"",IF(ISTEXT(INDEX('{ticker}_Investment_Case_Data'!$AF$2:$AF$201,MATCH("market_input|capital_expenditures",'{ticker}_Investment_Case_Data'!$W$2:$W$201,0))),INDEX('{ticker}_Investment_Case_Data'!$AF$2:$AF$201,MATCH("market_input|capital_expenditures",'{ticker}_Investment_Case_Data'!$W$2:$W$201,0)),"")),"")</f>
        <v/>
      </c>
      <c r="F33" s="544">
        <f>IF(ISNUMBER(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),IFERROR(IF(ISBLANK(INDEX('{ticker}_Investment_Case_Data'!$AI$2:$AI$201,MATCH("market_input|capital_expenditures",'{ticker}_Investment_Case_Data'!$W$2:$W$201,0))),"",IF(ISNUMBER(INDEX('{ticker}_Investment_Case_Data'!$AI$2:$AI$201,MATCH("market_input|capital_expenditures",'{ticker}_Investment_Case_Data'!$W$2:$W$201,0))),INDEX('{ticker}_Investment_Case_Data'!$AI$2:$AI$201,MATCH("market_input|capital_expenditures",'{ticker}_Investment_Case_Data'!$W$2:$W$201,0)),"")),""),"")</f>
        <v/>
      </c>
      <c r="G33" s="533">
        <f>IF(ISNUMBER(F33),IF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latest_completed_fy",IF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="","Model default (year)","Model default ("&amp;LEFT(IFERROR(IF(ISBLANK(INDEX('{ticker}_Investment_Case_Data'!$AK$2:$AK$201,MATCH("market_input|capital_expenditures",'{ticker}_Investment_Case_Data'!$W$2:$W$201,0))),"",IF(ISTEXT(INDEX('{ticker}_Investment_Case_Data'!$AK$2:$AK$201,MATCH("market_input|capital_expenditures",'{ticker}_Investment_Case_Data'!$W$2:$W$201,0))),INDEX('{ticker}_Investment_Case_Data'!$AK$2:$AK$201,MATCH("market_input|capital_expenditures",'{ticker}_Investment_Case_Data'!$W$2:$W$201,0)),"")),""),4)&amp;" year)"),"Model default (TTM)"),IF(OR(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manual_only",IFERROR(IF(ISBLANK(INDEX('{ticker}_Investment_Case_Data'!$AW$2:$AW$201,MATCH("market_input|capital_expenditures",'{ticker}_Investment_Case_Data'!$W$2:$W$201,0))),"",IF(ISTEXT(INDEX('{ticker}_Investment_Case_Data'!$AW$2:$AW$201,MATCH("market_input|capital_expenditures",'{ticker}_Investment_Case_Data'!$W$2:$W$201,0))),INDEX('{ticker}_Investment_Case_Data'!$AW$2:$AW$201,MATCH("market_input|capital_expenditures",'{ticker}_Investment_Case_Data'!$W$2:$W$201,0)),"")),"")="historical_context_only"),"Manual input required","Unavailable"))</f>
        <v/>
      </c>
      <c r="H33" s="535" t="n"/>
      <c r="I33" s="535" t="n"/>
      <c r="J33" s="535" t="n"/>
      <c r="K33" s="535" t="n"/>
      <c r="L33" s="536" t="n"/>
      <c r="M33" s="533" t="n"/>
    </row>
    <row r="34" ht="21" customHeight="1">
      <c r="A34" s="533">
        <f>IFERROR(IF(ISBLANK(INDEX('{ticker}_Investment_Case_Data'!$Y$2:$Y$201,MATCH("market_input|working_capital_investment",'{ticker}_Investment_Case_Data'!$W$2:$W$201,0))),"",IF(ISTEXT(INDEX('{ticker}_Investment_Case_Data'!$Y$2:$Y$201,MATCH("market_input|working_capital_investment",'{ticker}_Investment_Case_Data'!$W$2:$W$201,0))),INDEX('{ticker}_Investment_Case_Data'!$Y$2:$Y$201,MATCH("market_input|working_capital_investment",'{ticker}_Investment_Case_Data'!$W$2:$W$201,0)),"")),"")</f>
        <v/>
      </c>
      <c r="B34" s="544">
        <f>IFERROR(IF(ISBLANK(INDEX('{ticker}_Investment_Case_Data'!$AA$2:$AA$201,MATCH("market_input|working_capital_investment",'{ticker}_Investment_Case_Data'!$W$2:$W$201,0))),"",IF(ISNUMBER(INDEX('{ticker}_Investment_Case_Data'!$AA$2:$AA$201,MATCH("market_input|working_capital_investment",'{ticker}_Investment_Case_Data'!$W$2:$W$201,0))),INDEX('{ticker}_Investment_Case_Data'!$AA$2:$AA$201,MATCH("market_input|working_capital_investment",'{ticker}_Investment_Case_Data'!$W$2:$W$201,0)),"")),"")</f>
        <v/>
      </c>
      <c r="C34" s="544">
        <f>IFERROR(IF(ISBLANK(INDEX('{ticker}_Investment_Case_Data'!$AB$2:$AB$201,MATCH("market_input|working_capital_investment",'{ticker}_Investment_Case_Data'!$W$2:$W$201,0))),"",IF(ISNUMBER(INDEX('{ticker}_Investment_Case_Data'!$AB$2:$AB$201,MATCH("market_input|working_capital_investment",'{ticker}_Investment_Case_Data'!$W$2:$W$201,0))),INDEX('{ticker}_Investment_Case_Data'!$AB$2:$AB$201,MATCH("market_input|working_capital_investment",'{ticker}_Investment_Case_Data'!$W$2:$W$201,0)),"")),"")</f>
        <v/>
      </c>
      <c r="D34" s="533">
        <f>IFERROR(IF(ISBLANK(INDEX('{ticker}_Investment_Case_Data'!$AC$2:$AC$201,MATCH("market_input|working_capital_investment",'{ticker}_Investment_Case_Data'!$W$2:$W$201,0))),"",IF(ISTEXT(INDEX('{ticker}_Investment_Case_Data'!$AC$2:$AC$201,MATCH("market_input|working_capital_investment",'{ticker}_Investment_Case_Data'!$W$2:$W$201,0))),INDEX('{ticker}_Investment_Case_Data'!$AC$2:$AC$201,MATCH("market_input|working_capital_investment",'{ticker}_Investment_Case_Data'!$W$2:$W$201,0)),"")),"")</f>
        <v/>
      </c>
      <c r="E34" s="533">
        <f>IFERROR(IF(ISBLANK(INDEX('{ticker}_Investment_Case_Data'!$AF$2:$AF$201,MATCH("market_input|working_capital_investment",'{ticker}_Investment_Case_Data'!$W$2:$W$201,0))),"",IF(ISTEXT(INDEX('{ticker}_Investment_Case_Data'!$AF$2:$AF$201,MATCH("market_input|working_capital_investment",'{ticker}_Investment_Case_Data'!$W$2:$W$201,0))),INDEX('{ticker}_Investment_Case_Data'!$AF$2:$AF$201,MATCH("market_input|working_capital_investment",'{ticker}_Investment_Case_Data'!$W$2:$W$201,0)),"")),"")</f>
        <v/>
      </c>
      <c r="F34" s="544">
        <f>IF(ISNUMBER(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),IFERROR(IF(ISBLANK(INDEX('{ticker}_Investment_Case_Data'!$AI$2:$AI$201,MATCH("market_input|working_capital_investment",'{ticker}_Investment_Case_Data'!$W$2:$W$201,0))),"",IF(ISNUMBER(INDEX('{ticker}_Investment_Case_Data'!$AI$2:$AI$201,MATCH("market_input|working_capital_investment",'{ticker}_Investment_Case_Data'!$W$2:$W$201,0))),INDEX('{ticker}_Investment_Case_Data'!$AI$2:$AI$201,MATCH("market_input|working_capital_investment",'{ticker}_Investment_Case_Data'!$W$2:$W$201,0)),"")),""),"")</f>
        <v/>
      </c>
      <c r="G34" s="533">
        <f>IF(ISNUMBER(F34),IF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latest_completed_fy",IF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="","Model default (year)","Model default ("&amp;LEFT(IFERROR(IF(ISBLANK(INDEX('{ticker}_Investment_Case_Data'!$AK$2:$AK$201,MATCH("market_input|working_capital_investment",'{ticker}_Investment_Case_Data'!$W$2:$W$201,0))),"",IF(ISTEXT(INDEX('{ticker}_Investment_Case_Data'!$AK$2:$AK$201,MATCH("market_input|working_capital_investment",'{ticker}_Investment_Case_Data'!$W$2:$W$201,0))),INDEX('{ticker}_Investment_Case_Data'!$AK$2:$AK$201,MATCH("market_input|working_capital_investment",'{ticker}_Investment_Case_Data'!$W$2:$W$201,0)),"")),""),4)&amp;" year)"),"Model default (TTM)"),IF(OR(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manual_only",IFERROR(IF(ISBLANK(INDEX('{ticker}_Investment_Case_Data'!$AW$2:$AW$201,MATCH("market_input|working_capital_investment",'{ticker}_Investment_Case_Data'!$W$2:$W$201,0))),"",IF(ISTEXT(INDEX('{ticker}_Investment_Case_Data'!$AW$2:$AW$201,MATCH("market_input|working_capital_investment",'{ticker}_Investment_Case_Data'!$W$2:$W$201,0))),INDEX('{ticker}_Investment_Case_Data'!$AW$2:$AW$201,MATCH("market_input|working_capital_investment",'{ticker}_Investment_Case_Data'!$W$2:$W$201,0)),"")),"")="historical_context_only"),"Manual input required","Unavailable"))</f>
        <v/>
      </c>
      <c r="H34" s="535" t="n"/>
      <c r="I34" s="535" t="n"/>
      <c r="J34" s="535" t="n"/>
      <c r="K34" s="535" t="n"/>
      <c r="L34" s="536" t="n"/>
      <c r="M34" s="533" t="n"/>
    </row>
    <row r="35" ht="21" customHeight="1">
      <c r="A35" s="533">
        <f>IFERROR(IF(ISBLANK(INDEX('{ticker}_Investment_Case_Data'!$Y$2:$Y$201,MATCH("market_input|buyback_cash",'{ticker}_Investment_Case_Data'!$W$2:$W$201,0))),"",IF(ISTEXT(INDEX('{ticker}_Investment_Case_Data'!$Y$2:$Y$201,MATCH("market_input|buyback_cash",'{ticker}_Investment_Case_Data'!$W$2:$W$201,0))),INDEX('{ticker}_Investment_Case_Data'!$Y$2:$Y$201,MATCH("market_input|buyback_cash",'{ticker}_Investment_Case_Data'!$W$2:$W$201,0)),"")),"")</f>
        <v/>
      </c>
      <c r="B35" s="544">
        <f>""</f>
        <v/>
      </c>
      <c r="C35" s="544">
        <f>""</f>
        <v/>
      </c>
      <c r="D35" s="533">
        <f>IFERROR(IF(ISBLANK(INDEX('{ticker}_Investment_Case_Data'!$AC$2:$AC$201,MATCH("market_input|buyback_cash",'{ticker}_Investment_Case_Data'!$W$2:$W$201,0))),"",IF(ISTEXT(INDEX('{ticker}_Investment_Case_Data'!$AC$2:$AC$201,MATCH("market_input|buyback_cash",'{ticker}_Investment_Case_Data'!$W$2:$W$201,0))),INDEX('{ticker}_Investment_Case_Data'!$AC$2:$AC$201,MATCH("market_input|buyback_cash",'{ticker}_Investment_Case_Data'!$W$2:$W$201,0)),"")),"")</f>
        <v/>
      </c>
      <c r="E35" s="533">
        <f>IFERROR(IF(ISBLANK(INDEX('{ticker}_Investment_Case_Data'!$AF$2:$AF$201,MATCH("market_input|buyback_cash",'{ticker}_Investment_Case_Data'!$W$2:$W$201,0))),"",IF(ISTEXT(INDEX('{ticker}_Investment_Case_Data'!$AF$2:$AF$201,MATCH("market_input|buyback_cash",'{ticker}_Investment_Case_Data'!$W$2:$W$201,0))),INDEX('{ticker}_Investment_Case_Data'!$AF$2:$AF$201,MATCH("market_input|buyback_cash",'{ticker}_Investment_Case_Data'!$W$2:$W$201,0)),"")),"")</f>
        <v/>
      </c>
      <c r="F35" s="544">
        <f>IF(ISNUMBER(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),IFERROR(IF(ISBLANK(INDEX('{ticker}_Investment_Case_Data'!$AI$2:$AI$201,MATCH("market_input|buyback_cash",'{ticker}_Investment_Case_Data'!$W$2:$W$201,0))),"",IF(ISNUMBER(INDEX('{ticker}_Investment_Case_Data'!$AI$2:$AI$201,MATCH("market_input|buyback_cash",'{ticker}_Investment_Case_Data'!$W$2:$W$201,0))),INDEX('{ticker}_Investment_Case_Data'!$AI$2:$AI$201,MATCH("market_input|buyback_cash",'{ticker}_Investment_Case_Data'!$W$2:$W$201,0)),"")),""),"")</f>
        <v/>
      </c>
      <c r="G35" s="533">
        <f>IF(ISNUMBER(F35),IF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latest_completed_fy",IF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="","Model default (year)","Model default ("&amp;LEFT(IFERROR(IF(ISBLANK(INDEX('{ticker}_Investment_Case_Data'!$AK$2:$AK$201,MATCH("market_input|buyback_cash",'{ticker}_Investment_Case_Data'!$W$2:$W$201,0))),"",IF(ISTEXT(INDEX('{ticker}_Investment_Case_Data'!$AK$2:$AK$201,MATCH("market_input|buyback_cash",'{ticker}_Investment_Case_Data'!$W$2:$W$201,0))),INDEX('{ticker}_Investment_Case_Data'!$AK$2:$AK$201,MATCH("market_input|buyback_cash",'{ticker}_Investment_Case_Data'!$W$2:$W$201,0)),"")),""),4)&amp;" year)"),"Model default (TTM)"),IF(OR(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manual_only",IFERROR(IF(ISBLANK(INDEX('{ticker}_Investment_Case_Data'!$AW$2:$AW$201,MATCH("market_input|buyback_cash",'{ticker}_Investment_Case_Data'!$W$2:$W$201,0))),"",IF(ISTEXT(INDEX('{ticker}_Investment_Case_Data'!$AW$2:$AW$201,MATCH("market_input|buyback_cash",'{ticker}_Investment_Case_Data'!$W$2:$W$201,0))),INDEX('{ticker}_Investment_Case_Data'!$AW$2:$AW$201,MATCH("market_input|buyback_cash",'{ticker}_Investment_Case_Data'!$W$2:$W$201,0)),"")),"")="historical_context_only"),"Manual input required","Unavailable"))</f>
        <v/>
      </c>
      <c r="H35" s="535" t="n"/>
      <c r="I35" s="535" t="n"/>
      <c r="J35" s="535" t="n"/>
      <c r="K35" s="535" t="n"/>
      <c r="L35" s="536" t="n"/>
      <c r="M35" s="533" t="n"/>
    </row>
    <row r="36" ht="21" customHeight="1">
      <c r="A36" s="546" t="n"/>
      <c r="B36" s="546" t="n"/>
      <c r="C36" s="546" t="n"/>
      <c r="D36" s="546" t="n"/>
      <c r="E36" s="546" t="n"/>
      <c r="F36" s="546" t="n"/>
      <c r="G36" s="546" t="n"/>
      <c r="H36" s="546" t="n"/>
      <c r="I36" s="546" t="n"/>
      <c r="J36" s="546" t="n"/>
      <c r="K36" s="546" t="n"/>
      <c r="L36" s="546" t="n"/>
      <c r="M36" s="546" t="n"/>
    </row>
    <row r="37" ht="21" customHeight="1">
      <c r="A37" s="546" t="n"/>
      <c r="B37" s="546" t="n"/>
      <c r="C37" s="546" t="n"/>
      <c r="D37" s="546" t="n"/>
      <c r="E37" s="546" t="n"/>
      <c r="F37" s="546" t="n"/>
      <c r="G37" s="546" t="n"/>
      <c r="H37" s="546" t="n"/>
      <c r="I37" s="546" t="n"/>
      <c r="J37" s="546" t="n"/>
      <c r="K37" s="546" t="n"/>
      <c r="L37" s="546" t="n"/>
      <c r="M37" s="546" t="n"/>
    </row>
    <row r="38" ht="26" customHeight="1">
      <c r="A38" s="527" t="inlineStr">
        <is>
          <t>Scenario Assumptions</t>
        </is>
      </c>
      <c r="B38" s="47" t="n"/>
      <c r="C38" s="47" t="n"/>
      <c r="D38" s="47" t="n"/>
      <c r="E38" s="47" t="n"/>
      <c r="F38" s="47" t="n"/>
      <c r="G38" s="47" t="n"/>
      <c r="H38" s="47" t="n"/>
      <c r="I38" s="47" t="n"/>
      <c r="J38" s="47" t="n"/>
      <c r="K38" s="47" t="n"/>
      <c r="L38" s="47" t="n"/>
      <c r="M38" s="46" t="n"/>
    </row>
    <row r="39" ht="36" customHeight="1">
      <c r="A39" s="534" t="inlineStr">
        <is>
          <t>Current baseline is read-only. Bear, Base and Bull are explicit editable cases; a blank scenario input inherits the current baseline while numeric zero remains valid. Enter amounts in the units shown in the Metric label.</t>
        </is>
      </c>
      <c r="B39" s="535" t="n"/>
      <c r="C39" s="535" t="n"/>
      <c r="D39" s="535" t="n"/>
      <c r="E39" s="535" t="n"/>
      <c r="F39" s="535" t="n"/>
      <c r="G39" s="535" t="n"/>
      <c r="H39" s="535" t="n"/>
      <c r="I39" s="535" t="n"/>
      <c r="J39" s="535" t="n"/>
      <c r="K39" s="535" t="n"/>
      <c r="L39" s="535" t="n"/>
      <c r="M39" s="536" t="n"/>
    </row>
    <row r="40" ht="22" customHeight="1">
      <c r="A40" s="541" t="inlineStr">
        <is>
          <t>Revenue Build</t>
        </is>
      </c>
      <c r="B40" s="541" t="n"/>
      <c r="C40" s="541" t="n"/>
      <c r="D40" s="541" t="n"/>
      <c r="E40" s="541" t="n"/>
      <c r="F40" s="541" t="n"/>
      <c r="G40" s="541" t="n"/>
      <c r="H40" s="541" t="n"/>
      <c r="I40" s="541" t="n"/>
      <c r="J40" s="541" t="n"/>
      <c r="K40" s="541" t="n"/>
      <c r="L40" s="541" t="n"/>
      <c r="M40" s="541" t="n"/>
    </row>
    <row r="41" ht="28" customHeight="1">
      <c r="A41" s="537" t="inlineStr">
        <is>
          <t>Driver</t>
        </is>
      </c>
      <c r="B41" s="537" t="inlineStr">
        <is>
          <t>Current baseline</t>
        </is>
      </c>
      <c r="C41" s="547" t="inlineStr">
        <is>
          <t>Bear</t>
        </is>
      </c>
      <c r="D41" s="548" t="inlineStr">
        <is>
          <t>Base</t>
        </is>
      </c>
      <c r="E41" s="547" t="inlineStr">
        <is>
          <t>Bull</t>
        </is>
      </c>
      <c r="F41" s="548" t="inlineStr">
        <is>
          <t>Source / state</t>
        </is>
      </c>
      <c r="G41" s="539" t="n"/>
      <c r="H41" s="539" t="n"/>
      <c r="I41" s="539" t="n"/>
      <c r="J41" s="539" t="n"/>
      <c r="K41" s="539" t="n"/>
      <c r="L41" s="540" t="n"/>
      <c r="M41" s="537" t="n"/>
    </row>
    <row r="42" ht="21" customHeight="1">
      <c r="A42" s="533" t="inlineStr">
        <is>
          <t>Revenue scenario mode</t>
        </is>
      </c>
      <c r="B42" s="549" t="n"/>
      <c r="C42" s="533" t="n"/>
      <c r="D42" s="533" t="n"/>
      <c r="E42" s="533" t="n"/>
      <c r="F42" s="533" t="n"/>
      <c r="G42" s="533" t="n"/>
      <c r="H42" s="533" t="n"/>
      <c r="I42" s="533" t="n"/>
      <c r="J42" s="533" t="n"/>
      <c r="K42" s="533" t="n"/>
      <c r="L42" s="533" t="n"/>
      <c r="M42" s="533" t="n"/>
    </row>
    <row r="43" ht="8" customHeight="1">
      <c r="A43" s="533" t="n"/>
      <c r="B43" s="533" t="n"/>
      <c r="C43" s="550" t="n"/>
      <c r="D43" s="551" t="n"/>
      <c r="E43" s="550" t="n"/>
      <c r="F43" s="551" t="n"/>
      <c r="G43" s="550" t="n"/>
      <c r="H43" s="533" t="n"/>
      <c r="I43" s="533" t="n"/>
      <c r="J43" s="533" t="n"/>
      <c r="K43" s="533" t="n"/>
      <c r="L43" s="533" t="n"/>
      <c r="M43" s="533" t="n"/>
    </row>
    <row r="44" ht="24" customHeight="1">
      <c r="A44" s="533" t="inlineStr">
        <is>
          <t>Total Company revenue ($m)</t>
        </is>
      </c>
      <c r="B44" s="544">
        <f>IFERROR(IF(ISBLANK(INDEX('{ticker}_Investment_Case_Data'!$AI$2:$AI$201,MATCH("segment_input|001",'{ticker}_Investment_Case_Data'!$W$2:$W$201,0))),"",IF(ISNUMBER(INDEX('{ticker}_Investment_Case_Data'!$AI$2:$AI$201,MATCH("segment_input|001",'{ticker}_Investment_Case_Data'!$W$2:$W$201,0))),INDEX('{ticker}_Investment_Case_Data'!$AI$2:$AI$201,MATCH("segment_input|001",'{ticker}_Investment_Case_Data'!$W$2:$W$201,0)),"")),"")</f>
        <v/>
      </c>
      <c r="C44" s="550" t="n"/>
      <c r="D44" s="551" t="n"/>
      <c r="E44" s="550" t="n"/>
      <c r="F44" s="533">
        <f>"Read-only Total Company tie-out"</f>
        <v/>
      </c>
      <c r="G44" s="535" t="n"/>
      <c r="H44" s="535" t="n"/>
      <c r="I44" s="535" t="n"/>
      <c r="J44" s="535" t="n"/>
      <c r="K44" s="535" t="n"/>
      <c r="L44" s="536" t="n"/>
      <c r="M44" s="533" t="n"/>
    </row>
    <row r="45" ht="24" customHeight="1">
      <c r="A45" s="533" t="inlineStr">
        <is>
          <t>Total Company revenue growth (%)</t>
        </is>
      </c>
      <c r="B45" s="545">
        <f>IF(ISNUMBER($F$22),$F$22,"")</f>
        <v/>
      </c>
      <c r="C45" s="552" t="n"/>
      <c r="D45" s="552" t="n"/>
      <c r="E45" s="552" t="n"/>
      <c r="F45" s="533">
        <f>IF(ISNUMBER(B45),"Used only in Total Company mode","Manual input required")</f>
        <v/>
      </c>
      <c r="G45" s="535" t="n"/>
      <c r="H45" s="535" t="n"/>
      <c r="I45" s="535" t="n"/>
      <c r="J45" s="535" t="n"/>
      <c r="K45" s="535" t="n"/>
      <c r="L45" s="536" t="n"/>
      <c r="M45" s="533" t="n"/>
    </row>
    <row r="46" ht="22" customHeight="1">
      <c r="A46" s="541">
        <f>IF(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="","Brand",IFERROR(IF(ISBLANK(INDEX('{ticker}_Investment_Case_Data'!$AV$2:$AV$201,MATCH("segment_input|002",'{ticker}_Investment_Case_Data'!$W$2:$W$201,0))),"",IF(ISTEXT(INDEX('{ticker}_Investment_Case_Data'!$AV$2:$AV$201,MATCH("segment_input|002",'{ticker}_Investment_Case_Data'!$W$2:$W$201,0))),INDEX('{ticker}_Investment_Case_Data'!$AV$2:$AV$201,MATCH("segment_input|002",'{ticker}_Investment_Case_Data'!$W$2:$W$201,0)),"")),""))</f>
        <v/>
      </c>
      <c r="B46" s="541" t="n"/>
      <c r="C46" s="541" t="n"/>
      <c r="D46" s="541" t="n"/>
      <c r="E46" s="541" t="n"/>
      <c r="F46" s="541" t="n"/>
      <c r="G46" s="541" t="n"/>
      <c r="H46" s="541" t="n"/>
      <c r="I46" s="541" t="n"/>
      <c r="J46" s="541" t="n"/>
      <c r="K46" s="541" t="n"/>
      <c r="L46" s="541" t="n"/>
      <c r="M46" s="541" t="n"/>
    </row>
    <row r="47" ht="24" customHeight="1">
      <c r="A47" s="533">
        <f>IFERROR(IF(ISBLANK(INDEX('{ticker}_Investment_Case_Data'!$Y$2:$Y$201,MATCH("segment_input|002",'{ticker}_Investment_Case_Data'!$W$2:$W$201,0))),"",IF(ISTEXT(INDEX('{ticker}_Investment_Case_Data'!$Y$2:$Y$201,MATCH("segment_input|002",'{ticker}_Investment_Case_Data'!$W$2:$W$201,0))),INDEX('{ticker}_Investment_Case_Data'!$Y$2:$Y$201,MATCH("segment_input|002",'{ticker}_Investment_Case_Data'!$W$2:$W$201,0)),"")),"")</f>
        <v/>
      </c>
      <c r="B47" s="544">
        <f>IFERROR(IF(ISBLANK(INDEX('{ticker}_Investment_Case_Data'!$AI$2:$AI$201,MATCH("segment_input|002",'{ticker}_Investment_Case_Data'!$W$2:$W$201,0))),"",IF(ISNUMBER(INDEX('{ticker}_Investment_Case_Data'!$AI$2:$AI$201,MATCH("segment_input|002",'{ticker}_Investment_Case_Data'!$W$2:$W$201,0))),INDEX('{ticker}_Investment_Case_Data'!$AI$2:$AI$201,MATCH("segment_input|002",'{ticker}_Investment_Case_Data'!$W$2:$W$201,0)),"")),"")</f>
        <v/>
      </c>
      <c r="C47" s="552" t="n"/>
      <c r="D47" s="552" t="n"/>
      <c r="E47" s="552" t="n"/>
      <c r="F47" s="533">
        <f>IF(NOT(ISNUMBER(B47)),"Unavailable"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exact_four_quarter_ttm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TTM)",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),IF(IFERROR(IF(ISBLANK(INDEX('{ticker}_Investment_Case_Data'!$AW$2:$AW$201,MATCH("segment_input|002",'{ticker}_Investment_Case_Data'!$W$2:$W$201,0))),"",IF(ISTEXT(INDEX('{ticker}_Investment_Case_Data'!$AW$2:$AW$201,MATCH("segment_input|002",'{ticker}_Investment_Case_Data'!$W$2:$W$201,0))),INDEX('{ticker}_Investment_Case_Data'!$AW$2:$AW$201,MATCH("segment_input|002",'{ticker}_Investment_Case_Data'!$W$2:$W$201,0)),"")),"")="latest_completed_fy",IF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="","Model default (year)","Model default ("&amp;LEFT(IFERROR(IF(ISBLANK(INDEX('{ticker}_Investment_Case_Data'!$AX$2:$AX$201,MATCH("segment_input|002",'{ticker}_Investment_Case_Data'!$W$2:$W$201,0))),"",IF(ISTEXT(INDEX('{ticker}_Investment_Case_Data'!$AX$2:$AX$201,MATCH("segment_input|002",'{ticker}_Investment_Case_Data'!$W$2:$W$201,0))),INDEX('{ticker}_Investment_Case_Data'!$AX$2:$AX$201,MATCH("segment_input|002",'{ticker}_Investment_Case_Data'!$W$2:$W$201,0)),"")),""),4)&amp;" year)"),"Resolved")))</f>
        <v/>
      </c>
      <c r="G47" s="535" t="n"/>
      <c r="H47" s="535" t="n"/>
      <c r="I47" s="535" t="n"/>
      <c r="J47" s="535" t="n"/>
      <c r="K47" s="535" t="n"/>
      <c r="L47" s="536" t="n"/>
      <c r="M47" s="533" t="n"/>
    </row>
    <row r="48" ht="24" customHeight="1">
      <c r="A48" s="533">
        <f>IFERROR(IF(ISBLANK(INDEX('{ticker}_Investment_Case_Data'!$Y$2:$Y$201,MATCH("segment_input|003",'{ticker}_Investment_Case_Data'!$W$2:$W$201,0))),"",IF(ISTEXT(INDEX('{ticker}_Investment_Case_Data'!$Y$2:$Y$201,MATCH("segment_input|003",'{ticker}_Investment_Case_Data'!$W$2:$W$201,0))),INDEX('{ticker}_Investment_Case_Data'!$Y$2:$Y$201,MATCH("segment_input|003",'{ticker}_Investment_Case_Data'!$W$2:$W$201,0)),"")),"")</f>
        <v/>
      </c>
      <c r="B48" s="544">
        <f>IFERROR(IF(ISBLANK(INDEX('{ticker}_Investment_Case_Data'!$AI$2:$AI$201,MATCH("segment_input|003",'{ticker}_Investment_Case_Data'!$W$2:$W$201,0))),"",IF(ISNUMBER(INDEX('{ticker}_Investment_Case_Data'!$AI$2:$AI$201,MATCH("segment_input|003",'{ticker}_Investment_Case_Data'!$W$2:$W$201,0))),INDEX('{ticker}_Investment_Case_Data'!$AI$2:$AI$201,MATCH("segment_input|003",'{ticker}_Investment_Case_Data'!$W$2:$W$201,0)),"")),"")</f>
        <v/>
      </c>
      <c r="C48" s="552" t="n"/>
      <c r="D48" s="552" t="n"/>
      <c r="E48" s="552" t="n"/>
      <c r="F48" s="533">
        <f>IF(NOT(ISNUMBER(B48)),"Unavailable"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exact_four_quarter_ttm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TTM)",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),IF(IFERROR(IF(ISBLANK(INDEX('{ticker}_Investment_Case_Data'!$AW$2:$AW$201,MATCH("segment_input|003",'{ticker}_Investment_Case_Data'!$W$2:$W$201,0))),"",IF(ISTEXT(INDEX('{ticker}_Investment_Case_Data'!$AW$2:$AW$201,MATCH("segment_input|003",'{ticker}_Investment_Case_Data'!$W$2:$W$201,0))),INDEX('{ticker}_Investment_Case_Data'!$AW$2:$AW$201,MATCH("segment_input|003",'{ticker}_Investment_Case_Data'!$W$2:$W$201,0)),"")),"")="latest_completed_fy",IF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="","Model default (year)","Model default ("&amp;LEFT(IFERROR(IF(ISBLANK(INDEX('{ticker}_Investment_Case_Data'!$AX$2:$AX$201,MATCH("segment_input|003",'{ticker}_Investment_Case_Data'!$W$2:$W$201,0))),"",IF(ISTEXT(INDEX('{ticker}_Investment_Case_Data'!$AX$2:$AX$201,MATCH("segment_input|003",'{ticker}_Investment_Case_Data'!$W$2:$W$201,0))),INDEX('{ticker}_Investment_Case_Data'!$AX$2:$AX$201,MATCH("segment_input|003",'{ticker}_Investment_Case_Data'!$W$2:$W$201,0)),"")),""),4)&amp;" year)"),"Resolved")))</f>
        <v/>
      </c>
      <c r="G48" s="535" t="n"/>
      <c r="H48" s="535" t="n"/>
      <c r="I48" s="535" t="n"/>
      <c r="J48" s="535" t="n"/>
      <c r="K48" s="535" t="n"/>
      <c r="L48" s="536" t="n"/>
      <c r="M48" s="533" t="n"/>
    </row>
    <row r="49" ht="22" customHeight="1">
      <c r="A49" s="541">
        <f>IF(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="","Geography",IFERROR(IF(ISBLANK(INDEX('{ticker}_Investment_Case_Data'!$AV$2:$AV$201,MATCH("segment_input|004",'{ticker}_Investment_Case_Data'!$W$2:$W$201,0))),"",IF(ISTEXT(INDEX('{ticker}_Investment_Case_Data'!$AV$2:$AV$201,MATCH("segment_input|004",'{ticker}_Investment_Case_Data'!$W$2:$W$201,0))),INDEX('{ticker}_Investment_Case_Data'!$AV$2:$AV$201,MATCH("segment_input|004",'{ticker}_Investment_Case_Data'!$W$2:$W$201,0)),"")),""))</f>
        <v/>
      </c>
      <c r="B49" s="541" t="n"/>
      <c r="C49" s="541" t="n"/>
      <c r="D49" s="541" t="n"/>
      <c r="E49" s="541" t="n"/>
      <c r="F49" s="541" t="n"/>
      <c r="G49" s="541" t="n"/>
      <c r="H49" s="541" t="n"/>
      <c r="I49" s="541" t="n"/>
      <c r="J49" s="541" t="n"/>
      <c r="K49" s="541" t="n"/>
      <c r="L49" s="541" t="n"/>
      <c r="M49" s="541" t="n"/>
    </row>
    <row r="50" ht="24" customHeight="1">
      <c r="A50" s="533">
        <f>IFERROR(IF(ISBLANK(INDEX('{ticker}_Investment_Case_Data'!$Y$2:$Y$201,MATCH("segment_input|004",'{ticker}_Investment_Case_Data'!$W$2:$W$201,0))),"",IF(ISTEXT(INDEX('{ticker}_Investment_Case_Data'!$Y$2:$Y$201,MATCH("segment_input|004",'{ticker}_Investment_Case_Data'!$W$2:$W$201,0))),INDEX('{ticker}_Investment_Case_Data'!$Y$2:$Y$201,MATCH("segment_input|004",'{ticker}_Investment_Case_Data'!$W$2:$W$201,0)),"")),"")</f>
        <v/>
      </c>
      <c r="B50" s="544">
        <f>IFERROR(IF(ISBLANK(INDEX('{ticker}_Investment_Case_Data'!$AI$2:$AI$201,MATCH("segment_input|004",'{ticker}_Investment_Case_Data'!$W$2:$W$201,0))),"",IF(ISNUMBER(INDEX('{ticker}_Investment_Case_Data'!$AI$2:$AI$201,MATCH("segment_input|004",'{ticker}_Investment_Case_Data'!$W$2:$W$201,0))),INDEX('{ticker}_Investment_Case_Data'!$AI$2:$AI$201,MATCH("segment_input|004",'{ticker}_Investment_Case_Data'!$W$2:$W$201,0)),"")),"")</f>
        <v/>
      </c>
      <c r="C50" s="552" t="n"/>
      <c r="D50" s="552" t="n"/>
      <c r="E50" s="552" t="n"/>
      <c r="F50" s="533">
        <f>IF(NOT(ISNUMBER(B50)),"Unavailable"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exact_four_quarter_ttm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TTM)",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),IF(IFERROR(IF(ISBLANK(INDEX('{ticker}_Investment_Case_Data'!$AW$2:$AW$201,MATCH("segment_input|004",'{ticker}_Investment_Case_Data'!$W$2:$W$201,0))),"",IF(ISTEXT(INDEX('{ticker}_Investment_Case_Data'!$AW$2:$AW$201,MATCH("segment_input|004",'{ticker}_Investment_Case_Data'!$W$2:$W$201,0))),INDEX('{ticker}_Investment_Case_Data'!$AW$2:$AW$201,MATCH("segment_input|004",'{ticker}_Investment_Case_Data'!$W$2:$W$201,0)),"")),"")="latest_completed_fy",IF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="","Model default (year)","Model default ("&amp;LEFT(IFERROR(IF(ISBLANK(INDEX('{ticker}_Investment_Case_Data'!$AX$2:$AX$201,MATCH("segment_input|004",'{ticker}_Investment_Case_Data'!$W$2:$W$201,0))),"",IF(ISTEXT(INDEX('{ticker}_Investment_Case_Data'!$AX$2:$AX$201,MATCH("segment_input|004",'{ticker}_Investment_Case_Data'!$W$2:$W$201,0))),INDEX('{ticker}_Investment_Case_Data'!$AX$2:$AX$201,MATCH("segment_input|004",'{ticker}_Investment_Case_Data'!$W$2:$W$201,0)),"")),""),4)&amp;" year)"),"Resolved")))</f>
        <v/>
      </c>
      <c r="G50" s="535" t="n"/>
      <c r="H50" s="535" t="n"/>
      <c r="I50" s="535" t="n"/>
      <c r="J50" s="535" t="n"/>
      <c r="K50" s="535" t="n"/>
      <c r="L50" s="536" t="n"/>
      <c r="M50" s="533" t="n"/>
    </row>
    <row r="51" ht="24" customHeight="1">
      <c r="A51" s="533">
        <f>IFERROR(IF(ISBLANK(INDEX('{ticker}_Investment_Case_Data'!$Y$2:$Y$201,MATCH("segment_input|005",'{ticker}_Investment_Case_Data'!$W$2:$W$201,0))),"",IF(ISTEXT(INDEX('{ticker}_Investment_Case_Data'!$Y$2:$Y$201,MATCH("segment_input|005",'{ticker}_Investment_Case_Data'!$W$2:$W$201,0))),INDEX('{ticker}_Investment_Case_Data'!$Y$2:$Y$201,MATCH("segment_input|005",'{ticker}_Investment_Case_Data'!$W$2:$W$201,0)),"")),"")</f>
        <v/>
      </c>
      <c r="B51" s="544">
        <f>IFERROR(IF(ISBLANK(INDEX('{ticker}_Investment_Case_Data'!$AI$2:$AI$201,MATCH("segment_input|005",'{ticker}_Investment_Case_Data'!$W$2:$W$201,0))),"",IF(ISNUMBER(INDEX('{ticker}_Investment_Case_Data'!$AI$2:$AI$201,MATCH("segment_input|005",'{ticker}_Investment_Case_Data'!$W$2:$W$201,0))),INDEX('{ticker}_Investment_Case_Data'!$AI$2:$AI$201,MATCH("segment_input|005",'{ticker}_Investment_Case_Data'!$W$2:$W$201,0)),"")),"")</f>
        <v/>
      </c>
      <c r="C51" s="552" t="n"/>
      <c r="D51" s="552" t="n"/>
      <c r="E51" s="552" t="n"/>
      <c r="F51" s="533">
        <f>IF(NOT(ISNUMBER(B51)),"Unavailable"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exact_four_quarter_ttm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TTM)",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),IF(IFERROR(IF(ISBLANK(INDEX('{ticker}_Investment_Case_Data'!$AW$2:$AW$201,MATCH("segment_input|005",'{ticker}_Investment_Case_Data'!$W$2:$W$201,0))),"",IF(ISTEXT(INDEX('{ticker}_Investment_Case_Data'!$AW$2:$AW$201,MATCH("segment_input|005",'{ticker}_Investment_Case_Data'!$W$2:$W$201,0))),INDEX('{ticker}_Investment_Case_Data'!$AW$2:$AW$201,MATCH("segment_input|005",'{ticker}_Investment_Case_Data'!$W$2:$W$201,0)),"")),"")="latest_completed_fy",IF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="","Model default (year)","Model default ("&amp;LEFT(IFERROR(IF(ISBLANK(INDEX('{ticker}_Investment_Case_Data'!$AX$2:$AX$201,MATCH("segment_input|005",'{ticker}_Investment_Case_Data'!$W$2:$W$201,0))),"",IF(ISTEXT(INDEX('{ticker}_Investment_Case_Data'!$AX$2:$AX$201,MATCH("segment_input|005",'{ticker}_Investment_Case_Data'!$W$2:$W$201,0))),INDEX('{ticker}_Investment_Case_Data'!$AX$2:$AX$201,MATCH("segment_input|005",'{ticker}_Investment_Case_Data'!$W$2:$W$201,0)),"")),""),4)&amp;" year)"),"Resolved")))</f>
        <v/>
      </c>
      <c r="G51" s="535" t="n"/>
      <c r="H51" s="535" t="n"/>
      <c r="I51" s="535" t="n"/>
      <c r="J51" s="535" t="n"/>
      <c r="K51" s="535" t="n"/>
      <c r="L51" s="536" t="n"/>
      <c r="M51" s="533" t="n"/>
    </row>
    <row r="52" ht="24" customHeight="1">
      <c r="A52" s="533">
        <f>IFERROR(IF(ISBLANK(INDEX('{ticker}_Investment_Case_Data'!$Y$2:$Y$201,MATCH("segment_input|006",'{ticker}_Investment_Case_Data'!$W$2:$W$201,0))),"",IF(ISTEXT(INDEX('{ticker}_Investment_Case_Data'!$Y$2:$Y$201,MATCH("segment_input|006",'{ticker}_Investment_Case_Data'!$W$2:$W$201,0))),INDEX('{ticker}_Investment_Case_Data'!$Y$2:$Y$201,MATCH("segment_input|006",'{ticker}_Investment_Case_Data'!$W$2:$W$201,0)),"")),"")</f>
        <v/>
      </c>
      <c r="B52" s="544">
        <f>IFERROR(IF(ISBLANK(INDEX('{ticker}_Investment_Case_Data'!$AI$2:$AI$201,MATCH("segment_input|006",'{ticker}_Investment_Case_Data'!$W$2:$W$201,0))),"",IF(ISNUMBER(INDEX('{ticker}_Investment_Case_Data'!$AI$2:$AI$201,MATCH("segment_input|006",'{ticker}_Investment_Case_Data'!$W$2:$W$201,0))),INDEX('{ticker}_Investment_Case_Data'!$AI$2:$AI$201,MATCH("segment_input|006",'{ticker}_Investment_Case_Data'!$W$2:$W$201,0)),"")),"")</f>
        <v/>
      </c>
      <c r="C52" s="552" t="n"/>
      <c r="D52" s="552" t="n"/>
      <c r="E52" s="552" t="n"/>
      <c r="F52" s="533">
        <f>IF(NOT(ISNUMBER(B52)),"Unavailable"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exact_four_quarter_ttm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TTM)",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),IF(IFERROR(IF(ISBLANK(INDEX('{ticker}_Investment_Case_Data'!$AW$2:$AW$201,MATCH("segment_input|006",'{ticker}_Investment_Case_Data'!$W$2:$W$201,0))),"",IF(ISTEXT(INDEX('{ticker}_Investment_Case_Data'!$AW$2:$AW$201,MATCH("segment_input|006",'{ticker}_Investment_Case_Data'!$W$2:$W$201,0))),INDEX('{ticker}_Investment_Case_Data'!$AW$2:$AW$201,MATCH("segment_input|006",'{ticker}_Investment_Case_Data'!$W$2:$W$201,0)),"")),"")="latest_completed_fy",IF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="","Model default (year)","Model default ("&amp;LEFT(IFERROR(IF(ISBLANK(INDEX('{ticker}_Investment_Case_Data'!$AX$2:$AX$201,MATCH("segment_input|006",'{ticker}_Investment_Case_Data'!$W$2:$W$201,0))),"",IF(ISTEXT(INDEX('{ticker}_Investment_Case_Data'!$AX$2:$AX$201,MATCH("segment_input|006",'{ticker}_Investment_Case_Data'!$W$2:$W$201,0))),INDEX('{ticker}_Investment_Case_Data'!$AX$2:$AX$201,MATCH("segment_input|006",'{ticker}_Investment_Case_Data'!$W$2:$W$201,0)),"")),""),4)&amp;" year)"),"Resolved")))</f>
        <v/>
      </c>
      <c r="G52" s="535" t="n"/>
      <c r="H52" s="535" t="n"/>
      <c r="I52" s="535" t="n"/>
      <c r="J52" s="535" t="n"/>
      <c r="K52" s="535" t="n"/>
      <c r="L52" s="536" t="n"/>
      <c r="M52" s="533" t="n"/>
    </row>
    <row r="53" ht="30" customHeight="1">
      <c r="A53" s="534" t="inlineStr">
        <is>
          <t>Brand and Geography are alternative views and must not be added together.</t>
        </is>
      </c>
      <c r="B53" s="535" t="n"/>
      <c r="C53" s="535" t="n"/>
      <c r="D53" s="535" t="n"/>
      <c r="E53" s="535" t="n"/>
      <c r="F53" s="535" t="n"/>
      <c r="G53" s="535" t="n"/>
      <c r="H53" s="535" t="n"/>
      <c r="I53" s="535" t="n"/>
      <c r="J53" s="535" t="n"/>
      <c r="K53" s="535" t="n"/>
      <c r="L53" s="535" t="n"/>
      <c r="M53" s="536" t="n"/>
    </row>
    <row r="54" ht="22" customHeight="1">
      <c r="A54" s="541" t="inlineStr">
        <is>
          <t>Operating Drivers</t>
        </is>
      </c>
      <c r="B54" s="541" t="n"/>
      <c r="C54" s="541" t="n"/>
      <c r="D54" s="541" t="n"/>
      <c r="E54" s="541" t="n"/>
      <c r="F54" s="541" t="n"/>
      <c r="G54" s="541" t="n"/>
      <c r="H54" s="541" t="n"/>
      <c r="I54" s="541" t="n"/>
      <c r="J54" s="541" t="n"/>
      <c r="K54" s="541" t="n"/>
      <c r="L54" s="541" t="n"/>
      <c r="M54" s="541" t="n"/>
    </row>
    <row r="55" ht="28" customHeight="1">
      <c r="A55" s="537" t="inlineStr">
        <is>
          <t>Driver</t>
        </is>
      </c>
      <c r="B55" s="537" t="inlineStr">
        <is>
          <t>Current baseline</t>
        </is>
      </c>
      <c r="C55" s="537" t="inlineStr">
        <is>
          <t>Bear</t>
        </is>
      </c>
      <c r="D55" s="537" t="inlineStr">
        <is>
          <t>Base</t>
        </is>
      </c>
      <c r="E55" s="537" t="inlineStr">
        <is>
          <t>Bull</t>
        </is>
      </c>
      <c r="F55" s="537" t="inlineStr">
        <is>
          <t>Source / state</t>
        </is>
      </c>
      <c r="G55" s="539" t="n"/>
      <c r="H55" s="539" t="n"/>
      <c r="I55" s="539" t="n"/>
      <c r="J55" s="539" t="n"/>
      <c r="K55" s="539" t="n"/>
      <c r="L55" s="540" t="n"/>
      <c r="M55" s="537" t="n"/>
    </row>
    <row r="56" ht="24" customHeight="1">
      <c r="A56" s="533" t="inlineStr">
        <is>
          <t>Gross margin (%)</t>
        </is>
      </c>
      <c r="B56" s="545">
        <f>IF(ISNUMBER($F$23),$F$23,"")</f>
        <v/>
      </c>
      <c r="C56" s="552" t="n"/>
      <c r="D56" s="552" t="n"/>
      <c r="E56" s="552" t="n"/>
      <c r="F56" s="533">
        <f>IF(ISNUMBER(B56),$G$23,"Manual input required")</f>
        <v/>
      </c>
      <c r="G56" s="535" t="n"/>
      <c r="H56" s="535" t="n"/>
      <c r="I56" s="535" t="n"/>
      <c r="J56" s="535" t="n"/>
      <c r="K56" s="535" t="n"/>
      <c r="L56" s="536" t="n"/>
      <c r="M56" s="533" t="n"/>
    </row>
    <row r="57" ht="24" customHeight="1">
      <c r="A57" s="533" t="inlineStr">
        <is>
          <t>Operating margin (%)</t>
        </is>
      </c>
      <c r="B57" s="545">
        <f>IF(ISNUMBER($F$24),$F$24,"")</f>
        <v/>
      </c>
      <c r="C57" s="552" t="n"/>
      <c r="D57" s="552" t="n"/>
      <c r="E57" s="552" t="n"/>
      <c r="F57" s="533">
        <f>IF(ISNUMBER(B57),$G$24,"Manual input required")</f>
        <v/>
      </c>
      <c r="G57" s="535" t="n"/>
      <c r="H57" s="535" t="n"/>
      <c r="I57" s="535" t="n"/>
      <c r="J57" s="535" t="n"/>
      <c r="K57" s="535" t="n"/>
      <c r="L57" s="536" t="n"/>
      <c r="M57" s="533" t="n"/>
    </row>
    <row r="58" ht="24" customHeight="1">
      <c r="A58" s="533" t="inlineStr">
        <is>
          <t>Base EBITDA margin (%)</t>
        </is>
      </c>
      <c r="B58" s="545">
        <f>IF(ISNUMBER($F$26),$F$26,"")</f>
        <v/>
      </c>
      <c r="C58" s="552" t="n"/>
      <c r="D58" s="552" t="n"/>
      <c r="E58" s="552" t="n"/>
      <c r="F58" s="533">
        <f>IF(ISNUMBER(B58),$G$26,"Manual input required")</f>
        <v/>
      </c>
      <c r="G58" s="535" t="n"/>
      <c r="H58" s="535" t="n"/>
      <c r="I58" s="535" t="n"/>
      <c r="J58" s="535" t="n"/>
      <c r="K58" s="535" t="n"/>
      <c r="L58" s="536" t="n"/>
      <c r="M58" s="533" t="n"/>
    </row>
    <row r="59" ht="24" customHeight="1">
      <c r="A59" s="533" t="inlineStr">
        <is>
          <t>Adjusted EBITDA margin (%)</t>
        </is>
      </c>
      <c r="B59" s="545">
        <f>IF(ISNUMBER($F$28),$F$28,"")</f>
        <v/>
      </c>
      <c r="C59" s="552" t="n"/>
      <c r="D59" s="552" t="n"/>
      <c r="E59" s="552" t="n"/>
      <c r="F59" s="533">
        <f>IF(ISNUMBER(B59),$G$28,"Manual input required")</f>
        <v/>
      </c>
      <c r="G59" s="535" t="n"/>
      <c r="H59" s="535" t="n"/>
      <c r="I59" s="535" t="n"/>
      <c r="J59" s="535" t="n"/>
      <c r="K59" s="535" t="n"/>
      <c r="L59" s="536" t="n"/>
      <c r="M59" s="533" t="n"/>
    </row>
    <row r="60" ht="24" customHeight="1">
      <c r="A60" s="533" t="inlineStr">
        <is>
          <t>Tax rate (%)</t>
        </is>
      </c>
      <c r="B60" s="545">
        <f>IFERROR(IF(ISBLANK(INDEX('{ticker}_Investment_Case_Data'!$AI$2:$AI$201,MATCH("market_input|tax_rate",'{ticker}_Investment_Case_Data'!$W$2:$W$201,0))),"",IF(ISNUMBER(INDEX('{ticker}_Investment_Case_Data'!$AI$2:$AI$201,MATCH("market_input|tax_rate",'{ticker}_Investment_Case_Data'!$W$2:$W$201,0))),INDEX('{ticker}_Investment_Case_Data'!$AI$2:$AI$201,MATCH("market_input|tax_rate",'{ticker}_Investment_Case_Data'!$W$2:$W$201,0)),"")),"")</f>
        <v/>
      </c>
      <c r="C60" s="552" t="n"/>
      <c r="D60" s="552" t="n"/>
      <c r="E60" s="552" t="n"/>
      <c r="F60" s="533">
        <f>IF(ISNUMBER(B60),"Model default (TTM)",IF(OR(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manual_only",IFERROR(IF(ISBLANK(INDEX('{ticker}_Investment_Case_Data'!$AW$2:$AW$201,MATCH("market_input|tax_rate",'{ticker}_Investment_Case_Data'!$W$2:$W$201,0))),"",IF(ISTEXT(INDEX('{ticker}_Investment_Case_Data'!$AW$2:$AW$201,MATCH("market_input|tax_rate",'{ticker}_Investment_Case_Data'!$W$2:$W$201,0))),INDEX('{ticker}_Investment_Case_Data'!$AW$2:$AW$201,MATCH("market_input|tax_rate",'{ticker}_Investment_Case_Data'!$W$2:$W$201,0)),"")),"")="historical_context_only"),"Manual input required","Unavailable"))</f>
        <v/>
      </c>
      <c r="G60" s="535" t="n"/>
      <c r="H60" s="535" t="n"/>
      <c r="I60" s="535" t="n"/>
      <c r="J60" s="535" t="n"/>
      <c r="K60" s="535" t="n"/>
      <c r="L60" s="536" t="n"/>
      <c r="M60" s="533" t="n"/>
    </row>
    <row r="61" ht="22" customHeight="1">
      <c r="A61" s="541" t="inlineStr">
        <is>
          <t>Cash Flow and Capital Allocation</t>
        </is>
      </c>
      <c r="B61" s="541" t="n"/>
      <c r="C61" s="541" t="n"/>
      <c r="D61" s="541" t="n"/>
      <c r="E61" s="541" t="n"/>
      <c r="F61" s="541" t="n"/>
      <c r="G61" s="541" t="n"/>
      <c r="H61" s="541" t="n"/>
      <c r="I61" s="541" t="n"/>
      <c r="J61" s="541" t="n"/>
      <c r="K61" s="541" t="n"/>
      <c r="L61" s="541" t="n"/>
      <c r="M61" s="541" t="n"/>
    </row>
    <row r="62" ht="28" customHeight="1">
      <c r="A62" s="537" t="inlineStr">
        <is>
          <t>Driver</t>
        </is>
      </c>
      <c r="B62" s="553" t="inlineStr">
        <is>
          <t>Current baseline</t>
        </is>
      </c>
      <c r="C62" s="537" t="inlineStr">
        <is>
          <t>Bear</t>
        </is>
      </c>
      <c r="D62" s="537" t="inlineStr">
        <is>
          <t>Base</t>
        </is>
      </c>
      <c r="E62" s="537" t="inlineStr">
        <is>
          <t>Bull</t>
        </is>
      </c>
      <c r="F62" s="537" t="inlineStr">
        <is>
          <t>Source / state</t>
        </is>
      </c>
      <c r="G62" s="539" t="n"/>
      <c r="H62" s="539" t="n"/>
      <c r="I62" s="539" t="n"/>
      <c r="J62" s="539" t="n"/>
      <c r="K62" s="539" t="n"/>
      <c r="L62" s="540" t="n"/>
      <c r="M62" s="537" t="n"/>
    </row>
    <row r="63" ht="24" customHeight="1">
      <c r="A63" s="533" t="inlineStr">
        <is>
          <t>Capital expenditure ($m)</t>
        </is>
      </c>
      <c r="B63" s="544">
        <f>IF(ISNUMBER($F$33),$F$33,"")</f>
        <v/>
      </c>
      <c r="C63" s="554" t="n"/>
      <c r="D63" s="554" t="n"/>
      <c r="E63" s="554" t="n"/>
      <c r="F63" s="533">
        <f>IF(ISNUMBER(B63),$G$33,"Manual input required")</f>
        <v/>
      </c>
      <c r="G63" s="535" t="n"/>
      <c r="H63" s="535" t="n"/>
      <c r="I63" s="535" t="n"/>
      <c r="J63" s="535" t="n"/>
      <c r="K63" s="535" t="n"/>
      <c r="L63" s="536" t="n"/>
      <c r="M63" s="533" t="n"/>
    </row>
    <row r="64" ht="24" customHeight="1">
      <c r="A64" s="533" t="inlineStr">
        <is>
          <t>Working-capital investment ($m)</t>
        </is>
      </c>
      <c r="B64" s="544">
        <f>IF(ISNUMBER($F$34),$F$34,"")</f>
        <v/>
      </c>
      <c r="C64" s="554" t="n"/>
      <c r="D64" s="554" t="n"/>
      <c r="E64" s="554" t="n"/>
      <c r="F64" s="533">
        <f>IF(ISNUMBER(B64),$G$34,"Manual input required")</f>
        <v/>
      </c>
      <c r="G64" s="535" t="n"/>
      <c r="H64" s="535" t="n"/>
      <c r="I64" s="535" t="n"/>
      <c r="J64" s="535" t="n"/>
      <c r="K64" s="535" t="n"/>
      <c r="L64" s="536" t="n"/>
      <c r="M64" s="533" t="n"/>
    </row>
    <row r="65" ht="24" customHeight="1">
      <c r="A65" s="533" t="inlineStr">
        <is>
          <t>Buyback cash ($m)</t>
        </is>
      </c>
      <c r="B65" s="544">
        <f>IF(ISNUMBER($F$35),$F$35,"")</f>
        <v/>
      </c>
      <c r="C65" s="554" t="n"/>
      <c r="D65" s="554" t="n"/>
      <c r="E65" s="554" t="n"/>
      <c r="F65" s="533">
        <f>IF(ISNUMBER(B65),$G$35,"Manual input required")</f>
        <v/>
      </c>
      <c r="G65" s="535" t="n"/>
      <c r="H65" s="535" t="n"/>
      <c r="I65" s="535" t="n"/>
      <c r="J65" s="535" t="n"/>
      <c r="K65" s="535" t="n"/>
      <c r="L65" s="536" t="n"/>
      <c r="M65" s="533" t="n"/>
    </row>
    <row r="66" ht="24" customHeight="1">
      <c r="A66" s="533" t="inlineStr">
        <is>
          <t>Buyback execution price ($/share)</t>
        </is>
      </c>
      <c r="B66" s="542">
        <f>IFERROR(IF(ISBLANK(INDEX('{ticker}_Investment_Case_Data'!$AI$2:$AI$201,MATCH("market_input|buyback_execution_price",'{ticker}_Investment_Case_Data'!$W$2:$W$201,0))),"",IF(ISNUMBER(INDEX('{ticker}_Investment_Case_Data'!$AI$2:$AI$201,MATCH("market_input|buyback_execution_price",'{ticker}_Investment_Case_Data'!$W$2:$W$201,0))),INDEX('{ticker}_Investment_Case_Data'!$AI$2:$AI$201,MATCH("market_input|buyback_execution_price",'{ticker}_Investment_Case_Data'!$W$2:$W$201,0)),"")),"")</f>
        <v/>
      </c>
      <c r="C66" s="555" t="n"/>
      <c r="D66" s="555" t="n"/>
      <c r="E66" s="555" t="n"/>
      <c r="F66" s="533">
        <f>IF(ISNUMBER(B66),"Model default (TTM)",IF(OR(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manual_only",IFERROR(IF(ISBLANK(INDEX('{ticker}_Investment_Case_Data'!$AW$2:$AW$201,MATCH("market_input|buyback_execution_price",'{ticker}_Investment_Case_Data'!$W$2:$W$201,0))),"",IF(ISTEXT(INDEX('{ticker}_Investment_Case_Data'!$AW$2:$AW$201,MATCH("market_input|buyback_execution_price",'{ticker}_Investment_Case_Data'!$W$2:$W$201,0))),INDEX('{ticker}_Investment_Case_Data'!$AW$2:$AW$201,MATCH("market_input|buyback_execution_price",'{ticker}_Investment_Case_Data'!$W$2:$W$201,0)),"")),"")="historical_context_only"),"Manual input required","Unavailable"))</f>
        <v/>
      </c>
      <c r="G66" s="535" t="n"/>
      <c r="H66" s="535" t="n"/>
      <c r="I66" s="535" t="n"/>
      <c r="J66" s="535" t="n"/>
      <c r="K66" s="535" t="n"/>
      <c r="L66" s="536" t="n"/>
      <c r="M66" s="533" t="n"/>
    </row>
    <row r="67" ht="24" customHeight="1">
      <c r="A67" s="533" t="inlineStr">
        <is>
          <t>Share issuance (m)</t>
        </is>
      </c>
      <c r="B67" s="543">
        <f>IFERROR(IF(ISBLANK(INDEX('{ticker}_Investment_Case_Data'!$AI$2:$AI$201,MATCH("market_input|share_issuance",'{ticker}_Investment_Case_Data'!$W$2:$W$201,0))),"",IF(ISNUMBER(INDEX('{ticker}_Investment_Case_Data'!$AI$2:$AI$201,MATCH("market_input|share_issuance",'{ticker}_Investment_Case_Data'!$W$2:$W$201,0))),INDEX('{ticker}_Investment_Case_Data'!$AI$2:$AI$201,MATCH("market_input|share_issuance",'{ticker}_Investment_Case_Data'!$W$2:$W$201,0)),"")),"")</f>
        <v/>
      </c>
      <c r="C67" s="556" t="n"/>
      <c r="D67" s="556" t="n"/>
      <c r="E67" s="556" t="n"/>
      <c r="F67" s="533">
        <f>IF(ISNUMBER(B67),"Model default (TTM)",IF(OR(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manual_only",IFERROR(IF(ISBLANK(INDEX('{ticker}_Investment_Case_Data'!$AW$2:$AW$201,MATCH("market_input|share_issuance",'{ticker}_Investment_Case_Data'!$W$2:$W$201,0))),"",IF(ISTEXT(INDEX('{ticker}_Investment_Case_Data'!$AW$2:$AW$201,MATCH("market_input|share_issuance",'{ticker}_Investment_Case_Data'!$W$2:$W$201,0))),INDEX('{ticker}_Investment_Case_Data'!$AW$2:$AW$201,MATCH("market_input|share_issuance",'{ticker}_Investment_Case_Data'!$W$2:$W$201,0)),"")),"")="historical_context_only"),"Manual input required","Unavailable"))</f>
        <v/>
      </c>
      <c r="G67" s="535" t="n"/>
      <c r="H67" s="535" t="n"/>
      <c r="I67" s="535" t="n"/>
      <c r="J67" s="535" t="n"/>
      <c r="K67" s="535" t="n"/>
      <c r="L67" s="536" t="n"/>
      <c r="M67" s="533" t="n"/>
    </row>
    <row r="68" ht="24" customHeight="1">
      <c r="A68" s="533" t="inlineStr">
        <is>
          <t>Net cash / debt ($m)</t>
        </is>
      </c>
      <c r="B68" s="544">
        <f>IF(ISNUMBER($F$19),$F$19,"")</f>
        <v/>
      </c>
      <c r="C68" s="554" t="n"/>
      <c r="D68" s="554" t="n"/>
      <c r="E68" s="554" t="n"/>
      <c r="F68" s="533">
        <f>IF(ISNUMBER(B68),$G$19,"Manual input required")</f>
        <v/>
      </c>
      <c r="G68" s="535" t="n"/>
      <c r="H68" s="535" t="n"/>
      <c r="I68" s="535" t="n"/>
      <c r="J68" s="535" t="n"/>
      <c r="K68" s="535" t="n"/>
      <c r="L68" s="536" t="n"/>
      <c r="M68" s="533" t="n"/>
    </row>
    <row r="69" ht="21" customHeight="1">
      <c r="A69" s="533" t="inlineStr">
        <is>
          <t>Selected scenario</t>
        </is>
      </c>
      <c r="B69" s="549" t="n"/>
      <c r="C69" s="533" t="inlineStr">
        <is>
          <t>Blank selection uses Base</t>
        </is>
      </c>
      <c r="D69" s="533" t="n"/>
      <c r="E69" s="533" t="n"/>
      <c r="F69" s="533" t="n"/>
      <c r="G69" s="533" t="n"/>
      <c r="H69" s="533" t="n"/>
      <c r="I69" s="533" t="n"/>
      <c r="J69" s="533" t="n"/>
      <c r="K69" s="533" t="n"/>
      <c r="L69" s="533" t="n"/>
      <c r="M69" s="533" t="n"/>
    </row>
    <row r="70" ht="21" customHeight="1">
      <c r="A70" s="546" t="n"/>
      <c r="B70" s="546" t="n"/>
      <c r="C70" s="546" t="n"/>
      <c r="D70" s="546" t="n"/>
      <c r="E70" s="546" t="n"/>
      <c r="F70" s="546" t="n"/>
      <c r="G70" s="546" t="n"/>
      <c r="H70" s="546" t="n"/>
      <c r="I70" s="546" t="n"/>
      <c r="J70" s="546" t="n"/>
      <c r="K70" s="546" t="n"/>
      <c r="L70" s="546" t="n"/>
      <c r="M70" s="546" t="n"/>
    </row>
    <row r="71" ht="26" customHeight="1">
      <c r="A71" s="527" t="inlineStr">
        <is>
          <t>Selected Scenario Incremental Bridge</t>
        </is>
      </c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  <c r="L71" s="47" t="n"/>
      <c r="M71" s="46" t="n"/>
    </row>
    <row r="72" ht="28" customHeight="1">
      <c r="A72" s="537" t="inlineStr">
        <is>
          <t>Metric / effect</t>
        </is>
      </c>
      <c r="B72" s="537" t="inlineStr">
        <is>
          <t>Current baseline</t>
        </is>
      </c>
      <c r="C72" s="537" t="inlineStr">
        <is>
          <t>Selected scenario</t>
        </is>
      </c>
      <c r="D72" s="537" t="inlineStr">
        <is>
          <t>Incremental change</t>
        </is>
      </c>
      <c r="E72" s="537" t="inlineStr">
        <is>
          <t>Resulting output</t>
        </is>
      </c>
      <c r="F72" s="537" t="n"/>
      <c r="G72" s="537" t="n"/>
      <c r="H72" s="537" t="n"/>
      <c r="I72" s="537" t="n"/>
      <c r="J72" s="537" t="n"/>
      <c r="K72" s="537" t="n"/>
      <c r="L72" s="537" t="n"/>
      <c r="M72" s="537" t="n"/>
    </row>
    <row r="73" ht="24" customHeight="1">
      <c r="A73" s="533" t="inlineStr">
        <is>
          <t>Revenue growth (%)</t>
        </is>
      </c>
      <c r="B73" s="545">
        <f>IF(ISNUMBER($B$86),$B$86,"")</f>
        <v/>
      </c>
      <c r="C73" s="545">
        <f>IF(ISNUMBER(INDEX($C$86:$E$86,1,MATCH(IF($B$69="","Base",$B$69),$C$83:$E$83,0))),INDEX($C$86:$E$86,1,MATCH(IF($B$69="","Base",$B$69),$C$83:$E$83,0)),"")</f>
        <v/>
      </c>
      <c r="D73" s="545">
        <f>IF(NOT(ISNUMBER($B$86)),"",IF(NOT(ISNUMBER(INDEX($C$86:$E$86,1,MATCH(IF($B$69="","Base",$B$69),$C$83:$E$83,0)))),"",INDEX($C$86:$E$86,1,MATCH(IF($B$69="","Base",$B$69),$C$83:$E$83,0))-$B$86))</f>
        <v/>
      </c>
      <c r="E73" s="544">
        <f>IF(ISNUMBER(INDEX($C$85:$E$85,1,MATCH(IF($B$69="","Base",$B$69),$C$83:$E$83,0))),INDEX($C$85:$E$85,1,MATCH(IF($B$69="","Base",$B$69),$C$83:$E$83,0)),"")</f>
        <v/>
      </c>
      <c r="F73" s="533" t="n"/>
      <c r="G73" s="533" t="n"/>
      <c r="H73" s="533" t="n"/>
      <c r="I73" s="533" t="n"/>
      <c r="J73" s="533" t="n"/>
      <c r="K73" s="533" t="n"/>
      <c r="L73" s="533" t="n"/>
      <c r="M73" s="533" t="n"/>
    </row>
    <row r="74" ht="24" customHeight="1">
      <c r="A74" s="533" t="inlineStr">
        <is>
          <t>Operating margin (%)</t>
        </is>
      </c>
      <c r="B74" s="545">
        <f>IF(ISNUMBER($B$57),$B$57,"")</f>
        <v/>
      </c>
      <c r="C74" s="545">
        <f>IF(ISNUMBER(IF(INDEX($C$57:$E$57,1,MATCH(IF($B$69="","Base",$B$69),$C$41:$E$41,0))="",$B$57,IF(ISNUMBER(INDEX($C$57:$E$57,1,MATCH(IF($B$69="","Base",$B$69),$C$41:$E$41,0))),INDEX($C$57:$E$57,1,MATCH(IF($B$69="","Base",$B$69),$C$41:$E$41,0)),"Unavailable"))),IF(INDEX($C$57:$E$57,1,MATCH(IF($B$69="","Base",$B$69),$C$41:$E$41,0))="",$B$57,IF(ISNUMBER(INDEX($C$57:$E$57,1,MATCH(IF($B$69="","Base",$B$69),$C$41:$E$41,0))),INDEX($C$57:$E$57,1,MATCH(IF($B$69="","Base",$B$69),$C$41:$E$41,0)),"Unavailable")),"")</f>
        <v/>
      </c>
      <c r="D74" s="545">
        <f>IF(NOT(ISNUMBER($B$57)),"",IF(NOT(ISNUMBER(IF(INDEX($C$57:$E$57,1,MATCH(IF($B$69="","Base",$B$69),$C$41:$E$41,0))="",$B$57,IF(ISNUMBER(INDEX($C$57:$E$57,1,MATCH(IF($B$69="","Base",$B$69),$C$41:$E$41,0))),INDEX($C$57:$E$57,1,MATCH(IF($B$69="","Base",$B$69),$C$41:$E$41,0)),"Unavailable")))),"",IF(INDEX($C$57:$E$57,1,MATCH(IF($B$69="","Base",$B$69),$C$41:$E$41,0))="",$B$57,IF(ISNUMBER(INDEX($C$57:$E$57,1,MATCH(IF($B$69="","Base",$B$69),$C$41:$E$41,0))),INDEX($C$57:$E$57,1,MATCH(IF($B$69="","Base",$B$69),$C$41:$E$41,0)),"Unavailable"))-$B$57))</f>
        <v/>
      </c>
      <c r="E74" s="544">
        <f>IF(ISNUMBER(INDEX($C$89:$E$89,1,MATCH(IF($B$69="","Base",$B$69),$C$83:$E$83,0))),INDEX($C$89:$E$89,1,MATCH(IF($B$69="","Base",$B$69),$C$83:$E$83,0)),"")</f>
        <v/>
      </c>
      <c r="F74" s="533" t="n"/>
      <c r="G74" s="533" t="n"/>
      <c r="H74" s="533" t="n"/>
      <c r="I74" s="533" t="n"/>
      <c r="J74" s="533" t="n"/>
      <c r="K74" s="533" t="n"/>
      <c r="L74" s="533" t="n"/>
      <c r="M74" s="533" t="n"/>
    </row>
    <row r="75" ht="24" customHeight="1">
      <c r="A75" s="533" t="inlineStr">
        <is>
          <t>Capital expenditure ($m)</t>
        </is>
      </c>
      <c r="B75" s="544">
        <f>IF(ISNUMBER($B$63),$B$63,"")</f>
        <v/>
      </c>
      <c r="C75" s="544">
        <f>IF(ISNUMBER(IF(INDEX($C$63:$E$63,1,MATCH(IF($B$69="","Base",$B$69),$C$41:$E$41,0))="",$B$63,IF(ISNUMBER(INDEX($C$63:$E$63,1,MATCH(IF($B$69="","Base",$B$69),$C$41:$E$41,0))),INDEX($C$63:$E$63,1,MATCH(IF($B$69="","Base",$B$69),$C$41:$E$41,0)),"Unavailable"))),IF(INDEX($C$63:$E$63,1,MATCH(IF($B$69="","Base",$B$69),$C$41:$E$41,0))="",$B$63,IF(ISNUMBER(INDEX($C$63:$E$63,1,MATCH(IF($B$69="","Base",$B$69),$C$41:$E$41,0))),INDEX($C$63:$E$63,1,MATCH(IF($B$69="","Base",$B$69),$C$41:$E$41,0)),"Unavailable")),"")</f>
        <v/>
      </c>
      <c r="D75" s="544">
        <f>IF(NOT(ISNUMBER($B$63)),"",IF(NOT(ISNUMBER(IF(INDEX($C$63:$E$63,1,MATCH(IF($B$69="","Base",$B$69),$C$41:$E$41,0))="",$B$63,IF(ISNUMBER(INDEX($C$63:$E$63,1,MATCH(IF($B$69="","Base",$B$69),$C$41:$E$41,0))),INDEX($C$63:$E$63,1,MATCH(IF($B$69="","Base",$B$69),$C$41:$E$41,0)),"Unavailable")))),"",IF(INDEX($C$63:$E$63,1,MATCH(IF($B$69="","Base",$B$69),$C$41:$E$41,0))="",$B$63,IF(ISNUMBER(INDEX($C$63:$E$63,1,MATCH(IF($B$69="","Base",$B$69),$C$41:$E$41,0))),INDEX($C$63:$E$63,1,MATCH(IF($B$69="","Base",$B$69),$C$41:$E$41,0)),"Unavailable"))-$B$63))</f>
        <v/>
      </c>
      <c r="E75" s="544">
        <f>IF(ISNUMBER(INDEX($C$94:$E$94,1,MATCH(IF($B$69="","Base",$B$69),$C$83:$E$83,0))),INDEX($C$94:$E$94,1,MATCH(IF($B$69="","Base",$B$69),$C$83:$E$83,0)),"")</f>
        <v/>
      </c>
      <c r="F75" s="533" t="n"/>
      <c r="G75" s="533" t="n"/>
      <c r="H75" s="533" t="n"/>
      <c r="I75" s="533" t="n"/>
      <c r="J75" s="533" t="n"/>
      <c r="K75" s="533" t="n"/>
      <c r="L75" s="533" t="n"/>
      <c r="M75" s="533" t="n"/>
    </row>
    <row r="76" ht="24" customHeight="1">
      <c r="A76" s="533" t="inlineStr">
        <is>
          <t>Diluted shares (m)</t>
        </is>
      </c>
      <c r="B76" s="543">
        <f>IF(ISNUMBER($B$95),$B$95,"")</f>
        <v/>
      </c>
      <c r="C76" s="543">
        <f>IF(ISNUMBER(INDEX($C$95:$E$95,1,MATCH(IF($B$69="","Base",$B$69),$C$83:$E$83,0))),INDEX($C$95:$E$95,1,MATCH(IF($B$69="","Base",$B$69),$C$83:$E$83,0)),"")</f>
        <v/>
      </c>
      <c r="D76" s="543">
        <f>IF(NOT(ISNUMBER($B$95)),"",IF(NOT(ISNUMBER(INDEX($C$95:$E$95,1,MATCH(IF($B$69="","Base",$B$69),$C$83:$E$83,0)))),"",INDEX($C$95:$E$95,1,MATCH(IF($B$69="","Base",$B$69),$C$83:$E$83,0))-$B$95))</f>
        <v/>
      </c>
      <c r="E76" s="543">
        <f>IF(ISNUMBER(INDEX($C$95:$E$95,1,MATCH(IF($B$69="","Base",$B$69),$C$83:$E$83,0))),INDEX($C$95:$E$95,1,MATCH(IF($B$69="","Base",$B$69),$C$83:$E$83,0)),"")</f>
        <v/>
      </c>
      <c r="F76" s="533" t="n"/>
      <c r="G76" s="533" t="n"/>
      <c r="H76" s="533" t="n"/>
      <c r="I76" s="533" t="n"/>
      <c r="J76" s="533" t="n"/>
      <c r="K76" s="533" t="n"/>
      <c r="L76" s="533" t="n"/>
      <c r="M76" s="533" t="n"/>
    </row>
    <row r="77" ht="24" customHeight="1">
      <c r="A77" s="533" t="inlineStr">
        <is>
          <t>Revenue ($m)</t>
        </is>
      </c>
      <c r="B77" s="544">
        <f>IF(ISNUMBER($B$85),$B$85,"")</f>
        <v/>
      </c>
      <c r="C77" s="544">
        <f>IF(ISNUMBER(INDEX($C$85:$E$85,1,MATCH(IF($B$69="","Base",$B$69),$C$83:$E$83,0))),INDEX($C$85:$E$85,1,MATCH(IF($B$69="","Base",$B$69),$C$83:$E$83,0)),"")</f>
        <v/>
      </c>
      <c r="D77" s="544">
        <f>IF(NOT(ISNUMBER($B$85)),"",IF(NOT(ISNUMBER(INDEX($C$85:$E$85,1,MATCH(IF($B$69="","Base",$B$69),$C$83:$E$83,0)))),"",INDEX($C$85:$E$85,1,MATCH(IF($B$69="","Base",$B$69),$C$83:$E$83,0))-$B$85))</f>
        <v/>
      </c>
      <c r="E77" s="544">
        <f>IF(ISNUMBER(INDEX($C$85:$E$85,1,MATCH(IF($B$69="","Base",$B$69),$C$83:$E$83,0))),INDEX($C$85:$E$85,1,MATCH(IF($B$69="","Base",$B$69),$C$83:$E$83,0)),"")</f>
        <v/>
      </c>
      <c r="F77" s="533" t="n"/>
      <c r="G77" s="533" t="n"/>
      <c r="H77" s="533" t="n"/>
      <c r="I77" s="533" t="n"/>
      <c r="J77" s="533" t="n"/>
      <c r="K77" s="533" t="n"/>
      <c r="L77" s="533" t="n"/>
      <c r="M77" s="533" t="n"/>
    </row>
    <row r="78" ht="24" customHeight="1">
      <c r="A78" s="533" t="inlineStr">
        <is>
          <t>Operating income ($m)</t>
        </is>
      </c>
      <c r="B78" s="544">
        <f>IF(ISNUMBER($B$89),$B$89,"")</f>
        <v/>
      </c>
      <c r="C78" s="544">
        <f>IF(ISNUMBER(INDEX($C$89:$E$89,1,MATCH(IF($B$69="","Base",$B$69),$C$83:$E$83,0))),INDEX($C$89:$E$89,1,MATCH(IF($B$69="","Base",$B$69),$C$83:$E$83,0)),"")</f>
        <v/>
      </c>
      <c r="D78" s="544">
        <f>IF(NOT(ISNUMBER($B$89)),"",IF(NOT(ISNUMBER(INDEX($C$89:$E$89,1,MATCH(IF($B$69="","Base",$B$69),$C$83:$E$83,0)))),"",INDEX($C$89:$E$89,1,MATCH(IF($B$69="","Base",$B$69),$C$83:$E$83,0))-$B$89))</f>
        <v/>
      </c>
      <c r="E78" s="544">
        <f>IF(ISNUMBER(INDEX($C$89:$E$89,1,MATCH(IF($B$69="","Base",$B$69),$C$83:$E$83,0))),INDEX($C$89:$E$89,1,MATCH(IF($B$69="","Base",$B$69),$C$83:$E$83,0)),"")</f>
        <v/>
      </c>
      <c r="F78" s="533" t="n"/>
      <c r="G78" s="533" t="n"/>
      <c r="H78" s="533" t="n"/>
      <c r="I78" s="533" t="n"/>
      <c r="J78" s="533" t="n"/>
      <c r="K78" s="533" t="n"/>
      <c r="L78" s="533" t="n"/>
      <c r="M78" s="533" t="n"/>
    </row>
    <row r="79" ht="24" customHeight="1">
      <c r="A79" s="533" t="inlineStr">
        <is>
          <t>FCF ($m)</t>
        </is>
      </c>
      <c r="B79" s="544">
        <f>IF(ISNUMBER($B$94),$B$94,"")</f>
        <v/>
      </c>
      <c r="C79" s="544">
        <f>IF(ISNUMBER(INDEX($C$94:$E$94,1,MATCH(IF($B$69="","Base",$B$69),$C$83:$E$83,0))),INDEX($C$94:$E$94,1,MATCH(IF($B$69="","Base",$B$69),$C$83:$E$83,0)),"")</f>
        <v/>
      </c>
      <c r="D79" s="544">
        <f>IF(NOT(ISNUMBER($B$94)),"",IF(NOT(ISNUMBER(INDEX($C$94:$E$94,1,MATCH(IF($B$69="","Base",$B$69),$C$83:$E$83,0)))),"",INDEX($C$94:$E$94,1,MATCH(IF($B$69="","Base",$B$69),$C$83:$E$83,0))-$B$94))</f>
        <v/>
      </c>
      <c r="E79" s="544">
        <f>IF(ISNUMBER(INDEX($C$94:$E$94,1,MATCH(IF($B$69="","Base",$B$69),$C$83:$E$83,0))),INDEX($C$94:$E$94,1,MATCH(IF($B$69="","Base",$B$69),$C$83:$E$83,0)),"")</f>
        <v/>
      </c>
      <c r="F79" s="533" t="n"/>
      <c r="G79" s="533" t="n"/>
      <c r="H79" s="533" t="n"/>
      <c r="I79" s="533" t="n"/>
      <c r="J79" s="533" t="n"/>
      <c r="K79" s="533" t="n"/>
      <c r="L79" s="533" t="n"/>
      <c r="M79" s="533" t="n"/>
    </row>
    <row r="80" ht="24" customHeight="1">
      <c r="A80" s="533" t="inlineStr">
        <is>
          <t>GAAP diluted EPS ($/share)</t>
        </is>
      </c>
      <c r="B80" s="542">
        <f>IF(ISNUMBER($B$98),$B$98,"")</f>
        <v/>
      </c>
      <c r="C80" s="542">
        <f>IF(ISNUMBER(INDEX($C$98:$E$98,1,MATCH(IF($B$69="","Base",$B$69),$C$83:$E$83,0))),INDEX($C$98:$E$98,1,MATCH(IF($B$69="","Base",$B$69),$C$83:$E$83,0)),"")</f>
        <v/>
      </c>
      <c r="D80" s="542">
        <f>IF(NOT(ISNUMBER($B$98)),"",IF(NOT(ISNUMBER(INDEX($C$98:$E$98,1,MATCH(IF($B$69="","Base",$B$69),$C$83:$E$83,0)))),"",INDEX($C$98:$E$98,1,MATCH(IF($B$69="","Base",$B$69),$C$83:$E$83,0))-$B$98))</f>
        <v/>
      </c>
      <c r="E80" s="542">
        <f>IF(ISNUMBER(INDEX($C$98:$E$98,1,MATCH(IF($B$69="","Base",$B$69),$C$83:$E$83,0))),INDEX($C$98:$E$98,1,MATCH(IF($B$69="","Base",$B$69),$C$83:$E$83,0)),"")</f>
        <v/>
      </c>
      <c r="F80" s="533" t="n"/>
      <c r="G80" s="533" t="n"/>
      <c r="H80" s="533" t="n"/>
      <c r="I80" s="533" t="n"/>
      <c r="J80" s="533" t="n"/>
      <c r="K80" s="533" t="n"/>
      <c r="L80" s="533" t="n"/>
      <c r="M80" s="533" t="n"/>
    </row>
    <row r="81" ht="36" customHeight="1">
      <c r="A81" s="534" t="inlineStr">
        <is>
          <t>The bridge shows total selected-scenario changes. Effects are not presented as independent contributions when drivers interact.</t>
        </is>
      </c>
      <c r="B81" s="535" t="n"/>
      <c r="C81" s="535" t="n"/>
      <c r="D81" s="535" t="n"/>
      <c r="E81" s="535" t="n"/>
      <c r="F81" s="535" t="n"/>
      <c r="G81" s="535" t="n"/>
      <c r="H81" s="535" t="n"/>
      <c r="I81" s="535" t="n"/>
      <c r="J81" s="535" t="n"/>
      <c r="K81" s="535" t="n"/>
      <c r="L81" s="535" t="n"/>
      <c r="M81" s="536" t="n"/>
    </row>
    <row r="82" ht="26" customHeight="1">
      <c r="A82" s="527" t="inlineStr">
        <is>
          <t>Scenario Output Comparison</t>
        </is>
      </c>
      <c r="B82" s="47" t="n"/>
      <c r="C82" s="47" t="n"/>
      <c r="D82" s="47" t="n"/>
      <c r="E82" s="47" t="n"/>
      <c r="F82" s="47" t="n"/>
      <c r="G82" s="47" t="n"/>
      <c r="H82" s="47" t="n"/>
      <c r="I82" s="47" t="n"/>
      <c r="J82" s="47" t="n"/>
      <c r="K82" s="47" t="n"/>
      <c r="L82" s="47" t="n"/>
      <c r="M82" s="46" t="n"/>
    </row>
    <row r="83" ht="28" customHeight="1">
      <c r="A83" s="537" t="inlineStr">
        <is>
          <t>Output</t>
        </is>
      </c>
      <c r="B83" s="537" t="inlineStr">
        <is>
          <t>Current baseline</t>
        </is>
      </c>
      <c r="C83" s="537" t="inlineStr">
        <is>
          <t>Bear</t>
        </is>
      </c>
      <c r="D83" s="537" t="inlineStr">
        <is>
          <t>Base</t>
        </is>
      </c>
      <c r="E83" s="537" t="inlineStr">
        <is>
          <t>Bull</t>
        </is>
      </c>
      <c r="F83" s="537" t="n"/>
      <c r="G83" s="537" t="n"/>
      <c r="H83" s="537" t="n"/>
      <c r="I83" s="537" t="n"/>
      <c r="J83" s="537" t="n"/>
      <c r="K83" s="537" t="n"/>
      <c r="L83" s="537" t="n"/>
      <c r="M83" s="537" t="n"/>
    </row>
    <row r="84" ht="22" customHeight="1">
      <c r="A84" s="541" t="inlineStr">
        <is>
          <t>Operating Results</t>
        </is>
      </c>
      <c r="B84" s="541" t="n"/>
      <c r="C84" s="541" t="n"/>
      <c r="D84" s="541" t="n"/>
      <c r="E84" s="541" t="n"/>
      <c r="F84" s="541" t="n"/>
      <c r="G84" s="541" t="n"/>
      <c r="H84" s="541" t="n"/>
      <c r="I84" s="541" t="n"/>
      <c r="J84" s="541" t="n"/>
      <c r="K84" s="541" t="n"/>
      <c r="L84" s="541" t="n"/>
      <c r="M84" s="541" t="n"/>
    </row>
    <row r="85" ht="23" customHeight="1">
      <c r="A85" s="533" t="inlineStr">
        <is>
          <t>Revenue ($m)</t>
        </is>
      </c>
      <c r="B85" s="544">
        <f>IF(ISNUMBER($F$21),$F$21,"")</f>
        <v/>
      </c>
      <c r="C85" s="544">
        <f>IF(NOT(ISNUMBER($F$21)),"",IF(NOT(ISNUMBER($F$22)),"",IF(NOT(ISNUMBER(IF(LOWER(IF($B$42="","Total Company",$B$42))="total company",IF($C$45="",$B$45,IF(ISNUMBER($C$45),$C$45,"Unavailable")),$B$45))),"",$F$21*(1+IF(LOWER(IF($B$42="","Total Company",$B$42))="total company",IF($C$45="",$B$45,IF(ISNUMBER($C$45),$C$45,"Unavailable")),$B$45)-$F$22)+IF(LOWER(IF($B$42="","Total Company",$B$42))="total company",0,IF(LOWER(IF($B$42="","Total Company",$B$42))=LOWER($A$46),IF(ISNUMBER($B$47),IF(ISNUMBER($C$47),$B$47*$C$47,0),0),0)+IF(LOWER(IF($B$42="","Total Company",$B$42))=LOWER($A$46),IF(ISNUMBER($B$48),IF(ISNUMBER($C$48),$B$48*$C$48,0),0),0)+IF(LOWER(IF($B$42="","Total Company",$B$42))=LOWER($A$49),IF(ISNUMBER($B$50),IF(ISNUMBER($C$50),$B$50*$C$50,0),0),0)+IF(LOWER(IF($B$42="","Total Company",$B$42))=LOWER($A$49),IF(ISNUMBER($B$51),IF(ISNUMBER($C$51),$B$51*$C$51,0),0),0)+IF(LOWER(IF($B$42="","Total Company",$B$42))=LOWER($A$49),IF(ISNUMBER($B$52),IF(ISNUMBER($C$52),$B$52*$C$52,0),0),0)))))</f>
        <v/>
      </c>
      <c r="D85" s="544">
        <f>IF(NOT(ISNUMBER($F$21)),"",IF(NOT(ISNUMBER($F$22)),"",IF(NOT(ISNUMBER(IF(LOWER(IF($B$42="","Total Company",$B$42))="total company",IF($D$45="",$B$45,IF(ISNUMBER($D$45),$D$45,"Unavailable")),$B$45))),"",$F$21*(1+IF(LOWER(IF($B$42="","Total Company",$B$42))="total company",IF($D$45="",$B$45,IF(ISNUMBER($D$45),$D$45,"Unavailable")),$B$45)-$F$22)+IF(LOWER(IF($B$42="","Total Company",$B$42))="total company",0,IF(LOWER(IF($B$42="","Total Company",$B$42))=LOWER($A$46),IF(ISNUMBER($B$47),IF(ISNUMBER($D$47),$B$47*$D$47,0),0),0)+IF(LOWER(IF($B$42="","Total Company",$B$42))=LOWER($A$46),IF(ISNUMBER($B$48),IF(ISNUMBER($D$48),$B$48*$D$48,0),0),0)+IF(LOWER(IF($B$42="","Total Company",$B$42))=LOWER($A$49),IF(ISNUMBER($B$50),IF(ISNUMBER($D$50),$B$50*$D$50,0),0),0)+IF(LOWER(IF($B$42="","Total Company",$B$42))=LOWER($A$49),IF(ISNUMBER($B$51),IF(ISNUMBER($D$51),$B$51*$D$51,0),0),0)+IF(LOWER(IF($B$42="","Total Company",$B$42))=LOWER($A$49),IF(ISNUMBER($B$52),IF(ISNUMBER($D$52),$B$52*$D$52,0),0),0)))))</f>
        <v/>
      </c>
      <c r="E85" s="544">
        <f>IF(NOT(ISNUMBER($F$21)),"",IF(NOT(ISNUMBER($F$22)),"",IF(NOT(ISNUMBER(IF(LOWER(IF($B$42="","Total Company",$B$42))="total company",IF($E$45="",$B$45,IF(ISNUMBER($E$45),$E$45,"Unavailable")),$B$45))),"",$F$21*(1+IF(LOWER(IF($B$42="","Total Company",$B$42))="total company",IF($E$45="",$B$45,IF(ISNUMBER($E$45),$E$45,"Unavailable")),$B$45)-$F$22)+IF(LOWER(IF($B$42="","Total Company",$B$42))="total company",0,IF(LOWER(IF($B$42="","Total Company",$B$42))=LOWER($A$46),IF(ISNUMBER($B$47),IF(ISNUMBER($E$47),$B$47*$E$47,0),0),0)+IF(LOWER(IF($B$42="","Total Company",$B$42))=LOWER($A$46),IF(ISNUMBER($B$48),IF(ISNUMBER($E$48),$B$48*$E$48,0),0),0)+IF(LOWER(IF($B$42="","Total Company",$B$42))=LOWER($A$49),IF(ISNUMBER($B$50),IF(ISNUMBER($E$50),$B$50*$E$50,0),0),0)+IF(LOWER(IF($B$42="","Total Company",$B$42))=LOWER($A$49),IF(ISNUMBER($B$51),IF(ISNUMBER($E$51),$B$51*$E$51,0),0),0)+IF(LOWER(IF($B$42="","Total Company",$B$42))=LOWER($A$49),IF(ISNUMBER($B$52),IF(ISNUMBER($E$52),$B$52*$E$52,0),0),0)))))</f>
        <v/>
      </c>
      <c r="F85" s="550" t="n"/>
      <c r="G85" s="557" t="n"/>
      <c r="H85" s="557" t="n"/>
      <c r="I85" s="557" t="n"/>
      <c r="J85" s="533" t="n"/>
      <c r="K85" s="533" t="n"/>
      <c r="L85" s="533" t="n"/>
      <c r="M85" s="533" t="n"/>
    </row>
    <row r="86" ht="23" customHeight="1">
      <c r="A86" s="533" t="inlineStr">
        <is>
          <t>Revenue growth (%)</t>
        </is>
      </c>
      <c r="B86" s="545">
        <f>IF(ISNUMBER($F$22),$F$22,"")</f>
        <v/>
      </c>
      <c r="C86" s="545">
        <f>IF(NOT(ISNUMBER(C85)),"",IF(NOT(ISNUMBER($F$21)),"",IF(NOT(ISNUMBER($F$22)),"",IF($F$21=0,"",IF(1+$F$22=0,"",C85/($F$21/(1+$F$22))-1)))))</f>
        <v/>
      </c>
      <c r="D86" s="545">
        <f>IF(NOT(ISNUMBER(D85)),"",IF(NOT(ISNUMBER($F$21)),"",IF(NOT(ISNUMBER($F$22)),"",IF($F$21=0,"",IF(1+$F$22=0,"",D85/($F$21/(1+$F$22))-1)))))</f>
        <v/>
      </c>
      <c r="E86" s="545">
        <f>IF(NOT(ISNUMBER(E85)),"",IF(NOT(ISNUMBER($F$21)),"",IF(NOT(ISNUMBER($F$22)),"",IF($F$21=0,"",IF(1+$F$22=0,"",E85/($F$21/(1+$F$22))-1)))))</f>
        <v/>
      </c>
      <c r="F86" s="550" t="n"/>
      <c r="G86" s="557" t="n"/>
      <c r="H86" s="557" t="n"/>
      <c r="I86" s="557" t="n"/>
      <c r="J86" s="533" t="n"/>
      <c r="K86" s="533" t="n"/>
      <c r="L86" s="533" t="n"/>
      <c r="M86" s="533" t="n"/>
    </row>
    <row r="87" ht="23" customHeight="1">
      <c r="A87" s="533" t="inlineStr">
        <is>
          <t>Gross margin (%)</t>
        </is>
      </c>
      <c r="B87" s="545">
        <f>IF(ISNUMBER($B$56),$B$56,"")</f>
        <v/>
      </c>
      <c r="C87" s="545">
        <f>IF(ISNUMBER(IF($C$56="",$B$56,IF(ISNUMBER($C$56),$C$56,"Unavailable"))),IF($C$56="",$B$56,IF(ISNUMBER($C$56),$C$56,"Unavailable")),"")</f>
        <v/>
      </c>
      <c r="D87" s="545">
        <f>IF(ISNUMBER(IF($D$56="",$B$56,IF(ISNUMBER($D$56),$D$56,"Unavailable"))),IF($D$56="",$B$56,IF(ISNUMBER($D$56),$D$56,"Unavailable")),"")</f>
        <v/>
      </c>
      <c r="E87" s="545">
        <f>IF(ISNUMBER(IF($E$56="",$B$56,IF(ISNUMBER($E$56),$E$56,"Unavailable"))),IF($E$56="",$B$56,IF(ISNUMBER($E$56),$E$56,"Unavailable")),"")</f>
        <v/>
      </c>
      <c r="F87" s="550" t="n"/>
      <c r="G87" s="557" t="n"/>
      <c r="H87" s="557" t="n"/>
      <c r="I87" s="557" t="n"/>
      <c r="J87" s="533" t="n"/>
      <c r="K87" s="533" t="n"/>
      <c r="L87" s="533" t="n"/>
      <c r="M87" s="533" t="n"/>
    </row>
    <row r="88" ht="23" customHeight="1">
      <c r="A88" s="533" t="inlineStr">
        <is>
          <t>Operating margin (%)</t>
        </is>
      </c>
      <c r="B88" s="545">
        <f>IF(ISNUMBER($B$57),$B$57,"")</f>
        <v/>
      </c>
      <c r="C88" s="545">
        <f>IF(ISNUMBER(IF($C$57="",$B$57,IF(ISNUMBER($C$57),$C$57,"Unavailable"))),IF($C$57="",$B$57,IF(ISNUMBER($C$57),$C$57,"Unavailable")),"")</f>
        <v/>
      </c>
      <c r="D88" s="545">
        <f>IF(ISNUMBER(IF($D$57="",$B$57,IF(ISNUMBER($D$57),$D$57,"Unavailable"))),IF($D$57="",$B$57,IF(ISNUMBER($D$57),$D$57,"Unavailable")),"")</f>
        <v/>
      </c>
      <c r="E88" s="545">
        <f>IF(ISNUMBER(IF($E$57="",$B$57,IF(ISNUMBER($E$57),$E$57,"Unavailable"))),IF($E$57="",$B$57,IF(ISNUMBER($E$57),$E$57,"Unavailable")),"")</f>
        <v/>
      </c>
      <c r="F88" s="533" t="n"/>
      <c r="G88" s="533" t="n"/>
      <c r="H88" s="533" t="n"/>
      <c r="I88" s="533" t="n"/>
      <c r="J88" s="533" t="n"/>
      <c r="K88" s="533" t="n"/>
      <c r="L88" s="533" t="n"/>
      <c r="M88" s="533" t="n"/>
    </row>
    <row r="89" ht="23" customHeight="1">
      <c r="A89" s="533" t="inlineStr">
        <is>
          <t>Operating income ($m)</t>
        </is>
      </c>
      <c r="B89" s="544">
        <f>IF(NOT(ISNUMBER(B85)),"",IF(NOT(ISNUMBER(B88)),"",B85*B88))</f>
        <v/>
      </c>
      <c r="C89" s="544">
        <f>IF(NOT(ISNUMBER(C85)),"",IF(NOT(ISNUMBER(C88)),"",C85*C88))</f>
        <v/>
      </c>
      <c r="D89" s="544">
        <f>IF(NOT(ISNUMBER(D85)),"",IF(NOT(ISNUMBER(D88)),"",D85*D88))</f>
        <v/>
      </c>
      <c r="E89" s="544">
        <f>IF(NOT(ISNUMBER(E85)),"",IF(NOT(ISNUMBER(E88)),"",E85*E88))</f>
        <v/>
      </c>
      <c r="F89" s="533" t="n"/>
      <c r="G89" s="533" t="n"/>
      <c r="H89" s="533" t="n"/>
      <c r="I89" s="533" t="n"/>
      <c r="J89" s="533" t="n"/>
      <c r="K89" s="533" t="n"/>
      <c r="L89" s="533" t="n"/>
      <c r="M89" s="533" t="n"/>
    </row>
    <row r="90" ht="23" customHeight="1">
      <c r="A90" s="533" t="inlineStr">
        <is>
          <t>Base EBITDA ($m)</t>
        </is>
      </c>
      <c r="B90" s="544">
        <f>IF(NOT(ISNUMBER(B85)),"",IF(NOT(ISNUMBER($B$58)),"",B85*$B$58))</f>
        <v/>
      </c>
      <c r="C90" s="544">
        <f>IF(NOT(ISNUMBER(C85)),"",IF(NOT(ISNUMBER(IF($C$58="",$B$58,IF(ISNUMBER($C$58),$C$58,"Unavailable")))),"",C85*IF($C$58="",$B$58,IF(ISNUMBER($C$58),$C$58,"Unavailable"))))</f>
        <v/>
      </c>
      <c r="D90" s="544">
        <f>IF(NOT(ISNUMBER(D85)),"",IF(NOT(ISNUMBER(IF($D$58="",$B$58,IF(ISNUMBER($D$58),$D$58,"Unavailable")))),"",D85*IF($D$58="",$B$58,IF(ISNUMBER($D$58),$D$58,"Unavailable"))))</f>
        <v/>
      </c>
      <c r="E90" s="544">
        <f>IF(NOT(ISNUMBER(E85)),"",IF(NOT(ISNUMBER(IF($E$58="",$B$58,IF(ISNUMBER($E$58),$E$58,"Unavailable")))),"",E85*IF($E$58="",$B$58,IF(ISNUMBER($E$58),$E$58,"Unavailable"))))</f>
        <v/>
      </c>
      <c r="F90" s="533" t="n"/>
      <c r="G90" s="533" t="n"/>
      <c r="H90" s="533" t="n"/>
      <c r="I90" s="533" t="n"/>
      <c r="J90" s="533" t="n"/>
      <c r="K90" s="533" t="n"/>
      <c r="L90" s="533" t="n"/>
      <c r="M90" s="533" t="n"/>
    </row>
    <row r="91" ht="23" customHeight="1">
      <c r="A91" s="533" t="inlineStr">
        <is>
          <t>Adjusted EBITDA ($m)</t>
        </is>
      </c>
      <c r="B91" s="544">
        <f>IF(NOT(ISNUMBER(B85)),"",IF(NOT(ISNUMBER($B$59)),"",B85*$B$59))</f>
        <v/>
      </c>
      <c r="C91" s="544">
        <f>IF(NOT(ISNUMBER(C85)),"",IF(NOT(ISNUMBER(IF($C$59="",$B$59,IF(ISNUMBER($C$59),$C$59,"Unavailable")))),"",C85*IF($C$59="",$B$59,IF(ISNUMBER($C$59),$C$59,"Unavailable"))))</f>
        <v/>
      </c>
      <c r="D91" s="544">
        <f>IF(NOT(ISNUMBER(D85)),"",IF(NOT(ISNUMBER(IF($D$59="",$B$59,IF(ISNUMBER($D$59),$D$59,"Unavailable")))),"",D85*IF($D$59="",$B$59,IF(ISNUMBER($D$59),$D$59,"Unavailable"))))</f>
        <v/>
      </c>
      <c r="E91" s="544">
        <f>IF(NOT(ISNUMBER(E85)),"",IF(NOT(ISNUMBER(IF($E$59="",$B$59,IF(ISNUMBER($E$59),$E$59,"Unavailable")))),"",E85*IF($E$59="",$B$59,IF(ISNUMBER($E$59),$E$59,"Unavailable"))))</f>
        <v/>
      </c>
      <c r="F91" s="533" t="n"/>
      <c r="G91" s="533" t="n"/>
      <c r="H91" s="533" t="n"/>
      <c r="I91" s="533" t="n"/>
      <c r="J91" s="533" t="n"/>
      <c r="K91" s="533" t="n"/>
      <c r="L91" s="533" t="n"/>
      <c r="M91" s="533" t="n"/>
    </row>
    <row r="92" ht="23" customHeight="1">
      <c r="A92" s="533" t="inlineStr">
        <is>
          <t>GAAP net income ($m)</t>
        </is>
      </c>
      <c r="B92" s="544">
        <f>IF(ISNUMBER($F$29),$F$29,"")</f>
        <v/>
      </c>
      <c r="C92" s="544">
        <f>IF(NOT(ISNUMBER(C89)),"",IF(NOT(ISNUMBER($F$21)),"",IF(NOT(ISNUMBER($F$24)),"",IF(NOT(ISNUMBER($F$29)),"",IF(ABS(C89-$F$21*$F$24)&lt;0.0000001,$F$29,IF(NOT(ISNUMBER(IF($C$60="",$B$60,IF(ISNUMBER($C$60),$C$60,"Unavailable")))),"",IF(IF($C$60="",$B$60,IF(ISNUMBER($C$60),$C$60,"Unavailable"))&lt;0,"",IF(IF($C$60="",$B$60,IF(ISNUMBER($C$60),$C$60,"Unavailable"))&gt;1,"",$F$29+(C89-$F$21*$F$24)*(1-IF($C$60="",$B$60,IF(ISNUMBER($C$60),$C$60,"Unavailable")))))))))))</f>
        <v/>
      </c>
      <c r="D92" s="544">
        <f>IF(NOT(ISNUMBER(D89)),"",IF(NOT(ISNUMBER($F$21)),"",IF(NOT(ISNUMBER($F$24)),"",IF(NOT(ISNUMBER($F$29)),"",IF(ABS(D89-$F$21*$F$24)&lt;0.0000001,$F$29,IF(NOT(ISNUMBER(IF($D$60="",$B$60,IF(ISNUMBER($D$60),$D$60,"Unavailable")))),"",IF(IF($D$60="",$B$60,IF(ISNUMBER($D$60),$D$60,"Unavailable"))&lt;0,"",IF(IF($D$60="",$B$60,IF(ISNUMBER($D$60),$D$60,"Unavailable"))&gt;1,"",$F$29+(D89-$F$21*$F$24)*(1-IF($D$60="",$B$60,IF(ISNUMBER($D$60),$D$60,"Unavailable")))))))))))</f>
        <v/>
      </c>
      <c r="E92" s="544">
        <f>IF(NOT(ISNUMBER(E89)),"",IF(NOT(ISNUMBER($F$21)),"",IF(NOT(ISNUMBER($F$24)),"",IF(NOT(ISNUMBER($F$29)),"",IF(ABS(E89-$F$21*$F$24)&lt;0.0000001,$F$29,IF(NOT(ISNUMBER(IF($E$60="",$B$60,IF(ISNUMBER($E$60),$E$60,"Unavailable")))),"",IF(IF($E$60="",$B$60,IF(ISNUMBER($E$60),$E$60,"Unavailable"))&lt;0,"",IF(IF($E$60="",$B$60,IF(ISNUMBER($E$60),$E$60,"Unavailable"))&gt;1,"",$F$29+(E89-$F$21*$F$24)*(1-IF($E$60="",$B$60,IF(ISNUMBER($E$60),$E$60,"Unavailable")))))))))))</f>
        <v/>
      </c>
      <c r="F92" s="533" t="n"/>
      <c r="G92" s="533" t="n"/>
      <c r="H92" s="533" t="n"/>
      <c r="I92" s="533" t="n"/>
      <c r="J92" s="533" t="n"/>
      <c r="K92" s="533" t="n"/>
      <c r="L92" s="533" t="n"/>
      <c r="M92" s="533" t="n"/>
    </row>
    <row r="93" ht="22" customHeight="1">
      <c r="A93" s="541" t="inlineStr">
        <is>
          <t>Cash Flow and Capital Structure</t>
        </is>
      </c>
      <c r="B93" s="541" t="n"/>
      <c r="C93" s="541" t="n"/>
      <c r="D93" s="541" t="n"/>
      <c r="E93" s="541" t="n"/>
      <c r="F93" s="541" t="n"/>
      <c r="G93" s="541" t="n"/>
      <c r="H93" s="541" t="n"/>
      <c r="I93" s="541" t="n"/>
      <c r="J93" s="541" t="n"/>
      <c r="K93" s="541" t="n"/>
      <c r="L93" s="541" t="n"/>
      <c r="M93" s="541" t="n"/>
    </row>
    <row r="94" ht="23" customHeight="1">
      <c r="A94" s="533" t="inlineStr">
        <is>
          <t>FCF ($m)</t>
        </is>
      </c>
      <c r="B94" s="544">
        <f>IF(ISNUMBER($F$31),$F$31,"")</f>
        <v/>
      </c>
      <c r="C94" s="544">
        <f>IF(NOT(ISNUMBER($F$31)),"",IF(NOT(ISNUMBER(C89)),"",IF(NOT(ISNUMBER($F$21)),"",IF(NOT(ISNUMBER($F$24)),"",IF(ABS(C89-$F$21*$F$24)&lt;0.0000001,$F$31,IF(NOT(ISNUMBER(IF($C$60="",$B$60,IF(ISNUMBER($C$60),$C$60,"Unavailable")))),"",IF(IF($C$60="",$B$60,IF(ISNUMBER($C$60),$C$60,"Unavailable"))&lt;0,"",IF(IF($C$60="",$B$60,IF(ISNUMBER($C$60),$C$60,"Unavailable"))&gt;1,"",IF(NOT(ISNUMBER(IF($C$63="",$B$63,IF(ISNUMBER($C$63),$C$63,"Unavailable")))),"",IF(NOT(ISNUMBER($F$33)),"",IF(NOT(ISNUMBER(IF($C$64="",$B$64,IF(ISNUMBER($C$64),$C$64,"Unavailable")))),"",$F$31+(C89-$F$21*$F$24)*(1-IF($C$60="",$B$60,IF(ISNUMBER($C$60),$C$60,"Unavailable")))-(IF($C$63="",$B$63,IF(ISNUMBER($C$63),$C$63,"Unavailable"))-$F$33)-IF($C$64="",$B$64,IF(ISNUMBER($C$64),$C$64,"Unavailable")))))))))))))</f>
        <v/>
      </c>
      <c r="D94" s="544">
        <f>IF(NOT(ISNUMBER($F$31)),"",IF(NOT(ISNUMBER(D89)),"",IF(NOT(ISNUMBER($F$21)),"",IF(NOT(ISNUMBER($F$24)),"",IF(ABS(D89-$F$21*$F$24)&lt;0.0000001,$F$31,IF(NOT(ISNUMBER(IF($D$60="",$B$60,IF(ISNUMBER($D$60),$D$60,"Unavailable")))),"",IF(IF($D$60="",$B$60,IF(ISNUMBER($D$60),$D$60,"Unavailable"))&lt;0,"",IF(IF($D$60="",$B$60,IF(ISNUMBER($D$60),$D$60,"Unavailable"))&gt;1,"",IF(NOT(ISNUMBER(IF($D$63="",$B$63,IF(ISNUMBER($D$63),$D$63,"Unavailable")))),"",IF(NOT(ISNUMBER($F$33)),"",IF(NOT(ISNUMBER(IF($D$64="",$B$64,IF(ISNUMBER($D$64),$D$64,"Unavailable")))),"",$F$31+(D89-$F$21*$F$24)*(1-IF($D$60="",$B$60,IF(ISNUMBER($D$60),$D$60,"Unavailable")))-(IF($D$63="",$B$63,IF(ISNUMBER($D$63),$D$63,"Unavailable"))-$F$33)-IF($D$64="",$B$64,IF(ISNUMBER($D$64),$D$64,"Unavailable")))))))))))))</f>
        <v/>
      </c>
      <c r="E94" s="544">
        <f>IF(NOT(ISNUMBER($F$31)),"",IF(NOT(ISNUMBER(E89)),"",IF(NOT(ISNUMBER($F$21)),"",IF(NOT(ISNUMBER($F$24)),"",IF(ABS(E89-$F$21*$F$24)&lt;0.0000001,$F$31,IF(NOT(ISNUMBER(IF($E$60="",$B$60,IF(ISNUMBER($E$60),$E$60,"Unavailable")))),"",IF(IF($E$60="",$B$60,IF(ISNUMBER($E$60),$E$60,"Unavailable"))&lt;0,"",IF(IF($E$60="",$B$60,IF(ISNUMBER($E$60),$E$60,"Unavailable"))&gt;1,"",IF(NOT(ISNUMBER(IF($E$63="",$B$63,IF(ISNUMBER($E$63),$E$63,"Unavailable")))),"",IF(NOT(ISNUMBER($F$33)),"",IF(NOT(ISNUMBER(IF($E$64="",$B$64,IF(ISNUMBER($E$64),$E$64,"Unavailable")))),"",$F$31+(E89-$F$21*$F$24)*(1-IF($E$60="",$B$60,IF(ISNUMBER($E$60),$E$60,"Unavailable")))-(IF($E$63="",$B$63,IF(ISNUMBER($E$63),$E$63,"Unavailable"))-$F$33)-IF($E$64="",$B$64,IF(ISNUMBER($E$64),$E$64,"Unavailable")))))))))))))</f>
        <v/>
      </c>
      <c r="F94" s="533" t="n"/>
      <c r="G94" s="533" t="n"/>
      <c r="H94" s="533" t="n"/>
      <c r="I94" s="533" t="n"/>
      <c r="J94" s="533" t="n"/>
      <c r="K94" s="533" t="n"/>
      <c r="L94" s="533" t="n"/>
      <c r="M94" s="533" t="n"/>
    </row>
    <row r="95" ht="23" customHeight="1">
      <c r="A95" s="533" t="inlineStr">
        <is>
          <t>Diluted shares (m)</t>
        </is>
      </c>
      <c r="B95" s="543">
        <f>IF(ISNUMBER($F$18),$F$18,"")</f>
        <v/>
      </c>
      <c r="C95" s="543">
        <f>IF(NOT(ISNUMBER($F$18)),"",IF($F$18&lt;=0,"",IF(IF($C$65="",$B$65,IF(ISNUMBER($C$65),$C$65,"Unavailable"))=""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$65="",$B$65,IF(ISNUMBER($C$65),$C$65,"Unavailable")))),"",IF(IF($C$65="",$B$65,IF(ISNUMBER($C$65),$C$65,"Unavailable"))&lt;0,"",IF(IF($C$65="",$B$65,IF(ISNUMBER($C$65),$C$65,"Unavailable"))=0,IF(IF($C$67="",$B$67,IF(ISNUMBER($C$67),$C$67,"Unavailable"))="",$F$18,IF(NOT(ISNUMBER(IF($C$67="",$B$67,IF(ISNUMBER($C$67),$C$67,"Unavailable")))),"",IF(IF($C$67="",$B$67,IF(ISNUMBER($C$67),$C$67,"Unavailable"))&lt;0,"",IF($F$18+IF($C$67="",$B$67,IF(ISNUMBER($C$67),$C$67,"Unavailable"))&lt;=0,"",$F$18+IF($C$67="",$B$67,IF(ISNUMBER($C$67),$C$67,"Unavailable")))))),IF(NOT(ISNUMBER(IF($C$66="",$B$66,IF(ISNUMBER($C$66),$C$66,"Unavailable")))),"",IF(IF($C$66="",$B$66,IF(ISNUMBER($C$66),$C$66,"Unavailable"))&lt;=0,"",IF(IF($C$67="",$B$67,IF(ISNUMBER($C$67),$C$67,"Unavailable"))="",IF($F$18-IF($C$65="",$B$65,IF(ISNUMBER($C$65),$C$65,"Unavailable"))/IF($C$66="",$B$66,IF(ISNUMBER($C$66),$C$66,"Unavailable"))&lt;=0,"",$F$18-IF($C$65="",$B$65,IF(ISNUMBER($C$65),$C$65,"Unavailable"))/IF($C$66="",$B$66,IF(ISNUMBER($C$66),$C$66,"Unavailable"))),IF(NOT(ISNUMBER(IF($C$67="",$B$67,IF(ISNUMBER($C$67),$C$67,"Unavailable")))),"",IF(IF($C$67="",$B$67,IF(ISNUMBER($C$67),$C$67,"Unavailable"))&lt;0,"",IF($F$18-IF($C$65="",$B$65,IF(ISNUMBER($C$65),$C$65,"Unavailable"))/IF($C$66="",$B$66,IF(ISNUMBER($C$66),$C$66,"Unavailable"))+IF($C$67="",$B$67,IF(ISNUMBER($C$67),$C$67,"Unavailable"))&lt;=0,"",$F$18-IF($C$65="",$B$65,IF(ISNUMBER($C$65),$C$65,"Unavailable"))/IF($C$66="",$B$66,IF(ISNUMBER($C$66),$C$66,"Unavailable"))+IF($C$67="",$B$67,IF(ISNUMBER($C$67),$C$67,"Unavailable"))))))))))))))</f>
        <v/>
      </c>
      <c r="D95" s="543">
        <f>IF(NOT(ISNUMBER($F$18)),"",IF($F$18&lt;=0,"",IF(IF($D$65="",$B$65,IF(ISNUMBER($D$65),$D$65,"Unavailable"))=""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$65="",$B$65,IF(ISNUMBER($D$65),$D$65,"Unavailable")))),"",IF(IF($D$65="",$B$65,IF(ISNUMBER($D$65),$D$65,"Unavailable"))&lt;0,"",IF(IF($D$65="",$B$65,IF(ISNUMBER($D$65),$D$65,"Unavailable"))=0,IF(IF($D$67="",$B$67,IF(ISNUMBER($D$67),$D$67,"Unavailable"))="",$F$18,IF(NOT(ISNUMBER(IF($D$67="",$B$67,IF(ISNUMBER($D$67),$D$67,"Unavailable")))),"",IF(IF($D$67="",$B$67,IF(ISNUMBER($D$67),$D$67,"Unavailable"))&lt;0,"",IF($F$18+IF($D$67="",$B$67,IF(ISNUMBER($D$67),$D$67,"Unavailable"))&lt;=0,"",$F$18+IF($D$67="",$B$67,IF(ISNUMBER($D$67),$D$67,"Unavailable")))))),IF(NOT(ISNUMBER(IF($D$66="",$B$66,IF(ISNUMBER($D$66),$D$66,"Unavailable")))),"",IF(IF($D$66="",$B$66,IF(ISNUMBER($D$66),$D$66,"Unavailable"))&lt;=0,"",IF(IF($D$67="",$B$67,IF(ISNUMBER($D$67),$D$67,"Unavailable"))="",IF($F$18-IF($D$65="",$B$65,IF(ISNUMBER($D$65),$D$65,"Unavailable"))/IF($D$66="",$B$66,IF(ISNUMBER($D$66),$D$66,"Unavailable"))&lt;=0,"",$F$18-IF($D$65="",$B$65,IF(ISNUMBER($D$65),$D$65,"Unavailable"))/IF($D$66="",$B$66,IF(ISNUMBER($D$66),$D$66,"Unavailable"))),IF(NOT(ISNUMBER(IF($D$67="",$B$67,IF(ISNUMBER($D$67),$D$67,"Unavailable")))),"",IF(IF($D$67="",$B$67,IF(ISNUMBER($D$67),$D$67,"Unavailable"))&lt;0,"",IF($F$18-IF($D$65="",$B$65,IF(ISNUMBER($D$65),$D$65,"Unavailable"))/IF($D$66="",$B$66,IF(ISNUMBER($D$66),$D$66,"Unavailable"))+IF($D$67="",$B$67,IF(ISNUMBER($D$67),$D$67,"Unavailable"))&lt;=0,"",$F$18-IF($D$65="",$B$65,IF(ISNUMBER($D$65),$D$65,"Unavailable"))/IF($D$66="",$B$66,IF(ISNUMBER($D$66),$D$66,"Unavailable"))+IF($D$67="",$B$67,IF(ISNUMBER($D$67),$D$67,"Unavailable"))))))))))))))</f>
        <v/>
      </c>
      <c r="E95" s="543">
        <f>IF(NOT(ISNUMBER($F$18)),"",IF($F$18&lt;=0,"",IF(IF($E$65="",$B$65,IF(ISNUMBER($E$65),$E$65,"Unavailable"))=""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$65="",$B$65,IF(ISNUMBER($E$65),$E$65,"Unavailable")))),"",IF(IF($E$65="",$B$65,IF(ISNUMBER($E$65),$E$65,"Unavailable"))&lt;0,"",IF(IF($E$65="",$B$65,IF(ISNUMBER($E$65),$E$65,"Unavailable"))=0,IF(IF($E$67="",$B$67,IF(ISNUMBER($E$67),$E$67,"Unavailable"))="",$F$18,IF(NOT(ISNUMBER(IF($E$67="",$B$67,IF(ISNUMBER($E$67),$E$67,"Unavailable")))),"",IF(IF($E$67="",$B$67,IF(ISNUMBER($E$67),$E$67,"Unavailable"))&lt;0,"",IF($F$18+IF($E$67="",$B$67,IF(ISNUMBER($E$67),$E$67,"Unavailable"))&lt;=0,"",$F$18+IF($E$67="",$B$67,IF(ISNUMBER($E$67),$E$67,"Unavailable")))))),IF(NOT(ISNUMBER(IF($E$66="",$B$66,IF(ISNUMBER($E$66),$E$66,"Unavailable")))),"",IF(IF($E$66="",$B$66,IF(ISNUMBER($E$66),$E$66,"Unavailable"))&lt;=0,"",IF(IF($E$67="",$B$67,IF(ISNUMBER($E$67),$E$67,"Unavailable"))="",IF($F$18-IF($E$65="",$B$65,IF(ISNUMBER($E$65),$E$65,"Unavailable"))/IF($E$66="",$B$66,IF(ISNUMBER($E$66),$E$66,"Unavailable"))&lt;=0,"",$F$18-IF($E$65="",$B$65,IF(ISNUMBER($E$65),$E$65,"Unavailable"))/IF($E$66="",$B$66,IF(ISNUMBER($E$66),$E$66,"Unavailable"))),IF(NOT(ISNUMBER(IF($E$67="",$B$67,IF(ISNUMBER($E$67),$E$67,"Unavailable")))),"",IF(IF($E$67="",$B$67,IF(ISNUMBER($E$67),$E$67,"Unavailable"))&lt;0,"",IF($F$18-IF($E$65="",$B$65,IF(ISNUMBER($E$65),$E$65,"Unavailable"))/IF($E$66="",$B$66,IF(ISNUMBER($E$66),$E$66,"Unavailable"))+IF($E$67="",$B$67,IF(ISNUMBER($E$67),$E$67,"Unavailable"))&lt;=0,"",$F$18-IF($E$65="",$B$65,IF(ISNUMBER($E$65),$E$65,"Unavailable"))/IF($E$66="",$B$66,IF(ISNUMBER($E$66),$E$66,"Unavailable"))+IF($E$67="",$B$67,IF(ISNUMBER($E$67),$E$67,"Unavailable"))))))))))))))</f>
        <v/>
      </c>
      <c r="F95" s="533" t="n"/>
      <c r="G95" s="533" t="n"/>
      <c r="H95" s="533" t="n"/>
      <c r="I95" s="533" t="n"/>
      <c r="J95" s="533" t="n"/>
      <c r="K95" s="533" t="n"/>
      <c r="L95" s="533" t="n"/>
      <c r="M95" s="533" t="n"/>
    </row>
    <row r="96" ht="23" customHeight="1">
      <c r="A96" s="533" t="inlineStr">
        <is>
          <t>Net cash / debt ($m)</t>
        </is>
      </c>
      <c r="B96" s="544">
        <f>IF(ISNUMBER($B$68),$B$68,"")</f>
        <v/>
      </c>
      <c r="C96" s="544">
        <f>IF(ISNUMBER(IF($C$68="",$B$68,IF(ISNUMBER($C$68),$C$68,"Unavailable"))),IF($C$68="",$B$68,IF(ISNUMBER($C$68),$C$68,"Unavailable")),"")</f>
        <v/>
      </c>
      <c r="D96" s="544">
        <f>IF(ISNUMBER(IF($D$68="",$B$68,IF(ISNUMBER($D$68),$D$68,"Unavailable"))),IF($D$68="",$B$68,IF(ISNUMBER($D$68),$D$68,"Unavailable")),"")</f>
        <v/>
      </c>
      <c r="E96" s="544">
        <f>IF(ISNUMBER(IF($E$68="",$B$68,IF(ISNUMBER($E$68),$E$68,"Unavailable"))),IF($E$68="",$B$68,IF(ISNUMBER($E$68),$E$68,"Unavailable")),"")</f>
        <v/>
      </c>
      <c r="F96" s="533" t="n"/>
      <c r="G96" s="533" t="n"/>
      <c r="H96" s="533" t="n"/>
      <c r="I96" s="533" t="n"/>
      <c r="J96" s="533" t="n"/>
      <c r="K96" s="533" t="n"/>
      <c r="L96" s="533" t="n"/>
      <c r="M96" s="533" t="n"/>
    </row>
    <row r="97" ht="22" customHeight="1">
      <c r="A97" s="541" t="inlineStr">
        <is>
          <t>Per-Share and Value</t>
        </is>
      </c>
      <c r="B97" s="541" t="n"/>
      <c r="C97" s="541" t="n"/>
      <c r="D97" s="541" t="n"/>
      <c r="E97" s="541" t="n"/>
      <c r="F97" s="541" t="n"/>
      <c r="G97" s="541" t="n"/>
      <c r="H97" s="541" t="n"/>
      <c r="I97" s="541" t="n"/>
      <c r="J97" s="541" t="n"/>
      <c r="K97" s="541" t="n"/>
      <c r="L97" s="541" t="n"/>
      <c r="M97" s="541" t="n"/>
    </row>
    <row r="98" ht="23" customHeight="1">
      <c r="A98" s="533" t="inlineStr">
        <is>
          <t>GAAP diluted EPS ($/share)</t>
        </is>
      </c>
      <c r="B98" s="542">
        <f>IF(NOT(ISNUMBER(B92)),"",IF(NOT(ISNUMBER(B95)),"",IF(B95&lt;=0,"",B92/B95)))</f>
        <v/>
      </c>
      <c r="C98" s="542">
        <f>IF(NOT(ISNUMBER(C92)),"",IF(NOT(ISNUMBER(C95)),"",IF(C95&lt;=0,"",C92/C95)))</f>
        <v/>
      </c>
      <c r="D98" s="542">
        <f>IF(NOT(ISNUMBER(D92)),"",IF(NOT(ISNUMBER(D95)),"",IF(D95&lt;=0,"",D92/D95)))</f>
        <v/>
      </c>
      <c r="E98" s="542">
        <f>IF(NOT(ISNUMBER(E92)),"",IF(NOT(ISNUMBER(E95)),"",IF(E95&lt;=0,"",E92/E95)))</f>
        <v/>
      </c>
      <c r="F98" s="533" t="n"/>
      <c r="G98" s="533" t="n"/>
      <c r="H98" s="533" t="n"/>
      <c r="I98" s="533" t="n"/>
      <c r="J98" s="533" t="n"/>
      <c r="K98" s="533" t="n"/>
      <c r="L98" s="533" t="n"/>
      <c r="M98" s="533" t="n"/>
    </row>
    <row r="99" ht="23" customHeight="1">
      <c r="A99" s="533" t="inlineStr">
        <is>
          <t>FCF/share ($/share)</t>
        </is>
      </c>
      <c r="B99" s="542">
        <f>IF(NOT(ISNUMBER(B94)),"",IF(NOT(ISNUMBER(B95)),"",IF(B95&lt;=0,"",B94/B95)))</f>
        <v/>
      </c>
      <c r="C99" s="542">
        <f>IF(NOT(ISNUMBER(C94)),"",IF(NOT(ISNUMBER(C95)),"",IF(C95&lt;=0,"",C94/C95)))</f>
        <v/>
      </c>
      <c r="D99" s="542">
        <f>IF(NOT(ISNUMBER(D94)),"",IF(NOT(ISNUMBER(D95)),"",IF(D95&lt;=0,"",D94/D95)))</f>
        <v/>
      </c>
      <c r="E99" s="542">
        <f>IF(NOT(ISNUMBER(E94)),"",IF(NOT(ISNUMBER(E95)),"",IF(E95&lt;=0,"",E94/E95)))</f>
        <v/>
      </c>
      <c r="F99" s="533" t="n"/>
      <c r="G99" s="533" t="n"/>
      <c r="H99" s="533" t="n"/>
      <c r="I99" s="533" t="n"/>
      <c r="J99" s="533" t="n"/>
      <c r="K99" s="533" t="n"/>
      <c r="L99" s="533" t="n"/>
      <c r="M99" s="533" t="n"/>
    </row>
    <row r="100" ht="23" customHeight="1">
      <c r="A100" s="533" t="inlineStr">
        <is>
          <t>Selected value/share ($/share)</t>
        </is>
      </c>
      <c r="B100" s="542">
        <f>IF(ISNUMBER($D$106),$D$106,"")</f>
        <v/>
      </c>
      <c r="C100" s="542">
        <f>IF(C$83=IF($B$69="","Base",$B$69),IF(ISNUMBER($E$126),$E$126,""),"")</f>
        <v/>
      </c>
      <c r="D100" s="542">
        <f>IF(D$83=IF($B$69="","Base",$B$69),IF(ISNUMBER($E$126),$E$126,""),"")</f>
        <v/>
      </c>
      <c r="E100" s="542">
        <f>IF(E$83=IF($B$69="","Base",$B$69),IF(ISNUMBER($E$126),$E$126,""),"")</f>
        <v/>
      </c>
      <c r="F100" s="533" t="n"/>
      <c r="G100" s="533" t="n"/>
      <c r="H100" s="533" t="n"/>
      <c r="I100" s="533" t="n"/>
      <c r="J100" s="533" t="n"/>
      <c r="K100" s="533" t="n"/>
      <c r="L100" s="533" t="n"/>
      <c r="M100" s="533" t="n"/>
    </row>
    <row r="101" ht="23" customHeight="1">
      <c r="A101" s="533" t="inlineStr">
        <is>
          <t>Selected upside/downside (%)</t>
        </is>
      </c>
      <c r="B101" s="545">
        <f>IF(ISNUMBER($D$106),0,"")</f>
        <v/>
      </c>
      <c r="C101" s="545">
        <f>IF(C$83=IF($B$69="","Base",$B$69),IF(ISNUMBER($F$126),$F$126,""),"")</f>
        <v/>
      </c>
      <c r="D101" s="545">
        <f>IF(D$83=IF($B$69="","Base",$B$69),IF(ISNUMBER($F$126),$F$126,""),"")</f>
        <v/>
      </c>
      <c r="E101" s="545">
        <f>IF(E$83=IF($B$69="","Base",$B$69),IF(ISNUMBER($F$126),$F$126,""),"")</f>
        <v/>
      </c>
      <c r="F101" s="533" t="n"/>
      <c r="G101" s="533" t="n"/>
      <c r="H101" s="533" t="n"/>
      <c r="I101" s="533" t="n"/>
      <c r="J101" s="533" t="n"/>
      <c r="K101" s="533" t="n"/>
      <c r="L101" s="533" t="n"/>
      <c r="M101" s="533" t="n"/>
    </row>
    <row r="102" ht="21" customHeight="1">
      <c r="A102" s="546" t="n"/>
      <c r="B102" s="546" t="n"/>
      <c r="C102" s="546" t="n"/>
      <c r="D102" s="546" t="n"/>
      <c r="E102" s="546" t="n"/>
      <c r="F102" s="546" t="n"/>
      <c r="G102" s="546" t="n"/>
      <c r="H102" s="546" t="n"/>
      <c r="I102" s="546" t="n"/>
      <c r="J102" s="546" t="n"/>
      <c r="K102" s="546" t="n"/>
      <c r="L102" s="546" t="n"/>
      <c r="M102" s="546" t="n"/>
    </row>
    <row r="103" ht="26" customHeight="1">
      <c r="A103" s="527" t="inlineStr">
        <is>
          <t>Valuation and DCF Assumptions</t>
        </is>
      </c>
      <c r="B103" s="47" t="n"/>
      <c r="C103" s="47" t="n"/>
      <c r="D103" s="47" t="n"/>
      <c r="E103" s="47" t="n"/>
      <c r="F103" s="47" t="n"/>
      <c r="G103" s="47" t="n"/>
      <c r="H103" s="47" t="n"/>
      <c r="I103" s="47" t="n"/>
      <c r="J103" s="47" t="n"/>
      <c r="K103" s="47" t="n"/>
      <c r="L103" s="47" t="n"/>
      <c r="M103" s="46" t="n"/>
    </row>
    <row r="104" ht="36" customHeight="1">
      <c r="A104" s="534" t="inlineStr">
        <is>
          <t>Blank assumptions remain unavailable. Manual inputs feed the existing canonical valuation and DCF formulas; no fallback multiple, tax rate or price is supplied.</t>
        </is>
      </c>
      <c r="B104" s="535" t="n"/>
      <c r="C104" s="535" t="n"/>
      <c r="D104" s="535" t="n"/>
      <c r="E104" s="535" t="n"/>
      <c r="F104" s="535" t="n"/>
      <c r="G104" s="535" t="n"/>
      <c r="H104" s="535" t="n"/>
      <c r="I104" s="535" t="n"/>
      <c r="J104" s="535" t="n"/>
      <c r="K104" s="535" t="n"/>
      <c r="L104" s="535" t="n"/>
      <c r="M104" s="536" t="n"/>
    </row>
    <row r="105" ht="28" customHeight="1">
      <c r="A105" s="537" t="inlineStr">
        <is>
          <t>Assumption</t>
        </is>
      </c>
      <c r="B105" s="537" t="inlineStr">
        <is>
          <t>Current / default</t>
        </is>
      </c>
      <c r="C105" s="537" t="inlineStr">
        <is>
          <t>Manual input</t>
        </is>
      </c>
      <c r="D105" s="537" t="inlineStr">
        <is>
          <t>Active assumption</t>
        </is>
      </c>
      <c r="E105" s="537" t="inlineStr">
        <is>
          <t>State</t>
        </is>
      </c>
      <c r="F105" s="537" t="inlineStr">
        <is>
          <t>Explanation</t>
        </is>
      </c>
      <c r="G105" s="539" t="n"/>
      <c r="H105" s="539" t="n"/>
      <c r="I105" s="539" t="n"/>
      <c r="J105" s="539" t="n"/>
      <c r="K105" s="539" t="n"/>
      <c r="L105" s="540" t="n"/>
      <c r="M105" s="537" t="n"/>
    </row>
    <row r="106" ht="24" customHeight="1">
      <c r="A106" s="533" t="inlineStr">
        <is>
          <t>Current share price ($/share)</t>
        </is>
      </c>
      <c r="B106" s="542">
        <f>IFERROR(IF(ISBLANK(INDEX('{ticker}_Investment_Case_Data'!$AI$2:$AI$201,MATCH("market_input|price",'{ticker}_Investment_Case_Data'!$W$2:$W$201,0))),"",IF(ISNUMBER(INDEX('{ticker}_Investment_Case_Data'!$AI$2:$AI$201,MATCH("market_input|price",'{ticker}_Investment_Case_Data'!$W$2:$W$201,0))),INDEX('{ticker}_Investment_Case_Data'!$AI$2:$AI$201,MATCH("market_input|price",'{ticker}_Investment_Case_Data'!$W$2:$W$201,0)),"")),"")</f>
        <v/>
      </c>
      <c r="C106" s="555" t="n"/>
      <c r="D106" s="542">
        <f>IF(ISNUMBER(C106),C106,IF(ISNUMBER(B106),B106,""))</f>
        <v/>
      </c>
      <c r="E106" s="533">
        <f>IF(ISNUMBER(C106),"Manual input",IF(ISNUMBER(B106),"Model default","Manual input required"))</f>
        <v/>
      </c>
      <c r="F106" s="533" t="inlineStr">
        <is>
          <t>Market price used to calculate market capitalization and upside/downside.</t>
        </is>
      </c>
      <c r="G106" s="535" t="n"/>
      <c r="H106" s="535" t="n"/>
      <c r="I106" s="535" t="n"/>
      <c r="J106" s="535" t="n"/>
      <c r="K106" s="535" t="n"/>
      <c r="L106" s="536" t="n"/>
      <c r="M106" s="533" t="n"/>
    </row>
    <row r="107" ht="24" customHeight="1">
      <c r="A107" s="533" t="inlineStr">
        <is>
          <t>Target P/E (x)</t>
        </is>
      </c>
      <c r="B107" s="558">
        <f>IFERROR(IF(ISBLANK(INDEX('{ticker}_Investment_Case_Data'!$AI$2:$AI$201,MATCH("market_input|target_pe",'{ticker}_Investment_Case_Data'!$W$2:$W$201,0))),"",IF(ISNUMBER(INDEX('{ticker}_Investment_Case_Data'!$AI$2:$AI$201,MATCH("market_input|target_pe",'{ticker}_Investment_Case_Data'!$W$2:$W$201,0))),INDEX('{ticker}_Investment_Case_Data'!$AI$2:$AI$201,MATCH("market_input|target_pe",'{ticker}_Investment_Case_Data'!$W$2:$W$201,0)),"")),"")</f>
        <v/>
      </c>
      <c r="C107" s="559" t="n"/>
      <c r="D107" s="558">
        <f>IF(ISNUMBER(C107),C107,IF(ISNUMBER(B107),B107,""))</f>
        <v/>
      </c>
      <c r="E107" s="533">
        <f>IF(ISNUMBER(C107),"Manual input",IF(ISNUMBER(B107),"Model default","Manual input required"))</f>
        <v/>
      </c>
      <c r="F107" s="533" t="inlineStr">
        <is>
          <t>How much equity value is assigned for each dollar of GAAP EPS.</t>
        </is>
      </c>
      <c r="G107" s="535" t="n"/>
      <c r="H107" s="535" t="n"/>
      <c r="I107" s="535" t="n"/>
      <c r="J107" s="535" t="n"/>
      <c r="K107" s="535" t="n"/>
      <c r="L107" s="536" t="n"/>
      <c r="M107" s="533" t="n"/>
    </row>
    <row r="108" ht="24" customHeight="1">
      <c r="A108" s="533" t="inlineStr">
        <is>
          <t>Target EV / Adjusted EBITDA (x)</t>
        </is>
      </c>
      <c r="B108" s="558">
        <f>IFERROR(IF(ISBLANK(INDEX('{ticker}_Investment_Case_Data'!$AI$2:$AI$201,MATCH("market_input|target_ev_adjusted_ebitda",'{ticker}_Investment_Case_Data'!$W$2:$W$201,0))),"",IF(ISNUMBER(INDEX('{ticker}_Investment_Case_Data'!$AI$2:$AI$201,MATCH("market_input|target_ev_adjusted_ebitda",'{ticker}_Investment_Case_Data'!$W$2:$W$201,0))),INDEX('{ticker}_Investment_Case_Data'!$AI$2:$AI$201,MATCH("market_input|target_ev_adjusted_ebitda",'{ticker}_Investment_Case_Data'!$W$2:$W$201,0)),"")),"")</f>
        <v/>
      </c>
      <c r="C108" s="559" t="n"/>
      <c r="D108" s="558">
        <f>IF(ISNUMBER(C108),C108,IF(ISNUMBER(B108),B108,""))</f>
        <v/>
      </c>
      <c r="E108" s="533">
        <f>IF(ISNUMBER(C108),"Manual input",IF(ISNUMBER(B108),"Model default","Manual input required"))</f>
        <v/>
      </c>
      <c r="F108" s="533" t="inlineStr">
        <is>
          <t>Enterprise value relative to adjusted EBITDA, before the effect of net debt.</t>
        </is>
      </c>
      <c r="G108" s="535" t="n"/>
      <c r="H108" s="535" t="n"/>
      <c r="I108" s="535" t="n"/>
      <c r="J108" s="535" t="n"/>
      <c r="K108" s="535" t="n"/>
      <c r="L108" s="536" t="n"/>
      <c r="M108" s="533" t="n"/>
    </row>
    <row r="109" ht="24" customHeight="1">
      <c r="A109" s="533" t="inlineStr">
        <is>
          <t>Target EV / Revenue (x)</t>
        </is>
      </c>
      <c r="B109" s="558">
        <f>IFERROR(IF(ISBLANK(INDEX('{ticker}_Investment_Case_Data'!$AI$2:$AI$201,MATCH("market_input|target_ev_revenue",'{ticker}_Investment_Case_Data'!$W$2:$W$201,0))),"",IF(ISNUMBER(INDEX('{ticker}_Investment_Case_Data'!$AI$2:$AI$201,MATCH("market_input|target_ev_revenue",'{ticker}_Investment_Case_Data'!$W$2:$W$201,0))),INDEX('{ticker}_Investment_Case_Data'!$AI$2:$AI$201,MATCH("market_input|target_ev_revenue",'{ticker}_Investment_Case_Data'!$W$2:$W$201,0)),"")),"")</f>
        <v/>
      </c>
      <c r="C109" s="559" t="n"/>
      <c r="D109" s="558">
        <f>IF(ISNUMBER(C109),C109,IF(ISNUMBER(B109),B109,""))</f>
        <v/>
      </c>
      <c r="E109" s="533">
        <f>IF(ISNUMBER(C109),"Manual input",IF(ISNUMBER(B109),"Model default","Manual input required"))</f>
        <v/>
      </c>
      <c r="F109" s="533" t="inlineStr">
        <is>
          <t>Enterprise value relative to sales; useful when comparing different margin levels.</t>
        </is>
      </c>
      <c r="G109" s="535" t="n"/>
      <c r="H109" s="535" t="n"/>
      <c r="I109" s="535" t="n"/>
      <c r="J109" s="535" t="n"/>
      <c r="K109" s="535" t="n"/>
      <c r="L109" s="536" t="n"/>
      <c r="M109" s="533" t="n"/>
    </row>
    <row r="110" ht="24" customHeight="1">
      <c r="A110" s="533" t="inlineStr">
        <is>
          <t>Target FCF yield (%)</t>
        </is>
      </c>
      <c r="B110" s="545">
        <f>IFERROR(IF(ISBLANK(INDEX('{ticker}_Investment_Case_Data'!$AI$2:$AI$201,MATCH("market_input|target_fcf_yield",'{ticker}_Investment_Case_Data'!$W$2:$W$201,0))),"",IF(ISNUMBER(INDEX('{ticker}_Investment_Case_Data'!$AI$2:$AI$201,MATCH("market_input|target_fcf_yield",'{ticker}_Investment_Case_Data'!$W$2:$W$201,0))),INDEX('{ticker}_Investment_Case_Data'!$AI$2:$AI$201,MATCH("market_input|target_fcf_yield",'{ticker}_Investment_Case_Data'!$W$2:$W$201,0)),"")),"")</f>
        <v/>
      </c>
      <c r="C110" s="552" t="n"/>
      <c r="D110" s="545">
        <f>IF(ISNUMBER(C110),C110,IF(ISNUMBER(B110),B110,""))</f>
        <v/>
      </c>
      <c r="E110" s="533">
        <f>IF(ISNUMBER(C110),"Manual input",IF(ISNUMBER(B110),"Model default","Manual input required"))</f>
        <v/>
      </c>
      <c r="F110" s="533" t="inlineStr">
        <is>
          <t>Free cash flow divided by equity value. A higher target yield implies a lower valuation.</t>
        </is>
      </c>
      <c r="G110" s="535" t="n"/>
      <c r="H110" s="535" t="n"/>
      <c r="I110" s="535" t="n"/>
      <c r="J110" s="535" t="n"/>
      <c r="K110" s="535" t="n"/>
      <c r="L110" s="536" t="n"/>
      <c r="M110" s="533" t="n"/>
    </row>
    <row r="111" ht="24" customHeight="1">
      <c r="A111" s="533" t="inlineStr">
        <is>
          <t>DCF revenue growth (%)</t>
        </is>
      </c>
      <c r="B111" s="545">
        <f>IFERROR(IF(ISBLANK(INDEX('{ticker}_Investment_Case_Data'!$AI$2:$AI$201,MATCH("market_input|dcf_revenue_growth",'{ticker}_Investment_Case_Data'!$W$2:$W$201,0))),"",IF(ISNUMBER(INDEX('{ticker}_Investment_Case_Data'!$AI$2:$AI$201,MATCH("market_input|dcf_revenue_growth",'{ticker}_Investment_Case_Data'!$W$2:$W$201,0))),INDEX('{ticker}_Investment_Case_Data'!$AI$2:$AI$201,MATCH("market_input|dcf_revenue_growth",'{ticker}_Investment_Case_Data'!$W$2:$W$201,0)),"")),"")</f>
        <v/>
      </c>
      <c r="C111" s="552" t="n"/>
      <c r="D111" s="545">
        <f>IF(ISNUMBER(C111),C111,IF(ISNUMBER(B111),B111,""))</f>
        <v/>
      </c>
      <c r="E111" s="533">
        <f>IF(ISNUMBER(C111),"Manual input",IF(ISNUMBER(B111),"Model default","Manual input required"))</f>
        <v/>
      </c>
      <c r="F111" s="533" t="inlineStr">
        <is>
          <t>Annual revenue growth assumed during the explicit DCF forecast.</t>
        </is>
      </c>
      <c r="G111" s="535" t="n"/>
      <c r="H111" s="535" t="n"/>
      <c r="I111" s="535" t="n"/>
      <c r="J111" s="535" t="n"/>
      <c r="K111" s="535" t="n"/>
      <c r="L111" s="536" t="n"/>
      <c r="M111" s="533" t="n"/>
    </row>
    <row r="112" ht="24" customHeight="1">
      <c r="A112" s="533" t="inlineStr">
        <is>
          <t>WACC (%)</t>
        </is>
      </c>
      <c r="B112" s="545">
        <f>IFERROR(IF(ISBLANK(INDEX('{ticker}_Investment_Case_Data'!$AI$2:$AI$201,MATCH("market_input|dcf_wacc",'{ticker}_Investment_Case_Data'!$W$2:$W$201,0))),"",IF(ISNUMBER(INDEX('{ticker}_Investment_Case_Data'!$AI$2:$AI$201,MATCH("market_input|dcf_wacc",'{ticker}_Investment_Case_Data'!$W$2:$W$201,0))),INDEX('{ticker}_Investment_Case_Data'!$AI$2:$AI$201,MATCH("market_input|dcf_wacc",'{ticker}_Investment_Case_Data'!$W$2:$W$201,0)),"")),"")</f>
        <v/>
      </c>
      <c r="C112" s="552" t="n"/>
      <c r="D112" s="545">
        <f>IF(ISNUMBER(C112),C112,IF(ISNUMBER(B112),B112,""))</f>
        <v/>
      </c>
      <c r="E112" s="533">
        <f>IF(ISNUMBER(C112),"Manual input",IF(ISNUMBER(B112),"Model default","Manual input required"))</f>
        <v/>
      </c>
      <c r="F112" s="533" t="inlineStr">
        <is>
          <t>Discount rate applied to future FCFF. A higher WACC generally lowers value.</t>
        </is>
      </c>
      <c r="G112" s="535" t="n"/>
      <c r="H112" s="535" t="n"/>
      <c r="I112" s="535" t="n"/>
      <c r="J112" s="535" t="n"/>
      <c r="K112" s="535" t="n"/>
      <c r="L112" s="536" t="n"/>
      <c r="M112" s="533" t="n"/>
    </row>
    <row r="113" ht="24" customHeight="1">
      <c r="A113" s="533" t="inlineStr">
        <is>
          <t>Terminal growth (%)</t>
        </is>
      </c>
      <c r="B113" s="545">
        <f>IFERROR(IF(ISBLANK(INDEX('{ticker}_Investment_Case_Data'!$AI$2:$AI$201,MATCH("market_input|dcf_terminal_growth",'{ticker}_Investment_Case_Data'!$W$2:$W$201,0))),"",IF(ISNUMBER(INDEX('{ticker}_Investment_Case_Data'!$AI$2:$AI$201,MATCH("market_input|dcf_terminal_growth",'{ticker}_Investment_Case_Data'!$W$2:$W$201,0))),INDEX('{ticker}_Investment_Case_Data'!$AI$2:$AI$201,MATCH("market_input|dcf_terminal_growth",'{ticker}_Investment_Case_Data'!$W$2:$W$201,0)),"")),"")</f>
        <v/>
      </c>
      <c r="C113" s="552" t="n"/>
      <c r="D113" s="545">
        <f>IF(ISNUMBER(C113),C113,IF(ISNUMBER(B113),B113,""))</f>
        <v/>
      </c>
      <c r="E113" s="533">
        <f>IF(ISNUMBER(C113),"Manual input",IF(ISNUMBER(B113),"Model default","Manual input required"))</f>
        <v/>
      </c>
      <c r="F113" s="533" t="inlineStr">
        <is>
          <t>Long-term growth assumed after the explicit forecast. It must remain below WACC.</t>
        </is>
      </c>
      <c r="G113" s="535" t="n"/>
      <c r="H113" s="535" t="n"/>
      <c r="I113" s="535" t="n"/>
      <c r="J113" s="535" t="n"/>
      <c r="K113" s="535" t="n"/>
      <c r="L113" s="536" t="n"/>
      <c r="M113" s="533" t="n"/>
    </row>
    <row r="114" ht="24" customHeight="1">
      <c r="A114" s="533" t="inlineStr">
        <is>
          <t>Forecast period (years)</t>
        </is>
      </c>
      <c r="B114" s="560">
        <f>IFERROR(IF(ISBLANK(INDEX('{ticker}_Investment_Case_Data'!$AI$2:$AI$201,MATCH("market_input|dcf_forecast_years",'{ticker}_Investment_Case_Data'!$W$2:$W$201,0))),"",IF(ISNUMBER(INDEX('{ticker}_Investment_Case_Data'!$AI$2:$AI$201,MATCH("market_input|dcf_forecast_years",'{ticker}_Investment_Case_Data'!$W$2:$W$201,0))),INDEX('{ticker}_Investment_Case_Data'!$AI$2:$AI$201,MATCH("market_input|dcf_forecast_years",'{ticker}_Investment_Case_Data'!$W$2:$W$201,0)),"")),"")</f>
        <v/>
      </c>
      <c r="C114" s="561" t="n"/>
      <c r="D114" s="560">
        <f>IF(ISNUMBER(C114),C114,IF(ISNUMBER(B114),B114,""))</f>
        <v/>
      </c>
      <c r="E114" s="533">
        <f>IF(ISNUMBER(C114),"Manual input",IF(ISNUMBER(B114),"Model default","Manual input required"))</f>
        <v/>
      </c>
      <c r="F114" s="533" t="inlineStr">
        <is>
          <t>Number of explicit forecast years before the terminal value.</t>
        </is>
      </c>
      <c r="G114" s="535" t="n"/>
      <c r="H114" s="535" t="n"/>
      <c r="I114" s="535" t="n"/>
      <c r="J114" s="535" t="n"/>
      <c r="K114" s="535" t="n"/>
      <c r="L114" s="536" t="n"/>
      <c r="M114" s="533" t="n"/>
    </row>
    <row r="115" ht="36" customHeight="1">
      <c r="A115" s="541" t="inlineStr">
        <is>
          <t>Method weights (%)</t>
        </is>
      </c>
      <c r="B115" s="535" t="n"/>
      <c r="C115" s="535" t="n"/>
      <c r="D115" s="535" t="n"/>
      <c r="E115" s="535" t="n"/>
      <c r="F115" s="536" t="n"/>
      <c r="G115" s="541" t="inlineStr">
        <is>
          <t>Method weights (%) - Blended value/share, enter percentages that sum to 100% across available methods; blank or 0 excludes a method.</t>
        </is>
      </c>
      <c r="H115" s="535" t="n"/>
      <c r="I115" s="535" t="n"/>
      <c r="J115" s="536" t="n"/>
      <c r="K115" s="541" t="n"/>
      <c r="L115" s="541" t="n"/>
      <c r="M115" s="541" t="n"/>
    </row>
    <row r="116" ht="28" customHeight="1">
      <c r="A116" s="537" t="n"/>
      <c r="B116" s="537" t="inlineStr">
        <is>
          <t>P/E</t>
        </is>
      </c>
      <c r="C116" s="537" t="inlineStr">
        <is>
          <t>EV / Adj. EBITDA</t>
        </is>
      </c>
      <c r="D116" s="537" t="inlineStr">
        <is>
          <t>EV / Revenue</t>
        </is>
      </c>
      <c r="E116" s="537" t="inlineStr">
        <is>
          <t>FCF yield</t>
        </is>
      </c>
      <c r="F116" s="537" t="inlineStr">
        <is>
          <t>DCF</t>
        </is>
      </c>
      <c r="G116" s="537" t="n"/>
      <c r="H116" s="537" t="n"/>
      <c r="I116" s="537" t="n"/>
      <c r="J116" s="537" t="n"/>
      <c r="K116" s="537" t="n"/>
      <c r="L116" s="537" t="n"/>
      <c r="M116" s="537" t="n"/>
    </row>
    <row r="117" ht="21" customHeight="1">
      <c r="A117" s="533" t="n"/>
      <c r="B117" s="552" t="n"/>
      <c r="C117" s="552" t="n"/>
      <c r="D117" s="552" t="n"/>
      <c r="E117" s="552" t="n"/>
      <c r="F117" s="552" t="n"/>
      <c r="G117" s="533" t="n"/>
      <c r="H117" s="533" t="n"/>
      <c r="I117" s="533" t="n"/>
      <c r="J117" s="533" t="n"/>
      <c r="K117" s="533" t="n"/>
      <c r="L117" s="533" t="n"/>
      <c r="M117" s="533" t="n"/>
    </row>
    <row r="118" ht="21" customHeight="1">
      <c r="A118" s="533" t="n"/>
      <c r="B118" s="533" t="n"/>
      <c r="C118" s="533" t="n"/>
      <c r="D118" s="533" t="n"/>
      <c r="E118" s="533" t="n"/>
      <c r="F118" s="533" t="n"/>
      <c r="G118" s="533" t="n"/>
      <c r="H118" s="533" t="n"/>
      <c r="I118" s="533" t="n"/>
      <c r="J118" s="533" t="n"/>
      <c r="K118" s="533" t="n"/>
      <c r="L118" s="533" t="n"/>
      <c r="M118" s="533" t="n"/>
    </row>
    <row r="119" ht="26" customHeight="1">
      <c r="A119" s="562" t="inlineStr">
        <is>
          <t>Valuation Summary</t>
        </is>
      </c>
      <c r="B119" s="535" t="n"/>
      <c r="C119" s="535" t="n"/>
      <c r="D119" s="535" t="n"/>
      <c r="E119" s="535" t="n"/>
      <c r="F119" s="535" t="n"/>
      <c r="G119" s="535" t="n"/>
      <c r="H119" s="535" t="n"/>
      <c r="I119" s="535" t="n"/>
      <c r="J119" s="535" t="n"/>
      <c r="K119" s="535" t="n"/>
      <c r="L119" s="535" t="n"/>
      <c r="M119" s="536" t="n"/>
    </row>
    <row r="120" ht="28" customHeight="1">
      <c r="A120" s="537" t="inlineStr">
        <is>
          <t>Method</t>
        </is>
      </c>
      <c r="B120" s="537" t="inlineStr">
        <is>
          <t>Metric used</t>
        </is>
      </c>
      <c r="C120" s="537" t="inlineStr">
        <is>
          <t>Target</t>
        </is>
      </c>
      <c r="D120" s="537" t="inlineStr">
        <is>
          <t>Equity value ($m)</t>
        </is>
      </c>
      <c r="E120" s="537" t="inlineStr">
        <is>
          <t>Value/share ($/share)</t>
        </is>
      </c>
      <c r="F120" s="537" t="inlineStr">
        <is>
          <t>Upside/downside (%)</t>
        </is>
      </c>
      <c r="G120" s="537" t="inlineStr">
        <is>
          <t>State</t>
        </is>
      </c>
      <c r="H120" s="537" t="inlineStr">
        <is>
          <t>Weight (%)</t>
        </is>
      </c>
      <c r="I120" s="537" t="n"/>
      <c r="J120" s="537" t="n"/>
      <c r="K120" s="537" t="n"/>
      <c r="L120" s="537" t="n"/>
      <c r="M120" s="537" t="n"/>
    </row>
    <row r="121" ht="24" customHeight="1">
      <c r="A121" s="533" t="inlineStr">
        <is>
          <t>P/E</t>
        </is>
      </c>
      <c r="B121" s="542">
        <f>IF(ISNUMBER(INDEX($C$98:$E$98,1,MATCH(IF($B$69="","Base",$B$69),$C$83:$E$83,0))),INDEX($C$98:$E$98,1,MATCH(IF($B$69="","Base",$B$69),$C$83:$E$83,0)),"")</f>
        <v/>
      </c>
      <c r="C121" s="558">
        <f>IF(ISNUMBER($D$107),$D$107,"")</f>
        <v/>
      </c>
      <c r="D121" s="544">
        <f>IF(NOT(ISNUMBER(INDEX($C$98:$E$98,1,MATCH(IF($B$69="","Base",$B$69),$C$83:$E$83,0)))),"",IF(NOT(ISNUMBER($D$107)),"",IF(NOT(ISNUMBER(INDEX($C$95:$E$95,1,MATCH(IF($B$69="","Base",$B$69),$C$83:$E$83,0)))),"",IF($D$107&lt;=0,"",IF(INDEX($C$95:$E$95,1,MATCH(IF($B$69="","Base",$B$69),$C$83:$E$83,0))&lt;=0,"",INDEX($C$98:$E$98,1,MATCH(IF($B$69="","Base",$B$69),$C$83:$E$83,0))*$D$107*INDEX($C$95:$E$95,1,MATCH(IF($B$69="","Base",$B$69),$C$83:$E$83,0)))))))</f>
        <v/>
      </c>
      <c r="E121" s="542">
        <f>IF(NOT(ISNUMBER(INDEX($C$98:$E$98,1,MATCH(IF($B$69="","Base",$B$69),$C$83:$E$83,0)))),"",IF(NOT(ISNUMBER($D$107)),"",IF($D$107&lt;=0,"",INDEX($C$98:$E$98,1,MATCH(IF($B$69="","Base",$B$69),$C$83:$E$83,0))*$D$107)))</f>
        <v/>
      </c>
      <c r="F121" s="545">
        <f>IF(NOT(ISNUMBER(E121)),"",IF(NOT(ISNUMBER($D$106)),"",IF($D$106&lt;=0,"",E121/$D$106-1)))</f>
        <v/>
      </c>
      <c r="G121" s="533">
        <f>IF(ISNUMBER(E121),"Available","Unavailable")</f>
        <v/>
      </c>
      <c r="H121" s="545">
        <f>IF(ISNUMBER(B117),B117,"")</f>
        <v/>
      </c>
      <c r="I121" s="533" t="n"/>
      <c r="J121" s="533" t="n"/>
      <c r="K121" s="533" t="n"/>
      <c r="L121" s="533" t="n"/>
      <c r="M121" s="533" t="n"/>
    </row>
    <row r="122" ht="24" customHeight="1">
      <c r="A122" s="533" t="inlineStr">
        <is>
          <t>EV / adjusted EBITDA</t>
        </is>
      </c>
      <c r="B122" s="544">
        <f>IF(ISNUMBER(INDEX($C$91:$E$91,1,MATCH(IF($B$69="","Base",$B$69),$C$83:$E$83,0))),INDEX($C$91:$E$91,1,MATCH(IF($B$69="","Base",$B$69),$C$83:$E$83,0)),"")</f>
        <v/>
      </c>
      <c r="C122" s="558">
        <f>IF(ISNUMBER($D$108),$D$108,"")</f>
        <v/>
      </c>
      <c r="D122" s="544">
        <f>IF(NOT(ISNUMBER(INDEX($C$91:$E$91,1,MATCH(IF($B$69="","Base",$B$69),$C$83:$E$83,0)))),"",IF(NOT(ISNUMBER($D$108)),"",IF(NOT(ISNUMBER(INDEX($C$96:$E$96,1,MATCH(IF($B$69="","Base",$B$69),$C$83:$E$83,0)))),"",IF($D$108&lt;=0,"",INDEX($C$91:$E$91,1,MATCH(IF($B$69="","Base",$B$69),$C$83:$E$83,0))*$D$108-INDEX($C$96:$E$96,1,MATCH(IF($B$69="","Base",$B$69),$C$83:$E$83,0))))))</f>
        <v/>
      </c>
      <c r="E122" s="542">
        <f>IF(NOT(ISNUMBER(D122)),"",IF(NOT(ISNUMBER(INDEX($C$95:$E$95,1,MATCH(IF($B$69="","Base",$B$69),$C$83:$E$83,0)))),"",IF(INDEX($C$95:$E$95,1,MATCH(IF($B$69="","Base",$B$69),$C$83:$E$83,0))&lt;=0,"",D122/INDEX($C$95:$E$95,1,MATCH(IF($B$69="","Base",$B$69),$C$83:$E$83,0)))))</f>
        <v/>
      </c>
      <c r="F122" s="545">
        <f>IF(NOT(ISNUMBER(E122)),"",IF(NOT(ISNUMBER($D$106)),"",IF($D$106&lt;=0,"",E122/$D$106-1)))</f>
        <v/>
      </c>
      <c r="G122" s="533">
        <f>IF(ISNUMBER(E122),"Available","Unavailable")</f>
        <v/>
      </c>
      <c r="H122" s="545">
        <f>IF(ISNUMBER(C117),C117,"")</f>
        <v/>
      </c>
      <c r="I122" s="533" t="n"/>
      <c r="J122" s="533" t="n"/>
      <c r="K122" s="533" t="n"/>
      <c r="L122" s="533" t="n"/>
      <c r="M122" s="533" t="n"/>
    </row>
    <row r="123" ht="24" customHeight="1">
      <c r="A123" s="533" t="inlineStr">
        <is>
          <t>EV / revenue</t>
        </is>
      </c>
      <c r="B123" s="544">
        <f>IF(ISNUMBER(INDEX($C$85:$E$85,1,MATCH(IF($B$69="","Base",$B$69),$C$83:$E$83,0))),INDEX($C$85:$E$85,1,MATCH(IF($B$69="","Base",$B$69),$C$83:$E$83,0)),"")</f>
        <v/>
      </c>
      <c r="C123" s="558">
        <f>IF(ISNUMBER($D$109),$D$109,"")</f>
        <v/>
      </c>
      <c r="D123" s="544">
        <f>IF(NOT(ISNUMBER(INDEX($C$85:$E$85,1,MATCH(IF($B$69="","Base",$B$69),$C$83:$E$83,0)))),"",IF(NOT(ISNUMBER($D$109)),"",IF(NOT(ISNUMBER(INDEX($C$96:$E$96,1,MATCH(IF($B$69="","Base",$B$69),$C$83:$E$83,0)))),"",IF($D$109&lt;=0,"",INDEX($C$85:$E$85,1,MATCH(IF($B$69="","Base",$B$69),$C$83:$E$83,0))*$D$109-INDEX($C$96:$E$96,1,MATCH(IF($B$69="","Base",$B$69),$C$83:$E$83,0))))))</f>
        <v/>
      </c>
      <c r="E123" s="542">
        <f>IF(NOT(ISNUMBER(D123)),"",IF(NOT(ISNUMBER(INDEX($C$95:$E$95,1,MATCH(IF($B$69="","Base",$B$69),$C$83:$E$83,0)))),"",IF(INDEX($C$95:$E$95,1,MATCH(IF($B$69="","Base",$B$69),$C$83:$E$83,0))&lt;=0,"",D123/INDEX($C$95:$E$95,1,MATCH(IF($B$69="","Base",$B$69),$C$83:$E$83,0)))))</f>
        <v/>
      </c>
      <c r="F123" s="545">
        <f>IF(NOT(ISNUMBER(E123)),"",IF(NOT(ISNUMBER($D$106)),"",IF($D$106&lt;=0,"",E123/$D$106-1)))</f>
        <v/>
      </c>
      <c r="G123" s="533">
        <f>IF(ISNUMBER(E123),"Available","Unavailable")</f>
        <v/>
      </c>
      <c r="H123" s="545">
        <f>IF(ISNUMBER(D117),D117,"")</f>
        <v/>
      </c>
      <c r="I123" s="533" t="n"/>
      <c r="J123" s="533" t="n"/>
      <c r="K123" s="533" t="n"/>
      <c r="L123" s="533" t="n"/>
      <c r="M123" s="533" t="n"/>
    </row>
    <row r="124" ht="24" customHeight="1">
      <c r="A124" s="533" t="inlineStr">
        <is>
          <t>FCF yield</t>
        </is>
      </c>
      <c r="B124" s="544">
        <f>IF(ISNUMBER(INDEX($C$94:$E$94,1,MATCH(IF($B$69="","Base",$B$69),$C$83:$E$83,0))),INDEX($C$94:$E$94,1,MATCH(IF($B$69="","Base",$B$69),$C$83:$E$83,0)),"")</f>
        <v/>
      </c>
      <c r="C124" s="545">
        <f>IF(ISNUMBER($D$110),$D$110,"")</f>
        <v/>
      </c>
      <c r="D124" s="544">
        <f>IF(NOT(ISNUMBER(INDEX($C$94:$E$94,1,MATCH(IF($B$69="","Base",$B$69),$C$83:$E$83,0)))),"",IF(NOT(ISNUMBER($D$110)),"",IF($D$110&lt;=0,"",INDEX($C$94:$E$94,1,MATCH(IF($B$69="","Base",$B$69),$C$83:$E$83,0))/$D$110)))</f>
        <v/>
      </c>
      <c r="E124" s="542">
        <f>IF(NOT(ISNUMBER(D124)),"",IF(NOT(ISNUMBER(INDEX($C$95:$E$95,1,MATCH(IF($B$69="","Base",$B$69),$C$83:$E$83,0)))),"",IF(INDEX($C$95:$E$95,1,MATCH(IF($B$69="","Base",$B$69),$C$83:$E$83,0))&lt;=0,"",D124/INDEX($C$95:$E$95,1,MATCH(IF($B$69="","Base",$B$69),$C$83:$E$83,0)))))</f>
        <v/>
      </c>
      <c r="F124" s="545">
        <f>IF(NOT(ISNUMBER(E124)),"",IF(NOT(ISNUMBER($D$106)),"",IF($D$106&lt;=0,"",E124/$D$106-1)))</f>
        <v/>
      </c>
      <c r="G124" s="533">
        <f>IF(ISNUMBER(E124),"Available","Unavailable")</f>
        <v/>
      </c>
      <c r="H124" s="545">
        <f>IF(ISNUMBER(E117),E117,"")</f>
        <v/>
      </c>
      <c r="I124" s="533" t="n"/>
      <c r="J124" s="533" t="n"/>
      <c r="K124" s="533" t="n"/>
      <c r="L124" s="533" t="n"/>
      <c r="M124" s="533" t="n"/>
    </row>
    <row r="125" ht="24" customHeight="1">
      <c r="A125" s="533" t="inlineStr">
        <is>
          <t>DCF</t>
        </is>
      </c>
      <c r="B125" s="542">
        <f>IF(ISNUMBER($H$165),$H$165,"")</f>
        <v/>
      </c>
      <c r="C125" s="533">
        <f>""</f>
        <v/>
      </c>
      <c r="D125" s="544">
        <f>IF(ISNUMBER($H$163),$H$163,"")</f>
        <v/>
      </c>
      <c r="E125" s="542">
        <f>IF(ISNUMBER($H$165),$H$165,"")</f>
        <v/>
      </c>
      <c r="F125" s="545">
        <f>IF(NOT(ISNUMBER(E125)),"",IF(NOT(ISNUMBER($D$106)),"",IF($D$106&lt;=0,"",E125/$D$106-1)))</f>
        <v/>
      </c>
      <c r="G125" s="533">
        <f>IF(ISNUMBER(E125),"Available","Unavailable")</f>
        <v/>
      </c>
      <c r="H125" s="545">
        <f>IF(ISNUMBER(F117),F117,"")</f>
        <v/>
      </c>
      <c r="I125" s="533" t="n"/>
      <c r="J125" s="533" t="n"/>
      <c r="K125" s="533" t="n"/>
      <c r="L125" s="533" t="n"/>
      <c r="M125" s="533" t="n"/>
    </row>
    <row r="126" ht="24" customHeight="1">
      <c r="A126" s="533" t="inlineStr">
        <is>
          <t>Weighted value/share ($/share)</t>
        </is>
      </c>
      <c r="B126" s="533" t="n"/>
      <c r="C126" s="533" t="n"/>
      <c r="D126" s="533" t="n"/>
      <c r="E126" s="542">
        <f>IF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&lt;=0,"",IF(ABS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-1)&gt;0.0000001,"",(IF(ISNUMBER(E121),IF(ISNUMBER(H121),IF(H121&gt;0,E121*H121,0),0),0)+IF(ISNUMBER(E122),IF(ISNUMBER(H122),IF(H122&gt;0,E122*H122,0),0),0)+IF(ISNUMBER(E123),IF(ISNUMBER(H123),IF(H123&gt;0,E123*H123,0),0),0)+IF(ISNUMBER(E124),IF(ISNUMBER(H124),IF(H124&gt;0,E124*H124,0),0),0)+IF(ISNUMBER(E125),IF(ISNUMBER(H125),IF(H125&gt;0,E125*H125,0),0),0))))</f>
        <v/>
      </c>
      <c r="F126" s="545">
        <f>IF(NOT(ISNUMBER(E126)),"",IF(NOT(ISNUMBER($D$106)),"",IF($D$106&lt;=0,"",E126/$D$106-1)))</f>
        <v/>
      </c>
      <c r="G126" s="533">
        <f>IF(ISNUMBER(E126),"Available methods weighted to 100%",IF((IF(ISNUMBER(E121),IF(ISNUMBER(H121),IF(H121&gt;0,H121,0),0),0)+IF(ISNUMBER(E122),IF(ISNUMBER(H122),IF(H122&gt;0,H122,0),0),0)+IF(ISNUMBER(E123),IF(ISNUMBER(H123),IF(H123&gt;0,H123,0),0),0)+IF(ISNUMBER(E124),IF(ISNUMBER(H124),IF(H124&gt;0,H124,0),0),0)+IF(ISNUMBER(E125),IF(ISNUMBER(H125),IF(H125&gt;0,H125,0),0),0))&lt;=0,"Unavailable","Available-method weights must sum to 100%"))</f>
        <v/>
      </c>
      <c r="H126" s="533" t="n"/>
      <c r="I126" s="533" t="n"/>
      <c r="J126" s="533" t="n"/>
      <c r="K126" s="533" t="n"/>
      <c r="L126" s="533" t="n"/>
      <c r="M126" s="533" t="n"/>
    </row>
    <row r="127" ht="42" customHeight="1">
      <c r="A127" s="533" t="inlineStr">
        <is>
          <t>Valuation method discipline</t>
        </is>
      </c>
      <c r="B127" s="533" t="n"/>
      <c r="C127" s="533" t="n"/>
      <c r="D127" s="533" t="n"/>
      <c r="E127" s="533" t="n"/>
      <c r="F127" s="533" t="n"/>
      <c r="G127" s="533">
        <f>IF(COUNTIF(G121:G125,"Available")=0,"No method has all required inputs",COUNTIF(G121:G125,"Available")&amp;" method(s) available")</f>
        <v/>
      </c>
      <c r="H127" s="533">
        <f>"Unavailable methods are excluded regardless of entered weight."</f>
        <v/>
      </c>
      <c r="I127" s="533" t="n"/>
      <c r="J127" s="533" t="n"/>
      <c r="K127" s="533" t="n"/>
      <c r="L127" s="533" t="n"/>
      <c r="M127" s="533" t="n"/>
    </row>
    <row r="128" ht="21" customHeight="1">
      <c r="A128" s="546" t="n"/>
      <c r="B128" s="546" t="n"/>
      <c r="C128" s="546" t="n"/>
      <c r="D128" s="546" t="n"/>
      <c r="E128" s="546" t="n"/>
      <c r="F128" s="546" t="n"/>
      <c r="G128" s="546" t="n"/>
      <c r="H128" s="546" t="n"/>
      <c r="I128" s="546" t="n"/>
      <c r="J128" s="546" t="n"/>
      <c r="K128" s="546" t="n"/>
      <c r="L128" s="546" t="n"/>
      <c r="M128" s="546" t="n"/>
    </row>
    <row r="129" ht="26" customHeight="1">
      <c r="A129" s="527" t="inlineStr">
        <is>
          <t>What the Market Is Pricing</t>
        </is>
      </c>
      <c r="B129" s="47" t="n"/>
      <c r="C129" s="47" t="n"/>
      <c r="D129" s="47" t="n"/>
      <c r="E129" s="47" t="n"/>
      <c r="F129" s="47" t="n"/>
      <c r="G129" s="47" t="n"/>
      <c r="H129" s="47" t="n"/>
      <c r="I129" s="47" t="n"/>
      <c r="J129" s="47" t="n"/>
      <c r="K129" s="47" t="n"/>
      <c r="L129" s="47" t="n"/>
      <c r="M129" s="46" t="n"/>
    </row>
    <row r="130" ht="28" customHeight="1">
      <c r="A130" s="537" t="inlineStr">
        <is>
          <t>Metric</t>
        </is>
      </c>
      <c r="B130" s="537" t="inlineStr">
        <is>
          <t>Value</t>
        </is>
      </c>
      <c r="C130" s="537" t="inlineStr">
        <is>
          <t>Interpretation</t>
        </is>
      </c>
      <c r="D130" s="539" t="n"/>
      <c r="E130" s="540" t="n"/>
      <c r="F130" s="537" t="n"/>
      <c r="G130" s="537" t="n"/>
      <c r="H130" s="537" t="n"/>
      <c r="I130" s="537" t="n"/>
      <c r="J130" s="537" t="n"/>
      <c r="K130" s="537" t="n"/>
      <c r="L130" s="537" t="n"/>
      <c r="M130" s="537" t="n"/>
    </row>
    <row r="131" ht="24" customHeight="1">
      <c r="A131" s="533" t="inlineStr">
        <is>
          <t>Current share price ($/share)</t>
        </is>
      </c>
      <c r="B131" s="542">
        <f>$D$106</f>
        <v/>
      </c>
      <c r="C131" s="533">
        <f>IF(ISNUMBER(B131),"Accepted price or manual input","Unavailable | Accepted price or manual input")</f>
        <v/>
      </c>
      <c r="D131" s="535" t="n"/>
      <c r="E131" s="536" t="n"/>
      <c r="F131" s="533" t="n"/>
      <c r="G131" s="533" t="n"/>
      <c r="H131" s="533" t="n"/>
      <c r="I131" s="533" t="n"/>
      <c r="J131" s="533" t="n"/>
      <c r="K131" s="533" t="n"/>
      <c r="L131" s="533" t="n"/>
      <c r="M131" s="533" t="n"/>
    </row>
    <row r="132" ht="24" customHeight="1">
      <c r="A132" s="533" t="inlineStr">
        <is>
          <t>Scenario diluted shares (m)</t>
        </is>
      </c>
      <c r="B132" s="543">
        <f>INDEX($C$95:$E$95,1,MATCH(IF($B$69="","Base",$B$69),$C$83:$E$83,0))</f>
        <v/>
      </c>
      <c r="C132" s="533">
        <f>IF(ISNUMBER(B132),"Selected scenario share count","Unavailable | Selected scenario share count")</f>
        <v/>
      </c>
      <c r="D132" s="535" t="n"/>
      <c r="E132" s="536" t="n"/>
      <c r="F132" s="533" t="n"/>
      <c r="G132" s="533" t="n"/>
      <c r="H132" s="533" t="n"/>
      <c r="I132" s="533" t="n"/>
      <c r="J132" s="533" t="n"/>
      <c r="K132" s="533" t="n"/>
      <c r="L132" s="533" t="n"/>
      <c r="M132" s="533" t="n"/>
    </row>
    <row r="133" ht="24" customHeight="1">
      <c r="A133" s="533" t="inlineStr">
        <is>
          <t>Market capitalization ($m)</t>
        </is>
      </c>
      <c r="B133" s="544">
        <f>IF(NOT(ISNUMBER($D$106)),"",IF(NOT(ISNUMBER(INDEX($C$95:$E$95,1,MATCH(IF($B$69="","Base",$B$69),$C$83:$E$83,0)))),"",$D$106*INDEX($C$95:$E$95,1,MATCH(IF($B$69="","Base",$B$69),$C$83:$E$83,0))))</f>
        <v/>
      </c>
      <c r="C133" s="533">
        <f>IF(ISNUMBER(B133),"Price x diluted shares","Unavailable | Price x diluted shares")</f>
        <v/>
      </c>
      <c r="D133" s="535" t="n"/>
      <c r="E133" s="536" t="n"/>
      <c r="F133" s="533" t="n"/>
      <c r="G133" s="533" t="n"/>
      <c r="H133" s="533" t="n"/>
      <c r="I133" s="533" t="n"/>
      <c r="J133" s="533" t="n"/>
      <c r="K133" s="533" t="n"/>
      <c r="L133" s="533" t="n"/>
      <c r="M133" s="533" t="n"/>
    </row>
    <row r="134" ht="24" customHeight="1">
      <c r="A134" s="533" t="inlineStr">
        <is>
          <t>Scenario net cash / debt ($m)</t>
        </is>
      </c>
      <c r="B134" s="544">
        <f>INDEX($C$96:$E$96,1,MATCH(IF($B$69="","Base",$B$69),$C$83:$E$83,0))</f>
        <v/>
      </c>
      <c r="C134" s="533">
        <f>IF(ISNUMBER(B134),"Selected scenario net debt","Unavailable | Selected scenario net debt")</f>
        <v/>
      </c>
      <c r="D134" s="535" t="n"/>
      <c r="E134" s="536" t="n"/>
      <c r="F134" s="533" t="n"/>
      <c r="G134" s="533" t="n"/>
      <c r="H134" s="533" t="n"/>
      <c r="I134" s="533" t="n"/>
      <c r="J134" s="533" t="n"/>
      <c r="K134" s="533" t="n"/>
      <c r="L134" s="533" t="n"/>
      <c r="M134" s="533" t="n"/>
    </row>
    <row r="135" ht="24" customHeight="1">
      <c r="A135" s="533" t="inlineStr">
        <is>
          <t>Enterprise value ($m)</t>
        </is>
      </c>
      <c r="B135" s="544">
        <f>IF(NOT(ISNUMBER(B133)),"",IF(NOT(ISNUMBER(B134)),"",B133+B134))</f>
        <v/>
      </c>
      <c r="C135" s="533">
        <f>IF(ISNUMBER(B135),"Market cap plus net debt","Unavailable | Market cap plus net debt")</f>
        <v/>
      </c>
      <c r="D135" s="535" t="n"/>
      <c r="E135" s="536" t="n"/>
      <c r="F135" s="533" t="n"/>
      <c r="G135" s="533" t="n"/>
      <c r="H135" s="533" t="n"/>
      <c r="I135" s="533" t="n"/>
      <c r="J135" s="533" t="n"/>
      <c r="K135" s="533" t="n"/>
      <c r="L135" s="533" t="n"/>
      <c r="M135" s="533" t="n"/>
    </row>
    <row r="136" ht="24" customHeight="1">
      <c r="A136" s="533" t="inlineStr">
        <is>
          <t>Implied P/E (x)</t>
        </is>
      </c>
      <c r="B136" s="558">
        <f>IF(NOT(ISNUMBER($D$106)),"",IF(NOT(ISNUMBER(INDEX($C$98:$E$98,1,MATCH(IF($B$69="","Base",$B$69),$C$83:$E$83,0)))),"",IF(INDEX($C$98:$E$98,1,MATCH(IF($B$69="","Base",$B$69),$C$83:$E$83,0))&lt;=0,"",$D$106/INDEX($C$98:$E$98,1,MATCH(IF($B$69="","Base",$B$69),$C$83:$E$83,0)))))</f>
        <v/>
      </c>
      <c r="C136" s="533">
        <f>IF(ISNUMBER(B136),"Current price / selected EPS","Unavailable | Current price / selected EPS")</f>
        <v/>
      </c>
      <c r="D136" s="535" t="n"/>
      <c r="E136" s="536" t="n"/>
      <c r="F136" s="533" t="n"/>
      <c r="G136" s="533" t="n"/>
      <c r="H136" s="533" t="n"/>
      <c r="I136" s="533" t="n"/>
      <c r="J136" s="533" t="n"/>
      <c r="K136" s="533" t="n"/>
      <c r="L136" s="533" t="n"/>
      <c r="M136" s="533" t="n"/>
    </row>
    <row r="137" ht="24" customHeight="1">
      <c r="A137" s="533" t="inlineStr">
        <is>
          <t>Implied EV / revenue (x)</t>
        </is>
      </c>
      <c r="B137" s="558">
        <f>IF(NOT(ISNUMBER(B135)),"",IF(NOT(ISNUMBER(INDEX($C$85:$E$85,1,MATCH(IF($B$69="","Base",$B$69),$C$83:$E$83,0)))),"",IF(INDEX($C$85:$E$85,1,MATCH(IF($B$69="","Base",$B$69),$C$83:$E$83,0))&lt;=0,"",B135/INDEX($C$85:$E$85,1,MATCH(IF($B$69="","Base",$B$69),$C$83:$E$83,0)))))</f>
        <v/>
      </c>
      <c r="C137" s="533">
        <f>IF(ISNUMBER(B137),"Market EV / selected revenue","Unavailable | Market EV / selected revenue")</f>
        <v/>
      </c>
      <c r="D137" s="535" t="n"/>
      <c r="E137" s="536" t="n"/>
      <c r="F137" s="533" t="n"/>
      <c r="G137" s="533" t="n"/>
      <c r="H137" s="533" t="n"/>
      <c r="I137" s="533" t="n"/>
      <c r="J137" s="533" t="n"/>
      <c r="K137" s="533" t="n"/>
      <c r="L137" s="533" t="n"/>
      <c r="M137" s="533" t="n"/>
    </row>
    <row r="138" ht="24" customHeight="1">
      <c r="A138" s="533" t="inlineStr">
        <is>
          <t>Implied EV / adjusted EBITDA (x)</t>
        </is>
      </c>
      <c r="B138" s="558">
        <f>IF(NOT(ISNUMBER(B135)),"",IF(NOT(ISNUMBER(INDEX($C$91:$E$91,1,MATCH(IF($B$69="","Base",$B$69),$C$83:$E$83,0)))),"",IF(INDEX($C$91:$E$91,1,MATCH(IF($B$69="","Base",$B$69),$C$83:$E$83,0))&lt;=0,"",B135/INDEX($C$91:$E$91,1,MATCH(IF($B$69="","Base",$B$69),$C$83:$E$83,0)))))</f>
        <v/>
      </c>
      <c r="C138" s="533">
        <f>IF(ISNUMBER(B138),"Market EV / selected adjusted EBITDA","Unavailable | Market EV / selected adjusted EBITDA")</f>
        <v/>
      </c>
      <c r="D138" s="535" t="n"/>
      <c r="E138" s="536" t="n"/>
      <c r="F138" s="533" t="n"/>
      <c r="G138" s="533" t="n"/>
      <c r="H138" s="533" t="n"/>
      <c r="I138" s="533" t="n"/>
      <c r="J138" s="533" t="n"/>
      <c r="K138" s="533" t="n"/>
      <c r="L138" s="533" t="n"/>
      <c r="M138" s="533" t="n"/>
    </row>
    <row r="139" ht="24" customHeight="1">
      <c r="A139" s="533" t="inlineStr">
        <is>
          <t>Implied terminal growth (%)</t>
        </is>
      </c>
      <c r="B139" s="545">
        <f>IF(NOT(ISNUMBER(B135)),"",IF(NOT(ISNUMBER(INDEX($C$94:$E$94,1,MATCH(IF($B$69="","Base",$B$69),$C$83:$E$83,0)))),"",IF(NOT(ISNUMBER($D$112)),"",IF(B135&lt;=0,"",IF(INDEX($C$94:$E$94,1,MATCH(IF($B$69="","Base",$B$69),$C$83:$E$83,0))&lt;=0,"",IF($D$112&lt;=0,"",IF(B135+INDEX($C$94:$E$94,1,MATCH(IF($B$69="","Base",$B$69),$C$83:$E$83,0))=0,"",(B135*$D$112-INDEX($C$94:$E$94,1,MATCH(IF($B$69="","Base",$B$69),$C$83:$E$83,0)))/(B135+INDEX($C$94:$E$94,1,MATCH(IF($B$69="","Base",$B$69),$C$83:$E$83,0))))))))))</f>
        <v/>
      </c>
      <c r="C139" s="533">
        <f>IF(ISNUMBER(B139),"Market EV, selected FCF and WACC","Unavailable | Market EV, selected FCF and WACC")</f>
        <v/>
      </c>
      <c r="D139" s="535" t="n"/>
      <c r="E139" s="536" t="n"/>
      <c r="F139" s="533" t="n"/>
      <c r="G139" s="533" t="n"/>
      <c r="H139" s="533" t="n"/>
      <c r="I139" s="533" t="n"/>
      <c r="J139" s="533" t="n"/>
      <c r="K139" s="533" t="n"/>
      <c r="L139" s="533" t="n"/>
      <c r="M139" s="533" t="n"/>
    </row>
    <row r="140" ht="21" customHeight="1">
      <c r="A140" s="533" t="n"/>
      <c r="B140" s="533" t="n"/>
      <c r="C140" s="533" t="n"/>
      <c r="D140" s="533" t="n"/>
      <c r="E140" s="533" t="n"/>
      <c r="F140" s="533" t="n"/>
      <c r="G140" s="533" t="n"/>
      <c r="H140" s="533" t="n"/>
      <c r="I140" s="533" t="n"/>
      <c r="J140" s="533" t="n"/>
      <c r="K140" s="533" t="n"/>
      <c r="L140" s="533" t="n"/>
      <c r="M140" s="533" t="n"/>
    </row>
    <row r="141" ht="26" customHeight="1">
      <c r="A141" s="562" t="inlineStr">
        <is>
          <t>Guidance-Implied Earnings</t>
        </is>
      </c>
      <c r="B141" s="535" t="n"/>
      <c r="C141" s="535" t="n"/>
      <c r="D141" s="535" t="n"/>
      <c r="E141" s="535" t="n"/>
      <c r="F141" s="535" t="n"/>
      <c r="G141" s="535" t="n"/>
      <c r="H141" s="535" t="n"/>
      <c r="I141" s="535" t="n"/>
      <c r="J141" s="535" t="n"/>
      <c r="K141" s="535" t="n"/>
      <c r="L141" s="535" t="n"/>
      <c r="M141" s="536" t="n"/>
    </row>
    <row r="142" ht="28" customHeight="1">
      <c r="A142" s="537" t="inlineStr">
        <is>
          <t>Metric</t>
        </is>
      </c>
      <c r="B142" s="537" t="inlineStr">
        <is>
          <t>Company guidance</t>
        </is>
      </c>
      <c r="C142" s="537" t="inlineStr">
        <is>
          <t>Period</t>
        </is>
      </c>
      <c r="D142" s="537" t="inlineStr">
        <is>
          <t>Model translation</t>
        </is>
      </c>
      <c r="E142" s="537" t="inlineStr">
        <is>
          <t>Selected scenario</t>
        </is>
      </c>
      <c r="F142" s="537" t="inlineStr">
        <is>
          <t>State</t>
        </is>
      </c>
      <c r="G142" s="537" t="n"/>
      <c r="H142" s="537" t="n"/>
      <c r="I142" s="537" t="n"/>
      <c r="J142" s="537" t="n"/>
      <c r="K142" s="537" t="n"/>
      <c r="L142" s="537" t="n"/>
      <c r="M142" s="537" t="n"/>
    </row>
    <row r="143" ht="24" customHeight="1">
      <c r="A143" s="533" t="inlineStr">
        <is>
          <t>FY revenue growth (%)</t>
        </is>
      </c>
      <c r="B143" s="533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3" s="533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3" s="545">
        <f>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</f>
        <v/>
      </c>
      <c r="E143" s="545">
        <f>IF(ISNUMBER(INDEX($C$86:$E$86,1,MATCH(IF($B$69="","Base",$B$69),$C$83:$E$83,0))),INDEX($C$86:$E$86,1,MATCH(IF($B$69="","Base",$B$69),$C$83:$E$83,0)),"")</f>
        <v/>
      </c>
      <c r="F143" s="533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3" s="533" t="n"/>
      <c r="H143" s="533" t="n"/>
      <c r="I143" s="533" t="n"/>
      <c r="J143" s="533" t="n"/>
      <c r="K143" s="533" t="n"/>
      <c r="L143" s="533" t="n"/>
      <c r="M143" s="533" t="n"/>
    </row>
    <row r="144" ht="24" customHeight="1">
      <c r="A144" s="533" t="inlineStr">
        <is>
          <t>FY implied revenue ($m)</t>
        </is>
      </c>
      <c r="B144" s="533">
        <f>IFERROR(IF(ISBLANK(INDEX('{ticker}_Investment_Case_Data'!$AC$2:$AC$201,MATCH("market_input|revenue_growth",'{ticker}_Investment_Case_Data'!$W$2:$W$201,0))),"",IF(ISTEXT(INDEX('{ticker}_Investment_Case_Data'!$AC$2:$AC$201,MATCH("market_input|revenue_growth",'{ticker}_Investment_Case_Data'!$W$2:$W$201,0))),INDEX('{ticker}_Investment_Case_Data'!$AC$2:$AC$201,MATCH("market_input|revenue_growth",'{ticker}_Investment_Case_Data'!$W$2:$W$201,0)),"")),"")</f>
        <v/>
      </c>
      <c r="C144" s="533">
        <f>IFERROR(IF(ISBLANK(INDEX('{ticker}_Investment_Case_Data'!$AM$2:$AM$201,MATCH("market_input|revenue_growth",'{ticker}_Investment_Case_Data'!$W$2:$W$201,0))),"",IF(ISTEXT(INDEX('{ticker}_Investment_Case_Data'!$AM$2:$AM$201,MATCH("market_input|revenue_growth",'{ticker}_Investment_Case_Data'!$W$2:$W$201,0))),INDEX('{ticker}_Investment_Case_Data'!$AM$2:$AM$201,MATCH("market_input|revenue_growth",'{ticker}_Investment_Case_Data'!$W$2:$W$201,0)),"")),"")</f>
        <v/>
      </c>
      <c r="D144" s="544">
        <f>IF(NOT(ISNUMBER($F$21)),"",IF(NOT(ISNUMBER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)),"",IF(NOT(ISNUMBER(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),"",$F$21*(1+(IFERROR(IF(ISBLANK(INDEX('{ticker}_Investment_Case_Data'!$AD$2:$AD$201,MATCH("market_input|revenue_growth",'{ticker}_Investment_Case_Data'!$W$2:$W$201,0))),"",IF(ISNUMBER(INDEX('{ticker}_Investment_Case_Data'!$AD$2:$AD$201,MATCH("market_input|revenue_growth",'{ticker}_Investment_Case_Data'!$W$2:$W$201,0))),INDEX('{ticker}_Investment_Case_Data'!$AD$2:$AD$201,MATCH("market_input|revenue_growth",'{ticker}_Investment_Case_Data'!$W$2:$W$201,0)),"")),"")+IFERROR(IF(ISBLANK(INDEX('{ticker}_Investment_Case_Data'!$AE$2:$AE$201,MATCH("market_input|revenue_growth",'{ticker}_Investment_Case_Data'!$W$2:$W$201,0))),"",IF(ISNUMBER(INDEX('{ticker}_Investment_Case_Data'!$AE$2:$AE$201,MATCH("market_input|revenue_growth",'{ticker}_Investment_Case_Data'!$W$2:$W$201,0))),INDEX('{ticker}_Investment_Case_Data'!$AE$2:$AE$201,MATCH("market_input|revenue_growth",'{ticker}_Investment_Case_Data'!$W$2:$W$201,0)),"")),""))/2))))</f>
        <v/>
      </c>
      <c r="E144" s="544">
        <f>IF(ISNUMBER(INDEX($C$85:$E$85,1,MATCH(IF($B$69="","Base",$B$69),$C$83:$E$83,0))),INDEX($C$85:$E$85,1,MATCH(IF($B$69="","Base",$B$69),$C$83:$E$83,0)),"")</f>
        <v/>
      </c>
      <c r="F144" s="533">
        <f>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range","Typed rang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point","Typed point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approximate_point","Approximate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typed_minimum_point","Minimum guidance",IF(IFERROR(IF(ISBLANK(INDEX('{ticker}_Investment_Case_Data'!$AY$2:$AY$201,MATCH("market_input|revenue_growth",'{ticker}_Investment_Case_Data'!$W$2:$W$201,0))),"",IF(ISTEXT(INDEX('{ticker}_Investment_Case_Data'!$AY$2:$AY$201,MATCH("market_input|revenue_growth",'{ticker}_Investment_Case_Data'!$W$2:$W$201,0))),INDEX('{ticker}_Investment_Case_Data'!$AY$2:$AY$201,MATCH("market_input|revenue_growth",'{ticker}_Investment_Case_Data'!$W$2:$W$201,0)),"")),"")="qualitative_only","Qualitative guidance","Unavailable")))))</f>
        <v/>
      </c>
      <c r="G144" s="533" t="n"/>
      <c r="H144" s="533" t="n"/>
      <c r="I144" s="533" t="n"/>
      <c r="J144" s="533" t="n"/>
      <c r="K144" s="533" t="n"/>
      <c r="L144" s="533" t="n"/>
      <c r="M144" s="533" t="n"/>
    </row>
    <row r="145" ht="24" customHeight="1">
      <c r="A145" s="533" t="inlineStr">
        <is>
          <t>FY operating margin (%)</t>
        </is>
      </c>
      <c r="B145" s="533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5" s="533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5" s="545">
        <f>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</f>
        <v/>
      </c>
      <c r="E145" s="545">
        <f>IF(ISNUMBER(INDEX($C$88:$E$88,1,MATCH(IF($B$69="","Base",$B$69),$C$83:$E$83,0))),INDEX($C$88:$E$88,1,MATCH(IF($B$69="","Base",$B$69),$C$83:$E$83,0)),"")</f>
        <v/>
      </c>
      <c r="F145" s="533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5" s="533" t="n"/>
      <c r="H145" s="533" t="n"/>
      <c r="I145" s="533" t="n"/>
      <c r="J145" s="533" t="n"/>
      <c r="K145" s="533" t="n"/>
      <c r="L145" s="533" t="n"/>
      <c r="M145" s="533" t="n"/>
    </row>
    <row r="146" ht="24" customHeight="1">
      <c r="A146" s="533" t="inlineStr">
        <is>
          <t>FY implied operating income ($m)</t>
        </is>
      </c>
      <c r="B146" s="533">
        <f>IFERROR(IF(ISBLANK(INDEX('{ticker}_Investment_Case_Data'!$AC$2:$AC$201,MATCH("market_input|operating_margin",'{ticker}_Investment_Case_Data'!$W$2:$W$201,0))),"",IF(ISTEXT(INDEX('{ticker}_Investment_Case_Data'!$AC$2:$AC$201,MATCH("market_input|operating_margin",'{ticker}_Investment_Case_Data'!$W$2:$W$201,0))),INDEX('{ticker}_Investment_Case_Data'!$AC$2:$AC$201,MATCH("market_input|operating_margin",'{ticker}_Investment_Case_Data'!$W$2:$W$201,0)),"")),"")</f>
        <v/>
      </c>
      <c r="C146" s="533">
        <f>IFERROR(IF(ISBLANK(INDEX('{ticker}_Investment_Case_Data'!$AM$2:$AM$201,MATCH("market_input|operating_margin",'{ticker}_Investment_Case_Data'!$W$2:$W$201,0))),"",IF(ISTEXT(INDEX('{ticker}_Investment_Case_Data'!$AM$2:$AM$201,MATCH("market_input|operating_margin",'{ticker}_Investment_Case_Data'!$W$2:$W$201,0))),INDEX('{ticker}_Investment_Case_Data'!$AM$2:$AM$201,MATCH("market_input|operating_margin",'{ticker}_Investment_Case_Data'!$W$2:$W$201,0)),"")),"")</f>
        <v/>
      </c>
      <c r="D146" s="544">
        <f>IF(NOT(ISNUMBER(D144)),"",IF(NOT(ISNUMBER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)),"",IF(NOT(ISNUMBER(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),"",D144*(IFERROR(IF(ISBLANK(INDEX('{ticker}_Investment_Case_Data'!$AD$2:$AD$201,MATCH("market_input|operating_margin",'{ticker}_Investment_Case_Data'!$W$2:$W$201,0))),"",IF(ISNUMBER(INDEX('{ticker}_Investment_Case_Data'!$AD$2:$AD$201,MATCH("market_input|operating_margin",'{ticker}_Investment_Case_Data'!$W$2:$W$201,0))),INDEX('{ticker}_Investment_Case_Data'!$AD$2:$AD$201,MATCH("market_input|operating_margin",'{ticker}_Investment_Case_Data'!$W$2:$W$201,0)),"")),"")+IFERROR(IF(ISBLANK(INDEX('{ticker}_Investment_Case_Data'!$AE$2:$AE$201,MATCH("market_input|operating_margin",'{ticker}_Investment_Case_Data'!$W$2:$W$201,0))),"",IF(ISNUMBER(INDEX('{ticker}_Investment_Case_Data'!$AE$2:$AE$201,MATCH("market_input|operating_margin",'{ticker}_Investment_Case_Data'!$W$2:$W$201,0))),INDEX('{ticker}_Investment_Case_Data'!$AE$2:$AE$201,MATCH("market_input|operating_margin",'{ticker}_Investment_Case_Data'!$W$2:$W$201,0)),"")),""))/2)))</f>
        <v/>
      </c>
      <c r="E146" s="544">
        <f>IF(ISNUMBER(INDEX($C$89:$E$89,1,MATCH(IF($B$69="","Base",$B$69),$C$83:$E$83,0))),INDEX($C$89:$E$89,1,MATCH(IF($B$69="","Base",$B$69),$C$83:$E$83,0)),"")</f>
        <v/>
      </c>
      <c r="F146" s="533">
        <f>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range","Typed rang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point","Typed point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approximate_point","Approximate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typed_minimum_point","Minimum guidance",IF(IFERROR(IF(ISBLANK(INDEX('{ticker}_Investment_Case_Data'!$AY$2:$AY$201,MATCH("market_input|operating_margin",'{ticker}_Investment_Case_Data'!$W$2:$W$201,0))),"",IF(ISTEXT(INDEX('{ticker}_Investment_Case_Data'!$AY$2:$AY$201,MATCH("market_input|operating_margin",'{ticker}_Investment_Case_Data'!$W$2:$W$201,0))),INDEX('{ticker}_Investment_Case_Data'!$AY$2:$AY$201,MATCH("market_input|operating_margin",'{ticker}_Investment_Case_Data'!$W$2:$W$201,0)),"")),"")="qualitative_only","Qualitative guidance","Unavailable")))))</f>
        <v/>
      </c>
      <c r="G146" s="533" t="n"/>
      <c r="H146" s="533" t="n"/>
      <c r="I146" s="533" t="n"/>
      <c r="J146" s="533" t="n"/>
      <c r="K146" s="533" t="n"/>
      <c r="L146" s="533" t="n"/>
      <c r="M146" s="533" t="n"/>
    </row>
    <row r="147" ht="24" customHeight="1">
      <c r="A147" s="533" t="inlineStr">
        <is>
          <t>FY adjusted earnings/share ($/share)</t>
        </is>
      </c>
      <c r="B147" s="533">
        <f>IFERROR(IF(ISBLANK(INDEX('{ticker}_Investment_Case_Data'!$AC$2:$AC$201,MATCH("market_input|adjusted_eps_guidance",'{ticker}_Investment_Case_Data'!$W$2:$W$201,0))),"",IF(ISTEXT(INDEX('{ticker}_Investment_Case_Data'!$AC$2:$AC$201,MATCH("market_input|adjusted_eps_guidance",'{ticker}_Investment_Case_Data'!$W$2:$W$201,0))),INDEX('{ticker}_Investment_Case_Data'!$AC$2:$AC$201,MATCH("market_input|adjusted_eps_guidance",'{ticker}_Investment_Case_Data'!$W$2:$W$201,0)),"")),"")</f>
        <v/>
      </c>
      <c r="C147" s="533">
        <f>IFERROR(IF(ISBLANK(INDEX('{ticker}_Investment_Case_Data'!$AM$2:$AM$201,MATCH("market_input|adjusted_eps_guidance",'{ticker}_Investment_Case_Data'!$W$2:$W$201,0))),"",IF(ISTEXT(INDEX('{ticker}_Investment_Case_Data'!$AM$2:$AM$201,MATCH("market_input|adjusted_eps_guidance",'{ticker}_Investment_Case_Data'!$W$2:$W$201,0))),INDEX('{ticker}_Investment_Case_Data'!$AM$2:$AM$201,MATCH("market_input|adjusted_eps_guidance",'{ticker}_Investment_Case_Data'!$W$2:$W$201,0)),"")),"")</f>
        <v/>
      </c>
      <c r="D147" s="542">
        <f>IF(NOT(ISNUMBER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)),"",IF(NOT(ISNUMBER(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),"",(IFERROR(IF(ISBLANK(INDEX('{ticker}_Investment_Case_Data'!$AD$2:$AD$201,MATCH("market_input|adjusted_eps_guidance",'{ticker}_Investment_Case_Data'!$W$2:$W$201,0))),"",IF(ISNUMBER(INDEX('{ticker}_Investment_Case_Data'!$AD$2:$AD$201,MATCH("market_input|adjusted_eps_guidance",'{ticker}_Investment_Case_Data'!$W$2:$W$201,0))),INDEX('{ticker}_Investment_Case_Data'!$AD$2:$AD$201,MATCH("market_input|adjusted_eps_guidance",'{ticker}_Investment_Case_Data'!$W$2:$W$201,0)),"")),"")+IFERROR(IF(ISBLANK(INDEX('{ticker}_Investment_Case_Data'!$AE$2:$AE$201,MATCH("market_input|adjusted_eps_guidance",'{ticker}_Investment_Case_Data'!$W$2:$W$201,0))),"",IF(ISNUMBER(INDEX('{ticker}_Investment_Case_Data'!$AE$2:$AE$201,MATCH("market_input|adjusted_eps_guidance",'{ticker}_Investment_Case_Data'!$W$2:$W$201,0))),INDEX('{ticker}_Investment_Case_Data'!$AE$2:$AE$201,MATCH("market_input|adjusted_eps_guidance",'{ticker}_Investment_Case_Data'!$W$2:$W$201,0)),"")),""))/2))</f>
        <v/>
      </c>
      <c r="E147" s="542">
        <f>IF(ISNUMBER(INDEX($C$98:$E$98,1,MATCH(IF($B$69="","Base",$B$69),$C$83:$E$83,0))),INDEX($C$98:$E$98,1,MATCH(IF($B$69="","Base",$B$69),$C$83:$E$83,0)),"")</f>
        <v/>
      </c>
      <c r="F147" s="533">
        <f>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range","Typed rang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point","Typed point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approximate_point","Approximate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typed_minimum_point","Minimum guidance",IF(IFERROR(IF(ISBLANK(INDEX('{ticker}_Investment_Case_Data'!$AY$2:$AY$201,MATCH("market_input|adjusted_eps_guidance",'{ticker}_Investment_Case_Data'!$W$2:$W$201,0))),"",IF(ISTEXT(INDEX('{ticker}_Investment_Case_Data'!$AY$2:$AY$201,MATCH("market_input|adjusted_eps_guidance",'{ticker}_Investment_Case_Data'!$W$2:$W$201,0))),INDEX('{ticker}_Investment_Case_Data'!$AY$2:$AY$201,MATCH("market_input|adjusted_eps_guidance",'{ticker}_Investment_Case_Data'!$W$2:$W$201,0)),"")),"")="qualitative_only","Qualitative guidance","Unavailable")))))</f>
        <v/>
      </c>
      <c r="G147" s="533" t="n"/>
      <c r="H147" s="533" t="n"/>
      <c r="I147" s="533" t="n"/>
      <c r="J147" s="533" t="n"/>
      <c r="K147" s="533" t="n"/>
      <c r="L147" s="533" t="n"/>
      <c r="M147" s="533" t="n"/>
    </row>
    <row r="148" ht="24" customHeight="1">
      <c r="A148" s="533" t="inlineStr">
        <is>
          <t>Latest-quarter revenue growth (%)</t>
        </is>
      </c>
      <c r="B148" s="533">
        <f>IFERROR(IF(ISBLANK(INDEX('{ticker}_Investment_Case_Data'!$AF$2:$AF$201,MATCH("market_input|revenue_growth",'{ticker}_Investment_Case_Data'!$W$2:$W$201,0))),"",IF(ISTEXT(INDEX('{ticker}_Investment_Case_Data'!$AF$2:$AF$201,MATCH("market_input|revenue_growth",'{ticker}_Investment_Case_Data'!$W$2:$W$201,0))),INDEX('{ticker}_Investment_Case_Data'!$AF$2:$AF$201,MATCH("market_input|revenue_growth",'{ticker}_Investment_Case_Data'!$W$2:$W$201,0)),"")),"")</f>
        <v/>
      </c>
      <c r="C148" s="533">
        <f>IFERROR(IF(ISBLANK(INDEX('{ticker}_Investment_Case_Data'!$AN$2:$AN$201,MATCH("market_input|revenue_growth",'{ticker}_Investment_Case_Data'!$W$2:$W$201,0))),"",IF(ISTEXT(INDEX('{ticker}_Investment_Case_Data'!$AN$2:$AN$201,MATCH("market_input|revenue_growth",'{ticker}_Investment_Case_Data'!$W$2:$W$201,0))),INDEX('{ticker}_Investment_Case_Data'!$AN$2:$AN$201,MATCH("market_input|revenue_growth",'{ticker}_Investment_Case_Data'!$W$2:$W$201,0)),"")),"")</f>
        <v/>
      </c>
      <c r="D148" s="545">
        <f>IF(NOT(ISNUMBER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)),"",IF(NOT(ISNUMBER(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),"",(IFERROR(IF(ISBLANK(INDEX('{ticker}_Investment_Case_Data'!$AG$2:$AG$201,MATCH("market_input|revenue_growth",'{ticker}_Investment_Case_Data'!$W$2:$W$201,0))),"",IF(ISNUMBER(INDEX('{ticker}_Investment_Case_Data'!$AG$2:$AG$201,MATCH("market_input|revenue_growth",'{ticker}_Investment_Case_Data'!$W$2:$W$201,0))),INDEX('{ticker}_Investment_Case_Data'!$AG$2:$AG$201,MATCH("market_input|revenue_growth",'{ticker}_Investment_Case_Data'!$W$2:$W$201,0)),"")),"")+IFERROR(IF(ISBLANK(INDEX('{ticker}_Investment_Case_Data'!$AH$2:$AH$201,MATCH("market_input|revenue_growth",'{ticker}_Investment_Case_Data'!$W$2:$W$201,0))),"",IF(ISNUMBER(INDEX('{ticker}_Investment_Case_Data'!$AH$2:$AH$201,MATCH("market_input|revenue_growth",'{ticker}_Investment_Case_Data'!$W$2:$W$201,0))),INDEX('{ticker}_Investment_Case_Data'!$AH$2:$AH$201,MATCH("market_input|revenue_growth",'{ticker}_Investment_Case_Data'!$W$2:$W$201,0)),"")),""))/2))</f>
        <v/>
      </c>
      <c r="E148" s="533">
        <f>"Quarterly comparison only"</f>
        <v/>
      </c>
      <c r="F148" s="533">
        <f>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range","Typed rang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point","Typed point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approximate_point","Approximate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typed_minimum_point","Minimum guidance",IF(IFERROR(IF(ISBLANK(INDEX('{ticker}_Investment_Case_Data'!$AZ$2:$AZ$201,MATCH("market_input|revenue_growth",'{ticker}_Investment_Case_Data'!$W$2:$W$201,0))),"",IF(ISTEXT(INDEX('{ticker}_Investment_Case_Data'!$AZ$2:$AZ$201,MATCH("market_input|revenue_growth",'{ticker}_Investment_Case_Data'!$W$2:$W$201,0))),INDEX('{ticker}_Investment_Case_Data'!$AZ$2:$AZ$201,MATCH("market_input|revenue_growth",'{ticker}_Investment_Case_Data'!$W$2:$W$201,0)),"")),"")="qualitative_only","Qualitative guidance","Unavailable")))))</f>
        <v/>
      </c>
      <c r="G148" s="533" t="n"/>
      <c r="H148" s="533" t="n"/>
      <c r="I148" s="533" t="n"/>
      <c r="J148" s="533" t="n"/>
      <c r="K148" s="533" t="n"/>
      <c r="L148" s="533" t="n"/>
      <c r="M148" s="533" t="n"/>
    </row>
    <row r="149" ht="24" customHeight="1">
      <c r="A149" s="533" t="inlineStr">
        <is>
          <t>Latest-quarter operating margin (%)</t>
        </is>
      </c>
      <c r="B149" s="533">
        <f>IFERROR(IF(ISBLANK(INDEX('{ticker}_Investment_Case_Data'!$AF$2:$AF$201,MATCH("market_input|operating_margin",'{ticker}_Investment_Case_Data'!$W$2:$W$201,0))),"",IF(ISTEXT(INDEX('{ticker}_Investment_Case_Data'!$AF$2:$AF$201,MATCH("market_input|operating_margin",'{ticker}_Investment_Case_Data'!$W$2:$W$201,0))),INDEX('{ticker}_Investment_Case_Data'!$AF$2:$AF$201,MATCH("market_input|operating_margin",'{ticker}_Investment_Case_Data'!$W$2:$W$201,0)),"")),"")</f>
        <v/>
      </c>
      <c r="C149" s="533">
        <f>IFERROR(IF(ISBLANK(INDEX('{ticker}_Investment_Case_Data'!$AN$2:$AN$201,MATCH("market_input|operating_margin",'{ticker}_Investment_Case_Data'!$W$2:$W$201,0))),"",IF(ISTEXT(INDEX('{ticker}_Investment_Case_Data'!$AN$2:$AN$201,MATCH("market_input|operating_margin",'{ticker}_Investment_Case_Data'!$W$2:$W$201,0))),INDEX('{ticker}_Investment_Case_Data'!$AN$2:$AN$201,MATCH("market_input|operating_margin",'{ticker}_Investment_Case_Data'!$W$2:$W$201,0)),"")),"")</f>
        <v/>
      </c>
      <c r="D149" s="545">
        <f>IF(NOT(ISNUMBER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)),"",IF(NOT(ISNUMBER(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),"",(IFERROR(IF(ISBLANK(INDEX('{ticker}_Investment_Case_Data'!$AG$2:$AG$201,MATCH("market_input|operating_margin",'{ticker}_Investment_Case_Data'!$W$2:$W$201,0))),"",IF(ISNUMBER(INDEX('{ticker}_Investment_Case_Data'!$AG$2:$AG$201,MATCH("market_input|operating_margin",'{ticker}_Investment_Case_Data'!$W$2:$W$201,0))),INDEX('{ticker}_Investment_Case_Data'!$AG$2:$AG$201,MATCH("market_input|operating_margin",'{ticker}_Investment_Case_Data'!$W$2:$W$201,0)),"")),"")+IFERROR(IF(ISBLANK(INDEX('{ticker}_Investment_Case_Data'!$AH$2:$AH$201,MATCH("market_input|operating_margin",'{ticker}_Investment_Case_Data'!$W$2:$W$201,0))),"",IF(ISNUMBER(INDEX('{ticker}_Investment_Case_Data'!$AH$2:$AH$201,MATCH("market_input|operating_margin",'{ticker}_Investment_Case_Data'!$W$2:$W$201,0))),INDEX('{ticker}_Investment_Case_Data'!$AH$2:$AH$201,MATCH("market_input|operating_margin",'{ticker}_Investment_Case_Data'!$W$2:$W$201,0)),"")),""))/2))</f>
        <v/>
      </c>
      <c r="E149" s="533">
        <f>"Quarterly comparison only"</f>
        <v/>
      </c>
      <c r="F149" s="533">
        <f>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range","Typed rang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point","Typed point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approximate_point","Approximate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typed_minimum_point","Minimum guidance",IF(IFERROR(IF(ISBLANK(INDEX('{ticker}_Investment_Case_Data'!$AZ$2:$AZ$201,MATCH("market_input|operating_margin",'{ticker}_Investment_Case_Data'!$W$2:$W$201,0))),"",IF(ISTEXT(INDEX('{ticker}_Investment_Case_Data'!$AZ$2:$AZ$201,MATCH("market_input|operating_margin",'{ticker}_Investment_Case_Data'!$W$2:$W$201,0))),INDEX('{ticker}_Investment_Case_Data'!$AZ$2:$AZ$201,MATCH("market_input|operating_margin",'{ticker}_Investment_Case_Data'!$W$2:$W$201,0)),"")),"")="qualitative_only","Qualitative guidance","Unavailable")))))</f>
        <v/>
      </c>
      <c r="G149" s="533" t="n"/>
      <c r="H149" s="533" t="n"/>
      <c r="I149" s="533" t="n"/>
      <c r="J149" s="533" t="n"/>
      <c r="K149" s="533" t="n"/>
      <c r="L149" s="533" t="n"/>
      <c r="M149" s="533" t="n"/>
    </row>
    <row r="150" ht="24" customHeight="1">
      <c r="A150" s="533" t="inlineStr">
        <is>
          <t>Latest-quarter adjusted EPS ($/share)</t>
        </is>
      </c>
      <c r="B150" s="533">
        <f>IFERROR(IF(ISBLANK(INDEX('{ticker}_Investment_Case_Data'!$AF$2:$AF$201,MATCH("market_input|adjusted_eps_guidance",'{ticker}_Investment_Case_Data'!$W$2:$W$201,0))),"",IF(ISTEXT(INDEX('{ticker}_Investment_Case_Data'!$AF$2:$AF$201,MATCH("market_input|adjusted_eps_guidance",'{ticker}_Investment_Case_Data'!$W$2:$W$201,0))),INDEX('{ticker}_Investment_Case_Data'!$AF$2:$AF$201,MATCH("market_input|adjusted_eps_guidance",'{ticker}_Investment_Case_Data'!$W$2:$W$201,0)),"")),"")</f>
        <v/>
      </c>
      <c r="C150" s="533">
        <f>IFERROR(IF(ISBLANK(INDEX('{ticker}_Investment_Case_Data'!$AN$2:$AN$201,MATCH("market_input|adjusted_eps_guidance",'{ticker}_Investment_Case_Data'!$W$2:$W$201,0))),"",IF(ISTEXT(INDEX('{ticker}_Investment_Case_Data'!$AN$2:$AN$201,MATCH("market_input|adjusted_eps_guidance",'{ticker}_Investment_Case_Data'!$W$2:$W$201,0))),INDEX('{ticker}_Investment_Case_Data'!$AN$2:$AN$201,MATCH("market_input|adjusted_eps_guidance",'{ticker}_Investment_Case_Data'!$W$2:$W$201,0)),"")),"")</f>
        <v/>
      </c>
      <c r="D150" s="542">
        <f>IF(NOT(ISNUMBER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)),"",IF(NOT(ISNUMBER(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),"",(IFERROR(IF(ISBLANK(INDEX('{ticker}_Investment_Case_Data'!$AG$2:$AG$201,MATCH("market_input|adjusted_eps_guidance",'{ticker}_Investment_Case_Data'!$W$2:$W$201,0))),"",IF(ISNUMBER(INDEX('{ticker}_Investment_Case_Data'!$AG$2:$AG$201,MATCH("market_input|adjusted_eps_guidance",'{ticker}_Investment_Case_Data'!$W$2:$W$201,0))),INDEX('{ticker}_Investment_Case_Data'!$AG$2:$AG$201,MATCH("market_input|adjusted_eps_guidance",'{ticker}_Investment_Case_Data'!$W$2:$W$201,0)),"")),"")+IFERROR(IF(ISBLANK(INDEX('{ticker}_Investment_Case_Data'!$AH$2:$AH$201,MATCH("market_input|adjusted_eps_guidance",'{ticker}_Investment_Case_Data'!$W$2:$W$201,0))),"",IF(ISNUMBER(INDEX('{ticker}_Investment_Case_Data'!$AH$2:$AH$201,MATCH("market_input|adjusted_eps_guidance",'{ticker}_Investment_Case_Data'!$W$2:$W$201,0))),INDEX('{ticker}_Investment_Case_Data'!$AH$2:$AH$201,MATCH("market_input|adjusted_eps_guidance",'{ticker}_Investment_Case_Data'!$W$2:$W$201,0)),"")),""))/2))</f>
        <v/>
      </c>
      <c r="E150" s="533">
        <f>"Quarterly comparison only"</f>
        <v/>
      </c>
      <c r="F150" s="533">
        <f>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range","Typed rang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point","Typed point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approximate_point","Approximate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typed_minimum_point","Minimum guidance",IF(IFERROR(IF(ISBLANK(INDEX('{ticker}_Investment_Case_Data'!$AZ$2:$AZ$201,MATCH("market_input|adjusted_eps_guidance",'{ticker}_Investment_Case_Data'!$W$2:$W$201,0))),"",IF(ISTEXT(INDEX('{ticker}_Investment_Case_Data'!$AZ$2:$AZ$201,MATCH("market_input|adjusted_eps_guidance",'{ticker}_Investment_Case_Data'!$W$2:$W$201,0))),INDEX('{ticker}_Investment_Case_Data'!$AZ$2:$AZ$201,MATCH("market_input|adjusted_eps_guidance",'{ticker}_Investment_Case_Data'!$W$2:$W$201,0)),"")),"")="qualitative_only","Qualitative guidance","Unavailable")))))</f>
        <v/>
      </c>
      <c r="G150" s="533" t="n"/>
      <c r="H150" s="533" t="n"/>
      <c r="I150" s="533" t="n"/>
      <c r="J150" s="533" t="n"/>
      <c r="K150" s="533" t="n"/>
      <c r="L150" s="533" t="n"/>
      <c r="M150" s="533" t="n"/>
    </row>
    <row r="151" ht="21" customHeight="1">
      <c r="A151" s="546" t="n"/>
      <c r="B151" s="546" t="n"/>
      <c r="C151" s="546" t="n"/>
      <c r="D151" s="546" t="n"/>
      <c r="E151" s="546" t="n"/>
      <c r="F151" s="546" t="n"/>
      <c r="G151" s="546" t="n"/>
      <c r="H151" s="546" t="n"/>
      <c r="I151" s="546" t="n"/>
      <c r="J151" s="546" t="n"/>
      <c r="K151" s="546" t="n"/>
      <c r="L151" s="546" t="n"/>
      <c r="M151" s="546" t="n"/>
    </row>
    <row r="152" ht="26" customHeight="1">
      <c r="A152" s="527" t="inlineStr">
        <is>
          <t>DCF and Equity Value</t>
        </is>
      </c>
      <c r="B152" s="47" t="n"/>
      <c r="C152" s="47" t="n"/>
      <c r="D152" s="47" t="n"/>
      <c r="E152" s="47" t="n"/>
      <c r="F152" s="47" t="n"/>
      <c r="G152" s="47" t="n"/>
      <c r="H152" s="47" t="n"/>
      <c r="I152" s="47" t="n"/>
      <c r="J152" s="47" t="n"/>
      <c r="K152" s="47" t="n"/>
      <c r="L152" s="47" t="n"/>
      <c r="M152" s="46" t="n"/>
    </row>
    <row r="153" ht="42" customHeight="1">
      <c r="A153" s="534" t="inlineStr">
        <is>
          <t>DCF estimates enterprise value from future FCFF. Forecast cash flows and terminal value are discounted using WACC; net debt/cash then bridges enterprise value to equity value.</t>
        </is>
      </c>
      <c r="B153" s="535" t="n"/>
      <c r="C153" s="535" t="n"/>
      <c r="D153" s="535" t="n"/>
      <c r="E153" s="535" t="n"/>
      <c r="F153" s="535" t="n"/>
      <c r="G153" s="535" t="n"/>
      <c r="H153" s="535" t="n"/>
      <c r="I153" s="535" t="n"/>
      <c r="J153" s="535" t="n"/>
      <c r="K153" s="535" t="n"/>
      <c r="L153" s="535" t="n"/>
      <c r="M153" s="536" t="n"/>
    </row>
    <row r="154" ht="22" customHeight="1">
      <c r="A154" s="541" t="inlineStr">
        <is>
          <t>DCF Forecast</t>
        </is>
      </c>
      <c r="B154" s="535" t="n"/>
      <c r="C154" s="535" t="n"/>
      <c r="D154" s="535" t="n"/>
      <c r="E154" s="535" t="n"/>
      <c r="F154" s="536" t="n"/>
      <c r="G154" s="541" t="inlineStr">
        <is>
          <t>DCF Valuation Bridge</t>
        </is>
      </c>
      <c r="H154" s="535" t="n"/>
      <c r="I154" s="535" t="n"/>
      <c r="J154" s="535" t="n"/>
      <c r="K154" s="535" t="n"/>
      <c r="L154" s="535" t="n"/>
      <c r="M154" s="536" t="n"/>
    </row>
    <row r="155" ht="28" customHeight="1">
      <c r="A155" s="537" t="inlineStr">
        <is>
          <t>FCFF component</t>
        </is>
      </c>
      <c r="B155" s="537" t="inlineStr">
        <is>
          <t>Year 1</t>
        </is>
      </c>
      <c r="C155" s="537" t="inlineStr">
        <is>
          <t>Year 2</t>
        </is>
      </c>
      <c r="D155" s="537" t="inlineStr">
        <is>
          <t>Year 3</t>
        </is>
      </c>
      <c r="E155" s="537" t="inlineStr">
        <is>
          <t>Year 4</t>
        </is>
      </c>
      <c r="F155" s="537" t="inlineStr">
        <is>
          <t>Year 5</t>
        </is>
      </c>
      <c r="G155" s="537" t="inlineStr">
        <is>
          <t>Metric</t>
        </is>
      </c>
      <c r="H155" s="537" t="inlineStr">
        <is>
          <t>Value</t>
        </is>
      </c>
      <c r="I155" s="537" t="inlineStr">
        <is>
          <t>State</t>
        </is>
      </c>
      <c r="J155" s="537" t="n"/>
      <c r="K155" s="537" t="n"/>
      <c r="L155" s="537" t="n"/>
      <c r="M155" s="537" t="n"/>
    </row>
    <row r="156" ht="24" customHeight="1">
      <c r="A156" s="533" t="inlineStr">
        <is>
          <t>Revenue ($m)</t>
        </is>
      </c>
      <c r="B156" s="544">
        <f>IF(NOT(ISNUMBER($D$114)),"",IF(NOT(ISNUMBER(INDEX($C$85:$E$85,1,MATCH(IF($B$69="","Base",$B$69),$C$83:$E$83,0)))),"",IF(NOT(ISNUMBER($D$111)),"",IF($D$114&lt;1,"",INDEX($C$85:$E$85,1,MATCH(IF($B$69="","Base",$B$69),$C$83:$E$83,0))*(1+$D$111)))))</f>
        <v/>
      </c>
      <c r="C156" s="544">
        <f>IF(NOT(ISNUMBER($D$114)),"",IF(NOT(ISNUMBER(B156)),"",IF(NOT(ISNUMBER($D$111)),"",IF($D$114&lt;2,"",B156*(1+$D$111)))))</f>
        <v/>
      </c>
      <c r="D156" s="544">
        <f>IF(NOT(ISNUMBER($D$114)),"",IF(NOT(ISNUMBER(C156)),"",IF(NOT(ISNUMBER($D$111)),"",IF($D$114&lt;3,"",C156*(1+$D$111)))))</f>
        <v/>
      </c>
      <c r="E156" s="544">
        <f>IF(NOT(ISNUMBER($D$114)),"",IF(NOT(ISNUMBER(D156)),"",IF(NOT(ISNUMBER($D$111)),"",IF($D$114&lt;4,"",D156*(1+$D$111)))))</f>
        <v/>
      </c>
      <c r="F156" s="544">
        <f>IF(NOT(ISNUMBER($D$114)),"",IF(NOT(ISNUMBER(E156)),"",IF(NOT(ISNUMBER($D$111)),"",IF($D$114&lt;5,"",E156*(1+$D$111)))))</f>
        <v/>
      </c>
      <c r="G156" s="533" t="inlineStr">
        <is>
          <t>Forecast period</t>
        </is>
      </c>
      <c r="H156" s="560">
        <f>IF(ISNUMBER($D$114),$D$114,"")</f>
        <v/>
      </c>
      <c r="I156" s="533">
        <f>IF(ISNUMBER(H156),"Available","Unavailable")</f>
        <v/>
      </c>
      <c r="J156" s="533" t="n"/>
      <c r="K156" s="533" t="n"/>
      <c r="L156" s="533" t="n"/>
      <c r="M156" s="533" t="n"/>
    </row>
    <row r="157" ht="24" customHeight="1">
      <c r="A157" s="533" t="inlineStr">
        <is>
          <t>Operating margin (%)</t>
        </is>
      </c>
      <c r="B157" s="545">
        <f>IF(NOT(ISNUMBER(B156)),"",IF(NOT(ISNUMBER(INDEX($C$88:$E$88,1,MATCH(IF($B$69="","Base",$B$69),$C$83:$E$83,0)))),"",INDEX($C$88:$E$88,1,MATCH(IF($B$69="","Base",$B$69),$C$83:$E$83,0))))</f>
        <v/>
      </c>
      <c r="C157" s="545">
        <f>IF(NOT(ISNUMBER(C156)),"",IF(NOT(ISNUMBER(INDEX($C$88:$E$88,1,MATCH(IF($B$69="","Base",$B$69),$C$83:$E$83,0)))),"",INDEX($C$88:$E$88,1,MATCH(IF($B$69="","Base",$B$69),$C$83:$E$83,0))))</f>
        <v/>
      </c>
      <c r="D157" s="545">
        <f>IF(NOT(ISNUMBER(D156)),"",IF(NOT(ISNUMBER(INDEX($C$88:$E$88,1,MATCH(IF($B$69="","Base",$B$69),$C$83:$E$83,0)))),"",INDEX($C$88:$E$88,1,MATCH(IF($B$69="","Base",$B$69),$C$83:$E$83,0))))</f>
        <v/>
      </c>
      <c r="E157" s="545">
        <f>IF(NOT(ISNUMBER(E156)),"",IF(NOT(ISNUMBER(INDEX($C$88:$E$88,1,MATCH(IF($B$69="","Base",$B$69),$C$83:$E$83,0)))),"",INDEX($C$88:$E$88,1,MATCH(IF($B$69="","Base",$B$69),$C$83:$E$83,0))))</f>
        <v/>
      </c>
      <c r="F157" s="545">
        <f>IF(NOT(ISNUMBER(F156)),"",IF(NOT(ISNUMBER(INDEX($C$88:$E$88,1,MATCH(IF($B$69="","Base",$B$69),$C$83:$E$83,0)))),"",INDEX($C$88:$E$88,1,MATCH(IF($B$69="","Base",$B$69),$C$83:$E$83,0))))</f>
        <v/>
      </c>
      <c r="G157" s="533" t="inlineStr">
        <is>
          <t>WACC</t>
        </is>
      </c>
      <c r="H157" s="545">
        <f>IF(ISNUMBER($D$112),$D$112,"")</f>
        <v/>
      </c>
      <c r="I157" s="533">
        <f>IF(ISNUMBER(H157),"Available","Unavailable")</f>
        <v/>
      </c>
      <c r="J157" s="533" t="n"/>
      <c r="K157" s="533" t="n"/>
      <c r="L157" s="533" t="n"/>
      <c r="M157" s="533" t="n"/>
    </row>
    <row r="158" ht="24" customHeight="1">
      <c r="A158" s="533" t="inlineStr">
        <is>
          <t>EBIT ($m)</t>
        </is>
      </c>
      <c r="B158" s="544">
        <f>IF(NOT(ISNUMBER(B156)),"",IF(NOT(ISNUMBER(B157)),"",B156*B157))</f>
        <v/>
      </c>
      <c r="C158" s="544">
        <f>IF(NOT(ISNUMBER(C156)),"",IF(NOT(ISNUMBER(C157)),"",C156*C157))</f>
        <v/>
      </c>
      <c r="D158" s="544">
        <f>IF(NOT(ISNUMBER(D156)),"",IF(NOT(ISNUMBER(D157)),"",D156*D157))</f>
        <v/>
      </c>
      <c r="E158" s="544">
        <f>IF(NOT(ISNUMBER(E156)),"",IF(NOT(ISNUMBER(E157)),"",E156*E157))</f>
        <v/>
      </c>
      <c r="F158" s="544">
        <f>IF(NOT(ISNUMBER(F156)),"",IF(NOT(ISNUMBER(F157)),"",F156*F157))</f>
        <v/>
      </c>
      <c r="G158" s="533" t="inlineStr">
        <is>
          <t>Terminal growth</t>
        </is>
      </c>
      <c r="H158" s="545">
        <f>IF(ISNUMBER($D$113),$D$113,"")</f>
        <v/>
      </c>
      <c r="I158" s="533">
        <f>IF(ISNUMBER(H158),"Available","Unavailable")</f>
        <v/>
      </c>
      <c r="J158" s="533" t="n"/>
      <c r="K158" s="533" t="n"/>
      <c r="L158" s="533" t="n"/>
      <c r="M158" s="533" t="n"/>
    </row>
    <row r="159" ht="24" customHeight="1">
      <c r="A159" s="533" t="inlineStr">
        <is>
          <t>Taxes ($m)</t>
        </is>
      </c>
      <c r="B159" s="544">
        <f>IF(NOT(ISNUMBER(B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B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C159" s="544">
        <f>IF(NOT(ISNUMBER(C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C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D159" s="544">
        <f>IF(NOT(ISNUMBER(D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D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E159" s="544">
        <f>IF(NOT(ISNUMBER(E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E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F159" s="544">
        <f>IF(NOT(ISNUMBER(F158)),"",IF(NOT(ISNUMBER(IF(INDEX($C$60:$E$60,1,MATCH(IF($B$69="","Base",$B$69),$C$41:$E$41,0))="",$B$60,IF(ISNUMBER(INDEX($C$60:$E$60,1,MATCH(IF($B$69="","Base",$B$69),$C$41:$E$41,0))),INDEX($C$60:$E$60,1,MATCH(IF($B$69="","Base",$B$69),$C$41:$E$41,0)),"Unavailable")))),"",IF(IF(INDEX($C$60:$E$60,1,MATCH(IF($B$69="","Base",$B$69),$C$41:$E$41,0))="",$B$60,IF(ISNUMBER(INDEX($C$60:$E$60,1,MATCH(IF($B$69="","Base",$B$69),$C$41:$E$41,0))),INDEX($C$60:$E$60,1,MATCH(IF($B$69="","Base",$B$69),$C$41:$E$41,0)),"Unavailable"))&lt;0,"",IF(IF(INDEX($C$60:$E$60,1,MATCH(IF($B$69="","Base",$B$69),$C$41:$E$41,0))="",$B$60,IF(ISNUMBER(INDEX($C$60:$E$60,1,MATCH(IF($B$69="","Base",$B$69),$C$41:$E$41,0))),INDEX($C$60:$E$60,1,MATCH(IF($B$69="","Base",$B$69),$C$41:$E$41,0)),"Unavailable"))&gt;1,"",-F158*IF(INDEX($C$60:$E$60,1,MATCH(IF($B$69="","Base",$B$69),$C$41:$E$41,0))="",$B$60,IF(ISNUMBER(INDEX($C$60:$E$60,1,MATCH(IF($B$69="","Base",$B$69),$C$41:$E$41,0))),INDEX($C$60:$E$60,1,MATCH(IF($B$69="","Base",$B$69),$C$41:$E$41,0)),"Unavailable"))))))</f>
        <v/>
      </c>
      <c r="G159" s="533" t="inlineStr">
        <is>
          <t>Present value of forecast FCFF</t>
        </is>
      </c>
      <c r="H159" s="544">
        <f>IF(NOT(ISNUMBER($D$114)),"",IF($D$114&lt;1,"",IF($D$114&gt;5,"",IF(MOD($D$114,1)&lt;&gt;0,"",IF(COUNT(B165:F165)&lt;&gt;$D$114,"",SUM(B165:F165))))))</f>
        <v/>
      </c>
      <c r="I159" s="533">
        <f>IF(ISNUMBER(H159),"Available","Unavailable")</f>
        <v/>
      </c>
      <c r="J159" s="533" t="n"/>
      <c r="K159" s="533" t="n"/>
      <c r="L159" s="533" t="n"/>
      <c r="M159" s="533" t="n"/>
    </row>
    <row r="160" ht="24" customHeight="1">
      <c r="A160" s="533" t="inlineStr">
        <is>
          <t>D&amp;A ($m)</t>
        </is>
      </c>
      <c r="B160" s="544">
        <f>IF(NOT(ISNUMBER(B156)),"",IF(NOT(ISNUMBER($F$32)),"",IF(NOT(ISNUMBER($F$21)),"",IF($F$21=0,"",$F$32/$F$21*B156))))</f>
        <v/>
      </c>
      <c r="C160" s="544">
        <f>IF(NOT(ISNUMBER(C156)),"",IF(NOT(ISNUMBER($F$32)),"",IF(NOT(ISNUMBER($F$21)),"",IF($F$21=0,"",$F$32/$F$21*C156))))</f>
        <v/>
      </c>
      <c r="D160" s="544">
        <f>IF(NOT(ISNUMBER(D156)),"",IF(NOT(ISNUMBER($F$32)),"",IF(NOT(ISNUMBER($F$21)),"",IF($F$21=0,"",$F$32/$F$21*D156))))</f>
        <v/>
      </c>
      <c r="E160" s="544">
        <f>IF(NOT(ISNUMBER(E156)),"",IF(NOT(ISNUMBER($F$32)),"",IF(NOT(ISNUMBER($F$21)),"",IF($F$21=0,"",$F$32/$F$21*E156))))</f>
        <v/>
      </c>
      <c r="F160" s="544">
        <f>IF(NOT(ISNUMBER(F156)),"",IF(NOT(ISNUMBER($F$32)),"",IF(NOT(ISNUMBER($F$21)),"",IF($F$21=0,"",$F$32/$F$21*F156))))</f>
        <v/>
      </c>
      <c r="G160" s="533" t="inlineStr">
        <is>
          <t>Present value of terminal value</t>
        </is>
      </c>
      <c r="H160" s="544">
        <f>IF(NOT(ISNUMBER($D$114)),"",IF(NOT(ISNUMBER(INDEX($B$163:$F$163,1,$D$114))),"",IF(NOT(ISNUMBER($D$112)),"",IF(NOT(ISNUMBER($D$113)),"",IF(NOT(ISNUMBER(INDEX($B$164:$F$164,1,$D$114))),"",IF($D$114&lt;1,"",IF($D$114&gt;5,"",IF(MOD($D$114,1)&lt;&gt;0,"",IF(COUNT(B163:F163)&lt;&gt;$D$114,"",IF($D$112&lt;=$D$113,"",INDEX($B$163:$F$163,1,$D$114)*(1+$D$113)/($D$112-$D$113)*INDEX($B$164:$F$164,1,$D$114)))))))))))</f>
        <v/>
      </c>
      <c r="I160" s="533">
        <f>IF(ISNUMBER(H160),"Available","Unavailable")</f>
        <v/>
      </c>
      <c r="J160" s="533" t="n"/>
      <c r="K160" s="533" t="n"/>
      <c r="L160" s="533" t="n"/>
      <c r="M160" s="533" t="n"/>
    </row>
    <row r="161" ht="24" customHeight="1">
      <c r="A161" s="557" t="inlineStr">
        <is>
          <t>Capital expenditure ($m)</t>
        </is>
      </c>
      <c r="B161" s="544">
        <f>IF(NOT(ISNUMBER(B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B156))))</f>
        <v/>
      </c>
      <c r="C161" s="544">
        <f>IF(NOT(ISNUMBER(C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C156))))</f>
        <v/>
      </c>
      <c r="D161" s="544">
        <f>IF(NOT(ISNUMBER(D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D156))))</f>
        <v/>
      </c>
      <c r="E161" s="544">
        <f>IF(NOT(ISNUMBER(E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E156))))</f>
        <v/>
      </c>
      <c r="F161" s="544">
        <f>IF(NOT(ISNUMBER(F156)),"",IF(NOT(ISNUMBER(IF(INDEX($C$63:$E$63,1,MATCH(IF($B$69="","Base",$B$69),$C$41:$E$41,0))="",$B$63,IF(ISNUMBER(INDEX($C$63:$E$63,1,MATCH(IF($B$69="","Base",$B$69),$C$41:$E$41,0))),INDEX($C$63:$E$63,1,MATCH(IF($B$69="","Base",$B$69),$C$41:$E$41,0)),"Unavailable")))),"",IF(NOT(ISNUMBER($F$21)),"",IF($F$21=0,"",-IF(INDEX($C$63:$E$63,1,MATCH(IF($B$69="","Base",$B$69),$C$41:$E$41,0))="",$B$63,IF(ISNUMBER(INDEX($C$63:$E$63,1,MATCH(IF($B$69="","Base",$B$69),$C$41:$E$41,0))),INDEX($C$63:$E$63,1,MATCH(IF($B$69="","Base",$B$69),$C$41:$E$41,0)),"Unavailable"))/$F$21*F156))))</f>
        <v/>
      </c>
      <c r="G161" s="533" t="inlineStr">
        <is>
          <t>Enterprise value</t>
        </is>
      </c>
      <c r="H161" s="544">
        <f>IF(NOT(ISNUMBER(H159)),"",IF(NOT(ISNUMBER(H160)),"",H159+H160))</f>
        <v/>
      </c>
      <c r="I161" s="533">
        <f>IF(ISNUMBER(H161),"Available","Unavailable")</f>
        <v/>
      </c>
      <c r="J161" s="533" t="n"/>
      <c r="K161" s="533" t="n"/>
      <c r="L161" s="533" t="n"/>
      <c r="M161" s="533" t="n"/>
    </row>
    <row r="162" ht="24" customHeight="1">
      <c r="A162" s="557" t="inlineStr">
        <is>
          <t>Working-capital investment ($m)</t>
        </is>
      </c>
      <c r="B162" s="544">
        <f>IF(NOT(ISNUMBER(B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C162" s="544">
        <f>IF(NOT(ISNUMBER(C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D162" s="544">
        <f>IF(NOT(ISNUMBER(D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E162" s="544">
        <f>IF(NOT(ISNUMBER(E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F162" s="544">
        <f>IF(NOT(ISNUMBER(F156)),"",IF(NOT(ISNUMBER(IF(INDEX($C$64:$E$64,1,MATCH(IF($B$69="","Base",$B$69),$C$41:$E$41,0))="",$B$64,IF(ISNUMBER(INDEX($C$64:$E$64,1,MATCH(IF($B$69="","Base",$B$69),$C$41:$E$41,0))),INDEX($C$64:$E$64,1,MATCH(IF($B$69="","Base",$B$69),$C$41:$E$41,0)),"Unavailable")))),"",-IF(INDEX($C$64:$E$64,1,MATCH(IF($B$69="","Base",$B$69),$C$41:$E$41,0))="",$B$64,IF(ISNUMBER(INDEX($C$64:$E$64,1,MATCH(IF($B$69="","Base",$B$69),$C$41:$E$41,0))),INDEX($C$64:$E$64,1,MATCH(IF($B$69="","Base",$B$69),$C$41:$E$41,0)),"Unavailable"))))</f>
        <v/>
      </c>
      <c r="G162" s="533" t="inlineStr">
        <is>
          <t>Net cash / debt</t>
        </is>
      </c>
      <c r="H162" s="544">
        <f>IF(ISNUMBER(INDEX($C$96:$E$96,1,MATCH(IF($B$69="","Base",$B$69),$C$83:$E$83,0))),INDEX($C$96:$E$96,1,MATCH(IF($B$69="","Base",$B$69),$C$83:$E$83,0)),"")</f>
        <v/>
      </c>
      <c r="I162" s="533">
        <f>IF(ISNUMBER(H162),"Available","Unavailable")</f>
        <v/>
      </c>
      <c r="J162" s="533" t="n"/>
      <c r="K162" s="533" t="n"/>
      <c r="L162" s="533" t="n"/>
      <c r="M162" s="533" t="n"/>
    </row>
    <row r="163" ht="24" customHeight="1">
      <c r="A163" s="557" t="inlineStr">
        <is>
          <t>FCFF ($m)</t>
        </is>
      </c>
      <c r="B163" s="544">
        <f>IF(NOT(ISNUMBER(B158)),"",IF(NOT(ISNUMBER(B159)),"",IF(NOT(ISNUMBER(B160)),"",IF(NOT(ISNUMBER(B161)),"",IF(NOT(ISNUMBER(B162)),"",B158+B159+B160+B161+B162)))))</f>
        <v/>
      </c>
      <c r="C163" s="544">
        <f>IF(NOT(ISNUMBER(C158)),"",IF(NOT(ISNUMBER(C159)),"",IF(NOT(ISNUMBER(C160)),"",IF(NOT(ISNUMBER(C161)),"",IF(NOT(ISNUMBER(C162)),"",C158+C159+C160+C161+C162)))))</f>
        <v/>
      </c>
      <c r="D163" s="544">
        <f>IF(NOT(ISNUMBER(D158)),"",IF(NOT(ISNUMBER(D159)),"",IF(NOT(ISNUMBER(D160)),"",IF(NOT(ISNUMBER(D161)),"",IF(NOT(ISNUMBER(D162)),"",D158+D159+D160+D161+D162)))))</f>
        <v/>
      </c>
      <c r="E163" s="544">
        <f>IF(NOT(ISNUMBER(E158)),"",IF(NOT(ISNUMBER(E159)),"",IF(NOT(ISNUMBER(E160)),"",IF(NOT(ISNUMBER(E161)),"",IF(NOT(ISNUMBER(E162)),"",E158+E159+E160+E161+E162)))))</f>
        <v/>
      </c>
      <c r="F163" s="544">
        <f>IF(NOT(ISNUMBER(F158)),"",IF(NOT(ISNUMBER(F159)),"",IF(NOT(ISNUMBER(F160)),"",IF(NOT(ISNUMBER(F161)),"",IF(NOT(ISNUMBER(F162)),"",F158+F159+F160+F161+F162)))))</f>
        <v/>
      </c>
      <c r="G163" s="533" t="inlineStr">
        <is>
          <t>Equity value</t>
        </is>
      </c>
      <c r="H163" s="544">
        <f>IF(NOT(ISNUMBER(H161)),"",IF(NOT(ISNUMBER(H162)),"",H161-H162))</f>
        <v/>
      </c>
      <c r="I163" s="533">
        <f>IF(ISNUMBER(H163),"Available","Unavailable")</f>
        <v/>
      </c>
      <c r="J163" s="533" t="n"/>
      <c r="K163" s="533" t="n"/>
      <c r="L163" s="533" t="n"/>
      <c r="M163" s="533" t="n"/>
    </row>
    <row r="164" ht="24" customHeight="1">
      <c r="A164" s="533" t="inlineStr">
        <is>
          <t>Discount factor (x)</t>
        </is>
      </c>
      <c r="B164" s="563">
        <f>IF(NOT(ISNUMBER(B163)),"",IF(NOT(ISNUMBER($D$112)),"",IF($D$112&lt;=-1,"",1/(1+$D$112)^1)))</f>
        <v/>
      </c>
      <c r="C164" s="563">
        <f>IF(NOT(ISNUMBER(C163)),"",IF(NOT(ISNUMBER($D$112)),"",IF($D$112&lt;=-1,"",1/(1+$D$112)^2)))</f>
        <v/>
      </c>
      <c r="D164" s="563">
        <f>IF(NOT(ISNUMBER(D163)),"",IF(NOT(ISNUMBER($D$112)),"",IF($D$112&lt;=-1,"",1/(1+$D$112)^3)))</f>
        <v/>
      </c>
      <c r="E164" s="563">
        <f>IF(NOT(ISNUMBER(E163)),"",IF(NOT(ISNUMBER($D$112)),"",IF($D$112&lt;=-1,"",1/(1+$D$112)^4)))</f>
        <v/>
      </c>
      <c r="F164" s="563">
        <f>IF(NOT(ISNUMBER(F163)),"",IF(NOT(ISNUMBER($D$112)),"",IF($D$112&lt;=-1,"",1/(1+$D$112)^5)))</f>
        <v/>
      </c>
      <c r="G164" s="533" t="inlineStr">
        <is>
          <t>Diluted shares</t>
        </is>
      </c>
      <c r="H164" s="543">
        <f>IF(ISNUMBER(INDEX($C$95:$E$95,1,MATCH(IF($B$69="","Base",$B$69),$C$83:$E$83,0))),INDEX($C$95:$E$95,1,MATCH(IF($B$69="","Base",$B$69),$C$83:$E$83,0)),"")</f>
        <v/>
      </c>
      <c r="I164" s="533">
        <f>IF(ISNUMBER(H164),"Available","Unavailable")</f>
        <v/>
      </c>
      <c r="J164" s="533" t="n"/>
      <c r="K164" s="533" t="n"/>
      <c r="L164" s="533" t="n"/>
      <c r="M164" s="533" t="n"/>
    </row>
    <row r="165" ht="24" customHeight="1">
      <c r="A165" s="533" t="inlineStr">
        <is>
          <t>Present value ($m)</t>
        </is>
      </c>
      <c r="B165" s="544">
        <f>IF(NOT(ISNUMBER(B163)),"",IF(NOT(ISNUMBER(B164)),"",B163*B164))</f>
        <v/>
      </c>
      <c r="C165" s="544">
        <f>IF(NOT(ISNUMBER(C163)),"",IF(NOT(ISNUMBER(C164)),"",C163*C164))</f>
        <v/>
      </c>
      <c r="D165" s="544">
        <f>IF(NOT(ISNUMBER(D163)),"",IF(NOT(ISNUMBER(D164)),"",D163*D164))</f>
        <v/>
      </c>
      <c r="E165" s="544">
        <f>IF(NOT(ISNUMBER(E163)),"",IF(NOT(ISNUMBER(E164)),"",E163*E164))</f>
        <v/>
      </c>
      <c r="F165" s="544">
        <f>IF(NOT(ISNUMBER(F163)),"",IF(NOT(ISNUMBER(F164)),"",F163*F164))</f>
        <v/>
      </c>
      <c r="G165" s="533" t="inlineStr">
        <is>
          <t>Value/share</t>
        </is>
      </c>
      <c r="H165" s="542">
        <f>IF(NOT(ISNUMBER(H163)),"",IF(NOT(ISNUMBER(H164)),"",IF(H164&lt;=0,"",H163/H164)))</f>
        <v/>
      </c>
      <c r="I165" s="533">
        <f>IF(ISNUMBER(H165),"Available","Unavailable")</f>
        <v/>
      </c>
      <c r="J165" s="533" t="n"/>
      <c r="K165" s="533" t="n"/>
      <c r="L165" s="533" t="n"/>
      <c r="M165" s="533" t="n"/>
    </row>
    <row r="166" ht="21" customHeight="1">
      <c r="A166" s="546" t="n"/>
      <c r="B166" s="564" t="n"/>
      <c r="C166" s="565" t="n"/>
      <c r="D166" s="564" t="n"/>
      <c r="E166" s="546" t="n"/>
      <c r="F166" s="546" t="n"/>
      <c r="G166" s="546" t="n"/>
      <c r="H166" s="546" t="n"/>
      <c r="I166" s="546" t="n"/>
      <c r="J166" s="546" t="n"/>
      <c r="K166" s="546" t="n"/>
      <c r="L166" s="546" t="n"/>
      <c r="M166" s="546" t="n"/>
    </row>
    <row r="167" ht="26" customHeight="1">
      <c r="A167" s="527" t="inlineStr">
        <is>
          <t>Calculation Details</t>
        </is>
      </c>
      <c r="B167" s="47" t="n"/>
      <c r="C167" s="47" t="n"/>
      <c r="D167" s="47" t="n"/>
      <c r="E167" s="47" t="n"/>
      <c r="F167" s="47" t="n"/>
      <c r="G167" s="47" t="n"/>
      <c r="H167" s="47" t="n"/>
      <c r="I167" s="47" t="n"/>
      <c r="J167" s="47" t="n"/>
      <c r="K167" s="47" t="n"/>
      <c r="L167" s="47" t="n"/>
      <c r="M167" s="46" t="n"/>
    </row>
    <row r="168" ht="36" customHeight="1">
      <c r="A168" s="534" t="inlineStr">
        <is>
          <t>These are forecast/model calculations; historical source-native buyback detail belongs to the later Capital Return pass.</t>
        </is>
      </c>
      <c r="B168" s="535" t="n"/>
      <c r="C168" s="535" t="n"/>
      <c r="D168" s="535" t="n"/>
      <c r="E168" s="535" t="n"/>
      <c r="F168" s="535" t="n"/>
      <c r="G168" s="535" t="n"/>
      <c r="H168" s="535" t="n"/>
      <c r="I168" s="535" t="n"/>
      <c r="J168" s="535" t="n"/>
      <c r="K168" s="535" t="n"/>
      <c r="L168" s="535" t="n"/>
      <c r="M168" s="536" t="n"/>
    </row>
    <row r="169" ht="22" customHeight="1">
      <c r="A169" s="541" t="inlineStr">
        <is>
          <t>Operating, EPS and cash-flow chain</t>
        </is>
      </c>
      <c r="B169" s="541" t="n"/>
      <c r="C169" s="541" t="n"/>
      <c r="D169" s="541" t="n"/>
      <c r="E169" s="541" t="n"/>
      <c r="F169" s="541" t="n"/>
      <c r="G169" s="541" t="n"/>
      <c r="H169" s="541" t="n"/>
      <c r="I169" s="541" t="n"/>
      <c r="J169" s="541" t="n"/>
      <c r="K169" s="541" t="n"/>
      <c r="L169" s="541" t="n"/>
      <c r="M169" s="541" t="n"/>
    </row>
    <row r="170" ht="28" customHeight="1">
      <c r="A170" s="537" t="inlineStr">
        <is>
          <t>Calculation</t>
        </is>
      </c>
      <c r="B170" s="537" t="inlineStr">
        <is>
          <t>Basis</t>
        </is>
      </c>
      <c r="C170" s="537" t="inlineStr">
        <is>
          <t>Result</t>
        </is>
      </c>
      <c r="D170" s="537" t="n"/>
      <c r="E170" s="537" t="n"/>
      <c r="F170" s="537" t="n"/>
      <c r="G170" s="537" t="n"/>
      <c r="H170" s="537" t="n"/>
      <c r="I170" s="537" t="n"/>
      <c r="J170" s="537" t="n"/>
      <c r="K170" s="537" t="n"/>
      <c r="L170" s="537" t="n"/>
      <c r="M170" s="537" t="n"/>
    </row>
    <row r="171" ht="24" customHeight="1">
      <c r="A171" s="533" t="inlineStr">
        <is>
          <t>Revenue</t>
        </is>
      </c>
      <c r="B171" s="544">
        <f>IF(ISNUMBER(B85),B85,"")</f>
        <v/>
      </c>
      <c r="C171" s="544">
        <f>IF(ISNUMBER(INDEX($C$85:$E$85,1,MATCH(IF($B$69="","Base",$B$69),$C$83:$E$83,0))),INDEX($C$85:$E$85,1,MATCH(IF($B$69="","Base",$B$69),$C$83:$E$83,0)),"")</f>
        <v/>
      </c>
      <c r="D171" s="533" t="n"/>
      <c r="E171" s="533" t="n"/>
      <c r="F171" s="533" t="n"/>
      <c r="G171" s="533" t="n"/>
      <c r="H171" s="533" t="n"/>
      <c r="I171" s="533" t="n"/>
      <c r="J171" s="533" t="n"/>
      <c r="K171" s="533" t="n"/>
      <c r="L171" s="533" t="n"/>
      <c r="M171" s="533" t="n"/>
    </row>
    <row r="172" ht="24" customHeight="1">
      <c r="A172" s="566" t="inlineStr">
        <is>
          <t>Operating margin</t>
        </is>
      </c>
      <c r="B172" s="545">
        <f>IF(ISNUMBER(B88),B88,"")</f>
        <v/>
      </c>
      <c r="C172" s="545">
        <f>IF(ISNUMBER(INDEX($C$88:$E$88,1,MATCH(IF($B$69="","Base",$B$69),$C$83:$E$83,0))),INDEX($C$88:$E$88,1,MATCH(IF($B$69="","Base",$B$69),$C$83:$E$83,0)),"")</f>
        <v/>
      </c>
      <c r="D172" s="557" t="n"/>
      <c r="E172" s="533" t="n"/>
      <c r="F172" s="533" t="n"/>
      <c r="G172" s="533" t="n"/>
      <c r="H172" s="533" t="n"/>
      <c r="I172" s="533" t="n"/>
      <c r="J172" s="533" t="n"/>
      <c r="K172" s="533" t="n"/>
      <c r="L172" s="533" t="n"/>
      <c r="M172" s="533" t="n"/>
    </row>
    <row r="173" ht="24" customHeight="1">
      <c r="A173" s="566" t="inlineStr">
        <is>
          <t>Operating income</t>
        </is>
      </c>
      <c r="B173" s="544">
        <f>IF(ISNUMBER(B89),B89,"")</f>
        <v/>
      </c>
      <c r="C173" s="544">
        <f>IF(ISNUMBER(INDEX($C$89:$E$89,1,MATCH(IF($B$69="","Base",$B$69),$C$83:$E$83,0))),INDEX($C$89:$E$89,1,MATCH(IF($B$69="","Base",$B$69),$C$83:$E$83,0)),"")</f>
        <v/>
      </c>
      <c r="D173" s="557" t="n"/>
      <c r="E173" s="533" t="n"/>
      <c r="F173" s="533" t="n"/>
      <c r="G173" s="533" t="n"/>
      <c r="H173" s="533" t="n"/>
      <c r="I173" s="533" t="n"/>
      <c r="J173" s="533" t="n"/>
      <c r="K173" s="533" t="n"/>
      <c r="L173" s="533" t="n"/>
      <c r="M173" s="533" t="n"/>
    </row>
    <row r="174" ht="24" customHeight="1">
      <c r="A174" s="566" t="inlineStr">
        <is>
          <t>GAAP net income</t>
        </is>
      </c>
      <c r="B174" s="544">
        <f>IF(ISNUMBER(B92),B92,"")</f>
        <v/>
      </c>
      <c r="C174" s="544">
        <f>IF(ISNUMBER(INDEX($C$92:$E$92,1,MATCH(IF($B$69="","Base",$B$69),$C$83:$E$83,0))),INDEX($C$92:$E$92,1,MATCH(IF($B$69="","Base",$B$69),$C$83:$E$83,0)),"")</f>
        <v/>
      </c>
      <c r="D174" s="557" t="n"/>
      <c r="E174" s="533" t="n"/>
      <c r="F174" s="533" t="n"/>
      <c r="G174" s="533" t="n"/>
      <c r="H174" s="533" t="n"/>
      <c r="I174" s="533" t="n"/>
      <c r="J174" s="533" t="n"/>
      <c r="K174" s="533" t="n"/>
      <c r="L174" s="533" t="n"/>
      <c r="M174" s="533" t="n"/>
    </row>
    <row r="175" ht="24" customHeight="1">
      <c r="A175" s="533" t="inlineStr">
        <is>
          <t>Diluted shares</t>
        </is>
      </c>
      <c r="B175" s="543">
        <f>IF(ISNUMBER(B95),B95,"")</f>
        <v/>
      </c>
      <c r="C175" s="543">
        <f>IF(ISNUMBER(INDEX($C$95:$E$95,1,MATCH(IF($B$69="","Base",$B$69),$C$83:$E$83,0))),INDEX($C$95:$E$95,1,MATCH(IF($B$69="","Base",$B$69),$C$83:$E$83,0)),"")</f>
        <v/>
      </c>
      <c r="D175" s="533" t="n"/>
      <c r="E175" s="533" t="n"/>
      <c r="F175" s="533" t="n"/>
      <c r="G175" s="533" t="n"/>
      <c r="H175" s="533" t="n"/>
      <c r="I175" s="533" t="n"/>
      <c r="J175" s="533" t="n"/>
      <c r="K175" s="533" t="n"/>
      <c r="L175" s="533" t="n"/>
      <c r="M175" s="533" t="n"/>
    </row>
    <row r="176" ht="24" customHeight="1">
      <c r="A176" s="533" t="inlineStr">
        <is>
          <t>GAAP diluted EPS</t>
        </is>
      </c>
      <c r="B176" s="542">
        <f>IF(ISNUMBER(B98),B98,"")</f>
        <v/>
      </c>
      <c r="C176" s="542">
        <f>IF(ISNUMBER(INDEX($C$98:$E$98,1,MATCH(IF($B$69="","Base",$B$69),$C$83:$E$83,0))),INDEX($C$98:$E$98,1,MATCH(IF($B$69="","Base",$B$69),$C$83:$E$83,0)),"")</f>
        <v/>
      </c>
      <c r="D176" s="533" t="n"/>
      <c r="E176" s="533" t="n"/>
      <c r="F176" s="533" t="n"/>
      <c r="G176" s="533" t="n"/>
      <c r="H176" s="533" t="n"/>
      <c r="I176" s="533" t="n"/>
      <c r="J176" s="533" t="n"/>
      <c r="K176" s="533" t="n"/>
      <c r="L176" s="533" t="n"/>
      <c r="M176" s="533" t="n"/>
    </row>
    <row r="177" ht="24" customHeight="1">
      <c r="A177" s="533" t="inlineStr">
        <is>
          <t>Free cash flow</t>
        </is>
      </c>
      <c r="B177" s="544">
        <f>IF(ISNUMBER(B94),B94,"")</f>
        <v/>
      </c>
      <c r="C177" s="544">
        <f>IF(ISNUMBER(INDEX($C$94:$E$94,1,MATCH(IF($B$69="","Base",$B$69),$C$83:$E$83,0))),INDEX($C$94:$E$94,1,MATCH(IF($B$69="","Base",$B$69),$C$83:$E$83,0)),"")</f>
        <v/>
      </c>
      <c r="D177" s="533" t="n"/>
      <c r="E177" s="533" t="n"/>
      <c r="F177" s="533" t="n"/>
      <c r="G177" s="533" t="n"/>
      <c r="H177" s="533" t="n"/>
      <c r="I177" s="533" t="n"/>
      <c r="J177" s="533" t="n"/>
      <c r="K177" s="533" t="n"/>
      <c r="L177" s="533" t="n"/>
      <c r="M177" s="533" t="n"/>
    </row>
    <row r="178" ht="24" customHeight="1">
      <c r="A178" s="551" t="inlineStr">
        <is>
          <t>FCF/share</t>
        </is>
      </c>
      <c r="B178" s="542">
        <f>IF(ISNUMBER(B99),B99,"")</f>
        <v/>
      </c>
      <c r="C178" s="542">
        <f>IF(ISNUMBER(INDEX($C$99:$E$99,1,MATCH(IF($B$69="","Base",$B$69),$C$83:$E$83,0))),INDEX($C$99:$E$99,1,MATCH(IF($B$69="","Base",$B$69),$C$83:$E$83,0)),"")</f>
        <v/>
      </c>
      <c r="D178" s="533" t="n"/>
      <c r="E178" s="533" t="n"/>
      <c r="F178" s="533" t="n"/>
      <c r="G178" s="533" t="n"/>
      <c r="H178" s="533" t="n"/>
      <c r="I178" s="533" t="n"/>
      <c r="J178" s="533" t="n"/>
      <c r="K178" s="533" t="n"/>
      <c r="L178" s="533" t="n"/>
      <c r="M178" s="533" t="n"/>
    </row>
    <row r="179" ht="24" customHeight="1">
      <c r="A179" s="551" t="inlineStr">
        <is>
          <t>Net cash / debt</t>
        </is>
      </c>
      <c r="B179" s="544">
        <f>IF(ISNUMBER(B96),B96,"")</f>
        <v/>
      </c>
      <c r="C179" s="544">
        <f>IF(ISNUMBER(INDEX($C$96:$E$96,1,MATCH(IF($B$69="","Base",$B$69),$C$83:$E$83,0))),INDEX($C$96:$E$96,1,MATCH(IF($B$69="","Base",$B$69),$C$83:$E$83,0)),"")</f>
        <v/>
      </c>
      <c r="D179" s="533" t="n"/>
      <c r="E179" s="533" t="n"/>
      <c r="F179" s="533" t="n"/>
      <c r="G179" s="533" t="n"/>
      <c r="H179" s="533" t="n"/>
      <c r="I179" s="533" t="n"/>
      <c r="J179" s="533" t="n"/>
      <c r="K179" s="533" t="n"/>
      <c r="L179" s="533" t="n"/>
      <c r="M179" s="533" t="n"/>
    </row>
    <row r="180" ht="22" customHeight="1">
      <c r="A180" s="567" t="inlineStr">
        <is>
          <t>Buyback and share-count chain</t>
        </is>
      </c>
      <c r="B180" s="541" t="n"/>
      <c r="C180" s="541" t="n"/>
      <c r="D180" s="541" t="n"/>
      <c r="E180" s="541" t="n"/>
      <c r="F180" s="541" t="n"/>
      <c r="G180" s="541" t="n"/>
      <c r="H180" s="541" t="n"/>
      <c r="I180" s="541" t="n"/>
      <c r="J180" s="541" t="n"/>
      <c r="K180" s="541" t="n"/>
      <c r="L180" s="541" t="n"/>
      <c r="M180" s="541" t="n"/>
    </row>
    <row r="181" ht="28" customHeight="1">
      <c r="A181" s="537" t="inlineStr">
        <is>
          <t>Calculation</t>
        </is>
      </c>
      <c r="B181" s="537" t="inlineStr">
        <is>
          <t>Basis</t>
        </is>
      </c>
      <c r="C181" s="537" t="inlineStr">
        <is>
          <t>Result</t>
        </is>
      </c>
      <c r="D181" s="537" t="n"/>
      <c r="E181" s="537" t="n"/>
      <c r="F181" s="537" t="n"/>
      <c r="G181" s="537" t="n"/>
      <c r="H181" s="537" t="n"/>
      <c r="I181" s="537" t="n"/>
      <c r="J181" s="537" t="n"/>
      <c r="K181" s="537" t="n"/>
      <c r="L181" s="537" t="n"/>
      <c r="M181" s="537" t="n"/>
    </row>
    <row r="182" ht="24" customHeight="1">
      <c r="A182" s="533" t="inlineStr">
        <is>
          <t>Scenario buyback cash</t>
        </is>
      </c>
      <c r="B182" s="533" t="inlineStr">
        <is>
          <t>Manual assumption</t>
        </is>
      </c>
      <c r="C182" s="544">
        <f>IF(INDEX($C$65:$E$65,1,MATCH(IF($B$69="","Base",$B$69),$C$41:$E$41,0))="",$B$65,IF(ISNUMBER(INDEX($C$65:$E$65,1,MATCH(IF($B$69="","Base",$B$69),$C$41:$E$41,0))),INDEX($C$65:$E$65,1,MATCH(IF($B$69="","Base",$B$69),$C$41:$E$41,0)),"Unavailable"))</f>
        <v/>
      </c>
      <c r="D182" s="533" t="n"/>
      <c r="E182" s="533" t="n"/>
      <c r="F182" s="533" t="n"/>
      <c r="G182" s="533" t="n"/>
      <c r="H182" s="533" t="n"/>
      <c r="I182" s="533" t="n"/>
      <c r="J182" s="533" t="n"/>
      <c r="K182" s="533" t="n"/>
      <c r="L182" s="533" t="n"/>
      <c r="M182" s="533" t="n"/>
    </row>
    <row r="183" ht="24" customHeight="1">
      <c r="A183" s="533" t="inlineStr">
        <is>
          <t>Execution price</t>
        </is>
      </c>
      <c r="B183" s="533" t="inlineStr">
        <is>
          <t>Manual assumption</t>
        </is>
      </c>
      <c r="C183" s="542">
        <f>IF(INDEX($C$66:$E$66,1,MATCH(IF($B$69="","Base",$B$69),$C$41:$E$41,0))="",$B$66,IF(ISNUMBER(INDEX($C$66:$E$66,1,MATCH(IF($B$69="","Base",$B$69),$C$41:$E$41,0))),INDEX($C$66:$E$66,1,MATCH(IF($B$69="","Base",$B$69),$C$41:$E$41,0)),"Unavailable"))</f>
        <v/>
      </c>
      <c r="D183" s="533" t="n"/>
      <c r="E183" s="533" t="n"/>
      <c r="F183" s="533" t="n"/>
      <c r="G183" s="533" t="n"/>
      <c r="H183" s="533" t="n"/>
      <c r="I183" s="533" t="n"/>
      <c r="J183" s="533" t="n"/>
      <c r="K183" s="533" t="n"/>
      <c r="L183" s="533" t="n"/>
      <c r="M183" s="533" t="n"/>
    </row>
    <row r="184" ht="24" customHeight="1">
      <c r="A184" s="533" t="inlineStr">
        <is>
          <t>Gross shares repurchased</t>
        </is>
      </c>
      <c r="B184" s="533" t="inlineStr">
        <is>
          <t>Buyback cash / execution price</t>
        </is>
      </c>
      <c r="C184" s="543">
        <f>IF(IF(INDEX($C$65:$E$65,1,MATCH(IF($B$69="","Base",$B$69),$C$41:$E$41,0))="",$B$65,IF(ISNUMBER(INDEX($C$65:$E$65,1,MATCH(IF($B$69="","Base",$B$69),$C$41:$E$41,0))),INDEX($C$65:$E$65,1,MATCH(IF($B$69="","Base",$B$69),$C$41:$E$41,0)),"Unavailable"))="",0,IF(NOT(ISNUMBER(IF(INDEX($C$65:$E$65,1,MATCH(IF($B$69="","Base",$B$69),$C$41:$E$41,0))="",$B$65,IF(ISNUMBER(INDEX($C$65:$E$65,1,MATCH(IF($B$69="","Base",$B$69),$C$41:$E$41,0))),INDEX($C$65:$E$65,1,MATCH(IF($B$69="","Base",$B$69),$C$41:$E$41,0)),"Unavailable")))),"",IF(IF(INDEX($C$65:$E$65,1,MATCH(IF($B$69="","Base",$B$69),$C$41:$E$41,0))="",$B$65,IF(ISNUMBER(INDEX($C$65:$E$65,1,MATCH(IF($B$69="","Base",$B$69),$C$41:$E$41,0))),INDEX($C$65:$E$65,1,MATCH(IF($B$69="","Base",$B$69),$C$41:$E$41,0)),"Unavailable"))&lt;0,"",IF(IF(INDEX($C$65:$E$65,1,MATCH(IF($B$69="","Base",$B$69),$C$41:$E$41,0))="",$B$65,IF(ISNUMBER(INDEX($C$65:$E$65,1,MATCH(IF($B$69="","Base",$B$69),$C$41:$E$41,0))),INDEX($C$65:$E$65,1,MATCH(IF($B$69="","Base",$B$69),$C$41:$E$41,0)),"Unavailable"))=0,0,IF(NOT(ISNUMBER(IF(INDEX($C$66:$E$66,1,MATCH(IF($B$69="","Base",$B$69),$C$41:$E$41,0))="",$B$66,IF(ISNUMBER(INDEX($C$66:$E$66,1,MATCH(IF($B$69="","Base",$B$69),$C$41:$E$41,0))),INDEX($C$66:$E$66,1,MATCH(IF($B$69="","Base",$B$69),$C$41:$E$41,0)),"Unavailable")))),"",IF(IF(INDEX($C$66:$E$66,1,MATCH(IF($B$69="","Base",$B$69),$C$41:$E$41,0))="",$B$66,IF(ISNUMBER(INDEX($C$66:$E$66,1,MATCH(IF($B$69="","Base",$B$69),$C$41:$E$41,0))),INDEX($C$66:$E$66,1,MATCH(IF($B$69="","Base",$B$69),$C$41:$E$41,0)),"Unavailable"))&lt;=0,"",IF(INDEX($C$65:$E$65,1,MATCH(IF($B$69="","Base",$B$69),$C$41:$E$41,0))="",$B$65,IF(ISNUMBER(INDEX($C$65:$E$65,1,MATCH(IF($B$69="","Base",$B$69),$C$41:$E$41,0))),INDEX($C$65:$E$65,1,MATCH(IF($B$69="","Base",$B$69),$C$41:$E$41,0)),"Unavailable"))/IF(INDEX($C$66:$E$66,1,MATCH(IF($B$69="","Base",$B$69),$C$41:$E$41,0))="",$B$66,IF(ISNUMBER(INDEX($C$66:$E$66,1,MATCH(IF($B$69="","Base",$B$69),$C$41:$E$41,0))),INDEX($C$66:$E$66,1,MATCH(IF($B$69="","Base",$B$69),$C$41:$E$41,0)),"Unavailable"))))))))</f>
        <v/>
      </c>
      <c r="D184" s="533" t="n"/>
      <c r="E184" s="533" t="n"/>
      <c r="F184" s="533" t="n"/>
      <c r="G184" s="533" t="n"/>
      <c r="H184" s="533" t="n"/>
      <c r="I184" s="533" t="n"/>
      <c r="J184" s="533" t="n"/>
      <c r="K184" s="533" t="n"/>
      <c r="L184" s="533" t="n"/>
      <c r="M184" s="533" t="n"/>
    </row>
    <row r="185" ht="24" customHeight="1">
      <c r="A185" s="533" t="inlineStr">
        <is>
          <t>Share issuance / SBC</t>
        </is>
      </c>
      <c r="B185" s="533" t="inlineStr">
        <is>
          <t>Manual assumption</t>
        </is>
      </c>
      <c r="C185" s="543">
        <f>IF(INDEX($C$67:$E$67,1,MATCH(IF($B$69="","Base",$B$69),$C$41:$E$41,0))="",$B$67,IF(ISNUMBER(INDEX($C$67:$E$67,1,MATCH(IF($B$69="","Base",$B$69),$C$41:$E$41,0))),INDEX($C$67:$E$67,1,MATCH(IF($B$69="","Base",$B$69),$C$41:$E$41,0)),"Unavailable"))</f>
        <v/>
      </c>
      <c r="D185" s="533" t="n"/>
      <c r="E185" s="533" t="n"/>
      <c r="F185" s="533" t="n"/>
      <c r="G185" s="533" t="n"/>
      <c r="H185" s="533" t="n"/>
      <c r="I185" s="533" t="n"/>
      <c r="J185" s="533" t="n"/>
      <c r="K185" s="533" t="n"/>
      <c r="L185" s="533" t="n"/>
      <c r="M185" s="533" t="n"/>
    </row>
    <row r="186" ht="24" customHeight="1">
      <c r="A186" s="533" t="inlineStr">
        <is>
          <t>Resulting diluted shares</t>
        </is>
      </c>
      <c r="B186" s="543">
        <f>IF(ISNUMBER($F$18),$F$18,"")</f>
        <v/>
      </c>
      <c r="C186" s="543">
        <f>INDEX($C$95:$E$95,1,MATCH(IF($B$69="","Base",$B$69),$C$83:$E$83,0))</f>
        <v/>
      </c>
      <c r="D186" s="533" t="n"/>
      <c r="E186" s="533" t="n"/>
      <c r="F186" s="533" t="n"/>
      <c r="G186" s="533" t="n"/>
      <c r="H186" s="533" t="n"/>
      <c r="I186" s="533" t="n"/>
      <c r="J186" s="533" t="n"/>
      <c r="K186" s="533" t="n"/>
      <c r="L186" s="533" t="n"/>
      <c r="M186" s="533" t="n"/>
    </row>
    <row r="187" ht="24" customHeight="1">
      <c r="A187" s="533" t="inlineStr">
        <is>
          <t>Model-derived GAAP EPS effect</t>
        </is>
      </c>
      <c r="B187" s="542">
        <f>IF(ISNUMBER(IF(NOT(ISNUMBER(INDEX($C$92:$E$92,1,MATCH(IF($B$69="","Base",$B$69),$C$83:$E$83,0)))),"",IF(NOT(ISNUMBER($F$18)),"",IF($F$18&lt;=0,"",INDEX($C$92:$E$92,1,MATCH(IF($B$69="","Base",$B$69),$C$83:$E$83,0))/$F$18)))),IF(NOT(ISNUMBER(INDEX($C$92:$E$92,1,MATCH(IF($B$69="","Base",$B$69),$C$83:$E$83,0)))),"",IF(NOT(ISNUMBER($F$18)),"",IF($F$18&lt;=0,"",INDEX($C$92:$E$92,1,MATCH(IF($B$69="","Base",$B$69),$C$83:$E$83,0))/$F$18))),"")</f>
        <v/>
      </c>
      <c r="C187" s="542">
        <f>IF(NOT(ISNUMBER(INDEX($C$98:$E$98,1,MATCH(IF($B$69="","Base",$B$69),$C$83:$E$83,0)))),"",IF(NOT(ISNUMBER(INDEX($C$98:$E$98,1,MATCH(IF($B$69="","Base",$B$69),$C$83:$E$83,0)))),"",IF(NOT(ISNUMBER(INDEX($C$92:$E$92,1,MATCH(IF($B$69="","Base",$B$69),$C$83:$E$83,0)))),"",IF(NOT(ISNUMBER($F$18)),"",IF($F$18&lt;=0,"",INDEX($C$98:$E$98,1,MATCH(IF($B$69="","Base",$B$69),$C$83:$E$83,0))-INDEX($C$92:$E$92,1,MATCH(IF($B$69="","Base",$B$69),$C$83:$E$83,0))/$F$18)))))</f>
        <v/>
      </c>
      <c r="D187" s="533" t="n"/>
      <c r="E187" s="533" t="n"/>
      <c r="F187" s="533" t="n"/>
      <c r="G187" s="533" t="n"/>
      <c r="H187" s="533" t="n"/>
      <c r="I187" s="533" t="n"/>
      <c r="J187" s="533" t="n"/>
      <c r="K187" s="533" t="n"/>
      <c r="L187" s="533" t="n"/>
      <c r="M187" s="533" t="n"/>
    </row>
    <row r="188" ht="24" customHeight="1">
      <c r="A188" s="533" t="inlineStr">
        <is>
          <t>Historical source-native detail</t>
        </is>
      </c>
      <c r="B188" s="533" t="inlineStr"/>
      <c r="C188" s="533">
        <f>""</f>
        <v/>
      </c>
      <c r="D188" s="533" t="n"/>
      <c r="E188" s="533" t="n"/>
      <c r="F188" s="533" t="n"/>
      <c r="G188" s="533" t="n"/>
      <c r="H188" s="533" t="n"/>
      <c r="I188" s="533" t="n"/>
      <c r="J188" s="533" t="n"/>
      <c r="K188" s="533" t="n"/>
      <c r="L188" s="533" t="n"/>
      <c r="M188" s="533" t="n"/>
    </row>
    <row r="189" ht="21" customHeight="1">
      <c r="A189" s="546" t="n"/>
      <c r="B189" s="546" t="n"/>
      <c r="C189" s="546" t="n"/>
      <c r="D189" s="546" t="n"/>
      <c r="E189" s="546" t="n"/>
      <c r="F189" s="546" t="n"/>
      <c r="G189" s="546" t="n"/>
      <c r="H189" s="546" t="n"/>
      <c r="I189" s="546" t="n"/>
      <c r="J189" s="546" t="n"/>
      <c r="K189" s="546" t="n"/>
      <c r="L189" s="546" t="n"/>
      <c r="M189" s="546" t="n"/>
    </row>
    <row r="190" ht="26" customHeight="1">
      <c r="A190" s="527" t="inlineStr">
        <is>
          <t>Sensitivity Tables</t>
        </is>
      </c>
      <c r="B190" s="47" t="n"/>
      <c r="C190" s="47" t="n"/>
      <c r="D190" s="47" t="n"/>
      <c r="E190" s="47" t="n"/>
      <c r="F190" s="47" t="n"/>
      <c r="G190" s="47" t="n"/>
      <c r="H190" s="47" t="n"/>
      <c r="I190" s="47" t="n"/>
      <c r="J190" s="47" t="n"/>
      <c r="K190" s="47" t="n"/>
      <c r="L190" s="47" t="n"/>
      <c r="M190" s="46" t="n"/>
    </row>
    <row r="191" ht="36" customHeight="1">
      <c r="A191" s="534" t="inlineStr">
        <is>
          <t>Each family activates only when its required assumptions and positive axis steps are numeric. Blank setup cells never become zero.</t>
        </is>
      </c>
      <c r="B191" s="535" t="n"/>
      <c r="C191" s="535" t="n"/>
      <c r="D191" s="535" t="n"/>
      <c r="E191" s="535" t="n"/>
      <c r="F191" s="535" t="n"/>
      <c r="G191" s="535" t="n"/>
      <c r="H191" s="535" t="n"/>
      <c r="I191" s="535" t="n"/>
      <c r="J191" s="535" t="n"/>
      <c r="K191" s="535" t="n"/>
      <c r="L191" s="535" t="n"/>
      <c r="M191" s="536" t="n"/>
    </row>
    <row r="192" ht="22" customHeight="1">
      <c r="A192" s="541" t="inlineStr">
        <is>
          <t>P/E x EPS sensitivity</t>
        </is>
      </c>
      <c r="B192" s="541" t="n"/>
      <c r="C192" s="541" t="n"/>
      <c r="D192" s="541" t="n"/>
      <c r="E192" s="541" t="n"/>
      <c r="F192" s="541" t="n"/>
      <c r="G192" s="541" t="inlineStr">
        <is>
          <t>P/E step (x)</t>
        </is>
      </c>
      <c r="H192" s="541">
        <f>IF(NOT(ISNUMBER($D$107)),"Center unavailable",IF(NOT(ISNUMBER(I192)),"Enter positive step",IF(I192&lt;=0,"Step must be positive","Ready")))</f>
        <v/>
      </c>
      <c r="I192" s="559" t="n"/>
      <c r="J192" s="533" t="n"/>
      <c r="K192" s="533" t="n"/>
      <c r="L192" s="533" t="n"/>
      <c r="M192" s="533" t="n"/>
    </row>
    <row r="193" ht="22" customHeight="1">
      <c r="A193" s="533" t="n"/>
      <c r="B193" s="535" t="n"/>
      <c r="C193" s="535" t="n"/>
      <c r="D193" s="535" t="n"/>
      <c r="E193" s="535" t="n"/>
      <c r="F193" s="536" t="n"/>
      <c r="G193" s="533" t="inlineStr">
        <is>
          <t>EPS step ($/share)</t>
        </is>
      </c>
      <c r="H193" s="533">
        <f>IF(NOT(ISNUMBER(INDEX($C$98:$E$98,1,MATCH(IF($B$69="","Base",$B$69),$C$83:$E$83,0)))),"Center unavailable",IF(NOT(ISNUMBER(I193)),"Enter positive step",IF(I193&lt;=0,"Step must be positive","Ready")))</f>
        <v/>
      </c>
      <c r="I193" s="555" t="n"/>
      <c r="J193" s="533" t="n"/>
      <c r="K193" s="533" t="n"/>
      <c r="L193" s="533" t="n"/>
      <c r="M193" s="533" t="n"/>
    </row>
    <row r="194" hidden="1" ht="18" customHeight="1">
      <c r="A194" s="533" t="n"/>
      <c r="B194" s="558">
        <f>IF(NOT(ISNUMBER($D$107)),"",IF(NOT(ISNUMBER($I$192)),"",$D$107+(-1)*$I$192))</f>
        <v/>
      </c>
      <c r="C194" s="558">
        <f>IF(NOT(ISNUMBER($D$107)),"",IF(NOT(ISNUMBER($I$192)),"",$D$107+(0)*$I$192))</f>
        <v/>
      </c>
      <c r="D194" s="558">
        <f>IF(NOT(ISNUMBER($D$107)),"",IF(NOT(ISNUMBER($I$192)),"",$D$107+(1)*$I$192))</f>
        <v/>
      </c>
      <c r="E194" s="533" t="n"/>
      <c r="F194" s="533" t="n"/>
      <c r="G194" s="533" t="n"/>
      <c r="H194" s="533" t="n"/>
      <c r="I194" s="533" t="n"/>
      <c r="J194" s="533" t="n"/>
      <c r="K194" s="533" t="n"/>
      <c r="L194" s="533" t="n"/>
      <c r="M194" s="533" t="n"/>
    </row>
    <row r="195" hidden="1" ht="18" customHeight="1">
      <c r="A195" s="542">
        <f>IF(NOT(ISNUMBER(INDEX($C$98:$E$98,1,MATCH(IF($B$69="","Base",$B$69),$C$83:$E$83,0)))),"",IF(NOT(ISNUMBER($I$193)),"",INDEX($C$98:$E$98,1,MATCH(IF($B$69="","Base",$B$69),$C$83:$E$83,0))+(-1)*$I$193))</f>
        <v/>
      </c>
      <c r="B195" s="542">
        <f>IF(NOT(ISNUMBER($A195)),"",IF(NOT(ISNUMBER(B$194)),"",$A195*B$194))</f>
        <v/>
      </c>
      <c r="C195" s="542">
        <f>IF(NOT(ISNUMBER($A195)),"",IF(NOT(ISNUMBER(C$194)),"",$A195*C$194))</f>
        <v/>
      </c>
      <c r="D195" s="542">
        <f>IF(NOT(ISNUMBER($A195)),"",IF(NOT(ISNUMBER(D$194)),"",$A195*D$194))</f>
        <v/>
      </c>
      <c r="E195" s="533" t="n"/>
      <c r="F195" s="533" t="n"/>
      <c r="G195" s="533" t="n"/>
      <c r="H195" s="533" t="n"/>
      <c r="I195" s="533" t="n"/>
      <c r="J195" s="533" t="n"/>
      <c r="K195" s="533" t="n"/>
      <c r="L195" s="533" t="n"/>
      <c r="M195" s="533" t="n"/>
    </row>
    <row r="196" hidden="1" ht="18" customHeight="1">
      <c r="A196" s="542">
        <f>IF(NOT(ISNUMBER(INDEX($C$98:$E$98,1,MATCH(IF($B$69="","Base",$B$69),$C$83:$E$83,0)))),"",IF(NOT(ISNUMBER($I$193)),"",INDEX($C$98:$E$98,1,MATCH(IF($B$69="","Base",$B$69),$C$83:$E$83,0))+(0)*$I$193))</f>
        <v/>
      </c>
      <c r="B196" s="542">
        <f>IF(NOT(ISNUMBER($A196)),"",IF(NOT(ISNUMBER(B$194)),"",$A196*B$194))</f>
        <v/>
      </c>
      <c r="C196" s="568">
        <f>IF(NOT(ISNUMBER($A196)),"",IF(NOT(ISNUMBER(C$194)),"",$A196*C$194))</f>
        <v/>
      </c>
      <c r="D196" s="542">
        <f>IF(NOT(ISNUMBER($A196)),"",IF(NOT(ISNUMBER(D$194)),"",$A196*D$194))</f>
        <v/>
      </c>
      <c r="E196" s="533" t="n"/>
      <c r="F196" s="533" t="n"/>
      <c r="G196" s="533" t="n"/>
      <c r="H196" s="533" t="n"/>
      <c r="I196" s="533" t="n"/>
      <c r="J196" s="533" t="n"/>
      <c r="K196" s="533" t="n"/>
      <c r="L196" s="533" t="n"/>
      <c r="M196" s="533" t="n"/>
    </row>
    <row r="197" hidden="1" ht="18" customHeight="1">
      <c r="A197" s="542">
        <f>IF(NOT(ISNUMBER(INDEX($C$98:$E$98,1,MATCH(IF($B$69="","Base",$B$69),$C$83:$E$83,0)))),"",IF(NOT(ISNUMBER($I$193)),"",INDEX($C$98:$E$98,1,MATCH(IF($B$69="","Base",$B$69),$C$83:$E$83,0))+(1)*$I$193))</f>
        <v/>
      </c>
      <c r="B197" s="542">
        <f>IF(NOT(ISNUMBER($A197)),"",IF(NOT(ISNUMBER(B$194)),"",$A197*B$194))</f>
        <v/>
      </c>
      <c r="C197" s="542">
        <f>IF(NOT(ISNUMBER($A197)),"",IF(NOT(ISNUMBER(C$194)),"",$A197*C$194))</f>
        <v/>
      </c>
      <c r="D197" s="542">
        <f>IF(NOT(ISNUMBER($A197)),"",IF(NOT(ISNUMBER(D$194)),"",$A197*D$194))</f>
        <v/>
      </c>
      <c r="E197" s="533" t="n"/>
      <c r="F197" s="533" t="n"/>
      <c r="G197" s="533" t="n"/>
      <c r="H197" s="533" t="n"/>
      <c r="I197" s="533" t="n"/>
      <c r="J197" s="533" t="n"/>
      <c r="K197" s="533" t="n"/>
      <c r="L197" s="533" t="n"/>
      <c r="M197" s="533" t="n"/>
    </row>
    <row r="198" ht="22" customHeight="1">
      <c r="A198" s="541" t="inlineStr">
        <is>
          <t>EV / adjusted EBITDA sensitivity</t>
        </is>
      </c>
      <c r="B198" s="541" t="n"/>
      <c r="C198" s="541" t="n"/>
      <c r="D198" s="541" t="n"/>
      <c r="E198" s="541" t="n"/>
      <c r="F198" s="541" t="n"/>
      <c r="G198" s="541" t="inlineStr">
        <is>
          <t>Multiple step (x)</t>
        </is>
      </c>
      <c r="H198" s="541">
        <f>IF(NOT(ISNUMBER($D$108)),"Center unavailable",IF(NOT(ISNUMBER(I198)),"Enter positive step",IF(I198&lt;=0,"Step must be positive","Ready")))</f>
        <v/>
      </c>
      <c r="I198" s="559" t="n"/>
      <c r="J198" s="533" t="n"/>
      <c r="K198" s="533" t="n"/>
      <c r="L198" s="533" t="n"/>
      <c r="M198" s="533" t="n"/>
    </row>
    <row r="199" ht="22" customHeight="1">
      <c r="A199" s="533" t="n"/>
      <c r="B199" s="535" t="n"/>
      <c r="C199" s="535" t="n"/>
      <c r="D199" s="535" t="n"/>
      <c r="E199" s="535" t="n"/>
      <c r="F199" s="536" t="n"/>
      <c r="G199" s="533" t="inlineStr">
        <is>
          <t>EBITDA step ($m)</t>
        </is>
      </c>
      <c r="H199" s="533">
        <f>IF(NOT(ISNUMBER(INDEX($C$91:$E$91,1,MATCH(IF($B$69="","Base",$B$69),$C$83:$E$83,0)))),"Center unavailable",IF(NOT(ISNUMBER(I199)),"Enter positive step",IF(I199&lt;=0,"Step must be positive","Ready")))</f>
        <v/>
      </c>
      <c r="I199" s="554" t="n"/>
      <c r="J199" s="533" t="n"/>
      <c r="K199" s="533" t="n"/>
      <c r="L199" s="533" t="n"/>
      <c r="M199" s="533" t="n"/>
    </row>
    <row r="200" hidden="1" ht="18" customHeight="1">
      <c r="A200" s="533" t="n"/>
      <c r="B200" s="558">
        <f>IF(NOT(ISNUMBER($D$108)),"",IF(NOT(ISNUMBER($I$198)),"",$D$108+(-1)*$I$198))</f>
        <v/>
      </c>
      <c r="C200" s="558">
        <f>IF(NOT(ISNUMBER($D$108)),"",IF(NOT(ISNUMBER($I$198)),"",$D$108+(0)*$I$198))</f>
        <v/>
      </c>
      <c r="D200" s="558">
        <f>IF(NOT(ISNUMBER($D$108)),"",IF(NOT(ISNUMBER($I$198)),"",$D$108+(1)*$I$198))</f>
        <v/>
      </c>
      <c r="E200" s="533" t="n"/>
      <c r="F200" s="533" t="n"/>
      <c r="G200" s="533" t="n"/>
      <c r="H200" s="533" t="n"/>
      <c r="I200" s="533" t="n"/>
      <c r="J200" s="533" t="n"/>
      <c r="K200" s="533" t="n"/>
      <c r="L200" s="533" t="n"/>
      <c r="M200" s="533" t="n"/>
    </row>
    <row r="201" hidden="1" ht="18" customHeight="1">
      <c r="A201" s="544">
        <f>IF(NOT(ISNUMBER(INDEX($C$95:$E$95,1,MATCH(IF($B$69="","Base",$B$69),$C$83:$E$83,0)))),"",IF(NOT(ISNUMBER($I$199)),"",INDEX($C$95:$E$95,1,MATCH(IF($B$69="","Base",$B$69),$C$83:$E$83,0))+(-1)*$I$199))</f>
        <v/>
      </c>
      <c r="B201" s="542">
        <f>IF(NOT(ISNUMBER($A201)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201*B$200-INDEX($C$96:$E$96,1,MATCH(IF($B$69="","Base",$B$69),$C$83:$E$83,0)))/INDEX($C$95:$E$95,1,MATCH(IF($B$69="","Base",$B$69),$C$83:$E$83,0))))))))</f>
        <v/>
      </c>
      <c r="C201" s="542">
        <f>IF(NOT(ISNUMBER($A201)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201*C$200-INDEX($C$96:$E$96,1,MATCH(IF($B$69="","Base",$B$69),$C$83:$E$83,0)))/INDEX($C$95:$E$95,1,MATCH(IF($B$69="","Base",$B$69),$C$83:$E$83,0))))))))</f>
        <v/>
      </c>
      <c r="D201" s="542">
        <f>IF(NOT(ISNUMBER($A201)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201*D$200-INDEX($C$96:$E$96,1,MATCH(IF($B$69="","Base",$B$69),$C$83:$E$83,0)))/INDEX($C$95:$E$95,1,MATCH(IF($B$69="","Base",$B$69),$C$83:$E$83,0))))))))</f>
        <v/>
      </c>
      <c r="E201" s="533" t="n"/>
      <c r="F201" s="533" t="n"/>
      <c r="G201" s="533" t="n"/>
      <c r="H201" s="533" t="n"/>
      <c r="I201" s="533" t="n"/>
      <c r="J201" s="533" t="n"/>
      <c r="K201" s="533" t="n"/>
      <c r="L201" s="533" t="n"/>
      <c r="M201" s="533" t="n"/>
    </row>
    <row r="202" hidden="1" ht="18" customHeight="1">
      <c r="A202" s="544">
        <f>IF(NOT(ISNUMBER(INDEX($C$95:$E$95,1,MATCH(IF($B$69="","Base",$B$69),$C$83:$E$83,0)))),"",IF(NOT(ISNUMBER($I$199)),"",INDEX($C$95:$E$95,1,MATCH(IF($B$69="","Base",$B$69),$C$83:$E$83,0))+(0)*$I$199))</f>
        <v/>
      </c>
      <c r="B202" s="542">
        <f>IF(NOT(ISNUMBER($A202)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202*B$200-INDEX($C$96:$E$96,1,MATCH(IF($B$69="","Base",$B$69),$C$83:$E$83,0)))/INDEX($C$95:$E$95,1,MATCH(IF($B$69="","Base",$B$69),$C$83:$E$83,0))))))))</f>
        <v/>
      </c>
      <c r="C202" s="568">
        <f>IF(NOT(ISNUMBER($A202)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202*C$200-INDEX($C$96:$E$96,1,MATCH(IF($B$69="","Base",$B$69),$C$83:$E$83,0)))/INDEX($C$95:$E$95,1,MATCH(IF($B$69="","Base",$B$69),$C$83:$E$83,0))))))))</f>
        <v/>
      </c>
      <c r="D202" s="542">
        <f>IF(NOT(ISNUMBER($A202)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202*D$200-INDEX($C$96:$E$96,1,MATCH(IF($B$69="","Base",$B$69),$C$83:$E$83,0)))/INDEX($C$95:$E$95,1,MATCH(IF($B$69="","Base",$B$69),$C$83:$E$83,0))))))))</f>
        <v/>
      </c>
      <c r="E202" s="533" t="n"/>
      <c r="F202" s="533" t="n"/>
      <c r="G202" s="533" t="n"/>
      <c r="H202" s="533" t="n"/>
      <c r="I202" s="533" t="n"/>
      <c r="J202" s="533" t="n"/>
      <c r="K202" s="533" t="n"/>
      <c r="L202" s="533" t="n"/>
      <c r="M202" s="533" t="n"/>
    </row>
    <row r="203" hidden="1" ht="18" customHeight="1">
      <c r="A203" s="544">
        <f>IF(NOT(ISNUMBER(INDEX($C$95:$E$95,1,MATCH(IF($B$69="","Base",$B$69),$C$83:$E$83,0)))),"",IF(NOT(ISNUMBER($I$199)),"",INDEX($C$95:$E$95,1,MATCH(IF($B$69="","Base",$B$69),$C$83:$E$83,0))+(1)*$I$199))</f>
        <v/>
      </c>
      <c r="B203" s="542">
        <f>IF(NOT(ISNUMBER($A203)),"",IF(NOT(ISNUMBER(B$200)),"",IF(NOT(ISNUMBER(INDEX($C$96:$E$96,1,MATCH(IF($B$69="","Base",$B$69),$C$83:$E$83,0)))),"",IF(NOT(ISNUMBER(INDEX($C$95:$E$95,1,MATCH(IF($B$69="","Base",$B$69),$C$83:$E$83,0)))),"",IF(B$200&lt;=0,"",IF(INDEX($C$95:$E$95,1,MATCH(IF($B$69="","Base",$B$69),$C$83:$E$83,0))&lt;=0,"",($A203*B$200-INDEX($C$96:$E$96,1,MATCH(IF($B$69="","Base",$B$69),$C$83:$E$83,0)))/INDEX($C$95:$E$95,1,MATCH(IF($B$69="","Base",$B$69),$C$83:$E$83,0))))))))</f>
        <v/>
      </c>
      <c r="C203" s="542">
        <f>IF(NOT(ISNUMBER($A203)),"",IF(NOT(ISNUMBER(C$200)),"",IF(NOT(ISNUMBER(INDEX($C$96:$E$96,1,MATCH(IF($B$69="","Base",$B$69),$C$83:$E$83,0)))),"",IF(NOT(ISNUMBER(INDEX($C$95:$E$95,1,MATCH(IF($B$69="","Base",$B$69),$C$83:$E$83,0)))),"",IF(C$200&lt;=0,"",IF(INDEX($C$95:$E$95,1,MATCH(IF($B$69="","Base",$B$69),$C$83:$E$83,0))&lt;=0,"",($A203*C$200-INDEX($C$96:$E$96,1,MATCH(IF($B$69="","Base",$B$69),$C$83:$E$83,0)))/INDEX($C$95:$E$95,1,MATCH(IF($B$69="","Base",$B$69),$C$83:$E$83,0))))))))</f>
        <v/>
      </c>
      <c r="D203" s="542">
        <f>IF(NOT(ISNUMBER($A203)),"",IF(NOT(ISNUMBER(D$200)),"",IF(NOT(ISNUMBER(INDEX($C$96:$E$96,1,MATCH(IF($B$69="","Base",$B$69),$C$83:$E$83,0)))),"",IF(NOT(ISNUMBER(INDEX($C$95:$E$95,1,MATCH(IF($B$69="","Base",$B$69),$C$83:$E$83,0)))),"",IF(D$200&lt;=0,"",IF(INDEX($C$95:$E$95,1,MATCH(IF($B$69="","Base",$B$69),$C$83:$E$83,0))&lt;=0,"",($A203*D$200-INDEX($C$96:$E$96,1,MATCH(IF($B$69="","Base",$B$69),$C$83:$E$83,0)))/INDEX($C$95:$E$95,1,MATCH(IF($B$69="","Base",$B$69),$C$83:$E$83,0))))))))</f>
        <v/>
      </c>
      <c r="E203" s="533" t="n"/>
      <c r="F203" s="533" t="n"/>
      <c r="G203" s="533" t="n"/>
      <c r="H203" s="533" t="n"/>
      <c r="I203" s="533" t="n"/>
      <c r="J203" s="533" t="n"/>
      <c r="K203" s="533" t="n"/>
      <c r="L203" s="533" t="n"/>
      <c r="M203" s="533" t="n"/>
    </row>
    <row r="204" ht="22" customHeight="1">
      <c r="A204" s="541" t="inlineStr">
        <is>
          <t>FCF-yield sensitivity</t>
        </is>
      </c>
      <c r="B204" s="541" t="n"/>
      <c r="C204" s="541" t="n"/>
      <c r="D204" s="541" t="n"/>
      <c r="E204" s="541" t="n"/>
      <c r="F204" s="541" t="n"/>
      <c r="G204" s="541" t="inlineStr">
        <is>
          <t>Yield step (%)</t>
        </is>
      </c>
      <c r="H204" s="541">
        <f>IF(NOT(ISNUMBER($D$110)),"Center unavailable",IF(NOT(ISNUMBER(I204)),"Enter positive step",IF(I204&lt;=0,"Step must be positive","Ready")))</f>
        <v/>
      </c>
      <c r="I204" s="552" t="n"/>
      <c r="J204" s="533" t="n"/>
      <c r="K204" s="533" t="n"/>
      <c r="L204" s="533" t="n"/>
      <c r="M204" s="533" t="n"/>
    </row>
    <row r="205" ht="22" customHeight="1">
      <c r="A205" s="533" t="n"/>
      <c r="B205" s="535" t="n"/>
      <c r="C205" s="535" t="n"/>
      <c r="D205" s="535" t="n"/>
      <c r="E205" s="535" t="n"/>
      <c r="F205" s="536" t="n"/>
      <c r="G205" s="533" t="inlineStr">
        <is>
          <t>FCF step ($m)</t>
        </is>
      </c>
      <c r="H205" s="533">
        <f>IF(NOT(ISNUMBER(INDEX($C$94:$E$94,1,MATCH(IF($B$69="","Base",$B$69),$C$83:$E$83,0)))),"Center unavailable",IF(NOT(ISNUMBER(I205)),"Enter positive step",IF(I205&lt;=0,"Step must be positive","Ready")))</f>
        <v/>
      </c>
      <c r="I205" s="554" t="n"/>
      <c r="J205" s="533" t="n"/>
      <c r="K205" s="533" t="n"/>
      <c r="L205" s="533" t="n"/>
      <c r="M205" s="533" t="n"/>
    </row>
    <row r="206" hidden="1" ht="18" customHeight="1">
      <c r="A206" s="533" t="n"/>
      <c r="B206" s="545">
        <f>IF(NOT(ISNUMBER($D$110)),"",IF(NOT(ISNUMBER($I$204)),"",$D$110+(-1)*$I$204))</f>
        <v/>
      </c>
      <c r="C206" s="545">
        <f>IF(NOT(ISNUMBER($D$110)),"",IF(NOT(ISNUMBER($I$204)),"",$D$110+(0)*$I$204))</f>
        <v/>
      </c>
      <c r="D206" s="545">
        <f>IF(NOT(ISNUMBER($D$110)),"",IF(NOT(ISNUMBER($I$204)),"",$D$110+(1)*$I$204))</f>
        <v/>
      </c>
      <c r="E206" s="533" t="n"/>
      <c r="F206" s="533" t="n"/>
      <c r="G206" s="533" t="n"/>
      <c r="H206" s="533" t="n"/>
      <c r="I206" s="533" t="n"/>
      <c r="J206" s="533" t="n"/>
      <c r="K206" s="533" t="n"/>
      <c r="L206" s="533" t="n"/>
      <c r="M206" s="533" t="n"/>
    </row>
    <row r="207" hidden="1" ht="18" customHeight="1">
      <c r="A207" s="544">
        <f>IF(NOT(ISNUMBER(INDEX($C$99:$E$99,1,MATCH(IF($B$69="","Base",$B$69),$C$83:$E$83,0)))),"",IF(NOT(ISNUMBER($I$205)),"",INDEX($C$99:$E$99,1,MATCH(IF($B$69="","Base",$B$69),$C$83:$E$83,0))+(-1)*$I$205))</f>
        <v/>
      </c>
      <c r="B207" s="542">
        <f>IF(NOT(ISNUMBER($A207)),"",IF(NOT(ISNUMBER(B$206)),"",IF(NOT(ISNUMBER(INDEX($C$95:$E$95,1,MATCH(IF($B$69="","Base",$B$69),$C$83:$E$83,0)))),"",IF(B$206&lt;=0,"",IF(INDEX($C$95:$E$95,1,MATCH(IF($B$69="","Base",$B$69),$C$83:$E$83,0))&lt;=0,"",$A207/B$206/INDEX($C$95:$E$95,1,MATCH(IF($B$69="","Base",$B$69),$C$83:$E$83,0)))))))</f>
        <v/>
      </c>
      <c r="C207" s="542">
        <f>IF(NOT(ISNUMBER($A207)),"",IF(NOT(ISNUMBER(C$206)),"",IF(NOT(ISNUMBER(INDEX($C$95:$E$95,1,MATCH(IF($B$69="","Base",$B$69),$C$83:$E$83,0)))),"",IF(C$206&lt;=0,"",IF(INDEX($C$95:$E$95,1,MATCH(IF($B$69="","Base",$B$69),$C$83:$E$83,0))&lt;=0,"",$A207/C$206/INDEX($C$95:$E$95,1,MATCH(IF($B$69="","Base",$B$69),$C$83:$E$83,0)))))))</f>
        <v/>
      </c>
      <c r="D207" s="542">
        <f>IF(NOT(ISNUMBER($A207)),"",IF(NOT(ISNUMBER(D$206)),"",IF(NOT(ISNUMBER(INDEX($C$95:$E$95,1,MATCH(IF($B$69="","Base",$B$69),$C$83:$E$83,0)))),"",IF(D$206&lt;=0,"",IF(INDEX($C$95:$E$95,1,MATCH(IF($B$69="","Base",$B$69),$C$83:$E$83,0))&lt;=0,"",$A207/D$206/INDEX($C$95:$E$95,1,MATCH(IF($B$69="","Base",$B$69),$C$83:$E$83,0)))))))</f>
        <v/>
      </c>
      <c r="E207" s="533" t="n"/>
      <c r="F207" s="533" t="n"/>
      <c r="G207" s="533" t="n"/>
      <c r="H207" s="533" t="n"/>
      <c r="I207" s="533" t="n"/>
      <c r="J207" s="533" t="n"/>
      <c r="K207" s="533" t="n"/>
      <c r="L207" s="533" t="n"/>
      <c r="M207" s="533" t="n"/>
    </row>
    <row r="208" hidden="1" ht="18" customHeight="1">
      <c r="A208" s="544">
        <f>IF(NOT(ISNUMBER(INDEX($C$99:$E$99,1,MATCH(IF($B$69="","Base",$B$69),$C$83:$E$83,0)))),"",IF(NOT(ISNUMBER($I$205)),"",INDEX($C$99:$E$99,1,MATCH(IF($B$69="","Base",$B$69),$C$83:$E$83,0))+(0)*$I$205))</f>
        <v/>
      </c>
      <c r="B208" s="542">
        <f>IF(NOT(ISNUMBER($A208)),"",IF(NOT(ISNUMBER(B$206)),"",IF(NOT(ISNUMBER(INDEX($C$95:$E$95,1,MATCH(IF($B$69="","Base",$B$69),$C$83:$E$83,0)))),"",IF(B$206&lt;=0,"",IF(INDEX($C$95:$E$95,1,MATCH(IF($B$69="","Base",$B$69),$C$83:$E$83,0))&lt;=0,"",$A208/B$206/INDEX($C$95:$E$95,1,MATCH(IF($B$69="","Base",$B$69),$C$83:$E$83,0)))))))</f>
        <v/>
      </c>
      <c r="C208" s="568">
        <f>IF(NOT(ISNUMBER($A208)),"",IF(NOT(ISNUMBER(C$206)),"",IF(NOT(ISNUMBER(INDEX($C$95:$E$95,1,MATCH(IF($B$69="","Base",$B$69),$C$83:$E$83,0)))),"",IF(C$206&lt;=0,"",IF(INDEX($C$95:$E$95,1,MATCH(IF($B$69="","Base",$B$69),$C$83:$E$83,0))&lt;=0,"",$A208/C$206/INDEX($C$95:$E$95,1,MATCH(IF($B$69="","Base",$B$69),$C$83:$E$83,0)))))))</f>
        <v/>
      </c>
      <c r="D208" s="542">
        <f>IF(NOT(ISNUMBER($A208)),"",IF(NOT(ISNUMBER(D$206)),"",IF(NOT(ISNUMBER(INDEX($C$95:$E$95,1,MATCH(IF($B$69="","Base",$B$69),$C$83:$E$83,0)))),"",IF(D$206&lt;=0,"",IF(INDEX($C$95:$E$95,1,MATCH(IF($B$69="","Base",$B$69),$C$83:$E$83,0))&lt;=0,"",$A208/D$206/INDEX($C$95:$E$95,1,MATCH(IF($B$69="","Base",$B$69),$C$83:$E$83,0)))))))</f>
        <v/>
      </c>
      <c r="E208" s="533" t="n"/>
      <c r="F208" s="533" t="n"/>
      <c r="G208" s="533" t="n"/>
      <c r="H208" s="533" t="n"/>
      <c r="I208" s="533" t="n"/>
      <c r="J208" s="533" t="n"/>
      <c r="K208" s="533" t="n"/>
      <c r="L208" s="533" t="n"/>
      <c r="M208" s="533" t="n"/>
    </row>
    <row r="209" hidden="1" ht="18" customHeight="1">
      <c r="A209" s="544">
        <f>IF(NOT(ISNUMBER(INDEX($C$99:$E$99,1,MATCH(IF($B$69="","Base",$B$69),$C$83:$E$83,0)))),"",IF(NOT(ISNUMBER($I$205)),"",INDEX($C$99:$E$99,1,MATCH(IF($B$69="","Base",$B$69),$C$83:$E$83,0))+(1)*$I$205))</f>
        <v/>
      </c>
      <c r="B209" s="542">
        <f>IF(NOT(ISNUMBER($A209)),"",IF(NOT(ISNUMBER(B$206)),"",IF(NOT(ISNUMBER(INDEX($C$95:$E$95,1,MATCH(IF($B$69="","Base",$B$69),$C$83:$E$83,0)))),"",IF(B$206&lt;=0,"",IF(INDEX($C$95:$E$95,1,MATCH(IF($B$69="","Base",$B$69),$C$83:$E$83,0))&lt;=0,"",$A209/B$206/INDEX($C$95:$E$95,1,MATCH(IF($B$69="","Base",$B$69),$C$83:$E$83,0)))))))</f>
        <v/>
      </c>
      <c r="C209" s="542">
        <f>IF(NOT(ISNUMBER($A209)),"",IF(NOT(ISNUMBER(C$206)),"",IF(NOT(ISNUMBER(INDEX($C$95:$E$95,1,MATCH(IF($B$69="","Base",$B$69),$C$83:$E$83,0)))),"",IF(C$206&lt;=0,"",IF(INDEX($C$95:$E$95,1,MATCH(IF($B$69="","Base",$B$69),$C$83:$E$83,0))&lt;=0,"",$A209/C$206/INDEX($C$95:$E$95,1,MATCH(IF($B$69="","Base",$B$69),$C$83:$E$83,0)))))))</f>
        <v/>
      </c>
      <c r="D209" s="542">
        <f>IF(NOT(ISNUMBER($A209)),"",IF(NOT(ISNUMBER(D$206)),"",IF(NOT(ISNUMBER(INDEX($C$95:$E$95,1,MATCH(IF($B$69="","Base",$B$69),$C$83:$E$83,0)))),"",IF(D$206&lt;=0,"",IF(INDEX($C$95:$E$95,1,MATCH(IF($B$69="","Base",$B$69),$C$83:$E$83,0))&lt;=0,"",$A209/D$206/INDEX($C$95:$E$95,1,MATCH(IF($B$69="","Base",$B$69),$C$83:$E$83,0)))))))</f>
        <v/>
      </c>
      <c r="E209" s="533" t="n"/>
      <c r="F209" s="533" t="n"/>
      <c r="G209" s="533" t="n"/>
      <c r="H209" s="533" t="n"/>
      <c r="I209" s="533" t="n"/>
      <c r="J209" s="533" t="n"/>
      <c r="K209" s="533" t="n"/>
      <c r="L209" s="533" t="n"/>
      <c r="M209" s="533" t="n"/>
    </row>
    <row r="210" ht="22" customHeight="1">
      <c r="A210" s="541" t="inlineStr">
        <is>
          <t>DCF WACC x terminal-growth sensitivity</t>
        </is>
      </c>
      <c r="B210" s="541" t="n"/>
      <c r="C210" s="541" t="n"/>
      <c r="D210" s="541" t="n"/>
      <c r="E210" s="541" t="n"/>
      <c r="F210" s="541" t="n"/>
      <c r="G210" s="541" t="inlineStr">
        <is>
          <t>WACC step (%)</t>
        </is>
      </c>
      <c r="H210" s="541">
        <f>IF(NOT(ISNUMBER($D$112)),"Center unavailable",IF(NOT(ISNUMBER(I210)),"Enter positive step",IF(I210&lt;=0,"Step must be positive","Ready")))</f>
        <v/>
      </c>
      <c r="I210" s="552" t="n"/>
      <c r="J210" s="533" t="n"/>
      <c r="K210" s="533" t="n"/>
      <c r="L210" s="533" t="n"/>
      <c r="M210" s="533" t="n"/>
    </row>
    <row r="211" ht="22" customHeight="1">
      <c r="A211" s="533" t="n"/>
      <c r="B211" s="535" t="n"/>
      <c r="C211" s="535" t="n"/>
      <c r="D211" s="535" t="n"/>
      <c r="E211" s="535" t="n"/>
      <c r="F211" s="536" t="n"/>
      <c r="G211" s="533" t="inlineStr">
        <is>
          <t>Terminal-growth step (%)</t>
        </is>
      </c>
      <c r="H211" s="533">
        <f>IF(NOT(ISNUMBER($D$113)),"Center unavailable",IF(NOT(ISNUMBER(I211)),"Enter positive step",IF(I211&lt;=0,"Step must be positive","Ready")))</f>
        <v/>
      </c>
      <c r="I211" s="552" t="n"/>
      <c r="J211" s="533" t="n"/>
      <c r="K211" s="533" t="n"/>
      <c r="L211" s="533" t="n"/>
      <c r="M211" s="533" t="n"/>
    </row>
    <row r="212" hidden="1" ht="18" customHeight="1">
      <c r="A212" s="533" t="n"/>
      <c r="B212" s="545">
        <f>IF(NOT(ISNUMBER($D$113)),"",IF(NOT(ISNUMBER($I$211)),"",$D$113+(-1)*$I$211))</f>
        <v/>
      </c>
      <c r="C212" s="545">
        <f>IF(NOT(ISNUMBER($D$113)),"",IF(NOT(ISNUMBER($I$211)),"",$D$113+(0)*$I$211))</f>
        <v/>
      </c>
      <c r="D212" s="545">
        <f>IF(NOT(ISNUMBER($D$113)),"",IF(NOT(ISNUMBER($I$211)),"",$D$113+(1)*$I$211))</f>
        <v/>
      </c>
      <c r="E212" s="533" t="n"/>
      <c r="F212" s="533" t="n"/>
      <c r="G212" s="533" t="n"/>
      <c r="H212" s="533" t="n"/>
      <c r="I212" s="533" t="n"/>
      <c r="J212" s="533" t="n"/>
      <c r="K212" s="533" t="n"/>
      <c r="L212" s="533" t="n"/>
      <c r="M212" s="533" t="n"/>
    </row>
    <row r="213" hidden="1" ht="18" customHeight="1">
      <c r="A213" s="545">
        <f>IF(NOT(ISNUMBER($D$112)),"",IF(NOT(ISNUMBER($I$210)),"",$D$112+(-1)*$I$210))</f>
        <v/>
      </c>
      <c r="B213" s="542">
        <f>IF(NOT(ISNUMBER($D$114)),"",IF(NOT(ISNUMBER($A213)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B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B$212)/($A213-B$212)/(1+$A213)^$D$114-INDEX($C$96:$E$96,1,MATCH(IF($B$69="","Base",$B$69),$C$83:$E$83,0)))/INDEX($C$95:$E$95,1,MATCH(IF($B$69="","Base",$B$69),$C$83:$E$83,0)))))))))))))))</f>
        <v/>
      </c>
      <c r="C213" s="542">
        <f>IF(NOT(ISNUMBER($D$114)),"",IF(NOT(ISNUMBER($A213)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C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C$212)/($A213-C$212)/(1+$A213)^$D$114-INDEX($C$96:$E$96,1,MATCH(IF($B$69="","Base",$B$69),$C$83:$E$83,0)))/INDEX($C$95:$E$95,1,MATCH(IF($B$69="","Base",$B$69),$C$83:$E$83,0)))))))))))))))</f>
        <v/>
      </c>
      <c r="D213" s="542">
        <f>IF(NOT(ISNUMBER($D$114)),"",IF(NOT(ISNUMBER($A213)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213&lt;=D$212,"",IF($A213&lt;=-1,"",IF(INDEX($C$95:$E$95,1,MATCH(IF($B$69="","Base",$B$69),$C$83:$E$83,0))&lt;=0,"",((IF($D$114&gt;=1,B$163/(1+$A213)^1,0)+IF($D$114&gt;=2,C$163/(1+$A213)^2,0)+IF($D$114&gt;=3,D$163/(1+$A213)^3,0)+IF($D$114&gt;=4,E$163/(1+$A213)^4,0)+IF($D$114&gt;=5,F$163/(1+$A213)^5,0))+INDEX($B$163:$F$163,1,$D$114)*(1+D$212)/($A213-D$212)/(1+$A213)^$D$114-INDEX($C$96:$E$96,1,MATCH(IF($B$69="","Base",$B$69),$C$83:$E$83,0)))/INDEX($C$95:$E$95,1,MATCH(IF($B$69="","Base",$B$69),$C$83:$E$83,0)))))))))))))))</f>
        <v/>
      </c>
      <c r="E213" s="533" t="n"/>
      <c r="F213" s="533" t="n"/>
      <c r="G213" s="533" t="n"/>
      <c r="H213" s="533" t="n"/>
      <c r="I213" s="533" t="n"/>
      <c r="J213" s="533" t="n"/>
      <c r="K213" s="533" t="n"/>
      <c r="L213" s="533" t="n"/>
      <c r="M213" s="533" t="n"/>
    </row>
    <row r="214" hidden="1" ht="18" customHeight="1">
      <c r="A214" s="545">
        <f>IF(NOT(ISNUMBER($D$112)),"",IF(NOT(ISNUMBER($I$210)),"",$D$112+(0)*$I$210))</f>
        <v/>
      </c>
      <c r="B214" s="542">
        <f>IF(NOT(ISNUMBER($D$114)),"",IF(NOT(ISNUMBER($A214)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B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B$212)/($A214-B$212)/(1+$A214)^$D$114-INDEX($C$96:$E$96,1,MATCH(IF($B$69="","Base",$B$69),$C$83:$E$83,0)))/INDEX($C$95:$E$95,1,MATCH(IF($B$69="","Base",$B$69),$C$83:$E$83,0)))))))))))))))</f>
        <v/>
      </c>
      <c r="C214" s="568">
        <f>IF(NOT(ISNUMBER($D$114)),"",IF(NOT(ISNUMBER($A214)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C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C$212)/($A214-C$212)/(1+$A214)^$D$114-INDEX($C$96:$E$96,1,MATCH(IF($B$69="","Base",$B$69),$C$83:$E$83,0)))/INDEX($C$95:$E$95,1,MATCH(IF($B$69="","Base",$B$69),$C$83:$E$83,0)))))))))))))))</f>
        <v/>
      </c>
      <c r="D214" s="542">
        <f>IF(NOT(ISNUMBER($D$114)),"",IF(NOT(ISNUMBER($A214)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214&lt;=D$212,"",IF($A214&lt;=-1,"",IF(INDEX($C$95:$E$95,1,MATCH(IF($B$69="","Base",$B$69),$C$83:$E$83,0))&lt;=0,"",((IF($D$114&gt;=1,B$163/(1+$A214)^1,0)+IF($D$114&gt;=2,C$163/(1+$A214)^2,0)+IF($D$114&gt;=3,D$163/(1+$A214)^3,0)+IF($D$114&gt;=4,E$163/(1+$A214)^4,0)+IF($D$114&gt;=5,F$163/(1+$A214)^5,0))+INDEX($B$163:$F$163,1,$D$114)*(1+D$212)/($A214-D$212)/(1+$A214)^$D$114-INDEX($C$96:$E$96,1,MATCH(IF($B$69="","Base",$B$69),$C$83:$E$83,0)))/INDEX($C$95:$E$95,1,MATCH(IF($B$69="","Base",$B$69),$C$83:$E$83,0)))))))))))))))</f>
        <v/>
      </c>
      <c r="E214" s="533" t="n"/>
      <c r="F214" s="533" t="n"/>
      <c r="G214" s="533" t="n"/>
      <c r="H214" s="533" t="n"/>
      <c r="I214" s="533" t="n"/>
      <c r="J214" s="533" t="n"/>
      <c r="K214" s="533" t="n"/>
      <c r="L214" s="533" t="n"/>
      <c r="M214" s="533" t="n"/>
    </row>
    <row r="215" hidden="1" ht="18" customHeight="1">
      <c r="A215" s="545">
        <f>IF(NOT(ISNUMBER($D$112)),"",IF(NOT(ISNUMBER($I$210)),"",$D$112+(1)*$I$210))</f>
        <v/>
      </c>
      <c r="B215" s="542">
        <f>IF(NOT(ISNUMBER($D$114)),"",IF(NOT(ISNUMBER($A215)),"",IF(NOT(ISNUMBER(B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B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B$212)/($A215-B$212)/(1+$A215)^$D$114-INDEX($C$96:$E$96,1,MATCH(IF($B$69="","Base",$B$69),$C$83:$E$83,0)))/INDEX($C$95:$E$95,1,MATCH(IF($B$69="","Base",$B$69),$C$83:$E$83,0)))))))))))))))</f>
        <v/>
      </c>
      <c r="C215" s="542">
        <f>IF(NOT(ISNUMBER($D$114)),"",IF(NOT(ISNUMBER($A215)),"",IF(NOT(ISNUMBER(C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C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C$212)/($A215-C$212)/(1+$A215)^$D$114-INDEX($C$96:$E$96,1,MATCH(IF($B$69="","Base",$B$69),$C$83:$E$83,0)))/INDEX($C$95:$E$95,1,MATCH(IF($B$69="","Base",$B$69),$C$83:$E$83,0)))))))))))))))</f>
        <v/>
      </c>
      <c r="D215" s="542">
        <f>IF(NOT(ISNUMBER($D$114)),"",IF(NOT(ISNUMBER($A215)),"",IF(NOT(ISNUMBER(D$212)),"",IF(NOT(ISNUMBER(INDEX($B$163:$F$163,1,$D$114))),"",IF(NOT(ISNUMBER(INDEX($C$96:$E$96,1,MATCH(IF($B$69="","Base",$B$69),$C$83:$E$83,0)))),"",IF(NOT(ISNUMBER(INDEX($C$95:$E$95,1,MATCH(IF($B$69="","Base",$B$69),$C$83:$E$83,0)))),"",IF($D$114&lt;1,"",IF($D$114&gt;5,"",IF(MOD($D$114,1)&lt;&gt;0,"",IF(COUNT($B$163:$F$163)&lt;&gt;$D$114,"",IF($A215&lt;=D$212,"",IF($A215&lt;=-1,"",IF(INDEX($C$95:$E$95,1,MATCH(IF($B$69="","Base",$B$69),$C$83:$E$83,0))&lt;=0,"",((IF($D$114&gt;=1,B$163/(1+$A215)^1,0)+IF($D$114&gt;=2,C$163/(1+$A215)^2,0)+IF($D$114&gt;=3,D$163/(1+$A215)^3,0)+IF($D$114&gt;=4,E$163/(1+$A215)^4,0)+IF($D$114&gt;=5,F$163/(1+$A215)^5,0))+INDEX($B$163:$F$163,1,$D$114)*(1+D$212)/($A215-D$212)/(1+$A215)^$D$114-INDEX($C$96:$E$96,1,MATCH(IF($B$69="","Base",$B$69),$C$83:$E$83,0)))/INDEX($C$95:$E$95,1,MATCH(IF($B$69="","Base",$B$69),$C$83:$E$83,0)))))))))))))))</f>
        <v/>
      </c>
      <c r="E215" s="533" t="n"/>
      <c r="F215" s="533" t="n"/>
      <c r="G215" s="533" t="n"/>
      <c r="H215" s="533" t="n"/>
      <c r="I215" s="533" t="n"/>
      <c r="J215" s="533" t="n"/>
      <c r="K215" s="533" t="n"/>
      <c r="L215" s="533" t="n"/>
      <c r="M215" s="533" t="n"/>
    </row>
    <row r="216" ht="21" customHeight="1">
      <c r="A216" s="546" t="n"/>
      <c r="B216" s="546" t="n"/>
      <c r="C216" s="546" t="n"/>
      <c r="D216" s="546" t="n"/>
      <c r="E216" s="546" t="n"/>
      <c r="F216" s="546" t="n"/>
      <c r="G216" s="546" t="n"/>
      <c r="H216" s="546" t="n"/>
      <c r="I216" s="546" t="n"/>
      <c r="J216" s="546" t="n"/>
      <c r="K216" s="546" t="n"/>
      <c r="L216" s="546" t="n"/>
      <c r="M216" s="546" t="n"/>
    </row>
    <row r="217" ht="26" customHeight="1">
      <c r="A217" s="527" t="inlineStr">
        <is>
          <t>Key Debates and Invalidators</t>
        </is>
      </c>
      <c r="B217" s="47" t="n"/>
      <c r="C217" s="47" t="n"/>
      <c r="D217" s="47" t="n"/>
      <c r="E217" s="47" t="n"/>
      <c r="F217" s="47" t="n"/>
      <c r="G217" s="47" t="n"/>
      <c r="H217" s="47" t="n"/>
      <c r="I217" s="47" t="n"/>
      <c r="J217" s="47" t="n"/>
      <c r="K217" s="47" t="n"/>
      <c r="L217" s="47" t="n"/>
      <c r="M217" s="46" t="n"/>
    </row>
    <row r="218" ht="28" customHeight="1">
      <c r="A218" s="537" t="inlineStr">
        <is>
          <t>Debate</t>
        </is>
      </c>
      <c r="B218" s="537" t="inlineStr">
        <is>
          <t>Risk or invalidator</t>
        </is>
      </c>
      <c r="C218" s="539" t="n"/>
      <c r="D218" s="539" t="n"/>
      <c r="E218" s="539" t="n"/>
      <c r="F218" s="540" t="n"/>
      <c r="G218" s="537" t="inlineStr">
        <is>
          <t>State</t>
        </is>
      </c>
      <c r="H218" s="537" t="inlineStr">
        <is>
          <t>Watch next</t>
        </is>
      </c>
      <c r="I218" s="539" t="n"/>
      <c r="J218" s="539" t="n"/>
      <c r="K218" s="540" t="n"/>
      <c r="L218" s="537" t="inlineStr">
        <is>
          <t>Source</t>
        </is>
      </c>
      <c r="M218" s="537" t="n"/>
    </row>
    <row r="219" ht="40" customHeight="1">
      <c r="A219" s="533">
        <f>IFERROR(IF(ISBLANK(INDEX('{ticker}_Investment_Case_Data'!$Y$2:$Y$201,MATCH("debate|001",'{ticker}_Investment_Case_Data'!$W$2:$W$201,0))),"",IF(ISTEXT(INDEX('{ticker}_Investment_Case_Data'!$Y$2:$Y$201,MATCH("debate|001",'{ticker}_Investment_Case_Data'!$W$2:$W$201,0))),INDEX('{ticker}_Investment_Case_Data'!$Y$2:$Y$201,MATCH("debate|001",'{ticker}_Investment_Case_Data'!$W$2:$W$201,0)),"")),"")</f>
        <v/>
      </c>
      <c r="B219" s="533">
        <f>IFERROR(IF(ISBLANK(INDEX('{ticker}_Investment_Case_Data'!$AO$2:$AO$201,MATCH("debate|001",'{ticker}_Investment_Case_Data'!$W$2:$W$201,0))),"",IF(ISTEXT(INDEX('{ticker}_Investment_Case_Data'!$AO$2:$AO$201,MATCH("debate|001",'{ticker}_Investment_Case_Data'!$W$2:$W$201,0))),INDEX('{ticker}_Investment_Case_Data'!$AO$2:$AO$201,MATCH("debate|001",'{ticker}_Investment_Case_Data'!$W$2:$W$201,0)),"")),"")</f>
        <v/>
      </c>
      <c r="C219" s="535" t="n"/>
      <c r="D219" s="535" t="n"/>
      <c r="E219" s="535" t="n"/>
      <c r="F219" s="536" t="n"/>
      <c r="G219" s="533">
        <f>IF(A219="","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manual_review_required","Manual review requir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accepted","Accepted",IF(IFERROR(IF(ISBLANK(INDEX('{ticker}_Investment_Case_Data'!$AQ$2:$AQ$201,MATCH("debate|001",'{ticker}_Investment_Case_Data'!$W$2:$W$201,0))),"",IF(ISTEXT(INDEX('{ticker}_Investment_Case_Data'!$AQ$2:$AQ$201,MATCH("debate|001",'{ticker}_Investment_Case_Data'!$W$2:$W$201,0))),INDEX('{ticker}_Investment_Case_Data'!$AQ$2:$AQ$201,MATCH("debate|001",'{ticker}_Investment_Case_Data'!$W$2:$W$201,0)),"")),"")="source_backed","Source-backed","Review required"))))</f>
        <v/>
      </c>
      <c r="H219" s="533">
        <f>IF(A219="","","Monitor next accepted update and related driver")</f>
        <v/>
      </c>
      <c r="I219" s="535" t="n"/>
      <c r="J219" s="535" t="n"/>
      <c r="K219" s="536" t="n"/>
      <c r="L219" s="533">
        <f>IFERROR(IF(ISBLANK(INDEX('{ticker}_Investment_Case_Data'!$BA$2:$BA$201,MATCH("debate|001",'{ticker}_Investment_Case_Data'!$W$2:$W$201,0))),"",IF(ISTEXT(INDEX('{ticker}_Investment_Case_Data'!$BA$2:$BA$201,MATCH("debate|001",'{ticker}_Investment_Case_Data'!$W$2:$W$201,0))),INDEX('{ticker}_Investment_Case_Data'!$BA$2:$BA$201,MATCH("debate|001",'{ticker}_Investment_Case_Data'!$W$2:$W$201,0)),"")),"")</f>
        <v/>
      </c>
      <c r="M219" s="533" t="n"/>
    </row>
    <row r="220" ht="40" customHeight="1">
      <c r="A220" s="533">
        <f>IFERROR(IF(ISBLANK(INDEX('{ticker}_Investment_Case_Data'!$Y$2:$Y$201,MATCH("debate|002",'{ticker}_Investment_Case_Data'!$W$2:$W$201,0))),"",IF(ISTEXT(INDEX('{ticker}_Investment_Case_Data'!$Y$2:$Y$201,MATCH("debate|002",'{ticker}_Investment_Case_Data'!$W$2:$W$201,0))),INDEX('{ticker}_Investment_Case_Data'!$Y$2:$Y$201,MATCH("debate|002",'{ticker}_Investment_Case_Data'!$W$2:$W$201,0)),"")),"")</f>
        <v/>
      </c>
      <c r="B220" s="533">
        <f>IFERROR(IF(ISBLANK(INDEX('{ticker}_Investment_Case_Data'!$AO$2:$AO$201,MATCH("debate|002",'{ticker}_Investment_Case_Data'!$W$2:$W$201,0))),"",IF(ISTEXT(INDEX('{ticker}_Investment_Case_Data'!$AO$2:$AO$201,MATCH("debate|002",'{ticker}_Investment_Case_Data'!$W$2:$W$201,0))),INDEX('{ticker}_Investment_Case_Data'!$AO$2:$AO$201,MATCH("debate|002",'{ticker}_Investment_Case_Data'!$W$2:$W$201,0)),"")),"")</f>
        <v/>
      </c>
      <c r="C220" s="535" t="n"/>
      <c r="D220" s="535" t="n"/>
      <c r="E220" s="535" t="n"/>
      <c r="F220" s="536" t="n"/>
      <c r="G220" s="533">
        <f>IF(A220="","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manual_review_required","Manual review requir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accepted","Accepted",IF(IFERROR(IF(ISBLANK(INDEX('{ticker}_Investment_Case_Data'!$AQ$2:$AQ$201,MATCH("debate|002",'{ticker}_Investment_Case_Data'!$W$2:$W$201,0))),"",IF(ISTEXT(INDEX('{ticker}_Investment_Case_Data'!$AQ$2:$AQ$201,MATCH("debate|002",'{ticker}_Investment_Case_Data'!$W$2:$W$201,0))),INDEX('{ticker}_Investment_Case_Data'!$AQ$2:$AQ$201,MATCH("debate|002",'{ticker}_Investment_Case_Data'!$W$2:$W$201,0)),"")),"")="source_backed","Source-backed","Review required"))))</f>
        <v/>
      </c>
      <c r="H220" s="533">
        <f>IF(A220="","","Monitor next accepted update and related driver")</f>
        <v/>
      </c>
      <c r="I220" s="535" t="n"/>
      <c r="J220" s="535" t="n"/>
      <c r="K220" s="536" t="n"/>
      <c r="L220" s="533">
        <f>IFERROR(IF(ISBLANK(INDEX('{ticker}_Investment_Case_Data'!$BA$2:$BA$201,MATCH("debate|002",'{ticker}_Investment_Case_Data'!$W$2:$W$201,0))),"",IF(ISTEXT(INDEX('{ticker}_Investment_Case_Data'!$BA$2:$BA$201,MATCH("debate|002",'{ticker}_Investment_Case_Data'!$W$2:$W$201,0))),INDEX('{ticker}_Investment_Case_Data'!$BA$2:$BA$201,MATCH("debate|002",'{ticker}_Investment_Case_Data'!$W$2:$W$201,0)),"")),"")</f>
        <v/>
      </c>
      <c r="M220" s="533" t="n"/>
    </row>
    <row r="221" hidden="1" ht="18" customHeight="1">
      <c r="A221" s="533">
        <f>IFERROR(IF(ISBLANK(INDEX('{ticker}_Investment_Case_Data'!$Y$2:$Y$201,MATCH("debate|003",'{ticker}_Investment_Case_Data'!$W$2:$W$201,0))),"",IF(ISTEXT(INDEX('{ticker}_Investment_Case_Data'!$Y$2:$Y$201,MATCH("debate|003",'{ticker}_Investment_Case_Data'!$W$2:$W$201,0))),INDEX('{ticker}_Investment_Case_Data'!$Y$2:$Y$201,MATCH("debate|003",'{ticker}_Investment_Case_Data'!$W$2:$W$201,0)),"")),"")</f>
        <v/>
      </c>
      <c r="B221" s="533">
        <f>IFERROR(IF(ISBLANK(INDEX('{ticker}_Investment_Case_Data'!$AO$2:$AO$201,MATCH("debate|003",'{ticker}_Investment_Case_Data'!$W$2:$W$201,0))),"",IF(ISTEXT(INDEX('{ticker}_Investment_Case_Data'!$AO$2:$AO$201,MATCH("debate|003",'{ticker}_Investment_Case_Data'!$W$2:$W$201,0))),INDEX('{ticker}_Investment_Case_Data'!$AO$2:$AO$201,MATCH("debate|003",'{ticker}_Investment_Case_Data'!$W$2:$W$201,0)),"")),"")</f>
        <v/>
      </c>
      <c r="C221" s="535" t="n"/>
      <c r="D221" s="535" t="n"/>
      <c r="E221" s="535" t="n"/>
      <c r="F221" s="536" t="n"/>
      <c r="G221" s="533">
        <f>IF(A221="","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manual_review_required","Manual review requir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accepted","Accepted",IF(IFERROR(IF(ISBLANK(INDEX('{ticker}_Investment_Case_Data'!$AQ$2:$AQ$201,MATCH("debate|003",'{ticker}_Investment_Case_Data'!$W$2:$W$201,0))),"",IF(ISTEXT(INDEX('{ticker}_Investment_Case_Data'!$AQ$2:$AQ$201,MATCH("debate|003",'{ticker}_Investment_Case_Data'!$W$2:$W$201,0))),INDEX('{ticker}_Investment_Case_Data'!$AQ$2:$AQ$201,MATCH("debate|003",'{ticker}_Investment_Case_Data'!$W$2:$W$201,0)),"")),"")="source_backed","Source-backed","Review required"))))</f>
        <v/>
      </c>
      <c r="H221" s="533">
        <f>IF(A221="","","Monitor next accepted update and related driver")</f>
        <v/>
      </c>
      <c r="I221" s="535" t="n"/>
      <c r="J221" s="535" t="n"/>
      <c r="K221" s="536" t="n"/>
      <c r="L221" s="533">
        <f>IFERROR(IF(ISBLANK(INDEX('{ticker}_Investment_Case_Data'!$BA$2:$BA$201,MATCH("debate|003",'{ticker}_Investment_Case_Data'!$W$2:$W$201,0))),"",IF(ISTEXT(INDEX('{ticker}_Investment_Case_Data'!$BA$2:$BA$201,MATCH("debate|003",'{ticker}_Investment_Case_Data'!$W$2:$W$201,0))),INDEX('{ticker}_Investment_Case_Data'!$BA$2:$BA$201,MATCH("debate|003",'{ticker}_Investment_Case_Data'!$W$2:$W$201,0)),"")),"")</f>
        <v/>
      </c>
      <c r="M221" s="533" t="n"/>
    </row>
    <row r="222" hidden="1" ht="18" customHeight="1">
      <c r="A222" s="533">
        <f>IFERROR(IF(ISBLANK(INDEX('{ticker}_Investment_Case_Data'!$Y$2:$Y$201,MATCH("debate|004",'{ticker}_Investment_Case_Data'!$W$2:$W$201,0))),"",IF(ISTEXT(INDEX('{ticker}_Investment_Case_Data'!$Y$2:$Y$201,MATCH("debate|004",'{ticker}_Investment_Case_Data'!$W$2:$W$201,0))),INDEX('{ticker}_Investment_Case_Data'!$Y$2:$Y$201,MATCH("debate|004",'{ticker}_Investment_Case_Data'!$W$2:$W$201,0)),"")),"")</f>
        <v/>
      </c>
      <c r="B222" s="533">
        <f>IFERROR(IF(ISBLANK(INDEX('{ticker}_Investment_Case_Data'!$AO$2:$AO$201,MATCH("debate|004",'{ticker}_Investment_Case_Data'!$W$2:$W$201,0))),"",IF(ISTEXT(INDEX('{ticker}_Investment_Case_Data'!$AO$2:$AO$201,MATCH("debate|004",'{ticker}_Investment_Case_Data'!$W$2:$W$201,0))),INDEX('{ticker}_Investment_Case_Data'!$AO$2:$AO$201,MATCH("debate|004",'{ticker}_Investment_Case_Data'!$W$2:$W$201,0)),"")),"")</f>
        <v/>
      </c>
      <c r="C222" s="535" t="n"/>
      <c r="D222" s="535" t="n"/>
      <c r="E222" s="535" t="n"/>
      <c r="F222" s="536" t="n"/>
      <c r="G222" s="533">
        <f>IF(A222="","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manual_review_required","Manual review requir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accepted","Accepted",IF(IFERROR(IF(ISBLANK(INDEX('{ticker}_Investment_Case_Data'!$AQ$2:$AQ$201,MATCH("debate|004",'{ticker}_Investment_Case_Data'!$W$2:$W$201,0))),"",IF(ISTEXT(INDEX('{ticker}_Investment_Case_Data'!$AQ$2:$AQ$201,MATCH("debate|004",'{ticker}_Investment_Case_Data'!$W$2:$W$201,0))),INDEX('{ticker}_Investment_Case_Data'!$AQ$2:$AQ$201,MATCH("debate|004",'{ticker}_Investment_Case_Data'!$W$2:$W$201,0)),"")),"")="source_backed","Source-backed","Review required"))))</f>
        <v/>
      </c>
      <c r="H222" s="533">
        <f>IF(A222="","","Monitor next accepted update and related driver")</f>
        <v/>
      </c>
      <c r="I222" s="535" t="n"/>
      <c r="J222" s="535" t="n"/>
      <c r="K222" s="536" t="n"/>
      <c r="L222" s="533">
        <f>IFERROR(IF(ISBLANK(INDEX('{ticker}_Investment_Case_Data'!$BA$2:$BA$201,MATCH("debate|004",'{ticker}_Investment_Case_Data'!$W$2:$W$201,0))),"",IF(ISTEXT(INDEX('{ticker}_Investment_Case_Data'!$BA$2:$BA$201,MATCH("debate|004",'{ticker}_Investment_Case_Data'!$W$2:$W$201,0))),INDEX('{ticker}_Investment_Case_Data'!$BA$2:$BA$201,MATCH("debate|004",'{ticker}_Investment_Case_Data'!$W$2:$W$201,0)),"")),"")</f>
        <v/>
      </c>
      <c r="M222" s="533" t="n"/>
    </row>
    <row r="223" hidden="1" ht="18" customHeight="1">
      <c r="A223" s="533">
        <f>IFERROR(IF(ISBLANK(INDEX('{ticker}_Investment_Case_Data'!$Y$2:$Y$201,MATCH("debate|005",'{ticker}_Investment_Case_Data'!$W$2:$W$201,0))),"",IF(ISTEXT(INDEX('{ticker}_Investment_Case_Data'!$Y$2:$Y$201,MATCH("debate|005",'{ticker}_Investment_Case_Data'!$W$2:$W$201,0))),INDEX('{ticker}_Investment_Case_Data'!$Y$2:$Y$201,MATCH("debate|005",'{ticker}_Investment_Case_Data'!$W$2:$W$201,0)),"")),"")</f>
        <v/>
      </c>
      <c r="B223" s="533">
        <f>IFERROR(IF(ISBLANK(INDEX('{ticker}_Investment_Case_Data'!$AO$2:$AO$201,MATCH("debate|005",'{ticker}_Investment_Case_Data'!$W$2:$W$201,0))),"",IF(ISTEXT(INDEX('{ticker}_Investment_Case_Data'!$AO$2:$AO$201,MATCH("debate|005",'{ticker}_Investment_Case_Data'!$W$2:$W$201,0))),INDEX('{ticker}_Investment_Case_Data'!$AO$2:$AO$201,MATCH("debate|005",'{ticker}_Investment_Case_Data'!$W$2:$W$201,0)),"")),"")</f>
        <v/>
      </c>
      <c r="C223" s="535" t="n"/>
      <c r="D223" s="535" t="n"/>
      <c r="E223" s="535" t="n"/>
      <c r="F223" s="536" t="n"/>
      <c r="G223" s="533">
        <f>IF(A223="","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manual_review_required","Manual review requir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accepted","Accepted",IF(IFERROR(IF(ISBLANK(INDEX('{ticker}_Investment_Case_Data'!$AQ$2:$AQ$201,MATCH("debate|005",'{ticker}_Investment_Case_Data'!$W$2:$W$201,0))),"",IF(ISTEXT(INDEX('{ticker}_Investment_Case_Data'!$AQ$2:$AQ$201,MATCH("debate|005",'{ticker}_Investment_Case_Data'!$W$2:$W$201,0))),INDEX('{ticker}_Investment_Case_Data'!$AQ$2:$AQ$201,MATCH("debate|005",'{ticker}_Investment_Case_Data'!$W$2:$W$201,0)),"")),"")="source_backed","Source-backed","Review required"))))</f>
        <v/>
      </c>
      <c r="H223" s="533">
        <f>IF(A223="","","Monitor next accepted update and related driver")</f>
        <v/>
      </c>
      <c r="I223" s="535" t="n"/>
      <c r="J223" s="535" t="n"/>
      <c r="K223" s="536" t="n"/>
      <c r="L223" s="533">
        <f>IFERROR(IF(ISBLANK(INDEX('{ticker}_Investment_Case_Data'!$BA$2:$BA$201,MATCH("debate|005",'{ticker}_Investment_Case_Data'!$W$2:$W$201,0))),"",IF(ISTEXT(INDEX('{ticker}_Investment_Case_Data'!$BA$2:$BA$201,MATCH("debate|005",'{ticker}_Investment_Case_Data'!$W$2:$W$201,0))),INDEX('{ticker}_Investment_Case_Data'!$BA$2:$BA$201,MATCH("debate|005",'{ticker}_Investment_Case_Data'!$W$2:$W$201,0)),"")),"")</f>
        <v/>
      </c>
      <c r="M223" s="533" t="n"/>
    </row>
    <row r="224" hidden="1" ht="18" customHeight="1">
      <c r="A224" s="533">
        <f>IFERROR(IF(ISBLANK(INDEX('{ticker}_Investment_Case_Data'!$Y$2:$Y$201,MATCH("debate|006",'{ticker}_Investment_Case_Data'!$W$2:$W$201,0))),"",IF(ISTEXT(INDEX('{ticker}_Investment_Case_Data'!$Y$2:$Y$201,MATCH("debate|006",'{ticker}_Investment_Case_Data'!$W$2:$W$201,0))),INDEX('{ticker}_Investment_Case_Data'!$Y$2:$Y$201,MATCH("debate|006",'{ticker}_Investment_Case_Data'!$W$2:$W$201,0)),"")),"")</f>
        <v/>
      </c>
      <c r="B224" s="533">
        <f>IFERROR(IF(ISBLANK(INDEX('{ticker}_Investment_Case_Data'!$AO$2:$AO$201,MATCH("debate|006",'{ticker}_Investment_Case_Data'!$W$2:$W$201,0))),"",IF(ISTEXT(INDEX('{ticker}_Investment_Case_Data'!$AO$2:$AO$201,MATCH("debate|006",'{ticker}_Investment_Case_Data'!$W$2:$W$201,0))),INDEX('{ticker}_Investment_Case_Data'!$AO$2:$AO$201,MATCH("debate|006",'{ticker}_Investment_Case_Data'!$W$2:$W$201,0)),"")),"")</f>
        <v/>
      </c>
      <c r="C224" s="535" t="n"/>
      <c r="D224" s="535" t="n"/>
      <c r="E224" s="535" t="n"/>
      <c r="F224" s="536" t="n"/>
      <c r="G224" s="533">
        <f>IF(A224="","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manual_review_required","Manual review requir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accepted","Accepted",IF(IFERROR(IF(ISBLANK(INDEX('{ticker}_Investment_Case_Data'!$AQ$2:$AQ$201,MATCH("debate|006",'{ticker}_Investment_Case_Data'!$W$2:$W$201,0))),"",IF(ISTEXT(INDEX('{ticker}_Investment_Case_Data'!$AQ$2:$AQ$201,MATCH("debate|006",'{ticker}_Investment_Case_Data'!$W$2:$W$201,0))),INDEX('{ticker}_Investment_Case_Data'!$AQ$2:$AQ$201,MATCH("debate|006",'{ticker}_Investment_Case_Data'!$W$2:$W$201,0)),"")),"")="source_backed","Source-backed","Review required"))))</f>
        <v/>
      </c>
      <c r="H224" s="533">
        <f>IF(A224="","","Monitor next accepted update and related driver")</f>
        <v/>
      </c>
      <c r="I224" s="535" t="n"/>
      <c r="J224" s="535" t="n"/>
      <c r="K224" s="536" t="n"/>
      <c r="L224" s="533">
        <f>IFERROR(IF(ISBLANK(INDEX('{ticker}_Investment_Case_Data'!$BA$2:$BA$201,MATCH("debate|006",'{ticker}_Investment_Case_Data'!$W$2:$W$201,0))),"",IF(ISTEXT(INDEX('{ticker}_Investment_Case_Data'!$BA$2:$BA$201,MATCH("debate|006",'{ticker}_Investment_Case_Data'!$W$2:$W$201,0))),INDEX('{ticker}_Investment_Case_Data'!$BA$2:$BA$201,MATCH("debate|006",'{ticker}_Investment_Case_Data'!$W$2:$W$201,0)),"")),"")</f>
        <v/>
      </c>
      <c r="M224" s="533" t="n"/>
    </row>
    <row r="225" hidden="1" ht="18" customHeight="1">
      <c r="A225" s="533">
        <f>IFERROR(IF(ISBLANK(INDEX('{ticker}_Investment_Case_Data'!$Y$2:$Y$201,MATCH("debate|007",'{ticker}_Investment_Case_Data'!$W$2:$W$201,0))),"",IF(ISTEXT(INDEX('{ticker}_Investment_Case_Data'!$Y$2:$Y$201,MATCH("debate|007",'{ticker}_Investment_Case_Data'!$W$2:$W$201,0))),INDEX('{ticker}_Investment_Case_Data'!$Y$2:$Y$201,MATCH("debate|007",'{ticker}_Investment_Case_Data'!$W$2:$W$201,0)),"")),"")</f>
        <v/>
      </c>
      <c r="B225" s="533">
        <f>IFERROR(IF(ISBLANK(INDEX('{ticker}_Investment_Case_Data'!$AO$2:$AO$201,MATCH("debate|007",'{ticker}_Investment_Case_Data'!$W$2:$W$201,0))),"",IF(ISTEXT(INDEX('{ticker}_Investment_Case_Data'!$AO$2:$AO$201,MATCH("debate|007",'{ticker}_Investment_Case_Data'!$W$2:$W$201,0))),INDEX('{ticker}_Investment_Case_Data'!$AO$2:$AO$201,MATCH("debate|007",'{ticker}_Investment_Case_Data'!$W$2:$W$201,0)),"")),"")</f>
        <v/>
      </c>
      <c r="C225" s="535" t="n"/>
      <c r="D225" s="535" t="n"/>
      <c r="E225" s="535" t="n"/>
      <c r="F225" s="536" t="n"/>
      <c r="G225" s="533">
        <f>IF(A225="","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manual_review_required","Manual review requir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accepted","Accepted",IF(IFERROR(IF(ISBLANK(INDEX('{ticker}_Investment_Case_Data'!$AQ$2:$AQ$201,MATCH("debate|007",'{ticker}_Investment_Case_Data'!$W$2:$W$201,0))),"",IF(ISTEXT(INDEX('{ticker}_Investment_Case_Data'!$AQ$2:$AQ$201,MATCH("debate|007",'{ticker}_Investment_Case_Data'!$W$2:$W$201,0))),INDEX('{ticker}_Investment_Case_Data'!$AQ$2:$AQ$201,MATCH("debate|007",'{ticker}_Investment_Case_Data'!$W$2:$W$201,0)),"")),"")="source_backed","Source-backed","Review required"))))</f>
        <v/>
      </c>
      <c r="H225" s="533">
        <f>IF(A225="","","Monitor next accepted update and related driver")</f>
        <v/>
      </c>
      <c r="I225" s="535" t="n"/>
      <c r="J225" s="535" t="n"/>
      <c r="K225" s="536" t="n"/>
      <c r="L225" s="533">
        <f>IFERROR(IF(ISBLANK(INDEX('{ticker}_Investment_Case_Data'!$BA$2:$BA$201,MATCH("debate|007",'{ticker}_Investment_Case_Data'!$W$2:$W$201,0))),"",IF(ISTEXT(INDEX('{ticker}_Investment_Case_Data'!$BA$2:$BA$201,MATCH("debate|007",'{ticker}_Investment_Case_Data'!$W$2:$W$201,0))),INDEX('{ticker}_Investment_Case_Data'!$BA$2:$BA$201,MATCH("debate|007",'{ticker}_Investment_Case_Data'!$W$2:$W$201,0)),"")),"")</f>
        <v/>
      </c>
      <c r="M225" s="533" t="n"/>
    </row>
    <row r="226" hidden="1" ht="21" customHeight="1"/>
    <row r="227" hidden="1" ht="21" customHeight="1">
      <c r="A227" s="254" t="n"/>
    </row>
    <row r="228" hidden="1" ht="21" customHeight="1">
      <c r="A228" s="296" t="n"/>
      <c r="B228" s="259" t="n"/>
      <c r="D228" s="259" t="n"/>
      <c r="H228" s="259" t="n"/>
    </row>
    <row r="229" hidden="1" ht="21" customHeight="1">
      <c r="A229" s="52" t="n"/>
      <c r="B229" s="67" t="n"/>
      <c r="D229" s="67" t="n"/>
      <c r="H229" s="67" t="n"/>
    </row>
    <row r="230" hidden="1" ht="21" customHeight="1">
      <c r="A230" s="53" t="n"/>
      <c r="B230" s="68" t="n"/>
      <c r="D230" s="68" t="n"/>
      <c r="H230" s="68" t="n"/>
    </row>
    <row r="231" hidden="1" ht="21" customHeight="1">
      <c r="A231" s="52" t="n"/>
      <c r="B231" s="67" t="n"/>
      <c r="D231" s="67" t="n"/>
      <c r="H231" s="67" t="n"/>
    </row>
    <row r="232" hidden="1" ht="21" customHeight="1">
      <c r="A232" s="53" t="n"/>
      <c r="B232" s="68" t="n"/>
      <c r="D232" s="68" t="n"/>
      <c r="H232" s="68" t="n"/>
    </row>
    <row r="233" hidden="1" ht="21" customHeight="1">
      <c r="A233" s="52" t="n"/>
      <c r="B233" s="67" t="n"/>
      <c r="D233" s="67" t="n"/>
      <c r="H233" s="67" t="n"/>
    </row>
    <row r="234" hidden="1"/>
    <row r="235" hidden="1"/>
    <row r="236" hidden="1"/>
    <row r="237" hidden="1"/>
    <row r="238" hidden="1"/>
    <row r="239" hidden="1"/>
    <row r="240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29">
    <mergeCell ref="A205:F205"/>
    <mergeCell ref="G154:M154"/>
    <mergeCell ref="G19:L19"/>
    <mergeCell ref="B218:F218"/>
    <mergeCell ref="F56:L56"/>
    <mergeCell ref="G28:L28"/>
    <mergeCell ref="A97:M97"/>
    <mergeCell ref="F105:L105"/>
    <mergeCell ref="A198:F198"/>
    <mergeCell ref="A53:M53"/>
    <mergeCell ref="A180:M180"/>
    <mergeCell ref="A81:M81"/>
    <mergeCell ref="A38:M38"/>
    <mergeCell ref="A152:M152"/>
    <mergeCell ref="A154:F154"/>
    <mergeCell ref="A210:F210"/>
    <mergeCell ref="B223:F223"/>
    <mergeCell ref="F107:L107"/>
    <mergeCell ref="A13:M13"/>
    <mergeCell ref="G33:L33"/>
    <mergeCell ref="H225:K225"/>
    <mergeCell ref="F57:L57"/>
    <mergeCell ref="A40:M40"/>
    <mergeCell ref="B9:J9"/>
    <mergeCell ref="C135:E135"/>
    <mergeCell ref="A39:M39"/>
    <mergeCell ref="G115:J115"/>
    <mergeCell ref="G35:L35"/>
    <mergeCell ref="F112:L112"/>
    <mergeCell ref="H221:K221"/>
    <mergeCell ref="B225:F225"/>
    <mergeCell ref="A49:M49"/>
    <mergeCell ref="F63:L63"/>
    <mergeCell ref="A82:M82"/>
    <mergeCell ref="G25:L25"/>
    <mergeCell ref="B5:J5"/>
    <mergeCell ref="A103:M103"/>
    <mergeCell ref="A115:F115"/>
    <mergeCell ref="G32:L32"/>
    <mergeCell ref="A168:M168"/>
    <mergeCell ref="H223:K223"/>
    <mergeCell ref="F59:L59"/>
    <mergeCell ref="F55:L55"/>
    <mergeCell ref="C136:E136"/>
    <mergeCell ref="A16:M16"/>
    <mergeCell ref="F51:L51"/>
    <mergeCell ref="F113:L113"/>
    <mergeCell ref="F45:L45"/>
    <mergeCell ref="F41:L41"/>
    <mergeCell ref="F66:L66"/>
    <mergeCell ref="B222:F222"/>
    <mergeCell ref="F106:L106"/>
    <mergeCell ref="F109:L109"/>
    <mergeCell ref="H218:K218"/>
    <mergeCell ref="F47:L47"/>
    <mergeCell ref="F62:L62"/>
    <mergeCell ref="A104:M104"/>
    <mergeCell ref="B221:F221"/>
    <mergeCell ref="B11:J11"/>
    <mergeCell ref="A14:M14"/>
    <mergeCell ref="C137:E137"/>
    <mergeCell ref="F111:L111"/>
    <mergeCell ref="C134:E134"/>
    <mergeCell ref="A193:F193"/>
    <mergeCell ref="F58:L58"/>
    <mergeCell ref="A141:M141"/>
    <mergeCell ref="B224:F224"/>
    <mergeCell ref="F52:L52"/>
    <mergeCell ref="F67:L67"/>
    <mergeCell ref="C133:E133"/>
    <mergeCell ref="G18:L18"/>
    <mergeCell ref="A4:J4"/>
    <mergeCell ref="B8:J8"/>
    <mergeCell ref="F48:L48"/>
    <mergeCell ref="C139:E139"/>
    <mergeCell ref="A20:M20"/>
    <mergeCell ref="G34:L34"/>
    <mergeCell ref="A190:M190"/>
    <mergeCell ref="C130:E130"/>
    <mergeCell ref="F60:L60"/>
    <mergeCell ref="A192:F192"/>
    <mergeCell ref="B220:F220"/>
    <mergeCell ref="G15:L15"/>
    <mergeCell ref="A204:F204"/>
    <mergeCell ref="B219:F219"/>
    <mergeCell ref="C138:E138"/>
    <mergeCell ref="G24:L24"/>
    <mergeCell ref="C132:E132"/>
    <mergeCell ref="A93:M93"/>
    <mergeCell ref="B10:J10"/>
    <mergeCell ref="F64:L64"/>
    <mergeCell ref="F44:L44"/>
    <mergeCell ref="A167:M167"/>
    <mergeCell ref="H224:K224"/>
    <mergeCell ref="A30:M30"/>
    <mergeCell ref="F65:L65"/>
    <mergeCell ref="G26:L26"/>
    <mergeCell ref="F68:L68"/>
    <mergeCell ref="B6:J6"/>
    <mergeCell ref="G29:L29"/>
    <mergeCell ref="F108:L108"/>
    <mergeCell ref="A191:M191"/>
    <mergeCell ref="A169:M169"/>
    <mergeCell ref="H220:K220"/>
    <mergeCell ref="A199:F199"/>
    <mergeCell ref="A61:M61"/>
    <mergeCell ref="A119:M119"/>
    <mergeCell ref="G22:L22"/>
    <mergeCell ref="C131:E131"/>
    <mergeCell ref="A211:F211"/>
    <mergeCell ref="G31:L31"/>
    <mergeCell ref="A153:M153"/>
    <mergeCell ref="H222:K222"/>
    <mergeCell ref="A54:M54"/>
    <mergeCell ref="G21:L21"/>
    <mergeCell ref="A71:M71"/>
    <mergeCell ref="A46:M46"/>
    <mergeCell ref="B7:J7"/>
    <mergeCell ref="A84:M84"/>
    <mergeCell ref="F114:L114"/>
    <mergeCell ref="A217:M217"/>
    <mergeCell ref="G27:L27"/>
    <mergeCell ref="F50:L50"/>
    <mergeCell ref="F110:L110"/>
    <mergeCell ref="H219:K219"/>
    <mergeCell ref="G17:L17"/>
    <mergeCell ref="G23:L23"/>
    <mergeCell ref="A2:J2"/>
    <mergeCell ref="A129:M129"/>
  </mergeCells>
  <conditionalFormatting sqref="A47:L48">
    <cfRule type="expression" priority="1" dxfId="6">
      <formula>LOWER($B$42)&lt;&gt;LOWER("Brand")</formula>
    </cfRule>
  </conditionalFormatting>
  <conditionalFormatting sqref="A50:L52">
    <cfRule type="expression" priority="2" dxfId="6">
      <formula>LOWER($B$42)&lt;&gt;LOWER("Geography")</formula>
    </cfRule>
  </conditionalFormatting>
  <conditionalFormatting sqref="A45:L45">
    <cfRule type="expression" priority="3" dxfId="6">
      <formula>LOWER($B$42)&lt;&gt;LOWER("Total Company")</formula>
    </cfRule>
  </conditionalFormatting>
  <dataValidations count="71">
    <dataValidation sqref="B42" showDropDown="0" showInputMessage="1" showErrorMessage="1" allowBlank="1" errorTitle="Invalid scenario input" error="Enter a value compatible with the declared scenario contract." promptTitle="Revenue scenario mode" prompt="Choose Total Company, Brand or Geography. Blank uses Total Company." type="list" errorStyle="stop">
      <formula1>=InvestmentCaseDimensionOptions</formula1>
    </dataValidation>
    <dataValidation sqref="C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5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4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2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69" showDropDown="0" showInputMessage="0" showErrorMessage="1" allowBlank="1" errorTitle="Invalid scenario input" error="Enter a value compatible with the declared scenario contract." type="list" errorStyle="stop">
      <formula1>"Bear,Base,Bull"</formula1>
    </dataValidation>
    <dataValidation sqref="C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C63" showDropDown="0" showInputMessage="0" showErrorMessage="1" allowBlank="1" errorTitle="Invalid scenario input" error="Enter a value compatible with the declared scenario contract." type="custom" errorStyle="stop">
      <formula1>=OR(C63="",AND(ISNUMBER(C63),C63&gt;=0))</formula1>
    </dataValidation>
    <dataValidation sqref="C65" showDropDown="0" showInputMessage="0" showErrorMessage="1" allowBlank="1" errorTitle="Invalid scenario input" error="Enter a value compatible with the declared scenario contract." type="custom" errorStyle="stop">
      <formula1>=OR(C65="",AND(ISNUMBER(C65),C65&gt;=0))</formula1>
    </dataValidation>
    <dataValidation sqref="C67" showDropDown="0" showInputMessage="0" showErrorMessage="1" allowBlank="1" errorTitle="Invalid scenario input" error="Enter a value compatible with the declared scenario contract." type="custom" errorStyle="stop">
      <formula1>=OR(C67="",AND(ISNUMBER(C67),C67&gt;=0))</formula1>
    </dataValidation>
    <dataValidation sqref="C66" showDropDown="0" showInputMessage="0" showErrorMessage="1" allowBlank="1" errorTitle="Invalid scenario input" error="Enter a value compatible with the declared scenario contract." type="custom" errorStyle="stop">
      <formula1>=OR(C66="",AND(ISNUMBER(C66),C66&gt;0))</formula1>
    </dataValidation>
    <dataValidation sqref="C64" showDropDown="0" showInputMessage="0" showErrorMessage="1" allowBlank="1" errorTitle="Invalid scenario input" error="Enter a value compatible with the declared scenario contract." type="custom" errorStyle="stop">
      <formula1>=OR(C64="",ISNUMBER(C64))</formula1>
    </dataValidation>
    <dataValidation sqref="C68" showDropDown="0" showInputMessage="0" showErrorMessage="1" allowBlank="1" errorTitle="Invalid scenario input" error="Enter a value compatible with the declared scenario contract." type="custom" errorStyle="stop">
      <formula1>=OR(C68="",ISNUMBER(C68))</formula1>
    </dataValidation>
    <dataValidation sqref="D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D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63" showDropDown="0" showInputMessage="0" showErrorMessage="1" allowBlank="1" errorTitle="Invalid scenario input" error="Enter a value compatible with the declared scenario contract." type="custom" errorStyle="stop">
      <formula1>=OR(D63="",AND(ISNUMBER(D63),D63&gt;=0))</formula1>
    </dataValidation>
    <dataValidation sqref="D65" showDropDown="0" showInputMessage="0" showErrorMessage="1" allowBlank="1" errorTitle="Invalid scenario input" error="Enter a value compatible with the declared scenario contract." type="custom" errorStyle="stop">
      <formula1>=OR(D65="",AND(ISNUMBER(D65),D65&gt;=0))</formula1>
    </dataValidation>
    <dataValidation sqref="D67" showDropDown="0" showInputMessage="0" showErrorMessage="1" allowBlank="1" errorTitle="Invalid scenario input" error="Enter a value compatible with the declared scenario contract." type="custom" errorStyle="stop">
      <formula1>=OR(D67="",AND(ISNUMBER(D67),D67&gt;=0))</formula1>
    </dataValidation>
    <dataValidation sqref="D66" showDropDown="0" showInputMessage="0" showErrorMessage="1" allowBlank="1" errorTitle="Invalid scenario input" error="Enter a value compatible with the declared scenario contract." type="custom" errorStyle="stop">
      <formula1>=OR(D66="",AND(ISNUMBER(D66),D66&gt;0))</formula1>
    </dataValidation>
    <dataValidation sqref="D64" showDropDown="0" showInputMessage="0" showErrorMessage="1" allowBlank="1" errorTitle="Invalid scenario input" error="Enter a value compatible with the declared scenario contract." type="custom" errorStyle="stop">
      <formula1>=OR(D64="",ISNUMBER(D64))</formula1>
    </dataValidation>
    <dataValidation sqref="D68" showDropDown="0" showInputMessage="0" showErrorMessage="1" allowBlank="1" errorTitle="Invalid scenario input" error="Enter a value compatible with the declared scenario contract." type="custom" errorStyle="stop">
      <formula1>=OR(D68="",ISNUMBER(D68))</formula1>
    </dataValidation>
    <dataValidation sqref="E5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7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8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5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6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E63" showDropDown="0" showInputMessage="0" showErrorMessage="1" allowBlank="1" errorTitle="Invalid scenario input" error="Enter a value compatible with the declared scenario contract." type="custom" errorStyle="stop">
      <formula1>=OR(E63="",AND(ISNUMBER(E63),E63&gt;=0))</formula1>
    </dataValidation>
    <dataValidation sqref="E65" showDropDown="0" showInputMessage="0" showErrorMessage="1" allowBlank="1" errorTitle="Invalid scenario input" error="Enter a value compatible with the declared scenario contract." type="custom" errorStyle="stop">
      <formula1>=OR(E65="",AND(ISNUMBER(E65),E65&gt;=0))</formula1>
    </dataValidation>
    <dataValidation sqref="E67" showDropDown="0" showInputMessage="0" showErrorMessage="1" allowBlank="1" errorTitle="Invalid scenario input" error="Enter a value compatible with the declared scenario contract." type="custom" errorStyle="stop">
      <formula1>=OR(E67="",AND(ISNUMBER(E67),E67&gt;=0))</formula1>
    </dataValidation>
    <dataValidation sqref="E66" showDropDown="0" showInputMessage="0" showErrorMessage="1" allowBlank="1" errorTitle="Invalid scenario input" error="Enter a value compatible with the declared scenario contract." type="custom" errorStyle="stop">
      <formula1>=OR(E66="",AND(ISNUMBER(E66),E66&gt;0))</formula1>
    </dataValidation>
    <dataValidation sqref="E64" showDropDown="0" showInputMessage="0" showErrorMessage="1" allowBlank="1" errorTitle="Invalid scenario input" error="Enter a value compatible with the declared scenario contract." type="custom" errorStyle="stop">
      <formula1>=OR(E64="",ISNUMBER(E64))</formula1>
    </dataValidation>
    <dataValidation sqref="E68" showDropDown="0" showInputMessage="0" showErrorMessage="1" allowBlank="1" errorTitle="Invalid scenario input" error="Enter a value compatible with the declared scenario contract." type="custom" errorStyle="stop">
      <formula1>=OR(E68="",ISNUMBER(E68))</formula1>
    </dataValidation>
    <dataValidation sqref="C106" showDropDown="0" showInputMessage="0" showErrorMessage="1" allowBlank="1" errorTitle="Invalid scenario input" error="Enter a value compatible with the declared scenario contract." type="custom" errorStyle="stop">
      <formula1>=OR(C106="",AND(ISNUMBER(C106),C106&gt;0))</formula1>
    </dataValidation>
    <dataValidation sqref="C107" showDropDown="0" showInputMessage="0" showErrorMessage="1" allowBlank="1" errorTitle="Invalid scenario input" error="Enter a value compatible with the declared scenario contract." type="custom" errorStyle="stop">
      <formula1>=OR(C107="",AND(ISNUMBER(C107),C107&gt;0))</formula1>
    </dataValidation>
    <dataValidation sqref="C108" showDropDown="0" showInputMessage="0" showErrorMessage="1" allowBlank="1" errorTitle="Invalid scenario input" error="Enter a value compatible with the declared scenario contract." type="custom" errorStyle="stop">
      <formula1>=OR(C108="",AND(ISNUMBER(C108),C108&gt;0))</formula1>
    </dataValidation>
    <dataValidation sqref="C109" showDropDown="0" showInputMessage="0" showErrorMessage="1" allowBlank="1" errorTitle="Invalid scenario input" error="Enter a value compatible with the declared scenario contract." type="custom" errorStyle="stop">
      <formula1>=OR(C109="",AND(ISNUMBER(C109),C109&gt;0))</formula1>
    </dataValidation>
    <dataValidation sqref="C1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1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C113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C114" showDropDown="0" showInputMessage="0" showErrorMessage="1" allowBlank="1" errorTitle="Invalid scenario input" error="Enter a value compatible with the declared scenario contract." type="whole" errorStyle="stop" operator="between">
      <formula1>1</formula1>
      <formula2>5</formula2>
    </dataValidation>
    <dataValidation sqref="B117:F117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I192" showDropDown="0" showInputMessage="0" showErrorMessage="1" allowBlank="1" errorTitle="Invalid scenario input" error="Enter a value compatible with the declared scenario contract." type="custom" errorStyle="stop">
      <formula1>=OR(I192="",AND(ISNUMBER(I192),I192&gt;0))</formula1>
    </dataValidation>
    <dataValidation sqref="I193" showDropDown="0" showInputMessage="0" showErrorMessage="1" allowBlank="1" errorTitle="Invalid scenario input" error="Enter a value compatible with the declared scenario contract." type="custom" errorStyle="stop">
      <formula1>=OR(I193="",AND(ISNUMBER(I193),I193&gt;0))</formula1>
    </dataValidation>
    <dataValidation sqref="I198" showDropDown="0" showInputMessage="0" showErrorMessage="1" allowBlank="1" errorTitle="Invalid scenario input" error="Enter a value compatible with the declared scenario contract." type="custom" errorStyle="stop">
      <formula1>=OR(I198="",AND(ISNUMBER(I198),I198&gt;0))</formula1>
    </dataValidation>
    <dataValidation sqref="I199" showDropDown="0" showInputMessage="0" showErrorMessage="1" allowBlank="1" errorTitle="Invalid scenario input" error="Enter a value compatible with the declared scenario contract." type="custom" errorStyle="stop">
      <formula1>=OR(I199="",AND(ISNUMBER(I199),I199&gt;0))</formula1>
    </dataValidation>
    <dataValidation sqref="I204" showDropDown="0" showInputMessage="0" showErrorMessage="1" allowBlank="1" errorTitle="Invalid scenario input" error="Enter a value compatible with the declared scenario contract." type="custom" errorStyle="stop">
      <formula1>=OR(I204="",AND(ISNUMBER(I204),I204&gt;0,I204&lt;=1))</formula1>
    </dataValidation>
    <dataValidation sqref="I205" showDropDown="0" showInputMessage="0" showErrorMessage="1" allowBlank="1" errorTitle="Invalid scenario input" error="Enter a value compatible with the declared scenario contract." type="custom" errorStyle="stop">
      <formula1>=OR(I205="",AND(ISNUMBER(I205),I205&gt;0))</formula1>
    </dataValidation>
    <dataValidation sqref="I210" showDropDown="0" showInputMessage="0" showErrorMessage="1" allowBlank="1" errorTitle="Invalid scenario input" error="Enter a value compatible with the declared scenario contract." type="custom" errorStyle="stop">
      <formula1>=OR(I210="",AND(ISNUMBER(I210),I210&gt;0,I210&lt;=1))</formula1>
    </dataValidation>
    <dataValidation sqref="I211" showDropDown="0" showInputMessage="0" showErrorMessage="1" allowBlank="1" errorTitle="Invalid scenario input" error="Enter a value compatible with the declared scenario contract." type="custom" errorStyle="stop">
      <formula1>=OR(I211="",AND(ISNUMBER(I211),I211&gt;0,I211&lt;=1))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69" t="n"/>
      <c r="D5" s="308" t="n"/>
      <c r="E5" s="308" t="n"/>
      <c r="F5" s="308" t="n"/>
      <c r="G5" s="569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70" t="n"/>
      <c r="D6" s="308" t="n"/>
      <c r="E6" s="308" t="n"/>
      <c r="F6" s="308" t="n"/>
      <c r="G6" s="570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69" t="n"/>
      <c r="D7" s="308" t="n"/>
      <c r="E7" s="308" t="n"/>
      <c r="F7" s="308" t="n"/>
      <c r="G7" s="569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70" t="n"/>
      <c r="D8" s="308" t="n"/>
      <c r="E8" s="308" t="n"/>
      <c r="F8" s="308" t="n"/>
      <c r="G8" s="570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69" t="n"/>
      <c r="D9" s="308" t="n"/>
      <c r="E9" s="308" t="n"/>
      <c r="F9" s="308" t="n"/>
      <c r="G9" s="569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419" t="n"/>
      <c r="I13" s="569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421" t="n"/>
      <c r="I14" s="570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419" t="n"/>
      <c r="I15" s="569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421" t="n"/>
      <c r="I16" s="570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419" t="n"/>
      <c r="I17" s="569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421" t="n"/>
      <c r="I18" s="570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419" t="n"/>
      <c r="I19" s="569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421" t="n"/>
      <c r="I20" s="570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419" t="n"/>
      <c r="I24" s="569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421" t="n"/>
      <c r="I25" s="570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419" t="n"/>
      <c r="I26" s="569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419" t="n"/>
      <c r="I30" s="569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421" t="n"/>
      <c r="I31" s="570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419" t="n"/>
      <c r="I35" s="569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69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70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69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70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69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70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69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70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69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70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69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70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69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70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69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70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69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71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71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71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71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71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71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71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71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71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71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71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71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71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71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71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71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71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71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71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71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71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72" t="inlineStr">
        <is>
          <t>issue_id</t>
        </is>
      </c>
      <c r="B1" s="572" t="inlineStr">
        <is>
          <t>severity</t>
        </is>
      </c>
      <c r="C1" s="572" t="inlineStr">
        <is>
          <t>rule_id</t>
        </is>
      </c>
      <c r="D1" s="572" t="inlineStr">
        <is>
          <t>issue_type</t>
        </is>
      </c>
      <c r="E1" s="572" t="inlineStr">
        <is>
          <t>section</t>
        </is>
      </c>
      <c r="F1" s="572" t="inlineStr">
        <is>
          <t>root_cause</t>
        </is>
      </c>
      <c r="G1" s="572" t="inlineStr">
        <is>
          <t>message</t>
        </is>
      </c>
      <c r="H1" s="572" t="inlineStr">
        <is>
          <t>suggested_action</t>
        </is>
      </c>
      <c r="I1" s="572" t="inlineStr">
        <is>
          <t>occurrence_count</t>
        </is>
      </c>
      <c r="J1" s="572" t="inlineStr">
        <is>
          <t>visibility_disposition</t>
        </is>
      </c>
      <c r="K1" s="572" t="inlineStr">
        <is>
          <t>promotion_blocking</t>
        </is>
      </c>
      <c r="L1" s="572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72" t="inlineStr">
        <is>
          <t>issue_id</t>
        </is>
      </c>
      <c r="B1" s="572" t="inlineStr">
        <is>
          <t>severity</t>
        </is>
      </c>
      <c r="C1" s="572" t="inlineStr">
        <is>
          <t>rule_id</t>
        </is>
      </c>
      <c r="D1" s="572" t="inlineStr">
        <is>
          <t>section</t>
        </is>
      </c>
      <c r="E1" s="572" t="inlineStr">
        <is>
          <t>normalized_path</t>
        </is>
      </c>
      <c r="F1" s="572" t="inlineStr">
        <is>
          <t>business_row_key</t>
        </is>
      </c>
      <c r="G1" s="572" t="inlineStr">
        <is>
          <t>message</t>
        </is>
      </c>
      <c r="H1" s="572" t="inlineStr">
        <is>
          <t>suggested_action</t>
        </is>
      </c>
      <c r="I1" s="572" t="inlineStr">
        <is>
          <t>occurrence_count</t>
        </is>
      </c>
      <c r="J1" s="572" t="inlineStr">
        <is>
          <t>promotion_blocking</t>
        </is>
      </c>
      <c r="K1" s="572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72" t="inlineStr">
        <is>
          <t>rule_id</t>
        </is>
      </c>
      <c r="B1" s="572" t="inlineStr">
        <is>
          <t>status</t>
        </is>
      </c>
      <c r="C1" s="572" t="inlineStr">
        <is>
          <t>unique_issue_count</t>
        </is>
      </c>
      <c r="D1" s="572" t="inlineStr">
        <is>
          <t>occurrence_count</t>
        </is>
      </c>
      <c r="E1" s="572" t="inlineStr">
        <is>
          <t>blocking_count</t>
        </is>
      </c>
      <c r="F1" s="572" t="inlineStr">
        <is>
          <t>actionable_count</t>
        </is>
      </c>
      <c r="G1" s="572" t="inlineStr">
        <is>
          <t>affected_sections</t>
        </is>
      </c>
      <c r="H1" s="572" t="inlineStr">
        <is>
          <t>interpretation</t>
        </is>
      </c>
      <c r="I1" s="572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value</t>
        </is>
      </c>
      <c r="D1" s="573" t="inlineStr">
        <is>
          <t>unit</t>
        </is>
      </c>
      <c r="E1" s="573" t="inlineStr">
        <is>
          <t>source_ref</t>
        </is>
      </c>
      <c r="F1" s="573" t="inlineStr">
        <is>
          <t>status</t>
        </is>
      </c>
      <c r="G1" s="573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value</t>
        </is>
      </c>
      <c r="D1" s="573" t="inlineStr">
        <is>
          <t>unit</t>
        </is>
      </c>
      <c r="E1" s="573" t="inlineStr">
        <is>
          <t>source_ref</t>
        </is>
      </c>
      <c r="F1" s="573" t="inlineStr">
        <is>
          <t>status</t>
        </is>
      </c>
      <c r="G1" s="573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value</t>
        </is>
      </c>
      <c r="D1" s="573" t="inlineStr">
        <is>
          <t>unit</t>
        </is>
      </c>
      <c r="E1" s="573" t="inlineStr">
        <is>
          <t>source_ref</t>
        </is>
      </c>
      <c r="F1" s="573" t="inlineStr">
        <is>
          <t>status</t>
        </is>
      </c>
      <c r="G1" s="573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73" t="inlineStr">
        <is>
          <t>period</t>
        </is>
      </c>
      <c r="B1" s="573" t="inlineStr">
        <is>
          <t>theme</t>
        </is>
      </c>
      <c r="C1" s="573" t="inlineStr">
        <is>
          <t>metric</t>
        </is>
      </c>
      <c r="D1" s="573" t="inlineStr">
        <is>
          <t>note</t>
        </is>
      </c>
      <c r="E1" s="573" t="inlineStr">
        <is>
          <t>source_ref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73" t="inlineStr">
        <is>
          <t>evidence_key</t>
        </is>
      </c>
      <c r="B1" s="573" t="inlineStr">
        <is>
          <t>period</t>
        </is>
      </c>
      <c r="C1" s="573" t="inlineStr">
        <is>
          <t>topic</t>
        </is>
      </c>
      <c r="D1" s="573" t="inlineStr">
        <is>
          <t>text</t>
        </is>
      </c>
      <c r="E1" s="573" t="inlineStr">
        <is>
          <t>source_ref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73" t="inlineStr">
        <is>
          <t>period</t>
        </is>
      </c>
      <c r="B1" s="573" t="inlineStr">
        <is>
          <t>topic</t>
        </is>
      </c>
      <c r="C1" s="573" t="inlineStr">
        <is>
          <t>narrative_type</t>
        </is>
      </c>
      <c r="D1" s="573" t="inlineStr">
        <is>
          <t>text</t>
        </is>
      </c>
      <c r="E1" s="573" t="inlineStr">
        <is>
          <t>source_ref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73" t="inlineStr">
        <is>
          <t>metric</t>
        </is>
      </c>
      <c r="B1" s="573" t="inlineStr">
        <is>
          <t>value</t>
        </is>
      </c>
      <c r="C1" s="573" t="inlineStr">
        <is>
          <t>unit</t>
        </is>
      </c>
      <c r="D1" s="573" t="inlineStr">
        <is>
          <t>as_of</t>
        </is>
      </c>
      <c r="E1" s="573" t="inlineStr">
        <is>
          <t>lineage_ref</t>
        </is>
      </c>
      <c r="F1" s="573" t="inlineStr">
        <is>
          <t>status</t>
        </is>
      </c>
      <c r="G1" s="573" t="inlineStr">
        <is>
          <t>definition</t>
        </is>
      </c>
      <c r="H1" s="573" t="inlineStr">
        <is>
          <t>resolved_revenue_growth_bear</t>
        </is>
      </c>
      <c r="I1" s="573" t="inlineStr">
        <is>
          <t>resolved_revenue_growth_base</t>
        </is>
      </c>
      <c r="J1" s="573" t="inlineStr">
        <is>
          <t>resolved_revenue_growth_bull</t>
        </is>
      </c>
      <c r="K1" s="573" t="inlineStr">
        <is>
          <t>resolved_revenue_growth_custom</t>
        </is>
      </c>
    </row>
    <row r="2">
      <c r="A2" t="inlineStr">
        <is>
          <t>price</t>
        </is>
      </c>
      <c r="B2" s="516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74">
        <f>_xlfn.LET(_xlpm.scenarioKey,"bear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74">
        <f>_xlfn.LET(_xlpm.scenarioKey,"base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74">
        <f>_xlfn.LET(_xlpm.scenarioKey,"bull",_xlpm.userGrowth,"",_xlpm.scenarioHorizon,""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74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14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14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75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75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75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9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14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16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14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14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14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14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76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14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77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14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16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74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73" t="inlineStr">
        <is>
          <t>promise_key</t>
        </is>
      </c>
      <c r="B1" s="573" t="inlineStr">
        <is>
          <t>period</t>
        </is>
      </c>
      <c r="C1" s="573" t="inlineStr">
        <is>
          <t>metric</t>
        </is>
      </c>
      <c r="D1" s="573" t="inlineStr">
        <is>
          <t>evidence</t>
        </is>
      </c>
      <c r="E1" s="573" t="inlineStr">
        <is>
          <t>source_ref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previous_guide</t>
        </is>
      </c>
      <c r="D1" s="573" t="inlineStr">
        <is>
          <t>current_guide</t>
        </is>
      </c>
      <c r="E1" s="573" t="inlineStr">
        <is>
          <t>actual</t>
        </is>
      </c>
      <c r="F1" s="573" t="inlineStr">
        <is>
          <t>status</t>
        </is>
      </c>
      <c r="G1" s="573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73" t="inlineStr">
        <is>
          <t>metric</t>
        </is>
      </c>
      <c r="B1" s="573" t="inlineStr">
        <is>
          <t>horizon</t>
        </is>
      </c>
      <c r="C1" s="573" t="inlineStr">
        <is>
          <t>period</t>
        </is>
      </c>
      <c r="D1" s="573" t="inlineStr">
        <is>
          <t>value</t>
        </is>
      </c>
      <c r="E1" s="573" t="inlineStr">
        <is>
          <t>unit</t>
        </is>
      </c>
      <c r="F1" s="573" t="inlineStr">
        <is>
          <t>status</t>
        </is>
      </c>
      <c r="G1" s="573" t="inlineStr">
        <is>
          <t>source_ref</t>
        </is>
      </c>
      <c r="H1" s="573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period_ordinal</t>
        </is>
      </c>
      <c r="C1" s="573" t="inlineStr">
        <is>
          <t>metric</t>
        </is>
      </c>
      <c r="D1" s="573" t="inlineStr">
        <is>
          <t>value</t>
        </is>
      </c>
      <c r="E1" s="573" t="inlineStr">
        <is>
          <t>unit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topic</t>
        </is>
      </c>
      <c r="C1" s="573" t="inlineStr">
        <is>
          <t>metric</t>
        </is>
      </c>
      <c r="D1" s="573" t="inlineStr">
        <is>
          <t>value</t>
        </is>
      </c>
      <c r="E1" s="573" t="inlineStr">
        <is>
          <t>unit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73" t="inlineStr">
        <is>
          <t>period</t>
        </is>
      </c>
      <c r="B1" s="573" t="inlineStr">
        <is>
          <t>period_ordinal</t>
        </is>
      </c>
      <c r="C1" s="573" t="inlineStr">
        <is>
          <t>period_type</t>
        </is>
      </c>
      <c r="D1" s="573" t="inlineStr">
        <is>
          <t>fiscal_year</t>
        </is>
      </c>
      <c r="E1" s="573" t="inlineStr">
        <is>
          <t>fiscal_quarter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73" t="inlineStr">
        <is>
          <t>display_rank</t>
        </is>
      </c>
      <c r="B1" s="573" t="inlineStr">
        <is>
          <t>candidate_key</t>
        </is>
      </c>
      <c r="C1" s="573" t="inlineStr">
        <is>
          <t>signal_id</t>
        </is>
      </c>
      <c r="D1" s="573" t="inlineStr">
        <is>
          <t>display_name</t>
        </is>
      </c>
      <c r="E1" s="573" t="inlineStr">
        <is>
          <t>score</t>
        </is>
      </c>
      <c r="F1" s="573" t="inlineStr">
        <is>
          <t>triggered</t>
        </is>
      </c>
      <c r="G1" s="573" t="inlineStr">
        <is>
          <t>state</t>
        </is>
      </c>
      <c r="H1" s="573" t="inlineStr">
        <is>
          <t>severity</t>
        </is>
      </c>
      <c r="I1" s="573" t="inlineStr">
        <is>
          <t>as_of_period</t>
        </is>
      </c>
      <c r="J1" s="573" t="inlineStr">
        <is>
          <t>reason</t>
        </is>
      </c>
      <c r="K1" s="573" t="inlineStr">
        <is>
          <t>evidence_ids</t>
        </is>
      </c>
      <c r="L1" s="573" t="inlineStr">
        <is>
          <t>source_refs</t>
        </is>
      </c>
      <c r="M1" s="573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73" t="inlineStr">
        <is>
          <t>candidate_key</t>
        </is>
      </c>
      <c r="B1" s="573" t="inlineStr">
        <is>
          <t>signal_id</t>
        </is>
      </c>
      <c r="C1" s="573" t="inlineStr">
        <is>
          <t>display_name</t>
        </is>
      </c>
      <c r="D1" s="573" t="inlineStr">
        <is>
          <t>profile_id</t>
        </is>
      </c>
      <c r="E1" s="573" t="inlineStr">
        <is>
          <t>as_of_period</t>
        </is>
      </c>
      <c r="F1" s="573" t="inlineStr">
        <is>
          <t>expected_state</t>
        </is>
      </c>
      <c r="G1" s="573" t="inlineStr">
        <is>
          <t>expected_triggered</t>
        </is>
      </c>
      <c r="H1" s="573" t="inlineStr">
        <is>
          <t>expected_score</t>
        </is>
      </c>
      <c r="I1" s="573" t="inlineStr">
        <is>
          <t>expected_score_denominator</t>
        </is>
      </c>
      <c r="J1" s="573" t="inlineStr">
        <is>
          <t>expected_severity</t>
        </is>
      </c>
      <c r="K1" s="573" t="inlineStr">
        <is>
          <t>priority</t>
        </is>
      </c>
      <c r="L1" s="573" t="inlineStr">
        <is>
          <t>reasons</t>
        </is>
      </c>
      <c r="M1" s="573" t="inlineStr">
        <is>
          <t>evidence_ids</t>
        </is>
      </c>
      <c r="N1" s="573" t="inlineStr">
        <is>
          <t>source_refs</t>
        </is>
      </c>
      <c r="O1" s="573" t="inlineStr">
        <is>
          <t>resolved_metric_keys</t>
        </is>
      </c>
      <c r="P1" s="573" t="inlineStr">
        <is>
          <t>recompute_record_keys</t>
        </is>
      </c>
      <c r="Q1" s="573" t="inlineStr">
        <is>
          <t>module_eligible</t>
        </is>
      </c>
      <c r="R1" s="573" t="inlineStr">
        <is>
          <t>recomputed_state</t>
        </is>
      </c>
      <c r="S1" s="573" t="inlineStr">
        <is>
          <t>recomputed_triggered</t>
        </is>
      </c>
      <c r="T1" s="573" t="inlineStr">
        <is>
          <t>recomputed_score</t>
        </is>
      </c>
      <c r="U1" s="573" t="inlineStr">
        <is>
          <t>parity_status</t>
        </is>
      </c>
      <c r="V1" s="573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78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78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78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78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78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78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78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73" t="inlineStr">
        <is>
          <t>record_key</t>
        </is>
      </c>
      <c r="B1" s="573" t="inlineStr">
        <is>
          <t>candidate_key</t>
        </is>
      </c>
      <c r="C1" s="573" t="inlineStr">
        <is>
          <t>signal_id</t>
        </is>
      </c>
      <c r="D1" s="573" t="inlineStr">
        <is>
          <t>record_type</t>
        </is>
      </c>
      <c r="E1" s="573" t="inlineStr">
        <is>
          <t>stage</t>
        </is>
      </c>
      <c r="F1" s="573" t="inlineStr">
        <is>
          <t>item_id</t>
        </is>
      </c>
      <c r="G1" s="573" t="inlineStr">
        <is>
          <t>metric_key</t>
        </is>
      </c>
      <c r="H1" s="573" t="inlineStr">
        <is>
          <t>operator</t>
        </is>
      </c>
      <c r="I1" s="573" t="inlineStr">
        <is>
          <t>right_metric_key</t>
        </is>
      </c>
      <c r="J1" s="573" t="inlineStr">
        <is>
          <t>threshold</t>
        </is>
      </c>
      <c r="K1" s="573" t="inlineStr">
        <is>
          <t>required_component</t>
        </is>
      </c>
      <c r="L1" s="573" t="inlineStr">
        <is>
          <t>weight</t>
        </is>
      </c>
      <c r="M1" s="573" t="inlineStr">
        <is>
          <t>normalization_direction</t>
        </is>
      </c>
      <c r="N1" s="573" t="inlineStr">
        <is>
          <t>normalization_threshold</t>
        </is>
      </c>
      <c r="O1" s="573" t="inlineStr">
        <is>
          <t>normalization_span</t>
        </is>
      </c>
      <c r="P1" s="573" t="inlineStr">
        <is>
          <t>normalization_base</t>
        </is>
      </c>
      <c r="Q1" s="573" t="inlineStr">
        <is>
          <t>expected_value</t>
        </is>
      </c>
      <c r="R1" s="573" t="inlineStr">
        <is>
          <t>expected_comparison</t>
        </is>
      </c>
      <c r="S1" s="573" t="inlineStr">
        <is>
          <t>expected_passed</t>
        </is>
      </c>
      <c r="T1" s="573" t="inlineStr">
        <is>
          <t>expected_included_weight</t>
        </is>
      </c>
      <c r="U1" s="573" t="inlineStr">
        <is>
          <t>expected_normalized_score</t>
        </is>
      </c>
      <c r="V1" s="573" t="inlineStr">
        <is>
          <t>expected_weighted_score</t>
        </is>
      </c>
      <c r="W1" s="573" t="inlineStr">
        <is>
          <t>expected_status</t>
        </is>
      </c>
      <c r="X1" s="573" t="inlineStr">
        <is>
          <t>recomputed_value</t>
        </is>
      </c>
      <c r="Y1" s="573" t="inlineStr">
        <is>
          <t>recomputed_aux</t>
        </is>
      </c>
      <c r="Z1" s="573" t="inlineStr">
        <is>
          <t>recomputed_result</t>
        </is>
      </c>
      <c r="AA1" s="573" t="inlineStr">
        <is>
          <t>recomputed_included_weight</t>
        </is>
      </c>
      <c r="AB1" s="573" t="inlineStr">
        <is>
          <t>recomputed_normalized_score</t>
        </is>
      </c>
      <c r="AC1" s="573" t="inlineStr">
        <is>
          <t>recomputed_weighted_score</t>
        </is>
      </c>
      <c r="AD1" s="573" t="inlineStr">
        <is>
          <t>row_parity</t>
        </is>
      </c>
      <c r="AE1" s="573" t="inlineStr">
        <is>
          <t>reserved</t>
        </is>
      </c>
      <c r="AF1" s="573" t="inlineStr">
        <is>
          <t>summary_candidate_key</t>
        </is>
      </c>
      <c r="AG1" s="573" t="inlineStr">
        <is>
          <t>summary_signal_id</t>
        </is>
      </c>
      <c r="AH1" s="573" t="inlineStr">
        <is>
          <t>eligibility_mode</t>
        </is>
      </c>
      <c r="AI1" s="573" t="inlineStr">
        <is>
          <t>trigger_mode</t>
        </is>
      </c>
      <c r="AJ1" s="573" t="inlineStr">
        <is>
          <t>near_miss_mode</t>
        </is>
      </c>
      <c r="AK1" s="573" t="inlineStr">
        <is>
          <t>minimum_trigger_predicates</t>
        </is>
      </c>
      <c r="AL1" s="573" t="inlineStr">
        <is>
          <t>reweight_available_components</t>
        </is>
      </c>
      <c r="AM1" s="573" t="inlineStr">
        <is>
          <t>expected_state</t>
        </is>
      </c>
      <c r="AN1" s="573" t="inlineStr">
        <is>
          <t>expected_triggered</t>
        </is>
      </c>
      <c r="AO1" s="573" t="inlineStr">
        <is>
          <t>expected_score</t>
        </is>
      </c>
      <c r="AP1" s="573" t="inlineStr">
        <is>
          <t>expected_score_denominator</t>
        </is>
      </c>
      <c r="AQ1" s="573" t="inlineStr">
        <is>
          <t>recomputed_eligibility</t>
        </is>
      </c>
      <c r="AR1" s="573" t="inlineStr">
        <is>
          <t>recomputed_trigger</t>
        </is>
      </c>
      <c r="AS1" s="573" t="inlineStr">
        <is>
          <t>recomputed_near_miss</t>
        </is>
      </c>
      <c r="AT1" s="573" t="inlineStr">
        <is>
          <t>recomputed_score_denominator</t>
        </is>
      </c>
      <c r="AU1" s="573" t="inlineStr">
        <is>
          <t>recomputed_score</t>
        </is>
      </c>
      <c r="AV1" s="573" t="inlineStr">
        <is>
          <t>recomputed_state</t>
        </is>
      </c>
      <c r="AW1" s="573" t="inlineStr">
        <is>
          <t>recomputed_triggered</t>
        </is>
      </c>
      <c r="AX1" s="573" t="inlineStr">
        <is>
          <t>candidate_parity</t>
        </is>
      </c>
    </row>
    <row r="2">
      <c r="X2" s="579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79">
        <f>IF($AF2="","",SUMIFS($AA$2:$AA$92,$B$2:$B$92,$AF2,$D$2:$D$92,"score_component"))</f>
        <v/>
      </c>
      <c r="AU2" s="578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79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79">
        <f>IF($AF3="","",SUMIFS($AA$2:$AA$92,$B$2:$B$92,$AF3,$D$2:$D$92,"score_component"))</f>
        <v/>
      </c>
      <c r="AU3" s="578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79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79">
        <f>IF($AF4="","",SUMIFS($AA$2:$AA$92,$B$2:$B$92,$AF4,$D$2:$D$92,"score_component"))</f>
        <v/>
      </c>
      <c r="AU4" s="578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79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79">
        <f>IF($AF5="","",SUMIFS($AA$2:$AA$92,$B$2:$B$92,$AF5,$D$2:$D$92,"score_component"))</f>
        <v/>
      </c>
      <c r="AU5" s="578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79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79">
        <f>IF($AF6="","",SUMIFS($AA$2:$AA$92,$B$2:$B$92,$AF6,$D$2:$D$92,"score_component"))</f>
        <v/>
      </c>
      <c r="AU6" s="578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79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79">
        <f>IF($AF7="","",SUMIFS($AA$2:$AA$92,$B$2:$B$92,$AF7,$D$2:$D$92,"score_component"))</f>
        <v/>
      </c>
      <c r="AU7" s="578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79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79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79">
        <f>IF($AF8="","",SUMIFS($AA$2:$AA$92,$B$2:$B$92,$AF8,$D$2:$D$92,"score_component"))</f>
        <v/>
      </c>
      <c r="AU8" s="578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79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79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79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79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79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79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79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79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79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79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79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79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79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79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79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79">
        <f>IF($Z16,$L16,0)</f>
        <v/>
      </c>
      <c r="AB16" s="579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79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79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79">
        <f>IF($Z17,$L17,0)</f>
        <v/>
      </c>
      <c r="AB17" s="579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79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79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79">
        <f>IF($Z18,$L18,0)</f>
        <v/>
      </c>
      <c r="AB18" s="579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79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79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79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79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79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79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79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79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79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79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79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79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79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79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79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79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79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79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79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79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79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79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79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79">
        <f>IF($Z32,$L32,0)</f>
        <v/>
      </c>
      <c r="AB32" s="579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79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79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79">
        <f>IF($Z33,$L33,0)</f>
        <v/>
      </c>
      <c r="AB33" s="579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79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79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79">
        <f>IF($Z34,$L34,0)</f>
        <v/>
      </c>
      <c r="AB34" s="579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79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79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79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79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79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79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79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79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79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79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79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79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79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79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79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79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79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79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79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79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79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79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79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79">
        <f>IF($Z48,$L48,0)</f>
        <v/>
      </c>
      <c r="AB48" s="579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79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79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79">
        <f>IF($Z49,$L49,0)</f>
        <v/>
      </c>
      <c r="AB49" s="579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79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79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79">
        <f>IF($Z50,$L50,0)</f>
        <v/>
      </c>
      <c r="AB50" s="579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79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79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79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79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79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79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79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79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79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79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79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79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79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79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79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79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79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79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79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79">
        <f>IF($Z62,$L62,0)</f>
        <v/>
      </c>
      <c r="AB62" s="579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79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79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79">
        <f>IF($Z63,$L63,0)</f>
        <v/>
      </c>
      <c r="AB63" s="579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79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79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79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79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79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79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79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79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79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79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79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79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79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79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79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79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79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79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79">
        <f>IF($Z74,$L74,0)</f>
        <v/>
      </c>
      <c r="AB74" s="579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79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79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79">
        <f>IF($Z75,$L75,0)</f>
        <v/>
      </c>
      <c r="AB75" s="579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79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79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79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79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79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79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79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79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79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79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79">
        <f>IF($Z81,$L81,0)</f>
        <v/>
      </c>
      <c r="AB81" s="579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79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79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79">
        <f>IF($Z82,$L82,0)</f>
        <v/>
      </c>
      <c r="AB82" s="579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79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79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79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79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79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79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79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79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79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79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79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79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79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79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79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79">
        <f>IF($Z90,$L90,0)</f>
        <v/>
      </c>
      <c r="AB90" s="579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79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79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79">
        <f>IF($Z91,$L91,0)</f>
        <v/>
      </c>
      <c r="AB91" s="579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79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79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79">
        <f>IF($Z92,$L92,0)</f>
        <v/>
      </c>
      <c r="AB92" s="579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79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73" t="inlineStr">
        <is>
          <t>metric_key</t>
        </is>
      </c>
      <c r="B1" s="573" t="inlineStr">
        <is>
          <t>metric_id</t>
        </is>
      </c>
      <c r="C1" s="573" t="inlineStr">
        <is>
          <t>value</t>
        </is>
      </c>
      <c r="D1" s="573" t="inlineStr">
        <is>
          <t>unit</t>
        </is>
      </c>
      <c r="E1" s="573" t="inlineStr">
        <is>
          <t>period</t>
        </is>
      </c>
      <c r="F1" s="573" t="inlineStr">
        <is>
          <t>period_role</t>
        </is>
      </c>
      <c r="G1" s="573" t="inlineStr">
        <is>
          <t>dimension_id</t>
        </is>
      </c>
      <c r="H1" s="573" t="inlineStr">
        <is>
          <t>member</t>
        </is>
      </c>
      <c r="I1" s="573" t="inlineStr">
        <is>
          <t>status</t>
        </is>
      </c>
      <c r="J1" s="573" t="inlineStr">
        <is>
          <t>reason</t>
        </is>
      </c>
      <c r="K1" s="573" t="inlineStr">
        <is>
          <t>evidence_ids</t>
        </is>
      </c>
      <c r="L1" s="573" t="inlineStr">
        <is>
          <t>source_refs</t>
        </is>
      </c>
      <c r="M1" s="573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2" customWidth="1" min="4" max="4"/>
    <col width="12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6" customWidth="1" min="12" max="12"/>
    <col width="12" customWidth="1" min="13" max="13"/>
    <col width="20" customWidth="1" min="14" max="14"/>
    <col width="24" customWidth="1" min="15" max="15"/>
    <col width="44" customWidth="1" min="16" max="16"/>
  </cols>
  <sheetData>
    <row r="1" ht="24" customHeight="1">
      <c r="A1" s="580" t="inlineStr">
        <is>
          <t>Revolver history</t>
        </is>
      </c>
      <c r="B1" s="581" t="n"/>
      <c r="C1" s="581" t="n"/>
      <c r="D1" s="581" t="n"/>
      <c r="E1" s="581" t="n"/>
      <c r="F1" s="581" t="n"/>
      <c r="G1" s="581" t="n"/>
      <c r="H1" s="581" t="n"/>
      <c r="I1" s="581" t="n"/>
      <c r="J1" s="581" t="n"/>
      <c r="K1" s="581" t="n"/>
      <c r="L1" s="581" t="n"/>
      <c r="M1" s="581" t="n"/>
      <c r="N1" s="581" t="n"/>
      <c r="O1" s="581" t="n"/>
      <c r="P1" s="581" t="n"/>
    </row>
    <row r="2" ht="8" customHeight="1"/>
    <row r="3" ht="36" customHeight="1">
      <c r="A3" s="582" t="inlineStr">
        <is>
          <t>As of</t>
        </is>
      </c>
      <c r="B3" s="582" t="inlineStr">
        <is>
          <t>Publication date</t>
        </is>
      </c>
      <c r="C3" s="582" t="inlineStr">
        <is>
          <t>Facility</t>
        </is>
      </c>
      <c r="D3" s="582" t="inlineStr">
        <is>
          <t>Commitment</t>
        </is>
      </c>
      <c r="E3" s="582" t="inlineStr">
        <is>
          <t>Loan cap</t>
        </is>
      </c>
      <c r="F3" s="582" t="inlineStr">
        <is>
          <t>Drawn</t>
        </is>
      </c>
      <c r="G3" s="582" t="inlineStr">
        <is>
          <t>Letters of credit</t>
        </is>
      </c>
      <c r="H3" s="582" t="inlineStr">
        <is>
          <t>Gross capacity</t>
        </is>
      </c>
      <c r="I3" s="582" t="inlineStr">
        <is>
          <t>Minimum excess</t>
        </is>
      </c>
      <c r="J3" s="582" t="inlineStr">
        <is>
          <t>Net availability</t>
        </is>
      </c>
      <c r="K3" s="582" t="inlineStr">
        <is>
          <t>Utilization</t>
        </is>
      </c>
      <c r="L3" s="582" t="inlineStr">
        <is>
          <t>Rate basis</t>
        </is>
      </c>
      <c r="M3" s="582" t="inlineStr">
        <is>
          <t>Expiry</t>
        </is>
      </c>
      <c r="N3" s="582" t="inlineStr">
        <is>
          <t>Covenant state</t>
        </is>
      </c>
      <c r="O3" s="582" t="inlineStr">
        <is>
          <t>Source state</t>
        </is>
      </c>
      <c r="P3" s="582" t="inlineStr">
        <is>
          <t>Evidence / source</t>
        </is>
      </c>
    </row>
    <row r="4" ht="32" customHeight="1">
      <c r="K4" s="574">
        <f>IFERROR(IF(OR(NOT(ISNUMBER(F4)),NOT(ISNUMBER(D4)),D4=0),"",F4/D4),"")</f>
        <v/>
      </c>
      <c r="N4" s="583" t="n"/>
      <c r="O4" s="583" t="n"/>
      <c r="P4" s="583" t="n"/>
    </row>
    <row r="5" ht="32" customHeight="1">
      <c r="K5" s="574">
        <f>IFERROR(IF(OR(NOT(ISNUMBER(F5)),NOT(ISNUMBER(D5)),D5=0),"",F5/D5),"")</f>
        <v/>
      </c>
      <c r="N5" s="583" t="n"/>
      <c r="O5" s="583" t="n"/>
      <c r="P5" s="583" t="n"/>
    </row>
    <row r="6" ht="32" customHeight="1">
      <c r="K6" s="574">
        <f>IFERROR(IF(OR(NOT(ISNUMBER(F6)),NOT(ISNUMBER(D6)),D6=0),"",F6/D6),"")</f>
        <v/>
      </c>
      <c r="N6" s="583" t="n"/>
      <c r="O6" s="583" t="n"/>
      <c r="P6" s="583" t="n"/>
    </row>
    <row r="7" ht="32" customHeight="1">
      <c r="K7" s="574">
        <f>IFERROR(IF(OR(NOT(ISNUMBER(F7)),NOT(ISNUMBER(D7)),D7=0),"",F7/D7),"")</f>
        <v/>
      </c>
      <c r="N7" s="583" t="n"/>
      <c r="O7" s="583" t="n"/>
      <c r="P7" s="583" t="n"/>
    </row>
    <row r="8" ht="32" customHeight="1">
      <c r="K8" s="574">
        <f>IFERROR(IF(OR(NOT(ISNUMBER(F8)),NOT(ISNUMBER(D8)),D8=0),"",F8/D8),"")</f>
        <v/>
      </c>
      <c r="N8" s="583" t="n"/>
      <c r="O8" s="583" t="n"/>
      <c r="P8" s="583" t="n"/>
    </row>
    <row r="9" ht="32" customHeight="1">
      <c r="K9" s="574">
        <f>IFERROR(IF(OR(NOT(ISNUMBER(F9)),NOT(ISNUMBER(D9)),D9=0),"",F9/D9),"")</f>
        <v/>
      </c>
      <c r="N9" s="583" t="n"/>
      <c r="O9" s="583" t="n"/>
      <c r="P9" s="583" t="n"/>
    </row>
    <row r="10" ht="32" customHeight="1">
      <c r="K10" s="574">
        <f>IFERROR(IF(OR(NOT(ISNUMBER(F10)),NOT(ISNUMBER(D10)),D10=0),"",F10/D10),"")</f>
        <v/>
      </c>
      <c r="N10" s="583" t="n"/>
      <c r="O10" s="583" t="n"/>
      <c r="P10" s="583" t="n"/>
    </row>
    <row r="11" ht="32" customHeight="1">
      <c r="K11" s="574">
        <f>IFERROR(IF(OR(NOT(ISNUMBER(F11)),NOT(ISNUMBER(D11)),D11=0),"",F11/D11),"")</f>
        <v/>
      </c>
      <c r="N11" s="583" t="n"/>
      <c r="O11" s="583" t="n"/>
      <c r="P11" s="583" t="n"/>
    </row>
    <row r="12" ht="32" customHeight="1">
      <c r="K12" s="574">
        <f>IFERROR(IF(OR(NOT(ISNUMBER(F12)),NOT(ISNUMBER(D12)),D12=0),"",F12/D12),"")</f>
        <v/>
      </c>
      <c r="N12" s="583" t="n"/>
      <c r="O12" s="583" t="n"/>
      <c r="P12" s="583" t="n"/>
    </row>
    <row r="13" ht="32" customHeight="1">
      <c r="K13" s="574">
        <f>IFERROR(IF(OR(NOT(ISNUMBER(F13)),NOT(ISNUMBER(D13)),D13=0),"",F13/D13),"")</f>
        <v/>
      </c>
      <c r="N13" s="583" t="n"/>
      <c r="O13" s="583" t="n"/>
      <c r="P13" s="583" t="n"/>
    </row>
    <row r="14" ht="32" customHeight="1">
      <c r="K14" s="574">
        <f>IFERROR(IF(OR(NOT(ISNUMBER(F14)),NOT(ISNUMBER(D14)),D14=0),"",F14/D14),"")</f>
        <v/>
      </c>
      <c r="N14" s="583" t="n"/>
      <c r="O14" s="583" t="n"/>
      <c r="P14" s="583" t="n"/>
    </row>
    <row r="15" ht="32" customHeight="1">
      <c r="K15" s="574">
        <f>IFERROR(IF(OR(NOT(ISNUMBER(F15)),NOT(ISNUMBER(D15)),D15=0),"",F15/D15),"")</f>
        <v/>
      </c>
      <c r="N15" s="583" t="n"/>
      <c r="O15" s="583" t="n"/>
      <c r="P15" s="58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instrument</t>
        </is>
      </c>
      <c r="B1" s="573" t="inlineStr">
        <is>
          <t>principal</t>
        </is>
      </c>
      <c r="C1" s="573" t="inlineStr">
        <is>
          <t>coupon</t>
        </is>
      </c>
      <c r="D1" s="573" t="inlineStr">
        <is>
          <t>maturity</t>
        </is>
      </c>
      <c r="E1" s="573" t="inlineStr">
        <is>
          <t>secured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9" customWidth="1" min="5" max="5"/>
    <col width="13" customWidth="1" min="6" max="6"/>
    <col width="16" customWidth="1" min="7" max="7"/>
    <col width="22" customWidth="1" min="8" max="8"/>
    <col width="30" customWidth="1" min="9" max="9"/>
    <col width="44" customWidth="1" min="10" max="10"/>
  </cols>
  <sheetData>
    <row r="1" ht="24" customHeight="1">
      <c r="A1" s="580" t="inlineStr">
        <is>
          <t>Debt and liquidity profile</t>
        </is>
      </c>
      <c r="B1" s="581" t="n"/>
      <c r="C1" s="581" t="n"/>
      <c r="D1" s="581" t="n"/>
      <c r="E1" s="581" t="n"/>
      <c r="F1" s="581" t="n"/>
      <c r="G1" s="581" t="n"/>
      <c r="H1" s="581" t="n"/>
      <c r="I1" s="581" t="n"/>
      <c r="J1" s="581" t="n"/>
    </row>
    <row r="2" ht="8" customHeight="1"/>
    <row r="3" ht="32" customHeight="1">
      <c r="A3" s="582" t="inlineStr">
        <is>
          <t>Category</t>
        </is>
      </c>
      <c r="B3" s="582" t="inlineStr">
        <is>
          <t>Item</t>
        </is>
      </c>
      <c r="C3" s="582" t="inlineStr">
        <is>
          <t>Facility or instrument</t>
        </is>
      </c>
      <c r="D3" s="582" t="inlineStr">
        <is>
          <t>Value</t>
        </is>
      </c>
      <c r="E3" s="582" t="inlineStr">
        <is>
          <t>Unit</t>
        </is>
      </c>
      <c r="F3" s="582" t="inlineStr">
        <is>
          <t>As of</t>
        </is>
      </c>
      <c r="G3" s="582" t="inlineStr">
        <is>
          <t>Expiry or maturity</t>
        </is>
      </c>
      <c r="H3" s="582" t="inlineStr">
        <is>
          <t>State</t>
        </is>
      </c>
      <c r="I3" s="582" t="inlineStr">
        <is>
          <t>Evidence</t>
        </is>
      </c>
      <c r="J3" s="582" t="inlineStr">
        <is>
          <t>Definition or source</t>
        </is>
      </c>
    </row>
    <row r="4" ht="32" customHeight="1">
      <c r="B4" s="583" t="n"/>
      <c r="C4" s="583" t="n"/>
      <c r="H4" s="583" t="n"/>
      <c r="I4" s="583" t="n"/>
      <c r="J4" s="583" t="n"/>
    </row>
    <row r="5" ht="32" customHeight="1">
      <c r="B5" s="583" t="n"/>
      <c r="C5" s="583" t="n"/>
      <c r="H5" s="583" t="n"/>
      <c r="I5" s="583" t="n"/>
      <c r="J5" s="583" t="n"/>
    </row>
    <row r="6" ht="32" customHeight="1">
      <c r="B6" s="583" t="n"/>
      <c r="C6" s="583" t="n"/>
      <c r="H6" s="583" t="n"/>
      <c r="I6" s="583" t="n"/>
      <c r="J6" s="583" t="n"/>
    </row>
    <row r="7" ht="32" customHeight="1">
      <c r="B7" s="583" t="n"/>
      <c r="C7" s="583" t="n"/>
      <c r="H7" s="583" t="n"/>
      <c r="I7" s="583" t="n"/>
      <c r="J7" s="583" t="n"/>
    </row>
    <row r="8" ht="32" customHeight="1">
      <c r="B8" s="583" t="n"/>
      <c r="C8" s="583" t="n"/>
      <c r="H8" s="583" t="n"/>
      <c r="I8" s="583" t="n"/>
      <c r="J8" s="583" t="n"/>
    </row>
    <row r="9" ht="32" customHeight="1">
      <c r="B9" s="583" t="n"/>
      <c r="C9" s="583" t="n"/>
      <c r="H9" s="583" t="n"/>
      <c r="I9" s="583" t="n"/>
      <c r="J9" s="583" t="n"/>
    </row>
    <row r="10" ht="32" customHeight="1">
      <c r="B10" s="583" t="n"/>
      <c r="C10" s="583" t="n"/>
      <c r="H10" s="583" t="n"/>
      <c r="I10" s="583" t="n"/>
      <c r="J10" s="583" t="n"/>
    </row>
    <row r="11" ht="32" customHeight="1">
      <c r="B11" s="583" t="n"/>
      <c r="C11" s="583" t="n"/>
      <c r="H11" s="583" t="n"/>
      <c r="I11" s="583" t="n"/>
      <c r="J11" s="583" t="n"/>
    </row>
    <row r="12" ht="32" customHeight="1">
      <c r="B12" s="583" t="n"/>
      <c r="C12" s="583" t="n"/>
      <c r="H12" s="583" t="n"/>
      <c r="I12" s="583" t="n"/>
      <c r="J12" s="583" t="n"/>
    </row>
    <row r="13" ht="32" customHeight="1">
      <c r="B13" s="583" t="n"/>
      <c r="C13" s="583" t="n"/>
      <c r="H13" s="583" t="n"/>
      <c r="I13" s="583" t="n"/>
      <c r="J13" s="583" t="n"/>
    </row>
    <row r="14" ht="32" customHeight="1">
      <c r="B14" s="583" t="n"/>
      <c r="C14" s="583" t="n"/>
      <c r="H14" s="583" t="n"/>
      <c r="I14" s="583" t="n"/>
      <c r="J14" s="583" t="n"/>
    </row>
    <row r="15" ht="32" customHeight="1">
      <c r="B15" s="583" t="n"/>
      <c r="C15" s="583" t="n"/>
      <c r="H15" s="583" t="n"/>
      <c r="I15" s="583" t="n"/>
      <c r="J15" s="583" t="n"/>
    </row>
    <row r="16" ht="32" customHeight="1">
      <c r="B16" s="583" t="n"/>
      <c r="C16" s="583" t="n"/>
      <c r="H16" s="583" t="n"/>
      <c r="I16" s="583" t="n"/>
      <c r="J16" s="58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3" customWidth="1" min="4" max="4"/>
    <col width="64" customWidth="1" min="5" max="5"/>
    <col width="14" customWidth="1" min="6" max="6"/>
    <col width="38" customWidth="1" min="7" max="7"/>
    <col width="20" customWidth="1" min="8" max="8"/>
  </cols>
  <sheetData>
    <row r="1" ht="24" customHeight="1">
      <c r="A1" s="580" t="inlineStr">
        <is>
          <t>Debt and credit notes</t>
        </is>
      </c>
      <c r="B1" s="581" t="n"/>
      <c r="C1" s="581" t="n"/>
      <c r="D1" s="581" t="n"/>
      <c r="E1" s="581" t="n"/>
      <c r="F1" s="581" t="n"/>
      <c r="G1" s="581" t="n"/>
      <c r="H1" s="581" t="n"/>
    </row>
    <row r="2" ht="8" customHeight="1"/>
    <row r="3" ht="34" customHeight="1">
      <c r="A3" s="582" t="inlineStr">
        <is>
          <t>Topic</t>
        </is>
      </c>
      <c r="B3" s="582" t="inlineStr">
        <is>
          <t>Facility / instrument</t>
        </is>
      </c>
      <c r="C3" s="582" t="inlineStr">
        <is>
          <t>As of</t>
        </is>
      </c>
      <c r="D3" s="582" t="inlineStr">
        <is>
          <t>Publication date</t>
        </is>
      </c>
      <c r="E3" s="582" t="inlineStr">
        <is>
          <t>Exact bounded note</t>
        </is>
      </c>
      <c r="F3" s="582" t="inlineStr">
        <is>
          <t>State</t>
        </is>
      </c>
      <c r="G3" s="582" t="inlineStr">
        <is>
          <t>Evidence</t>
        </is>
      </c>
      <c r="H3" s="582" t="inlineStr">
        <is>
          <t>Source</t>
        </is>
      </c>
    </row>
    <row r="4" ht="48" customHeight="1">
      <c r="A4" s="583" t="n"/>
      <c r="E4" s="583" t="n"/>
      <c r="G4" s="583" t="n"/>
      <c r="H4" s="583" t="n"/>
    </row>
    <row r="5" ht="48" customHeight="1">
      <c r="A5" s="583" t="n"/>
      <c r="E5" s="583" t="n"/>
      <c r="G5" s="583" t="n"/>
      <c r="H5" s="583" t="n"/>
    </row>
    <row r="6" ht="48" customHeight="1">
      <c r="A6" s="583" t="n"/>
      <c r="E6" s="583" t="n"/>
      <c r="G6" s="583" t="n"/>
      <c r="H6" s="583" t="n"/>
    </row>
    <row r="7" ht="48" customHeight="1">
      <c r="A7" s="583" t="n"/>
      <c r="E7" s="583" t="n"/>
      <c r="G7" s="583" t="n"/>
      <c r="H7" s="583" t="n"/>
    </row>
    <row r="8" ht="48" customHeight="1">
      <c r="A8" s="583" t="n"/>
      <c r="E8" s="583" t="n"/>
      <c r="G8" s="583" t="n"/>
      <c r="H8" s="583" t="n"/>
    </row>
    <row r="9" ht="48" customHeight="1">
      <c r="A9" s="583" t="n"/>
      <c r="E9" s="583" t="n"/>
      <c r="G9" s="583" t="n"/>
      <c r="H9" s="58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1" customWidth="1" min="4" max="4"/>
    <col width="14" customWidth="1" min="5" max="5"/>
    <col width="11" customWidth="1" min="6" max="6"/>
    <col width="14" customWidth="1" min="7" max="7"/>
    <col width="14" customWidth="1" min="8" max="8"/>
    <col width="12" customWidth="1" min="9" max="9"/>
    <col width="12" customWidth="1" min="10" max="10"/>
    <col width="13" customWidth="1" min="11" max="11"/>
    <col width="22" customWidth="1" min="12" max="12"/>
    <col width="38" customWidth="1" min="13" max="13"/>
    <col width="52" customWidth="1" min="14" max="14"/>
  </cols>
  <sheetData>
    <row r="1" ht="24" customHeight="1">
      <c r="A1" s="580" t="inlineStr">
        <is>
          <t>Leverage and liquidity</t>
        </is>
      </c>
      <c r="B1" s="581" t="n"/>
      <c r="C1" s="581" t="n"/>
      <c r="D1" s="581" t="n"/>
      <c r="E1" s="581" t="n"/>
      <c r="F1" s="581" t="n"/>
      <c r="G1" s="581" t="n"/>
      <c r="H1" s="581" t="n"/>
      <c r="I1" s="581" t="n"/>
      <c r="J1" s="581" t="n"/>
      <c r="K1" s="581" t="n"/>
      <c r="L1" s="581" t="n"/>
      <c r="M1" s="581" t="n"/>
      <c r="N1" s="581" t="n"/>
    </row>
    <row r="2" ht="8" customHeight="1"/>
    <row r="3" ht="36" customHeight="1">
      <c r="A3" s="582" t="inlineStr">
        <is>
          <t>Period</t>
        </is>
      </c>
      <c r="B3" s="582" t="inlineStr">
        <is>
          <t>Cash</t>
        </is>
      </c>
      <c r="C3" s="582" t="inlineStr">
        <is>
          <t>Restricted cash</t>
        </is>
      </c>
      <c r="D3" s="582" t="inlineStr">
        <is>
          <t>Core debt</t>
        </is>
      </c>
      <c r="E3" s="582" t="inlineStr">
        <is>
          <t>Operating leases</t>
        </is>
      </c>
      <c r="F3" s="582" t="inlineStr">
        <is>
          <t>Net debt</t>
        </is>
      </c>
      <c r="G3" s="582" t="inlineStr">
        <is>
          <t>Revolver availability</t>
        </is>
      </c>
      <c r="H3" s="582" t="inlineStr">
        <is>
          <t>Same-date liquidity</t>
        </is>
      </c>
      <c r="I3" s="582" t="inlineStr">
        <is>
          <t>Gross leverage</t>
        </is>
      </c>
      <c r="J3" s="582" t="inlineStr">
        <is>
          <t>Net leverage</t>
        </is>
      </c>
      <c r="K3" s="582" t="inlineStr">
        <is>
          <t>Interest coverage</t>
        </is>
      </c>
      <c r="L3" s="582" t="inlineStr">
        <is>
          <t>Disposition / state</t>
        </is>
      </c>
      <c r="M3" s="582" t="inlineStr">
        <is>
          <t>Evidence</t>
        </is>
      </c>
      <c r="N3" s="582" t="inlineStr">
        <is>
          <t>Component-period explanation</t>
        </is>
      </c>
    </row>
    <row r="4" ht="48" customHeight="1">
      <c r="F4" s="514">
        <f>IFERROR(IF(OR(NOT(ISNUMBER(D4)),NOT(ISNUMBER(B4))),"",D4-B4),"")</f>
        <v/>
      </c>
      <c r="H4" s="514">
        <f>IFERROR(IF(OR(NOT(ISNUMBER(B4)),NOT(ISNUMBER(G4))),"",B4+G4),"")</f>
        <v/>
      </c>
      <c r="I4" s="584">
        <f>IFERROR(IF(OR($A4="",COUNTIF('Valuation'!$B$6:$M$6,$A4)&lt;&gt;1,NOT(ISNUMBER(D4)),NOT(ISNUMBER(INDEX('Valuation'!$B$21:$M$21,1,MATCH($A4,'Valuation'!$B$6:$M$6,0)))),INDEX('Valuation'!$B$21:$M$21,1,MATCH($A4,'Valuation'!$B$6:$M$6,0))=0),"",D4/INDEX('Valuation'!$B$21:$M$21,1,MATCH($A4,'Valuation'!$B$6:$M$6,0))),"")</f>
        <v/>
      </c>
      <c r="J4" s="584">
        <f>IFERROR(IF(OR($A4="",COUNTIF('Valuation'!$B$6:$M$6,$A4)&lt;&gt;1,NOT(ISNUMBER(F4)),NOT(ISNUMBER(INDEX('Valuation'!$B$21:$M$21,1,MATCH($A4,'Valuation'!$B$6:$M$6,0)))),INDEX('Valuation'!$B$21:$M$21,1,MATCH($A4,'Valuation'!$B$6:$M$6,0))=0),"",F4/INDEX('Valuation'!$B$21:$M$21,1,MATCH($A4,'Valuation'!$B$6:$M$6,0))),"")</f>
        <v/>
      </c>
      <c r="K4" s="584">
        <f>IFERROR(IF(OR($A4="",COUNTIF('Valuation'!$B$6:$M$6,$A4)&lt;&gt;1,NOT(ISNUMBER(INDEX('Valuation'!$B$88:$M$88,1,MATCH($A4,'Valuation'!$B$6:$M$6,0))))),"",INDEX('Valuation'!$B$88:$M$88,1,MATCH($A4,'Valuation'!$B$6:$M$6,0))),"")</f>
        <v/>
      </c>
      <c r="L4" s="583" t="n"/>
      <c r="M4" s="583" t="n"/>
      <c r="N4" s="583" t="n"/>
    </row>
    <row r="5" ht="48" customHeight="1">
      <c r="F5" s="514">
        <f>IFERROR(IF(OR(NOT(ISNUMBER(D5)),NOT(ISNUMBER(B5))),"",D5-B5),"")</f>
        <v/>
      </c>
      <c r="H5" s="514">
        <f>IFERROR(IF(OR(NOT(ISNUMBER(B5)),NOT(ISNUMBER(G5))),"",B5+G5),"")</f>
        <v/>
      </c>
      <c r="I5" s="584">
        <f>IFERROR(IF(OR($A5="",COUNTIF('Valuation'!$B$6:$M$6,$A5)&lt;&gt;1,NOT(ISNUMBER(D5)),NOT(ISNUMBER(INDEX('Valuation'!$B$21:$M$21,1,MATCH($A5,'Valuation'!$B$6:$M$6,0)))),INDEX('Valuation'!$B$21:$M$21,1,MATCH($A5,'Valuation'!$B$6:$M$6,0))=0),"",D5/INDEX('Valuation'!$B$21:$M$21,1,MATCH($A5,'Valuation'!$B$6:$M$6,0))),"")</f>
        <v/>
      </c>
      <c r="J5" s="584">
        <f>IFERROR(IF(OR($A5="",COUNTIF('Valuation'!$B$6:$M$6,$A5)&lt;&gt;1,NOT(ISNUMBER(F5)),NOT(ISNUMBER(INDEX('Valuation'!$B$21:$M$21,1,MATCH($A5,'Valuation'!$B$6:$M$6,0)))),INDEX('Valuation'!$B$21:$M$21,1,MATCH($A5,'Valuation'!$B$6:$M$6,0))=0),"",F5/INDEX('Valuation'!$B$21:$M$21,1,MATCH($A5,'Valuation'!$B$6:$M$6,0))),"")</f>
        <v/>
      </c>
      <c r="K5" s="584">
        <f>IFERROR(IF(OR($A5="",COUNTIF('Valuation'!$B$6:$M$6,$A5)&lt;&gt;1,NOT(ISNUMBER(INDEX('Valuation'!$B$88:$M$88,1,MATCH($A5,'Valuation'!$B$6:$M$6,0))))),"",INDEX('Valuation'!$B$88:$M$88,1,MATCH($A5,'Valuation'!$B$6:$M$6,0))),"")</f>
        <v/>
      </c>
      <c r="L5" s="583" t="n"/>
      <c r="M5" s="583" t="n"/>
      <c r="N5" s="583" t="n"/>
    </row>
    <row r="6" ht="48" customHeight="1">
      <c r="F6" s="514">
        <f>IFERROR(IF(OR(NOT(ISNUMBER(D6)),NOT(ISNUMBER(B6))),"",D6-B6),"")</f>
        <v/>
      </c>
      <c r="H6" s="514">
        <f>IFERROR(IF(OR(NOT(ISNUMBER(B6)),NOT(ISNUMBER(G6))),"",B6+G6),"")</f>
        <v/>
      </c>
      <c r="I6" s="584">
        <f>IFERROR(IF(OR($A6="",COUNTIF('Valuation'!$B$6:$M$6,$A6)&lt;&gt;1,NOT(ISNUMBER(D6)),NOT(ISNUMBER(INDEX('Valuation'!$B$21:$M$21,1,MATCH($A6,'Valuation'!$B$6:$M$6,0)))),INDEX('Valuation'!$B$21:$M$21,1,MATCH($A6,'Valuation'!$B$6:$M$6,0))=0),"",D6/INDEX('Valuation'!$B$21:$M$21,1,MATCH($A6,'Valuation'!$B$6:$M$6,0))),"")</f>
        <v/>
      </c>
      <c r="J6" s="584">
        <f>IFERROR(IF(OR($A6="",COUNTIF('Valuation'!$B$6:$M$6,$A6)&lt;&gt;1,NOT(ISNUMBER(F6)),NOT(ISNUMBER(INDEX('Valuation'!$B$21:$M$21,1,MATCH($A6,'Valuation'!$B$6:$M$6,0)))),INDEX('Valuation'!$B$21:$M$21,1,MATCH($A6,'Valuation'!$B$6:$M$6,0))=0),"",F6/INDEX('Valuation'!$B$21:$M$21,1,MATCH($A6,'Valuation'!$B$6:$M$6,0))),"")</f>
        <v/>
      </c>
      <c r="K6" s="584">
        <f>IFERROR(IF(OR($A6="",COUNTIF('Valuation'!$B$6:$M$6,$A6)&lt;&gt;1,NOT(ISNUMBER(INDEX('Valuation'!$B$88:$M$88,1,MATCH($A6,'Valuation'!$B$6:$M$6,0))))),"",INDEX('Valuation'!$B$88:$M$88,1,MATCH($A6,'Valuation'!$B$6:$M$6,0))),"")</f>
        <v/>
      </c>
      <c r="L6" s="583" t="n"/>
      <c r="M6" s="583" t="n"/>
      <c r="N6" s="583" t="n"/>
    </row>
    <row r="7" ht="48" customHeight="1">
      <c r="F7" s="514">
        <f>IFERROR(IF(OR(NOT(ISNUMBER(D7)),NOT(ISNUMBER(B7))),"",D7-B7),"")</f>
        <v/>
      </c>
      <c r="H7" s="514">
        <f>IFERROR(IF(OR(NOT(ISNUMBER(B7)),NOT(ISNUMBER(G7))),"",B7+G7),"")</f>
        <v/>
      </c>
      <c r="I7" s="584">
        <f>IFERROR(IF(OR($A7="",COUNTIF('Valuation'!$B$6:$M$6,$A7)&lt;&gt;1,NOT(ISNUMBER(D7)),NOT(ISNUMBER(INDEX('Valuation'!$B$21:$M$21,1,MATCH($A7,'Valuation'!$B$6:$M$6,0)))),INDEX('Valuation'!$B$21:$M$21,1,MATCH($A7,'Valuation'!$B$6:$M$6,0))=0),"",D7/INDEX('Valuation'!$B$21:$M$21,1,MATCH($A7,'Valuation'!$B$6:$M$6,0))),"")</f>
        <v/>
      </c>
      <c r="J7" s="584">
        <f>IFERROR(IF(OR($A7="",COUNTIF('Valuation'!$B$6:$M$6,$A7)&lt;&gt;1,NOT(ISNUMBER(F7)),NOT(ISNUMBER(INDEX('Valuation'!$B$21:$M$21,1,MATCH($A7,'Valuation'!$B$6:$M$6,0)))),INDEX('Valuation'!$B$21:$M$21,1,MATCH($A7,'Valuation'!$B$6:$M$6,0))=0),"",F7/INDEX('Valuation'!$B$21:$M$21,1,MATCH($A7,'Valuation'!$B$6:$M$6,0))),"")</f>
        <v/>
      </c>
      <c r="K7" s="584">
        <f>IFERROR(IF(OR($A7="",COUNTIF('Valuation'!$B$6:$M$6,$A7)&lt;&gt;1,NOT(ISNUMBER(INDEX('Valuation'!$B$88:$M$88,1,MATCH($A7,'Valuation'!$B$6:$M$6,0))))),"",INDEX('Valuation'!$B$88:$M$88,1,MATCH($A7,'Valuation'!$B$6:$M$6,0))),"")</f>
        <v/>
      </c>
      <c r="L7" s="583" t="n"/>
      <c r="M7" s="583" t="n"/>
      <c r="N7" s="583" t="n"/>
    </row>
    <row r="8" ht="48" customHeight="1">
      <c r="F8" s="514">
        <f>IFERROR(IF(OR(NOT(ISNUMBER(D8)),NOT(ISNUMBER(B8))),"",D8-B8),"")</f>
        <v/>
      </c>
      <c r="H8" s="514">
        <f>IFERROR(IF(OR(NOT(ISNUMBER(B8)),NOT(ISNUMBER(G8))),"",B8+G8),"")</f>
        <v/>
      </c>
      <c r="I8" s="584">
        <f>IFERROR(IF(OR($A8="",COUNTIF('Valuation'!$B$6:$M$6,$A8)&lt;&gt;1,NOT(ISNUMBER(D8)),NOT(ISNUMBER(INDEX('Valuation'!$B$21:$M$21,1,MATCH($A8,'Valuation'!$B$6:$M$6,0)))),INDEX('Valuation'!$B$21:$M$21,1,MATCH($A8,'Valuation'!$B$6:$M$6,0))=0),"",D8/INDEX('Valuation'!$B$21:$M$21,1,MATCH($A8,'Valuation'!$B$6:$M$6,0))),"")</f>
        <v/>
      </c>
      <c r="J8" s="584">
        <f>IFERROR(IF(OR($A8="",COUNTIF('Valuation'!$B$6:$M$6,$A8)&lt;&gt;1,NOT(ISNUMBER(F8)),NOT(ISNUMBER(INDEX('Valuation'!$B$21:$M$21,1,MATCH($A8,'Valuation'!$B$6:$M$6,0)))),INDEX('Valuation'!$B$21:$M$21,1,MATCH($A8,'Valuation'!$B$6:$M$6,0))=0),"",F8/INDEX('Valuation'!$B$21:$M$21,1,MATCH($A8,'Valuation'!$B$6:$M$6,0))),"")</f>
        <v/>
      </c>
      <c r="K8" s="584">
        <f>IFERROR(IF(OR($A8="",COUNTIF('Valuation'!$B$6:$M$6,$A8)&lt;&gt;1,NOT(ISNUMBER(INDEX('Valuation'!$B$88:$M$88,1,MATCH($A8,'Valuation'!$B$6:$M$6,0))))),"",INDEX('Valuation'!$B$88:$M$88,1,MATCH($A8,'Valuation'!$B$6:$M$6,0))),"")</f>
        <v/>
      </c>
      <c r="L8" s="583" t="n"/>
      <c r="M8" s="583" t="n"/>
      <c r="N8" s="583" t="n"/>
    </row>
    <row r="9" ht="48" customHeight="1">
      <c r="F9" s="514">
        <f>IFERROR(IF(OR(NOT(ISNUMBER(D9)),NOT(ISNUMBER(B9))),"",D9-B9),"")</f>
        <v/>
      </c>
      <c r="H9" s="514">
        <f>IFERROR(IF(OR(NOT(ISNUMBER(B9)),NOT(ISNUMBER(G9))),"",B9+G9),"")</f>
        <v/>
      </c>
      <c r="I9" s="584">
        <f>IFERROR(IF(OR($A9="",COUNTIF('Valuation'!$B$6:$M$6,$A9)&lt;&gt;1,NOT(ISNUMBER(D9)),NOT(ISNUMBER(INDEX('Valuation'!$B$21:$M$21,1,MATCH($A9,'Valuation'!$B$6:$M$6,0)))),INDEX('Valuation'!$B$21:$M$21,1,MATCH($A9,'Valuation'!$B$6:$M$6,0))=0),"",D9/INDEX('Valuation'!$B$21:$M$21,1,MATCH($A9,'Valuation'!$B$6:$M$6,0))),"")</f>
        <v/>
      </c>
      <c r="J9" s="584">
        <f>IFERROR(IF(OR($A9="",COUNTIF('Valuation'!$B$6:$M$6,$A9)&lt;&gt;1,NOT(ISNUMBER(F9)),NOT(ISNUMBER(INDEX('Valuation'!$B$21:$M$21,1,MATCH($A9,'Valuation'!$B$6:$M$6,0)))),INDEX('Valuation'!$B$21:$M$21,1,MATCH($A9,'Valuation'!$B$6:$M$6,0))=0),"",F9/INDEX('Valuation'!$B$21:$M$21,1,MATCH($A9,'Valuation'!$B$6:$M$6,0))),"")</f>
        <v/>
      </c>
      <c r="K9" s="584">
        <f>IFERROR(IF(OR($A9="",COUNTIF('Valuation'!$B$6:$M$6,$A9)&lt;&gt;1,NOT(ISNUMBER(INDEX('Valuation'!$B$88:$M$88,1,MATCH($A9,'Valuation'!$B$6:$M$6,0))))),"",INDEX('Valuation'!$B$88:$M$88,1,MATCH($A9,'Valuation'!$B$6:$M$6,0))),"")</f>
        <v/>
      </c>
      <c r="L9" s="583" t="n"/>
      <c r="M9" s="583" t="n"/>
      <c r="N9" s="583" t="n"/>
    </row>
    <row r="10" ht="48" customHeight="1">
      <c r="F10" s="514">
        <f>IFERROR(IF(OR(NOT(ISNUMBER(D10)),NOT(ISNUMBER(B10))),"",D10-B10),"")</f>
        <v/>
      </c>
      <c r="H10" s="514">
        <f>IFERROR(IF(OR(NOT(ISNUMBER(B10)),NOT(ISNUMBER(G10))),"",B10+G10),"")</f>
        <v/>
      </c>
      <c r="I10" s="584">
        <f>IFERROR(IF(OR($A10="",COUNTIF('Valuation'!$B$6:$M$6,$A10)&lt;&gt;1,NOT(ISNUMBER(D10)),NOT(ISNUMBER(INDEX('Valuation'!$B$21:$M$21,1,MATCH($A10,'Valuation'!$B$6:$M$6,0)))),INDEX('Valuation'!$B$21:$M$21,1,MATCH($A10,'Valuation'!$B$6:$M$6,0))=0),"",D10/INDEX('Valuation'!$B$21:$M$21,1,MATCH($A10,'Valuation'!$B$6:$M$6,0))),"")</f>
        <v/>
      </c>
      <c r="J10" s="584">
        <f>IFERROR(IF(OR($A10="",COUNTIF('Valuation'!$B$6:$M$6,$A10)&lt;&gt;1,NOT(ISNUMBER(F10)),NOT(ISNUMBER(INDEX('Valuation'!$B$21:$M$21,1,MATCH($A10,'Valuation'!$B$6:$M$6,0)))),INDEX('Valuation'!$B$21:$M$21,1,MATCH($A10,'Valuation'!$B$6:$M$6,0))=0),"",F10/INDEX('Valuation'!$B$21:$M$21,1,MATCH($A10,'Valuation'!$B$6:$M$6,0))),"")</f>
        <v/>
      </c>
      <c r="K10" s="584">
        <f>IFERROR(IF(OR($A10="",COUNTIF('Valuation'!$B$6:$M$6,$A10)&lt;&gt;1,NOT(ISNUMBER(INDEX('Valuation'!$B$88:$M$88,1,MATCH($A10,'Valuation'!$B$6:$M$6,0))))),"",INDEX('Valuation'!$B$88:$M$88,1,MATCH($A10,'Valuation'!$B$6:$M$6,0))),"")</f>
        <v/>
      </c>
      <c r="L10" s="583" t="n"/>
      <c r="M10" s="583" t="n"/>
      <c r="N10" s="583" t="n"/>
    </row>
    <row r="11" ht="48" customHeight="1">
      <c r="F11" s="514">
        <f>IFERROR(IF(OR(NOT(ISNUMBER(D11)),NOT(ISNUMBER(B11))),"",D11-B11),"")</f>
        <v/>
      </c>
      <c r="H11" s="514">
        <f>IFERROR(IF(OR(NOT(ISNUMBER(B11)),NOT(ISNUMBER(G11))),"",B11+G11),"")</f>
        <v/>
      </c>
      <c r="I11" s="584">
        <f>IFERROR(IF(OR($A11="",COUNTIF('Valuation'!$B$6:$M$6,$A11)&lt;&gt;1,NOT(ISNUMBER(D11)),NOT(ISNUMBER(INDEX('Valuation'!$B$21:$M$21,1,MATCH($A11,'Valuation'!$B$6:$M$6,0)))),INDEX('Valuation'!$B$21:$M$21,1,MATCH($A11,'Valuation'!$B$6:$M$6,0))=0),"",D11/INDEX('Valuation'!$B$21:$M$21,1,MATCH($A11,'Valuation'!$B$6:$M$6,0))),"")</f>
        <v/>
      </c>
      <c r="J11" s="584">
        <f>IFERROR(IF(OR($A11="",COUNTIF('Valuation'!$B$6:$M$6,$A11)&lt;&gt;1,NOT(ISNUMBER(F11)),NOT(ISNUMBER(INDEX('Valuation'!$B$21:$M$21,1,MATCH($A11,'Valuation'!$B$6:$M$6,0)))),INDEX('Valuation'!$B$21:$M$21,1,MATCH($A11,'Valuation'!$B$6:$M$6,0))=0),"",F11/INDEX('Valuation'!$B$21:$M$21,1,MATCH($A11,'Valuation'!$B$6:$M$6,0))),"")</f>
        <v/>
      </c>
      <c r="K11" s="584">
        <f>IFERROR(IF(OR($A11="",COUNTIF('Valuation'!$B$6:$M$6,$A11)&lt;&gt;1,NOT(ISNUMBER(INDEX('Valuation'!$B$88:$M$88,1,MATCH($A11,'Valuation'!$B$6:$M$6,0))))),"",INDEX('Valuation'!$B$88:$M$88,1,MATCH($A11,'Valuation'!$B$6:$M$6,0))),"")</f>
        <v/>
      </c>
      <c r="L11" s="583" t="n"/>
      <c r="M11" s="583" t="n"/>
      <c r="N11" s="583" t="n"/>
    </row>
    <row r="12" ht="48" customHeight="1">
      <c r="F12" s="514">
        <f>IFERROR(IF(OR(NOT(ISNUMBER(D12)),NOT(ISNUMBER(B12))),"",D12-B12),"")</f>
        <v/>
      </c>
      <c r="H12" s="514">
        <f>IFERROR(IF(OR(NOT(ISNUMBER(B12)),NOT(ISNUMBER(G12))),"",B12+G12),"")</f>
        <v/>
      </c>
      <c r="I12" s="584">
        <f>IFERROR(IF(OR($A12="",COUNTIF('Valuation'!$B$6:$M$6,$A12)&lt;&gt;1,NOT(ISNUMBER(D12)),NOT(ISNUMBER(INDEX('Valuation'!$B$21:$M$21,1,MATCH($A12,'Valuation'!$B$6:$M$6,0)))),INDEX('Valuation'!$B$21:$M$21,1,MATCH($A12,'Valuation'!$B$6:$M$6,0))=0),"",D12/INDEX('Valuation'!$B$21:$M$21,1,MATCH($A12,'Valuation'!$B$6:$M$6,0))),"")</f>
        <v/>
      </c>
      <c r="J12" s="584">
        <f>IFERROR(IF(OR($A12="",COUNTIF('Valuation'!$B$6:$M$6,$A12)&lt;&gt;1,NOT(ISNUMBER(F12)),NOT(ISNUMBER(INDEX('Valuation'!$B$21:$M$21,1,MATCH($A12,'Valuation'!$B$6:$M$6,0)))),INDEX('Valuation'!$B$21:$M$21,1,MATCH($A12,'Valuation'!$B$6:$M$6,0))=0),"",F12/INDEX('Valuation'!$B$21:$M$21,1,MATCH($A12,'Valuation'!$B$6:$M$6,0))),"")</f>
        <v/>
      </c>
      <c r="K12" s="584">
        <f>IFERROR(IF(OR($A12="",COUNTIF('Valuation'!$B$6:$M$6,$A12)&lt;&gt;1,NOT(ISNUMBER(INDEX('Valuation'!$B$88:$M$88,1,MATCH($A12,'Valuation'!$B$6:$M$6,0))))),"",INDEX('Valuation'!$B$88:$M$88,1,MATCH($A12,'Valuation'!$B$6:$M$6,0))),"")</f>
        <v/>
      </c>
      <c r="L12" s="583" t="n"/>
      <c r="M12" s="583" t="n"/>
      <c r="N12" s="583" t="n"/>
    </row>
    <row r="13" ht="48" customHeight="1">
      <c r="F13" s="514">
        <f>IFERROR(IF(OR(NOT(ISNUMBER(D13)),NOT(ISNUMBER(B13))),"",D13-B13),"")</f>
        <v/>
      </c>
      <c r="H13" s="514">
        <f>IFERROR(IF(OR(NOT(ISNUMBER(B13)),NOT(ISNUMBER(G13))),"",B13+G13),"")</f>
        <v/>
      </c>
      <c r="I13" s="584">
        <f>IFERROR(IF(OR($A13="",COUNTIF('Valuation'!$B$6:$M$6,$A13)&lt;&gt;1,NOT(ISNUMBER(D13)),NOT(ISNUMBER(INDEX('Valuation'!$B$21:$M$21,1,MATCH($A13,'Valuation'!$B$6:$M$6,0)))),INDEX('Valuation'!$B$21:$M$21,1,MATCH($A13,'Valuation'!$B$6:$M$6,0))=0),"",D13/INDEX('Valuation'!$B$21:$M$21,1,MATCH($A13,'Valuation'!$B$6:$M$6,0))),"")</f>
        <v/>
      </c>
      <c r="J13" s="584">
        <f>IFERROR(IF(OR($A13="",COUNTIF('Valuation'!$B$6:$M$6,$A13)&lt;&gt;1,NOT(ISNUMBER(F13)),NOT(ISNUMBER(INDEX('Valuation'!$B$21:$M$21,1,MATCH($A13,'Valuation'!$B$6:$M$6,0)))),INDEX('Valuation'!$B$21:$M$21,1,MATCH($A13,'Valuation'!$B$6:$M$6,0))=0),"",F13/INDEX('Valuation'!$B$21:$M$21,1,MATCH($A13,'Valuation'!$B$6:$M$6,0))),"")</f>
        <v/>
      </c>
      <c r="K13" s="584">
        <f>IFERROR(IF(OR($A13="",COUNTIF('Valuation'!$B$6:$M$6,$A13)&lt;&gt;1,NOT(ISNUMBER(INDEX('Valuation'!$B$88:$M$88,1,MATCH($A13,'Valuation'!$B$6:$M$6,0))))),"",INDEX('Valuation'!$B$88:$M$88,1,MATCH($A13,'Valuation'!$B$6:$M$6,0))),"")</f>
        <v/>
      </c>
      <c r="L13" s="583" t="n"/>
      <c r="M13" s="583" t="n"/>
      <c r="N13" s="583" t="n"/>
    </row>
    <row r="14" ht="48" customHeight="1">
      <c r="F14" s="514">
        <f>IFERROR(IF(OR(NOT(ISNUMBER(D14)),NOT(ISNUMBER(B14))),"",D14-B14),"")</f>
        <v/>
      </c>
      <c r="H14" s="514">
        <f>IFERROR(IF(OR(NOT(ISNUMBER(B14)),NOT(ISNUMBER(G14))),"",B14+G14),"")</f>
        <v/>
      </c>
      <c r="I14" s="584">
        <f>IFERROR(IF(OR($A14="",COUNTIF('Valuation'!$B$6:$M$6,$A14)&lt;&gt;1,NOT(ISNUMBER(D14)),NOT(ISNUMBER(INDEX('Valuation'!$B$21:$M$21,1,MATCH($A14,'Valuation'!$B$6:$M$6,0)))),INDEX('Valuation'!$B$21:$M$21,1,MATCH($A14,'Valuation'!$B$6:$M$6,0))=0),"",D14/INDEX('Valuation'!$B$21:$M$21,1,MATCH($A14,'Valuation'!$B$6:$M$6,0))),"")</f>
        <v/>
      </c>
      <c r="J14" s="584">
        <f>IFERROR(IF(OR($A14="",COUNTIF('Valuation'!$B$6:$M$6,$A14)&lt;&gt;1,NOT(ISNUMBER(F14)),NOT(ISNUMBER(INDEX('Valuation'!$B$21:$M$21,1,MATCH($A14,'Valuation'!$B$6:$M$6,0)))),INDEX('Valuation'!$B$21:$M$21,1,MATCH($A14,'Valuation'!$B$6:$M$6,0))=0),"",F14/INDEX('Valuation'!$B$21:$M$21,1,MATCH($A14,'Valuation'!$B$6:$M$6,0))),"")</f>
        <v/>
      </c>
      <c r="K14" s="584">
        <f>IFERROR(IF(OR($A14="",COUNTIF('Valuation'!$B$6:$M$6,$A14)&lt;&gt;1,NOT(ISNUMBER(INDEX('Valuation'!$B$88:$M$88,1,MATCH($A14,'Valuation'!$B$6:$M$6,0))))),"",INDEX('Valuation'!$B$88:$M$88,1,MATCH($A14,'Valuation'!$B$6:$M$6,0))),"")</f>
        <v/>
      </c>
      <c r="L14" s="583" t="n"/>
      <c r="M14" s="583" t="n"/>
      <c r="N14" s="583" t="n"/>
    </row>
    <row r="15" ht="48" customHeight="1">
      <c r="F15" s="514">
        <f>IFERROR(IF(OR(NOT(ISNUMBER(D15)),NOT(ISNUMBER(B15))),"",D15-B15),"")</f>
        <v/>
      </c>
      <c r="H15" s="514">
        <f>IFERROR(IF(OR(NOT(ISNUMBER(B15)),NOT(ISNUMBER(G15))),"",B15+G15),"")</f>
        <v/>
      </c>
      <c r="I15" s="584">
        <f>IFERROR(IF(OR($A15="",COUNTIF('Valuation'!$B$6:$M$6,$A15)&lt;&gt;1,NOT(ISNUMBER(D15)),NOT(ISNUMBER(INDEX('Valuation'!$B$21:$M$21,1,MATCH($A15,'Valuation'!$B$6:$M$6,0)))),INDEX('Valuation'!$B$21:$M$21,1,MATCH($A15,'Valuation'!$B$6:$M$6,0))=0),"",D15/INDEX('Valuation'!$B$21:$M$21,1,MATCH($A15,'Valuation'!$B$6:$M$6,0))),"")</f>
        <v/>
      </c>
      <c r="J15" s="584">
        <f>IFERROR(IF(OR($A15="",COUNTIF('Valuation'!$B$6:$M$6,$A15)&lt;&gt;1,NOT(ISNUMBER(F15)),NOT(ISNUMBER(INDEX('Valuation'!$B$21:$M$21,1,MATCH($A15,'Valuation'!$B$6:$M$6,0)))),INDEX('Valuation'!$B$21:$M$21,1,MATCH($A15,'Valuation'!$B$6:$M$6,0))=0),"",F15/INDEX('Valuation'!$B$21:$M$21,1,MATCH($A15,'Valuation'!$B$6:$M$6,0))),"")</f>
        <v/>
      </c>
      <c r="K15" s="584">
        <f>IFERROR(IF(OR($A15="",COUNTIF('Valuation'!$B$6:$M$6,$A15)&lt;&gt;1,NOT(ISNUMBER(INDEX('Valuation'!$B$88:$M$88,1,MATCH($A15,'Valuation'!$B$6:$M$6,0))))),"",INDEX('Valuation'!$B$88:$M$88,1,MATCH($A15,'Valuation'!$B$6:$M$6,0))),"")</f>
        <v/>
      </c>
      <c r="L15" s="583" t="n"/>
      <c r="M15" s="583" t="n"/>
      <c r="N15" s="58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gaap_value</t>
        </is>
      </c>
      <c r="D1" s="573" t="inlineStr">
        <is>
          <t>adjusted_value</t>
        </is>
      </c>
      <c r="E1" s="573" t="inlineStr">
        <is>
          <t>adjustments</t>
        </is>
      </c>
      <c r="F1" s="573" t="inlineStr">
        <is>
          <t>credibility</t>
        </is>
      </c>
      <c r="G1" s="573" t="inlineStr">
        <is>
          <t>source_ref</t>
        </is>
      </c>
      <c r="H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metric</t>
        </is>
      </c>
      <c r="C1" s="573" t="inlineStr">
        <is>
          <t>gaap_value</t>
        </is>
      </c>
      <c r="D1" s="573" t="inlineStr">
        <is>
          <t>adjusted_value</t>
        </is>
      </c>
      <c r="E1" s="573" t="inlineStr">
        <is>
          <t>unit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73" t="inlineStr">
        <is>
          <t>period</t>
        </is>
      </c>
      <c r="B1" s="573" t="inlineStr">
        <is>
          <t>adjustment</t>
        </is>
      </c>
      <c r="C1" s="573" t="inlineStr">
        <is>
          <t>amount</t>
        </is>
      </c>
      <c r="D1" s="573" t="inlineStr">
        <is>
          <t>tax_treatment</t>
        </is>
      </c>
      <c r="E1" s="573" t="inlineStr">
        <is>
          <t>recurring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A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8" customWidth="1" min="20" max="20"/>
    <col width="17" customWidth="1" min="21" max="21"/>
    <col width="18" customWidth="1" min="22" max="22"/>
    <col width="18" customWidth="1" min="23" max="23"/>
    <col width="19" customWidth="1" min="24" max="24"/>
    <col width="22" customWidth="1" min="25" max="25"/>
    <col width="14" customWidth="1" min="26" max="26"/>
    <col width="18" customWidth="1" min="27" max="27"/>
    <col width="19" customWidth="1" min="28" max="28"/>
    <col width="32" customWidth="1" min="29" max="29"/>
    <col width="32" customWidth="1" min="30" max="30"/>
    <col width="32" customWidth="1" min="31" max="31"/>
    <col width="32" customWidth="1" min="32" max="32"/>
    <col width="30" customWidth="1" min="33" max="33"/>
    <col width="31" customWidth="1" min="34" max="34"/>
    <col width="24" customWidth="1" min="35" max="35"/>
    <col width="25" customWidth="1" min="36" max="36"/>
    <col width="19" customWidth="1" min="37" max="37"/>
    <col width="20" customWidth="1" min="38" max="38"/>
    <col width="32" customWidth="1" min="39" max="39"/>
    <col width="32" customWidth="1" min="40" max="40"/>
    <col width="15" customWidth="1" min="41" max="41"/>
    <col width="20" customWidth="1" min="42" max="42"/>
    <col width="16" customWidth="1" min="43" max="43"/>
    <col width="22" customWidth="1" min="44" max="44"/>
    <col width="16" customWidth="1" min="45" max="45"/>
    <col width="24" customWidth="1" min="46" max="46"/>
    <col width="26" customWidth="1" min="47" max="47"/>
    <col width="26" customWidth="1" min="48" max="48"/>
    <col width="20" customWidth="1" min="49" max="49"/>
    <col width="22" customWidth="1" min="50" max="50"/>
    <col width="32" customWidth="1" min="51" max="51"/>
    <col width="32" customWidth="1" min="52" max="52"/>
    <col width="22" customWidth="1" min="53" max="53"/>
  </cols>
  <sheetData>
    <row r="1" ht="20" customHeight="1">
      <c r="A1" s="573" t="inlineStr">
        <is>
          <t>scenario_id</t>
        </is>
      </c>
      <c r="B1" s="573" t="inlineStr">
        <is>
          <t>driver_id</t>
        </is>
      </c>
      <c r="C1" s="573" t="inlineStr">
        <is>
          <t>profile_pack_id</t>
        </is>
      </c>
      <c r="D1" s="573" t="inlineStr">
        <is>
          <t>driver_type</t>
        </is>
      </c>
      <c r="E1" s="573" t="inlineStr">
        <is>
          <t>metric</t>
        </is>
      </c>
      <c r="F1" s="573" t="inlineStr">
        <is>
          <t>impact_metric</t>
        </is>
      </c>
      <c r="G1" s="573" t="inlineStr">
        <is>
          <t>value</t>
        </is>
      </c>
      <c r="H1" s="573" t="inlineStr">
        <is>
          <t>unit</t>
        </is>
      </c>
      <c r="I1" s="573" t="inlineStr">
        <is>
          <t>horizon</t>
        </is>
      </c>
      <c r="J1" s="573" t="inlineStr">
        <is>
          <t>dimension_id</t>
        </is>
      </c>
      <c r="K1" s="573" t="inlineStr">
        <is>
          <t>member</t>
        </is>
      </c>
      <c r="L1" s="573" t="inlineStr">
        <is>
          <t>source_classification</t>
        </is>
      </c>
      <c r="M1" s="573" t="inlineStr">
        <is>
          <t>tax_treatment</t>
        </is>
      </c>
      <c r="N1" s="573" t="inlineStr">
        <is>
          <t>cash_classification</t>
        </is>
      </c>
      <c r="O1" s="573" t="inlineStr">
        <is>
          <t>propagation_rule</t>
        </is>
      </c>
      <c r="P1" s="573" t="inlineStr">
        <is>
          <t>status</t>
        </is>
      </c>
      <c r="Q1" s="573" t="inlineStr">
        <is>
          <t>source_ref</t>
        </is>
      </c>
      <c r="R1" s="573" t="inlineStr">
        <is>
          <t>reason</t>
        </is>
      </c>
      <c r="S1" s="573" t="inlineStr">
        <is>
          <t>reserved</t>
        </is>
      </c>
      <c r="T1" s="573" t="inlineStr">
        <is>
          <t>product_row_type</t>
        </is>
      </c>
      <c r="U1" s="573" t="inlineStr">
        <is>
          <t>product_row_key</t>
        </is>
      </c>
      <c r="V1" s="573" t="inlineStr">
        <is>
          <t>product_priority</t>
        </is>
      </c>
      <c r="W1" s="573" t="inlineStr">
        <is>
          <t>product_slot_key</t>
        </is>
      </c>
      <c r="X1" s="573" t="inlineStr">
        <is>
          <t>product_metric_id</t>
        </is>
      </c>
      <c r="Y1" s="573" t="inlineStr">
        <is>
          <t>product_metric_label</t>
        </is>
      </c>
      <c r="Z1" s="573" t="inlineStr">
        <is>
          <t>product_unit</t>
        </is>
      </c>
      <c r="AA1" s="573" t="inlineStr">
        <is>
          <t>product_fy_value</t>
        </is>
      </c>
      <c r="AB1" s="573" t="inlineStr">
        <is>
          <t>product_ttm_value</t>
        </is>
      </c>
      <c r="AC1" s="573" t="inlineStr">
        <is>
          <t>product_full_year_guidance_display</t>
        </is>
      </c>
      <c r="AD1" s="573" t="inlineStr">
        <is>
          <t>product_full_year_guidance_low</t>
        </is>
      </c>
      <c r="AE1" s="573" t="inlineStr">
        <is>
          <t>product_full_year_guidance_high</t>
        </is>
      </c>
      <c r="AF1" s="573" t="inlineStr">
        <is>
          <t>product_quarter_guidance_display</t>
        </is>
      </c>
      <c r="AG1" s="573" t="inlineStr">
        <is>
          <t>product_quarter_guidance_low</t>
        </is>
      </c>
      <c r="AH1" s="573" t="inlineStr">
        <is>
          <t>product_quarter_guidance_high</t>
        </is>
      </c>
      <c r="AI1" s="573" t="inlineStr">
        <is>
          <t>product_selected_value</t>
        </is>
      </c>
      <c r="AJ1" s="573" t="inlineStr">
        <is>
          <t>product_selected_source</t>
        </is>
      </c>
      <c r="AK1" s="573" t="inlineStr">
        <is>
          <t>product_fy_period</t>
        </is>
      </c>
      <c r="AL1" s="573" t="inlineStr">
        <is>
          <t>product_ttm_period</t>
        </is>
      </c>
      <c r="AM1" s="573" t="inlineStr">
        <is>
          <t>product_full_year_guidance_period</t>
        </is>
      </c>
      <c r="AN1" s="573" t="inlineStr">
        <is>
          <t>product_quarter_guidance_period</t>
        </is>
      </c>
      <c r="AO1" s="573" t="inlineStr">
        <is>
          <t>product_notes</t>
        </is>
      </c>
      <c r="AP1" s="573" t="inlineStr">
        <is>
          <t>product_source_ref</t>
        </is>
      </c>
      <c r="AQ1" s="573" t="inlineStr">
        <is>
          <t>product_status</t>
        </is>
      </c>
      <c r="AR1" s="573" t="inlineStr">
        <is>
          <t>product_dimension_id</t>
        </is>
      </c>
      <c r="AS1" s="573" t="inlineStr">
        <is>
          <t>product_member</t>
        </is>
      </c>
      <c r="AT1" s="573" t="inlineStr">
        <is>
          <t>product_baseline_value</t>
        </is>
      </c>
      <c r="AU1" s="573" t="inlineStr">
        <is>
          <t>product_publication_date</t>
        </is>
      </c>
      <c r="AV1" s="573" t="inlineStr">
        <is>
          <t>product_dimension_option</t>
        </is>
      </c>
      <c r="AW1" s="573" t="inlineStr">
        <is>
          <t>product_basis_kind</t>
        </is>
      </c>
      <c r="AX1" s="573" t="inlineStr">
        <is>
          <t>product_basis_period</t>
        </is>
      </c>
      <c r="AY1" s="573" t="inlineStr">
        <is>
          <t>product_full_year_guidance_numeric_state</t>
        </is>
      </c>
      <c r="AZ1" s="573" t="inlineStr">
        <is>
          <t>product_quarter_guidance_numeric_state</t>
        </is>
      </c>
      <c r="BA1" s="573" t="inlineStr">
        <is>
          <t>product_source_alias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73" t="inlineStr">
        <is>
          <t>scenario_id</t>
        </is>
      </c>
      <c r="B1" s="573" t="inlineStr">
        <is>
          <t>adjustment</t>
        </is>
      </c>
      <c r="C1" s="573" t="inlineStr">
        <is>
          <t>pretax_value</t>
        </is>
      </c>
      <c r="D1" s="573" t="inlineStr">
        <is>
          <t>tax_rate</t>
        </is>
      </c>
      <c r="E1" s="573" t="inlineStr">
        <is>
          <t>after_tax_value</t>
        </is>
      </c>
      <c r="F1" s="573" t="inlineStr">
        <is>
          <t>source_ref</t>
        </is>
      </c>
      <c r="G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73" t="inlineStr">
        <is>
          <t>scenario_id</t>
        </is>
      </c>
      <c r="B1" s="573" t="inlineStr">
        <is>
          <t>assumption_id</t>
        </is>
      </c>
      <c r="C1" s="573" t="inlineStr">
        <is>
          <t>metric</t>
        </is>
      </c>
      <c r="D1" s="573" t="inlineStr">
        <is>
          <t>value_kind</t>
        </is>
      </c>
      <c r="E1" s="573" t="inlineStr">
        <is>
          <t>value</t>
        </is>
      </c>
      <c r="F1" s="573" t="inlineStr">
        <is>
          <t>low_value</t>
        </is>
      </c>
      <c r="G1" s="573" t="inlineStr">
        <is>
          <t>high_value</t>
        </is>
      </c>
      <c r="H1" s="573" t="inlineStr">
        <is>
          <t>unit</t>
        </is>
      </c>
      <c r="I1" s="573" t="inlineStr">
        <is>
          <t>horizon</t>
        </is>
      </c>
      <c r="J1" s="573" t="inlineStr">
        <is>
          <t>dimension_id</t>
        </is>
      </c>
      <c r="K1" s="573" t="inlineStr">
        <is>
          <t>member</t>
        </is>
      </c>
      <c r="L1" s="573" t="inlineStr">
        <is>
          <t>source_classification</t>
        </is>
      </c>
      <c r="M1" s="573" t="inlineStr">
        <is>
          <t>propagation_rule</t>
        </is>
      </c>
      <c r="N1" s="573" t="inlineStr">
        <is>
          <t>status</t>
        </is>
      </c>
      <c r="O1" s="573" t="inlineStr">
        <is>
          <t>source_ref</t>
        </is>
      </c>
      <c r="P1" s="573" t="inlineStr">
        <is>
          <t>reason</t>
        </is>
      </c>
      <c r="Q1" s="573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zoomScale="110" zoomScaleNormal="11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0" customWidth="1" min="4" max="4"/>
    <col width="14" customWidth="1" min="5" max="5"/>
    <col width="14" customWidth="1" min="6" max="6"/>
    <col width="20" customWidth="1" min="7" max="7"/>
    <col width="40" customWidth="1" min="8" max="8"/>
  </cols>
  <sheetData>
    <row r="1" ht="24" customHeight="1">
      <c r="A1" s="580" t="inlineStr">
        <is>
          <t>Debt maturity ladder</t>
        </is>
      </c>
      <c r="B1" s="581" t="n"/>
      <c r="C1" s="581" t="n"/>
      <c r="D1" s="581" t="n"/>
      <c r="E1" s="581" t="n"/>
      <c r="F1" s="581" t="n"/>
      <c r="G1" s="581" t="n"/>
      <c r="H1" s="581" t="n"/>
    </row>
    <row r="2" ht="8" customHeight="1"/>
    <row r="3" ht="20" customHeight="1">
      <c r="A3" s="573" t="inlineStr">
        <is>
          <t>Instrument</t>
        </is>
      </c>
      <c r="B3" s="573" t="inlineStr">
        <is>
          <t>Bucket</t>
        </is>
      </c>
      <c r="C3" s="573" t="inlineStr">
        <is>
          <t>Amount</t>
        </is>
      </c>
      <c r="D3" s="573" t="inlineStr">
        <is>
          <t>Unit</t>
        </is>
      </c>
      <c r="E3" s="573" t="inlineStr">
        <is>
          <t>Due date</t>
        </is>
      </c>
      <c r="F3" s="573" t="inlineStr">
        <is>
          <t>As of</t>
        </is>
      </c>
      <c r="G3" s="573" t="inlineStr">
        <is>
          <t>State</t>
        </is>
      </c>
      <c r="H3" s="573" t="inlineStr">
        <is>
          <t>Evidence /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73" t="inlineStr">
        <is>
          <t>bucket</t>
        </is>
      </c>
      <c r="B1" s="573" t="inlineStr">
        <is>
          <t>amount</t>
        </is>
      </c>
      <c r="C1" s="573" t="inlineStr">
        <is>
          <t>unit</t>
        </is>
      </c>
      <c r="D1" s="573" t="inlineStr">
        <is>
          <t>as_of</t>
        </is>
      </c>
      <c r="E1" s="573" t="inlineStr">
        <is>
          <t>source_ref</t>
        </is>
      </c>
      <c r="F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73" t="inlineStr">
        <is>
          <t>period</t>
        </is>
      </c>
      <c r="B1" s="573" t="inlineStr">
        <is>
          <t>opening</t>
        </is>
      </c>
      <c r="C1" s="573" t="inlineStr">
        <is>
          <t>debt_issued</t>
        </is>
      </c>
      <c r="D1" s="573" t="inlineStr">
        <is>
          <t>debt_repaid</t>
        </is>
      </c>
      <c r="E1" s="573" t="inlineStr">
        <is>
          <t>other</t>
        </is>
      </c>
      <c r="F1" s="573" t="inlineStr">
        <is>
          <t>closing</t>
        </is>
      </c>
      <c r="G1" s="573" t="inlineStr">
        <is>
          <t>source_ref</t>
        </is>
      </c>
      <c r="H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73" t="inlineStr">
        <is>
          <t>period</t>
        </is>
      </c>
      <c r="B1" s="573" t="inlineStr">
        <is>
          <t>instrument</t>
        </is>
      </c>
      <c r="C1" s="573" t="inlineStr">
        <is>
          <t>principal</t>
        </is>
      </c>
      <c r="D1" s="573" t="inlineStr">
        <is>
          <t>coupon</t>
        </is>
      </c>
      <c r="E1" s="573" t="inlineStr">
        <is>
          <t>maturity</t>
        </is>
      </c>
      <c r="F1" s="573" t="inlineStr">
        <is>
          <t>secured</t>
        </is>
      </c>
      <c r="G1" s="573" t="inlineStr">
        <is>
          <t>source_ref</t>
        </is>
      </c>
      <c r="H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73" t="inlineStr">
        <is>
          <t>scenario_id</t>
        </is>
      </c>
      <c r="B1" s="573" t="inlineStr">
        <is>
          <t>row_driver</t>
        </is>
      </c>
      <c r="C1" s="573" t="inlineStr">
        <is>
          <t>column_driver</t>
        </is>
      </c>
      <c r="D1" s="573" t="inlineStr">
        <is>
          <t>output_metric</t>
        </is>
      </c>
      <c r="E1" s="573" t="inlineStr">
        <is>
          <t>value</t>
        </is>
      </c>
      <c r="F1" s="573" t="inlineStr">
        <is>
          <t>status</t>
        </is>
      </c>
    </row>
    <row r="2">
      <c r="A2">
        <f>"dcf"</f>
        <v/>
      </c>
      <c r="B2" s="509">
        <f>IF('Valuation'!$G$227="","",'Valuation'!$G$227)</f>
        <v/>
      </c>
      <c r="C2" s="509">
        <f>IF('Valuation'!$H$226="","",'Valuation'!$H$226)</f>
        <v/>
      </c>
      <c r="D2" t="inlineStr">
        <is>
          <t>implied_price</t>
        </is>
      </c>
      <c r="E2" s="516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9">
        <f>IF('Valuation'!$G$227="","",'Valuation'!$G$227)</f>
        <v/>
      </c>
      <c r="C3" s="509">
        <f>IF('Valuation'!$I$226="","",'Valuation'!$I$226)</f>
        <v/>
      </c>
      <c r="D3" t="inlineStr">
        <is>
          <t>implied_price</t>
        </is>
      </c>
      <c r="E3" s="516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9">
        <f>IF('Valuation'!$G$227="","",'Valuation'!$G$227)</f>
        <v/>
      </c>
      <c r="C4" s="509">
        <f>IF('Valuation'!$J$226="","",'Valuation'!$J$226)</f>
        <v/>
      </c>
      <c r="D4" t="inlineStr">
        <is>
          <t>implied_price</t>
        </is>
      </c>
      <c r="E4" s="516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9">
        <f>IF('Valuation'!$G$227="","",'Valuation'!$G$227)</f>
        <v/>
      </c>
      <c r="C5" s="509">
        <f>IF('Valuation'!$K$226="","",'Valuation'!$K$226)</f>
        <v/>
      </c>
      <c r="D5" t="inlineStr">
        <is>
          <t>implied_price</t>
        </is>
      </c>
      <c r="E5" s="516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9">
        <f>IF('Valuation'!$G$227="","",'Valuation'!$G$227)</f>
        <v/>
      </c>
      <c r="C6" s="509">
        <f>IF('Valuation'!$L$226="","",'Valuation'!$L$226)</f>
        <v/>
      </c>
      <c r="D6" t="inlineStr">
        <is>
          <t>implied_price</t>
        </is>
      </c>
      <c r="E6" s="516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9">
        <f>IF('Valuation'!$G$228="","",'Valuation'!$G$228)</f>
        <v/>
      </c>
      <c r="C7" s="509">
        <f>IF('Valuation'!$H$226="","",'Valuation'!$H$226)</f>
        <v/>
      </c>
      <c r="D7" t="inlineStr">
        <is>
          <t>implied_price</t>
        </is>
      </c>
      <c r="E7" s="516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9">
        <f>IF('Valuation'!$G$228="","",'Valuation'!$G$228)</f>
        <v/>
      </c>
      <c r="C8" s="509">
        <f>IF('Valuation'!$I$226="","",'Valuation'!$I$226)</f>
        <v/>
      </c>
      <c r="D8" t="inlineStr">
        <is>
          <t>implied_price</t>
        </is>
      </c>
      <c r="E8" s="516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9">
        <f>IF('Valuation'!$G$228="","",'Valuation'!$G$228)</f>
        <v/>
      </c>
      <c r="C9" s="509">
        <f>IF('Valuation'!$J$226="","",'Valuation'!$J$226)</f>
        <v/>
      </c>
      <c r="D9" t="inlineStr">
        <is>
          <t>implied_price</t>
        </is>
      </c>
      <c r="E9" s="516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9">
        <f>IF('Valuation'!$G$228="","",'Valuation'!$G$228)</f>
        <v/>
      </c>
      <c r="C10" s="509">
        <f>IF('Valuation'!$K$226="","",'Valuation'!$K$226)</f>
        <v/>
      </c>
      <c r="D10" t="inlineStr">
        <is>
          <t>implied_price</t>
        </is>
      </c>
      <c r="E10" s="516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9">
        <f>IF('Valuation'!$G$228="","",'Valuation'!$G$228)</f>
        <v/>
      </c>
      <c r="C11" s="509">
        <f>IF('Valuation'!$L$226="","",'Valuation'!$L$226)</f>
        <v/>
      </c>
      <c r="D11" t="inlineStr">
        <is>
          <t>implied_price</t>
        </is>
      </c>
      <c r="E11" s="516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9">
        <f>IF('Valuation'!$G$229="","",'Valuation'!$G$229)</f>
        <v/>
      </c>
      <c r="C12" s="509">
        <f>IF('Valuation'!$H$226="","",'Valuation'!$H$226)</f>
        <v/>
      </c>
      <c r="D12" t="inlineStr">
        <is>
          <t>implied_price</t>
        </is>
      </c>
      <c r="E12" s="516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9">
        <f>IF('Valuation'!$G$229="","",'Valuation'!$G$229)</f>
        <v/>
      </c>
      <c r="C13" s="509">
        <f>IF('Valuation'!$I$226="","",'Valuation'!$I$226)</f>
        <v/>
      </c>
      <c r="D13" t="inlineStr">
        <is>
          <t>implied_price</t>
        </is>
      </c>
      <c r="E13" s="516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9">
        <f>IF('Valuation'!$G$229="","",'Valuation'!$G$229)</f>
        <v/>
      </c>
      <c r="C14" s="509">
        <f>IF('Valuation'!$J$226="","",'Valuation'!$J$226)</f>
        <v/>
      </c>
      <c r="D14" t="inlineStr">
        <is>
          <t>implied_price</t>
        </is>
      </c>
      <c r="E14" s="516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9">
        <f>IF('Valuation'!$G$229="","",'Valuation'!$G$229)</f>
        <v/>
      </c>
      <c r="C15" s="509">
        <f>IF('Valuation'!$K$226="","",'Valuation'!$K$226)</f>
        <v/>
      </c>
      <c r="D15" t="inlineStr">
        <is>
          <t>implied_price</t>
        </is>
      </c>
      <c r="E15" s="516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9">
        <f>IF('Valuation'!$G$229="","",'Valuation'!$G$229)</f>
        <v/>
      </c>
      <c r="C16" s="509">
        <f>IF('Valuation'!$L$226="","",'Valuation'!$L$226)</f>
        <v/>
      </c>
      <c r="D16" t="inlineStr">
        <is>
          <t>implied_price</t>
        </is>
      </c>
      <c r="E16" s="516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9">
        <f>IF('Valuation'!$G$230="","",'Valuation'!$G$230)</f>
        <v/>
      </c>
      <c r="C17" s="509">
        <f>IF('Valuation'!$H$226="","",'Valuation'!$H$226)</f>
        <v/>
      </c>
      <c r="D17" t="inlineStr">
        <is>
          <t>implied_price</t>
        </is>
      </c>
      <c r="E17" s="516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9">
        <f>IF('Valuation'!$G$230="","",'Valuation'!$G$230)</f>
        <v/>
      </c>
      <c r="C18" s="509">
        <f>IF('Valuation'!$I$226="","",'Valuation'!$I$226)</f>
        <v/>
      </c>
      <c r="D18" t="inlineStr">
        <is>
          <t>implied_price</t>
        </is>
      </c>
      <c r="E18" s="516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9">
        <f>IF('Valuation'!$G$230="","",'Valuation'!$G$230)</f>
        <v/>
      </c>
      <c r="C19" s="509">
        <f>IF('Valuation'!$J$226="","",'Valuation'!$J$226)</f>
        <v/>
      </c>
      <c r="D19" t="inlineStr">
        <is>
          <t>implied_price</t>
        </is>
      </c>
      <c r="E19" s="516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9">
        <f>IF('Valuation'!$G$230="","",'Valuation'!$G$230)</f>
        <v/>
      </c>
      <c r="C20" s="509">
        <f>IF('Valuation'!$K$226="","",'Valuation'!$K$226)</f>
        <v/>
      </c>
      <c r="D20" t="inlineStr">
        <is>
          <t>implied_price</t>
        </is>
      </c>
      <c r="E20" s="516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9">
        <f>IF('Valuation'!$G$230="","",'Valuation'!$G$230)</f>
        <v/>
      </c>
      <c r="C21" s="509">
        <f>IF('Valuation'!$L$226="","",'Valuation'!$L$226)</f>
        <v/>
      </c>
      <c r="D21" t="inlineStr">
        <is>
          <t>implied_price</t>
        </is>
      </c>
      <c r="E21" s="516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9">
        <f>IF('Valuation'!$G$231="","",'Valuation'!$G$231)</f>
        <v/>
      </c>
      <c r="C22" s="509">
        <f>IF('Valuation'!$H$226="","",'Valuation'!$H$226)</f>
        <v/>
      </c>
      <c r="D22" t="inlineStr">
        <is>
          <t>implied_price</t>
        </is>
      </c>
      <c r="E22" s="516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9">
        <f>IF('Valuation'!$G$231="","",'Valuation'!$G$231)</f>
        <v/>
      </c>
      <c r="C23" s="509">
        <f>IF('Valuation'!$I$226="","",'Valuation'!$I$226)</f>
        <v/>
      </c>
      <c r="D23" t="inlineStr">
        <is>
          <t>implied_price</t>
        </is>
      </c>
      <c r="E23" s="516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9">
        <f>IF('Valuation'!$G$231="","",'Valuation'!$G$231)</f>
        <v/>
      </c>
      <c r="C24" s="509">
        <f>IF('Valuation'!$J$226="","",'Valuation'!$J$226)</f>
        <v/>
      </c>
      <c r="D24" t="inlineStr">
        <is>
          <t>implied_price</t>
        </is>
      </c>
      <c r="E24" s="516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9">
        <f>IF('Valuation'!$G$231="","",'Valuation'!$G$231)</f>
        <v/>
      </c>
      <c r="C25" s="509">
        <f>IF('Valuation'!$K$226="","",'Valuation'!$K$226)</f>
        <v/>
      </c>
      <c r="D25" t="inlineStr">
        <is>
          <t>implied_price</t>
        </is>
      </c>
      <c r="E25" s="516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9">
        <f>IF('Valuation'!$G$231="","",'Valuation'!$G$231)</f>
        <v/>
      </c>
      <c r="C26" s="509">
        <f>IF('Valuation'!$L$226="","",'Valuation'!$L$226)</f>
        <v/>
      </c>
      <c r="D26" t="inlineStr">
        <is>
          <t>implied_price</t>
        </is>
      </c>
      <c r="E26" s="516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9">
        <f>IF('Valuation'!$G$232="","",'Valuation'!$G$232)</f>
        <v/>
      </c>
      <c r="C27" s="509">
        <f>IF('Valuation'!$H$226="","",'Valuation'!$H$226)</f>
        <v/>
      </c>
      <c r="D27" t="inlineStr">
        <is>
          <t>implied_price</t>
        </is>
      </c>
      <c r="E27" s="516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9">
        <f>IF('Valuation'!$G$232="","",'Valuation'!$G$232)</f>
        <v/>
      </c>
      <c r="C28" s="509">
        <f>IF('Valuation'!$I$226="","",'Valuation'!$I$226)</f>
        <v/>
      </c>
      <c r="D28" t="inlineStr">
        <is>
          <t>implied_price</t>
        </is>
      </c>
      <c r="E28" s="516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9">
        <f>IF('Valuation'!$G$232="","",'Valuation'!$G$232)</f>
        <v/>
      </c>
      <c r="C29" s="509">
        <f>IF('Valuation'!$J$226="","",'Valuation'!$J$226)</f>
        <v/>
      </c>
      <c r="D29" t="inlineStr">
        <is>
          <t>implied_price</t>
        </is>
      </c>
      <c r="E29" s="516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9">
        <f>IF('Valuation'!$G$232="","",'Valuation'!$G$232)</f>
        <v/>
      </c>
      <c r="C30" s="509">
        <f>IF('Valuation'!$K$226="","",'Valuation'!$K$226)</f>
        <v/>
      </c>
      <c r="D30" t="inlineStr">
        <is>
          <t>implied_price</t>
        </is>
      </c>
      <c r="E30" s="516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9">
        <f>IF('Valuation'!$G$232="","",'Valuation'!$G$232)</f>
        <v/>
      </c>
      <c r="C31" s="509">
        <f>IF('Valuation'!$L$226="","",'Valuation'!$L$226)</f>
        <v/>
      </c>
      <c r="D31" t="inlineStr">
        <is>
          <t>implied_price</t>
        </is>
      </c>
      <c r="E31" s="516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9">
        <f>IF('Valuation'!$G$233="","",'Valuation'!$G$233)</f>
        <v/>
      </c>
      <c r="C32" s="509">
        <f>IF('Valuation'!$H$226="","",'Valuation'!$H$226)</f>
        <v/>
      </c>
      <c r="D32" t="inlineStr">
        <is>
          <t>implied_price</t>
        </is>
      </c>
      <c r="E32" s="516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9">
        <f>IF('Valuation'!$G$233="","",'Valuation'!$G$233)</f>
        <v/>
      </c>
      <c r="C33" s="509">
        <f>IF('Valuation'!$I$226="","",'Valuation'!$I$226)</f>
        <v/>
      </c>
      <c r="D33" t="inlineStr">
        <is>
          <t>implied_price</t>
        </is>
      </c>
      <c r="E33" s="516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9">
        <f>IF('Valuation'!$G$233="","",'Valuation'!$G$233)</f>
        <v/>
      </c>
      <c r="C34" s="509">
        <f>IF('Valuation'!$J$226="","",'Valuation'!$J$226)</f>
        <v/>
      </c>
      <c r="D34" t="inlineStr">
        <is>
          <t>implied_price</t>
        </is>
      </c>
      <c r="E34" s="516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9">
        <f>IF('Valuation'!$G$233="","",'Valuation'!$G$233)</f>
        <v/>
      </c>
      <c r="C35" s="509">
        <f>IF('Valuation'!$K$226="","",'Valuation'!$K$226)</f>
        <v/>
      </c>
      <c r="D35" t="inlineStr">
        <is>
          <t>implied_price</t>
        </is>
      </c>
      <c r="E35" s="516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9">
        <f>IF('Valuation'!$G$233="","",'Valuation'!$G$233)</f>
        <v/>
      </c>
      <c r="C36" s="509">
        <f>IF('Valuation'!$L$226="","",'Valuation'!$L$226)</f>
        <v/>
      </c>
      <c r="D36" t="inlineStr">
        <is>
          <t>implied_price</t>
        </is>
      </c>
      <c r="E36" s="516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9">
        <f>IF('Valuation'!$G$234="","",'Valuation'!$G$234)</f>
        <v/>
      </c>
      <c r="C37" s="509">
        <f>IF('Valuation'!$H$226="","",'Valuation'!$H$226)</f>
        <v/>
      </c>
      <c r="D37" t="inlineStr">
        <is>
          <t>implied_price</t>
        </is>
      </c>
      <c r="E37" s="516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9">
        <f>IF('Valuation'!$G$234="","",'Valuation'!$G$234)</f>
        <v/>
      </c>
      <c r="C38" s="509">
        <f>IF('Valuation'!$I$226="","",'Valuation'!$I$226)</f>
        <v/>
      </c>
      <c r="D38" t="inlineStr">
        <is>
          <t>implied_price</t>
        </is>
      </c>
      <c r="E38" s="516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9">
        <f>IF('Valuation'!$G$234="","",'Valuation'!$G$234)</f>
        <v/>
      </c>
      <c r="C39" s="509">
        <f>IF('Valuation'!$J$226="","",'Valuation'!$J$226)</f>
        <v/>
      </c>
      <c r="D39" t="inlineStr">
        <is>
          <t>implied_price</t>
        </is>
      </c>
      <c r="E39" s="516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9">
        <f>IF('Valuation'!$G$234="","",'Valuation'!$G$234)</f>
        <v/>
      </c>
      <c r="C40" s="509">
        <f>IF('Valuation'!$K$226="","",'Valuation'!$K$226)</f>
        <v/>
      </c>
      <c r="D40" t="inlineStr">
        <is>
          <t>implied_price</t>
        </is>
      </c>
      <c r="E40" s="516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9">
        <f>IF('Valuation'!$G$234="","",'Valuation'!$G$234)</f>
        <v/>
      </c>
      <c r="C41" s="509">
        <f>IF('Valuation'!$L$226="","",'Valuation'!$L$226)</f>
        <v/>
      </c>
      <c r="D41" t="inlineStr">
        <is>
          <t>implied_price</t>
        </is>
      </c>
      <c r="E41" s="516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16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73" t="inlineStr">
        <is>
          <t>promise_key</t>
        </is>
      </c>
      <c r="B1" s="573" t="inlineStr">
        <is>
          <t>metric</t>
        </is>
      </c>
      <c r="C1" s="573" t="inlineStr">
        <is>
          <t>horizon</t>
        </is>
      </c>
      <c r="D1" s="573" t="inlineStr">
        <is>
          <t>stage</t>
        </is>
      </c>
      <c r="E1" s="573" t="inlineStr">
        <is>
          <t>value</t>
        </is>
      </c>
      <c r="F1" s="573" t="inlineStr">
        <is>
          <t>actual</t>
        </is>
      </c>
      <c r="G1" s="573" t="inlineStr">
        <is>
          <t>status</t>
        </is>
      </c>
      <c r="H1" s="573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73" t="inlineStr">
        <is>
          <t>period</t>
        </is>
      </c>
      <c r="B1" s="573" t="inlineStr">
        <is>
          <t>adjustment</t>
        </is>
      </c>
      <c r="C1" s="573" t="inlineStr">
        <is>
          <t>amount</t>
        </is>
      </c>
      <c r="D1" s="573" t="inlineStr">
        <is>
          <t>unit</t>
        </is>
      </c>
      <c r="E1" s="573" t="inlineStr">
        <is>
          <t>recurring</t>
        </is>
      </c>
      <c r="F1" s="573" t="inlineStr">
        <is>
          <t>cash_noncash</t>
        </is>
      </c>
      <c r="G1" s="573" t="inlineStr">
        <is>
          <t>tax_treatment</t>
        </is>
      </c>
      <c r="H1" s="573" t="inlineStr">
        <is>
          <t>source_ref</t>
        </is>
      </c>
      <c r="I1" s="573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zoomScale="110" zoomScaleNormal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73" t="inlineStr">
        <is>
          <t>source_ref</t>
        </is>
      </c>
      <c r="B1" s="573" t="inlineStr">
        <is>
          <t>page</t>
        </is>
      </c>
      <c r="C1" s="573" t="inlineStr">
        <is>
          <t>row_key</t>
        </is>
      </c>
      <c r="D1" s="573" t="inlineStr">
        <is>
          <t>text</t>
        </is>
      </c>
      <c r="E1" s="573" t="inlineStr">
        <is>
          <t>parser_status</t>
        </is>
      </c>
      <c r="F1" s="573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